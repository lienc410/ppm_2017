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40" windowHeight="1560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Report!$Z$2</definedName>
    <definedName name="DatabaseEnv">Report!$Z$1</definedName>
    <definedName name="HistoricalMtgRatesDataTable">OneWeekMtgRatesDataTable9[]</definedName>
    <definedName name="HistoricStartDate">'Time Series Query'!$AD$2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MonthMtgRatesDataTable">OneWeekMtgRatesDataTable8[]</definedName>
    <definedName name="OneMonthMtgRatesDataTable1">OneWeekMtgRatesDataTable8[]</definedName>
    <definedName name="OneWeekBusDate">TimeSeriesDataTable3[Column1]</definedName>
    <definedName name="PDFReportDir">Report!$Z$3</definedName>
    <definedName name="PDFReportName">Report!$Z$4</definedName>
    <definedName name="_xlnm.Print_Area" localSheetId="0">Report!$B$1:$W$56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10" localSheetId="1" hidden="1">'Time Series Query'!$AR$6:$AW$53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Query'!$X$6:$Z$9</definedName>
    <definedName name="Query_from_Agency_6" localSheetId="1" hidden="1">'Time Series Query'!$AC$6:$AH$4430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Query'!$AJ$6:$AO$3232</definedName>
    <definedName name="RatesList">'Upload Result'!$B$2:$E$30</definedName>
    <definedName name="SaveRatesToDB">Report!$AB$1</definedName>
    <definedName name="WIR" localSheetId="12">#REF!</definedName>
    <definedName name="WIR">'Wells - Conventional'!$C$4</definedName>
  </definedNames>
  <calcPr calcId="145621"/>
  <pivotCaches>
    <pivotCache cacheId="10" r:id="rId15"/>
    <pivotCache cacheId="14" r:id="rId16"/>
    <pivotCache cacheId="18" r:id="rId17"/>
    <pivotCache cacheId="24" r:id="rId18"/>
    <pivotCache cacheId="30" r:id="rId19"/>
  </pivotCaches>
</workbook>
</file>

<file path=xl/calcChain.xml><?xml version="1.0" encoding="utf-8"?>
<calcChain xmlns="http://schemas.openxmlformats.org/spreadsheetml/2006/main">
  <c r="H14" i="16" l="1" a="1"/>
  <c r="H14" i="16" s="1"/>
  <c r="G14" i="16" a="1"/>
  <c r="G14" i="16" s="1"/>
  <c r="G12" i="16" a="1"/>
  <c r="G12" i="16" s="1"/>
  <c r="H12" i="16" a="1"/>
  <c r="H12" i="16" s="1"/>
  <c r="H10" i="16" a="1"/>
  <c r="H10" i="16" s="1"/>
  <c r="G10" i="16" a="1"/>
  <c r="G10" i="16" s="1"/>
  <c r="H8" i="16" a="1"/>
  <c r="H8" i="16" s="1"/>
  <c r="H7" i="16" a="1"/>
  <c r="H7" i="16" s="1"/>
  <c r="H6" i="16" a="1"/>
  <c r="H6" i="16" s="1"/>
  <c r="G8" i="16" a="1"/>
  <c r="G8" i="16" s="1"/>
  <c r="G7" i="16" a="1"/>
  <c r="G7" i="16" s="1"/>
  <c r="H5" i="16" a="1"/>
  <c r="H5" i="16" s="1"/>
  <c r="G6" i="16" a="1"/>
  <c r="G6" i="16" s="1"/>
  <c r="G5" i="16" a="1"/>
  <c r="G5" i="16" s="1"/>
  <c r="Z4" i="6" l="1"/>
  <c r="C9" i="15" l="1" a="1"/>
  <c r="C9" i="15" s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4" i="18" l="1"/>
  <c r="D25" i="6" s="1"/>
  <c r="Z13" i="18"/>
  <c r="D24" i="6" s="1"/>
  <c r="C7" i="15" l="1" a="1"/>
  <c r="C7" i="15" s="1"/>
  <c r="C6" i="15" a="1"/>
  <c r="C6" i="15" s="1"/>
  <c r="C5" i="15" a="1"/>
  <c r="C5" i="15" s="1"/>
  <c r="C4" i="15" a="1"/>
  <c r="C4" i="15" s="1"/>
  <c r="D20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4" i="15" l="1"/>
  <c r="F6" i="15" s="1"/>
  <c r="K20" i="6" s="1"/>
  <c r="C8" i="4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20" i="6" l="1"/>
  <c r="F5" i="14"/>
  <c r="F4" i="14"/>
  <c r="F3" i="14"/>
  <c r="F2" i="14"/>
  <c r="F9" i="15" l="1"/>
  <c r="F5" i="15"/>
  <c r="J20" i="6" s="1"/>
  <c r="F7" i="15" l="1"/>
  <c r="G18" i="6"/>
  <c r="D18" i="6"/>
  <c r="G16" i="6"/>
  <c r="D16" i="6"/>
  <c r="I4" i="15" l="1"/>
  <c r="N20" i="6" s="1"/>
  <c r="U20" i="6" s="1"/>
  <c r="L20" i="6"/>
  <c r="I6" i="12"/>
  <c r="I6" i="13"/>
  <c r="P20" i="6" l="1"/>
  <c r="M20" i="6"/>
  <c r="O20" i="6" s="1"/>
  <c r="Q20" i="6"/>
  <c r="S20" i="6"/>
  <c r="E10" i="20"/>
  <c r="F6" i="13"/>
  <c r="K16" i="6" s="1"/>
  <c r="F4" i="13"/>
  <c r="F5" i="13" s="1"/>
  <c r="F6" i="12"/>
  <c r="K18" i="6" s="1"/>
  <c r="F4" i="12"/>
  <c r="F5" i="12" s="1"/>
  <c r="J18" i="6" s="1"/>
  <c r="T20" i="6" l="1"/>
  <c r="V20" i="6"/>
  <c r="R20" i="6"/>
  <c r="E11" i="20"/>
  <c r="F7" i="13"/>
  <c r="J16" i="6"/>
  <c r="F7" i="12"/>
  <c r="I4" i="12" l="1"/>
  <c r="N18" i="6" s="1"/>
  <c r="U18" i="6" s="1"/>
  <c r="L18" i="6"/>
  <c r="I4" i="13"/>
  <c r="N16" i="6" s="1"/>
  <c r="U16" i="6" s="1"/>
  <c r="L16" i="6"/>
  <c r="E12" i="20" l="1"/>
  <c r="M16" i="6"/>
  <c r="O16" i="6" s="1"/>
  <c r="E14" i="20"/>
  <c r="M18" i="6"/>
  <c r="O18" i="6" s="1"/>
  <c r="S16" i="6"/>
  <c r="Q16" i="6"/>
  <c r="Q18" i="6"/>
  <c r="S18" i="6"/>
  <c r="P16" i="6"/>
  <c r="P18" i="6"/>
  <c r="E15" i="20" l="1"/>
  <c r="V18" i="6"/>
  <c r="E13" i="20"/>
  <c r="V16" i="6"/>
  <c r="R18" i="6"/>
  <c r="T18" i="6"/>
  <c r="R16" i="6"/>
  <c r="T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4" s="1"/>
  <c r="I4" i="2" l="1"/>
  <c r="N13" i="6" s="1"/>
  <c r="L13" i="6"/>
  <c r="N11" i="6"/>
  <c r="U11" i="6" s="1"/>
  <c r="L11" i="6"/>
  <c r="I4" i="3"/>
  <c r="N10" i="6" s="1"/>
  <c r="U10" i="6" s="1"/>
  <c r="N12" i="6"/>
  <c r="U12" i="6" s="1"/>
  <c r="L12" i="6"/>
  <c r="M13" i="6" l="1"/>
  <c r="O13" i="6" s="1"/>
  <c r="U13" i="6"/>
  <c r="U14" i="6" s="1"/>
  <c r="E6" i="20"/>
  <c r="M12" i="6"/>
  <c r="O12" i="6" s="1"/>
  <c r="E2" i="20"/>
  <c r="M10" i="6"/>
  <c r="O10" i="6" s="1"/>
  <c r="E4" i="20"/>
  <c r="M11" i="6"/>
  <c r="O11" i="6" s="1"/>
  <c r="E8" i="20"/>
  <c r="Q13" i="6"/>
  <c r="P13" i="6"/>
  <c r="S13" i="6"/>
  <c r="L14" i="6"/>
  <c r="Q12" i="6"/>
  <c r="S12" i="6"/>
  <c r="Q10" i="6"/>
  <c r="S10" i="6"/>
  <c r="S11" i="6"/>
  <c r="Q11" i="6"/>
  <c r="P11" i="6"/>
  <c r="P10" i="6"/>
  <c r="P12" i="6"/>
  <c r="N14" i="6"/>
  <c r="E7" i="20" l="1"/>
  <c r="V12" i="6"/>
  <c r="E9" i="20"/>
  <c r="V13" i="6"/>
  <c r="E5" i="20"/>
  <c r="V11" i="6"/>
  <c r="E3" i="20"/>
  <c r="V10" i="6"/>
  <c r="M14" i="6"/>
  <c r="O14" i="6" s="1"/>
  <c r="R13" i="6"/>
  <c r="T13" i="6"/>
  <c r="Q14" i="6"/>
  <c r="S14" i="6"/>
  <c r="R10" i="6"/>
  <c r="T10" i="6"/>
  <c r="R12" i="6"/>
  <c r="T12" i="6"/>
  <c r="T11" i="6"/>
  <c r="R11" i="6"/>
  <c r="P14" i="6"/>
  <c r="V14" i="6" l="1"/>
  <c r="R14" i="6"/>
  <c r="T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7-10-02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09-29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7-10-02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7-10-02' AND AsOfDate &gt;= '2015-03-03' order by TickerName,Source,SeriesType,AsOfDate"/>
  </connection>
  <connection id="5" name="1MonthMtgRatesQuery1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08-30' order by TickerName,Source,SeriesType,AsOfDate"/>
  </connection>
  <connection id="6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7-10-02' AND AsOfDate &gt;= '2015-03-03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7-10-02' AND AsOfDate &gt;= '2015-03-03' order by TickerName,Source,SeriesType,AsOfDate"/>
  </connection>
  <connection id="7" name="1WeekBusDateQuery" type="1" refreshedVersion="4" savePassword="1" saveData="1">
    <dbPr connection="DSN=Cello SQL Server;UID=report;PWD=gm4SJDw4;APP=Microsoft Office 2010;WSID=CELLO-PC4;DATABASE=Cello" command="select dbo.GetNthBusinessDate('2017-10-02',-5)"/>
  </connection>
  <connection id="8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09-25' order by TickerName,Source,SeriesType,AsOfDate"/>
  </connection>
  <connection id="9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10/02/2017' order by AsOfDate"/>
  </connection>
  <connection id="10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10-02' order by TickerName,Source,SeriesType,AsOfDate"/>
  </connection>
</connections>
</file>

<file path=xl/sharedStrings.xml><?xml version="1.0" encoding="utf-8"?>
<sst xmlns="http://schemas.openxmlformats.org/spreadsheetml/2006/main" count="40943" uniqueCount="760">
  <si>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</si>
  <si>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</si>
  <si>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</si>
  <si>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</si>
  <si>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</si>
  <si>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</si>
  <si>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</si>
  <si>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</si>
  <si>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</si>
  <si>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</si>
  <si>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</si>
  <si>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</si>
  <si>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</si>
  <si>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</si>
  <si>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</si>
  <si>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</si>
  <si>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</si>
  <si>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</si>
  <si>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</si>
  <si>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</si>
  <si>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</si>
  <si>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</si>
  <si>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</si>
  <si>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</si>
  <si>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</si>
  <si>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</si>
  <si>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</si>
  <si>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</si>
  <si>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</si>
  <si>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</si>
  <si>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</si>
  <si>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</si>
  <si>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</si>
  <si>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</si>
  <si>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</si>
  <si>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</si>
  <si>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</si>
  <si>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</si>
  <si>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</si>
  <si>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</si>
  <si>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</si>
  <si>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</si>
  <si>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</si>
  <si>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</si>
  <si>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</si>
  <si>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</si>
  <si>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</si>
  <si>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</si>
  <si>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</si>
  <si>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</si>
  <si>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</si>
  <si>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</si>
  <si>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</si>
  <si>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</si>
  <si>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</si>
  <si>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</si>
  <si>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</si>
  <si>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</si>
  <si>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</si>
  <si>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</si>
  <si>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</si>
  <si>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</si>
  <si>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</si>
  <si>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</si>
  <si>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</si>
  <si>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</si>
  <si>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</si>
  <si>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</si>
  <si>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</si>
  <si>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</si>
  <si>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</si>
  <si>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</si>
  <si>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</si>
  <si>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</si>
  <si>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</si>
  <si>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</si>
  <si>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</si>
  <si>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Historical RATES Summary</t>
  </si>
  <si>
    <t>Average of SeriesNumValue</t>
  </si>
  <si>
    <t>30Yr Conforming Conventional</t>
  </si>
  <si>
    <t>30Yr Conforming FHA</t>
  </si>
  <si>
    <t>30Yr Jumbo Non-Conforming</t>
  </si>
  <si>
    <t>1 Month Date</t>
  </si>
  <si>
    <t>Source:</t>
  </si>
  <si>
    <t>Sources: Bank of Amarica; Chase; Quicken; Wells Fargo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</si>
  <si>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</si>
  <si>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</si>
  <si>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</si>
  <si>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</si>
  <si>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</si>
  <si>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</si>
  <si>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</si>
  <si>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Report Folder</t>
  </si>
  <si>
    <t>S:\IT\Production\Daily Reports\Primary Market\tmp\</t>
  </si>
  <si>
    <t>Originator Mortgage Rates (refinance)</t>
  </si>
  <si>
    <t>2015-07-01</t>
  </si>
  <si>
    <t>2015-07-02</t>
  </si>
  <si>
    <t>2015-06-30</t>
  </si>
  <si>
    <t>2015-07-22</t>
  </si>
  <si>
    <t>2015-07-16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</si>
  <si>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</si>
  <si>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</si>
  <si>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</si>
  <si>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</si>
  <si>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</si>
  <si>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</si>
  <si>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</si>
  <si>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</si>
  <si>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2015-07-17</t>
  </si>
  <si>
    <t>2015-07-20</t>
  </si>
  <si>
    <t>2015-07-21</t>
  </si>
  <si>
    <t>1D SS 
Chg</t>
  </si>
  <si>
    <t>1M SS 
Chg</t>
  </si>
  <si>
    <t>1wk SS 
Chg</t>
  </si>
  <si>
    <t>2-Point 
Rate</t>
  </si>
  <si>
    <t>1-Point 
Rate</t>
  </si>
  <si>
    <t>Total 
Points</t>
  </si>
  <si>
    <t>1 Month</t>
  </si>
  <si>
    <t>1M</t>
  </si>
  <si>
    <t>1M Rate 
Chg</t>
  </si>
  <si>
    <t>1wk Rate 
Chg</t>
  </si>
  <si>
    <t>1D Rate Chg 
(bps)</t>
  </si>
  <si>
    <t>2015-07-30</t>
  </si>
  <si>
    <t>2015-07-24</t>
  </si>
  <si>
    <t>2015-07-31</t>
  </si>
  <si>
    <t>2015-07-23</t>
  </si>
  <si>
    <t>2015-07-27</t>
  </si>
  <si>
    <t>2015-07-28</t>
  </si>
  <si>
    <t>2015-07-29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</si>
  <si>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</si>
  <si>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</si>
  <si>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</si>
  <si>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</si>
  <si>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</si>
  <si>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</si>
  <si>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</si>
  <si>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</si>
  <si>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</si>
  <si>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</si>
  <si>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</si>
  <si>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</si>
  <si>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</si>
  <si>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</si>
  <si>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</si>
  <si>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</si>
  <si>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</si>
  <si>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</si>
  <si>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</si>
  <si>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</si>
  <si>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</si>
  <si>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</si>
  <si>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</si>
  <si>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</si>
  <si>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</si>
  <si>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</si>
  <si>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</si>
  <si>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</si>
  <si>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</si>
  <si>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</si>
  <si>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</si>
  <si>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</si>
  <si>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</si>
  <si>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</si>
  <si>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</si>
  <si>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</si>
  <si>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</si>
  <si>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</si>
  <si>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</si>
  <si>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</si>
  <si>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</si>
  <si>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</si>
  <si>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</si>
  <si>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</si>
  <si>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</si>
  <si>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</si>
  <si>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</si>
  <si>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</si>
  <si>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</si>
  <si>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</si>
  <si>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</si>
  <si>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</si>
  <si>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</si>
  <si>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</si>
  <si>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</si>
  <si>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</si>
  <si>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</si>
  <si>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</si>
  <si>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</si>
  <si>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</si>
  <si>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</si>
  <si>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</si>
  <si>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</si>
  <si>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</si>
  <si>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</si>
  <si>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</si>
  <si>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</si>
  <si>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</si>
  <si>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</si>
  <si>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</si>
  <si>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</si>
  <si>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</si>
  <si>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</si>
  <si>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</si>
  <si>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</si>
  <si>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</si>
  <si>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</si>
  <si>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</si>
  <si>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</si>
  <si>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</si>
  <si>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</si>
  <si>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</si>
  <si>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</si>
  <si>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</si>
  <si>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Historic Start Date</t>
  </si>
  <si>
    <t>2015-08-03</t>
  </si>
  <si>
    <t>2015-08-26</t>
  </si>
  <si>
    <t>2015-08-20</t>
  </si>
  <si>
    <t>2015-08-27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</si>
  <si>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</si>
  <si>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</si>
  <si>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</si>
  <si>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</si>
  <si>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</si>
  <si>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</si>
  <si>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</si>
  <si>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</si>
  <si>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</si>
  <si>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</si>
  <si>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</si>
  <si>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</si>
  <si>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2015-08-21</t>
  </si>
  <si>
    <t>2015-08-24</t>
  </si>
  <si>
    <t>2015-08-25</t>
  </si>
  <si>
    <t>2015-12-23</t>
  </si>
  <si>
    <t>2015-12-17</t>
  </si>
  <si>
    <t>2015-11-23</t>
  </si>
  <si>
    <t>2015-12-24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</si>
  <si>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</si>
  <si>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</si>
  <si>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</si>
  <si>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</si>
  <si>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</si>
  <si>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</si>
  <si>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</si>
  <si>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</si>
  <si>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</si>
  <si>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</si>
  <si>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</si>
  <si>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</si>
  <si>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</si>
  <si>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</si>
  <si>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</si>
  <si>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</si>
  <si>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</si>
  <si>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</si>
  <si>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</si>
  <si>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</si>
  <si>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</si>
  <si>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</si>
  <si>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</si>
  <si>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</si>
  <si>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</si>
  <si>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</si>
  <si>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</si>
  <si>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</si>
  <si>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</si>
  <si>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</si>
  <si>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</si>
  <si>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</si>
  <si>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</si>
  <si>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</si>
  <si>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</si>
  <si>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</si>
  <si>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</si>
  <si>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</si>
  <si>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</si>
  <si>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</si>
  <si>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</si>
  <si>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</si>
  <si>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</si>
  <si>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</si>
  <si>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</si>
  <si>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</si>
  <si>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</si>
  <si>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</si>
  <si>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</si>
  <si>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</si>
  <si>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</si>
  <si>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</si>
  <si>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</si>
  <si>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</si>
  <si>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</si>
  <si>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</si>
  <si>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</si>
  <si>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</si>
  <si>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</si>
  <si>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</si>
  <si>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</si>
  <si>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</si>
  <si>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</si>
  <si>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</si>
  <si>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</si>
  <si>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</si>
  <si>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</si>
  <si>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</si>
  <si>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</si>
  <si>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</si>
  <si>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</si>
  <si>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</si>
  <si>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</si>
  <si>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</si>
  <si>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2015-12-18</t>
  </si>
  <si>
    <t>2015-12-21</t>
  </si>
  <si>
    <t>2015-12-22</t>
  </si>
  <si>
    <t>2016-02-01</t>
  </si>
  <si>
    <t>2016-01-26</t>
  </si>
  <si>
    <t>2015-12-30</t>
  </si>
  <si>
    <t>2016-02-02</t>
  </si>
  <si>
    <t>2015-12-28</t>
  </si>
  <si>
    <t>2015-12-29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</si>
  <si>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</si>
  <si>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</si>
  <si>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</si>
  <si>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</si>
  <si>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</si>
  <si>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</si>
  <si>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</si>
  <si>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</si>
  <si>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</si>
  <si>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</si>
  <si>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</si>
  <si>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</si>
  <si>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</si>
  <si>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</si>
  <si>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</si>
  <si>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</si>
  <si>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2016-01-27</t>
  </si>
  <si>
    <t>2016-01-28</t>
  </si>
  <si>
    <t>2016-01-29</t>
  </si>
  <si>
    <t>1-Point Serv. Spd</t>
  </si>
  <si>
    <t>2-Point Serv. Spd</t>
  </si>
  <si>
    <t>2016-02-10</t>
  </si>
  <si>
    <t>2016-02-04</t>
  </si>
  <si>
    <t>2016-02-09</t>
  </si>
  <si>
    <t>2016-02-03</t>
  </si>
  <si>
    <t>2016-02-05</t>
  </si>
  <si>
    <t>2016-02-08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</si>
  <si>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</si>
  <si>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</si>
  <si>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</si>
  <si>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</si>
  <si>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</si>
  <si>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</si>
  <si>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</si>
  <si>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</si>
  <si>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</si>
  <si>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</si>
  <si>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</si>
  <si>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</si>
  <si>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</si>
  <si>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</si>
  <si>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</si>
  <si>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</si>
  <si>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</si>
  <si>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</si>
  <si>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</si>
  <si>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</si>
  <si>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</si>
  <si>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</si>
  <si>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</si>
  <si>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</si>
  <si>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</si>
  <si>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</si>
  <si>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</si>
  <si>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</si>
  <si>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</si>
  <si>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</si>
  <si>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</si>
  <si>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</si>
  <si>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</si>
  <si>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</si>
  <si>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</si>
  <si>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</si>
  <si>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</si>
  <si>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</si>
  <si>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</si>
  <si>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</si>
  <si>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</si>
  <si>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</si>
  <si>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</si>
  <si>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2016-04-19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</si>
  <si>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</si>
  <si>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</si>
  <si>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</si>
  <si>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</si>
  <si>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</si>
  <si>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</si>
  <si>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</si>
  <si>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</si>
  <si>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</si>
  <si>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</si>
  <si>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</si>
  <si>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</si>
  <si>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</si>
  <si>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</si>
  <si>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</si>
  <si>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</si>
  <si>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</si>
  <si>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</si>
  <si>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</si>
  <si>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</si>
  <si>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</si>
  <si>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</si>
  <si>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</si>
  <si>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</si>
  <si>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</si>
  <si>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2016-02-24</t>
  </si>
  <si>
    <t>2016-03-24</t>
  </si>
  <si>
    <t>2016-04-18</t>
  </si>
  <si>
    <t>2016-04-20</t>
  </si>
  <si>
    <t>2016-05-02</t>
  </si>
  <si>
    <t>2016-09-30</t>
  </si>
  <si>
    <t>2016-09-26</t>
  </si>
  <si>
    <t>2016-08-31</t>
  </si>
  <si>
    <t>2017-09-29</t>
  </si>
  <si>
    <t>2017-09-25</t>
  </si>
  <si>
    <t>2017-08-30</t>
  </si>
  <si>
    <t>2017-10-02</t>
  </si>
  <si>
    <t>FN_CMM_30YR_SPREAD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</si>
  <si>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</si>
  <si>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</si>
  <si>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</si>
  <si>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</si>
  <si>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</si>
  <si>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</si>
  <si>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</si>
  <si>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</si>
  <si>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</si>
  <si>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</si>
  <si>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</si>
  <si>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</si>
  <si>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</si>
  <si>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</si>
  <si>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</si>
  <si>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</si>
  <si>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</si>
  <si>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</si>
  <si>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</si>
  <si>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</si>
  <si>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</si>
  <si>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</si>
  <si>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</si>
  <si>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</si>
  <si>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</si>
  <si>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</si>
  <si>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</si>
  <si>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</si>
  <si>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</si>
  <si>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</si>
  <si>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</si>
  <si>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</si>
  <si>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</si>
  <si>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</si>
  <si>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</si>
  <si>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</si>
  <si>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</si>
  <si>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</si>
  <si>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</si>
  <si>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</si>
  <si>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</si>
  <si>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</si>
  <si>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</si>
  <si>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</si>
  <si>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</si>
  <si>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</si>
  <si>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</si>
  <si>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</si>
  <si>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</si>
  <si>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</si>
  <si>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</si>
  <si>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</si>
  <si>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</si>
  <si>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</si>
  <si>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</si>
  <si>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</si>
  <si>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</si>
  <si>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</si>
  <si>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</si>
  <si>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2016-08-29</t>
  </si>
  <si>
    <t>2016-08-30</t>
  </si>
  <si>
    <t>2016-09-01</t>
  </si>
  <si>
    <t>2016-09-07</t>
  </si>
  <si>
    <t>2016-09-08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</si>
  <si>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</si>
  <si>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</si>
  <si>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</si>
  <si>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</si>
  <si>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</si>
  <si>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</si>
  <si>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</si>
  <si>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</si>
  <si>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</si>
  <si>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</si>
  <si>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</si>
  <si>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</si>
  <si>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</si>
  <si>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</si>
  <si>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</si>
  <si>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</si>
  <si>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</si>
  <si>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</si>
  <si>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</si>
  <si>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</si>
  <si>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</si>
  <si>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</si>
  <si>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</si>
  <si>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</si>
  <si>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</si>
  <si>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</si>
  <si>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</si>
  <si>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</si>
  <si>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</si>
  <si>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</si>
  <si>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</si>
  <si>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</si>
  <si>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</si>
  <si>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</si>
  <si>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</si>
  <si>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</si>
  <si>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</si>
  <si>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</si>
  <si>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</si>
  <si>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</si>
  <si>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</si>
  <si>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</si>
  <si>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</si>
  <si>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</si>
  <si>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</si>
  <si>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</si>
  <si>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</si>
  <si>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</si>
  <si>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</si>
  <si>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</si>
  <si>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</si>
  <si>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</si>
  <si>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</si>
  <si>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</si>
  <si>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</si>
  <si>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</si>
  <si>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</si>
  <si>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</si>
  <si>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</si>
  <si>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</si>
  <si>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</si>
  <si>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</si>
  <si>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</si>
  <si>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</si>
  <si>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</si>
  <si>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</si>
  <si>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</si>
  <si>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</si>
  <si>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</si>
  <si>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</si>
  <si>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</si>
  <si>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</si>
  <si>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</si>
  <si>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</si>
  <si>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</si>
  <si>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</si>
  <si>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</si>
  <si>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</si>
  <si>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</si>
  <si>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</si>
  <si>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</si>
  <si>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</si>
  <si>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</si>
  <si>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</si>
  <si>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</si>
  <si>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</si>
  <si>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</si>
  <si>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</si>
  <si>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</si>
  <si>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</si>
  <si>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</si>
  <si>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</si>
  <si>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</si>
  <si>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</si>
  <si>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</si>
  <si>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</si>
  <si>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</si>
  <si>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</si>
  <si>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</si>
  <si>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</si>
  <si>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</si>
  <si>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</si>
  <si>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</si>
  <si>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</si>
  <si>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</si>
  <si>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</si>
  <si>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</si>
  <si>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</si>
  <si>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</si>
  <si>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</si>
  <si>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</si>
  <si>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</si>
  <si>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</si>
  <si>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</si>
  <si>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</si>
  <si>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</si>
  <si>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</si>
  <si>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</si>
  <si>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</si>
  <si>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</si>
  <si>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</si>
  <si>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</si>
  <si>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</si>
  <si>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</si>
  <si>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</si>
  <si>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</si>
  <si>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</si>
  <si>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</si>
  <si>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</si>
  <si>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</si>
  <si>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</si>
  <si>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</si>
  <si>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</si>
  <si>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</si>
  <si>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</si>
  <si>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</si>
  <si>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</si>
  <si>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</si>
  <si>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</si>
  <si>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</si>
  <si>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</si>
  <si>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</si>
  <si>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</si>
  <si>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</si>
  <si>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</si>
  <si>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</si>
  <si>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</si>
  <si>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</si>
  <si>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</si>
  <si>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</si>
  <si>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</si>
  <si>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</si>
  <si>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</si>
  <si>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</si>
  <si>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</si>
  <si>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</si>
  <si>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</si>
  <si>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</si>
  <si>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</si>
  <si>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</si>
  <si>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</si>
  <si>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</si>
  <si>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</si>
  <si>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</si>
  <si>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</si>
  <si>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</si>
  <si>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</si>
  <si>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</si>
  <si>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</si>
  <si>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</si>
  <si>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</si>
  <si>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</si>
  <si>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</si>
  <si>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</si>
  <si>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</si>
  <si>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</si>
  <si>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</si>
  <si>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</si>
  <si>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</si>
  <si>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</si>
  <si>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</si>
  <si>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</si>
  <si>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</si>
  <si>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</si>
  <si>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</si>
  <si>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</si>
  <si>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</si>
  <si>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</si>
  <si>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</si>
  <si>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</si>
  <si>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</si>
  <si>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</si>
  <si>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</si>
  <si>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</si>
  <si>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</si>
  <si>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</si>
  <si>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</si>
  <si>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</si>
  <si>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</si>
  <si>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</si>
  <si>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</si>
  <si>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</si>
  <si>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</si>
  <si>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</si>
  <si>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</si>
  <si>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</si>
  <si>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</si>
  <si>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</si>
  <si>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</si>
  <si>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</si>
  <si>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</si>
  <si>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</si>
  <si>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</si>
  <si>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</si>
  <si>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</si>
  <si>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</si>
  <si>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</si>
  <si>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</si>
  <si>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</si>
  <si>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</si>
  <si>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</si>
  <si>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</si>
  <si>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</si>
  <si>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</si>
  <si>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</si>
  <si>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</si>
  <si>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</si>
  <si>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</si>
  <si>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2017-08-22</t>
  </si>
  <si>
    <t>2017-08-23</t>
  </si>
  <si>
    <t>2017-08-24</t>
  </si>
  <si>
    <t>2017-08-25</t>
  </si>
  <si>
    <t>2017-08-28</t>
  </si>
  <si>
    <t>2017-08-29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</si>
  <si>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</si>
  <si>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</si>
  <si>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</si>
  <si>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</si>
  <si>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</si>
  <si>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</si>
  <si>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</si>
  <si>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</si>
  <si>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</si>
  <si>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</si>
  <si>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</si>
  <si>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</si>
  <si>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</si>
  <si>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</si>
  <si>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</si>
  <si>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</si>
  <si>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2017-09-26</t>
  </si>
  <si>
    <t>2017-09-27</t>
  </si>
  <si>
    <t>2017-09-28</t>
  </si>
  <si>
    <t>2016-07-08</t>
  </si>
  <si>
    <t>2016-08-11</t>
  </si>
  <si>
    <t>2016-08-12</t>
  </si>
  <si>
    <t>2016-08-25</t>
  </si>
  <si>
    <t>2016-08-26</t>
  </si>
  <si>
    <t>2016-09-02</t>
  </si>
  <si>
    <t>2016-09-06</t>
  </si>
  <si>
    <t>2016-09-09</t>
  </si>
  <si>
    <t>2017-02-09</t>
  </si>
  <si>
    <t>2017-05-09</t>
  </si>
  <si>
    <t>2017-05-26</t>
  </si>
  <si>
    <t>2017-07-06</t>
  </si>
  <si>
    <t>2017-07-20</t>
  </si>
  <si>
    <t>2017-08-21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</si>
</sst>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  <numFmt numFmtId="200" formatCode="mm/dd/yy;@"/>
  </numFmts>
  <fonts count="14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3" fillId="6" borderId="0" xfId="366" applyFont="1"/>
    <xf numFmtId="0" fontId="7" fillId="7" borderId="14" xfId="5" applyFont="1" applyBorder="1" applyAlignment="1">
      <alignment horizontal="left"/>
    </xf>
    <xf numFmtId="165" fontId="128" fillId="0" borderId="45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5" fontId="5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4" fillId="0" borderId="0" xfId="1" applyNumberFormat="1" applyFont="1" applyBorder="1" applyAlignment="1">
      <alignment horizontal="center"/>
    </xf>
    <xf numFmtId="165" fontId="14" fillId="0" borderId="50" xfId="1" applyNumberFormat="1" applyFont="1" applyBorder="1" applyAlignment="1">
      <alignment horizontal="center"/>
    </xf>
    <xf numFmtId="165" fontId="129" fillId="0" borderId="41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left" vertical="center" wrapText="1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0" fontId="144" fillId="6" borderId="0" xfId="366" applyFont="1"/>
    <xf numFmtId="14" fontId="6" fillId="6" borderId="0" xfId="366" applyNumberFormat="1"/>
    <xf numFmtId="165" fontId="128" fillId="0" borderId="41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0" fontId="14" fillId="12" borderId="50" xfId="0" applyFont="1" applyFill="1" applyBorder="1" applyAlignment="1">
      <alignment horizontal="center" vertical="center" wrapText="1"/>
    </xf>
    <xf numFmtId="165" fontId="1" fillId="0" borderId="0" xfId="1" applyNumberFormat="1" applyFont="1" applyBorder="1" applyAlignment="1">
      <alignment horizontal="center"/>
    </xf>
    <xf numFmtId="0" fontId="1" fillId="12" borderId="50" xfId="0" applyFont="1" applyFill="1" applyBorder="1" applyAlignment="1">
      <alignment horizontal="center"/>
    </xf>
    <xf numFmtId="165" fontId="1" fillId="0" borderId="50" xfId="1" applyNumberFormat="1" applyFont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0" fontId="128" fillId="52" borderId="9" xfId="0" applyFont="1" applyFill="1" applyBorder="1" applyAlignment="1">
      <alignment horizontal="center"/>
    </xf>
    <xf numFmtId="0" fontId="145" fillId="6" borderId="0" xfId="366" applyFont="1"/>
    <xf numFmtId="200" fontId="0" fillId="0" borderId="0" xfId="0" applyNumberFormat="1" applyAlignment="1">
      <alignment horizontal="left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0" xfId="0" applyFont="1" applyFill="1" applyBorder="1" applyAlignment="1">
      <alignment horizontal="center" vertic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vertic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numFmt numFmtId="200" formatCode="mm/dd/yy;@"/>
    </dxf>
    <dxf>
      <numFmt numFmtId="198" formatCode="m/d;@"/>
    </dxf>
    <dxf>
      <numFmt numFmtId="198" formatCode="m/d;@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63"/>
      <tableStyleElement type="headerRow" dxfId="62"/>
      <tableStyleElement type="firstColumn" dxfId="61"/>
      <tableStyleElement type="firstSubtotalRow" dxfId="60"/>
    </tableStyle>
  </tableStyles>
  <colors>
    <mruColors>
      <color rgb="FF1B7A76"/>
      <color rgb="FFC6642E"/>
      <color rgb="FFAD275C"/>
      <color rgb="FF74B629"/>
      <color rgb="FF2E398A"/>
      <color rgb="FFA4E838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</a:t>
            </a:r>
            <a:r>
              <a:rPr lang="en-US"/>
              <a:t>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6"/>
        <c:spPr>
          <a:ln w="6350">
            <a:solidFill>
              <a:srgbClr val="C00000"/>
            </a:solidFill>
            <a:prstDash val="solid"/>
          </a:ln>
        </c:spPr>
        <c:marker>
          <c:symbol val="none"/>
        </c:marker>
      </c:pivotFmt>
      <c:pivotFmt>
        <c:idx val="17"/>
        <c:spPr>
          <a:ln w="6350">
            <a:solidFill>
              <a:srgbClr val="1B7A76"/>
            </a:solidFill>
            <a:prstDash val="solid"/>
          </a:ln>
        </c:spPr>
        <c:marker>
          <c:symbol val="none"/>
        </c:marker>
      </c:pivotFmt>
      <c:pivotFmt>
        <c:idx val="18"/>
        <c:spPr>
          <a:ln w="6350">
            <a:solidFill>
              <a:srgbClr val="1B7A76"/>
            </a:solidFill>
            <a:prstDash val="solid"/>
          </a:ln>
        </c:spPr>
        <c:marker>
          <c:symbol val="none"/>
        </c:marker>
      </c:pivotFmt>
      <c:pivotFmt>
        <c:idx val="19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'Rates Summary'!$A$80:$A$711</c:f>
              <c:strCache>
                <c:ptCount val="63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  <c:pt idx="231">
                  <c:v>2016-02-03</c:v>
                </c:pt>
                <c:pt idx="232">
                  <c:v>2016-02-04</c:v>
                </c:pt>
                <c:pt idx="233">
                  <c:v>2016-02-05</c:v>
                </c:pt>
                <c:pt idx="234">
                  <c:v>2016-02-08</c:v>
                </c:pt>
                <c:pt idx="235">
                  <c:v>2016-02-09</c:v>
                </c:pt>
                <c:pt idx="236">
                  <c:v>2016-02-10</c:v>
                </c:pt>
                <c:pt idx="237">
                  <c:v>2016-02-11</c:v>
                </c:pt>
                <c:pt idx="238">
                  <c:v>2016-02-12</c:v>
                </c:pt>
                <c:pt idx="239">
                  <c:v>2016-02-16</c:v>
                </c:pt>
                <c:pt idx="240">
                  <c:v>2016-02-17</c:v>
                </c:pt>
                <c:pt idx="241">
                  <c:v>2016-02-18</c:v>
                </c:pt>
                <c:pt idx="242">
                  <c:v>2016-02-19</c:v>
                </c:pt>
                <c:pt idx="243">
                  <c:v>2016-02-22</c:v>
                </c:pt>
                <c:pt idx="244">
                  <c:v>2016-02-23</c:v>
                </c:pt>
                <c:pt idx="245">
                  <c:v>2016-02-25</c:v>
                </c:pt>
                <c:pt idx="246">
                  <c:v>2016-02-26</c:v>
                </c:pt>
                <c:pt idx="247">
                  <c:v>2016-02-29</c:v>
                </c:pt>
                <c:pt idx="248">
                  <c:v>2016-03-01</c:v>
                </c:pt>
                <c:pt idx="249">
                  <c:v>2016-03-02</c:v>
                </c:pt>
                <c:pt idx="250">
                  <c:v>2016-03-03</c:v>
                </c:pt>
                <c:pt idx="251">
                  <c:v>2016-03-04</c:v>
                </c:pt>
                <c:pt idx="252">
                  <c:v>2016-03-07</c:v>
                </c:pt>
                <c:pt idx="253">
                  <c:v>2016-03-08</c:v>
                </c:pt>
                <c:pt idx="254">
                  <c:v>2016-03-09</c:v>
                </c:pt>
                <c:pt idx="255">
                  <c:v>2016-03-10</c:v>
                </c:pt>
                <c:pt idx="256">
                  <c:v>2016-03-11</c:v>
                </c:pt>
                <c:pt idx="257">
                  <c:v>2016-03-14</c:v>
                </c:pt>
                <c:pt idx="258">
                  <c:v>2016-03-15</c:v>
                </c:pt>
                <c:pt idx="259">
                  <c:v>2016-03-16</c:v>
                </c:pt>
                <c:pt idx="260">
                  <c:v>2016-03-17</c:v>
                </c:pt>
                <c:pt idx="261">
                  <c:v>2016-03-18</c:v>
                </c:pt>
                <c:pt idx="262">
                  <c:v>2016-03-21</c:v>
                </c:pt>
                <c:pt idx="263">
                  <c:v>2016-03-22</c:v>
                </c:pt>
                <c:pt idx="264">
                  <c:v>2016-03-23</c:v>
                </c:pt>
                <c:pt idx="265">
                  <c:v>2016-03-28</c:v>
                </c:pt>
                <c:pt idx="266">
                  <c:v>2016-03-29</c:v>
                </c:pt>
                <c:pt idx="267">
                  <c:v>2016-03-30</c:v>
                </c:pt>
                <c:pt idx="268">
                  <c:v>2016-03-31</c:v>
                </c:pt>
                <c:pt idx="269">
                  <c:v>2016-04-01</c:v>
                </c:pt>
                <c:pt idx="270">
                  <c:v>2016-04-04</c:v>
                </c:pt>
                <c:pt idx="271">
                  <c:v>2016-04-05</c:v>
                </c:pt>
                <c:pt idx="272">
                  <c:v>2016-04-06</c:v>
                </c:pt>
                <c:pt idx="273">
                  <c:v>2016-04-07</c:v>
                </c:pt>
                <c:pt idx="274">
                  <c:v>2016-04-08</c:v>
                </c:pt>
                <c:pt idx="275">
                  <c:v>2016-04-11</c:v>
                </c:pt>
                <c:pt idx="276">
                  <c:v>2016-04-12</c:v>
                </c:pt>
                <c:pt idx="277">
                  <c:v>2016-04-13</c:v>
                </c:pt>
                <c:pt idx="278">
                  <c:v>2016-04-14</c:v>
                </c:pt>
                <c:pt idx="279">
                  <c:v>2016-04-15</c:v>
                </c:pt>
                <c:pt idx="280">
                  <c:v>2016-04-18</c:v>
                </c:pt>
                <c:pt idx="281">
                  <c:v>2016-04-19</c:v>
                </c:pt>
                <c:pt idx="282">
                  <c:v>2016-04-20</c:v>
                </c:pt>
                <c:pt idx="283">
                  <c:v>2016-04-21</c:v>
                </c:pt>
                <c:pt idx="284">
                  <c:v>2016-04-22</c:v>
                </c:pt>
                <c:pt idx="285">
                  <c:v>2016-04-25</c:v>
                </c:pt>
                <c:pt idx="286">
                  <c:v>2016-04-26</c:v>
                </c:pt>
                <c:pt idx="287">
                  <c:v>2016-04-27</c:v>
                </c:pt>
                <c:pt idx="288">
                  <c:v>2016-04-28</c:v>
                </c:pt>
                <c:pt idx="289">
                  <c:v>2016-04-29</c:v>
                </c:pt>
                <c:pt idx="290">
                  <c:v>2016-05-03</c:v>
                </c:pt>
                <c:pt idx="291">
                  <c:v>2016-05-04</c:v>
                </c:pt>
                <c:pt idx="292">
                  <c:v>2016-05-05</c:v>
                </c:pt>
                <c:pt idx="293">
                  <c:v>2016-05-06</c:v>
                </c:pt>
                <c:pt idx="294">
                  <c:v>2016-05-09</c:v>
                </c:pt>
                <c:pt idx="295">
                  <c:v>2016-05-10</c:v>
                </c:pt>
                <c:pt idx="296">
                  <c:v>2016-05-11</c:v>
                </c:pt>
                <c:pt idx="297">
                  <c:v>2016-05-12</c:v>
                </c:pt>
                <c:pt idx="298">
                  <c:v>2016-05-13</c:v>
                </c:pt>
                <c:pt idx="299">
                  <c:v>2016-05-16</c:v>
                </c:pt>
                <c:pt idx="300">
                  <c:v>2016-05-17</c:v>
                </c:pt>
                <c:pt idx="301">
                  <c:v>2016-05-18</c:v>
                </c:pt>
                <c:pt idx="302">
                  <c:v>2016-05-19</c:v>
                </c:pt>
                <c:pt idx="303">
                  <c:v>2016-05-20</c:v>
                </c:pt>
                <c:pt idx="304">
                  <c:v>2016-05-23</c:v>
                </c:pt>
                <c:pt idx="305">
                  <c:v>2016-05-24</c:v>
                </c:pt>
                <c:pt idx="306">
                  <c:v>2016-05-25</c:v>
                </c:pt>
                <c:pt idx="307">
                  <c:v>2016-05-26</c:v>
                </c:pt>
                <c:pt idx="308">
                  <c:v>2016-05-27</c:v>
                </c:pt>
                <c:pt idx="309">
                  <c:v>2016-05-31</c:v>
                </c:pt>
                <c:pt idx="310">
                  <c:v>2016-06-01</c:v>
                </c:pt>
                <c:pt idx="311">
                  <c:v>2016-06-02</c:v>
                </c:pt>
                <c:pt idx="312">
                  <c:v>2016-06-03</c:v>
                </c:pt>
                <c:pt idx="313">
                  <c:v>2016-06-06</c:v>
                </c:pt>
                <c:pt idx="314">
                  <c:v>2016-06-07</c:v>
                </c:pt>
                <c:pt idx="315">
                  <c:v>2016-06-08</c:v>
                </c:pt>
                <c:pt idx="316">
                  <c:v>2016-06-09</c:v>
                </c:pt>
                <c:pt idx="317">
                  <c:v>2016-06-10</c:v>
                </c:pt>
                <c:pt idx="318">
                  <c:v>2016-06-13</c:v>
                </c:pt>
                <c:pt idx="319">
                  <c:v>2016-06-14</c:v>
                </c:pt>
                <c:pt idx="320">
                  <c:v>2016-06-15</c:v>
                </c:pt>
                <c:pt idx="321">
                  <c:v>2016-06-16</c:v>
                </c:pt>
                <c:pt idx="322">
                  <c:v>2016-06-17</c:v>
                </c:pt>
                <c:pt idx="323">
                  <c:v>2016-06-20</c:v>
                </c:pt>
                <c:pt idx="324">
                  <c:v>2016-06-21</c:v>
                </c:pt>
                <c:pt idx="325">
                  <c:v>2016-06-22</c:v>
                </c:pt>
                <c:pt idx="326">
                  <c:v>2016-06-23</c:v>
                </c:pt>
                <c:pt idx="327">
                  <c:v>2016-06-24</c:v>
                </c:pt>
                <c:pt idx="328">
                  <c:v>2016-06-27</c:v>
                </c:pt>
                <c:pt idx="329">
                  <c:v>2016-06-28</c:v>
                </c:pt>
                <c:pt idx="330">
                  <c:v>2016-06-29</c:v>
                </c:pt>
                <c:pt idx="331">
                  <c:v>2016-06-30</c:v>
                </c:pt>
                <c:pt idx="332">
                  <c:v>2016-07-01</c:v>
                </c:pt>
                <c:pt idx="333">
                  <c:v>2016-07-05</c:v>
                </c:pt>
                <c:pt idx="334">
                  <c:v>2016-07-06</c:v>
                </c:pt>
                <c:pt idx="335">
                  <c:v>2016-07-07</c:v>
                </c:pt>
                <c:pt idx="336">
                  <c:v>2016-07-11</c:v>
                </c:pt>
                <c:pt idx="337">
                  <c:v>2016-07-12</c:v>
                </c:pt>
                <c:pt idx="338">
                  <c:v>2016-07-13</c:v>
                </c:pt>
                <c:pt idx="339">
                  <c:v>2016-07-14</c:v>
                </c:pt>
                <c:pt idx="340">
                  <c:v>2016-07-15</c:v>
                </c:pt>
                <c:pt idx="341">
                  <c:v>2016-07-18</c:v>
                </c:pt>
                <c:pt idx="342">
                  <c:v>2016-07-19</c:v>
                </c:pt>
                <c:pt idx="343">
                  <c:v>2016-07-20</c:v>
                </c:pt>
                <c:pt idx="344">
                  <c:v>2016-07-21</c:v>
                </c:pt>
                <c:pt idx="345">
                  <c:v>2016-07-22</c:v>
                </c:pt>
                <c:pt idx="346">
                  <c:v>2016-07-25</c:v>
                </c:pt>
                <c:pt idx="347">
                  <c:v>2016-07-26</c:v>
                </c:pt>
                <c:pt idx="348">
                  <c:v>2016-07-27</c:v>
                </c:pt>
                <c:pt idx="349">
                  <c:v>2016-07-28</c:v>
                </c:pt>
                <c:pt idx="350">
                  <c:v>2016-07-29</c:v>
                </c:pt>
                <c:pt idx="351">
                  <c:v>2016-08-01</c:v>
                </c:pt>
                <c:pt idx="352">
                  <c:v>2016-08-02</c:v>
                </c:pt>
                <c:pt idx="353">
                  <c:v>2016-08-03</c:v>
                </c:pt>
                <c:pt idx="354">
                  <c:v>2016-08-04</c:v>
                </c:pt>
                <c:pt idx="355">
                  <c:v>2016-08-05</c:v>
                </c:pt>
                <c:pt idx="356">
                  <c:v>2016-08-08</c:v>
                </c:pt>
                <c:pt idx="357">
                  <c:v>2016-08-09</c:v>
                </c:pt>
                <c:pt idx="358">
                  <c:v>2016-08-10</c:v>
                </c:pt>
                <c:pt idx="359">
                  <c:v>2016-08-15</c:v>
                </c:pt>
                <c:pt idx="360">
                  <c:v>2016-08-16</c:v>
                </c:pt>
                <c:pt idx="361">
                  <c:v>2016-08-17</c:v>
                </c:pt>
                <c:pt idx="362">
                  <c:v>2016-08-18</c:v>
                </c:pt>
                <c:pt idx="363">
                  <c:v>2016-08-19</c:v>
                </c:pt>
                <c:pt idx="364">
                  <c:v>2016-08-22</c:v>
                </c:pt>
                <c:pt idx="365">
                  <c:v>2016-08-23</c:v>
                </c:pt>
                <c:pt idx="366">
                  <c:v>2016-08-24</c:v>
                </c:pt>
                <c:pt idx="367">
                  <c:v>2016-08-29</c:v>
                </c:pt>
                <c:pt idx="368">
                  <c:v>2016-08-30</c:v>
                </c:pt>
                <c:pt idx="369">
                  <c:v>2016-08-31</c:v>
                </c:pt>
                <c:pt idx="370">
                  <c:v>2016-09-01</c:v>
                </c:pt>
                <c:pt idx="371">
                  <c:v>2016-09-07</c:v>
                </c:pt>
                <c:pt idx="372">
                  <c:v>2016-09-08</c:v>
                </c:pt>
                <c:pt idx="373">
                  <c:v>2016-09-12</c:v>
                </c:pt>
                <c:pt idx="374">
                  <c:v>2016-09-13</c:v>
                </c:pt>
                <c:pt idx="375">
                  <c:v>2016-09-14</c:v>
                </c:pt>
                <c:pt idx="376">
                  <c:v>2016-09-15</c:v>
                </c:pt>
                <c:pt idx="377">
                  <c:v>2016-09-16</c:v>
                </c:pt>
                <c:pt idx="378">
                  <c:v>2016-09-19</c:v>
                </c:pt>
                <c:pt idx="379">
                  <c:v>2016-09-20</c:v>
                </c:pt>
                <c:pt idx="380">
                  <c:v>2016-09-21</c:v>
                </c:pt>
                <c:pt idx="381">
                  <c:v>2016-09-22</c:v>
                </c:pt>
                <c:pt idx="382">
                  <c:v>2016-09-23</c:v>
                </c:pt>
                <c:pt idx="383">
                  <c:v>2016-09-26</c:v>
                </c:pt>
                <c:pt idx="384">
                  <c:v>2016-09-27</c:v>
                </c:pt>
                <c:pt idx="385">
                  <c:v>2016-09-28</c:v>
                </c:pt>
                <c:pt idx="386">
                  <c:v>2016-09-29</c:v>
                </c:pt>
                <c:pt idx="387">
                  <c:v>2016-09-30</c:v>
                </c:pt>
                <c:pt idx="388">
                  <c:v>2016-10-03</c:v>
                </c:pt>
                <c:pt idx="389">
                  <c:v>2016-10-04</c:v>
                </c:pt>
                <c:pt idx="390">
                  <c:v>2016-10-05</c:v>
                </c:pt>
                <c:pt idx="391">
                  <c:v>2016-10-06</c:v>
                </c:pt>
                <c:pt idx="392">
                  <c:v>2016-10-07</c:v>
                </c:pt>
                <c:pt idx="393">
                  <c:v>2016-10-11</c:v>
                </c:pt>
                <c:pt idx="394">
                  <c:v>2016-10-12</c:v>
                </c:pt>
                <c:pt idx="395">
                  <c:v>2016-10-13</c:v>
                </c:pt>
                <c:pt idx="396">
                  <c:v>2016-10-14</c:v>
                </c:pt>
                <c:pt idx="397">
                  <c:v>2016-10-17</c:v>
                </c:pt>
                <c:pt idx="398">
                  <c:v>2016-10-18</c:v>
                </c:pt>
                <c:pt idx="399">
                  <c:v>2016-10-19</c:v>
                </c:pt>
                <c:pt idx="400">
                  <c:v>2016-10-20</c:v>
                </c:pt>
                <c:pt idx="401">
                  <c:v>2016-10-21</c:v>
                </c:pt>
                <c:pt idx="402">
                  <c:v>2016-10-24</c:v>
                </c:pt>
                <c:pt idx="403">
                  <c:v>2016-10-25</c:v>
                </c:pt>
                <c:pt idx="404">
                  <c:v>2016-10-26</c:v>
                </c:pt>
                <c:pt idx="405">
                  <c:v>2016-10-27</c:v>
                </c:pt>
                <c:pt idx="406">
                  <c:v>2016-10-28</c:v>
                </c:pt>
                <c:pt idx="407">
                  <c:v>2016-10-31</c:v>
                </c:pt>
                <c:pt idx="408">
                  <c:v>2016-11-01</c:v>
                </c:pt>
                <c:pt idx="409">
                  <c:v>2016-11-02</c:v>
                </c:pt>
                <c:pt idx="410">
                  <c:v>2016-11-03</c:v>
                </c:pt>
                <c:pt idx="411">
                  <c:v>2016-11-04</c:v>
                </c:pt>
                <c:pt idx="412">
                  <c:v>2016-11-07</c:v>
                </c:pt>
                <c:pt idx="413">
                  <c:v>2016-11-08</c:v>
                </c:pt>
                <c:pt idx="414">
                  <c:v>2016-11-09</c:v>
                </c:pt>
                <c:pt idx="415">
                  <c:v>2016-11-10</c:v>
                </c:pt>
                <c:pt idx="416">
                  <c:v>2016-11-14</c:v>
                </c:pt>
                <c:pt idx="417">
                  <c:v>2016-11-15</c:v>
                </c:pt>
                <c:pt idx="418">
                  <c:v>2016-11-16</c:v>
                </c:pt>
                <c:pt idx="419">
                  <c:v>2016-11-17</c:v>
                </c:pt>
                <c:pt idx="420">
                  <c:v>2016-11-18</c:v>
                </c:pt>
                <c:pt idx="421">
                  <c:v>2016-11-21</c:v>
                </c:pt>
                <c:pt idx="422">
                  <c:v>2016-11-22</c:v>
                </c:pt>
                <c:pt idx="423">
                  <c:v>2016-11-23</c:v>
                </c:pt>
                <c:pt idx="424">
                  <c:v>2016-11-25</c:v>
                </c:pt>
                <c:pt idx="425">
                  <c:v>2016-11-28</c:v>
                </c:pt>
                <c:pt idx="426">
                  <c:v>2016-11-29</c:v>
                </c:pt>
                <c:pt idx="427">
                  <c:v>2016-11-30</c:v>
                </c:pt>
                <c:pt idx="428">
                  <c:v>2016-12-01</c:v>
                </c:pt>
                <c:pt idx="429">
                  <c:v>2016-12-02</c:v>
                </c:pt>
                <c:pt idx="430">
                  <c:v>2016-12-05</c:v>
                </c:pt>
                <c:pt idx="431">
                  <c:v>2016-12-06</c:v>
                </c:pt>
                <c:pt idx="432">
                  <c:v>2016-12-07</c:v>
                </c:pt>
                <c:pt idx="433">
                  <c:v>2016-12-08</c:v>
                </c:pt>
                <c:pt idx="434">
                  <c:v>2016-12-09</c:v>
                </c:pt>
                <c:pt idx="435">
                  <c:v>2016-12-12</c:v>
                </c:pt>
                <c:pt idx="436">
                  <c:v>2016-12-13</c:v>
                </c:pt>
                <c:pt idx="437">
                  <c:v>2016-12-14</c:v>
                </c:pt>
                <c:pt idx="438">
                  <c:v>2016-12-15</c:v>
                </c:pt>
                <c:pt idx="439">
                  <c:v>2016-12-16</c:v>
                </c:pt>
                <c:pt idx="440">
                  <c:v>2016-12-19</c:v>
                </c:pt>
                <c:pt idx="441">
                  <c:v>2016-12-20</c:v>
                </c:pt>
                <c:pt idx="442">
                  <c:v>2016-12-21</c:v>
                </c:pt>
                <c:pt idx="443">
                  <c:v>2016-12-22</c:v>
                </c:pt>
                <c:pt idx="444">
                  <c:v>2016-12-23</c:v>
                </c:pt>
                <c:pt idx="445">
                  <c:v>2016-12-27</c:v>
                </c:pt>
                <c:pt idx="446">
                  <c:v>2016-12-28</c:v>
                </c:pt>
                <c:pt idx="447">
                  <c:v>2016-12-29</c:v>
                </c:pt>
                <c:pt idx="448">
                  <c:v>2016-12-30</c:v>
                </c:pt>
                <c:pt idx="449">
                  <c:v>2017-01-03</c:v>
                </c:pt>
                <c:pt idx="450">
                  <c:v>2017-01-04</c:v>
                </c:pt>
                <c:pt idx="451">
                  <c:v>2017-01-05</c:v>
                </c:pt>
                <c:pt idx="452">
                  <c:v>2017-01-06</c:v>
                </c:pt>
                <c:pt idx="453">
                  <c:v>2017-01-09</c:v>
                </c:pt>
                <c:pt idx="454">
                  <c:v>2017-01-10</c:v>
                </c:pt>
                <c:pt idx="455">
                  <c:v>2017-01-11</c:v>
                </c:pt>
                <c:pt idx="456">
                  <c:v>2017-01-12</c:v>
                </c:pt>
                <c:pt idx="457">
                  <c:v>2017-01-13</c:v>
                </c:pt>
                <c:pt idx="458">
                  <c:v>2017-01-17</c:v>
                </c:pt>
                <c:pt idx="459">
                  <c:v>2017-01-18</c:v>
                </c:pt>
                <c:pt idx="460">
                  <c:v>2017-01-19</c:v>
                </c:pt>
                <c:pt idx="461">
                  <c:v>2017-01-20</c:v>
                </c:pt>
                <c:pt idx="462">
                  <c:v>2017-01-23</c:v>
                </c:pt>
                <c:pt idx="463">
                  <c:v>2017-01-24</c:v>
                </c:pt>
                <c:pt idx="464">
                  <c:v>2017-01-25</c:v>
                </c:pt>
                <c:pt idx="465">
                  <c:v>2017-01-26</c:v>
                </c:pt>
                <c:pt idx="466">
                  <c:v>2017-01-27</c:v>
                </c:pt>
                <c:pt idx="467">
                  <c:v>2017-01-30</c:v>
                </c:pt>
                <c:pt idx="468">
                  <c:v>2017-01-31</c:v>
                </c:pt>
                <c:pt idx="469">
                  <c:v>2017-02-01</c:v>
                </c:pt>
                <c:pt idx="470">
                  <c:v>2017-02-02</c:v>
                </c:pt>
                <c:pt idx="471">
                  <c:v>2017-02-03</c:v>
                </c:pt>
                <c:pt idx="472">
                  <c:v>2017-02-06</c:v>
                </c:pt>
                <c:pt idx="473">
                  <c:v>2017-02-07</c:v>
                </c:pt>
                <c:pt idx="474">
                  <c:v>2017-02-08</c:v>
                </c:pt>
                <c:pt idx="475">
                  <c:v>2017-02-10</c:v>
                </c:pt>
                <c:pt idx="476">
                  <c:v>2017-02-13</c:v>
                </c:pt>
                <c:pt idx="477">
                  <c:v>2017-02-14</c:v>
                </c:pt>
                <c:pt idx="478">
                  <c:v>2017-02-15</c:v>
                </c:pt>
                <c:pt idx="479">
                  <c:v>2017-02-16</c:v>
                </c:pt>
                <c:pt idx="480">
                  <c:v>2017-02-17</c:v>
                </c:pt>
                <c:pt idx="481">
                  <c:v>2017-02-21</c:v>
                </c:pt>
                <c:pt idx="482">
                  <c:v>2017-02-22</c:v>
                </c:pt>
                <c:pt idx="483">
                  <c:v>2017-02-23</c:v>
                </c:pt>
                <c:pt idx="484">
                  <c:v>2017-02-24</c:v>
                </c:pt>
                <c:pt idx="485">
                  <c:v>2017-02-27</c:v>
                </c:pt>
                <c:pt idx="486">
                  <c:v>2017-02-28</c:v>
                </c:pt>
                <c:pt idx="487">
                  <c:v>2017-03-01</c:v>
                </c:pt>
                <c:pt idx="488">
                  <c:v>2017-03-02</c:v>
                </c:pt>
                <c:pt idx="489">
                  <c:v>2017-03-03</c:v>
                </c:pt>
                <c:pt idx="490">
                  <c:v>2017-03-06</c:v>
                </c:pt>
                <c:pt idx="491">
                  <c:v>2017-03-07</c:v>
                </c:pt>
                <c:pt idx="492">
                  <c:v>2017-03-08</c:v>
                </c:pt>
                <c:pt idx="493">
                  <c:v>2017-03-09</c:v>
                </c:pt>
                <c:pt idx="494">
                  <c:v>2017-03-10</c:v>
                </c:pt>
                <c:pt idx="495">
                  <c:v>2017-03-13</c:v>
                </c:pt>
                <c:pt idx="496">
                  <c:v>2017-03-14</c:v>
                </c:pt>
                <c:pt idx="497">
                  <c:v>2017-03-15</c:v>
                </c:pt>
                <c:pt idx="498">
                  <c:v>2017-03-16</c:v>
                </c:pt>
                <c:pt idx="499">
                  <c:v>2017-03-17</c:v>
                </c:pt>
                <c:pt idx="500">
                  <c:v>2017-03-20</c:v>
                </c:pt>
                <c:pt idx="501">
                  <c:v>2017-03-21</c:v>
                </c:pt>
                <c:pt idx="502">
                  <c:v>2017-03-22</c:v>
                </c:pt>
                <c:pt idx="503">
                  <c:v>2017-03-23</c:v>
                </c:pt>
                <c:pt idx="504">
                  <c:v>2017-03-24</c:v>
                </c:pt>
                <c:pt idx="505">
                  <c:v>2017-03-27</c:v>
                </c:pt>
                <c:pt idx="506">
                  <c:v>2017-03-28</c:v>
                </c:pt>
                <c:pt idx="507">
                  <c:v>2017-03-29</c:v>
                </c:pt>
                <c:pt idx="508">
                  <c:v>2017-03-30</c:v>
                </c:pt>
                <c:pt idx="509">
                  <c:v>2017-03-31</c:v>
                </c:pt>
                <c:pt idx="510">
                  <c:v>2017-04-03</c:v>
                </c:pt>
                <c:pt idx="511">
                  <c:v>2017-04-04</c:v>
                </c:pt>
                <c:pt idx="512">
                  <c:v>2017-04-05</c:v>
                </c:pt>
                <c:pt idx="513">
                  <c:v>2017-04-06</c:v>
                </c:pt>
                <c:pt idx="514">
                  <c:v>2017-04-07</c:v>
                </c:pt>
                <c:pt idx="515">
                  <c:v>2017-04-10</c:v>
                </c:pt>
                <c:pt idx="516">
                  <c:v>2017-04-11</c:v>
                </c:pt>
                <c:pt idx="517">
                  <c:v>2017-04-12</c:v>
                </c:pt>
                <c:pt idx="518">
                  <c:v>2017-04-13</c:v>
                </c:pt>
                <c:pt idx="519">
                  <c:v>2017-04-17</c:v>
                </c:pt>
                <c:pt idx="520">
                  <c:v>2017-04-18</c:v>
                </c:pt>
                <c:pt idx="521">
                  <c:v>2017-04-19</c:v>
                </c:pt>
                <c:pt idx="522">
                  <c:v>2017-04-20</c:v>
                </c:pt>
                <c:pt idx="523">
                  <c:v>2017-04-21</c:v>
                </c:pt>
                <c:pt idx="524">
                  <c:v>2017-04-24</c:v>
                </c:pt>
                <c:pt idx="525">
                  <c:v>2017-04-25</c:v>
                </c:pt>
                <c:pt idx="526">
                  <c:v>2017-04-26</c:v>
                </c:pt>
                <c:pt idx="527">
                  <c:v>2017-04-27</c:v>
                </c:pt>
                <c:pt idx="528">
                  <c:v>2017-04-28</c:v>
                </c:pt>
                <c:pt idx="529">
                  <c:v>2017-05-01</c:v>
                </c:pt>
                <c:pt idx="530">
                  <c:v>2017-05-02</c:v>
                </c:pt>
                <c:pt idx="531">
                  <c:v>2017-05-03</c:v>
                </c:pt>
                <c:pt idx="532">
                  <c:v>2017-05-04</c:v>
                </c:pt>
                <c:pt idx="533">
                  <c:v>2017-05-05</c:v>
                </c:pt>
                <c:pt idx="534">
                  <c:v>2017-05-08</c:v>
                </c:pt>
                <c:pt idx="535">
                  <c:v>2017-05-10</c:v>
                </c:pt>
                <c:pt idx="536">
                  <c:v>2017-05-11</c:v>
                </c:pt>
                <c:pt idx="537">
                  <c:v>2017-05-12</c:v>
                </c:pt>
                <c:pt idx="538">
                  <c:v>2017-05-15</c:v>
                </c:pt>
                <c:pt idx="539">
                  <c:v>2017-05-16</c:v>
                </c:pt>
                <c:pt idx="540">
                  <c:v>2017-05-17</c:v>
                </c:pt>
                <c:pt idx="541">
                  <c:v>2017-05-18</c:v>
                </c:pt>
                <c:pt idx="542">
                  <c:v>2017-05-19</c:v>
                </c:pt>
                <c:pt idx="543">
                  <c:v>2017-05-22</c:v>
                </c:pt>
                <c:pt idx="544">
                  <c:v>2017-05-23</c:v>
                </c:pt>
                <c:pt idx="545">
                  <c:v>2017-05-24</c:v>
                </c:pt>
                <c:pt idx="546">
                  <c:v>2017-05-25</c:v>
                </c:pt>
                <c:pt idx="547">
                  <c:v>2017-05-30</c:v>
                </c:pt>
                <c:pt idx="548">
                  <c:v>2017-05-31</c:v>
                </c:pt>
                <c:pt idx="549">
                  <c:v>2017-06-01</c:v>
                </c:pt>
                <c:pt idx="550">
                  <c:v>2017-06-02</c:v>
                </c:pt>
                <c:pt idx="551">
                  <c:v>2017-06-05</c:v>
                </c:pt>
                <c:pt idx="552">
                  <c:v>2017-06-06</c:v>
                </c:pt>
                <c:pt idx="553">
                  <c:v>2017-06-07</c:v>
                </c:pt>
                <c:pt idx="554">
                  <c:v>2017-06-08</c:v>
                </c:pt>
                <c:pt idx="555">
                  <c:v>2017-06-09</c:v>
                </c:pt>
                <c:pt idx="556">
                  <c:v>2017-06-12</c:v>
                </c:pt>
                <c:pt idx="557">
                  <c:v>2017-06-13</c:v>
                </c:pt>
                <c:pt idx="558">
                  <c:v>2017-06-14</c:v>
                </c:pt>
                <c:pt idx="559">
                  <c:v>2017-06-15</c:v>
                </c:pt>
                <c:pt idx="560">
                  <c:v>2017-06-16</c:v>
                </c:pt>
                <c:pt idx="561">
                  <c:v>2017-06-19</c:v>
                </c:pt>
                <c:pt idx="562">
                  <c:v>2017-06-20</c:v>
                </c:pt>
                <c:pt idx="563">
                  <c:v>2017-06-21</c:v>
                </c:pt>
                <c:pt idx="564">
                  <c:v>2017-06-22</c:v>
                </c:pt>
                <c:pt idx="565">
                  <c:v>2017-06-23</c:v>
                </c:pt>
                <c:pt idx="566">
                  <c:v>2017-06-26</c:v>
                </c:pt>
                <c:pt idx="567">
                  <c:v>2017-06-27</c:v>
                </c:pt>
                <c:pt idx="568">
                  <c:v>2017-06-28</c:v>
                </c:pt>
                <c:pt idx="569">
                  <c:v>2017-06-29</c:v>
                </c:pt>
                <c:pt idx="570">
                  <c:v>2017-06-30</c:v>
                </c:pt>
                <c:pt idx="571">
                  <c:v>2017-07-03</c:v>
                </c:pt>
                <c:pt idx="572">
                  <c:v>2017-07-05</c:v>
                </c:pt>
                <c:pt idx="573">
                  <c:v>2017-07-07</c:v>
                </c:pt>
                <c:pt idx="574">
                  <c:v>2017-07-10</c:v>
                </c:pt>
                <c:pt idx="575">
                  <c:v>2017-07-11</c:v>
                </c:pt>
                <c:pt idx="576">
                  <c:v>2017-07-12</c:v>
                </c:pt>
                <c:pt idx="577">
                  <c:v>2017-07-13</c:v>
                </c:pt>
                <c:pt idx="578">
                  <c:v>2017-07-14</c:v>
                </c:pt>
                <c:pt idx="579">
                  <c:v>2017-07-17</c:v>
                </c:pt>
                <c:pt idx="580">
                  <c:v>2017-07-18</c:v>
                </c:pt>
                <c:pt idx="581">
                  <c:v>2017-07-19</c:v>
                </c:pt>
                <c:pt idx="582">
                  <c:v>2017-07-21</c:v>
                </c:pt>
                <c:pt idx="583">
                  <c:v>2017-07-24</c:v>
                </c:pt>
                <c:pt idx="584">
                  <c:v>2017-07-25</c:v>
                </c:pt>
                <c:pt idx="585">
                  <c:v>2017-07-26</c:v>
                </c:pt>
                <c:pt idx="586">
                  <c:v>2017-07-27</c:v>
                </c:pt>
                <c:pt idx="587">
                  <c:v>2017-07-28</c:v>
                </c:pt>
                <c:pt idx="588">
                  <c:v>2017-07-31</c:v>
                </c:pt>
                <c:pt idx="589">
                  <c:v>2017-08-01</c:v>
                </c:pt>
                <c:pt idx="590">
                  <c:v>2017-08-02</c:v>
                </c:pt>
                <c:pt idx="591">
                  <c:v>2017-08-03</c:v>
                </c:pt>
                <c:pt idx="592">
                  <c:v>2017-08-04</c:v>
                </c:pt>
                <c:pt idx="593">
                  <c:v>2017-08-07</c:v>
                </c:pt>
                <c:pt idx="594">
                  <c:v>2017-08-08</c:v>
                </c:pt>
                <c:pt idx="595">
                  <c:v>2017-08-09</c:v>
                </c:pt>
                <c:pt idx="596">
                  <c:v>2017-08-10</c:v>
                </c:pt>
                <c:pt idx="597">
                  <c:v>2017-08-11</c:v>
                </c:pt>
                <c:pt idx="598">
                  <c:v>2017-08-14</c:v>
                </c:pt>
                <c:pt idx="599">
                  <c:v>2017-08-15</c:v>
                </c:pt>
                <c:pt idx="600">
                  <c:v>2017-08-16</c:v>
                </c:pt>
                <c:pt idx="601">
                  <c:v>2017-08-17</c:v>
                </c:pt>
                <c:pt idx="602">
                  <c:v>2017-08-18</c:v>
                </c:pt>
                <c:pt idx="603">
                  <c:v>2017-08-22</c:v>
                </c:pt>
                <c:pt idx="604">
                  <c:v>2017-08-23</c:v>
                </c:pt>
                <c:pt idx="605">
                  <c:v>2017-08-24</c:v>
                </c:pt>
                <c:pt idx="606">
                  <c:v>2017-08-25</c:v>
                </c:pt>
                <c:pt idx="607">
                  <c:v>2017-08-28</c:v>
                </c:pt>
                <c:pt idx="608">
                  <c:v>2017-08-29</c:v>
                </c:pt>
                <c:pt idx="609">
                  <c:v>2017-08-30</c:v>
                </c:pt>
                <c:pt idx="610">
                  <c:v>2017-08-31</c:v>
                </c:pt>
                <c:pt idx="611">
                  <c:v>2017-09-01</c:v>
                </c:pt>
                <c:pt idx="612">
                  <c:v>2017-09-05</c:v>
                </c:pt>
                <c:pt idx="613">
                  <c:v>2017-09-06</c:v>
                </c:pt>
                <c:pt idx="614">
                  <c:v>2017-09-07</c:v>
                </c:pt>
                <c:pt idx="615">
                  <c:v>2017-09-08</c:v>
                </c:pt>
                <c:pt idx="616">
                  <c:v>2017-09-11</c:v>
                </c:pt>
                <c:pt idx="617">
                  <c:v>2017-09-12</c:v>
                </c:pt>
                <c:pt idx="618">
                  <c:v>2017-09-13</c:v>
                </c:pt>
                <c:pt idx="619">
                  <c:v>2017-09-14</c:v>
                </c:pt>
                <c:pt idx="620">
                  <c:v>2017-09-15</c:v>
                </c:pt>
                <c:pt idx="621">
                  <c:v>2017-09-18</c:v>
                </c:pt>
                <c:pt idx="622">
                  <c:v>2017-09-19</c:v>
                </c:pt>
                <c:pt idx="623">
                  <c:v>2017-09-20</c:v>
                </c:pt>
                <c:pt idx="624">
                  <c:v>2017-09-21</c:v>
                </c:pt>
                <c:pt idx="625">
                  <c:v>2017-09-22</c:v>
                </c:pt>
                <c:pt idx="626">
                  <c:v>2017-09-25</c:v>
                </c:pt>
                <c:pt idx="627">
                  <c:v>2017-09-26</c:v>
                </c:pt>
                <c:pt idx="628">
                  <c:v>2017-09-27</c:v>
                </c:pt>
                <c:pt idx="629">
                  <c:v>2017-09-28</c:v>
                </c:pt>
                <c:pt idx="630">
                  <c:v>2017-09-29</c:v>
                </c:pt>
                <c:pt idx="631">
                  <c:v>2017-10-02</c:v>
                </c:pt>
              </c:strCache>
            </c:strRef>
          </c:cat>
          <c:val>
            <c:numRef>
              <c:f>'Rates Summary'!$B$80:$B$711</c:f>
              <c:numCache>
                <c:formatCode>General</c:formatCode>
                <c:ptCount val="632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  <c:pt idx="9">
                  <c:v>4.1349192739455276</c:v>
                </c:pt>
                <c:pt idx="10">
                  <c:v>4.1195438104816251</c:v>
                </c:pt>
                <c:pt idx="11">
                  <c:v>4.0625796613669598</c:v>
                </c:pt>
                <c:pt idx="12">
                  <c:v>4.0272197213430534</c:v>
                </c:pt>
                <c:pt idx="13">
                  <c:v>4.0522074267600177</c:v>
                </c:pt>
                <c:pt idx="14">
                  <c:v>4.0183878599642231</c:v>
                </c:pt>
                <c:pt idx="15">
                  <c:v>3.9852298964584785</c:v>
                </c:pt>
                <c:pt idx="16">
                  <c:v>4.0086704188015165</c:v>
                </c:pt>
                <c:pt idx="17">
                  <c:v>4.133340061547397</c:v>
                </c:pt>
                <c:pt idx="18">
                  <c:v>4.1023271797597225</c:v>
                </c:pt>
                <c:pt idx="19">
                  <c:v>4.0736179989078529</c:v>
                </c:pt>
                <c:pt idx="20">
                  <c:v>4.0714417710088808</c:v>
                </c:pt>
                <c:pt idx="21">
                  <c:v>4.0407390738732358</c:v>
                </c:pt>
                <c:pt idx="22">
                  <c:v>4.0497476246961881</c:v>
                </c:pt>
                <c:pt idx="23">
                  <c:v>4.0184302716039797</c:v>
                </c:pt>
                <c:pt idx="24">
                  <c:v>4.0686879947021506</c:v>
                </c:pt>
                <c:pt idx="25">
                  <c:v>4.0832773999934098</c:v>
                </c:pt>
                <c:pt idx="26">
                  <c:v>4.0487453173162224</c:v>
                </c:pt>
                <c:pt idx="27">
                  <c:v>4.081627655506578</c:v>
                </c:pt>
                <c:pt idx="28">
                  <c:v>4.0659316584268881</c:v>
                </c:pt>
                <c:pt idx="29">
                  <c:v>4.0555237007239207</c:v>
                </c:pt>
                <c:pt idx="30">
                  <c:v>4.0368826735599121</c:v>
                </c:pt>
                <c:pt idx="31">
                  <c:v>4.0612395217521149</c:v>
                </c:pt>
                <c:pt idx="32">
                  <c:v>4.0575599907953466</c:v>
                </c:pt>
                <c:pt idx="33">
                  <c:v>4.0225179325894045</c:v>
                </c:pt>
                <c:pt idx="34">
                  <c:v>4.047073769815273</c:v>
                </c:pt>
                <c:pt idx="35">
                  <c:v>4.0415040358882131</c:v>
                </c:pt>
                <c:pt idx="36">
                  <c:v>4.0709250025615749</c:v>
                </c:pt>
                <c:pt idx="37">
                  <c:v>4.0590200464742132</c:v>
                </c:pt>
                <c:pt idx="38">
                  <c:v>4.0582853232102964</c:v>
                </c:pt>
                <c:pt idx="39">
                  <c:v>4.0433720320738056</c:v>
                </c:pt>
                <c:pt idx="40">
                  <c:v>4.095665958992865</c:v>
                </c:pt>
                <c:pt idx="41">
                  <c:v>4.1518717849292841</c:v>
                </c:pt>
                <c:pt idx="42">
                  <c:v>4.1403416826452109</c:v>
                </c:pt>
                <c:pt idx="43">
                  <c:v>4.1440136116171136</c:v>
                </c:pt>
                <c:pt idx="44">
                  <c:v>4.1799628612746957</c:v>
                </c:pt>
                <c:pt idx="45">
                  <c:v>4.2347543125726199</c:v>
                </c:pt>
                <c:pt idx="46">
                  <c:v>4.2681737145446403</c:v>
                </c:pt>
                <c:pt idx="47">
                  <c:v>4.2810922266017739</c:v>
                </c:pt>
                <c:pt idx="48">
                  <c:v>4.1649795879680038</c:v>
                </c:pt>
                <c:pt idx="49">
                  <c:v>4.2379897525498276</c:v>
                </c:pt>
                <c:pt idx="50">
                  <c:v>4.2264521189694744</c:v>
                </c:pt>
                <c:pt idx="51">
                  <c:v>4.2344098452321184</c:v>
                </c:pt>
                <c:pt idx="52">
                  <c:v>4.2346857860149951</c:v>
                </c:pt>
                <c:pt idx="53">
                  <c:v>4.2323574962017467</c:v>
                </c:pt>
                <c:pt idx="54">
                  <c:v>4.2147472340123695</c:v>
                </c:pt>
                <c:pt idx="55">
                  <c:v>4.3068583158312457</c:v>
                </c:pt>
                <c:pt idx="56">
                  <c:v>4.295933915293987</c:v>
                </c:pt>
                <c:pt idx="57">
                  <c:v>4.2663749732293477</c:v>
                </c:pt>
                <c:pt idx="58">
                  <c:v>4.294547379243582</c:v>
                </c:pt>
                <c:pt idx="59">
                  <c:v>4.2920571022905696</c:v>
                </c:pt>
                <c:pt idx="60">
                  <c:v>4.2379068843211822</c:v>
                </c:pt>
                <c:pt idx="61">
                  <c:v>4.2233209218479928</c:v>
                </c:pt>
                <c:pt idx="62">
                  <c:v>4.172073309877991</c:v>
                </c:pt>
                <c:pt idx="63">
                  <c:v>4.2772299202203019</c:v>
                </c:pt>
                <c:pt idx="64">
                  <c:v>4.2772299202203019</c:v>
                </c:pt>
                <c:pt idx="65">
                  <c:v>4.3923720218044648</c:v>
                </c:pt>
                <c:pt idx="66">
                  <c:v>4.4021158998488241</c:v>
                </c:pt>
                <c:pt idx="67">
                  <c:v>4.4471212470221824</c:v>
                </c:pt>
                <c:pt idx="68">
                  <c:v>4.4217882161894426</c:v>
                </c:pt>
                <c:pt idx="69">
                  <c:v>4.4633281546176118</c:v>
                </c:pt>
                <c:pt idx="70">
                  <c:v>4.5405932501440986</c:v>
                </c:pt>
                <c:pt idx="71">
                  <c:v>4.4488627715372981</c:v>
                </c:pt>
                <c:pt idx="72">
                  <c:v>4.4439837591100426</c:v>
                </c:pt>
                <c:pt idx="73">
                  <c:v>4.4098494468306768</c:v>
                </c:pt>
                <c:pt idx="74">
                  <c:v>4.4083993376568298</c:v>
                </c:pt>
                <c:pt idx="75">
                  <c:v>4.4105641199278889</c:v>
                </c:pt>
                <c:pt idx="76">
                  <c:v>4.4094136727874513</c:v>
                </c:pt>
                <c:pt idx="77">
                  <c:v>4.3215201199074498</c:v>
                </c:pt>
                <c:pt idx="78">
                  <c:v>4.4009763614890982</c:v>
                </c:pt>
                <c:pt idx="79">
                  <c:v>4.4392183160681951</c:v>
                </c:pt>
                <c:pt idx="80">
                  <c:v>4.4453796157833887</c:v>
                </c:pt>
                <c:pt idx="81">
                  <c:v>4.4482669586560188</c:v>
                </c:pt>
                <c:pt idx="82">
                  <c:v>4.4711318074263238</c:v>
                </c:pt>
                <c:pt idx="83">
                  <c:v>4.4665872716104538</c:v>
                </c:pt>
                <c:pt idx="84">
                  <c:v>4.4146762877484873</c:v>
                </c:pt>
                <c:pt idx="85">
                  <c:v>4.5207040024477276</c:v>
                </c:pt>
                <c:pt idx="86">
                  <c:v>4.464829651284651</c:v>
                </c:pt>
                <c:pt idx="87">
                  <c:v>4.4440509154403669</c:v>
                </c:pt>
                <c:pt idx="88">
                  <c:v>4.3983780593055251</c:v>
                </c:pt>
                <c:pt idx="89">
                  <c:v>4.425564979941222</c:v>
                </c:pt>
                <c:pt idx="90">
                  <c:v>4.4311762126347389</c:v>
                </c:pt>
                <c:pt idx="91">
                  <c:v>4.5092366228623613</c:v>
                </c:pt>
                <c:pt idx="92">
                  <c:v>4.4900516049545001</c:v>
                </c:pt>
                <c:pt idx="93">
                  <c:v>4.4632421539572196</c:v>
                </c:pt>
                <c:pt idx="94">
                  <c:v>4.4514544365653475</c:v>
                </c:pt>
                <c:pt idx="95">
                  <c:v>4.4290275255907448</c:v>
                </c:pt>
                <c:pt idx="96">
                  <c:v>4.3810187767133026</c:v>
                </c:pt>
                <c:pt idx="97">
                  <c:v>4.4078248196462049</c:v>
                </c:pt>
                <c:pt idx="98">
                  <c:v>4.4364625323187852</c:v>
                </c:pt>
                <c:pt idx="99">
                  <c:v>4.426843113943276</c:v>
                </c:pt>
                <c:pt idx="100">
                  <c:v>4.4426873504270654</c:v>
                </c:pt>
                <c:pt idx="101">
                  <c:v>4.3703983083468625</c:v>
                </c:pt>
                <c:pt idx="102">
                  <c:v>4.3673853128344291</c:v>
                </c:pt>
                <c:pt idx="103">
                  <c:v>4.3769220970021951</c:v>
                </c:pt>
                <c:pt idx="104">
                  <c:v>4.3942897588062166</c:v>
                </c:pt>
                <c:pt idx="105">
                  <c:v>4.4087078229261731</c:v>
                </c:pt>
                <c:pt idx="106">
                  <c:v>4.2901196607965808</c:v>
                </c:pt>
                <c:pt idx="107">
                  <c:v>4.2743799866887233</c:v>
                </c:pt>
                <c:pt idx="108">
                  <c:v>4.3009666321134858</c:v>
                </c:pt>
                <c:pt idx="109">
                  <c:v>4.398638713788694</c:v>
                </c:pt>
                <c:pt idx="110">
                  <c:v>4.3781885102162965</c:v>
                </c:pt>
                <c:pt idx="111">
                  <c:v>4.3054132350660215</c:v>
                </c:pt>
                <c:pt idx="112">
                  <c:v>4.328119640526455</c:v>
                </c:pt>
                <c:pt idx="113">
                  <c:v>4.256251670682226</c:v>
                </c:pt>
                <c:pt idx="114">
                  <c:v>4.2798698058308915</c:v>
                </c:pt>
                <c:pt idx="115">
                  <c:v>4.2615155143787584</c:v>
                </c:pt>
                <c:pt idx="116">
                  <c:v>4.3093959807899367</c:v>
                </c:pt>
                <c:pt idx="117">
                  <c:v>4.2927085290160356</c:v>
                </c:pt>
                <c:pt idx="118">
                  <c:v>4.3383116630778407</c:v>
                </c:pt>
                <c:pt idx="119">
                  <c:v>4.2741047638281264</c:v>
                </c:pt>
                <c:pt idx="120">
                  <c:v>4.2783479721846032</c:v>
                </c:pt>
                <c:pt idx="121">
                  <c:v>4.2585314708060427</c:v>
                </c:pt>
                <c:pt idx="122">
                  <c:v>4.1362210691810724</c:v>
                </c:pt>
                <c:pt idx="123">
                  <c:v>4.2843012936801426</c:v>
                </c:pt>
                <c:pt idx="124">
                  <c:v>4.2820818935349738</c:v>
                </c:pt>
                <c:pt idx="125">
                  <c:v>4.2801658704684504</c:v>
                </c:pt>
                <c:pt idx="126">
                  <c:v>4.2489956925125085</c:v>
                </c:pt>
                <c:pt idx="127">
                  <c:v>4.2743108149537381</c:v>
                </c:pt>
                <c:pt idx="128">
                  <c:v>4.2759151287191974</c:v>
                </c:pt>
                <c:pt idx="129">
                  <c:v>4.2693599909218944</c:v>
                </c:pt>
                <c:pt idx="130">
                  <c:v>4.2597906227196534</c:v>
                </c:pt>
                <c:pt idx="131">
                  <c:v>4.2247089731681386</c:v>
                </c:pt>
                <c:pt idx="132">
                  <c:v>4.2607544043214585</c:v>
                </c:pt>
                <c:pt idx="133">
                  <c:v>4.2828998142079913</c:v>
                </c:pt>
                <c:pt idx="134">
                  <c:v>4.2467122577530523</c:v>
                </c:pt>
                <c:pt idx="135">
                  <c:v>4.2248646767380205</c:v>
                </c:pt>
                <c:pt idx="136">
                  <c:v>4.2286816979480868</c:v>
                </c:pt>
                <c:pt idx="137">
                  <c:v>4.2753252212751045</c:v>
                </c:pt>
                <c:pt idx="138">
                  <c:v>4.3079955529072969</c:v>
                </c:pt>
                <c:pt idx="139">
                  <c:v>4.2555514882447678</c:v>
                </c:pt>
                <c:pt idx="140">
                  <c:v>4.1796506024391906</c:v>
                </c:pt>
                <c:pt idx="141">
                  <c:v>4.1859939582552013</c:v>
                </c:pt>
                <c:pt idx="142">
                  <c:v>4.1998208363295628</c:v>
                </c:pt>
                <c:pt idx="143">
                  <c:v>4.1822142987835784</c:v>
                </c:pt>
                <c:pt idx="144">
                  <c:v>4.1812861602079927</c:v>
                </c:pt>
                <c:pt idx="145">
                  <c:v>4.2380105386356348</c:v>
                </c:pt>
                <c:pt idx="146">
                  <c:v>4.2563048986174703</c:v>
                </c:pt>
                <c:pt idx="147">
                  <c:v>4.1820212108377133</c:v>
                </c:pt>
                <c:pt idx="148">
                  <c:v>4.1625060290770577</c:v>
                </c:pt>
                <c:pt idx="149">
                  <c:v>4.1392619751477389</c:v>
                </c:pt>
                <c:pt idx="150">
                  <c:v>4.0649189932097878</c:v>
                </c:pt>
                <c:pt idx="151">
                  <c:v>4.1318788734843528</c:v>
                </c:pt>
                <c:pt idx="152">
                  <c:v>4.1669826827441652</c:v>
                </c:pt>
                <c:pt idx="153">
                  <c:v>4.1669874279537762</c:v>
                </c:pt>
                <c:pt idx="154">
                  <c:v>4.1606993820056015</c:v>
                </c:pt>
                <c:pt idx="155">
                  <c:v>4.1783542218482514</c:v>
                </c:pt>
                <c:pt idx="156">
                  <c:v>4.1776026769725565</c:v>
                </c:pt>
                <c:pt idx="157">
                  <c:v>4.1238187866684619</c:v>
                </c:pt>
                <c:pt idx="158">
                  <c:v>4.1041106316567983</c:v>
                </c:pt>
                <c:pt idx="159">
                  <c:v>4.1282390424577491</c:v>
                </c:pt>
                <c:pt idx="160">
                  <c:v>4.1495985584263186</c:v>
                </c:pt>
                <c:pt idx="161">
                  <c:v>4.1743826382394378</c:v>
                </c:pt>
                <c:pt idx="162">
                  <c:v>4.1459211077381877</c:v>
                </c:pt>
                <c:pt idx="163">
                  <c:v>4.1385342073194886</c:v>
                </c:pt>
                <c:pt idx="164">
                  <c:v>4.1385342073194886</c:v>
                </c:pt>
                <c:pt idx="165">
                  <c:v>4.1510417760607154</c:v>
                </c:pt>
                <c:pt idx="166">
                  <c:v>4.1062481929392582</c:v>
                </c:pt>
                <c:pt idx="167">
                  <c:v>4.1364060307916874</c:v>
                </c:pt>
                <c:pt idx="168">
                  <c:v>4.1923855028192927</c:v>
                </c:pt>
                <c:pt idx="169">
                  <c:v>4.2270213818520324</c:v>
                </c:pt>
                <c:pt idx="170">
                  <c:v>4.1985621936498552</c:v>
                </c:pt>
                <c:pt idx="171">
                  <c:v>4.2123473678777321</c:v>
                </c:pt>
                <c:pt idx="172">
                  <c:v>4.2346419297223825</c:v>
                </c:pt>
                <c:pt idx="173">
                  <c:v>4.285094245651238</c:v>
                </c:pt>
                <c:pt idx="174">
                  <c:v>4.329991724476109</c:v>
                </c:pt>
                <c:pt idx="175">
                  <c:v>4.3562584611930539</c:v>
                </c:pt>
                <c:pt idx="176">
                  <c:v>4.3751039547622605</c:v>
                </c:pt>
                <c:pt idx="177">
                  <c:v>4.3533627128040342</c:v>
                </c:pt>
                <c:pt idx="178">
                  <c:v>4.3441636403463884</c:v>
                </c:pt>
                <c:pt idx="179">
                  <c:v>4.3055819043234527</c:v>
                </c:pt>
                <c:pt idx="180">
                  <c:v>4.3488950768631245</c:v>
                </c:pt>
                <c:pt idx="181">
                  <c:v>4.3213983472497244</c:v>
                </c:pt>
                <c:pt idx="182">
                  <c:v>4.2843052534227679</c:v>
                </c:pt>
                <c:pt idx="183">
                  <c:v>4.3239170564645804</c:v>
                </c:pt>
                <c:pt idx="184">
                  <c:v>4.3281334460035037</c:v>
                </c:pt>
                <c:pt idx="185">
                  <c:v>4.2851738715603451</c:v>
                </c:pt>
                <c:pt idx="186">
                  <c:v>4.3028322612441263</c:v>
                </c:pt>
                <c:pt idx="187">
                  <c:v>4.3417083972590067</c:v>
                </c:pt>
                <c:pt idx="188">
                  <c:v>4.3344780097436102</c:v>
                </c:pt>
                <c:pt idx="189">
                  <c:v>4.2667796172403714</c:v>
                </c:pt>
                <c:pt idx="190">
                  <c:v>4.2677991674350624</c:v>
                </c:pt>
                <c:pt idx="191">
                  <c:v>4.38017479925937</c:v>
                </c:pt>
                <c:pt idx="192">
                  <c:v>4.3489654663193029</c:v>
                </c:pt>
                <c:pt idx="193">
                  <c:v>4.3599853464153728</c:v>
                </c:pt>
                <c:pt idx="194">
                  <c:v>4.3056741522365538</c:v>
                </c:pt>
                <c:pt idx="195">
                  <c:v>4.3406635094447017</c:v>
                </c:pt>
                <c:pt idx="196">
                  <c:v>4.3010601394721419</c:v>
                </c:pt>
                <c:pt idx="197">
                  <c:v>4.2924844985640558</c:v>
                </c:pt>
                <c:pt idx="198">
                  <c:v>4.3294657649727935</c:v>
                </c:pt>
                <c:pt idx="199">
                  <c:v>4.422578091400803</c:v>
                </c:pt>
                <c:pt idx="200">
                  <c:v>4.4110563488184518</c:v>
                </c:pt>
                <c:pt idx="201">
                  <c:v>4.3449709393154823</c:v>
                </c:pt>
                <c:pt idx="202">
                  <c:v>4.3272893529022571</c:v>
                </c:pt>
                <c:pt idx="203">
                  <c:v>4.3091130026065949</c:v>
                </c:pt>
                <c:pt idx="204">
                  <c:v>4.3432456541281885</c:v>
                </c:pt>
                <c:pt idx="205">
                  <c:v>4.4059671900560815</c:v>
                </c:pt>
                <c:pt idx="206">
                  <c:v>4.4133668437379638</c:v>
                </c:pt>
                <c:pt idx="207">
                  <c:v>4.4009593596309298</c:v>
                </c:pt>
                <c:pt idx="208">
                  <c:v>4.3965952938816981</c:v>
                </c:pt>
                <c:pt idx="209">
                  <c:v>4.380525451363888</c:v>
                </c:pt>
                <c:pt idx="210">
                  <c:v>4.3210059259788007</c:v>
                </c:pt>
                <c:pt idx="211">
                  <c:v>4.3455378353786811</c:v>
                </c:pt>
                <c:pt idx="212">
                  <c:v>4.3041739955411167</c:v>
                </c:pt>
                <c:pt idx="213">
                  <c:v>4.3173267663028305</c:v>
                </c:pt>
                <c:pt idx="214">
                  <c:v>4.3217185985309348</c:v>
                </c:pt>
                <c:pt idx="215">
                  <c:v>4.3099775325285856</c:v>
                </c:pt>
                <c:pt idx="216">
                  <c:v>4.232728245736336</c:v>
                </c:pt>
                <c:pt idx="217">
                  <c:v>4.2561914116256432</c:v>
                </c:pt>
                <c:pt idx="218">
                  <c:v>4.2423825574580913</c:v>
                </c:pt>
                <c:pt idx="219">
                  <c:v>4.1692908446472829</c:v>
                </c:pt>
                <c:pt idx="220">
                  <c:v>4.1873076907920197</c:v>
                </c:pt>
                <c:pt idx="221">
                  <c:v>4.1931919743411967</c:v>
                </c:pt>
                <c:pt idx="222">
                  <c:v>4.1773392517801362</c:v>
                </c:pt>
                <c:pt idx="223">
                  <c:v>4.1912504516498013</c:v>
                </c:pt>
                <c:pt idx="224">
                  <c:v>4.2156916471790833</c:v>
                </c:pt>
                <c:pt idx="225">
                  <c:v>4.2019720060395578</c:v>
                </c:pt>
                <c:pt idx="226">
                  <c:v>4.2019720060395578</c:v>
                </c:pt>
                <c:pt idx="227">
                  <c:v>4.1471971909725784</c:v>
                </c:pt>
                <c:pt idx="228">
                  <c:v>4.0969334301691225</c:v>
                </c:pt>
                <c:pt idx="229">
                  <c:v>4.1072795194525717</c:v>
                </c:pt>
                <c:pt idx="230">
                  <c:v>4.1012205308195053</c:v>
                </c:pt>
                <c:pt idx="231">
                  <c:v>4.1072995232038672</c:v>
                </c:pt>
                <c:pt idx="232">
                  <c:v>4.0692736469236239</c:v>
                </c:pt>
                <c:pt idx="233">
                  <c:v>4.0739581851150932</c:v>
                </c:pt>
                <c:pt idx="234">
                  <c:v>4.0499091895180088</c:v>
                </c:pt>
                <c:pt idx="235">
                  <c:v>3.9335731024542722</c:v>
                </c:pt>
                <c:pt idx="236">
                  <c:v>3.999549414119425</c:v>
                </c:pt>
                <c:pt idx="237">
                  <c:v>3.9099911093700599</c:v>
                </c:pt>
                <c:pt idx="238">
                  <c:v>3.996017377881671</c:v>
                </c:pt>
                <c:pt idx="239">
                  <c:v>4.0524679334387788</c:v>
                </c:pt>
                <c:pt idx="240">
                  <c:v>4.0524679334387788</c:v>
                </c:pt>
                <c:pt idx="241">
                  <c:v>4.0609015778041941</c:v>
                </c:pt>
                <c:pt idx="242">
                  <c:v>4.0259333187553921</c:v>
                </c:pt>
                <c:pt idx="243">
                  <c:v>4.0385352562893484</c:v>
                </c:pt>
                <c:pt idx="244">
                  <c:v>4.0801287281305978</c:v>
                </c:pt>
                <c:pt idx="245">
                  <c:v>3.9821340582593443</c:v>
                </c:pt>
                <c:pt idx="246">
                  <c:v>4.038130867663182</c:v>
                </c:pt>
                <c:pt idx="247">
                  <c:v>4.0195628796489613</c:v>
                </c:pt>
                <c:pt idx="248">
                  <c:v>4.1418472175586061</c:v>
                </c:pt>
                <c:pt idx="249">
                  <c:v>4.0586664737351743</c:v>
                </c:pt>
                <c:pt idx="250">
                  <c:v>4.05126159214573</c:v>
                </c:pt>
                <c:pt idx="251">
                  <c:v>4.0180929414375397</c:v>
                </c:pt>
                <c:pt idx="252">
                  <c:v>4.0895888463427941</c:v>
                </c:pt>
                <c:pt idx="253">
                  <c:v>4.0594056027848886</c:v>
                </c:pt>
                <c:pt idx="254">
                  <c:v>4.1067185113851021</c:v>
                </c:pt>
                <c:pt idx="255">
                  <c:v>4.1279567617729853</c:v>
                </c:pt>
                <c:pt idx="256">
                  <c:v>4.129224643744613</c:v>
                </c:pt>
                <c:pt idx="257">
                  <c:v>4.1160025587317532</c:v>
                </c:pt>
                <c:pt idx="258">
                  <c:v>4.1389115457524479</c:v>
                </c:pt>
                <c:pt idx="259">
                  <c:v>4.1177479233812715</c:v>
                </c:pt>
                <c:pt idx="260">
                  <c:v>4.0527435108813883</c:v>
                </c:pt>
                <c:pt idx="261">
                  <c:v>4.0403890536855291</c:v>
                </c:pt>
                <c:pt idx="262">
                  <c:v>4.0765042664578726</c:v>
                </c:pt>
                <c:pt idx="263">
                  <c:v>4.1140258436369566</c:v>
                </c:pt>
                <c:pt idx="264">
                  <c:v>4.1447063439290783</c:v>
                </c:pt>
                <c:pt idx="265">
                  <c:v>4.1086841590215641</c:v>
                </c:pt>
                <c:pt idx="266">
                  <c:v>4.0268060393411318</c:v>
                </c:pt>
                <c:pt idx="267">
                  <c:v>3.9905728260413369</c:v>
                </c:pt>
                <c:pt idx="268">
                  <c:v>3.9961547356511682</c:v>
                </c:pt>
                <c:pt idx="269">
                  <c:v>3.9387101752388789</c:v>
                </c:pt>
                <c:pt idx="270">
                  <c:v>3.9184794487857557</c:v>
                </c:pt>
                <c:pt idx="271">
                  <c:v>3.8776019427165607</c:v>
                </c:pt>
                <c:pt idx="272">
                  <c:v>3.9169809029109368</c:v>
                </c:pt>
                <c:pt idx="273">
                  <c:v>3.9162314278228294</c:v>
                </c:pt>
                <c:pt idx="274">
                  <c:v>3.9016230858200736</c:v>
                </c:pt>
                <c:pt idx="275">
                  <c:v>3.7514931701835263</c:v>
                </c:pt>
                <c:pt idx="276">
                  <c:v>3.7319650108628761</c:v>
                </c:pt>
                <c:pt idx="277">
                  <c:v>3.764551605280992</c:v>
                </c:pt>
                <c:pt idx="278">
                  <c:v>3.7780676004901728</c:v>
                </c:pt>
                <c:pt idx="279">
                  <c:v>3.7499919264892521</c:v>
                </c:pt>
                <c:pt idx="280">
                  <c:v>3.749961435703566</c:v>
                </c:pt>
                <c:pt idx="281">
                  <c:v>3.758082827931466</c:v>
                </c:pt>
                <c:pt idx="282">
                  <c:v>3.7972705431395126</c:v>
                </c:pt>
                <c:pt idx="283">
                  <c:v>3.8750467275347917</c:v>
                </c:pt>
                <c:pt idx="284">
                  <c:v>3.8608854673786004</c:v>
                </c:pt>
                <c:pt idx="285">
                  <c:v>4.0105553053616951</c:v>
                </c:pt>
                <c:pt idx="286">
                  <c:v>4.0247193516407878</c:v>
                </c:pt>
                <c:pt idx="287">
                  <c:v>4.0352771401087768</c:v>
                </c:pt>
                <c:pt idx="288">
                  <c:v>3.9930152560917365</c:v>
                </c:pt>
                <c:pt idx="289">
                  <c:v>3.96300768207439</c:v>
                </c:pt>
                <c:pt idx="290">
                  <c:v>3.9220821185603296</c:v>
                </c:pt>
                <c:pt idx="291">
                  <c:v>3.8922805639705458</c:v>
                </c:pt>
                <c:pt idx="292">
                  <c:v>3.919326206996113</c:v>
                </c:pt>
                <c:pt idx="293">
                  <c:v>3.9306686731370073</c:v>
                </c:pt>
                <c:pt idx="294">
                  <c:v>3.9074511348480598</c:v>
                </c:pt>
                <c:pt idx="295">
                  <c:v>3.9284827187605211</c:v>
                </c:pt>
                <c:pt idx="296">
                  <c:v>3.923296465715076</c:v>
                </c:pt>
                <c:pt idx="297">
                  <c:v>3.9537132333470422</c:v>
                </c:pt>
                <c:pt idx="298">
                  <c:v>3.9507542925733383</c:v>
                </c:pt>
                <c:pt idx="299">
                  <c:v>3.9470562914038414</c:v>
                </c:pt>
                <c:pt idx="300">
                  <c:v>3.9403038499758609</c:v>
                </c:pt>
                <c:pt idx="301">
                  <c:v>4.0293294521374783</c:v>
                </c:pt>
                <c:pt idx="302">
                  <c:v>4.0309857666496489</c:v>
                </c:pt>
                <c:pt idx="303">
                  <c:v>4.0131383952141206</c:v>
                </c:pt>
                <c:pt idx="304">
                  <c:v>4.0040799611668039</c:v>
                </c:pt>
                <c:pt idx="305">
                  <c:v>4.0092361942256129</c:v>
                </c:pt>
                <c:pt idx="306">
                  <c:v>4.0437033300341003</c:v>
                </c:pt>
                <c:pt idx="307">
                  <c:v>4.031273670683043</c:v>
                </c:pt>
                <c:pt idx="308">
                  <c:v>4.0356767394780269</c:v>
                </c:pt>
                <c:pt idx="309">
                  <c:v>4.0661354815851443</c:v>
                </c:pt>
                <c:pt idx="310">
                  <c:v>4.0207114495073641</c:v>
                </c:pt>
                <c:pt idx="311">
                  <c:v>4.0686187993958525</c:v>
                </c:pt>
                <c:pt idx="312">
                  <c:v>3.9137860053583422</c:v>
                </c:pt>
                <c:pt idx="313">
                  <c:v>3.9120998723970972</c:v>
                </c:pt>
                <c:pt idx="314">
                  <c:v>3.9052197903399115</c:v>
                </c:pt>
                <c:pt idx="315">
                  <c:v>3.9044779706784922</c:v>
                </c:pt>
                <c:pt idx="316">
                  <c:v>3.9008562847662183</c:v>
                </c:pt>
                <c:pt idx="317">
                  <c:v>3.8949222566362791</c:v>
                </c:pt>
                <c:pt idx="318">
                  <c:v>3.871502850923815</c:v>
                </c:pt>
                <c:pt idx="319">
                  <c:v>3.8454340726026541</c:v>
                </c:pt>
                <c:pt idx="320">
                  <c:v>3.8811744970332458</c:v>
                </c:pt>
                <c:pt idx="321">
                  <c:v>3.8387347094910438</c:v>
                </c:pt>
                <c:pt idx="322">
                  <c:v>3.8387303384808189</c:v>
                </c:pt>
                <c:pt idx="323">
                  <c:v>3.9272089704690778</c:v>
                </c:pt>
                <c:pt idx="324">
                  <c:v>3.9065005298175031</c:v>
                </c:pt>
                <c:pt idx="325">
                  <c:v>3.9361773215624249</c:v>
                </c:pt>
                <c:pt idx="326">
                  <c:v>3.9578753665427158</c:v>
                </c:pt>
                <c:pt idx="327">
                  <c:v>3.807177878234512</c:v>
                </c:pt>
                <c:pt idx="328">
                  <c:v>3.7969270572493343</c:v>
                </c:pt>
                <c:pt idx="329">
                  <c:v>3.7853043572048395</c:v>
                </c:pt>
                <c:pt idx="330">
                  <c:v>3.8046794063152904</c:v>
                </c:pt>
                <c:pt idx="331">
                  <c:v>3.8091581035980697</c:v>
                </c:pt>
                <c:pt idx="332">
                  <c:v>3.776535097064357</c:v>
                </c:pt>
                <c:pt idx="333">
                  <c:v>3.7391400860513953</c:v>
                </c:pt>
                <c:pt idx="334">
                  <c:v>3.6867303035583063</c:v>
                </c:pt>
                <c:pt idx="335">
                  <c:v>3.7421073431134371</c:v>
                </c:pt>
                <c:pt idx="336">
                  <c:v>3.740602392042486</c:v>
                </c:pt>
                <c:pt idx="337">
                  <c:v>3.7914461353911935</c:v>
                </c:pt>
                <c:pt idx="338">
                  <c:v>3.7907632318209141</c:v>
                </c:pt>
                <c:pt idx="339">
                  <c:v>3.7990254598960074</c:v>
                </c:pt>
                <c:pt idx="340">
                  <c:v>3.790769870378683</c:v>
                </c:pt>
                <c:pt idx="341">
                  <c:v>3.7867122767736472</c:v>
                </c:pt>
                <c:pt idx="342">
                  <c:v>3.7832956279176626</c:v>
                </c:pt>
                <c:pt idx="343">
                  <c:v>3.7868226056383221</c:v>
                </c:pt>
                <c:pt idx="344">
                  <c:v>3.8193731727030489</c:v>
                </c:pt>
                <c:pt idx="345">
                  <c:v>3.8038669652215038</c:v>
                </c:pt>
                <c:pt idx="346">
                  <c:v>3.7871809437405908</c:v>
                </c:pt>
                <c:pt idx="347">
                  <c:v>3.8070067438282713</c:v>
                </c:pt>
                <c:pt idx="348">
                  <c:v>3.8427662988437516</c:v>
                </c:pt>
                <c:pt idx="349">
                  <c:v>3.780236029255581</c:v>
                </c:pt>
                <c:pt idx="350">
                  <c:v>3.7618168905284421</c:v>
                </c:pt>
                <c:pt idx="351">
                  <c:v>3.7388143730808849</c:v>
                </c:pt>
                <c:pt idx="352">
                  <c:v>3.7748263546450138</c:v>
                </c:pt>
                <c:pt idx="353">
                  <c:v>3.7611102003399663</c:v>
                </c:pt>
                <c:pt idx="354">
                  <c:v>3.7436342152014777</c:v>
                </c:pt>
                <c:pt idx="355">
                  <c:v>3.7541139765336813</c:v>
                </c:pt>
                <c:pt idx="356">
                  <c:v>3.7767167865815257</c:v>
                </c:pt>
                <c:pt idx="357">
                  <c:v>3.750598113719144</c:v>
                </c:pt>
                <c:pt idx="358">
                  <c:v>3.7256671324216208</c:v>
                </c:pt>
                <c:pt idx="359">
                  <c:v>3.7620740849860148</c:v>
                </c:pt>
                <c:pt idx="360">
                  <c:v>3.7414258180870346</c:v>
                </c:pt>
                <c:pt idx="361">
                  <c:v>3.7637129817625761</c:v>
                </c:pt>
                <c:pt idx="362">
                  <c:v>3.7324393688753772</c:v>
                </c:pt>
                <c:pt idx="363">
                  <c:v>3.7422471902700436</c:v>
                </c:pt>
                <c:pt idx="364">
                  <c:v>3.7630464356030382</c:v>
                </c:pt>
                <c:pt idx="365">
                  <c:v>3.755369681958368</c:v>
                </c:pt>
                <c:pt idx="366">
                  <c:v>3.7287578174392468</c:v>
                </c:pt>
                <c:pt idx="367">
                  <c:v>3.7713229212043409</c:v>
                </c:pt>
                <c:pt idx="368">
                  <c:v>3.7370492548043388</c:v>
                </c:pt>
                <c:pt idx="369">
                  <c:v>3.7585994124693469</c:v>
                </c:pt>
                <c:pt idx="370">
                  <c:v>3.7935100513653062</c:v>
                </c:pt>
                <c:pt idx="371">
                  <c:v>3.7262219609493643</c:v>
                </c:pt>
                <c:pt idx="372">
                  <c:v>3.7412580820205892</c:v>
                </c:pt>
                <c:pt idx="373">
                  <c:v>3.8452903400337068</c:v>
                </c:pt>
                <c:pt idx="374">
                  <c:v>3.8492332370021209</c:v>
                </c:pt>
                <c:pt idx="375">
                  <c:v>3.8539349846939635</c:v>
                </c:pt>
                <c:pt idx="376">
                  <c:v>3.8181862493046426</c:v>
                </c:pt>
                <c:pt idx="377">
                  <c:v>3.8091728190187215</c:v>
                </c:pt>
                <c:pt idx="378">
                  <c:v>3.8039059651503937</c:v>
                </c:pt>
                <c:pt idx="379">
                  <c:v>3.8205124737128617</c:v>
                </c:pt>
                <c:pt idx="380">
                  <c:v>3.8108019470411021</c:v>
                </c:pt>
                <c:pt idx="381">
                  <c:v>3.8108019470411021</c:v>
                </c:pt>
                <c:pt idx="382">
                  <c:v>3.7235418988595117</c:v>
                </c:pt>
                <c:pt idx="383">
                  <c:v>3.6966671211819757</c:v>
                </c:pt>
                <c:pt idx="384">
                  <c:v>3.7215952320855843</c:v>
                </c:pt>
                <c:pt idx="385">
                  <c:v>3.7360248952790274</c:v>
                </c:pt>
                <c:pt idx="386">
                  <c:v>3.7208326047939781</c:v>
                </c:pt>
                <c:pt idx="387">
                  <c:v>3.7106699393341351</c:v>
                </c:pt>
                <c:pt idx="388">
                  <c:v>3.7422997391496389</c:v>
                </c:pt>
                <c:pt idx="389">
                  <c:v>3.7427984171849866</c:v>
                </c:pt>
                <c:pt idx="390">
                  <c:v>3.739320888712212</c:v>
                </c:pt>
                <c:pt idx="391">
                  <c:v>3.739320888712212</c:v>
                </c:pt>
                <c:pt idx="392">
                  <c:v>3.7616693089669631</c:v>
                </c:pt>
                <c:pt idx="393">
                  <c:v>3.8360703995747247</c:v>
                </c:pt>
                <c:pt idx="394">
                  <c:v>3.8531855572721776</c:v>
                </c:pt>
                <c:pt idx="395">
                  <c:v>3.8156390323212701</c:v>
                </c:pt>
                <c:pt idx="396">
                  <c:v>3.8099246837635263</c:v>
                </c:pt>
                <c:pt idx="397">
                  <c:v>3.8623327967743624</c:v>
                </c:pt>
                <c:pt idx="398">
                  <c:v>3.8242738332137867</c:v>
                </c:pt>
                <c:pt idx="399">
                  <c:v>3.8180596548822474</c:v>
                </c:pt>
                <c:pt idx="400">
                  <c:v>3.7883798304954133</c:v>
                </c:pt>
                <c:pt idx="401">
                  <c:v>3.8036992976446968</c:v>
                </c:pt>
                <c:pt idx="402">
                  <c:v>3.7793715674070638</c:v>
                </c:pt>
                <c:pt idx="403">
                  <c:v>3.8255559578299878</c:v>
                </c:pt>
                <c:pt idx="404">
                  <c:v>3.8423070029144402</c:v>
                </c:pt>
                <c:pt idx="405">
                  <c:v>3.8592031663485695</c:v>
                </c:pt>
                <c:pt idx="406">
                  <c:v>3.8763404577351892</c:v>
                </c:pt>
                <c:pt idx="407">
                  <c:v>3.856553909016426</c:v>
                </c:pt>
                <c:pt idx="408">
                  <c:v>3.8726516339967461</c:v>
                </c:pt>
                <c:pt idx="409">
                  <c:v>3.8503974973403192</c:v>
                </c:pt>
                <c:pt idx="410">
                  <c:v>3.8705108715849494</c:v>
                </c:pt>
                <c:pt idx="411">
                  <c:v>3.841226208098115</c:v>
                </c:pt>
                <c:pt idx="412">
                  <c:v>3.8318093772246611</c:v>
                </c:pt>
                <c:pt idx="413">
                  <c:v>3.8661210700353221</c:v>
                </c:pt>
                <c:pt idx="414">
                  <c:v>4.0163228230669636</c:v>
                </c:pt>
                <c:pt idx="415">
                  <c:v>4.107748130737459</c:v>
                </c:pt>
                <c:pt idx="416">
                  <c:v>4.2480573786299658</c:v>
                </c:pt>
                <c:pt idx="417">
                  <c:v>4.2901377804310892</c:v>
                </c:pt>
                <c:pt idx="418">
                  <c:v>4.2747906195407568</c:v>
                </c:pt>
                <c:pt idx="419">
                  <c:v>4.241060977793202</c:v>
                </c:pt>
                <c:pt idx="420">
                  <c:v>4.335504120001934</c:v>
                </c:pt>
                <c:pt idx="421">
                  <c:v>4.3348914515110319</c:v>
                </c:pt>
                <c:pt idx="422">
                  <c:v>4.4313802911147278</c:v>
                </c:pt>
                <c:pt idx="423">
                  <c:v>4.4324473728828933</c:v>
                </c:pt>
                <c:pt idx="424">
                  <c:v>4.4713084721448562</c:v>
                </c:pt>
                <c:pt idx="425">
                  <c:v>4.4350879142033488</c:v>
                </c:pt>
                <c:pt idx="426">
                  <c:v>4.3942590128247891</c:v>
                </c:pt>
                <c:pt idx="427">
                  <c:v>4.419292514895055</c:v>
                </c:pt>
                <c:pt idx="428">
                  <c:v>4.4667225857275268</c:v>
                </c:pt>
                <c:pt idx="429">
                  <c:v>4.4380419702852398</c:v>
                </c:pt>
                <c:pt idx="430">
                  <c:v>4.4235682671037715</c:v>
                </c:pt>
                <c:pt idx="431">
                  <c:v>4.4473394285168837</c:v>
                </c:pt>
                <c:pt idx="432">
                  <c:v>4.4446242620615442</c:v>
                </c:pt>
                <c:pt idx="433">
                  <c:v>4.4555283220697319</c:v>
                </c:pt>
                <c:pt idx="434">
                  <c:v>4.4609093364398973</c:v>
                </c:pt>
                <c:pt idx="435">
                  <c:v>4.5274217197251101</c:v>
                </c:pt>
                <c:pt idx="436">
                  <c:v>4.4799083333326655</c:v>
                </c:pt>
                <c:pt idx="437">
                  <c:v>4.4865930639242499</c:v>
                </c:pt>
                <c:pt idx="438">
                  <c:v>4.6448458487199096</c:v>
                </c:pt>
                <c:pt idx="439">
                  <c:v>4.6437959075962434</c:v>
                </c:pt>
                <c:pt idx="440">
                  <c:v>4.6173421076755465</c:v>
                </c:pt>
                <c:pt idx="441">
                  <c:v>4.6331373769079987</c:v>
                </c:pt>
                <c:pt idx="442">
                  <c:v>4.6254456401425523</c:v>
                </c:pt>
                <c:pt idx="443">
                  <c:v>4.6253118065335883</c:v>
                </c:pt>
                <c:pt idx="444">
                  <c:v>4.5945753742997182</c:v>
                </c:pt>
                <c:pt idx="445">
                  <c:v>4.6311897605062082</c:v>
                </c:pt>
                <c:pt idx="446">
                  <c:v>4.6324839816248486</c:v>
                </c:pt>
                <c:pt idx="447">
                  <c:v>4.5543725743116337</c:v>
                </c:pt>
                <c:pt idx="448">
                  <c:v>4.5330805566678523</c:v>
                </c:pt>
                <c:pt idx="449">
                  <c:v>4.5292170306888906</c:v>
                </c:pt>
                <c:pt idx="450">
                  <c:v>4.5157900051622075</c:v>
                </c:pt>
                <c:pt idx="451">
                  <c:v>4.4409304455448462</c:v>
                </c:pt>
                <c:pt idx="452">
                  <c:v>4.4860802951581285</c:v>
                </c:pt>
                <c:pt idx="453">
                  <c:v>4.5278711107162506</c:v>
                </c:pt>
                <c:pt idx="454">
                  <c:v>4.5120133704451808</c:v>
                </c:pt>
                <c:pt idx="455">
                  <c:v>4.4815755481233381</c:v>
                </c:pt>
                <c:pt idx="456">
                  <c:v>4.4510628551916369</c:v>
                </c:pt>
                <c:pt idx="457">
                  <c:v>4.5150492318912523</c:v>
                </c:pt>
                <c:pt idx="458">
                  <c:v>4.4895110899320372</c:v>
                </c:pt>
                <c:pt idx="459">
                  <c:v>4.4821277567990316</c:v>
                </c:pt>
                <c:pt idx="460">
                  <c:v>4.5684856330664463</c:v>
                </c:pt>
                <c:pt idx="461">
                  <c:v>4.6136330230774227</c:v>
                </c:pt>
                <c:pt idx="462">
                  <c:v>4.5326644842841919</c:v>
                </c:pt>
                <c:pt idx="463">
                  <c:v>4.5413244307679639</c:v>
                </c:pt>
                <c:pt idx="464">
                  <c:v>4.5872079004818067</c:v>
                </c:pt>
                <c:pt idx="465">
                  <c:v>4.6364896647658416</c:v>
                </c:pt>
                <c:pt idx="466">
                  <c:v>4.5820222288407839</c:v>
                </c:pt>
                <c:pt idx="467">
                  <c:v>4.5497762464413238</c:v>
                </c:pt>
                <c:pt idx="468">
                  <c:v>4.5653319335394613</c:v>
                </c:pt>
                <c:pt idx="469">
                  <c:v>4.5598204602193242</c:v>
                </c:pt>
                <c:pt idx="470">
                  <c:v>4.5526684036897613</c:v>
                </c:pt>
                <c:pt idx="471">
                  <c:v>4.575351476416964</c:v>
                </c:pt>
                <c:pt idx="472">
                  <c:v>4.5789020131350258</c:v>
                </c:pt>
                <c:pt idx="473">
                  <c:v>4.5441047771311514</c:v>
                </c:pt>
                <c:pt idx="474">
                  <c:v>4.4976845513475965</c:v>
                </c:pt>
                <c:pt idx="475">
                  <c:v>4.5322657617632212</c:v>
                </c:pt>
                <c:pt idx="476">
                  <c:v>4.5036742337550191</c:v>
                </c:pt>
                <c:pt idx="477">
                  <c:v>4.5633227704811077</c:v>
                </c:pt>
                <c:pt idx="478">
                  <c:v>4.5590539041216411</c:v>
                </c:pt>
                <c:pt idx="479">
                  <c:v>4.4859053280740344</c:v>
                </c:pt>
                <c:pt idx="480">
                  <c:v>4.4522316809511793</c:v>
                </c:pt>
                <c:pt idx="481">
                  <c:v>4.4918586940471954</c:v>
                </c:pt>
                <c:pt idx="482">
                  <c:v>4.4475090391437577</c:v>
                </c:pt>
                <c:pt idx="483">
                  <c:v>4.4362326506551772</c:v>
                </c:pt>
                <c:pt idx="484">
                  <c:v>4.3562413065793395</c:v>
                </c:pt>
                <c:pt idx="485">
                  <c:v>4.3685985104751373</c:v>
                </c:pt>
                <c:pt idx="486">
                  <c:v>4.4290053589207048</c:v>
                </c:pt>
                <c:pt idx="487">
                  <c:v>4.4810269428933323</c:v>
                </c:pt>
                <c:pt idx="488">
                  <c:v>4.4738085782035526</c:v>
                </c:pt>
                <c:pt idx="489">
                  <c:v>4.5026502264006227</c:v>
                </c:pt>
                <c:pt idx="490">
                  <c:v>4.5361011120130383</c:v>
                </c:pt>
                <c:pt idx="491">
                  <c:v>4.4853187703963631</c:v>
                </c:pt>
                <c:pt idx="492">
                  <c:v>4.5509054222717467</c:v>
                </c:pt>
                <c:pt idx="493">
                  <c:v>4.5710029220889306</c:v>
                </c:pt>
                <c:pt idx="494">
                  <c:v>4.5749048701641106</c:v>
                </c:pt>
                <c:pt idx="495">
                  <c:v>4.5833136149348368</c:v>
                </c:pt>
                <c:pt idx="496">
                  <c:v>4.6451207136433119</c:v>
                </c:pt>
                <c:pt idx="497">
                  <c:v>4.5824204874756127</c:v>
                </c:pt>
                <c:pt idx="498">
                  <c:v>4.5261763185644801</c:v>
                </c:pt>
                <c:pt idx="499">
                  <c:v>4.5654085186335251</c:v>
                </c:pt>
                <c:pt idx="500">
                  <c:v>4.5611201515006021</c:v>
                </c:pt>
                <c:pt idx="501">
                  <c:v>4.4823749280020966</c:v>
                </c:pt>
                <c:pt idx="502">
                  <c:v>4.4524713251021506</c:v>
                </c:pt>
                <c:pt idx="503">
                  <c:v>4.4478344426411258</c:v>
                </c:pt>
                <c:pt idx="504">
                  <c:v>4.4271124217914304</c:v>
                </c:pt>
                <c:pt idx="505">
                  <c:v>4.3719528510173795</c:v>
                </c:pt>
                <c:pt idx="506">
                  <c:v>4.4315013439708046</c:v>
                </c:pt>
                <c:pt idx="507">
                  <c:v>4.4378283571716128</c:v>
                </c:pt>
                <c:pt idx="508">
                  <c:v>4.4125205304214745</c:v>
                </c:pt>
                <c:pt idx="509">
                  <c:v>4.4291154093352567</c:v>
                </c:pt>
                <c:pt idx="510">
                  <c:v>4.4043210072911201</c:v>
                </c:pt>
                <c:pt idx="511">
                  <c:v>4.3806402991046207</c:v>
                </c:pt>
                <c:pt idx="512">
                  <c:v>4.3667458611386945</c:v>
                </c:pt>
                <c:pt idx="513">
                  <c:v>4.3771372282095964</c:v>
                </c:pt>
                <c:pt idx="514">
                  <c:v>4.384524968260302</c:v>
                </c:pt>
                <c:pt idx="515">
                  <c:v>4.3724636231968432</c:v>
                </c:pt>
                <c:pt idx="516">
                  <c:v>4.3305408979196365</c:v>
                </c:pt>
                <c:pt idx="517">
                  <c:v>4.317149777530366</c:v>
                </c:pt>
                <c:pt idx="518">
                  <c:v>4.264550286037001</c:v>
                </c:pt>
                <c:pt idx="519">
                  <c:v>4.2675764997853776</c:v>
                </c:pt>
                <c:pt idx="520">
                  <c:v>4.2260521849684443</c:v>
                </c:pt>
                <c:pt idx="521">
                  <c:v>4.2143218889874019</c:v>
                </c:pt>
                <c:pt idx="522">
                  <c:v>4.2580285401652658</c:v>
                </c:pt>
                <c:pt idx="523">
                  <c:v>4.2427402769480835</c:v>
                </c:pt>
                <c:pt idx="524">
                  <c:v>4.3105626137475221</c:v>
                </c:pt>
                <c:pt idx="525">
                  <c:v>4.313491542118058</c:v>
                </c:pt>
                <c:pt idx="526">
                  <c:v>4.3511673041738543</c:v>
                </c:pt>
                <c:pt idx="527">
                  <c:v>4.3390436070513809</c:v>
                </c:pt>
                <c:pt idx="528">
                  <c:v>4.3580242743277342</c:v>
                </c:pt>
                <c:pt idx="529">
                  <c:v>4.3235787418551226</c:v>
                </c:pt>
                <c:pt idx="530">
                  <c:v>4.3623920030378223</c:v>
                </c:pt>
                <c:pt idx="531">
                  <c:v>4.3129113294353099</c:v>
                </c:pt>
                <c:pt idx="532">
                  <c:v>4.3978539360828401</c:v>
                </c:pt>
                <c:pt idx="533">
                  <c:v>4.3665891929541578</c:v>
                </c:pt>
                <c:pt idx="534">
                  <c:v>4.3353834218782454</c:v>
                </c:pt>
                <c:pt idx="535">
                  <c:v>4.3587858650641191</c:v>
                </c:pt>
                <c:pt idx="536">
                  <c:v>4.3587858650641191</c:v>
                </c:pt>
                <c:pt idx="537">
                  <c:v>4.3147499926192072</c:v>
                </c:pt>
                <c:pt idx="538">
                  <c:v>4.3164183903068007</c:v>
                </c:pt>
                <c:pt idx="539">
                  <c:v>4.313491542118058</c:v>
                </c:pt>
                <c:pt idx="540">
                  <c:v>4.2559020119463842</c:v>
                </c:pt>
                <c:pt idx="541">
                  <c:v>4.1999971717177615</c:v>
                </c:pt>
                <c:pt idx="542">
                  <c:v>4.2116018551782108</c:v>
                </c:pt>
                <c:pt idx="543">
                  <c:v>4.2332941768911345</c:v>
                </c:pt>
                <c:pt idx="544">
                  <c:v>4.2216451771887771</c:v>
                </c:pt>
                <c:pt idx="545">
                  <c:v>4.2529166295058225</c:v>
                </c:pt>
                <c:pt idx="546">
                  <c:v>4.2186997883093902</c:v>
                </c:pt>
                <c:pt idx="547">
                  <c:v>4.248169561228246</c:v>
                </c:pt>
                <c:pt idx="548">
                  <c:v>4.2303868503729305</c:v>
                </c:pt>
                <c:pt idx="549">
                  <c:v>4.2511052622819649</c:v>
                </c:pt>
                <c:pt idx="550">
                  <c:v>4.1380850230351678</c:v>
                </c:pt>
                <c:pt idx="551">
                  <c:v>4.1831886740406343</c:v>
                </c:pt>
                <c:pt idx="552">
                  <c:v>4.1701960043980577</c:v>
                </c:pt>
                <c:pt idx="553">
                  <c:v>4.1696642203376886</c:v>
                </c:pt>
                <c:pt idx="554">
                  <c:v>4.1486800011591818</c:v>
                </c:pt>
                <c:pt idx="555">
                  <c:v>4.1435371431785839</c:v>
                </c:pt>
                <c:pt idx="556">
                  <c:v>4.1575655512144669</c:v>
                </c:pt>
                <c:pt idx="557">
                  <c:v>4.1809500753891857</c:v>
                </c:pt>
                <c:pt idx="558">
                  <c:v>4.0949683646862614</c:v>
                </c:pt>
                <c:pt idx="559">
                  <c:v>4.1248649211744954</c:v>
                </c:pt>
                <c:pt idx="560">
                  <c:v>4.1353324760473065</c:v>
                </c:pt>
                <c:pt idx="561">
                  <c:v>4.1553418370912159</c:v>
                </c:pt>
                <c:pt idx="562">
                  <c:v>4.1560785126070803</c:v>
                </c:pt>
                <c:pt idx="563">
                  <c:v>4.1398301842733334</c:v>
                </c:pt>
                <c:pt idx="564">
                  <c:v>4.1307748504917878</c:v>
                </c:pt>
                <c:pt idx="565">
                  <c:v>4.1253397957739635</c:v>
                </c:pt>
                <c:pt idx="566">
                  <c:v>4.1097643587247354</c:v>
                </c:pt>
                <c:pt idx="567">
                  <c:v>4.1436563684974832</c:v>
                </c:pt>
                <c:pt idx="568">
                  <c:v>4.1774764892824621</c:v>
                </c:pt>
                <c:pt idx="569">
                  <c:v>4.2256521482142748</c:v>
                </c:pt>
                <c:pt idx="570">
                  <c:v>4.2322995208341245</c:v>
                </c:pt>
                <c:pt idx="571">
                  <c:v>4.2465899353503112</c:v>
                </c:pt>
                <c:pt idx="572">
                  <c:v>4.3020243337311719</c:v>
                </c:pt>
                <c:pt idx="573">
                  <c:v>4.3162362986062313</c:v>
                </c:pt>
                <c:pt idx="574">
                  <c:v>4.3185360539856914</c:v>
                </c:pt>
                <c:pt idx="575">
                  <c:v>4.3083066253854909</c:v>
                </c:pt>
                <c:pt idx="576">
                  <c:v>4.249318359604068</c:v>
                </c:pt>
                <c:pt idx="577">
                  <c:v>4.2486043271949052</c:v>
                </c:pt>
                <c:pt idx="578">
                  <c:v>4.2301240765193739</c:v>
                </c:pt>
                <c:pt idx="579">
                  <c:v>4.2554885058821705</c:v>
                </c:pt>
                <c:pt idx="580">
                  <c:v>4.2250908607491526</c:v>
                </c:pt>
                <c:pt idx="581">
                  <c:v>4.2221538603276958</c:v>
                </c:pt>
                <c:pt idx="582">
                  <c:v>4.184373677122398</c:v>
                </c:pt>
                <c:pt idx="583">
                  <c:v>4.1776732854905996</c:v>
                </c:pt>
                <c:pt idx="584">
                  <c:v>4.2143062295963079</c:v>
                </c:pt>
                <c:pt idx="585">
                  <c:v>4.2194605990418488</c:v>
                </c:pt>
                <c:pt idx="586">
                  <c:v>4.222276445787986</c:v>
                </c:pt>
                <c:pt idx="587">
                  <c:v>4.2279404131362393</c:v>
                </c:pt>
                <c:pt idx="588">
                  <c:v>4.2319282475577165</c:v>
                </c:pt>
                <c:pt idx="589">
                  <c:v>4.174665314092854</c:v>
                </c:pt>
                <c:pt idx="590">
                  <c:v>4.1733565433513906</c:v>
                </c:pt>
                <c:pt idx="591">
                  <c:v>4.1487756722126612</c:v>
                </c:pt>
                <c:pt idx="592">
                  <c:v>4.1652487749098954</c:v>
                </c:pt>
                <c:pt idx="593">
                  <c:v>4.1742356308652848</c:v>
                </c:pt>
                <c:pt idx="594">
                  <c:v>4.1630348033847966</c:v>
                </c:pt>
                <c:pt idx="595">
                  <c:v>4.1324167331369237</c:v>
                </c:pt>
                <c:pt idx="596">
                  <c:v>4.1358671732058605</c:v>
                </c:pt>
                <c:pt idx="597">
                  <c:v>4.1358915799394467</c:v>
                </c:pt>
                <c:pt idx="598">
                  <c:v>4.1459704226355001</c:v>
                </c:pt>
                <c:pt idx="599">
                  <c:v>4.1623254200874928</c:v>
                </c:pt>
                <c:pt idx="600">
                  <c:v>4.1647444712951529</c:v>
                </c:pt>
                <c:pt idx="601">
                  <c:v>4.1418689218854938</c:v>
                </c:pt>
                <c:pt idx="602">
                  <c:v>4.1219488522536594</c:v>
                </c:pt>
                <c:pt idx="603">
                  <c:v>4.135333045464427</c:v>
                </c:pt>
                <c:pt idx="604">
                  <c:v>4.1171387286994534</c:v>
                </c:pt>
                <c:pt idx="605">
                  <c:v>4.1324010104650251</c:v>
                </c:pt>
                <c:pt idx="606">
                  <c:v>4.1243713848587849</c:v>
                </c:pt>
                <c:pt idx="607">
                  <c:v>4.0776566652227064</c:v>
                </c:pt>
                <c:pt idx="608">
                  <c:v>4.0536056186890237</c:v>
                </c:pt>
                <c:pt idx="609">
                  <c:v>4.0724571632195792</c:v>
                </c:pt>
                <c:pt idx="610">
                  <c:v>4.0847321423072458</c:v>
                </c:pt>
                <c:pt idx="611">
                  <c:v>4.0904367747022761</c:v>
                </c:pt>
                <c:pt idx="612">
                  <c:v>4.0823884383840525</c:v>
                </c:pt>
                <c:pt idx="613">
                  <c:v>4.0084550146635562</c:v>
                </c:pt>
                <c:pt idx="614">
                  <c:v>4.0091977995378709</c:v>
                </c:pt>
                <c:pt idx="615">
                  <c:v>4.0064606690623936</c:v>
                </c:pt>
                <c:pt idx="616">
                  <c:v>4.0488250485213069</c:v>
                </c:pt>
                <c:pt idx="617">
                  <c:v>4.0973965139043438</c:v>
                </c:pt>
                <c:pt idx="618">
                  <c:v>4.0878747849028354</c:v>
                </c:pt>
                <c:pt idx="619">
                  <c:v>4.1254206262375792</c:v>
                </c:pt>
                <c:pt idx="620">
                  <c:v>4.1093837070676607</c:v>
                </c:pt>
                <c:pt idx="621">
                  <c:v>4.1426445384183186</c:v>
                </c:pt>
                <c:pt idx="622">
                  <c:v>4.1374468199155912</c:v>
                </c:pt>
                <c:pt idx="623">
                  <c:v>4.1412439101779359</c:v>
                </c:pt>
                <c:pt idx="624">
                  <c:v>4.1391784839340637</c:v>
                </c:pt>
                <c:pt idx="625">
                  <c:v>4.1347572481720194</c:v>
                </c:pt>
                <c:pt idx="626">
                  <c:v>4.1224775430884373</c:v>
                </c:pt>
                <c:pt idx="627">
                  <c:v>4.1368415582192934</c:v>
                </c:pt>
                <c:pt idx="628">
                  <c:v>4.1406511783461806</c:v>
                </c:pt>
                <c:pt idx="629">
                  <c:v>4.1700484665938049</c:v>
                </c:pt>
                <c:pt idx="630">
                  <c:v>4.1307495544040211</c:v>
                </c:pt>
                <c:pt idx="631">
                  <c:v>4.1678427698746718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 w="6350"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strRef>
              <c:f>'Rates Summary'!$A$80:$A$711</c:f>
              <c:strCache>
                <c:ptCount val="63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  <c:pt idx="231">
                  <c:v>2016-02-03</c:v>
                </c:pt>
                <c:pt idx="232">
                  <c:v>2016-02-04</c:v>
                </c:pt>
                <c:pt idx="233">
                  <c:v>2016-02-05</c:v>
                </c:pt>
                <c:pt idx="234">
                  <c:v>2016-02-08</c:v>
                </c:pt>
                <c:pt idx="235">
                  <c:v>2016-02-09</c:v>
                </c:pt>
                <c:pt idx="236">
                  <c:v>2016-02-10</c:v>
                </c:pt>
                <c:pt idx="237">
                  <c:v>2016-02-11</c:v>
                </c:pt>
                <c:pt idx="238">
                  <c:v>2016-02-12</c:v>
                </c:pt>
                <c:pt idx="239">
                  <c:v>2016-02-16</c:v>
                </c:pt>
                <c:pt idx="240">
                  <c:v>2016-02-17</c:v>
                </c:pt>
                <c:pt idx="241">
                  <c:v>2016-02-18</c:v>
                </c:pt>
                <c:pt idx="242">
                  <c:v>2016-02-19</c:v>
                </c:pt>
                <c:pt idx="243">
                  <c:v>2016-02-22</c:v>
                </c:pt>
                <c:pt idx="244">
                  <c:v>2016-02-23</c:v>
                </c:pt>
                <c:pt idx="245">
                  <c:v>2016-02-25</c:v>
                </c:pt>
                <c:pt idx="246">
                  <c:v>2016-02-26</c:v>
                </c:pt>
                <c:pt idx="247">
                  <c:v>2016-02-29</c:v>
                </c:pt>
                <c:pt idx="248">
                  <c:v>2016-03-01</c:v>
                </c:pt>
                <c:pt idx="249">
                  <c:v>2016-03-02</c:v>
                </c:pt>
                <c:pt idx="250">
                  <c:v>2016-03-03</c:v>
                </c:pt>
                <c:pt idx="251">
                  <c:v>2016-03-04</c:v>
                </c:pt>
                <c:pt idx="252">
                  <c:v>2016-03-07</c:v>
                </c:pt>
                <c:pt idx="253">
                  <c:v>2016-03-08</c:v>
                </c:pt>
                <c:pt idx="254">
                  <c:v>2016-03-09</c:v>
                </c:pt>
                <c:pt idx="255">
                  <c:v>2016-03-10</c:v>
                </c:pt>
                <c:pt idx="256">
                  <c:v>2016-03-11</c:v>
                </c:pt>
                <c:pt idx="257">
                  <c:v>2016-03-14</c:v>
                </c:pt>
                <c:pt idx="258">
                  <c:v>2016-03-15</c:v>
                </c:pt>
                <c:pt idx="259">
                  <c:v>2016-03-16</c:v>
                </c:pt>
                <c:pt idx="260">
                  <c:v>2016-03-17</c:v>
                </c:pt>
                <c:pt idx="261">
                  <c:v>2016-03-18</c:v>
                </c:pt>
                <c:pt idx="262">
                  <c:v>2016-03-21</c:v>
                </c:pt>
                <c:pt idx="263">
                  <c:v>2016-03-22</c:v>
                </c:pt>
                <c:pt idx="264">
                  <c:v>2016-03-23</c:v>
                </c:pt>
                <c:pt idx="265">
                  <c:v>2016-03-28</c:v>
                </c:pt>
                <c:pt idx="266">
                  <c:v>2016-03-29</c:v>
                </c:pt>
                <c:pt idx="267">
                  <c:v>2016-03-30</c:v>
                </c:pt>
                <c:pt idx="268">
                  <c:v>2016-03-31</c:v>
                </c:pt>
                <c:pt idx="269">
                  <c:v>2016-04-01</c:v>
                </c:pt>
                <c:pt idx="270">
                  <c:v>2016-04-04</c:v>
                </c:pt>
                <c:pt idx="271">
                  <c:v>2016-04-05</c:v>
                </c:pt>
                <c:pt idx="272">
                  <c:v>2016-04-06</c:v>
                </c:pt>
                <c:pt idx="273">
                  <c:v>2016-04-07</c:v>
                </c:pt>
                <c:pt idx="274">
                  <c:v>2016-04-08</c:v>
                </c:pt>
                <c:pt idx="275">
                  <c:v>2016-04-11</c:v>
                </c:pt>
                <c:pt idx="276">
                  <c:v>2016-04-12</c:v>
                </c:pt>
                <c:pt idx="277">
                  <c:v>2016-04-13</c:v>
                </c:pt>
                <c:pt idx="278">
                  <c:v>2016-04-14</c:v>
                </c:pt>
                <c:pt idx="279">
                  <c:v>2016-04-15</c:v>
                </c:pt>
                <c:pt idx="280">
                  <c:v>2016-04-18</c:v>
                </c:pt>
                <c:pt idx="281">
                  <c:v>2016-04-19</c:v>
                </c:pt>
                <c:pt idx="282">
                  <c:v>2016-04-20</c:v>
                </c:pt>
                <c:pt idx="283">
                  <c:v>2016-04-21</c:v>
                </c:pt>
                <c:pt idx="284">
                  <c:v>2016-04-22</c:v>
                </c:pt>
                <c:pt idx="285">
                  <c:v>2016-04-25</c:v>
                </c:pt>
                <c:pt idx="286">
                  <c:v>2016-04-26</c:v>
                </c:pt>
                <c:pt idx="287">
                  <c:v>2016-04-27</c:v>
                </c:pt>
                <c:pt idx="288">
                  <c:v>2016-04-28</c:v>
                </c:pt>
                <c:pt idx="289">
                  <c:v>2016-04-29</c:v>
                </c:pt>
                <c:pt idx="290">
                  <c:v>2016-05-03</c:v>
                </c:pt>
                <c:pt idx="291">
                  <c:v>2016-05-04</c:v>
                </c:pt>
                <c:pt idx="292">
                  <c:v>2016-05-05</c:v>
                </c:pt>
                <c:pt idx="293">
                  <c:v>2016-05-06</c:v>
                </c:pt>
                <c:pt idx="294">
                  <c:v>2016-05-09</c:v>
                </c:pt>
                <c:pt idx="295">
                  <c:v>2016-05-10</c:v>
                </c:pt>
                <c:pt idx="296">
                  <c:v>2016-05-11</c:v>
                </c:pt>
                <c:pt idx="297">
                  <c:v>2016-05-12</c:v>
                </c:pt>
                <c:pt idx="298">
                  <c:v>2016-05-13</c:v>
                </c:pt>
                <c:pt idx="299">
                  <c:v>2016-05-16</c:v>
                </c:pt>
                <c:pt idx="300">
                  <c:v>2016-05-17</c:v>
                </c:pt>
                <c:pt idx="301">
                  <c:v>2016-05-18</c:v>
                </c:pt>
                <c:pt idx="302">
                  <c:v>2016-05-19</c:v>
                </c:pt>
                <c:pt idx="303">
                  <c:v>2016-05-20</c:v>
                </c:pt>
                <c:pt idx="304">
                  <c:v>2016-05-23</c:v>
                </c:pt>
                <c:pt idx="305">
                  <c:v>2016-05-24</c:v>
                </c:pt>
                <c:pt idx="306">
                  <c:v>2016-05-25</c:v>
                </c:pt>
                <c:pt idx="307">
                  <c:v>2016-05-26</c:v>
                </c:pt>
                <c:pt idx="308">
                  <c:v>2016-05-27</c:v>
                </c:pt>
                <c:pt idx="309">
                  <c:v>2016-05-31</c:v>
                </c:pt>
                <c:pt idx="310">
                  <c:v>2016-06-01</c:v>
                </c:pt>
                <c:pt idx="311">
                  <c:v>2016-06-02</c:v>
                </c:pt>
                <c:pt idx="312">
                  <c:v>2016-06-03</c:v>
                </c:pt>
                <c:pt idx="313">
                  <c:v>2016-06-06</c:v>
                </c:pt>
                <c:pt idx="314">
                  <c:v>2016-06-07</c:v>
                </c:pt>
                <c:pt idx="315">
                  <c:v>2016-06-08</c:v>
                </c:pt>
                <c:pt idx="316">
                  <c:v>2016-06-09</c:v>
                </c:pt>
                <c:pt idx="317">
                  <c:v>2016-06-10</c:v>
                </c:pt>
                <c:pt idx="318">
                  <c:v>2016-06-13</c:v>
                </c:pt>
                <c:pt idx="319">
                  <c:v>2016-06-14</c:v>
                </c:pt>
                <c:pt idx="320">
                  <c:v>2016-06-15</c:v>
                </c:pt>
                <c:pt idx="321">
                  <c:v>2016-06-16</c:v>
                </c:pt>
                <c:pt idx="322">
                  <c:v>2016-06-17</c:v>
                </c:pt>
                <c:pt idx="323">
                  <c:v>2016-06-20</c:v>
                </c:pt>
                <c:pt idx="324">
                  <c:v>2016-06-21</c:v>
                </c:pt>
                <c:pt idx="325">
                  <c:v>2016-06-22</c:v>
                </c:pt>
                <c:pt idx="326">
                  <c:v>2016-06-23</c:v>
                </c:pt>
                <c:pt idx="327">
                  <c:v>2016-06-24</c:v>
                </c:pt>
                <c:pt idx="328">
                  <c:v>2016-06-27</c:v>
                </c:pt>
                <c:pt idx="329">
                  <c:v>2016-06-28</c:v>
                </c:pt>
                <c:pt idx="330">
                  <c:v>2016-06-29</c:v>
                </c:pt>
                <c:pt idx="331">
                  <c:v>2016-06-30</c:v>
                </c:pt>
                <c:pt idx="332">
                  <c:v>2016-07-01</c:v>
                </c:pt>
                <c:pt idx="333">
                  <c:v>2016-07-05</c:v>
                </c:pt>
                <c:pt idx="334">
                  <c:v>2016-07-06</c:v>
                </c:pt>
                <c:pt idx="335">
                  <c:v>2016-07-07</c:v>
                </c:pt>
                <c:pt idx="336">
                  <c:v>2016-07-11</c:v>
                </c:pt>
                <c:pt idx="337">
                  <c:v>2016-07-12</c:v>
                </c:pt>
                <c:pt idx="338">
                  <c:v>2016-07-13</c:v>
                </c:pt>
                <c:pt idx="339">
                  <c:v>2016-07-14</c:v>
                </c:pt>
                <c:pt idx="340">
                  <c:v>2016-07-15</c:v>
                </c:pt>
                <c:pt idx="341">
                  <c:v>2016-07-18</c:v>
                </c:pt>
                <c:pt idx="342">
                  <c:v>2016-07-19</c:v>
                </c:pt>
                <c:pt idx="343">
                  <c:v>2016-07-20</c:v>
                </c:pt>
                <c:pt idx="344">
                  <c:v>2016-07-21</c:v>
                </c:pt>
                <c:pt idx="345">
                  <c:v>2016-07-22</c:v>
                </c:pt>
                <c:pt idx="346">
                  <c:v>2016-07-25</c:v>
                </c:pt>
                <c:pt idx="347">
                  <c:v>2016-07-26</c:v>
                </c:pt>
                <c:pt idx="348">
                  <c:v>2016-07-27</c:v>
                </c:pt>
                <c:pt idx="349">
                  <c:v>2016-07-28</c:v>
                </c:pt>
                <c:pt idx="350">
                  <c:v>2016-07-29</c:v>
                </c:pt>
                <c:pt idx="351">
                  <c:v>2016-08-01</c:v>
                </c:pt>
                <c:pt idx="352">
                  <c:v>2016-08-02</c:v>
                </c:pt>
                <c:pt idx="353">
                  <c:v>2016-08-03</c:v>
                </c:pt>
                <c:pt idx="354">
                  <c:v>2016-08-04</c:v>
                </c:pt>
                <c:pt idx="355">
                  <c:v>2016-08-05</c:v>
                </c:pt>
                <c:pt idx="356">
                  <c:v>2016-08-08</c:v>
                </c:pt>
                <c:pt idx="357">
                  <c:v>2016-08-09</c:v>
                </c:pt>
                <c:pt idx="358">
                  <c:v>2016-08-10</c:v>
                </c:pt>
                <c:pt idx="359">
                  <c:v>2016-08-15</c:v>
                </c:pt>
                <c:pt idx="360">
                  <c:v>2016-08-16</c:v>
                </c:pt>
                <c:pt idx="361">
                  <c:v>2016-08-17</c:v>
                </c:pt>
                <c:pt idx="362">
                  <c:v>2016-08-18</c:v>
                </c:pt>
                <c:pt idx="363">
                  <c:v>2016-08-19</c:v>
                </c:pt>
                <c:pt idx="364">
                  <c:v>2016-08-22</c:v>
                </c:pt>
                <c:pt idx="365">
                  <c:v>2016-08-23</c:v>
                </c:pt>
                <c:pt idx="366">
                  <c:v>2016-08-24</c:v>
                </c:pt>
                <c:pt idx="367">
                  <c:v>2016-08-29</c:v>
                </c:pt>
                <c:pt idx="368">
                  <c:v>2016-08-30</c:v>
                </c:pt>
                <c:pt idx="369">
                  <c:v>2016-08-31</c:v>
                </c:pt>
                <c:pt idx="370">
                  <c:v>2016-09-01</c:v>
                </c:pt>
                <c:pt idx="371">
                  <c:v>2016-09-07</c:v>
                </c:pt>
                <c:pt idx="372">
                  <c:v>2016-09-08</c:v>
                </c:pt>
                <c:pt idx="373">
                  <c:v>2016-09-12</c:v>
                </c:pt>
                <c:pt idx="374">
                  <c:v>2016-09-13</c:v>
                </c:pt>
                <c:pt idx="375">
                  <c:v>2016-09-14</c:v>
                </c:pt>
                <c:pt idx="376">
                  <c:v>2016-09-15</c:v>
                </c:pt>
                <c:pt idx="377">
                  <c:v>2016-09-16</c:v>
                </c:pt>
                <c:pt idx="378">
                  <c:v>2016-09-19</c:v>
                </c:pt>
                <c:pt idx="379">
                  <c:v>2016-09-20</c:v>
                </c:pt>
                <c:pt idx="380">
                  <c:v>2016-09-21</c:v>
                </c:pt>
                <c:pt idx="381">
                  <c:v>2016-09-22</c:v>
                </c:pt>
                <c:pt idx="382">
                  <c:v>2016-09-23</c:v>
                </c:pt>
                <c:pt idx="383">
                  <c:v>2016-09-26</c:v>
                </c:pt>
                <c:pt idx="384">
                  <c:v>2016-09-27</c:v>
                </c:pt>
                <c:pt idx="385">
                  <c:v>2016-09-28</c:v>
                </c:pt>
                <c:pt idx="386">
                  <c:v>2016-09-29</c:v>
                </c:pt>
                <c:pt idx="387">
                  <c:v>2016-09-30</c:v>
                </c:pt>
                <c:pt idx="388">
                  <c:v>2016-10-03</c:v>
                </c:pt>
                <c:pt idx="389">
                  <c:v>2016-10-04</c:v>
                </c:pt>
                <c:pt idx="390">
                  <c:v>2016-10-05</c:v>
                </c:pt>
                <c:pt idx="391">
                  <c:v>2016-10-06</c:v>
                </c:pt>
                <c:pt idx="392">
                  <c:v>2016-10-07</c:v>
                </c:pt>
                <c:pt idx="393">
                  <c:v>2016-10-11</c:v>
                </c:pt>
                <c:pt idx="394">
                  <c:v>2016-10-12</c:v>
                </c:pt>
                <c:pt idx="395">
                  <c:v>2016-10-13</c:v>
                </c:pt>
                <c:pt idx="396">
                  <c:v>2016-10-14</c:v>
                </c:pt>
                <c:pt idx="397">
                  <c:v>2016-10-17</c:v>
                </c:pt>
                <c:pt idx="398">
                  <c:v>2016-10-18</c:v>
                </c:pt>
                <c:pt idx="399">
                  <c:v>2016-10-19</c:v>
                </c:pt>
                <c:pt idx="400">
                  <c:v>2016-10-20</c:v>
                </c:pt>
                <c:pt idx="401">
                  <c:v>2016-10-21</c:v>
                </c:pt>
                <c:pt idx="402">
                  <c:v>2016-10-24</c:v>
                </c:pt>
                <c:pt idx="403">
                  <c:v>2016-10-25</c:v>
                </c:pt>
                <c:pt idx="404">
                  <c:v>2016-10-26</c:v>
                </c:pt>
                <c:pt idx="405">
                  <c:v>2016-10-27</c:v>
                </c:pt>
                <c:pt idx="406">
                  <c:v>2016-10-28</c:v>
                </c:pt>
                <c:pt idx="407">
                  <c:v>2016-10-31</c:v>
                </c:pt>
                <c:pt idx="408">
                  <c:v>2016-11-01</c:v>
                </c:pt>
                <c:pt idx="409">
                  <c:v>2016-11-02</c:v>
                </c:pt>
                <c:pt idx="410">
                  <c:v>2016-11-03</c:v>
                </c:pt>
                <c:pt idx="411">
                  <c:v>2016-11-04</c:v>
                </c:pt>
                <c:pt idx="412">
                  <c:v>2016-11-07</c:v>
                </c:pt>
                <c:pt idx="413">
                  <c:v>2016-11-08</c:v>
                </c:pt>
                <c:pt idx="414">
                  <c:v>2016-11-09</c:v>
                </c:pt>
                <c:pt idx="415">
                  <c:v>2016-11-10</c:v>
                </c:pt>
                <c:pt idx="416">
                  <c:v>2016-11-14</c:v>
                </c:pt>
                <c:pt idx="417">
                  <c:v>2016-11-15</c:v>
                </c:pt>
                <c:pt idx="418">
                  <c:v>2016-11-16</c:v>
                </c:pt>
                <c:pt idx="419">
                  <c:v>2016-11-17</c:v>
                </c:pt>
                <c:pt idx="420">
                  <c:v>2016-11-18</c:v>
                </c:pt>
                <c:pt idx="421">
                  <c:v>2016-11-21</c:v>
                </c:pt>
                <c:pt idx="422">
                  <c:v>2016-11-22</c:v>
                </c:pt>
                <c:pt idx="423">
                  <c:v>2016-11-23</c:v>
                </c:pt>
                <c:pt idx="424">
                  <c:v>2016-11-25</c:v>
                </c:pt>
                <c:pt idx="425">
                  <c:v>2016-11-28</c:v>
                </c:pt>
                <c:pt idx="426">
                  <c:v>2016-11-29</c:v>
                </c:pt>
                <c:pt idx="427">
                  <c:v>2016-11-30</c:v>
                </c:pt>
                <c:pt idx="428">
                  <c:v>2016-12-01</c:v>
                </c:pt>
                <c:pt idx="429">
                  <c:v>2016-12-02</c:v>
                </c:pt>
                <c:pt idx="430">
                  <c:v>2016-12-05</c:v>
                </c:pt>
                <c:pt idx="431">
                  <c:v>2016-12-06</c:v>
                </c:pt>
                <c:pt idx="432">
                  <c:v>2016-12-07</c:v>
                </c:pt>
                <c:pt idx="433">
                  <c:v>2016-12-08</c:v>
                </c:pt>
                <c:pt idx="434">
                  <c:v>2016-12-09</c:v>
                </c:pt>
                <c:pt idx="435">
                  <c:v>2016-12-12</c:v>
                </c:pt>
                <c:pt idx="436">
                  <c:v>2016-12-13</c:v>
                </c:pt>
                <c:pt idx="437">
                  <c:v>2016-12-14</c:v>
                </c:pt>
                <c:pt idx="438">
                  <c:v>2016-12-15</c:v>
                </c:pt>
                <c:pt idx="439">
                  <c:v>2016-12-16</c:v>
                </c:pt>
                <c:pt idx="440">
                  <c:v>2016-12-19</c:v>
                </c:pt>
                <c:pt idx="441">
                  <c:v>2016-12-20</c:v>
                </c:pt>
                <c:pt idx="442">
                  <c:v>2016-12-21</c:v>
                </c:pt>
                <c:pt idx="443">
                  <c:v>2016-12-22</c:v>
                </c:pt>
                <c:pt idx="444">
                  <c:v>2016-12-23</c:v>
                </c:pt>
                <c:pt idx="445">
                  <c:v>2016-12-27</c:v>
                </c:pt>
                <c:pt idx="446">
                  <c:v>2016-12-28</c:v>
                </c:pt>
                <c:pt idx="447">
                  <c:v>2016-12-29</c:v>
                </c:pt>
                <c:pt idx="448">
                  <c:v>2016-12-30</c:v>
                </c:pt>
                <c:pt idx="449">
                  <c:v>2017-01-03</c:v>
                </c:pt>
                <c:pt idx="450">
                  <c:v>2017-01-04</c:v>
                </c:pt>
                <c:pt idx="451">
                  <c:v>2017-01-05</c:v>
                </c:pt>
                <c:pt idx="452">
                  <c:v>2017-01-06</c:v>
                </c:pt>
                <c:pt idx="453">
                  <c:v>2017-01-09</c:v>
                </c:pt>
                <c:pt idx="454">
                  <c:v>2017-01-10</c:v>
                </c:pt>
                <c:pt idx="455">
                  <c:v>2017-01-11</c:v>
                </c:pt>
                <c:pt idx="456">
                  <c:v>2017-01-12</c:v>
                </c:pt>
                <c:pt idx="457">
                  <c:v>2017-01-13</c:v>
                </c:pt>
                <c:pt idx="458">
                  <c:v>2017-01-17</c:v>
                </c:pt>
                <c:pt idx="459">
                  <c:v>2017-01-18</c:v>
                </c:pt>
                <c:pt idx="460">
                  <c:v>2017-01-19</c:v>
                </c:pt>
                <c:pt idx="461">
                  <c:v>2017-01-20</c:v>
                </c:pt>
                <c:pt idx="462">
                  <c:v>2017-01-23</c:v>
                </c:pt>
                <c:pt idx="463">
                  <c:v>2017-01-24</c:v>
                </c:pt>
                <c:pt idx="464">
                  <c:v>2017-01-25</c:v>
                </c:pt>
                <c:pt idx="465">
                  <c:v>2017-01-26</c:v>
                </c:pt>
                <c:pt idx="466">
                  <c:v>2017-01-27</c:v>
                </c:pt>
                <c:pt idx="467">
                  <c:v>2017-01-30</c:v>
                </c:pt>
                <c:pt idx="468">
                  <c:v>2017-01-31</c:v>
                </c:pt>
                <c:pt idx="469">
                  <c:v>2017-02-01</c:v>
                </c:pt>
                <c:pt idx="470">
                  <c:v>2017-02-02</c:v>
                </c:pt>
                <c:pt idx="471">
                  <c:v>2017-02-03</c:v>
                </c:pt>
                <c:pt idx="472">
                  <c:v>2017-02-06</c:v>
                </c:pt>
                <c:pt idx="473">
                  <c:v>2017-02-07</c:v>
                </c:pt>
                <c:pt idx="474">
                  <c:v>2017-02-08</c:v>
                </c:pt>
                <c:pt idx="475">
                  <c:v>2017-02-10</c:v>
                </c:pt>
                <c:pt idx="476">
                  <c:v>2017-02-13</c:v>
                </c:pt>
                <c:pt idx="477">
                  <c:v>2017-02-14</c:v>
                </c:pt>
                <c:pt idx="478">
                  <c:v>2017-02-15</c:v>
                </c:pt>
                <c:pt idx="479">
                  <c:v>2017-02-16</c:v>
                </c:pt>
                <c:pt idx="480">
                  <c:v>2017-02-17</c:v>
                </c:pt>
                <c:pt idx="481">
                  <c:v>2017-02-21</c:v>
                </c:pt>
                <c:pt idx="482">
                  <c:v>2017-02-22</c:v>
                </c:pt>
                <c:pt idx="483">
                  <c:v>2017-02-23</c:v>
                </c:pt>
                <c:pt idx="484">
                  <c:v>2017-02-24</c:v>
                </c:pt>
                <c:pt idx="485">
                  <c:v>2017-02-27</c:v>
                </c:pt>
                <c:pt idx="486">
                  <c:v>2017-02-28</c:v>
                </c:pt>
                <c:pt idx="487">
                  <c:v>2017-03-01</c:v>
                </c:pt>
                <c:pt idx="488">
                  <c:v>2017-03-02</c:v>
                </c:pt>
                <c:pt idx="489">
                  <c:v>2017-03-03</c:v>
                </c:pt>
                <c:pt idx="490">
                  <c:v>2017-03-06</c:v>
                </c:pt>
                <c:pt idx="491">
                  <c:v>2017-03-07</c:v>
                </c:pt>
                <c:pt idx="492">
                  <c:v>2017-03-08</c:v>
                </c:pt>
                <c:pt idx="493">
                  <c:v>2017-03-09</c:v>
                </c:pt>
                <c:pt idx="494">
                  <c:v>2017-03-10</c:v>
                </c:pt>
                <c:pt idx="495">
                  <c:v>2017-03-13</c:v>
                </c:pt>
                <c:pt idx="496">
                  <c:v>2017-03-14</c:v>
                </c:pt>
                <c:pt idx="497">
                  <c:v>2017-03-15</c:v>
                </c:pt>
                <c:pt idx="498">
                  <c:v>2017-03-16</c:v>
                </c:pt>
                <c:pt idx="499">
                  <c:v>2017-03-17</c:v>
                </c:pt>
                <c:pt idx="500">
                  <c:v>2017-03-20</c:v>
                </c:pt>
                <c:pt idx="501">
                  <c:v>2017-03-21</c:v>
                </c:pt>
                <c:pt idx="502">
                  <c:v>2017-03-22</c:v>
                </c:pt>
                <c:pt idx="503">
                  <c:v>2017-03-23</c:v>
                </c:pt>
                <c:pt idx="504">
                  <c:v>2017-03-24</c:v>
                </c:pt>
                <c:pt idx="505">
                  <c:v>2017-03-27</c:v>
                </c:pt>
                <c:pt idx="506">
                  <c:v>2017-03-28</c:v>
                </c:pt>
                <c:pt idx="507">
                  <c:v>2017-03-29</c:v>
                </c:pt>
                <c:pt idx="508">
                  <c:v>2017-03-30</c:v>
                </c:pt>
                <c:pt idx="509">
                  <c:v>2017-03-31</c:v>
                </c:pt>
                <c:pt idx="510">
                  <c:v>2017-04-03</c:v>
                </c:pt>
                <c:pt idx="511">
                  <c:v>2017-04-04</c:v>
                </c:pt>
                <c:pt idx="512">
                  <c:v>2017-04-05</c:v>
                </c:pt>
                <c:pt idx="513">
                  <c:v>2017-04-06</c:v>
                </c:pt>
                <c:pt idx="514">
                  <c:v>2017-04-07</c:v>
                </c:pt>
                <c:pt idx="515">
                  <c:v>2017-04-10</c:v>
                </c:pt>
                <c:pt idx="516">
                  <c:v>2017-04-11</c:v>
                </c:pt>
                <c:pt idx="517">
                  <c:v>2017-04-12</c:v>
                </c:pt>
                <c:pt idx="518">
                  <c:v>2017-04-13</c:v>
                </c:pt>
                <c:pt idx="519">
                  <c:v>2017-04-17</c:v>
                </c:pt>
                <c:pt idx="520">
                  <c:v>2017-04-18</c:v>
                </c:pt>
                <c:pt idx="521">
                  <c:v>2017-04-19</c:v>
                </c:pt>
                <c:pt idx="522">
                  <c:v>2017-04-20</c:v>
                </c:pt>
                <c:pt idx="523">
                  <c:v>2017-04-21</c:v>
                </c:pt>
                <c:pt idx="524">
                  <c:v>2017-04-24</c:v>
                </c:pt>
                <c:pt idx="525">
                  <c:v>2017-04-25</c:v>
                </c:pt>
                <c:pt idx="526">
                  <c:v>2017-04-26</c:v>
                </c:pt>
                <c:pt idx="527">
                  <c:v>2017-04-27</c:v>
                </c:pt>
                <c:pt idx="528">
                  <c:v>2017-04-28</c:v>
                </c:pt>
                <c:pt idx="529">
                  <c:v>2017-05-01</c:v>
                </c:pt>
                <c:pt idx="530">
                  <c:v>2017-05-02</c:v>
                </c:pt>
                <c:pt idx="531">
                  <c:v>2017-05-03</c:v>
                </c:pt>
                <c:pt idx="532">
                  <c:v>2017-05-04</c:v>
                </c:pt>
                <c:pt idx="533">
                  <c:v>2017-05-05</c:v>
                </c:pt>
                <c:pt idx="534">
                  <c:v>2017-05-08</c:v>
                </c:pt>
                <c:pt idx="535">
                  <c:v>2017-05-10</c:v>
                </c:pt>
                <c:pt idx="536">
                  <c:v>2017-05-11</c:v>
                </c:pt>
                <c:pt idx="537">
                  <c:v>2017-05-12</c:v>
                </c:pt>
                <c:pt idx="538">
                  <c:v>2017-05-15</c:v>
                </c:pt>
                <c:pt idx="539">
                  <c:v>2017-05-16</c:v>
                </c:pt>
                <c:pt idx="540">
                  <c:v>2017-05-17</c:v>
                </c:pt>
                <c:pt idx="541">
                  <c:v>2017-05-18</c:v>
                </c:pt>
                <c:pt idx="542">
                  <c:v>2017-05-19</c:v>
                </c:pt>
                <c:pt idx="543">
                  <c:v>2017-05-22</c:v>
                </c:pt>
                <c:pt idx="544">
                  <c:v>2017-05-23</c:v>
                </c:pt>
                <c:pt idx="545">
                  <c:v>2017-05-24</c:v>
                </c:pt>
                <c:pt idx="546">
                  <c:v>2017-05-25</c:v>
                </c:pt>
                <c:pt idx="547">
                  <c:v>2017-05-30</c:v>
                </c:pt>
                <c:pt idx="548">
                  <c:v>2017-05-31</c:v>
                </c:pt>
                <c:pt idx="549">
                  <c:v>2017-06-01</c:v>
                </c:pt>
                <c:pt idx="550">
                  <c:v>2017-06-02</c:v>
                </c:pt>
                <c:pt idx="551">
                  <c:v>2017-06-05</c:v>
                </c:pt>
                <c:pt idx="552">
                  <c:v>2017-06-06</c:v>
                </c:pt>
                <c:pt idx="553">
                  <c:v>2017-06-07</c:v>
                </c:pt>
                <c:pt idx="554">
                  <c:v>2017-06-08</c:v>
                </c:pt>
                <c:pt idx="555">
                  <c:v>2017-06-09</c:v>
                </c:pt>
                <c:pt idx="556">
                  <c:v>2017-06-12</c:v>
                </c:pt>
                <c:pt idx="557">
                  <c:v>2017-06-13</c:v>
                </c:pt>
                <c:pt idx="558">
                  <c:v>2017-06-14</c:v>
                </c:pt>
                <c:pt idx="559">
                  <c:v>2017-06-15</c:v>
                </c:pt>
                <c:pt idx="560">
                  <c:v>2017-06-16</c:v>
                </c:pt>
                <c:pt idx="561">
                  <c:v>2017-06-19</c:v>
                </c:pt>
                <c:pt idx="562">
                  <c:v>2017-06-20</c:v>
                </c:pt>
                <c:pt idx="563">
                  <c:v>2017-06-21</c:v>
                </c:pt>
                <c:pt idx="564">
                  <c:v>2017-06-22</c:v>
                </c:pt>
                <c:pt idx="565">
                  <c:v>2017-06-23</c:v>
                </c:pt>
                <c:pt idx="566">
                  <c:v>2017-06-26</c:v>
                </c:pt>
                <c:pt idx="567">
                  <c:v>2017-06-27</c:v>
                </c:pt>
                <c:pt idx="568">
                  <c:v>2017-06-28</c:v>
                </c:pt>
                <c:pt idx="569">
                  <c:v>2017-06-29</c:v>
                </c:pt>
                <c:pt idx="570">
                  <c:v>2017-06-30</c:v>
                </c:pt>
                <c:pt idx="571">
                  <c:v>2017-07-03</c:v>
                </c:pt>
                <c:pt idx="572">
                  <c:v>2017-07-05</c:v>
                </c:pt>
                <c:pt idx="573">
                  <c:v>2017-07-07</c:v>
                </c:pt>
                <c:pt idx="574">
                  <c:v>2017-07-10</c:v>
                </c:pt>
                <c:pt idx="575">
                  <c:v>2017-07-11</c:v>
                </c:pt>
                <c:pt idx="576">
                  <c:v>2017-07-12</c:v>
                </c:pt>
                <c:pt idx="577">
                  <c:v>2017-07-13</c:v>
                </c:pt>
                <c:pt idx="578">
                  <c:v>2017-07-14</c:v>
                </c:pt>
                <c:pt idx="579">
                  <c:v>2017-07-17</c:v>
                </c:pt>
                <c:pt idx="580">
                  <c:v>2017-07-18</c:v>
                </c:pt>
                <c:pt idx="581">
                  <c:v>2017-07-19</c:v>
                </c:pt>
                <c:pt idx="582">
                  <c:v>2017-07-21</c:v>
                </c:pt>
                <c:pt idx="583">
                  <c:v>2017-07-24</c:v>
                </c:pt>
                <c:pt idx="584">
                  <c:v>2017-07-25</c:v>
                </c:pt>
                <c:pt idx="585">
                  <c:v>2017-07-26</c:v>
                </c:pt>
                <c:pt idx="586">
                  <c:v>2017-07-27</c:v>
                </c:pt>
                <c:pt idx="587">
                  <c:v>2017-07-28</c:v>
                </c:pt>
                <c:pt idx="588">
                  <c:v>2017-07-31</c:v>
                </c:pt>
                <c:pt idx="589">
                  <c:v>2017-08-01</c:v>
                </c:pt>
                <c:pt idx="590">
                  <c:v>2017-08-02</c:v>
                </c:pt>
                <c:pt idx="591">
                  <c:v>2017-08-03</c:v>
                </c:pt>
                <c:pt idx="592">
                  <c:v>2017-08-04</c:v>
                </c:pt>
                <c:pt idx="593">
                  <c:v>2017-08-07</c:v>
                </c:pt>
                <c:pt idx="594">
                  <c:v>2017-08-08</c:v>
                </c:pt>
                <c:pt idx="595">
                  <c:v>2017-08-09</c:v>
                </c:pt>
                <c:pt idx="596">
                  <c:v>2017-08-10</c:v>
                </c:pt>
                <c:pt idx="597">
                  <c:v>2017-08-11</c:v>
                </c:pt>
                <c:pt idx="598">
                  <c:v>2017-08-14</c:v>
                </c:pt>
                <c:pt idx="599">
                  <c:v>2017-08-15</c:v>
                </c:pt>
                <c:pt idx="600">
                  <c:v>2017-08-16</c:v>
                </c:pt>
                <c:pt idx="601">
                  <c:v>2017-08-17</c:v>
                </c:pt>
                <c:pt idx="602">
                  <c:v>2017-08-18</c:v>
                </c:pt>
                <c:pt idx="603">
                  <c:v>2017-08-22</c:v>
                </c:pt>
                <c:pt idx="604">
                  <c:v>2017-08-23</c:v>
                </c:pt>
                <c:pt idx="605">
                  <c:v>2017-08-24</c:v>
                </c:pt>
                <c:pt idx="606">
                  <c:v>2017-08-25</c:v>
                </c:pt>
                <c:pt idx="607">
                  <c:v>2017-08-28</c:v>
                </c:pt>
                <c:pt idx="608">
                  <c:v>2017-08-29</c:v>
                </c:pt>
                <c:pt idx="609">
                  <c:v>2017-08-30</c:v>
                </c:pt>
                <c:pt idx="610">
                  <c:v>2017-08-31</c:v>
                </c:pt>
                <c:pt idx="611">
                  <c:v>2017-09-01</c:v>
                </c:pt>
                <c:pt idx="612">
                  <c:v>2017-09-05</c:v>
                </c:pt>
                <c:pt idx="613">
                  <c:v>2017-09-06</c:v>
                </c:pt>
                <c:pt idx="614">
                  <c:v>2017-09-07</c:v>
                </c:pt>
                <c:pt idx="615">
                  <c:v>2017-09-08</c:v>
                </c:pt>
                <c:pt idx="616">
                  <c:v>2017-09-11</c:v>
                </c:pt>
                <c:pt idx="617">
                  <c:v>2017-09-12</c:v>
                </c:pt>
                <c:pt idx="618">
                  <c:v>2017-09-13</c:v>
                </c:pt>
                <c:pt idx="619">
                  <c:v>2017-09-14</c:v>
                </c:pt>
                <c:pt idx="620">
                  <c:v>2017-09-15</c:v>
                </c:pt>
                <c:pt idx="621">
                  <c:v>2017-09-18</c:v>
                </c:pt>
                <c:pt idx="622">
                  <c:v>2017-09-19</c:v>
                </c:pt>
                <c:pt idx="623">
                  <c:v>2017-09-20</c:v>
                </c:pt>
                <c:pt idx="624">
                  <c:v>2017-09-21</c:v>
                </c:pt>
                <c:pt idx="625">
                  <c:v>2017-09-22</c:v>
                </c:pt>
                <c:pt idx="626">
                  <c:v>2017-09-25</c:v>
                </c:pt>
                <c:pt idx="627">
                  <c:v>2017-09-26</c:v>
                </c:pt>
                <c:pt idx="628">
                  <c:v>2017-09-27</c:v>
                </c:pt>
                <c:pt idx="629">
                  <c:v>2017-09-28</c:v>
                </c:pt>
                <c:pt idx="630">
                  <c:v>2017-09-29</c:v>
                </c:pt>
                <c:pt idx="631">
                  <c:v>2017-10-02</c:v>
                </c:pt>
              </c:strCache>
            </c:strRef>
          </c:cat>
          <c:val>
            <c:numRef>
              <c:f>'Rates Summary'!$C$80:$C$711</c:f>
              <c:numCache>
                <c:formatCode>General</c:formatCode>
                <c:ptCount val="632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  <c:pt idx="9">
                  <c:v>3.9717500000000001</c:v>
                </c:pt>
                <c:pt idx="10">
                  <c:v>3.9717500000000001</c:v>
                </c:pt>
                <c:pt idx="11">
                  <c:v>3.8759999999999994</c:v>
                </c:pt>
                <c:pt idx="12">
                  <c:v>3.8441249999999996</c:v>
                </c:pt>
                <c:pt idx="13">
                  <c:v>3.9077500000000001</c:v>
                </c:pt>
                <c:pt idx="14">
                  <c:v>3.8759999999999994</c:v>
                </c:pt>
                <c:pt idx="15">
                  <c:v>3.8441249999999996</c:v>
                </c:pt>
                <c:pt idx="16">
                  <c:v>3.8441249999999996</c:v>
                </c:pt>
                <c:pt idx="17">
                  <c:v>3.9077500000000001</c:v>
                </c:pt>
                <c:pt idx="18">
                  <c:v>3.9077500000000001</c:v>
                </c:pt>
                <c:pt idx="19">
                  <c:v>3.9077500000000001</c:v>
                </c:pt>
                <c:pt idx="20">
                  <c:v>3.8759999999999994</c:v>
                </c:pt>
                <c:pt idx="21">
                  <c:v>3.8123749999999998</c:v>
                </c:pt>
                <c:pt idx="22">
                  <c:v>3.7805</c:v>
                </c:pt>
                <c:pt idx="23">
                  <c:v>3.7805</c:v>
                </c:pt>
                <c:pt idx="24">
                  <c:v>3.964</c:v>
                </c:pt>
                <c:pt idx="25">
                  <c:v>3.964</c:v>
                </c:pt>
                <c:pt idx="26">
                  <c:v>4.0271249999999998</c:v>
                </c:pt>
                <c:pt idx="27">
                  <c:v>3.9634999999999998</c:v>
                </c:pt>
                <c:pt idx="28">
                  <c:v>4.0271249999999998</c:v>
                </c:pt>
                <c:pt idx="29">
                  <c:v>4.0271249999999998</c:v>
                </c:pt>
                <c:pt idx="30">
                  <c:v>3.8995000000000002</c:v>
                </c:pt>
                <c:pt idx="31">
                  <c:v>3.8995000000000002</c:v>
                </c:pt>
                <c:pt idx="32">
                  <c:v>3.9634999999999998</c:v>
                </c:pt>
                <c:pt idx="33">
                  <c:v>3.9634999999999998</c:v>
                </c:pt>
                <c:pt idx="34">
                  <c:v>3.8995000000000002</c:v>
                </c:pt>
                <c:pt idx="35">
                  <c:v>3.9634999999999998</c:v>
                </c:pt>
                <c:pt idx="36">
                  <c:v>4.0271249999999998</c:v>
                </c:pt>
                <c:pt idx="37">
                  <c:v>4.0271249999999998</c:v>
                </c:pt>
                <c:pt idx="38">
                  <c:v>3.9953749999999997</c:v>
                </c:pt>
                <c:pt idx="39">
                  <c:v>4.0271249999999998</c:v>
                </c:pt>
                <c:pt idx="40">
                  <c:v>3.9321250000000001</c:v>
                </c:pt>
                <c:pt idx="41">
                  <c:v>4.0274999999999999</c:v>
                </c:pt>
                <c:pt idx="42">
                  <c:v>3.9957500000000001</c:v>
                </c:pt>
                <c:pt idx="43">
                  <c:v>3.9957500000000001</c:v>
                </c:pt>
                <c:pt idx="44">
                  <c:v>4.0593750000000002</c:v>
                </c:pt>
                <c:pt idx="45">
                  <c:v>4.0911249999999999</c:v>
                </c:pt>
                <c:pt idx="46">
                  <c:v>4.1547499999999999</c:v>
                </c:pt>
                <c:pt idx="47">
                  <c:v>4.1547499999999999</c:v>
                </c:pt>
                <c:pt idx="48">
                  <c:v>4.0274999999999999</c:v>
                </c:pt>
                <c:pt idx="49">
                  <c:v>4.1229999999999993</c:v>
                </c:pt>
                <c:pt idx="50">
                  <c:v>4.1229999999999993</c:v>
                </c:pt>
                <c:pt idx="51">
                  <c:v>4.1547499999999999</c:v>
                </c:pt>
                <c:pt idx="52">
                  <c:v>4.1547499999999999</c:v>
                </c:pt>
                <c:pt idx="53">
                  <c:v>4.0593750000000002</c:v>
                </c:pt>
                <c:pt idx="54">
                  <c:v>4.0911249999999999</c:v>
                </c:pt>
                <c:pt idx="55">
                  <c:v>4.1547499999999999</c:v>
                </c:pt>
                <c:pt idx="56">
                  <c:v>4.1547499999999999</c:v>
                </c:pt>
                <c:pt idx="57">
                  <c:v>4.1547499999999999</c:v>
                </c:pt>
                <c:pt idx="58">
                  <c:v>4.1547499999999999</c:v>
                </c:pt>
                <c:pt idx="59">
                  <c:v>4.155125</c:v>
                </c:pt>
                <c:pt idx="60">
                  <c:v>4.1547499999999999</c:v>
                </c:pt>
                <c:pt idx="61">
                  <c:v>4.1229999999999993</c:v>
                </c:pt>
                <c:pt idx="62">
                  <c:v>4.0911249999999999</c:v>
                </c:pt>
                <c:pt idx="63">
                  <c:v>4.0993750000000002</c:v>
                </c:pt>
                <c:pt idx="64">
                  <c:v>4.0993750000000002</c:v>
                </c:pt>
                <c:pt idx="65">
                  <c:v>4.2910000000000004</c:v>
                </c:pt>
                <c:pt idx="66">
                  <c:v>4.2588749999999997</c:v>
                </c:pt>
                <c:pt idx="67">
                  <c:v>4.2592500000000006</c:v>
                </c:pt>
                <c:pt idx="68">
                  <c:v>4.2275</c:v>
                </c:pt>
                <c:pt idx="69">
                  <c:v>4.1956249999999997</c:v>
                </c:pt>
                <c:pt idx="70">
                  <c:v>4.2275</c:v>
                </c:pt>
                <c:pt idx="71">
                  <c:v>4.1956249999999997</c:v>
                </c:pt>
                <c:pt idx="72">
                  <c:v>4.2906250000000004</c:v>
                </c:pt>
                <c:pt idx="73">
                  <c:v>4.2906250000000004</c:v>
                </c:pt>
                <c:pt idx="74">
                  <c:v>4.2275</c:v>
                </c:pt>
                <c:pt idx="75">
                  <c:v>4.2275</c:v>
                </c:pt>
                <c:pt idx="76">
                  <c:v>4.2588749999999997</c:v>
                </c:pt>
                <c:pt idx="77">
                  <c:v>4.2270000000000003</c:v>
                </c:pt>
                <c:pt idx="78">
                  <c:v>4.2906250000000004</c:v>
                </c:pt>
                <c:pt idx="79">
                  <c:v>4.3228750000000007</c:v>
                </c:pt>
                <c:pt idx="80">
                  <c:v>4.2910000000000004</c:v>
                </c:pt>
                <c:pt idx="81">
                  <c:v>4.2910000000000004</c:v>
                </c:pt>
                <c:pt idx="82">
                  <c:v>4.3546250000000004</c:v>
                </c:pt>
                <c:pt idx="83">
                  <c:v>4.2910000000000004</c:v>
                </c:pt>
                <c:pt idx="84">
                  <c:v>4.2592500000000006</c:v>
                </c:pt>
                <c:pt idx="85">
                  <c:v>4.3228750000000007</c:v>
                </c:pt>
                <c:pt idx="86">
                  <c:v>4.2910000000000004</c:v>
                </c:pt>
                <c:pt idx="87">
                  <c:v>4.2592500000000006</c:v>
                </c:pt>
                <c:pt idx="88">
                  <c:v>4.2906250000000004</c:v>
                </c:pt>
                <c:pt idx="89">
                  <c:v>4.2910000000000004</c:v>
                </c:pt>
                <c:pt idx="90">
                  <c:v>4.2592500000000006</c:v>
                </c:pt>
                <c:pt idx="91">
                  <c:v>4.3228750000000007</c:v>
                </c:pt>
                <c:pt idx="92">
                  <c:v>4.3864999999999998</c:v>
                </c:pt>
                <c:pt idx="93">
                  <c:v>4.2910000000000004</c:v>
                </c:pt>
                <c:pt idx="94">
                  <c:v>4.2592500000000006</c:v>
                </c:pt>
                <c:pt idx="95">
                  <c:v>4.2592500000000006</c:v>
                </c:pt>
                <c:pt idx="96">
                  <c:v>4.2592500000000006</c:v>
                </c:pt>
                <c:pt idx="97">
                  <c:v>4.2910000000000004</c:v>
                </c:pt>
                <c:pt idx="98">
                  <c:v>4.2906250000000004</c:v>
                </c:pt>
                <c:pt idx="99">
                  <c:v>4.2906250000000004</c:v>
                </c:pt>
                <c:pt idx="100">
                  <c:v>4.2592500000000006</c:v>
                </c:pt>
                <c:pt idx="101">
                  <c:v>4.2588749999999997</c:v>
                </c:pt>
                <c:pt idx="102">
                  <c:v>4.2588749999999997</c:v>
                </c:pt>
                <c:pt idx="103">
                  <c:v>4.2906250000000004</c:v>
                </c:pt>
                <c:pt idx="104">
                  <c:v>4.2906250000000004</c:v>
                </c:pt>
                <c:pt idx="105">
                  <c:v>4.2906250000000004</c:v>
                </c:pt>
                <c:pt idx="106">
                  <c:v>4.1630000000000003</c:v>
                </c:pt>
                <c:pt idx="107">
                  <c:v>4.1312500000000005</c:v>
                </c:pt>
                <c:pt idx="108">
                  <c:v>4.2588749999999997</c:v>
                </c:pt>
                <c:pt idx="109">
                  <c:v>4.2906250000000004</c:v>
                </c:pt>
                <c:pt idx="110">
                  <c:v>4.2588749999999997</c:v>
                </c:pt>
                <c:pt idx="111">
                  <c:v>4.2270000000000003</c:v>
                </c:pt>
                <c:pt idx="112">
                  <c:v>4.2588749999999997</c:v>
                </c:pt>
                <c:pt idx="113">
                  <c:v>4.1312500000000005</c:v>
                </c:pt>
                <c:pt idx="114">
                  <c:v>4.0993750000000002</c:v>
                </c:pt>
                <c:pt idx="115">
                  <c:v>4.0993750000000002</c:v>
                </c:pt>
                <c:pt idx="116">
                  <c:v>4.1630000000000003</c:v>
                </c:pt>
                <c:pt idx="117">
                  <c:v>4.2270000000000003</c:v>
                </c:pt>
                <c:pt idx="118">
                  <c:v>4.2588749999999997</c:v>
                </c:pt>
                <c:pt idx="119">
                  <c:v>4.1630000000000003</c:v>
                </c:pt>
                <c:pt idx="120">
                  <c:v>4.1312500000000005</c:v>
                </c:pt>
                <c:pt idx="121">
                  <c:v>4.0993750000000002</c:v>
                </c:pt>
                <c:pt idx="122">
                  <c:v>4.0353750000000002</c:v>
                </c:pt>
                <c:pt idx="123">
                  <c:v>4.1630000000000003</c:v>
                </c:pt>
                <c:pt idx="124">
                  <c:v>4.2270000000000003</c:v>
                </c:pt>
                <c:pt idx="125">
                  <c:v>4.2270000000000003</c:v>
                </c:pt>
                <c:pt idx="126">
                  <c:v>4.1312500000000005</c:v>
                </c:pt>
                <c:pt idx="127">
                  <c:v>4.1312500000000005</c:v>
                </c:pt>
                <c:pt idx="128">
                  <c:v>4.1312500000000005</c:v>
                </c:pt>
                <c:pt idx="129">
                  <c:v>4.2270000000000003</c:v>
                </c:pt>
                <c:pt idx="130">
                  <c:v>4.1630000000000003</c:v>
                </c:pt>
                <c:pt idx="131">
                  <c:v>4.1312500000000005</c:v>
                </c:pt>
                <c:pt idx="132">
                  <c:v>4.1630000000000003</c:v>
                </c:pt>
                <c:pt idx="133">
                  <c:v>4.1312500000000005</c:v>
                </c:pt>
                <c:pt idx="134">
                  <c:v>4.0993750000000002</c:v>
                </c:pt>
                <c:pt idx="135">
                  <c:v>4.0676249999999996</c:v>
                </c:pt>
                <c:pt idx="136">
                  <c:v>4.0763750000000005</c:v>
                </c:pt>
                <c:pt idx="137">
                  <c:v>4.2357500000000003</c:v>
                </c:pt>
                <c:pt idx="138">
                  <c:v>4.2676249999999998</c:v>
                </c:pt>
                <c:pt idx="139">
                  <c:v>4.1717499999999994</c:v>
                </c:pt>
                <c:pt idx="140">
                  <c:v>4.0123749999999996</c:v>
                </c:pt>
                <c:pt idx="141">
                  <c:v>4.0441250000000002</c:v>
                </c:pt>
                <c:pt idx="142">
                  <c:v>4.0441250000000002</c:v>
                </c:pt>
                <c:pt idx="143">
                  <c:v>4.0123749999999996</c:v>
                </c:pt>
                <c:pt idx="144">
                  <c:v>4.0123749999999996</c:v>
                </c:pt>
                <c:pt idx="145">
                  <c:v>4.0763750000000005</c:v>
                </c:pt>
                <c:pt idx="146">
                  <c:v>4.1901250000000001</c:v>
                </c:pt>
                <c:pt idx="147">
                  <c:v>4.1583750000000004</c:v>
                </c:pt>
                <c:pt idx="148">
                  <c:v>4.126125</c:v>
                </c:pt>
                <c:pt idx="149">
                  <c:v>4.0625</c:v>
                </c:pt>
                <c:pt idx="150">
                  <c:v>3.9348750000000003</c:v>
                </c:pt>
                <c:pt idx="151">
                  <c:v>4.0307500000000003</c:v>
                </c:pt>
                <c:pt idx="152">
                  <c:v>4.0625</c:v>
                </c:pt>
                <c:pt idx="153">
                  <c:v>4.0625</c:v>
                </c:pt>
                <c:pt idx="154">
                  <c:v>4.0307500000000003</c:v>
                </c:pt>
                <c:pt idx="155">
                  <c:v>4.0943750000000003</c:v>
                </c:pt>
                <c:pt idx="156">
                  <c:v>4.0307500000000003</c:v>
                </c:pt>
                <c:pt idx="157">
                  <c:v>3.9984999999999999</c:v>
                </c:pt>
                <c:pt idx="158">
                  <c:v>3.9984999999999999</c:v>
                </c:pt>
                <c:pt idx="159">
                  <c:v>3.9667500000000002</c:v>
                </c:pt>
                <c:pt idx="160">
                  <c:v>3.9984999999999999</c:v>
                </c:pt>
                <c:pt idx="161">
                  <c:v>4.0307500000000003</c:v>
                </c:pt>
                <c:pt idx="162">
                  <c:v>4.0307500000000003</c:v>
                </c:pt>
                <c:pt idx="163">
                  <c:v>3.9984999999999999</c:v>
                </c:pt>
                <c:pt idx="164">
                  <c:v>3.9984999999999999</c:v>
                </c:pt>
                <c:pt idx="165">
                  <c:v>3.9988749999999995</c:v>
                </c:pt>
                <c:pt idx="166">
                  <c:v>3.9984999999999999</c:v>
                </c:pt>
                <c:pt idx="167">
                  <c:v>3.9984999999999999</c:v>
                </c:pt>
                <c:pt idx="168">
                  <c:v>4.0943750000000003</c:v>
                </c:pt>
                <c:pt idx="169">
                  <c:v>4.126125</c:v>
                </c:pt>
                <c:pt idx="170">
                  <c:v>4.0943750000000003</c:v>
                </c:pt>
                <c:pt idx="171">
                  <c:v>4.0943750000000003</c:v>
                </c:pt>
                <c:pt idx="172">
                  <c:v>4.126125</c:v>
                </c:pt>
                <c:pt idx="173">
                  <c:v>4.1583750000000004</c:v>
                </c:pt>
                <c:pt idx="174">
                  <c:v>4.2537500000000001</c:v>
                </c:pt>
                <c:pt idx="175">
                  <c:v>4.2537500000000001</c:v>
                </c:pt>
                <c:pt idx="176">
                  <c:v>4.3496249999999996</c:v>
                </c:pt>
                <c:pt idx="177">
                  <c:v>4.3496249999999996</c:v>
                </c:pt>
                <c:pt idx="178">
                  <c:v>4.2537500000000001</c:v>
                </c:pt>
                <c:pt idx="179">
                  <c:v>4.2220000000000004</c:v>
                </c:pt>
                <c:pt idx="180">
                  <c:v>4.2537500000000001</c:v>
                </c:pt>
                <c:pt idx="181">
                  <c:v>4.2537500000000001</c:v>
                </c:pt>
                <c:pt idx="182">
                  <c:v>4.2220000000000004</c:v>
                </c:pt>
                <c:pt idx="183">
                  <c:v>4.2537500000000001</c:v>
                </c:pt>
                <c:pt idx="184">
                  <c:v>4.3177500000000002</c:v>
                </c:pt>
                <c:pt idx="185">
                  <c:v>4.3177500000000002</c:v>
                </c:pt>
                <c:pt idx="186">
                  <c:v>4.3177500000000002</c:v>
                </c:pt>
                <c:pt idx="187">
                  <c:v>4.2537500000000001</c:v>
                </c:pt>
                <c:pt idx="188">
                  <c:v>4.2220000000000004</c:v>
                </c:pt>
                <c:pt idx="189">
                  <c:v>4.1583750000000004</c:v>
                </c:pt>
                <c:pt idx="190">
                  <c:v>4.1901250000000001</c:v>
                </c:pt>
                <c:pt idx="191">
                  <c:v>4.3813750000000002</c:v>
                </c:pt>
                <c:pt idx="192">
                  <c:v>4.3177500000000002</c:v>
                </c:pt>
                <c:pt idx="193">
                  <c:v>4.1901250000000001</c:v>
                </c:pt>
                <c:pt idx="194">
                  <c:v>4.1583750000000004</c:v>
                </c:pt>
                <c:pt idx="195">
                  <c:v>4.1901250000000001</c:v>
                </c:pt>
                <c:pt idx="196">
                  <c:v>4.1901250000000001</c:v>
                </c:pt>
                <c:pt idx="197">
                  <c:v>4.1901250000000001</c:v>
                </c:pt>
                <c:pt idx="198">
                  <c:v>4.2220000000000004</c:v>
                </c:pt>
                <c:pt idx="199">
                  <c:v>4.3496249999999996</c:v>
                </c:pt>
                <c:pt idx="200">
                  <c:v>4.3496249999999996</c:v>
                </c:pt>
                <c:pt idx="201">
                  <c:v>4.2537500000000001</c:v>
                </c:pt>
                <c:pt idx="202">
                  <c:v>4.2220000000000004</c:v>
                </c:pt>
                <c:pt idx="203">
                  <c:v>4.1901250000000001</c:v>
                </c:pt>
                <c:pt idx="204">
                  <c:v>4.2220000000000004</c:v>
                </c:pt>
                <c:pt idx="205">
                  <c:v>4.3496249999999996</c:v>
                </c:pt>
                <c:pt idx="206">
                  <c:v>4.3177500000000002</c:v>
                </c:pt>
                <c:pt idx="207">
                  <c:v>4.3496249999999996</c:v>
                </c:pt>
                <c:pt idx="208">
                  <c:v>4.3177500000000002</c:v>
                </c:pt>
                <c:pt idx="209">
                  <c:v>4.3177500000000002</c:v>
                </c:pt>
                <c:pt idx="210">
                  <c:v>4.2220000000000004</c:v>
                </c:pt>
                <c:pt idx="211">
                  <c:v>4.2220000000000004</c:v>
                </c:pt>
                <c:pt idx="212">
                  <c:v>4.2537500000000001</c:v>
                </c:pt>
                <c:pt idx="213">
                  <c:v>4.1901250000000001</c:v>
                </c:pt>
                <c:pt idx="214">
                  <c:v>4.1583750000000004</c:v>
                </c:pt>
                <c:pt idx="215">
                  <c:v>4.1901250000000001</c:v>
                </c:pt>
                <c:pt idx="216">
                  <c:v>4.126125</c:v>
                </c:pt>
                <c:pt idx="217">
                  <c:v>4.1901250000000001</c:v>
                </c:pt>
                <c:pt idx="218">
                  <c:v>4.1901250000000001</c:v>
                </c:pt>
                <c:pt idx="219">
                  <c:v>4.0943750000000003</c:v>
                </c:pt>
                <c:pt idx="220">
                  <c:v>4.1583750000000004</c:v>
                </c:pt>
                <c:pt idx="221">
                  <c:v>4.0943750000000003</c:v>
                </c:pt>
                <c:pt idx="222">
                  <c:v>4.126125</c:v>
                </c:pt>
                <c:pt idx="223">
                  <c:v>4.1901250000000001</c:v>
                </c:pt>
                <c:pt idx="224">
                  <c:v>4.1583750000000004</c:v>
                </c:pt>
                <c:pt idx="225">
                  <c:v>4.126125</c:v>
                </c:pt>
                <c:pt idx="226">
                  <c:v>4.1583750000000004</c:v>
                </c:pt>
                <c:pt idx="227">
                  <c:v>4.126125</c:v>
                </c:pt>
                <c:pt idx="228">
                  <c:v>4.0625</c:v>
                </c:pt>
                <c:pt idx="229">
                  <c:v>4.0943750000000003</c:v>
                </c:pt>
                <c:pt idx="230">
                  <c:v>4.0943750000000003</c:v>
                </c:pt>
                <c:pt idx="231">
                  <c:v>4.0943750000000003</c:v>
                </c:pt>
                <c:pt idx="232">
                  <c:v>4.0943750000000003</c:v>
                </c:pt>
                <c:pt idx="233">
                  <c:v>4.126125</c:v>
                </c:pt>
                <c:pt idx="234">
                  <c:v>4.0943750000000003</c:v>
                </c:pt>
                <c:pt idx="235">
                  <c:v>4.0625</c:v>
                </c:pt>
                <c:pt idx="236">
                  <c:v>4.0943750000000003</c:v>
                </c:pt>
                <c:pt idx="237">
                  <c:v>4.0307500000000003</c:v>
                </c:pt>
                <c:pt idx="238">
                  <c:v>4.126125</c:v>
                </c:pt>
                <c:pt idx="239">
                  <c:v>4.126125</c:v>
                </c:pt>
                <c:pt idx="240">
                  <c:v>4.126125</c:v>
                </c:pt>
                <c:pt idx="241">
                  <c:v>4.0943750000000003</c:v>
                </c:pt>
                <c:pt idx="242">
                  <c:v>4.0943750000000003</c:v>
                </c:pt>
                <c:pt idx="243">
                  <c:v>4.0943750000000003</c:v>
                </c:pt>
                <c:pt idx="244">
                  <c:v>4.0943750000000003</c:v>
                </c:pt>
                <c:pt idx="245">
                  <c:v>4.0625</c:v>
                </c:pt>
                <c:pt idx="246">
                  <c:v>3.9742500000000001</c:v>
                </c:pt>
                <c:pt idx="247">
                  <c:v>3.9425000000000003</c:v>
                </c:pt>
                <c:pt idx="248">
                  <c:v>4.1820000000000004</c:v>
                </c:pt>
                <c:pt idx="249">
                  <c:v>3.9742500000000001</c:v>
                </c:pt>
                <c:pt idx="250">
                  <c:v>3.9742500000000001</c:v>
                </c:pt>
                <c:pt idx="251">
                  <c:v>3.9742500000000001</c:v>
                </c:pt>
                <c:pt idx="252">
                  <c:v>4.0061249999999999</c:v>
                </c:pt>
                <c:pt idx="253">
                  <c:v>3.9742500000000001</c:v>
                </c:pt>
                <c:pt idx="254">
                  <c:v>4.0061249999999999</c:v>
                </c:pt>
                <c:pt idx="255">
                  <c:v>4.0061249999999999</c:v>
                </c:pt>
                <c:pt idx="256">
                  <c:v>4.0378749999999997</c:v>
                </c:pt>
                <c:pt idx="257">
                  <c:v>4.0378749999999997</c:v>
                </c:pt>
                <c:pt idx="258">
                  <c:v>3.9742500000000001</c:v>
                </c:pt>
                <c:pt idx="259">
                  <c:v>4.070125</c:v>
                </c:pt>
                <c:pt idx="260">
                  <c:v>3.91025</c:v>
                </c:pt>
                <c:pt idx="261">
                  <c:v>3.91025</c:v>
                </c:pt>
                <c:pt idx="262">
                  <c:v>3.9742500000000001</c:v>
                </c:pt>
                <c:pt idx="263">
                  <c:v>3.9742500000000001</c:v>
                </c:pt>
                <c:pt idx="264">
                  <c:v>4.0061249999999999</c:v>
                </c:pt>
                <c:pt idx="265">
                  <c:v>4.070125</c:v>
                </c:pt>
                <c:pt idx="266">
                  <c:v>3.9425000000000003</c:v>
                </c:pt>
                <c:pt idx="267">
                  <c:v>3.9425000000000003</c:v>
                </c:pt>
                <c:pt idx="268">
                  <c:v>3.9425000000000003</c:v>
                </c:pt>
                <c:pt idx="269">
                  <c:v>3.8784999999999998</c:v>
                </c:pt>
                <c:pt idx="270">
                  <c:v>3.8784999999999998</c:v>
                </c:pt>
                <c:pt idx="271">
                  <c:v>3.8784999999999998</c:v>
                </c:pt>
                <c:pt idx="272">
                  <c:v>3.91025</c:v>
                </c:pt>
                <c:pt idx="273">
                  <c:v>3.91025</c:v>
                </c:pt>
                <c:pt idx="274">
                  <c:v>3.846625</c:v>
                </c:pt>
                <c:pt idx="275">
                  <c:v>3.846625</c:v>
                </c:pt>
                <c:pt idx="276">
                  <c:v>3.846625</c:v>
                </c:pt>
                <c:pt idx="277">
                  <c:v>3.846625</c:v>
                </c:pt>
                <c:pt idx="278">
                  <c:v>3.846625</c:v>
                </c:pt>
                <c:pt idx="279">
                  <c:v>3.846625</c:v>
                </c:pt>
                <c:pt idx="280">
                  <c:v>3.846625</c:v>
                </c:pt>
                <c:pt idx="281">
                  <c:v>3.846625</c:v>
                </c:pt>
                <c:pt idx="282">
                  <c:v>3.846625</c:v>
                </c:pt>
                <c:pt idx="283">
                  <c:v>3.846625</c:v>
                </c:pt>
                <c:pt idx="284">
                  <c:v>3.846625</c:v>
                </c:pt>
                <c:pt idx="285">
                  <c:v>3.846625</c:v>
                </c:pt>
                <c:pt idx="286">
                  <c:v>3.8784999999999998</c:v>
                </c:pt>
                <c:pt idx="287">
                  <c:v>3.8784999999999998</c:v>
                </c:pt>
                <c:pt idx="288">
                  <c:v>3.8784999999999998</c:v>
                </c:pt>
                <c:pt idx="289">
                  <c:v>3.8784999999999998</c:v>
                </c:pt>
                <c:pt idx="290">
                  <c:v>3.8148749999999993</c:v>
                </c:pt>
                <c:pt idx="291">
                  <c:v>3.846625</c:v>
                </c:pt>
                <c:pt idx="292">
                  <c:v>3.846625</c:v>
                </c:pt>
                <c:pt idx="293">
                  <c:v>3.8148749999999993</c:v>
                </c:pt>
                <c:pt idx="294">
                  <c:v>3.7829999999999995</c:v>
                </c:pt>
                <c:pt idx="295">
                  <c:v>4.2052500000000004</c:v>
                </c:pt>
                <c:pt idx="296">
                  <c:v>3.7829999999999995</c:v>
                </c:pt>
                <c:pt idx="297">
                  <c:v>3.7829999999999995</c:v>
                </c:pt>
                <c:pt idx="298">
                  <c:v>3.7829999999999995</c:v>
                </c:pt>
                <c:pt idx="299">
                  <c:v>3.8148749999999993</c:v>
                </c:pt>
                <c:pt idx="300">
                  <c:v>3.846625</c:v>
                </c:pt>
                <c:pt idx="301">
                  <c:v>3.91025</c:v>
                </c:pt>
                <c:pt idx="302">
                  <c:v>3.9742500000000001</c:v>
                </c:pt>
                <c:pt idx="303">
                  <c:v>3.9425000000000003</c:v>
                </c:pt>
                <c:pt idx="304">
                  <c:v>3.9425000000000003</c:v>
                </c:pt>
                <c:pt idx="305">
                  <c:v>3.9425000000000003</c:v>
                </c:pt>
                <c:pt idx="306">
                  <c:v>3.9425000000000003</c:v>
                </c:pt>
                <c:pt idx="307">
                  <c:v>3.9425000000000003</c:v>
                </c:pt>
                <c:pt idx="308">
                  <c:v>3.9425000000000003</c:v>
                </c:pt>
                <c:pt idx="309">
                  <c:v>3.9742500000000001</c:v>
                </c:pt>
                <c:pt idx="310">
                  <c:v>3.91025</c:v>
                </c:pt>
                <c:pt idx="311">
                  <c:v>3.9742500000000001</c:v>
                </c:pt>
                <c:pt idx="312">
                  <c:v>3.91025</c:v>
                </c:pt>
                <c:pt idx="313">
                  <c:v>3.8784999999999998</c:v>
                </c:pt>
                <c:pt idx="314">
                  <c:v>3.8784999999999998</c:v>
                </c:pt>
                <c:pt idx="315">
                  <c:v>4.2359999999999998</c:v>
                </c:pt>
                <c:pt idx="316">
                  <c:v>3.8784999999999998</c:v>
                </c:pt>
                <c:pt idx="317">
                  <c:v>3.8784999999999998</c:v>
                </c:pt>
                <c:pt idx="318">
                  <c:v>3.8784999999999998</c:v>
                </c:pt>
                <c:pt idx="319">
                  <c:v>3.8784999999999998</c:v>
                </c:pt>
                <c:pt idx="320">
                  <c:v>4.1180000000000003</c:v>
                </c:pt>
                <c:pt idx="321">
                  <c:v>3.846625</c:v>
                </c:pt>
                <c:pt idx="322">
                  <c:v>3.846625</c:v>
                </c:pt>
                <c:pt idx="323">
                  <c:v>3.8784999999999998</c:v>
                </c:pt>
                <c:pt idx="324">
                  <c:v>3.91025</c:v>
                </c:pt>
                <c:pt idx="325">
                  <c:v>3.91025</c:v>
                </c:pt>
                <c:pt idx="326">
                  <c:v>3.91025</c:v>
                </c:pt>
                <c:pt idx="327">
                  <c:v>3.7826249999999999</c:v>
                </c:pt>
                <c:pt idx="328">
                  <c:v>3.7508750000000002</c:v>
                </c:pt>
                <c:pt idx="329">
                  <c:v>3.7508750000000002</c:v>
                </c:pt>
                <c:pt idx="330">
                  <c:v>3.7826249999999999</c:v>
                </c:pt>
                <c:pt idx="331">
                  <c:v>3.7826249999999999</c:v>
                </c:pt>
                <c:pt idx="332">
                  <c:v>3.7190000000000003</c:v>
                </c:pt>
                <c:pt idx="333">
                  <c:v>3.6550000000000007</c:v>
                </c:pt>
                <c:pt idx="334">
                  <c:v>3.6232500000000001</c:v>
                </c:pt>
                <c:pt idx="335">
                  <c:v>3.7190000000000003</c:v>
                </c:pt>
                <c:pt idx="336">
                  <c:v>3.7190000000000003</c:v>
                </c:pt>
                <c:pt idx="337">
                  <c:v>3.7508750000000002</c:v>
                </c:pt>
                <c:pt idx="338">
                  <c:v>3.7190000000000003</c:v>
                </c:pt>
                <c:pt idx="339">
                  <c:v>3.7508750000000002</c:v>
                </c:pt>
                <c:pt idx="340">
                  <c:v>3.7508750000000002</c:v>
                </c:pt>
                <c:pt idx="341">
                  <c:v>3.7518749999999996</c:v>
                </c:pt>
                <c:pt idx="342">
                  <c:v>3.7518749999999996</c:v>
                </c:pt>
                <c:pt idx="343">
                  <c:v>3.7199999999999998</c:v>
                </c:pt>
                <c:pt idx="344">
                  <c:v>3.7518749999999996</c:v>
                </c:pt>
                <c:pt idx="345">
                  <c:v>3.7836249999999993</c:v>
                </c:pt>
                <c:pt idx="346">
                  <c:v>3.7836249999999993</c:v>
                </c:pt>
                <c:pt idx="347">
                  <c:v>3.7836249999999993</c:v>
                </c:pt>
                <c:pt idx="348">
                  <c:v>3.8794999999999997</c:v>
                </c:pt>
                <c:pt idx="349">
                  <c:v>3.7518749999999996</c:v>
                </c:pt>
                <c:pt idx="350">
                  <c:v>3.6560000000000001</c:v>
                </c:pt>
                <c:pt idx="351">
                  <c:v>3.6242500000000004</c:v>
                </c:pt>
                <c:pt idx="352">
                  <c:v>3.7199999999999998</c:v>
                </c:pt>
                <c:pt idx="353">
                  <c:v>3.7199999999999998</c:v>
                </c:pt>
                <c:pt idx="354">
                  <c:v>3.6560000000000001</c:v>
                </c:pt>
                <c:pt idx="355">
                  <c:v>3.6242500000000004</c:v>
                </c:pt>
                <c:pt idx="356">
                  <c:v>3.7199999999999998</c:v>
                </c:pt>
                <c:pt idx="357">
                  <c:v>3.7199999999999998</c:v>
                </c:pt>
                <c:pt idx="358">
                  <c:v>3.6242500000000004</c:v>
                </c:pt>
                <c:pt idx="359">
                  <c:v>3.6242500000000004</c:v>
                </c:pt>
                <c:pt idx="360">
                  <c:v>3.6560000000000001</c:v>
                </c:pt>
                <c:pt idx="361">
                  <c:v>3.7518749999999996</c:v>
                </c:pt>
                <c:pt idx="362">
                  <c:v>3.6560000000000001</c:v>
                </c:pt>
                <c:pt idx="363">
                  <c:v>3.7199999999999998</c:v>
                </c:pt>
                <c:pt idx="364">
                  <c:v>3.7518749999999996</c:v>
                </c:pt>
                <c:pt idx="365">
                  <c:v>3.7199999999999998</c:v>
                </c:pt>
                <c:pt idx="366">
                  <c:v>3.7199999999999998</c:v>
                </c:pt>
                <c:pt idx="367">
                  <c:v>3.7518749999999996</c:v>
                </c:pt>
                <c:pt idx="368">
                  <c:v>3.7199999999999998</c:v>
                </c:pt>
                <c:pt idx="369">
                  <c:v>3.7518749999999996</c:v>
                </c:pt>
                <c:pt idx="370">
                  <c:v>3.7199999999999998</c:v>
                </c:pt>
                <c:pt idx="371">
                  <c:v>3.6242500000000004</c:v>
                </c:pt>
                <c:pt idx="372">
                  <c:v>3.6560000000000001</c:v>
                </c:pt>
                <c:pt idx="373">
                  <c:v>3.7836249999999993</c:v>
                </c:pt>
                <c:pt idx="374">
                  <c:v>3.8794999999999997</c:v>
                </c:pt>
                <c:pt idx="375">
                  <c:v>3.7518749999999996</c:v>
                </c:pt>
                <c:pt idx="376">
                  <c:v>3.7199999999999998</c:v>
                </c:pt>
                <c:pt idx="377">
                  <c:v>3.7199999999999998</c:v>
                </c:pt>
                <c:pt idx="378">
                  <c:v>3.7518749999999996</c:v>
                </c:pt>
                <c:pt idx="379">
                  <c:v>3.7518749999999996</c:v>
                </c:pt>
                <c:pt idx="380">
                  <c:v>3.7518749999999996</c:v>
                </c:pt>
                <c:pt idx="381">
                  <c:v>3.7518749999999996</c:v>
                </c:pt>
                <c:pt idx="382">
                  <c:v>3.6560000000000001</c:v>
                </c:pt>
                <c:pt idx="383">
                  <c:v>3.6242500000000004</c:v>
                </c:pt>
                <c:pt idx="384">
                  <c:v>3.5606250000000008</c:v>
                </c:pt>
                <c:pt idx="385">
                  <c:v>3.5606250000000008</c:v>
                </c:pt>
                <c:pt idx="386">
                  <c:v>3.6242500000000004</c:v>
                </c:pt>
                <c:pt idx="387">
                  <c:v>3.5923750000000005</c:v>
                </c:pt>
                <c:pt idx="388">
                  <c:v>3.6242500000000004</c:v>
                </c:pt>
                <c:pt idx="389">
                  <c:v>3.6242500000000004</c:v>
                </c:pt>
                <c:pt idx="390">
                  <c:v>3.68825</c:v>
                </c:pt>
                <c:pt idx="391">
                  <c:v>3.6560000000000001</c:v>
                </c:pt>
                <c:pt idx="392">
                  <c:v>3.7199999999999998</c:v>
                </c:pt>
                <c:pt idx="393">
                  <c:v>3.7518749999999996</c:v>
                </c:pt>
                <c:pt idx="394">
                  <c:v>3.7518749999999996</c:v>
                </c:pt>
                <c:pt idx="395">
                  <c:v>3.7199999999999998</c:v>
                </c:pt>
                <c:pt idx="396">
                  <c:v>3.7199999999999998</c:v>
                </c:pt>
                <c:pt idx="397">
                  <c:v>3.7518749999999996</c:v>
                </c:pt>
                <c:pt idx="398">
                  <c:v>3.7199999999999998</c:v>
                </c:pt>
                <c:pt idx="399">
                  <c:v>3.7199999999999998</c:v>
                </c:pt>
                <c:pt idx="400">
                  <c:v>3.7199999999999998</c:v>
                </c:pt>
                <c:pt idx="401">
                  <c:v>3.7199999999999998</c:v>
                </c:pt>
                <c:pt idx="402">
                  <c:v>3.6560000000000001</c:v>
                </c:pt>
                <c:pt idx="403">
                  <c:v>3.7199999999999998</c:v>
                </c:pt>
                <c:pt idx="404">
                  <c:v>3.7199999999999998</c:v>
                </c:pt>
                <c:pt idx="405">
                  <c:v>3.9112500000000003</c:v>
                </c:pt>
                <c:pt idx="406">
                  <c:v>3.8794999999999997</c:v>
                </c:pt>
                <c:pt idx="407">
                  <c:v>3.7836249999999993</c:v>
                </c:pt>
                <c:pt idx="408">
                  <c:v>3.8794999999999997</c:v>
                </c:pt>
                <c:pt idx="409">
                  <c:v>3.7836249999999993</c:v>
                </c:pt>
                <c:pt idx="410">
                  <c:v>3.8794999999999997</c:v>
                </c:pt>
                <c:pt idx="411">
                  <c:v>3.8794999999999997</c:v>
                </c:pt>
                <c:pt idx="412">
                  <c:v>3.7836249999999993</c:v>
                </c:pt>
                <c:pt idx="413">
                  <c:v>3.7836249999999993</c:v>
                </c:pt>
                <c:pt idx="414">
                  <c:v>3.9434999999999998</c:v>
                </c:pt>
                <c:pt idx="415">
                  <c:v>4.0071250000000003</c:v>
                </c:pt>
                <c:pt idx="416">
                  <c:v>4.1441249999999998</c:v>
                </c:pt>
                <c:pt idx="417">
                  <c:v>4.1441249999999998</c:v>
                </c:pt>
                <c:pt idx="418">
                  <c:v>4.1441249999999998</c:v>
                </c:pt>
                <c:pt idx="419">
                  <c:v>4.1122499999999995</c:v>
                </c:pt>
                <c:pt idx="420">
                  <c:v>4.3035000000000005</c:v>
                </c:pt>
                <c:pt idx="421">
                  <c:v>4.3035000000000005</c:v>
                </c:pt>
                <c:pt idx="422">
                  <c:v>4.3035000000000005</c:v>
                </c:pt>
                <c:pt idx="423">
                  <c:v>4.4633750000000001</c:v>
                </c:pt>
                <c:pt idx="424">
                  <c:v>4.4311250000000006</c:v>
                </c:pt>
                <c:pt idx="425">
                  <c:v>4.3993750000000009</c:v>
                </c:pt>
                <c:pt idx="426">
                  <c:v>4.3675000000000006</c:v>
                </c:pt>
                <c:pt idx="427">
                  <c:v>4.3675000000000006</c:v>
                </c:pt>
                <c:pt idx="428">
                  <c:v>4.4314999999999998</c:v>
                </c:pt>
                <c:pt idx="429">
                  <c:v>4.2717499999999999</c:v>
                </c:pt>
                <c:pt idx="430">
                  <c:v>4.3993750000000009</c:v>
                </c:pt>
                <c:pt idx="431">
                  <c:v>4.3035000000000005</c:v>
                </c:pt>
                <c:pt idx="432">
                  <c:v>4.3035000000000005</c:v>
                </c:pt>
                <c:pt idx="433">
                  <c:v>4.3035000000000005</c:v>
                </c:pt>
                <c:pt idx="434">
                  <c:v>4.2717499999999999</c:v>
                </c:pt>
                <c:pt idx="435">
                  <c:v>4.3675000000000006</c:v>
                </c:pt>
                <c:pt idx="436">
                  <c:v>4.2398749999999996</c:v>
                </c:pt>
                <c:pt idx="437">
                  <c:v>4.3035000000000005</c:v>
                </c:pt>
                <c:pt idx="438">
                  <c:v>4.4311250000000006</c:v>
                </c:pt>
                <c:pt idx="439">
                  <c:v>4.4314999999999998</c:v>
                </c:pt>
                <c:pt idx="440">
                  <c:v>4.4633750000000001</c:v>
                </c:pt>
                <c:pt idx="441">
                  <c:v>4.4951249999999998</c:v>
                </c:pt>
                <c:pt idx="442">
                  <c:v>4.4633750000000001</c:v>
                </c:pt>
                <c:pt idx="443">
                  <c:v>4.4633750000000001</c:v>
                </c:pt>
                <c:pt idx="444">
                  <c:v>4.4311250000000006</c:v>
                </c:pt>
                <c:pt idx="445">
                  <c:v>4.4951249999999998</c:v>
                </c:pt>
                <c:pt idx="446">
                  <c:v>4.4311250000000006</c:v>
                </c:pt>
                <c:pt idx="447">
                  <c:v>4.3993750000000009</c:v>
                </c:pt>
                <c:pt idx="448">
                  <c:v>4.3675000000000006</c:v>
                </c:pt>
                <c:pt idx="449">
                  <c:v>4.3993750000000009</c:v>
                </c:pt>
                <c:pt idx="450">
                  <c:v>4.3675000000000006</c:v>
                </c:pt>
                <c:pt idx="451">
                  <c:v>4.2717499999999999</c:v>
                </c:pt>
                <c:pt idx="452">
                  <c:v>4.33575</c:v>
                </c:pt>
                <c:pt idx="453">
                  <c:v>4.4311250000000006</c:v>
                </c:pt>
                <c:pt idx="454">
                  <c:v>4.3675000000000006</c:v>
                </c:pt>
                <c:pt idx="455">
                  <c:v>4.4311250000000006</c:v>
                </c:pt>
                <c:pt idx="456">
                  <c:v>4.3675000000000006</c:v>
                </c:pt>
                <c:pt idx="457">
                  <c:v>4.4951249999999998</c:v>
                </c:pt>
                <c:pt idx="458">
                  <c:v>4.4633750000000001</c:v>
                </c:pt>
                <c:pt idx="459">
                  <c:v>4.4633750000000001</c:v>
                </c:pt>
                <c:pt idx="460">
                  <c:v>4.4951249999999998</c:v>
                </c:pt>
                <c:pt idx="461">
                  <c:v>4.5270000000000001</c:v>
                </c:pt>
                <c:pt idx="462">
                  <c:v>4.4311250000000006</c:v>
                </c:pt>
                <c:pt idx="463">
                  <c:v>4.4311250000000006</c:v>
                </c:pt>
                <c:pt idx="464">
                  <c:v>4.4633750000000001</c:v>
                </c:pt>
                <c:pt idx="465">
                  <c:v>4.4633750000000001</c:v>
                </c:pt>
                <c:pt idx="466">
                  <c:v>4.4951249999999998</c:v>
                </c:pt>
                <c:pt idx="467">
                  <c:v>4.4633750000000001</c:v>
                </c:pt>
                <c:pt idx="468">
                  <c:v>4.4633750000000001</c:v>
                </c:pt>
                <c:pt idx="469">
                  <c:v>4.4951249999999998</c:v>
                </c:pt>
                <c:pt idx="470">
                  <c:v>4.4633750000000001</c:v>
                </c:pt>
                <c:pt idx="471">
                  <c:v>4.4311250000000006</c:v>
                </c:pt>
                <c:pt idx="472">
                  <c:v>4.4311250000000006</c:v>
                </c:pt>
                <c:pt idx="473">
                  <c:v>4.4311250000000006</c:v>
                </c:pt>
                <c:pt idx="474">
                  <c:v>4.3993750000000009</c:v>
                </c:pt>
                <c:pt idx="475">
                  <c:v>4.4314999999999998</c:v>
                </c:pt>
                <c:pt idx="476">
                  <c:v>4.4311250000000006</c:v>
                </c:pt>
                <c:pt idx="477">
                  <c:v>4.4951249999999998</c:v>
                </c:pt>
                <c:pt idx="478">
                  <c:v>4.4951249999999998</c:v>
                </c:pt>
                <c:pt idx="479">
                  <c:v>4.4633750000000001</c:v>
                </c:pt>
                <c:pt idx="480">
                  <c:v>4.3993750000000009</c:v>
                </c:pt>
                <c:pt idx="481">
                  <c:v>4.4633750000000001</c:v>
                </c:pt>
                <c:pt idx="482">
                  <c:v>4.4314999999999998</c:v>
                </c:pt>
                <c:pt idx="483">
                  <c:v>4.3993750000000009</c:v>
                </c:pt>
                <c:pt idx="484">
                  <c:v>4.3035000000000005</c:v>
                </c:pt>
                <c:pt idx="485">
                  <c:v>4.3675000000000006</c:v>
                </c:pt>
                <c:pt idx="486">
                  <c:v>4.4311250000000006</c:v>
                </c:pt>
                <c:pt idx="487">
                  <c:v>4.4951249999999998</c:v>
                </c:pt>
                <c:pt idx="488">
                  <c:v>4.4951249999999998</c:v>
                </c:pt>
                <c:pt idx="489">
                  <c:v>4.5270000000000001</c:v>
                </c:pt>
                <c:pt idx="490">
                  <c:v>4.5270000000000001</c:v>
                </c:pt>
                <c:pt idx="491">
                  <c:v>4.5587499999999999</c:v>
                </c:pt>
                <c:pt idx="492">
                  <c:v>4.6227499999999999</c:v>
                </c:pt>
                <c:pt idx="493">
                  <c:v>4.6227499999999999</c:v>
                </c:pt>
                <c:pt idx="494">
                  <c:v>4.686375</c:v>
                </c:pt>
                <c:pt idx="495">
                  <c:v>4.686375</c:v>
                </c:pt>
                <c:pt idx="496">
                  <c:v>4.7822499999999994</c:v>
                </c:pt>
                <c:pt idx="497">
                  <c:v>4.750375</c:v>
                </c:pt>
                <c:pt idx="498">
                  <c:v>4.5591249999999999</c:v>
                </c:pt>
                <c:pt idx="499">
                  <c:v>4.5591249999999999</c:v>
                </c:pt>
                <c:pt idx="500">
                  <c:v>4.5587499999999999</c:v>
                </c:pt>
                <c:pt idx="501">
                  <c:v>4.5270000000000001</c:v>
                </c:pt>
                <c:pt idx="502">
                  <c:v>4.4951249999999998</c:v>
                </c:pt>
                <c:pt idx="503">
                  <c:v>4.4951249999999998</c:v>
                </c:pt>
                <c:pt idx="504">
                  <c:v>4.5270000000000001</c:v>
                </c:pt>
                <c:pt idx="505">
                  <c:v>4.4951249999999998</c:v>
                </c:pt>
                <c:pt idx="506">
                  <c:v>4.5587499999999999</c:v>
                </c:pt>
                <c:pt idx="507">
                  <c:v>4.5587499999999999</c:v>
                </c:pt>
                <c:pt idx="508">
                  <c:v>4.5270000000000001</c:v>
                </c:pt>
                <c:pt idx="509">
                  <c:v>4.5270000000000001</c:v>
                </c:pt>
                <c:pt idx="510">
                  <c:v>4.4633750000000001</c:v>
                </c:pt>
                <c:pt idx="511">
                  <c:v>4.4314999999999998</c:v>
                </c:pt>
                <c:pt idx="512">
                  <c:v>4.4633750000000001</c:v>
                </c:pt>
                <c:pt idx="513">
                  <c:v>4.4314999999999998</c:v>
                </c:pt>
                <c:pt idx="514">
                  <c:v>4.4311250000000006</c:v>
                </c:pt>
                <c:pt idx="515">
                  <c:v>4.4951249999999998</c:v>
                </c:pt>
                <c:pt idx="516">
                  <c:v>4.4633750000000001</c:v>
                </c:pt>
                <c:pt idx="517">
                  <c:v>4.4311250000000006</c:v>
                </c:pt>
                <c:pt idx="518">
                  <c:v>4.3993750000000009</c:v>
                </c:pt>
                <c:pt idx="519">
                  <c:v>4.4311250000000006</c:v>
                </c:pt>
                <c:pt idx="520">
                  <c:v>4.5270000000000001</c:v>
                </c:pt>
                <c:pt idx="521">
                  <c:v>4.5270000000000001</c:v>
                </c:pt>
                <c:pt idx="522">
                  <c:v>4.5587499999999999</c:v>
                </c:pt>
                <c:pt idx="523">
                  <c:v>4.5587499999999999</c:v>
                </c:pt>
                <c:pt idx="524">
                  <c:v>4.6227499999999999</c:v>
                </c:pt>
                <c:pt idx="525">
                  <c:v>4.6227499999999999</c:v>
                </c:pt>
                <c:pt idx="526">
                  <c:v>4.6546249999999993</c:v>
                </c:pt>
                <c:pt idx="527">
                  <c:v>4.6546249999999993</c:v>
                </c:pt>
                <c:pt idx="528">
                  <c:v>4.6227499999999999</c:v>
                </c:pt>
                <c:pt idx="529">
                  <c:v>4.5910000000000002</c:v>
                </c:pt>
                <c:pt idx="530">
                  <c:v>4.6227499999999999</c:v>
                </c:pt>
                <c:pt idx="531">
                  <c:v>4.5910000000000002</c:v>
                </c:pt>
                <c:pt idx="532">
                  <c:v>4.6227499999999999</c:v>
                </c:pt>
                <c:pt idx="533">
                  <c:v>4.5910000000000002</c:v>
                </c:pt>
                <c:pt idx="534">
                  <c:v>4.5910000000000002</c:v>
                </c:pt>
                <c:pt idx="535">
                  <c:v>4.6227499999999999</c:v>
                </c:pt>
                <c:pt idx="536">
                  <c:v>4.6227499999999999</c:v>
                </c:pt>
                <c:pt idx="537">
                  <c:v>4.6227499999999999</c:v>
                </c:pt>
                <c:pt idx="538">
                  <c:v>4.6227499999999999</c:v>
                </c:pt>
                <c:pt idx="539">
                  <c:v>4.6227499999999999</c:v>
                </c:pt>
                <c:pt idx="540">
                  <c:v>4.5270000000000001</c:v>
                </c:pt>
                <c:pt idx="541">
                  <c:v>4.5587499999999999</c:v>
                </c:pt>
                <c:pt idx="542">
                  <c:v>4.5587499999999999</c:v>
                </c:pt>
                <c:pt idx="543">
                  <c:v>4.5587499999999999</c:v>
                </c:pt>
                <c:pt idx="544">
                  <c:v>4.5587499999999999</c:v>
                </c:pt>
                <c:pt idx="545">
                  <c:v>4.5910000000000002</c:v>
                </c:pt>
                <c:pt idx="546">
                  <c:v>4.5910000000000002</c:v>
                </c:pt>
                <c:pt idx="547">
                  <c:v>4.5910000000000002</c:v>
                </c:pt>
                <c:pt idx="548">
                  <c:v>4.5910000000000002</c:v>
                </c:pt>
                <c:pt idx="549">
                  <c:v>4.5910000000000002</c:v>
                </c:pt>
                <c:pt idx="550">
                  <c:v>4.5587499999999999</c:v>
                </c:pt>
                <c:pt idx="551">
                  <c:v>4.5910000000000002</c:v>
                </c:pt>
                <c:pt idx="552">
                  <c:v>4.5587499999999999</c:v>
                </c:pt>
                <c:pt idx="553">
                  <c:v>4.5587499999999999</c:v>
                </c:pt>
                <c:pt idx="554">
                  <c:v>4.5587499999999999</c:v>
                </c:pt>
                <c:pt idx="555">
                  <c:v>4.5910000000000002</c:v>
                </c:pt>
                <c:pt idx="556">
                  <c:v>4.5910000000000002</c:v>
                </c:pt>
                <c:pt idx="557">
                  <c:v>4.6227499999999999</c:v>
                </c:pt>
                <c:pt idx="558">
                  <c:v>4.5910000000000002</c:v>
                </c:pt>
                <c:pt idx="559">
                  <c:v>4.6546249999999993</c:v>
                </c:pt>
                <c:pt idx="560">
                  <c:v>4.6546249999999993</c:v>
                </c:pt>
                <c:pt idx="561">
                  <c:v>4.686375</c:v>
                </c:pt>
                <c:pt idx="562">
                  <c:v>4.686375</c:v>
                </c:pt>
                <c:pt idx="563">
                  <c:v>4.686375</c:v>
                </c:pt>
                <c:pt idx="564">
                  <c:v>4.686375</c:v>
                </c:pt>
                <c:pt idx="565">
                  <c:v>4.686375</c:v>
                </c:pt>
                <c:pt idx="566">
                  <c:v>4.6546249999999993</c:v>
                </c:pt>
                <c:pt idx="567">
                  <c:v>4.686375</c:v>
                </c:pt>
                <c:pt idx="568">
                  <c:v>4.6546249999999993</c:v>
                </c:pt>
                <c:pt idx="569">
                  <c:v>4.686375</c:v>
                </c:pt>
                <c:pt idx="570">
                  <c:v>4.750375</c:v>
                </c:pt>
                <c:pt idx="571">
                  <c:v>4.7506250000000003</c:v>
                </c:pt>
                <c:pt idx="572">
                  <c:v>4.7824999999999998</c:v>
                </c:pt>
                <c:pt idx="573">
                  <c:v>4.7824999999999998</c:v>
                </c:pt>
                <c:pt idx="574">
                  <c:v>4.7824999999999998</c:v>
                </c:pt>
                <c:pt idx="575">
                  <c:v>4.8142499999999995</c:v>
                </c:pt>
                <c:pt idx="576">
                  <c:v>4.7506250000000003</c:v>
                </c:pt>
                <c:pt idx="577">
                  <c:v>4.7824999999999998</c:v>
                </c:pt>
                <c:pt idx="578">
                  <c:v>4.6866249999999994</c:v>
                </c:pt>
                <c:pt idx="579">
                  <c:v>4.7824999999999998</c:v>
                </c:pt>
                <c:pt idx="580">
                  <c:v>4.7824999999999998</c:v>
                </c:pt>
                <c:pt idx="581">
                  <c:v>4.7506250000000003</c:v>
                </c:pt>
                <c:pt idx="582">
                  <c:v>4.7506250000000003</c:v>
                </c:pt>
                <c:pt idx="583">
                  <c:v>4.7506250000000003</c:v>
                </c:pt>
                <c:pt idx="584">
                  <c:v>4.7506250000000003</c:v>
                </c:pt>
                <c:pt idx="585">
                  <c:v>4.7824999999999998</c:v>
                </c:pt>
                <c:pt idx="586">
                  <c:v>4.7824999999999998</c:v>
                </c:pt>
                <c:pt idx="587">
                  <c:v>4.7824999999999998</c:v>
                </c:pt>
                <c:pt idx="588">
                  <c:v>4.7824999999999998</c:v>
                </c:pt>
                <c:pt idx="589">
                  <c:v>4.7824999999999998</c:v>
                </c:pt>
                <c:pt idx="590">
                  <c:v>4.7506250000000003</c:v>
                </c:pt>
                <c:pt idx="591">
                  <c:v>4.7824999999999998</c:v>
                </c:pt>
                <c:pt idx="592">
                  <c:v>4.7824999999999998</c:v>
                </c:pt>
                <c:pt idx="593">
                  <c:v>4.7824999999999998</c:v>
                </c:pt>
                <c:pt idx="594">
                  <c:v>4.7824999999999998</c:v>
                </c:pt>
                <c:pt idx="595">
                  <c:v>4.7824999999999998</c:v>
                </c:pt>
                <c:pt idx="596">
                  <c:v>4.7824999999999998</c:v>
                </c:pt>
                <c:pt idx="597">
                  <c:v>4.8142499999999995</c:v>
                </c:pt>
                <c:pt idx="598">
                  <c:v>4.8142499999999995</c:v>
                </c:pt>
                <c:pt idx="599">
                  <c:v>4.8142499999999995</c:v>
                </c:pt>
                <c:pt idx="600">
                  <c:v>4.8142499999999995</c:v>
                </c:pt>
                <c:pt idx="601">
                  <c:v>4.7824999999999998</c:v>
                </c:pt>
                <c:pt idx="602">
                  <c:v>4.7824999999999998</c:v>
                </c:pt>
                <c:pt idx="603">
                  <c:v>5.0376250000000002</c:v>
                </c:pt>
                <c:pt idx="604">
                  <c:v>4.8142499999999995</c:v>
                </c:pt>
                <c:pt idx="605">
                  <c:v>4.8142499999999995</c:v>
                </c:pt>
                <c:pt idx="606">
                  <c:v>4.8142499999999995</c:v>
                </c:pt>
                <c:pt idx="607">
                  <c:v>4.8142499999999995</c:v>
                </c:pt>
                <c:pt idx="608">
                  <c:v>4.8142499999999995</c:v>
                </c:pt>
                <c:pt idx="609">
                  <c:v>4.7824999999999998</c:v>
                </c:pt>
                <c:pt idx="610">
                  <c:v>4.7824999999999998</c:v>
                </c:pt>
                <c:pt idx="611">
                  <c:v>4.7824999999999998</c:v>
                </c:pt>
                <c:pt idx="612">
                  <c:v>4.7824999999999998</c:v>
                </c:pt>
                <c:pt idx="613">
                  <c:v>4.7506250000000003</c:v>
                </c:pt>
                <c:pt idx="614">
                  <c:v>4.7506250000000003</c:v>
                </c:pt>
                <c:pt idx="615">
                  <c:v>4.7506250000000003</c:v>
                </c:pt>
                <c:pt idx="616">
                  <c:v>4.7824999999999998</c:v>
                </c:pt>
                <c:pt idx="617">
                  <c:v>4.7506250000000003</c:v>
                </c:pt>
                <c:pt idx="618">
                  <c:v>4.7506250000000003</c:v>
                </c:pt>
                <c:pt idx="619">
                  <c:v>4.6866249999999994</c:v>
                </c:pt>
                <c:pt idx="620">
                  <c:v>4.6866249999999994</c:v>
                </c:pt>
                <c:pt idx="621">
                  <c:v>4.6866249999999994</c:v>
                </c:pt>
                <c:pt idx="622">
                  <c:v>4.7506250000000003</c:v>
                </c:pt>
                <c:pt idx="623">
                  <c:v>4.7506250000000003</c:v>
                </c:pt>
                <c:pt idx="624">
                  <c:v>4.7824999999999998</c:v>
                </c:pt>
                <c:pt idx="625">
                  <c:v>4.8142499999999995</c:v>
                </c:pt>
                <c:pt idx="626">
                  <c:v>4.8142499999999995</c:v>
                </c:pt>
                <c:pt idx="627">
                  <c:v>4.9417500000000008</c:v>
                </c:pt>
                <c:pt idx="628">
                  <c:v>4.8142499999999995</c:v>
                </c:pt>
                <c:pt idx="629">
                  <c:v>4.9740000000000002</c:v>
                </c:pt>
                <c:pt idx="630">
                  <c:v>4.8142499999999995</c:v>
                </c:pt>
                <c:pt idx="631">
                  <c:v>4.8142499999999995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 w="6350">
              <a:solidFill>
                <a:srgbClr val="1B7A76"/>
              </a:solidFill>
              <a:prstDash val="solid"/>
            </a:ln>
          </c:spPr>
          <c:marker>
            <c:symbol val="none"/>
          </c:marker>
          <c:cat>
            <c:strRef>
              <c:f>'Rates Summary'!$A$80:$A$711</c:f>
              <c:strCache>
                <c:ptCount val="63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  <c:pt idx="231">
                  <c:v>2016-02-03</c:v>
                </c:pt>
                <c:pt idx="232">
                  <c:v>2016-02-04</c:v>
                </c:pt>
                <c:pt idx="233">
                  <c:v>2016-02-05</c:v>
                </c:pt>
                <c:pt idx="234">
                  <c:v>2016-02-08</c:v>
                </c:pt>
                <c:pt idx="235">
                  <c:v>2016-02-09</c:v>
                </c:pt>
                <c:pt idx="236">
                  <c:v>2016-02-10</c:v>
                </c:pt>
                <c:pt idx="237">
                  <c:v>2016-02-11</c:v>
                </c:pt>
                <c:pt idx="238">
                  <c:v>2016-02-12</c:v>
                </c:pt>
                <c:pt idx="239">
                  <c:v>2016-02-16</c:v>
                </c:pt>
                <c:pt idx="240">
                  <c:v>2016-02-17</c:v>
                </c:pt>
                <c:pt idx="241">
                  <c:v>2016-02-18</c:v>
                </c:pt>
                <c:pt idx="242">
                  <c:v>2016-02-19</c:v>
                </c:pt>
                <c:pt idx="243">
                  <c:v>2016-02-22</c:v>
                </c:pt>
                <c:pt idx="244">
                  <c:v>2016-02-23</c:v>
                </c:pt>
                <c:pt idx="245">
                  <c:v>2016-02-25</c:v>
                </c:pt>
                <c:pt idx="246">
                  <c:v>2016-02-26</c:v>
                </c:pt>
                <c:pt idx="247">
                  <c:v>2016-02-29</c:v>
                </c:pt>
                <c:pt idx="248">
                  <c:v>2016-03-01</c:v>
                </c:pt>
                <c:pt idx="249">
                  <c:v>2016-03-02</c:v>
                </c:pt>
                <c:pt idx="250">
                  <c:v>2016-03-03</c:v>
                </c:pt>
                <c:pt idx="251">
                  <c:v>2016-03-04</c:v>
                </c:pt>
                <c:pt idx="252">
                  <c:v>2016-03-07</c:v>
                </c:pt>
                <c:pt idx="253">
                  <c:v>2016-03-08</c:v>
                </c:pt>
                <c:pt idx="254">
                  <c:v>2016-03-09</c:v>
                </c:pt>
                <c:pt idx="255">
                  <c:v>2016-03-10</c:v>
                </c:pt>
                <c:pt idx="256">
                  <c:v>2016-03-11</c:v>
                </c:pt>
                <c:pt idx="257">
                  <c:v>2016-03-14</c:v>
                </c:pt>
                <c:pt idx="258">
                  <c:v>2016-03-15</c:v>
                </c:pt>
                <c:pt idx="259">
                  <c:v>2016-03-16</c:v>
                </c:pt>
                <c:pt idx="260">
                  <c:v>2016-03-17</c:v>
                </c:pt>
                <c:pt idx="261">
                  <c:v>2016-03-18</c:v>
                </c:pt>
                <c:pt idx="262">
                  <c:v>2016-03-21</c:v>
                </c:pt>
                <c:pt idx="263">
                  <c:v>2016-03-22</c:v>
                </c:pt>
                <c:pt idx="264">
                  <c:v>2016-03-23</c:v>
                </c:pt>
                <c:pt idx="265">
                  <c:v>2016-03-28</c:v>
                </c:pt>
                <c:pt idx="266">
                  <c:v>2016-03-29</c:v>
                </c:pt>
                <c:pt idx="267">
                  <c:v>2016-03-30</c:v>
                </c:pt>
                <c:pt idx="268">
                  <c:v>2016-03-31</c:v>
                </c:pt>
                <c:pt idx="269">
                  <c:v>2016-04-01</c:v>
                </c:pt>
                <c:pt idx="270">
                  <c:v>2016-04-04</c:v>
                </c:pt>
                <c:pt idx="271">
                  <c:v>2016-04-05</c:v>
                </c:pt>
                <c:pt idx="272">
                  <c:v>2016-04-06</c:v>
                </c:pt>
                <c:pt idx="273">
                  <c:v>2016-04-07</c:v>
                </c:pt>
                <c:pt idx="274">
                  <c:v>2016-04-08</c:v>
                </c:pt>
                <c:pt idx="275">
                  <c:v>2016-04-11</c:v>
                </c:pt>
                <c:pt idx="276">
                  <c:v>2016-04-12</c:v>
                </c:pt>
                <c:pt idx="277">
                  <c:v>2016-04-13</c:v>
                </c:pt>
                <c:pt idx="278">
                  <c:v>2016-04-14</c:v>
                </c:pt>
                <c:pt idx="279">
                  <c:v>2016-04-15</c:v>
                </c:pt>
                <c:pt idx="280">
                  <c:v>2016-04-18</c:v>
                </c:pt>
                <c:pt idx="281">
                  <c:v>2016-04-19</c:v>
                </c:pt>
                <c:pt idx="282">
                  <c:v>2016-04-20</c:v>
                </c:pt>
                <c:pt idx="283">
                  <c:v>2016-04-21</c:v>
                </c:pt>
                <c:pt idx="284">
                  <c:v>2016-04-22</c:v>
                </c:pt>
                <c:pt idx="285">
                  <c:v>2016-04-25</c:v>
                </c:pt>
                <c:pt idx="286">
                  <c:v>2016-04-26</c:v>
                </c:pt>
                <c:pt idx="287">
                  <c:v>2016-04-27</c:v>
                </c:pt>
                <c:pt idx="288">
                  <c:v>2016-04-28</c:v>
                </c:pt>
                <c:pt idx="289">
                  <c:v>2016-04-29</c:v>
                </c:pt>
                <c:pt idx="290">
                  <c:v>2016-05-03</c:v>
                </c:pt>
                <c:pt idx="291">
                  <c:v>2016-05-04</c:v>
                </c:pt>
                <c:pt idx="292">
                  <c:v>2016-05-05</c:v>
                </c:pt>
                <c:pt idx="293">
                  <c:v>2016-05-06</c:v>
                </c:pt>
                <c:pt idx="294">
                  <c:v>2016-05-09</c:v>
                </c:pt>
                <c:pt idx="295">
                  <c:v>2016-05-10</c:v>
                </c:pt>
                <c:pt idx="296">
                  <c:v>2016-05-11</c:v>
                </c:pt>
                <c:pt idx="297">
                  <c:v>2016-05-12</c:v>
                </c:pt>
                <c:pt idx="298">
                  <c:v>2016-05-13</c:v>
                </c:pt>
                <c:pt idx="299">
                  <c:v>2016-05-16</c:v>
                </c:pt>
                <c:pt idx="300">
                  <c:v>2016-05-17</c:v>
                </c:pt>
                <c:pt idx="301">
                  <c:v>2016-05-18</c:v>
                </c:pt>
                <c:pt idx="302">
                  <c:v>2016-05-19</c:v>
                </c:pt>
                <c:pt idx="303">
                  <c:v>2016-05-20</c:v>
                </c:pt>
                <c:pt idx="304">
                  <c:v>2016-05-23</c:v>
                </c:pt>
                <c:pt idx="305">
                  <c:v>2016-05-24</c:v>
                </c:pt>
                <c:pt idx="306">
                  <c:v>2016-05-25</c:v>
                </c:pt>
                <c:pt idx="307">
                  <c:v>2016-05-26</c:v>
                </c:pt>
                <c:pt idx="308">
                  <c:v>2016-05-27</c:v>
                </c:pt>
                <c:pt idx="309">
                  <c:v>2016-05-31</c:v>
                </c:pt>
                <c:pt idx="310">
                  <c:v>2016-06-01</c:v>
                </c:pt>
                <c:pt idx="311">
                  <c:v>2016-06-02</c:v>
                </c:pt>
                <c:pt idx="312">
                  <c:v>2016-06-03</c:v>
                </c:pt>
                <c:pt idx="313">
                  <c:v>2016-06-06</c:v>
                </c:pt>
                <c:pt idx="314">
                  <c:v>2016-06-07</c:v>
                </c:pt>
                <c:pt idx="315">
                  <c:v>2016-06-08</c:v>
                </c:pt>
                <c:pt idx="316">
                  <c:v>2016-06-09</c:v>
                </c:pt>
                <c:pt idx="317">
                  <c:v>2016-06-10</c:v>
                </c:pt>
                <c:pt idx="318">
                  <c:v>2016-06-13</c:v>
                </c:pt>
                <c:pt idx="319">
                  <c:v>2016-06-14</c:v>
                </c:pt>
                <c:pt idx="320">
                  <c:v>2016-06-15</c:v>
                </c:pt>
                <c:pt idx="321">
                  <c:v>2016-06-16</c:v>
                </c:pt>
                <c:pt idx="322">
                  <c:v>2016-06-17</c:v>
                </c:pt>
                <c:pt idx="323">
                  <c:v>2016-06-20</c:v>
                </c:pt>
                <c:pt idx="324">
                  <c:v>2016-06-21</c:v>
                </c:pt>
                <c:pt idx="325">
                  <c:v>2016-06-22</c:v>
                </c:pt>
                <c:pt idx="326">
                  <c:v>2016-06-23</c:v>
                </c:pt>
                <c:pt idx="327">
                  <c:v>2016-06-24</c:v>
                </c:pt>
                <c:pt idx="328">
                  <c:v>2016-06-27</c:v>
                </c:pt>
                <c:pt idx="329">
                  <c:v>2016-06-28</c:v>
                </c:pt>
                <c:pt idx="330">
                  <c:v>2016-06-29</c:v>
                </c:pt>
                <c:pt idx="331">
                  <c:v>2016-06-30</c:v>
                </c:pt>
                <c:pt idx="332">
                  <c:v>2016-07-01</c:v>
                </c:pt>
                <c:pt idx="333">
                  <c:v>2016-07-05</c:v>
                </c:pt>
                <c:pt idx="334">
                  <c:v>2016-07-06</c:v>
                </c:pt>
                <c:pt idx="335">
                  <c:v>2016-07-07</c:v>
                </c:pt>
                <c:pt idx="336">
                  <c:v>2016-07-11</c:v>
                </c:pt>
                <c:pt idx="337">
                  <c:v>2016-07-12</c:v>
                </c:pt>
                <c:pt idx="338">
                  <c:v>2016-07-13</c:v>
                </c:pt>
                <c:pt idx="339">
                  <c:v>2016-07-14</c:v>
                </c:pt>
                <c:pt idx="340">
                  <c:v>2016-07-15</c:v>
                </c:pt>
                <c:pt idx="341">
                  <c:v>2016-07-18</c:v>
                </c:pt>
                <c:pt idx="342">
                  <c:v>2016-07-19</c:v>
                </c:pt>
                <c:pt idx="343">
                  <c:v>2016-07-20</c:v>
                </c:pt>
                <c:pt idx="344">
                  <c:v>2016-07-21</c:v>
                </c:pt>
                <c:pt idx="345">
                  <c:v>2016-07-22</c:v>
                </c:pt>
                <c:pt idx="346">
                  <c:v>2016-07-25</c:v>
                </c:pt>
                <c:pt idx="347">
                  <c:v>2016-07-26</c:v>
                </c:pt>
                <c:pt idx="348">
                  <c:v>2016-07-27</c:v>
                </c:pt>
                <c:pt idx="349">
                  <c:v>2016-07-28</c:v>
                </c:pt>
                <c:pt idx="350">
                  <c:v>2016-07-29</c:v>
                </c:pt>
                <c:pt idx="351">
                  <c:v>2016-08-01</c:v>
                </c:pt>
                <c:pt idx="352">
                  <c:v>2016-08-02</c:v>
                </c:pt>
                <c:pt idx="353">
                  <c:v>2016-08-03</c:v>
                </c:pt>
                <c:pt idx="354">
                  <c:v>2016-08-04</c:v>
                </c:pt>
                <c:pt idx="355">
                  <c:v>2016-08-05</c:v>
                </c:pt>
                <c:pt idx="356">
                  <c:v>2016-08-08</c:v>
                </c:pt>
                <c:pt idx="357">
                  <c:v>2016-08-09</c:v>
                </c:pt>
                <c:pt idx="358">
                  <c:v>2016-08-10</c:v>
                </c:pt>
                <c:pt idx="359">
                  <c:v>2016-08-15</c:v>
                </c:pt>
                <c:pt idx="360">
                  <c:v>2016-08-16</c:v>
                </c:pt>
                <c:pt idx="361">
                  <c:v>2016-08-17</c:v>
                </c:pt>
                <c:pt idx="362">
                  <c:v>2016-08-18</c:v>
                </c:pt>
                <c:pt idx="363">
                  <c:v>2016-08-19</c:v>
                </c:pt>
                <c:pt idx="364">
                  <c:v>2016-08-22</c:v>
                </c:pt>
                <c:pt idx="365">
                  <c:v>2016-08-23</c:v>
                </c:pt>
                <c:pt idx="366">
                  <c:v>2016-08-24</c:v>
                </c:pt>
                <c:pt idx="367">
                  <c:v>2016-08-29</c:v>
                </c:pt>
                <c:pt idx="368">
                  <c:v>2016-08-30</c:v>
                </c:pt>
                <c:pt idx="369">
                  <c:v>2016-08-31</c:v>
                </c:pt>
                <c:pt idx="370">
                  <c:v>2016-09-01</c:v>
                </c:pt>
                <c:pt idx="371">
                  <c:v>2016-09-07</c:v>
                </c:pt>
                <c:pt idx="372">
                  <c:v>2016-09-08</c:v>
                </c:pt>
                <c:pt idx="373">
                  <c:v>2016-09-12</c:v>
                </c:pt>
                <c:pt idx="374">
                  <c:v>2016-09-13</c:v>
                </c:pt>
                <c:pt idx="375">
                  <c:v>2016-09-14</c:v>
                </c:pt>
                <c:pt idx="376">
                  <c:v>2016-09-15</c:v>
                </c:pt>
                <c:pt idx="377">
                  <c:v>2016-09-16</c:v>
                </c:pt>
                <c:pt idx="378">
                  <c:v>2016-09-19</c:v>
                </c:pt>
                <c:pt idx="379">
                  <c:v>2016-09-20</c:v>
                </c:pt>
                <c:pt idx="380">
                  <c:v>2016-09-21</c:v>
                </c:pt>
                <c:pt idx="381">
                  <c:v>2016-09-22</c:v>
                </c:pt>
                <c:pt idx="382">
                  <c:v>2016-09-23</c:v>
                </c:pt>
                <c:pt idx="383">
                  <c:v>2016-09-26</c:v>
                </c:pt>
                <c:pt idx="384">
                  <c:v>2016-09-27</c:v>
                </c:pt>
                <c:pt idx="385">
                  <c:v>2016-09-28</c:v>
                </c:pt>
                <c:pt idx="386">
                  <c:v>2016-09-29</c:v>
                </c:pt>
                <c:pt idx="387">
                  <c:v>2016-09-30</c:v>
                </c:pt>
                <c:pt idx="388">
                  <c:v>2016-10-03</c:v>
                </c:pt>
                <c:pt idx="389">
                  <c:v>2016-10-04</c:v>
                </c:pt>
                <c:pt idx="390">
                  <c:v>2016-10-05</c:v>
                </c:pt>
                <c:pt idx="391">
                  <c:v>2016-10-06</c:v>
                </c:pt>
                <c:pt idx="392">
                  <c:v>2016-10-07</c:v>
                </c:pt>
                <c:pt idx="393">
                  <c:v>2016-10-11</c:v>
                </c:pt>
                <c:pt idx="394">
                  <c:v>2016-10-12</c:v>
                </c:pt>
                <c:pt idx="395">
                  <c:v>2016-10-13</c:v>
                </c:pt>
                <c:pt idx="396">
                  <c:v>2016-10-14</c:v>
                </c:pt>
                <c:pt idx="397">
                  <c:v>2016-10-17</c:v>
                </c:pt>
                <c:pt idx="398">
                  <c:v>2016-10-18</c:v>
                </c:pt>
                <c:pt idx="399">
                  <c:v>2016-10-19</c:v>
                </c:pt>
                <c:pt idx="400">
                  <c:v>2016-10-20</c:v>
                </c:pt>
                <c:pt idx="401">
                  <c:v>2016-10-21</c:v>
                </c:pt>
                <c:pt idx="402">
                  <c:v>2016-10-24</c:v>
                </c:pt>
                <c:pt idx="403">
                  <c:v>2016-10-25</c:v>
                </c:pt>
                <c:pt idx="404">
                  <c:v>2016-10-26</c:v>
                </c:pt>
                <c:pt idx="405">
                  <c:v>2016-10-27</c:v>
                </c:pt>
                <c:pt idx="406">
                  <c:v>2016-10-28</c:v>
                </c:pt>
                <c:pt idx="407">
                  <c:v>2016-10-31</c:v>
                </c:pt>
                <c:pt idx="408">
                  <c:v>2016-11-01</c:v>
                </c:pt>
                <c:pt idx="409">
                  <c:v>2016-11-02</c:v>
                </c:pt>
                <c:pt idx="410">
                  <c:v>2016-11-03</c:v>
                </c:pt>
                <c:pt idx="411">
                  <c:v>2016-11-04</c:v>
                </c:pt>
                <c:pt idx="412">
                  <c:v>2016-11-07</c:v>
                </c:pt>
                <c:pt idx="413">
                  <c:v>2016-11-08</c:v>
                </c:pt>
                <c:pt idx="414">
                  <c:v>2016-11-09</c:v>
                </c:pt>
                <c:pt idx="415">
                  <c:v>2016-11-10</c:v>
                </c:pt>
                <c:pt idx="416">
                  <c:v>2016-11-14</c:v>
                </c:pt>
                <c:pt idx="417">
                  <c:v>2016-11-15</c:v>
                </c:pt>
                <c:pt idx="418">
                  <c:v>2016-11-16</c:v>
                </c:pt>
                <c:pt idx="419">
                  <c:v>2016-11-17</c:v>
                </c:pt>
                <c:pt idx="420">
                  <c:v>2016-11-18</c:v>
                </c:pt>
                <c:pt idx="421">
                  <c:v>2016-11-21</c:v>
                </c:pt>
                <c:pt idx="422">
                  <c:v>2016-11-22</c:v>
                </c:pt>
                <c:pt idx="423">
                  <c:v>2016-11-23</c:v>
                </c:pt>
                <c:pt idx="424">
                  <c:v>2016-11-25</c:v>
                </c:pt>
                <c:pt idx="425">
                  <c:v>2016-11-28</c:v>
                </c:pt>
                <c:pt idx="426">
                  <c:v>2016-11-29</c:v>
                </c:pt>
                <c:pt idx="427">
                  <c:v>2016-11-30</c:v>
                </c:pt>
                <c:pt idx="428">
                  <c:v>2016-12-01</c:v>
                </c:pt>
                <c:pt idx="429">
                  <c:v>2016-12-02</c:v>
                </c:pt>
                <c:pt idx="430">
                  <c:v>2016-12-05</c:v>
                </c:pt>
                <c:pt idx="431">
                  <c:v>2016-12-06</c:v>
                </c:pt>
                <c:pt idx="432">
                  <c:v>2016-12-07</c:v>
                </c:pt>
                <c:pt idx="433">
                  <c:v>2016-12-08</c:v>
                </c:pt>
                <c:pt idx="434">
                  <c:v>2016-12-09</c:v>
                </c:pt>
                <c:pt idx="435">
                  <c:v>2016-12-12</c:v>
                </c:pt>
                <c:pt idx="436">
                  <c:v>2016-12-13</c:v>
                </c:pt>
                <c:pt idx="437">
                  <c:v>2016-12-14</c:v>
                </c:pt>
                <c:pt idx="438">
                  <c:v>2016-12-15</c:v>
                </c:pt>
                <c:pt idx="439">
                  <c:v>2016-12-16</c:v>
                </c:pt>
                <c:pt idx="440">
                  <c:v>2016-12-19</c:v>
                </c:pt>
                <c:pt idx="441">
                  <c:v>2016-12-20</c:v>
                </c:pt>
                <c:pt idx="442">
                  <c:v>2016-12-21</c:v>
                </c:pt>
                <c:pt idx="443">
                  <c:v>2016-12-22</c:v>
                </c:pt>
                <c:pt idx="444">
                  <c:v>2016-12-23</c:v>
                </c:pt>
                <c:pt idx="445">
                  <c:v>2016-12-27</c:v>
                </c:pt>
                <c:pt idx="446">
                  <c:v>2016-12-28</c:v>
                </c:pt>
                <c:pt idx="447">
                  <c:v>2016-12-29</c:v>
                </c:pt>
                <c:pt idx="448">
                  <c:v>2016-12-30</c:v>
                </c:pt>
                <c:pt idx="449">
                  <c:v>2017-01-03</c:v>
                </c:pt>
                <c:pt idx="450">
                  <c:v>2017-01-04</c:v>
                </c:pt>
                <c:pt idx="451">
                  <c:v>2017-01-05</c:v>
                </c:pt>
                <c:pt idx="452">
                  <c:v>2017-01-06</c:v>
                </c:pt>
                <c:pt idx="453">
                  <c:v>2017-01-09</c:v>
                </c:pt>
                <c:pt idx="454">
                  <c:v>2017-01-10</c:v>
                </c:pt>
                <c:pt idx="455">
                  <c:v>2017-01-11</c:v>
                </c:pt>
                <c:pt idx="456">
                  <c:v>2017-01-12</c:v>
                </c:pt>
                <c:pt idx="457">
                  <c:v>2017-01-13</c:v>
                </c:pt>
                <c:pt idx="458">
                  <c:v>2017-01-17</c:v>
                </c:pt>
                <c:pt idx="459">
                  <c:v>2017-01-18</c:v>
                </c:pt>
                <c:pt idx="460">
                  <c:v>2017-01-19</c:v>
                </c:pt>
                <c:pt idx="461">
                  <c:v>2017-01-20</c:v>
                </c:pt>
                <c:pt idx="462">
                  <c:v>2017-01-23</c:v>
                </c:pt>
                <c:pt idx="463">
                  <c:v>2017-01-24</c:v>
                </c:pt>
                <c:pt idx="464">
                  <c:v>2017-01-25</c:v>
                </c:pt>
                <c:pt idx="465">
                  <c:v>2017-01-26</c:v>
                </c:pt>
                <c:pt idx="466">
                  <c:v>2017-01-27</c:v>
                </c:pt>
                <c:pt idx="467">
                  <c:v>2017-01-30</c:v>
                </c:pt>
                <c:pt idx="468">
                  <c:v>2017-01-31</c:v>
                </c:pt>
                <c:pt idx="469">
                  <c:v>2017-02-01</c:v>
                </c:pt>
                <c:pt idx="470">
                  <c:v>2017-02-02</c:v>
                </c:pt>
                <c:pt idx="471">
                  <c:v>2017-02-03</c:v>
                </c:pt>
                <c:pt idx="472">
                  <c:v>2017-02-06</c:v>
                </c:pt>
                <c:pt idx="473">
                  <c:v>2017-02-07</c:v>
                </c:pt>
                <c:pt idx="474">
                  <c:v>2017-02-08</c:v>
                </c:pt>
                <c:pt idx="475">
                  <c:v>2017-02-10</c:v>
                </c:pt>
                <c:pt idx="476">
                  <c:v>2017-02-13</c:v>
                </c:pt>
                <c:pt idx="477">
                  <c:v>2017-02-14</c:v>
                </c:pt>
                <c:pt idx="478">
                  <c:v>2017-02-15</c:v>
                </c:pt>
                <c:pt idx="479">
                  <c:v>2017-02-16</c:v>
                </c:pt>
                <c:pt idx="480">
                  <c:v>2017-02-17</c:v>
                </c:pt>
                <c:pt idx="481">
                  <c:v>2017-02-21</c:v>
                </c:pt>
                <c:pt idx="482">
                  <c:v>2017-02-22</c:v>
                </c:pt>
                <c:pt idx="483">
                  <c:v>2017-02-23</c:v>
                </c:pt>
                <c:pt idx="484">
                  <c:v>2017-02-24</c:v>
                </c:pt>
                <c:pt idx="485">
                  <c:v>2017-02-27</c:v>
                </c:pt>
                <c:pt idx="486">
                  <c:v>2017-02-28</c:v>
                </c:pt>
                <c:pt idx="487">
                  <c:v>2017-03-01</c:v>
                </c:pt>
                <c:pt idx="488">
                  <c:v>2017-03-02</c:v>
                </c:pt>
                <c:pt idx="489">
                  <c:v>2017-03-03</c:v>
                </c:pt>
                <c:pt idx="490">
                  <c:v>2017-03-06</c:v>
                </c:pt>
                <c:pt idx="491">
                  <c:v>2017-03-07</c:v>
                </c:pt>
                <c:pt idx="492">
                  <c:v>2017-03-08</c:v>
                </c:pt>
                <c:pt idx="493">
                  <c:v>2017-03-09</c:v>
                </c:pt>
                <c:pt idx="494">
                  <c:v>2017-03-10</c:v>
                </c:pt>
                <c:pt idx="495">
                  <c:v>2017-03-13</c:v>
                </c:pt>
                <c:pt idx="496">
                  <c:v>2017-03-14</c:v>
                </c:pt>
                <c:pt idx="497">
                  <c:v>2017-03-15</c:v>
                </c:pt>
                <c:pt idx="498">
                  <c:v>2017-03-16</c:v>
                </c:pt>
                <c:pt idx="499">
                  <c:v>2017-03-17</c:v>
                </c:pt>
                <c:pt idx="500">
                  <c:v>2017-03-20</c:v>
                </c:pt>
                <c:pt idx="501">
                  <c:v>2017-03-21</c:v>
                </c:pt>
                <c:pt idx="502">
                  <c:v>2017-03-22</c:v>
                </c:pt>
                <c:pt idx="503">
                  <c:v>2017-03-23</c:v>
                </c:pt>
                <c:pt idx="504">
                  <c:v>2017-03-24</c:v>
                </c:pt>
                <c:pt idx="505">
                  <c:v>2017-03-27</c:v>
                </c:pt>
                <c:pt idx="506">
                  <c:v>2017-03-28</c:v>
                </c:pt>
                <c:pt idx="507">
                  <c:v>2017-03-29</c:v>
                </c:pt>
                <c:pt idx="508">
                  <c:v>2017-03-30</c:v>
                </c:pt>
                <c:pt idx="509">
                  <c:v>2017-03-31</c:v>
                </c:pt>
                <c:pt idx="510">
                  <c:v>2017-04-03</c:v>
                </c:pt>
                <c:pt idx="511">
                  <c:v>2017-04-04</c:v>
                </c:pt>
                <c:pt idx="512">
                  <c:v>2017-04-05</c:v>
                </c:pt>
                <c:pt idx="513">
                  <c:v>2017-04-06</c:v>
                </c:pt>
                <c:pt idx="514">
                  <c:v>2017-04-07</c:v>
                </c:pt>
                <c:pt idx="515">
                  <c:v>2017-04-10</c:v>
                </c:pt>
                <c:pt idx="516">
                  <c:v>2017-04-11</c:v>
                </c:pt>
                <c:pt idx="517">
                  <c:v>2017-04-12</c:v>
                </c:pt>
                <c:pt idx="518">
                  <c:v>2017-04-13</c:v>
                </c:pt>
                <c:pt idx="519">
                  <c:v>2017-04-17</c:v>
                </c:pt>
                <c:pt idx="520">
                  <c:v>2017-04-18</c:v>
                </c:pt>
                <c:pt idx="521">
                  <c:v>2017-04-19</c:v>
                </c:pt>
                <c:pt idx="522">
                  <c:v>2017-04-20</c:v>
                </c:pt>
                <c:pt idx="523">
                  <c:v>2017-04-21</c:v>
                </c:pt>
                <c:pt idx="524">
                  <c:v>2017-04-24</c:v>
                </c:pt>
                <c:pt idx="525">
                  <c:v>2017-04-25</c:v>
                </c:pt>
                <c:pt idx="526">
                  <c:v>2017-04-26</c:v>
                </c:pt>
                <c:pt idx="527">
                  <c:v>2017-04-27</c:v>
                </c:pt>
                <c:pt idx="528">
                  <c:v>2017-04-28</c:v>
                </c:pt>
                <c:pt idx="529">
                  <c:v>2017-05-01</c:v>
                </c:pt>
                <c:pt idx="530">
                  <c:v>2017-05-02</c:v>
                </c:pt>
                <c:pt idx="531">
                  <c:v>2017-05-03</c:v>
                </c:pt>
                <c:pt idx="532">
                  <c:v>2017-05-04</c:v>
                </c:pt>
                <c:pt idx="533">
                  <c:v>2017-05-05</c:v>
                </c:pt>
                <c:pt idx="534">
                  <c:v>2017-05-08</c:v>
                </c:pt>
                <c:pt idx="535">
                  <c:v>2017-05-10</c:v>
                </c:pt>
                <c:pt idx="536">
                  <c:v>2017-05-11</c:v>
                </c:pt>
                <c:pt idx="537">
                  <c:v>2017-05-12</c:v>
                </c:pt>
                <c:pt idx="538">
                  <c:v>2017-05-15</c:v>
                </c:pt>
                <c:pt idx="539">
                  <c:v>2017-05-16</c:v>
                </c:pt>
                <c:pt idx="540">
                  <c:v>2017-05-17</c:v>
                </c:pt>
                <c:pt idx="541">
                  <c:v>2017-05-18</c:v>
                </c:pt>
                <c:pt idx="542">
                  <c:v>2017-05-19</c:v>
                </c:pt>
                <c:pt idx="543">
                  <c:v>2017-05-22</c:v>
                </c:pt>
                <c:pt idx="544">
                  <c:v>2017-05-23</c:v>
                </c:pt>
                <c:pt idx="545">
                  <c:v>2017-05-24</c:v>
                </c:pt>
                <c:pt idx="546">
                  <c:v>2017-05-25</c:v>
                </c:pt>
                <c:pt idx="547">
                  <c:v>2017-05-30</c:v>
                </c:pt>
                <c:pt idx="548">
                  <c:v>2017-05-31</c:v>
                </c:pt>
                <c:pt idx="549">
                  <c:v>2017-06-01</c:v>
                </c:pt>
                <c:pt idx="550">
                  <c:v>2017-06-02</c:v>
                </c:pt>
                <c:pt idx="551">
                  <c:v>2017-06-05</c:v>
                </c:pt>
                <c:pt idx="552">
                  <c:v>2017-06-06</c:v>
                </c:pt>
                <c:pt idx="553">
                  <c:v>2017-06-07</c:v>
                </c:pt>
                <c:pt idx="554">
                  <c:v>2017-06-08</c:v>
                </c:pt>
                <c:pt idx="555">
                  <c:v>2017-06-09</c:v>
                </c:pt>
                <c:pt idx="556">
                  <c:v>2017-06-12</c:v>
                </c:pt>
                <c:pt idx="557">
                  <c:v>2017-06-13</c:v>
                </c:pt>
                <c:pt idx="558">
                  <c:v>2017-06-14</c:v>
                </c:pt>
                <c:pt idx="559">
                  <c:v>2017-06-15</c:v>
                </c:pt>
                <c:pt idx="560">
                  <c:v>2017-06-16</c:v>
                </c:pt>
                <c:pt idx="561">
                  <c:v>2017-06-19</c:v>
                </c:pt>
                <c:pt idx="562">
                  <c:v>2017-06-20</c:v>
                </c:pt>
                <c:pt idx="563">
                  <c:v>2017-06-21</c:v>
                </c:pt>
                <c:pt idx="564">
                  <c:v>2017-06-22</c:v>
                </c:pt>
                <c:pt idx="565">
                  <c:v>2017-06-23</c:v>
                </c:pt>
                <c:pt idx="566">
                  <c:v>2017-06-26</c:v>
                </c:pt>
                <c:pt idx="567">
                  <c:v>2017-06-27</c:v>
                </c:pt>
                <c:pt idx="568">
                  <c:v>2017-06-28</c:v>
                </c:pt>
                <c:pt idx="569">
                  <c:v>2017-06-29</c:v>
                </c:pt>
                <c:pt idx="570">
                  <c:v>2017-06-30</c:v>
                </c:pt>
                <c:pt idx="571">
                  <c:v>2017-07-03</c:v>
                </c:pt>
                <c:pt idx="572">
                  <c:v>2017-07-05</c:v>
                </c:pt>
                <c:pt idx="573">
                  <c:v>2017-07-07</c:v>
                </c:pt>
                <c:pt idx="574">
                  <c:v>2017-07-10</c:v>
                </c:pt>
                <c:pt idx="575">
                  <c:v>2017-07-11</c:v>
                </c:pt>
                <c:pt idx="576">
                  <c:v>2017-07-12</c:v>
                </c:pt>
                <c:pt idx="577">
                  <c:v>2017-07-13</c:v>
                </c:pt>
                <c:pt idx="578">
                  <c:v>2017-07-14</c:v>
                </c:pt>
                <c:pt idx="579">
                  <c:v>2017-07-17</c:v>
                </c:pt>
                <c:pt idx="580">
                  <c:v>2017-07-18</c:v>
                </c:pt>
                <c:pt idx="581">
                  <c:v>2017-07-19</c:v>
                </c:pt>
                <c:pt idx="582">
                  <c:v>2017-07-21</c:v>
                </c:pt>
                <c:pt idx="583">
                  <c:v>2017-07-24</c:v>
                </c:pt>
                <c:pt idx="584">
                  <c:v>2017-07-25</c:v>
                </c:pt>
                <c:pt idx="585">
                  <c:v>2017-07-26</c:v>
                </c:pt>
                <c:pt idx="586">
                  <c:v>2017-07-27</c:v>
                </c:pt>
                <c:pt idx="587">
                  <c:v>2017-07-28</c:v>
                </c:pt>
                <c:pt idx="588">
                  <c:v>2017-07-31</c:v>
                </c:pt>
                <c:pt idx="589">
                  <c:v>2017-08-01</c:v>
                </c:pt>
                <c:pt idx="590">
                  <c:v>2017-08-02</c:v>
                </c:pt>
                <c:pt idx="591">
                  <c:v>2017-08-03</c:v>
                </c:pt>
                <c:pt idx="592">
                  <c:v>2017-08-04</c:v>
                </c:pt>
                <c:pt idx="593">
                  <c:v>2017-08-07</c:v>
                </c:pt>
                <c:pt idx="594">
                  <c:v>2017-08-08</c:v>
                </c:pt>
                <c:pt idx="595">
                  <c:v>2017-08-09</c:v>
                </c:pt>
                <c:pt idx="596">
                  <c:v>2017-08-10</c:v>
                </c:pt>
                <c:pt idx="597">
                  <c:v>2017-08-11</c:v>
                </c:pt>
                <c:pt idx="598">
                  <c:v>2017-08-14</c:v>
                </c:pt>
                <c:pt idx="599">
                  <c:v>2017-08-15</c:v>
                </c:pt>
                <c:pt idx="600">
                  <c:v>2017-08-16</c:v>
                </c:pt>
                <c:pt idx="601">
                  <c:v>2017-08-17</c:v>
                </c:pt>
                <c:pt idx="602">
                  <c:v>2017-08-18</c:v>
                </c:pt>
                <c:pt idx="603">
                  <c:v>2017-08-22</c:v>
                </c:pt>
                <c:pt idx="604">
                  <c:v>2017-08-23</c:v>
                </c:pt>
                <c:pt idx="605">
                  <c:v>2017-08-24</c:v>
                </c:pt>
                <c:pt idx="606">
                  <c:v>2017-08-25</c:v>
                </c:pt>
                <c:pt idx="607">
                  <c:v>2017-08-28</c:v>
                </c:pt>
                <c:pt idx="608">
                  <c:v>2017-08-29</c:v>
                </c:pt>
                <c:pt idx="609">
                  <c:v>2017-08-30</c:v>
                </c:pt>
                <c:pt idx="610">
                  <c:v>2017-08-31</c:v>
                </c:pt>
                <c:pt idx="611">
                  <c:v>2017-09-01</c:v>
                </c:pt>
                <c:pt idx="612">
                  <c:v>2017-09-05</c:v>
                </c:pt>
                <c:pt idx="613">
                  <c:v>2017-09-06</c:v>
                </c:pt>
                <c:pt idx="614">
                  <c:v>2017-09-07</c:v>
                </c:pt>
                <c:pt idx="615">
                  <c:v>2017-09-08</c:v>
                </c:pt>
                <c:pt idx="616">
                  <c:v>2017-09-11</c:v>
                </c:pt>
                <c:pt idx="617">
                  <c:v>2017-09-12</c:v>
                </c:pt>
                <c:pt idx="618">
                  <c:v>2017-09-13</c:v>
                </c:pt>
                <c:pt idx="619">
                  <c:v>2017-09-14</c:v>
                </c:pt>
                <c:pt idx="620">
                  <c:v>2017-09-15</c:v>
                </c:pt>
                <c:pt idx="621">
                  <c:v>2017-09-18</c:v>
                </c:pt>
                <c:pt idx="622">
                  <c:v>2017-09-19</c:v>
                </c:pt>
                <c:pt idx="623">
                  <c:v>2017-09-20</c:v>
                </c:pt>
                <c:pt idx="624">
                  <c:v>2017-09-21</c:v>
                </c:pt>
                <c:pt idx="625">
                  <c:v>2017-09-22</c:v>
                </c:pt>
                <c:pt idx="626">
                  <c:v>2017-09-25</c:v>
                </c:pt>
                <c:pt idx="627">
                  <c:v>2017-09-26</c:v>
                </c:pt>
                <c:pt idx="628">
                  <c:v>2017-09-27</c:v>
                </c:pt>
                <c:pt idx="629">
                  <c:v>2017-09-28</c:v>
                </c:pt>
                <c:pt idx="630">
                  <c:v>2017-09-29</c:v>
                </c:pt>
                <c:pt idx="631">
                  <c:v>2017-10-02</c:v>
                </c:pt>
              </c:strCache>
            </c:strRef>
          </c:cat>
          <c:val>
            <c:numRef>
              <c:f>'Rates Summary'!$D$80:$D$711</c:f>
              <c:numCache>
                <c:formatCode>General</c:formatCode>
                <c:ptCount val="632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  <c:pt idx="9">
                  <c:v>3.8281034376602534</c:v>
                </c:pt>
                <c:pt idx="10">
                  <c:v>3.7907999999999999</c:v>
                </c:pt>
                <c:pt idx="11">
                  <c:v>3.7452361066975079</c:v>
                </c:pt>
                <c:pt idx="12">
                  <c:v>3.701847554934004</c:v>
                </c:pt>
                <c:pt idx="13">
                  <c:v>3.7452361066975079</c:v>
                </c:pt>
                <c:pt idx="14">
                  <c:v>3.7452361066975079</c:v>
                </c:pt>
                <c:pt idx="15">
                  <c:v>3.7907999999999999</c:v>
                </c:pt>
                <c:pt idx="16">
                  <c:v>3.8281034376602534</c:v>
                </c:pt>
                <c:pt idx="17">
                  <c:v>3.8714038285041039</c:v>
                </c:pt>
                <c:pt idx="18">
                  <c:v>3.8714038285041039</c:v>
                </c:pt>
                <c:pt idx="19">
                  <c:v>3.8714038285041039</c:v>
                </c:pt>
                <c:pt idx="20">
                  <c:v>3.8714038285041039</c:v>
                </c:pt>
                <c:pt idx="21">
                  <c:v>3.7907999999999999</c:v>
                </c:pt>
                <c:pt idx="22">
                  <c:v>3.7907999999999999</c:v>
                </c:pt>
                <c:pt idx="23">
                  <c:v>3.8038200779030156</c:v>
                </c:pt>
                <c:pt idx="24">
                  <c:v>3.6708585343811904</c:v>
                </c:pt>
                <c:pt idx="25">
                  <c:v>3.6708585343811904</c:v>
                </c:pt>
                <c:pt idx="26">
                  <c:v>3.6708585343811904</c:v>
                </c:pt>
                <c:pt idx="27">
                  <c:v>3.6708585343811904</c:v>
                </c:pt>
                <c:pt idx="28">
                  <c:v>3.6708585343811904</c:v>
                </c:pt>
                <c:pt idx="29">
                  <c:v>3.7143356375412493</c:v>
                </c:pt>
                <c:pt idx="30">
                  <c:v>3.6334666666666666</c:v>
                </c:pt>
                <c:pt idx="31">
                  <c:v>3.6334666666666666</c:v>
                </c:pt>
                <c:pt idx="32">
                  <c:v>3.6334666666666666</c:v>
                </c:pt>
                <c:pt idx="33">
                  <c:v>3.6334666666666666</c:v>
                </c:pt>
                <c:pt idx="34">
                  <c:v>3.6334666666666666</c:v>
                </c:pt>
                <c:pt idx="35">
                  <c:v>3.6334666666666666</c:v>
                </c:pt>
                <c:pt idx="36">
                  <c:v>3.7597333333333331</c:v>
                </c:pt>
                <c:pt idx="37">
                  <c:v>3.7597333333333331</c:v>
                </c:pt>
                <c:pt idx="38">
                  <c:v>3.7143356375412493</c:v>
                </c:pt>
                <c:pt idx="39">
                  <c:v>3.7143356375412493</c:v>
                </c:pt>
                <c:pt idx="40">
                  <c:v>3.7143356375412493</c:v>
                </c:pt>
                <c:pt idx="41">
                  <c:v>3.7970808882673373</c:v>
                </c:pt>
                <c:pt idx="42">
                  <c:v>3.7970808882673373</c:v>
                </c:pt>
                <c:pt idx="43">
                  <c:v>3.7970808882673373</c:v>
                </c:pt>
                <c:pt idx="44">
                  <c:v>3.7970808882673373</c:v>
                </c:pt>
                <c:pt idx="45">
                  <c:v>3.8404694400308417</c:v>
                </c:pt>
                <c:pt idx="46">
                  <c:v>3.9020859403395352</c:v>
                </c:pt>
                <c:pt idx="47">
                  <c:v>3.9020859403395352</c:v>
                </c:pt>
                <c:pt idx="48">
                  <c:v>3.7970808882673373</c:v>
                </c:pt>
                <c:pt idx="49">
                  <c:v>3.8860333333333337</c:v>
                </c:pt>
                <c:pt idx="50">
                  <c:v>3.9233367709935867</c:v>
                </c:pt>
                <c:pt idx="51">
                  <c:v>3.9233367709935867</c:v>
                </c:pt>
                <c:pt idx="52">
                  <c:v>3.8860333333333337</c:v>
                </c:pt>
                <c:pt idx="53">
                  <c:v>3.8404694400308417</c:v>
                </c:pt>
                <c:pt idx="54">
                  <c:v>3.8404694400308417</c:v>
                </c:pt>
                <c:pt idx="55">
                  <c:v>3.9041371618374376</c:v>
                </c:pt>
                <c:pt idx="56">
                  <c:v>3.9041371618374376</c:v>
                </c:pt>
                <c:pt idx="57">
                  <c:v>3.9041371618374376</c:v>
                </c:pt>
                <c:pt idx="58">
                  <c:v>3.7749314548968891</c:v>
                </c:pt>
                <c:pt idx="59">
                  <c:v>3.7749314548968891</c:v>
                </c:pt>
                <c:pt idx="60">
                  <c:v>3.7749314548968891</c:v>
                </c:pt>
                <c:pt idx="61">
                  <c:v>3.7761730843118855</c:v>
                </c:pt>
                <c:pt idx="62">
                  <c:v>3.7761730843118855</c:v>
                </c:pt>
                <c:pt idx="63">
                  <c:v>4.0557276764206129</c:v>
                </c:pt>
                <c:pt idx="64">
                  <c:v>4.0557276764206129</c:v>
                </c:pt>
                <c:pt idx="65">
                  <c:v>4.1817004181546098</c:v>
                </c:pt>
                <c:pt idx="66">
                  <c:v>4.1237077500397357</c:v>
                </c:pt>
                <c:pt idx="67">
                  <c:v>4.2186106422383469</c:v>
                </c:pt>
                <c:pt idx="68">
                  <c:v>4.1873439755716797</c:v>
                </c:pt>
                <c:pt idx="69">
                  <c:v>4.1873439755716797</c:v>
                </c:pt>
                <c:pt idx="70">
                  <c:v>4.310586640999877</c:v>
                </c:pt>
                <c:pt idx="71">
                  <c:v>4.2186106422383469</c:v>
                </c:pt>
                <c:pt idx="72">
                  <c:v>4.2186106422383469</c:v>
                </c:pt>
                <c:pt idx="73">
                  <c:v>4.1817004181546098</c:v>
                </c:pt>
                <c:pt idx="74">
                  <c:v>4.1817004181546098</c:v>
                </c:pt>
                <c:pt idx="75">
                  <c:v>4.1873439755716797</c:v>
                </c:pt>
                <c:pt idx="76">
                  <c:v>4.1873439755716797</c:v>
                </c:pt>
                <c:pt idx="77">
                  <c:v>4.1817004181546098</c:v>
                </c:pt>
                <c:pt idx="78">
                  <c:v>4.1873439755716797</c:v>
                </c:pt>
                <c:pt idx="79">
                  <c:v>4.2186106422383469</c:v>
                </c:pt>
                <c:pt idx="80">
                  <c:v>4.2186106422383469</c:v>
                </c:pt>
                <c:pt idx="81">
                  <c:v>4.2186106422383469</c:v>
                </c:pt>
                <c:pt idx="82">
                  <c:v>4.310586640999877</c:v>
                </c:pt>
                <c:pt idx="83">
                  <c:v>4.2186106422383469</c:v>
                </c:pt>
                <c:pt idx="84">
                  <c:v>4.1873439755716797</c:v>
                </c:pt>
                <c:pt idx="85">
                  <c:v>4.2186106422383469</c:v>
                </c:pt>
                <c:pt idx="86">
                  <c:v>4.2186106422383469</c:v>
                </c:pt>
                <c:pt idx="87">
                  <c:v>4.1237077500397357</c:v>
                </c:pt>
                <c:pt idx="88">
                  <c:v>4.0612077500397348</c:v>
                </c:pt>
                <c:pt idx="89">
                  <c:v>4.092474416706402</c:v>
                </c:pt>
                <c:pt idx="90">
                  <c:v>4.092474416706402</c:v>
                </c:pt>
                <c:pt idx="91">
                  <c:v>4.1873439755716797</c:v>
                </c:pt>
                <c:pt idx="92">
                  <c:v>4.2498439755716797</c:v>
                </c:pt>
                <c:pt idx="93">
                  <c:v>4.1873439755716797</c:v>
                </c:pt>
                <c:pt idx="94">
                  <c:v>4.1237077500397357</c:v>
                </c:pt>
                <c:pt idx="95">
                  <c:v>4.1817004181546098</c:v>
                </c:pt>
                <c:pt idx="96">
                  <c:v>4.1237077500397357</c:v>
                </c:pt>
                <c:pt idx="97">
                  <c:v>4.1817004181546098</c:v>
                </c:pt>
                <c:pt idx="98">
                  <c:v>4.1237077500397357</c:v>
                </c:pt>
                <c:pt idx="99">
                  <c:v>4.1237077500397357</c:v>
                </c:pt>
                <c:pt idx="100">
                  <c:v>4.1237077500397357</c:v>
                </c:pt>
                <c:pt idx="101">
                  <c:v>4.0612077500397348</c:v>
                </c:pt>
                <c:pt idx="102">
                  <c:v>4.0557276764206129</c:v>
                </c:pt>
                <c:pt idx="103">
                  <c:v>4.0557276764206129</c:v>
                </c:pt>
                <c:pt idx="104">
                  <c:v>4.0557276764206129</c:v>
                </c:pt>
                <c:pt idx="105">
                  <c:v>4.0557276764206129</c:v>
                </c:pt>
                <c:pt idx="106">
                  <c:v>3.966305483037543</c:v>
                </c:pt>
                <c:pt idx="107">
                  <c:v>3.966305483037543</c:v>
                </c:pt>
                <c:pt idx="108">
                  <c:v>3.9975388163708763</c:v>
                </c:pt>
                <c:pt idx="109">
                  <c:v>4.0557276764206129</c:v>
                </c:pt>
                <c:pt idx="110">
                  <c:v>4.0557276764206129</c:v>
                </c:pt>
                <c:pt idx="111">
                  <c:v>3.9975388163708763</c:v>
                </c:pt>
                <c:pt idx="112">
                  <c:v>3.9975388163708763</c:v>
                </c:pt>
                <c:pt idx="113">
                  <c:v>3.966305483037543</c:v>
                </c:pt>
                <c:pt idx="114">
                  <c:v>3.932044793512913</c:v>
                </c:pt>
                <c:pt idx="115">
                  <c:v>3.966305483037543</c:v>
                </c:pt>
                <c:pt idx="116">
                  <c:v>3.966305483037543</c:v>
                </c:pt>
                <c:pt idx="117">
                  <c:v>3.932044793512913</c:v>
                </c:pt>
                <c:pt idx="118">
                  <c:v>3.932044793512913</c:v>
                </c:pt>
                <c:pt idx="119">
                  <c:v>3.929789796110164</c:v>
                </c:pt>
                <c:pt idx="120">
                  <c:v>3.8714038285041039</c:v>
                </c:pt>
                <c:pt idx="121">
                  <c:v>3.8401704951707707</c:v>
                </c:pt>
                <c:pt idx="122">
                  <c:v>3.8058878744011344</c:v>
                </c:pt>
                <c:pt idx="123">
                  <c:v>3.929789796110164</c:v>
                </c:pt>
                <c:pt idx="124">
                  <c:v>3.932044793512913</c:v>
                </c:pt>
                <c:pt idx="125">
                  <c:v>3.966305483037543</c:v>
                </c:pt>
                <c:pt idx="126">
                  <c:v>3.932044793512913</c:v>
                </c:pt>
                <c:pt idx="127">
                  <c:v>3.966305483037543</c:v>
                </c:pt>
                <c:pt idx="128">
                  <c:v>3.966305483037543</c:v>
                </c:pt>
                <c:pt idx="129">
                  <c:v>3.966305483037543</c:v>
                </c:pt>
                <c:pt idx="130">
                  <c:v>3.966305483037543</c:v>
                </c:pt>
                <c:pt idx="131">
                  <c:v>3.932044793512913</c:v>
                </c:pt>
                <c:pt idx="132">
                  <c:v>3.966305483037543</c:v>
                </c:pt>
                <c:pt idx="133">
                  <c:v>3.9975388163708763</c:v>
                </c:pt>
                <c:pt idx="134">
                  <c:v>3.966305483037543</c:v>
                </c:pt>
                <c:pt idx="135">
                  <c:v>3.966305483037543</c:v>
                </c:pt>
                <c:pt idx="136">
                  <c:v>3.932044793512913</c:v>
                </c:pt>
                <c:pt idx="137">
                  <c:v>4.0557276764206129</c:v>
                </c:pt>
                <c:pt idx="138">
                  <c:v>4.0557276764206129</c:v>
                </c:pt>
                <c:pt idx="139">
                  <c:v>3.966305483037543</c:v>
                </c:pt>
                <c:pt idx="140">
                  <c:v>3.932044793512913</c:v>
                </c:pt>
                <c:pt idx="141">
                  <c:v>3.932044793512913</c:v>
                </c:pt>
                <c:pt idx="142">
                  <c:v>3.932044793512913</c:v>
                </c:pt>
                <c:pt idx="143">
                  <c:v>3.932044793512913</c:v>
                </c:pt>
                <c:pt idx="144">
                  <c:v>3.8714038285041039</c:v>
                </c:pt>
                <c:pt idx="145">
                  <c:v>3.932044793512913</c:v>
                </c:pt>
                <c:pt idx="146">
                  <c:v>3.9691038719099652</c:v>
                </c:pt>
                <c:pt idx="147">
                  <c:v>3.836185909281542</c:v>
                </c:pt>
                <c:pt idx="148">
                  <c:v>3.836185909281542</c:v>
                </c:pt>
                <c:pt idx="149">
                  <c:v>3.8432439415632444</c:v>
                </c:pt>
                <c:pt idx="150">
                  <c:v>3.7786134524895099</c:v>
                </c:pt>
                <c:pt idx="151">
                  <c:v>3.8674525759482088</c:v>
                </c:pt>
                <c:pt idx="152">
                  <c:v>3.9691038719099652</c:v>
                </c:pt>
                <c:pt idx="153">
                  <c:v>3.9691038719099652</c:v>
                </c:pt>
                <c:pt idx="154">
                  <c:v>3.9691038719099652</c:v>
                </c:pt>
                <c:pt idx="155">
                  <c:v>3.9935656386559404</c:v>
                </c:pt>
                <c:pt idx="156">
                  <c:v>3.9691038719099652</c:v>
                </c:pt>
                <c:pt idx="157">
                  <c:v>3.9077289127981323</c:v>
                </c:pt>
                <c:pt idx="158">
                  <c:v>3.9077289127981323</c:v>
                </c:pt>
                <c:pt idx="159">
                  <c:v>3.9691038719099652</c:v>
                </c:pt>
                <c:pt idx="160">
                  <c:v>3.9691038719099652</c:v>
                </c:pt>
                <c:pt idx="161">
                  <c:v>3.9935656386559404</c:v>
                </c:pt>
                <c:pt idx="162">
                  <c:v>3.9622989719892732</c:v>
                </c:pt>
                <c:pt idx="163">
                  <c:v>3.9622989719892732</c:v>
                </c:pt>
                <c:pt idx="164">
                  <c:v>3.9622989719892732</c:v>
                </c:pt>
                <c:pt idx="165">
                  <c:v>3.9935656386559404</c:v>
                </c:pt>
                <c:pt idx="166">
                  <c:v>3.9622989719892732</c:v>
                </c:pt>
                <c:pt idx="167">
                  <c:v>3.9622989719892732</c:v>
                </c:pt>
                <c:pt idx="168">
                  <c:v>4.09493246058208</c:v>
                </c:pt>
                <c:pt idx="169">
                  <c:v>4.0884460824161017</c:v>
                </c:pt>
                <c:pt idx="170">
                  <c:v>4.09493246058208</c:v>
                </c:pt>
                <c:pt idx="171">
                  <c:v>3.9935656386559404</c:v>
                </c:pt>
                <c:pt idx="172">
                  <c:v>4.0337762365220735</c:v>
                </c:pt>
                <c:pt idx="173">
                  <c:v>4.09493246058208</c:v>
                </c:pt>
                <c:pt idx="174">
                  <c:v>4.119712749082769</c:v>
                </c:pt>
                <c:pt idx="175">
                  <c:v>4.1598579134474827</c:v>
                </c:pt>
                <c:pt idx="176">
                  <c:v>4.1598579134474827</c:v>
                </c:pt>
                <c:pt idx="177">
                  <c:v>4.1598579134474827</c:v>
                </c:pt>
                <c:pt idx="178">
                  <c:v>4.0337762365220735</c:v>
                </c:pt>
                <c:pt idx="179">
                  <c:v>3.9935656386559404</c:v>
                </c:pt>
                <c:pt idx="180">
                  <c:v>4.0337762365220735</c:v>
                </c:pt>
                <c:pt idx="181">
                  <c:v>4.0337762365220735</c:v>
                </c:pt>
                <c:pt idx="182">
                  <c:v>3.9622989719892732</c:v>
                </c:pt>
                <c:pt idx="183">
                  <c:v>3.9622989719892732</c:v>
                </c:pt>
                <c:pt idx="184">
                  <c:v>3.965632305322607</c:v>
                </c:pt>
                <c:pt idx="185">
                  <c:v>3.965632305322607</c:v>
                </c:pt>
                <c:pt idx="186">
                  <c:v>3.965632305322607</c:v>
                </c:pt>
                <c:pt idx="187">
                  <c:v>3.965632305322607</c:v>
                </c:pt>
                <c:pt idx="188">
                  <c:v>3.965632305322607</c:v>
                </c:pt>
                <c:pt idx="189">
                  <c:v>3.9110622461314657</c:v>
                </c:pt>
                <c:pt idx="190">
                  <c:v>3.9110622461314657</c:v>
                </c:pt>
                <c:pt idx="191">
                  <c:v>4.0371095698554074</c:v>
                </c:pt>
                <c:pt idx="192">
                  <c:v>3.9724372052432981</c:v>
                </c:pt>
                <c:pt idx="193">
                  <c:v>3.9724372052432981</c:v>
                </c:pt>
                <c:pt idx="194">
                  <c:v>3.9724372052432981</c:v>
                </c:pt>
                <c:pt idx="195">
                  <c:v>3.965632305322607</c:v>
                </c:pt>
                <c:pt idx="196">
                  <c:v>3.965632305322607</c:v>
                </c:pt>
                <c:pt idx="197">
                  <c:v>3.9724372052432981</c:v>
                </c:pt>
                <c:pt idx="198">
                  <c:v>3.9724372052432981</c:v>
                </c:pt>
                <c:pt idx="199">
                  <c:v>4.0371095698554074</c:v>
                </c:pt>
                <c:pt idx="200">
                  <c:v>4.0371095698554074</c:v>
                </c:pt>
                <c:pt idx="201">
                  <c:v>4.0371095698554074</c:v>
                </c:pt>
                <c:pt idx="202">
                  <c:v>3.965632305322607</c:v>
                </c:pt>
                <c:pt idx="203">
                  <c:v>3.965632305322607</c:v>
                </c:pt>
                <c:pt idx="204">
                  <c:v>3.965632305322607</c:v>
                </c:pt>
                <c:pt idx="205">
                  <c:v>4.0371095698554074</c:v>
                </c:pt>
                <c:pt idx="206">
                  <c:v>4.0371095698554074</c:v>
                </c:pt>
                <c:pt idx="207">
                  <c:v>3.9968989719892734</c:v>
                </c:pt>
                <c:pt idx="208">
                  <c:v>3.9968989719892734</c:v>
                </c:pt>
                <c:pt idx="209">
                  <c:v>4.0371095698554074</c:v>
                </c:pt>
                <c:pt idx="210">
                  <c:v>3.9968989719892734</c:v>
                </c:pt>
                <c:pt idx="211">
                  <c:v>3.9968989719892734</c:v>
                </c:pt>
                <c:pt idx="212">
                  <c:v>3.965632305322607</c:v>
                </c:pt>
                <c:pt idx="213">
                  <c:v>3.9110622461314657</c:v>
                </c:pt>
                <c:pt idx="214">
                  <c:v>3.8395192426148759</c:v>
                </c:pt>
                <c:pt idx="215">
                  <c:v>3.8395192426148759</c:v>
                </c:pt>
                <c:pt idx="216">
                  <c:v>3.7819467858228437</c:v>
                </c:pt>
                <c:pt idx="217">
                  <c:v>3.8465772748965774</c:v>
                </c:pt>
                <c:pt idx="218">
                  <c:v>3.7819467858228437</c:v>
                </c:pt>
                <c:pt idx="219">
                  <c:v>3.7133735457080617</c:v>
                </c:pt>
                <c:pt idx="220">
                  <c:v>3.744640212374728</c:v>
                </c:pt>
                <c:pt idx="221">
                  <c:v>3.7133735457080617</c:v>
                </c:pt>
                <c:pt idx="222">
                  <c:v>3.7133735457080617</c:v>
                </c:pt>
                <c:pt idx="223">
                  <c:v>3.7819467858228437</c:v>
                </c:pt>
                <c:pt idx="224">
                  <c:v>3.744640212374728</c:v>
                </c:pt>
                <c:pt idx="225">
                  <c:v>3.744640212374728</c:v>
                </c:pt>
                <c:pt idx="226">
                  <c:v>3.7819467858228437</c:v>
                </c:pt>
                <c:pt idx="227">
                  <c:v>3.744640212374728</c:v>
                </c:pt>
                <c:pt idx="228">
                  <c:v>3.7133735457080617</c:v>
                </c:pt>
                <c:pt idx="229">
                  <c:v>3.7454735457080615</c:v>
                </c:pt>
                <c:pt idx="230">
                  <c:v>3.7142068790413951</c:v>
                </c:pt>
                <c:pt idx="231">
                  <c:v>3.7142068790413951</c:v>
                </c:pt>
                <c:pt idx="232">
                  <c:v>3.7142068790413951</c:v>
                </c:pt>
                <c:pt idx="233">
                  <c:v>3.7454735457080615</c:v>
                </c:pt>
                <c:pt idx="234">
                  <c:v>3.7142068790413951</c:v>
                </c:pt>
                <c:pt idx="235">
                  <c:v>3.7142068790413951</c:v>
                </c:pt>
                <c:pt idx="236">
                  <c:v>3.7142068790413951</c:v>
                </c:pt>
                <c:pt idx="237">
                  <c:v>3.7215859582430575</c:v>
                </c:pt>
                <c:pt idx="238">
                  <c:v>3.8474106082299104</c:v>
                </c:pt>
                <c:pt idx="239">
                  <c:v>3.8474106082299104</c:v>
                </c:pt>
                <c:pt idx="240">
                  <c:v>3.8474106082299104</c:v>
                </c:pt>
                <c:pt idx="241">
                  <c:v>3.8403525759482089</c:v>
                </c:pt>
                <c:pt idx="242">
                  <c:v>3.8474106082299104</c:v>
                </c:pt>
                <c:pt idx="243">
                  <c:v>3.8474106082299104</c:v>
                </c:pt>
                <c:pt idx="244">
                  <c:v>3.8403525759482089</c:v>
                </c:pt>
                <c:pt idx="245">
                  <c:v>3.7827801191561767</c:v>
                </c:pt>
                <c:pt idx="246">
                  <c:v>3.8221534112363487</c:v>
                </c:pt>
                <c:pt idx="247">
                  <c:v>3.8221534112363487</c:v>
                </c:pt>
                <c:pt idx="248">
                  <c:v>3.9896003554164103</c:v>
                </c:pt>
                <c:pt idx="249">
                  <c:v>3.8585038285041042</c:v>
                </c:pt>
                <c:pt idx="250">
                  <c:v>3.8585038285041042</c:v>
                </c:pt>
                <c:pt idx="251">
                  <c:v>3.8897371618374375</c:v>
                </c:pt>
                <c:pt idx="252">
                  <c:v>3.9481231294434975</c:v>
                </c:pt>
                <c:pt idx="253">
                  <c:v>3.8897371618374375</c:v>
                </c:pt>
                <c:pt idx="254">
                  <c:v>3.9481231294434975</c:v>
                </c:pt>
                <c:pt idx="255">
                  <c:v>3.9481231294434975</c:v>
                </c:pt>
                <c:pt idx="256">
                  <c:v>3.8585038285041042</c:v>
                </c:pt>
                <c:pt idx="257">
                  <c:v>3.9533721497042098</c:v>
                </c:pt>
                <c:pt idx="258">
                  <c:v>3.9481231294434975</c:v>
                </c:pt>
                <c:pt idx="259">
                  <c:v>3.9846388163708766</c:v>
                </c:pt>
                <c:pt idx="260">
                  <c:v>3.8897371618374375</c:v>
                </c:pt>
                <c:pt idx="261">
                  <c:v>3.8585038285041042</c:v>
                </c:pt>
                <c:pt idx="262">
                  <c:v>3.8897371618374375</c:v>
                </c:pt>
                <c:pt idx="263">
                  <c:v>3.8897371618374375</c:v>
                </c:pt>
                <c:pt idx="264">
                  <c:v>3.8897371618374375</c:v>
                </c:pt>
                <c:pt idx="265">
                  <c:v>3.8585038285041042</c:v>
                </c:pt>
                <c:pt idx="266">
                  <c:v>3.8221534112363487</c:v>
                </c:pt>
                <c:pt idx="267">
                  <c:v>3.8221534112363487</c:v>
                </c:pt>
                <c:pt idx="268">
                  <c:v>3.8221534112363487</c:v>
                </c:pt>
                <c:pt idx="269">
                  <c:v>3.7010694400308415</c:v>
                </c:pt>
                <c:pt idx="270">
                  <c:v>3.7635694400308415</c:v>
                </c:pt>
                <c:pt idx="271">
                  <c:v>3.7323361066975083</c:v>
                </c:pt>
                <c:pt idx="272">
                  <c:v>3.7635694400308415</c:v>
                </c:pt>
                <c:pt idx="273">
                  <c:v>3.7635694400308415</c:v>
                </c:pt>
                <c:pt idx="274">
                  <c:v>3.7635694400308415</c:v>
                </c:pt>
                <c:pt idx="275">
                  <c:v>3.7635694400308415</c:v>
                </c:pt>
                <c:pt idx="276">
                  <c:v>3.7635694400308415</c:v>
                </c:pt>
                <c:pt idx="277">
                  <c:v>3.7635694400308415</c:v>
                </c:pt>
                <c:pt idx="278">
                  <c:v>3.7635694400308415</c:v>
                </c:pt>
                <c:pt idx="279">
                  <c:v>3.7635694400308415</c:v>
                </c:pt>
                <c:pt idx="280">
                  <c:v>3.7635694400308415</c:v>
                </c:pt>
                <c:pt idx="281">
                  <c:v>3.7635694400308415</c:v>
                </c:pt>
                <c:pt idx="282">
                  <c:v>3.7635694400308415</c:v>
                </c:pt>
                <c:pt idx="283">
                  <c:v>3.7635694400308415</c:v>
                </c:pt>
                <c:pt idx="284">
                  <c:v>3.7635694400308415</c:v>
                </c:pt>
                <c:pt idx="285">
                  <c:v>3.6071359947299859</c:v>
                </c:pt>
                <c:pt idx="286">
                  <c:v>3.6071359947299859</c:v>
                </c:pt>
                <c:pt idx="287">
                  <c:v>3.6071359947299859</c:v>
                </c:pt>
                <c:pt idx="288">
                  <c:v>3.5235928402194752</c:v>
                </c:pt>
                <c:pt idx="289">
                  <c:v>3.5235928402194752</c:v>
                </c:pt>
                <c:pt idx="290">
                  <c:v>3.4923595068861419</c:v>
                </c:pt>
                <c:pt idx="291">
                  <c:v>3.4923595068861419</c:v>
                </c:pt>
                <c:pt idx="292">
                  <c:v>3.4923595068861419</c:v>
                </c:pt>
                <c:pt idx="293">
                  <c:v>3.4814705304459057</c:v>
                </c:pt>
                <c:pt idx="294">
                  <c:v>3.4814705304459057</c:v>
                </c:pt>
                <c:pt idx="295">
                  <c:v>3.4814705304459057</c:v>
                </c:pt>
                <c:pt idx="296">
                  <c:v>3.4814705304459057</c:v>
                </c:pt>
                <c:pt idx="297">
                  <c:v>3.3975493725819845</c:v>
                </c:pt>
                <c:pt idx="298">
                  <c:v>3.3975493725819845</c:v>
                </c:pt>
                <c:pt idx="299">
                  <c:v>3.3975493725819845</c:v>
                </c:pt>
                <c:pt idx="300">
                  <c:v>3.4814705304459057</c:v>
                </c:pt>
                <c:pt idx="301">
                  <c:v>3.4923595068861419</c:v>
                </c:pt>
                <c:pt idx="302">
                  <c:v>3.6071359947299859</c:v>
                </c:pt>
                <c:pt idx="303">
                  <c:v>3.6071359947299859</c:v>
                </c:pt>
                <c:pt idx="304">
                  <c:v>3.6071359947299859</c:v>
                </c:pt>
                <c:pt idx="305">
                  <c:v>3.6071359947299859</c:v>
                </c:pt>
                <c:pt idx="306">
                  <c:v>3.618437237264184</c:v>
                </c:pt>
                <c:pt idx="307">
                  <c:v>3.618437237264184</c:v>
                </c:pt>
                <c:pt idx="308">
                  <c:v>3.6071359947299859</c:v>
                </c:pt>
                <c:pt idx="309">
                  <c:v>3.618437237264184</c:v>
                </c:pt>
                <c:pt idx="310">
                  <c:v>3.5235928402194752</c:v>
                </c:pt>
                <c:pt idx="311">
                  <c:v>3.6071359947299859</c:v>
                </c:pt>
                <c:pt idx="312">
                  <c:v>3.4923595068861419</c:v>
                </c:pt>
                <c:pt idx="313">
                  <c:v>3.4923595068861419</c:v>
                </c:pt>
                <c:pt idx="314">
                  <c:v>3.4923595068861419</c:v>
                </c:pt>
                <c:pt idx="315">
                  <c:v>3.4923595068861419</c:v>
                </c:pt>
                <c:pt idx="316">
                  <c:v>3.4923595068861419</c:v>
                </c:pt>
                <c:pt idx="317">
                  <c:v>3.4923595068861419</c:v>
                </c:pt>
                <c:pt idx="318">
                  <c:v>3.4923595068861419</c:v>
                </c:pt>
                <c:pt idx="319">
                  <c:v>3.4923595068861419</c:v>
                </c:pt>
                <c:pt idx="320">
                  <c:v>3.6486727389870555</c:v>
                </c:pt>
                <c:pt idx="321">
                  <c:v>3.4923595068861419</c:v>
                </c:pt>
                <c:pt idx="322">
                  <c:v>3.4923595068861419</c:v>
                </c:pt>
                <c:pt idx="323">
                  <c:v>3.5235928402194752</c:v>
                </c:pt>
                <c:pt idx="324">
                  <c:v>3.5235928402194752</c:v>
                </c:pt>
                <c:pt idx="325">
                  <c:v>3.6071359947299859</c:v>
                </c:pt>
                <c:pt idx="326">
                  <c:v>3.6071359947299859</c:v>
                </c:pt>
                <c:pt idx="327">
                  <c:v>3.4923595068861419</c:v>
                </c:pt>
                <c:pt idx="328">
                  <c:v>3.4923595068861419</c:v>
                </c:pt>
                <c:pt idx="329">
                  <c:v>3.4923595068861419</c:v>
                </c:pt>
                <c:pt idx="330">
                  <c:v>3.4923595068861419</c:v>
                </c:pt>
                <c:pt idx="331">
                  <c:v>3.4923595068861419</c:v>
                </c:pt>
                <c:pt idx="332">
                  <c:v>3.4923595068861419</c:v>
                </c:pt>
                <c:pt idx="333">
                  <c:v>3.4923595068861419</c:v>
                </c:pt>
                <c:pt idx="334">
                  <c:v>3.4814705304459057</c:v>
                </c:pt>
                <c:pt idx="335">
                  <c:v>3.5235928402194752</c:v>
                </c:pt>
                <c:pt idx="336">
                  <c:v>3.5235928402194752</c:v>
                </c:pt>
                <c:pt idx="337">
                  <c:v>3.6071359947299859</c:v>
                </c:pt>
                <c:pt idx="338">
                  <c:v>3.5235928402194752</c:v>
                </c:pt>
                <c:pt idx="339">
                  <c:v>3.6071359947299859</c:v>
                </c:pt>
                <c:pt idx="340">
                  <c:v>3.618437237264184</c:v>
                </c:pt>
                <c:pt idx="341">
                  <c:v>3.6187039039308506</c:v>
                </c:pt>
                <c:pt idx="342">
                  <c:v>3.6187039039308506</c:v>
                </c:pt>
                <c:pt idx="343">
                  <c:v>3.6187039039308506</c:v>
                </c:pt>
                <c:pt idx="344">
                  <c:v>3.6499372372641843</c:v>
                </c:pt>
                <c:pt idx="345">
                  <c:v>3.6499372372641843</c:v>
                </c:pt>
                <c:pt idx="346">
                  <c:v>3.6187039039308506</c:v>
                </c:pt>
                <c:pt idx="347">
                  <c:v>3.6187039039308506</c:v>
                </c:pt>
                <c:pt idx="348">
                  <c:v>3.6187039039308506</c:v>
                </c:pt>
                <c:pt idx="349">
                  <c:v>3.6074026613966526</c:v>
                </c:pt>
                <c:pt idx="350">
                  <c:v>3.5238595068861422</c:v>
                </c:pt>
                <c:pt idx="351">
                  <c:v>3.5238595068861422</c:v>
                </c:pt>
                <c:pt idx="352">
                  <c:v>3.6074026613966526</c:v>
                </c:pt>
                <c:pt idx="353">
                  <c:v>3.4926261735528081</c:v>
                </c:pt>
                <c:pt idx="354">
                  <c:v>3.4817371971125723</c:v>
                </c:pt>
                <c:pt idx="355">
                  <c:v>3.4817371971125723</c:v>
                </c:pt>
                <c:pt idx="356">
                  <c:v>3.4926261735528081</c:v>
                </c:pt>
                <c:pt idx="357">
                  <c:v>3.4926261735528081</c:v>
                </c:pt>
                <c:pt idx="358">
                  <c:v>3.3665827059153179</c:v>
                </c:pt>
                <c:pt idx="359">
                  <c:v>3.3665827059153179</c:v>
                </c:pt>
                <c:pt idx="360">
                  <c:v>3.3665827059153179</c:v>
                </c:pt>
                <c:pt idx="361">
                  <c:v>3.3978160392486516</c:v>
                </c:pt>
                <c:pt idx="362">
                  <c:v>3.3665827059153179</c:v>
                </c:pt>
                <c:pt idx="363">
                  <c:v>3.3665827059153179</c:v>
                </c:pt>
                <c:pt idx="364">
                  <c:v>3.3560408342652157</c:v>
                </c:pt>
                <c:pt idx="365">
                  <c:v>3.3560408342652157</c:v>
                </c:pt>
                <c:pt idx="366">
                  <c:v>3.3560408342652157</c:v>
                </c:pt>
                <c:pt idx="367">
                  <c:v>3.3665827059153179</c:v>
                </c:pt>
                <c:pt idx="368">
                  <c:v>3.3560408342652157</c:v>
                </c:pt>
                <c:pt idx="369">
                  <c:v>3.3560408342652157</c:v>
                </c:pt>
                <c:pt idx="370">
                  <c:v>3.3665827059153179</c:v>
                </c:pt>
                <c:pt idx="371">
                  <c:v>3.2717401437093376</c:v>
                </c:pt>
                <c:pt idx="372">
                  <c:v>3.2717401437093376</c:v>
                </c:pt>
                <c:pt idx="373">
                  <c:v>3.3665827059153179</c:v>
                </c:pt>
                <c:pt idx="374">
                  <c:v>3.3665827059153179</c:v>
                </c:pt>
                <c:pt idx="375">
                  <c:v>3.3665827059153179</c:v>
                </c:pt>
                <c:pt idx="376">
                  <c:v>3.3665827059153179</c:v>
                </c:pt>
                <c:pt idx="377">
                  <c:v>3.3560408342652157</c:v>
                </c:pt>
                <c:pt idx="378">
                  <c:v>3.3560408342652157</c:v>
                </c:pt>
                <c:pt idx="379">
                  <c:v>3.3560408342652157</c:v>
                </c:pt>
                <c:pt idx="380">
                  <c:v>3.3560408342652157</c:v>
                </c:pt>
                <c:pt idx="381">
                  <c:v>3.3560408342652157</c:v>
                </c:pt>
                <c:pt idx="382">
                  <c:v>3.2717401437093376</c:v>
                </c:pt>
                <c:pt idx="383">
                  <c:v>3.2717401437093376</c:v>
                </c:pt>
                <c:pt idx="384">
                  <c:v>3.2405068103760035</c:v>
                </c:pt>
                <c:pt idx="385">
                  <c:v>3.2405068103760035</c:v>
                </c:pt>
                <c:pt idx="386">
                  <c:v>3.2717401437093376</c:v>
                </c:pt>
                <c:pt idx="387">
                  <c:v>3.2405068103760035</c:v>
                </c:pt>
                <c:pt idx="388">
                  <c:v>3.2717401437093376</c:v>
                </c:pt>
                <c:pt idx="389">
                  <c:v>3.2717401437093376</c:v>
                </c:pt>
                <c:pt idx="390">
                  <c:v>3.3560408342652157</c:v>
                </c:pt>
                <c:pt idx="391">
                  <c:v>3.3665827059153179</c:v>
                </c:pt>
                <c:pt idx="392">
                  <c:v>3.3665827059153179</c:v>
                </c:pt>
                <c:pt idx="393">
                  <c:v>3.3978160392486516</c:v>
                </c:pt>
                <c:pt idx="394">
                  <c:v>3.3978160392486516</c:v>
                </c:pt>
                <c:pt idx="395">
                  <c:v>3.3665827059153179</c:v>
                </c:pt>
                <c:pt idx="396">
                  <c:v>3.3978160392486516</c:v>
                </c:pt>
                <c:pt idx="397">
                  <c:v>3.3978160392486516</c:v>
                </c:pt>
                <c:pt idx="398">
                  <c:v>3.3665827059153179</c:v>
                </c:pt>
                <c:pt idx="399">
                  <c:v>3.3665827059153179</c:v>
                </c:pt>
                <c:pt idx="400">
                  <c:v>3.3665827059153179</c:v>
                </c:pt>
                <c:pt idx="401">
                  <c:v>3.2717401437093376</c:v>
                </c:pt>
                <c:pt idx="402">
                  <c:v>3.3665827059153179</c:v>
                </c:pt>
                <c:pt idx="403">
                  <c:v>3.3978160392486516</c:v>
                </c:pt>
                <c:pt idx="404">
                  <c:v>3.3978160392486516</c:v>
                </c:pt>
                <c:pt idx="405">
                  <c:v>3.4817371971125723</c:v>
                </c:pt>
                <c:pt idx="406">
                  <c:v>3.4817371971125723</c:v>
                </c:pt>
                <c:pt idx="407">
                  <c:v>3.4817371971125723</c:v>
                </c:pt>
                <c:pt idx="408">
                  <c:v>3.4817371971125723</c:v>
                </c:pt>
                <c:pt idx="409">
                  <c:v>3.3978160392486516</c:v>
                </c:pt>
                <c:pt idx="410">
                  <c:v>3.3978160392486516</c:v>
                </c:pt>
                <c:pt idx="411">
                  <c:v>3.3978160392486516</c:v>
                </c:pt>
                <c:pt idx="412">
                  <c:v>3.3978160392486516</c:v>
                </c:pt>
                <c:pt idx="413">
                  <c:v>3.3978160392486516</c:v>
                </c:pt>
                <c:pt idx="414">
                  <c:v>3.6074026613966526</c:v>
                </c:pt>
                <c:pt idx="415">
                  <c:v>3.6187039039308506</c:v>
                </c:pt>
                <c:pt idx="416">
                  <c:v>3.7310825871584004</c:v>
                </c:pt>
                <c:pt idx="417">
                  <c:v>3.7310825871584004</c:v>
                </c:pt>
                <c:pt idx="418">
                  <c:v>3.7310825871584004</c:v>
                </c:pt>
                <c:pt idx="419">
                  <c:v>3.7310825871584004</c:v>
                </c:pt>
                <c:pt idx="420">
                  <c:v>3.7310825871584004</c:v>
                </c:pt>
                <c:pt idx="421">
                  <c:v>3.8451078179729343</c:v>
                </c:pt>
                <c:pt idx="422">
                  <c:v>3.8451078179729343</c:v>
                </c:pt>
                <c:pt idx="423">
                  <c:v>3.8883955794647993</c:v>
                </c:pt>
                <c:pt idx="424">
                  <c:v>3.8571622461314652</c:v>
                </c:pt>
                <c:pt idx="425">
                  <c:v>3.8451078179729343</c:v>
                </c:pt>
                <c:pt idx="426">
                  <c:v>3.8451078179729343</c:v>
                </c:pt>
                <c:pt idx="427">
                  <c:v>3.8451078179729343</c:v>
                </c:pt>
                <c:pt idx="428">
                  <c:v>3.8883955794647993</c:v>
                </c:pt>
                <c:pt idx="429">
                  <c:v>3.8571622461314652</c:v>
                </c:pt>
                <c:pt idx="430">
                  <c:v>3.8883955794647993</c:v>
                </c:pt>
                <c:pt idx="431">
                  <c:v>3.8883955794647993</c:v>
                </c:pt>
                <c:pt idx="432">
                  <c:v>3.8571622461314652</c:v>
                </c:pt>
                <c:pt idx="433">
                  <c:v>3.8883955794647993</c:v>
                </c:pt>
                <c:pt idx="434">
                  <c:v>3.8883955794647993</c:v>
                </c:pt>
                <c:pt idx="435">
                  <c:v>3.9832095698554069</c:v>
                </c:pt>
                <c:pt idx="436">
                  <c:v>3.9708143018144364</c:v>
                </c:pt>
                <c:pt idx="437">
                  <c:v>3.9708143018144364</c:v>
                </c:pt>
                <c:pt idx="438">
                  <c:v>4.1092912467808151</c:v>
                </c:pt>
                <c:pt idx="439">
                  <c:v>4.1092912467808151</c:v>
                </c:pt>
                <c:pt idx="440">
                  <c:v>4.1092912467808151</c:v>
                </c:pt>
                <c:pt idx="441">
                  <c:v>4.1092912467808151</c:v>
                </c:pt>
                <c:pt idx="442">
                  <c:v>4.1092912467808151</c:v>
                </c:pt>
                <c:pt idx="443">
                  <c:v>4.1092912467808151</c:v>
                </c:pt>
                <c:pt idx="444">
                  <c:v>4.1092912467808151</c:v>
                </c:pt>
                <c:pt idx="445">
                  <c:v>4.1405245801141497</c:v>
                </c:pt>
                <c:pt idx="446">
                  <c:v>4.1092912467808151</c:v>
                </c:pt>
                <c:pt idx="447">
                  <c:v>4.0964901368075282</c:v>
                </c:pt>
                <c:pt idx="448">
                  <c:v>4.0144429031887405</c:v>
                </c:pt>
                <c:pt idx="449">
                  <c:v>4.0964901368075282</c:v>
                </c:pt>
                <c:pt idx="450">
                  <c:v>4.0144429031887405</c:v>
                </c:pt>
                <c:pt idx="451">
                  <c:v>3.9708143018144364</c:v>
                </c:pt>
                <c:pt idx="452">
                  <c:v>3.9832095698554069</c:v>
                </c:pt>
                <c:pt idx="453">
                  <c:v>3.9832095698554069</c:v>
                </c:pt>
                <c:pt idx="454">
                  <c:v>3.9832095698554069</c:v>
                </c:pt>
                <c:pt idx="455">
                  <c:v>3.9708143018144364</c:v>
                </c:pt>
                <c:pt idx="456">
                  <c:v>3.8883955794647993</c:v>
                </c:pt>
                <c:pt idx="457">
                  <c:v>3.9708143018144364</c:v>
                </c:pt>
                <c:pt idx="458">
                  <c:v>3.8883955794647993</c:v>
                </c:pt>
                <c:pt idx="459">
                  <c:v>3.8883955794647993</c:v>
                </c:pt>
                <c:pt idx="460">
                  <c:v>3.9832095698554069</c:v>
                </c:pt>
                <c:pt idx="461">
                  <c:v>3.9832095698554069</c:v>
                </c:pt>
                <c:pt idx="462">
                  <c:v>3.9708143018144364</c:v>
                </c:pt>
                <c:pt idx="463">
                  <c:v>3.9708143018144364</c:v>
                </c:pt>
                <c:pt idx="464">
                  <c:v>3.9832095698554069</c:v>
                </c:pt>
                <c:pt idx="465">
                  <c:v>4.0144429031887405</c:v>
                </c:pt>
                <c:pt idx="466">
                  <c:v>4.0144429031887405</c:v>
                </c:pt>
                <c:pt idx="467">
                  <c:v>3.9832095698554069</c:v>
                </c:pt>
                <c:pt idx="468">
                  <c:v>3.9832095698554069</c:v>
                </c:pt>
                <c:pt idx="469">
                  <c:v>4.0144429031887405</c:v>
                </c:pt>
                <c:pt idx="470">
                  <c:v>3.9708143018144364</c:v>
                </c:pt>
                <c:pt idx="471">
                  <c:v>3.9708143018144364</c:v>
                </c:pt>
                <c:pt idx="472">
                  <c:v>3.9708143018144364</c:v>
                </c:pt>
                <c:pt idx="473">
                  <c:v>3.9708143018144364</c:v>
                </c:pt>
                <c:pt idx="474">
                  <c:v>3.8883955794647993</c:v>
                </c:pt>
                <c:pt idx="475">
                  <c:v>3.9708143018144364</c:v>
                </c:pt>
                <c:pt idx="476">
                  <c:v>3.9708143018144364</c:v>
                </c:pt>
                <c:pt idx="477">
                  <c:v>3.9832095698554069</c:v>
                </c:pt>
                <c:pt idx="478">
                  <c:v>4.0144429031887405</c:v>
                </c:pt>
                <c:pt idx="479">
                  <c:v>3.9832095698554069</c:v>
                </c:pt>
                <c:pt idx="480">
                  <c:v>3.9708143018144364</c:v>
                </c:pt>
                <c:pt idx="481">
                  <c:v>3.9832095698554069</c:v>
                </c:pt>
                <c:pt idx="482">
                  <c:v>3.9708143018144364</c:v>
                </c:pt>
                <c:pt idx="483">
                  <c:v>3.9708143018144364</c:v>
                </c:pt>
                <c:pt idx="484">
                  <c:v>3.8571622461314652</c:v>
                </c:pt>
                <c:pt idx="485">
                  <c:v>3.8571622461314652</c:v>
                </c:pt>
                <c:pt idx="486">
                  <c:v>3.8883955794647993</c:v>
                </c:pt>
                <c:pt idx="487">
                  <c:v>3.9832095698554069</c:v>
                </c:pt>
                <c:pt idx="488">
                  <c:v>3.9832095698554069</c:v>
                </c:pt>
                <c:pt idx="489">
                  <c:v>3.9832095698554069</c:v>
                </c:pt>
                <c:pt idx="490">
                  <c:v>3.9832095698554069</c:v>
                </c:pt>
                <c:pt idx="491">
                  <c:v>3.9832095698554069</c:v>
                </c:pt>
                <c:pt idx="492">
                  <c:v>4.0144429031887405</c:v>
                </c:pt>
                <c:pt idx="493">
                  <c:v>4.0964901368075282</c:v>
                </c:pt>
                <c:pt idx="494">
                  <c:v>4.0964901368075282</c:v>
                </c:pt>
                <c:pt idx="495">
                  <c:v>4.0964901368075282</c:v>
                </c:pt>
                <c:pt idx="496">
                  <c:v>4.1092912467808151</c:v>
                </c:pt>
                <c:pt idx="497">
                  <c:v>4.0964901368075282</c:v>
                </c:pt>
                <c:pt idx="498">
                  <c:v>3.9832095698554069</c:v>
                </c:pt>
                <c:pt idx="499">
                  <c:v>3.9832095698554069</c:v>
                </c:pt>
                <c:pt idx="500">
                  <c:v>3.9832095698554069</c:v>
                </c:pt>
                <c:pt idx="501">
                  <c:v>3.9708143018144364</c:v>
                </c:pt>
                <c:pt idx="502">
                  <c:v>3.8883955794647993</c:v>
                </c:pt>
                <c:pt idx="503">
                  <c:v>3.8883955794647993</c:v>
                </c:pt>
                <c:pt idx="504">
                  <c:v>3.9708143018144364</c:v>
                </c:pt>
                <c:pt idx="505">
                  <c:v>3.8883955794647993</c:v>
                </c:pt>
                <c:pt idx="506">
                  <c:v>3.9708143018144364</c:v>
                </c:pt>
                <c:pt idx="507">
                  <c:v>3.9708143018144364</c:v>
                </c:pt>
                <c:pt idx="508">
                  <c:v>3.9708143018144364</c:v>
                </c:pt>
                <c:pt idx="509">
                  <c:v>3.9708143018144364</c:v>
                </c:pt>
                <c:pt idx="510">
                  <c:v>3.9708143018144364</c:v>
                </c:pt>
                <c:pt idx="511">
                  <c:v>3.8571622461314652</c:v>
                </c:pt>
                <c:pt idx="512">
                  <c:v>3.8883955794647993</c:v>
                </c:pt>
                <c:pt idx="513">
                  <c:v>3.8571622461314652</c:v>
                </c:pt>
                <c:pt idx="514">
                  <c:v>3.8571622461314652</c:v>
                </c:pt>
                <c:pt idx="515">
                  <c:v>3.8883955794647993</c:v>
                </c:pt>
                <c:pt idx="516">
                  <c:v>3.8571622461314652</c:v>
                </c:pt>
                <c:pt idx="517">
                  <c:v>3.8451078179729343</c:v>
                </c:pt>
                <c:pt idx="518">
                  <c:v>3.7623159204917345</c:v>
                </c:pt>
                <c:pt idx="519">
                  <c:v>3.7623159204917345</c:v>
                </c:pt>
                <c:pt idx="520">
                  <c:v>3.7310825871584004</c:v>
                </c:pt>
                <c:pt idx="521">
                  <c:v>3.7310825871584004</c:v>
                </c:pt>
                <c:pt idx="522">
                  <c:v>3.7623159204917345</c:v>
                </c:pt>
                <c:pt idx="523">
                  <c:v>3.7623159204917345</c:v>
                </c:pt>
                <c:pt idx="524">
                  <c:v>3.8451078179729343</c:v>
                </c:pt>
                <c:pt idx="525">
                  <c:v>3.8571622461314652</c:v>
                </c:pt>
                <c:pt idx="526">
                  <c:v>3.8883955794647993</c:v>
                </c:pt>
                <c:pt idx="527">
                  <c:v>3.8571622461314652</c:v>
                </c:pt>
                <c:pt idx="528">
                  <c:v>3.8571622461314652</c:v>
                </c:pt>
                <c:pt idx="529">
                  <c:v>3.8571622461314652</c:v>
                </c:pt>
                <c:pt idx="530">
                  <c:v>3.8571622461314652</c:v>
                </c:pt>
                <c:pt idx="531">
                  <c:v>3.8571622461314652</c:v>
                </c:pt>
                <c:pt idx="532">
                  <c:v>3.8883955794647993</c:v>
                </c:pt>
                <c:pt idx="533">
                  <c:v>3.8883955794647993</c:v>
                </c:pt>
                <c:pt idx="534">
                  <c:v>3.8883955794647993</c:v>
                </c:pt>
                <c:pt idx="535">
                  <c:v>3.8883955794647993</c:v>
                </c:pt>
                <c:pt idx="536">
                  <c:v>3.8883955794647993</c:v>
                </c:pt>
                <c:pt idx="537">
                  <c:v>3.8571622461314652</c:v>
                </c:pt>
                <c:pt idx="538">
                  <c:v>3.8451078179729343</c:v>
                </c:pt>
                <c:pt idx="539">
                  <c:v>3.8451078179729343</c:v>
                </c:pt>
                <c:pt idx="540">
                  <c:v>3.7310825871584004</c:v>
                </c:pt>
                <c:pt idx="541">
                  <c:v>3.7310825871584004</c:v>
                </c:pt>
                <c:pt idx="542">
                  <c:v>3.7623159204917345</c:v>
                </c:pt>
                <c:pt idx="543">
                  <c:v>3.7623159204917345</c:v>
                </c:pt>
                <c:pt idx="544">
                  <c:v>3.7623159204917345</c:v>
                </c:pt>
                <c:pt idx="545">
                  <c:v>3.8451078179729343</c:v>
                </c:pt>
                <c:pt idx="546">
                  <c:v>3.7623159204917345</c:v>
                </c:pt>
                <c:pt idx="547">
                  <c:v>3.7623159204917345</c:v>
                </c:pt>
                <c:pt idx="548">
                  <c:v>3.7623159204917345</c:v>
                </c:pt>
                <c:pt idx="549">
                  <c:v>4.1746520753994307</c:v>
                </c:pt>
                <c:pt idx="550">
                  <c:v>4.2571164346307437</c:v>
                </c:pt>
                <c:pt idx="551">
                  <c:v>4.1481752040431985</c:v>
                </c:pt>
                <c:pt idx="552">
                  <c:v>4.1481752040431985</c:v>
                </c:pt>
                <c:pt idx="553">
                  <c:v>4.1481752040431985</c:v>
                </c:pt>
                <c:pt idx="554">
                  <c:v>4.1746520753994307</c:v>
                </c:pt>
                <c:pt idx="555">
                  <c:v>4.1746520753994307</c:v>
                </c:pt>
                <c:pt idx="556">
                  <c:v>4.1746520753994307</c:v>
                </c:pt>
                <c:pt idx="557">
                  <c:v>4.1746520753994307</c:v>
                </c:pt>
                <c:pt idx="558">
                  <c:v>4.1481752040431985</c:v>
                </c:pt>
                <c:pt idx="559">
                  <c:v>4.1746520753994307</c:v>
                </c:pt>
                <c:pt idx="560">
                  <c:v>4.1746520753994307</c:v>
                </c:pt>
                <c:pt idx="561">
                  <c:v>4.1746520753994307</c:v>
                </c:pt>
                <c:pt idx="562">
                  <c:v>4.0688746701783671</c:v>
                </c:pt>
                <c:pt idx="563">
                  <c:v>4.1746520753994307</c:v>
                </c:pt>
                <c:pt idx="564">
                  <c:v>4.1746520753994307</c:v>
                </c:pt>
                <c:pt idx="565">
                  <c:v>4.1481752040431985</c:v>
                </c:pt>
                <c:pt idx="566">
                  <c:v>4.1746520753994307</c:v>
                </c:pt>
                <c:pt idx="567">
                  <c:v>4.0688746701783671</c:v>
                </c:pt>
                <c:pt idx="568">
                  <c:v>4.0688746701783671</c:v>
                </c:pt>
                <c:pt idx="569">
                  <c:v>4.0984418323544558</c:v>
                </c:pt>
                <c:pt idx="570">
                  <c:v>4.0984418323544558</c:v>
                </c:pt>
                <c:pt idx="571">
                  <c:v>4.0984418323544558</c:v>
                </c:pt>
                <c:pt idx="572">
                  <c:v>3.9929555782460247</c:v>
                </c:pt>
                <c:pt idx="573">
                  <c:v>3.9929555782460247</c:v>
                </c:pt>
                <c:pt idx="574">
                  <c:v>3.9929555782460247</c:v>
                </c:pt>
                <c:pt idx="575">
                  <c:v>3.9929555782460247</c:v>
                </c:pt>
                <c:pt idx="576">
                  <c:v>4.0984418323544558</c:v>
                </c:pt>
                <c:pt idx="577">
                  <c:v>4.0984418323544558</c:v>
                </c:pt>
                <c:pt idx="578">
                  <c:v>3.9929555782460247</c:v>
                </c:pt>
                <c:pt idx="579">
                  <c:v>4.0688746701783671</c:v>
                </c:pt>
                <c:pt idx="580">
                  <c:v>4.0688746701783671</c:v>
                </c:pt>
                <c:pt idx="581">
                  <c:v>4.0688746701783671</c:v>
                </c:pt>
                <c:pt idx="582">
                  <c:v>4.0688746701783671</c:v>
                </c:pt>
                <c:pt idx="583">
                  <c:v>4.0688746701783671</c:v>
                </c:pt>
                <c:pt idx="584">
                  <c:v>4.0688746701783671</c:v>
                </c:pt>
                <c:pt idx="585">
                  <c:v>4.0984418323544558</c:v>
                </c:pt>
                <c:pt idx="586">
                  <c:v>4.0688746701783671</c:v>
                </c:pt>
                <c:pt idx="587">
                  <c:v>4.0688746701783671</c:v>
                </c:pt>
                <c:pt idx="588">
                  <c:v>4.0688746701783671</c:v>
                </c:pt>
                <c:pt idx="589">
                  <c:v>4.0688746701783671</c:v>
                </c:pt>
                <c:pt idx="590">
                  <c:v>4.0688746701783671</c:v>
                </c:pt>
                <c:pt idx="591">
                  <c:v>4.0688746701783671</c:v>
                </c:pt>
                <c:pt idx="592">
                  <c:v>4.0688746701783671</c:v>
                </c:pt>
                <c:pt idx="593">
                  <c:v>4.0688746701783671</c:v>
                </c:pt>
                <c:pt idx="594">
                  <c:v>4.0688746701783671</c:v>
                </c:pt>
                <c:pt idx="595">
                  <c:v>4.0688746701783671</c:v>
                </c:pt>
                <c:pt idx="596">
                  <c:v>4.0688746701783671</c:v>
                </c:pt>
                <c:pt idx="597">
                  <c:v>4.0688746701783671</c:v>
                </c:pt>
                <c:pt idx="598">
                  <c:v>4.0688746701783671</c:v>
                </c:pt>
                <c:pt idx="599">
                  <c:v>4.0688746701783671</c:v>
                </c:pt>
                <c:pt idx="600">
                  <c:v>4.0688746701783671</c:v>
                </c:pt>
                <c:pt idx="601">
                  <c:v>4.0688746701783671</c:v>
                </c:pt>
                <c:pt idx="602">
                  <c:v>4.0688746701783671</c:v>
                </c:pt>
                <c:pt idx="603">
                  <c:v>4.0688746701783671</c:v>
                </c:pt>
                <c:pt idx="604">
                  <c:v>4.1746520753994307</c:v>
                </c:pt>
                <c:pt idx="605">
                  <c:v>4.1746520753994307</c:v>
                </c:pt>
                <c:pt idx="606">
                  <c:v>4.1481752040431985</c:v>
                </c:pt>
                <c:pt idx="607">
                  <c:v>4.1746520753994307</c:v>
                </c:pt>
                <c:pt idx="608">
                  <c:v>4.1481752040431985</c:v>
                </c:pt>
                <c:pt idx="609">
                  <c:v>4.1481752040431985</c:v>
                </c:pt>
                <c:pt idx="610">
                  <c:v>4.1481752040431985</c:v>
                </c:pt>
                <c:pt idx="611">
                  <c:v>4.1481752040431985</c:v>
                </c:pt>
                <c:pt idx="612">
                  <c:v>4.1481752040431985</c:v>
                </c:pt>
                <c:pt idx="613">
                  <c:v>4.1481752040431985</c:v>
                </c:pt>
                <c:pt idx="614">
                  <c:v>4.1481752040431985</c:v>
                </c:pt>
                <c:pt idx="615">
                  <c:v>4.1481752040431985</c:v>
                </c:pt>
                <c:pt idx="616">
                  <c:v>4.1481752040431985</c:v>
                </c:pt>
                <c:pt idx="617">
                  <c:v>4.1746520753994307</c:v>
                </c:pt>
                <c:pt idx="618">
                  <c:v>4.0688746701783671</c:v>
                </c:pt>
                <c:pt idx="619">
                  <c:v>4.0688746701783671</c:v>
                </c:pt>
                <c:pt idx="620">
                  <c:v>4.0688746701783671</c:v>
                </c:pt>
                <c:pt idx="621">
                  <c:v>4.0984418323544558</c:v>
                </c:pt>
                <c:pt idx="622">
                  <c:v>4.0984418323544558</c:v>
                </c:pt>
                <c:pt idx="623">
                  <c:v>4.0984418323544558</c:v>
                </c:pt>
                <c:pt idx="624">
                  <c:v>3.9929555782460247</c:v>
                </c:pt>
                <c:pt idx="625">
                  <c:v>3.9929555782460247</c:v>
                </c:pt>
                <c:pt idx="626">
                  <c:v>3.9929555782460247</c:v>
                </c:pt>
                <c:pt idx="627">
                  <c:v>4.0984418323544558</c:v>
                </c:pt>
                <c:pt idx="628">
                  <c:v>3.9929555782460247</c:v>
                </c:pt>
                <c:pt idx="629">
                  <c:v>3.9929555782460247</c:v>
                </c:pt>
                <c:pt idx="630">
                  <c:v>3.9929555782460247</c:v>
                </c:pt>
                <c:pt idx="631">
                  <c:v>3.9929555782460247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073344"/>
        <c:axId val="342074880"/>
      </c:lineChart>
      <c:catAx>
        <c:axId val="342073344"/>
        <c:scaling>
          <c:orientation val="minMax"/>
        </c:scaling>
        <c:delete val="0"/>
        <c:axPos val="b"/>
        <c:numFmt formatCode="mm/dd/yy;@" sourceLinked="0"/>
        <c:majorTickMark val="out"/>
        <c:minorTickMark val="none"/>
        <c:tickLblPos val="nextTo"/>
        <c:crossAx val="342074880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342074880"/>
        <c:scaling>
          <c:orientation val="minMax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42073344"/>
        <c:crosses val="autoZero"/>
        <c:crossBetween val="between"/>
      </c:valAx>
      <c:spPr>
        <a:ln>
          <a:solidFill>
            <a:schemeClr val="tx1"/>
          </a:solidFill>
          <a:prstDash val="sysDash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7"/>
        <c:spPr>
          <a:ln w="19050">
            <a:solidFill>
              <a:srgbClr val="2E398A"/>
            </a:solidFill>
            <a:prstDash val="solid"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89350741321605842"/>
          <c:h val="0.63621422322209731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'Rates Summary'!$M$80:$M$729</c:f>
              <c:strCache>
                <c:ptCount val="650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2015-12-30</c:v>
                </c:pt>
                <c:pt idx="210">
                  <c:v>2015-12-31</c:v>
                </c:pt>
                <c:pt idx="211">
                  <c:v>2016-01-04</c:v>
                </c:pt>
                <c:pt idx="212">
                  <c:v>2016-01-05</c:v>
                </c:pt>
                <c:pt idx="213">
                  <c:v>2016-01-06</c:v>
                </c:pt>
                <c:pt idx="214">
                  <c:v>2016-01-07</c:v>
                </c:pt>
                <c:pt idx="215">
                  <c:v>2016-01-08</c:v>
                </c:pt>
                <c:pt idx="216">
                  <c:v>2016-01-11</c:v>
                </c:pt>
                <c:pt idx="217">
                  <c:v>2016-01-12</c:v>
                </c:pt>
                <c:pt idx="218">
                  <c:v>2016-01-13</c:v>
                </c:pt>
                <c:pt idx="219">
                  <c:v>2016-01-14</c:v>
                </c:pt>
                <c:pt idx="220">
                  <c:v>2016-01-15</c:v>
                </c:pt>
                <c:pt idx="221">
                  <c:v>2016-01-19</c:v>
                </c:pt>
                <c:pt idx="222">
                  <c:v>2016-01-20</c:v>
                </c:pt>
                <c:pt idx="223">
                  <c:v>2016-01-21</c:v>
                </c:pt>
                <c:pt idx="224">
                  <c:v>2016-01-22</c:v>
                </c:pt>
                <c:pt idx="225">
                  <c:v>2016-01-25</c:v>
                </c:pt>
                <c:pt idx="226">
                  <c:v>2016-01-26</c:v>
                </c:pt>
                <c:pt idx="227">
                  <c:v>2016-01-27</c:v>
                </c:pt>
                <c:pt idx="228">
                  <c:v>2016-01-28</c:v>
                </c:pt>
                <c:pt idx="229">
                  <c:v>2016-01-29</c:v>
                </c:pt>
                <c:pt idx="230">
                  <c:v>2016-02-01</c:v>
                </c:pt>
                <c:pt idx="231">
                  <c:v>2016-02-02</c:v>
                </c:pt>
                <c:pt idx="232">
                  <c:v>2016-02-03</c:v>
                </c:pt>
                <c:pt idx="233">
                  <c:v>2016-02-04</c:v>
                </c:pt>
                <c:pt idx="234">
                  <c:v>2016-02-05</c:v>
                </c:pt>
                <c:pt idx="235">
                  <c:v>2016-02-08</c:v>
                </c:pt>
                <c:pt idx="236">
                  <c:v>2016-02-09</c:v>
                </c:pt>
                <c:pt idx="237">
                  <c:v>2016-02-10</c:v>
                </c:pt>
                <c:pt idx="238">
                  <c:v>2016-02-11</c:v>
                </c:pt>
                <c:pt idx="239">
                  <c:v>2016-02-12</c:v>
                </c:pt>
                <c:pt idx="240">
                  <c:v>2016-02-16</c:v>
                </c:pt>
                <c:pt idx="241">
                  <c:v>2016-02-17</c:v>
                </c:pt>
                <c:pt idx="242">
                  <c:v>2016-02-18</c:v>
                </c:pt>
                <c:pt idx="243">
                  <c:v>2016-02-19</c:v>
                </c:pt>
                <c:pt idx="244">
                  <c:v>2016-02-22</c:v>
                </c:pt>
                <c:pt idx="245">
                  <c:v>2016-02-23</c:v>
                </c:pt>
                <c:pt idx="246">
                  <c:v>2016-02-24</c:v>
                </c:pt>
                <c:pt idx="247">
                  <c:v>2016-02-25</c:v>
                </c:pt>
                <c:pt idx="248">
                  <c:v>2016-02-26</c:v>
                </c:pt>
                <c:pt idx="249">
                  <c:v>2016-02-29</c:v>
                </c:pt>
                <c:pt idx="250">
                  <c:v>2016-03-01</c:v>
                </c:pt>
                <c:pt idx="251">
                  <c:v>2016-03-02</c:v>
                </c:pt>
                <c:pt idx="252">
                  <c:v>2016-03-03</c:v>
                </c:pt>
                <c:pt idx="253">
                  <c:v>2016-03-04</c:v>
                </c:pt>
                <c:pt idx="254">
                  <c:v>2016-03-07</c:v>
                </c:pt>
                <c:pt idx="255">
                  <c:v>2016-03-08</c:v>
                </c:pt>
                <c:pt idx="256">
                  <c:v>2016-03-09</c:v>
                </c:pt>
                <c:pt idx="257">
                  <c:v>2016-03-10</c:v>
                </c:pt>
                <c:pt idx="258">
                  <c:v>2016-03-11</c:v>
                </c:pt>
                <c:pt idx="259">
                  <c:v>2016-03-14</c:v>
                </c:pt>
                <c:pt idx="260">
                  <c:v>2016-03-15</c:v>
                </c:pt>
                <c:pt idx="261">
                  <c:v>2016-03-16</c:v>
                </c:pt>
                <c:pt idx="262">
                  <c:v>2016-03-17</c:v>
                </c:pt>
                <c:pt idx="263">
                  <c:v>2016-03-18</c:v>
                </c:pt>
                <c:pt idx="264">
                  <c:v>2016-03-21</c:v>
                </c:pt>
                <c:pt idx="265">
                  <c:v>2016-03-22</c:v>
                </c:pt>
                <c:pt idx="266">
                  <c:v>2016-03-23</c:v>
                </c:pt>
                <c:pt idx="267">
                  <c:v>2016-03-24</c:v>
                </c:pt>
                <c:pt idx="268">
                  <c:v>2016-03-28</c:v>
                </c:pt>
                <c:pt idx="269">
                  <c:v>2016-03-29</c:v>
                </c:pt>
                <c:pt idx="270">
                  <c:v>2016-03-30</c:v>
                </c:pt>
                <c:pt idx="271">
                  <c:v>2016-03-31</c:v>
                </c:pt>
                <c:pt idx="272">
                  <c:v>2016-04-01</c:v>
                </c:pt>
                <c:pt idx="273">
                  <c:v>2016-04-04</c:v>
                </c:pt>
                <c:pt idx="274">
                  <c:v>2016-04-05</c:v>
                </c:pt>
                <c:pt idx="275">
                  <c:v>2016-04-06</c:v>
                </c:pt>
                <c:pt idx="276">
                  <c:v>2016-04-07</c:v>
                </c:pt>
                <c:pt idx="277">
                  <c:v>2016-04-08</c:v>
                </c:pt>
                <c:pt idx="278">
                  <c:v>2016-04-11</c:v>
                </c:pt>
                <c:pt idx="279">
                  <c:v>2016-04-12</c:v>
                </c:pt>
                <c:pt idx="280">
                  <c:v>2016-04-13</c:v>
                </c:pt>
                <c:pt idx="281">
                  <c:v>2016-04-14</c:v>
                </c:pt>
                <c:pt idx="282">
                  <c:v>2016-04-15</c:v>
                </c:pt>
                <c:pt idx="283">
                  <c:v>2016-04-18</c:v>
                </c:pt>
                <c:pt idx="284">
                  <c:v>2016-04-19</c:v>
                </c:pt>
                <c:pt idx="285">
                  <c:v>2016-04-20</c:v>
                </c:pt>
                <c:pt idx="286">
                  <c:v>2016-04-21</c:v>
                </c:pt>
                <c:pt idx="287">
                  <c:v>2016-04-22</c:v>
                </c:pt>
                <c:pt idx="288">
                  <c:v>2016-04-25</c:v>
                </c:pt>
                <c:pt idx="289">
                  <c:v>2016-04-26</c:v>
                </c:pt>
                <c:pt idx="290">
                  <c:v>2016-04-27</c:v>
                </c:pt>
                <c:pt idx="291">
                  <c:v>2016-04-28</c:v>
                </c:pt>
                <c:pt idx="292">
                  <c:v>2016-04-29</c:v>
                </c:pt>
                <c:pt idx="293">
                  <c:v>2016-05-02</c:v>
                </c:pt>
                <c:pt idx="294">
                  <c:v>2016-05-03</c:v>
                </c:pt>
                <c:pt idx="295">
                  <c:v>2016-05-04</c:v>
                </c:pt>
                <c:pt idx="296">
                  <c:v>2016-05-05</c:v>
                </c:pt>
                <c:pt idx="297">
                  <c:v>2016-05-06</c:v>
                </c:pt>
                <c:pt idx="298">
                  <c:v>2016-05-09</c:v>
                </c:pt>
                <c:pt idx="299">
                  <c:v>2016-05-10</c:v>
                </c:pt>
                <c:pt idx="300">
                  <c:v>2016-05-11</c:v>
                </c:pt>
                <c:pt idx="301">
                  <c:v>2016-05-12</c:v>
                </c:pt>
                <c:pt idx="302">
                  <c:v>2016-05-13</c:v>
                </c:pt>
                <c:pt idx="303">
                  <c:v>2016-05-16</c:v>
                </c:pt>
                <c:pt idx="304">
                  <c:v>2016-05-17</c:v>
                </c:pt>
                <c:pt idx="305">
                  <c:v>2016-05-18</c:v>
                </c:pt>
                <c:pt idx="306">
                  <c:v>2016-05-19</c:v>
                </c:pt>
                <c:pt idx="307">
                  <c:v>2016-05-20</c:v>
                </c:pt>
                <c:pt idx="308">
                  <c:v>2016-05-23</c:v>
                </c:pt>
                <c:pt idx="309">
                  <c:v>2016-05-24</c:v>
                </c:pt>
                <c:pt idx="310">
                  <c:v>2016-05-25</c:v>
                </c:pt>
                <c:pt idx="311">
                  <c:v>2016-05-26</c:v>
                </c:pt>
                <c:pt idx="312">
                  <c:v>2016-05-27</c:v>
                </c:pt>
                <c:pt idx="313">
                  <c:v>2016-05-31</c:v>
                </c:pt>
                <c:pt idx="314">
                  <c:v>2016-06-01</c:v>
                </c:pt>
                <c:pt idx="315">
                  <c:v>2016-06-02</c:v>
                </c:pt>
                <c:pt idx="316">
                  <c:v>2016-06-03</c:v>
                </c:pt>
                <c:pt idx="317">
                  <c:v>2016-06-06</c:v>
                </c:pt>
                <c:pt idx="318">
                  <c:v>2016-06-07</c:v>
                </c:pt>
                <c:pt idx="319">
                  <c:v>2016-06-08</c:v>
                </c:pt>
                <c:pt idx="320">
                  <c:v>2016-06-09</c:v>
                </c:pt>
                <c:pt idx="321">
                  <c:v>2016-06-10</c:v>
                </c:pt>
                <c:pt idx="322">
                  <c:v>2016-06-13</c:v>
                </c:pt>
                <c:pt idx="323">
                  <c:v>2016-06-14</c:v>
                </c:pt>
                <c:pt idx="324">
                  <c:v>2016-06-15</c:v>
                </c:pt>
                <c:pt idx="325">
                  <c:v>2016-06-16</c:v>
                </c:pt>
                <c:pt idx="326">
                  <c:v>2016-06-17</c:v>
                </c:pt>
                <c:pt idx="327">
                  <c:v>2016-06-20</c:v>
                </c:pt>
                <c:pt idx="328">
                  <c:v>2016-06-21</c:v>
                </c:pt>
                <c:pt idx="329">
                  <c:v>2016-06-22</c:v>
                </c:pt>
                <c:pt idx="330">
                  <c:v>2016-06-23</c:v>
                </c:pt>
                <c:pt idx="331">
                  <c:v>2016-06-24</c:v>
                </c:pt>
                <c:pt idx="332">
                  <c:v>2016-06-27</c:v>
                </c:pt>
                <c:pt idx="333">
                  <c:v>2016-06-28</c:v>
                </c:pt>
                <c:pt idx="334">
                  <c:v>2016-06-29</c:v>
                </c:pt>
                <c:pt idx="335">
                  <c:v>2016-06-30</c:v>
                </c:pt>
                <c:pt idx="336">
                  <c:v>2016-07-01</c:v>
                </c:pt>
                <c:pt idx="337">
                  <c:v>2016-07-05</c:v>
                </c:pt>
                <c:pt idx="338">
                  <c:v>2016-07-06</c:v>
                </c:pt>
                <c:pt idx="339">
                  <c:v>2016-07-07</c:v>
                </c:pt>
                <c:pt idx="340">
                  <c:v>2016-07-08</c:v>
                </c:pt>
                <c:pt idx="341">
                  <c:v>2016-07-11</c:v>
                </c:pt>
                <c:pt idx="342">
                  <c:v>2016-07-12</c:v>
                </c:pt>
                <c:pt idx="343">
                  <c:v>2016-07-13</c:v>
                </c:pt>
                <c:pt idx="344">
                  <c:v>2016-07-14</c:v>
                </c:pt>
                <c:pt idx="345">
                  <c:v>2016-07-15</c:v>
                </c:pt>
                <c:pt idx="346">
                  <c:v>2016-07-18</c:v>
                </c:pt>
                <c:pt idx="347">
                  <c:v>2016-07-19</c:v>
                </c:pt>
                <c:pt idx="348">
                  <c:v>2016-07-20</c:v>
                </c:pt>
                <c:pt idx="349">
                  <c:v>2016-07-21</c:v>
                </c:pt>
                <c:pt idx="350">
                  <c:v>2016-07-22</c:v>
                </c:pt>
                <c:pt idx="351">
                  <c:v>2016-07-25</c:v>
                </c:pt>
                <c:pt idx="352">
                  <c:v>2016-07-26</c:v>
                </c:pt>
                <c:pt idx="353">
                  <c:v>2016-07-27</c:v>
                </c:pt>
                <c:pt idx="354">
                  <c:v>2016-07-28</c:v>
                </c:pt>
                <c:pt idx="355">
                  <c:v>2016-07-29</c:v>
                </c:pt>
                <c:pt idx="356">
                  <c:v>2016-08-01</c:v>
                </c:pt>
                <c:pt idx="357">
                  <c:v>2016-08-02</c:v>
                </c:pt>
                <c:pt idx="358">
                  <c:v>2016-08-03</c:v>
                </c:pt>
                <c:pt idx="359">
                  <c:v>2016-08-04</c:v>
                </c:pt>
                <c:pt idx="360">
                  <c:v>2016-08-05</c:v>
                </c:pt>
                <c:pt idx="361">
                  <c:v>2016-08-08</c:v>
                </c:pt>
                <c:pt idx="362">
                  <c:v>2016-08-09</c:v>
                </c:pt>
                <c:pt idx="363">
                  <c:v>2016-08-10</c:v>
                </c:pt>
                <c:pt idx="364">
                  <c:v>2016-08-11</c:v>
                </c:pt>
                <c:pt idx="365">
                  <c:v>2016-08-12</c:v>
                </c:pt>
                <c:pt idx="366">
                  <c:v>2016-08-15</c:v>
                </c:pt>
                <c:pt idx="367">
                  <c:v>2016-08-16</c:v>
                </c:pt>
                <c:pt idx="368">
                  <c:v>2016-08-17</c:v>
                </c:pt>
                <c:pt idx="369">
                  <c:v>2016-08-18</c:v>
                </c:pt>
                <c:pt idx="370">
                  <c:v>2016-08-19</c:v>
                </c:pt>
                <c:pt idx="371">
                  <c:v>2016-08-22</c:v>
                </c:pt>
                <c:pt idx="372">
                  <c:v>2016-08-23</c:v>
                </c:pt>
                <c:pt idx="373">
                  <c:v>2016-08-24</c:v>
                </c:pt>
                <c:pt idx="374">
                  <c:v>2016-08-25</c:v>
                </c:pt>
                <c:pt idx="375">
                  <c:v>2016-08-26</c:v>
                </c:pt>
                <c:pt idx="376">
                  <c:v>2016-08-29</c:v>
                </c:pt>
                <c:pt idx="377">
                  <c:v>2016-08-30</c:v>
                </c:pt>
                <c:pt idx="378">
                  <c:v>2016-08-31</c:v>
                </c:pt>
                <c:pt idx="379">
                  <c:v>2016-09-01</c:v>
                </c:pt>
                <c:pt idx="380">
                  <c:v>2016-09-02</c:v>
                </c:pt>
                <c:pt idx="381">
                  <c:v>2016-09-06</c:v>
                </c:pt>
                <c:pt idx="382">
                  <c:v>2016-09-07</c:v>
                </c:pt>
                <c:pt idx="383">
                  <c:v>2016-09-08</c:v>
                </c:pt>
                <c:pt idx="384">
                  <c:v>2016-09-09</c:v>
                </c:pt>
                <c:pt idx="385">
                  <c:v>2016-09-12</c:v>
                </c:pt>
                <c:pt idx="386">
                  <c:v>2016-09-13</c:v>
                </c:pt>
                <c:pt idx="387">
                  <c:v>2016-09-14</c:v>
                </c:pt>
                <c:pt idx="388">
                  <c:v>2016-09-15</c:v>
                </c:pt>
                <c:pt idx="389">
                  <c:v>2016-09-16</c:v>
                </c:pt>
                <c:pt idx="390">
                  <c:v>2016-09-19</c:v>
                </c:pt>
                <c:pt idx="391">
                  <c:v>2016-09-20</c:v>
                </c:pt>
                <c:pt idx="392">
                  <c:v>2016-09-21</c:v>
                </c:pt>
                <c:pt idx="393">
                  <c:v>2016-09-22</c:v>
                </c:pt>
                <c:pt idx="394">
                  <c:v>2016-09-23</c:v>
                </c:pt>
                <c:pt idx="395">
                  <c:v>2016-09-26</c:v>
                </c:pt>
                <c:pt idx="396">
                  <c:v>2016-09-27</c:v>
                </c:pt>
                <c:pt idx="397">
                  <c:v>2016-09-28</c:v>
                </c:pt>
                <c:pt idx="398">
                  <c:v>2016-09-29</c:v>
                </c:pt>
                <c:pt idx="399">
                  <c:v>2016-09-30</c:v>
                </c:pt>
                <c:pt idx="400">
                  <c:v>2016-10-03</c:v>
                </c:pt>
                <c:pt idx="401">
                  <c:v>2016-10-04</c:v>
                </c:pt>
                <c:pt idx="402">
                  <c:v>2016-10-05</c:v>
                </c:pt>
                <c:pt idx="403">
                  <c:v>2016-10-06</c:v>
                </c:pt>
                <c:pt idx="404">
                  <c:v>2016-10-07</c:v>
                </c:pt>
                <c:pt idx="405">
                  <c:v>2016-10-11</c:v>
                </c:pt>
                <c:pt idx="406">
                  <c:v>2016-10-12</c:v>
                </c:pt>
                <c:pt idx="407">
                  <c:v>2016-10-13</c:v>
                </c:pt>
                <c:pt idx="408">
                  <c:v>2016-10-14</c:v>
                </c:pt>
                <c:pt idx="409">
                  <c:v>2016-10-17</c:v>
                </c:pt>
                <c:pt idx="410">
                  <c:v>2016-10-18</c:v>
                </c:pt>
                <c:pt idx="411">
                  <c:v>2016-10-19</c:v>
                </c:pt>
                <c:pt idx="412">
                  <c:v>2016-10-20</c:v>
                </c:pt>
                <c:pt idx="413">
                  <c:v>2016-10-21</c:v>
                </c:pt>
                <c:pt idx="414">
                  <c:v>2016-10-24</c:v>
                </c:pt>
                <c:pt idx="415">
                  <c:v>2016-10-25</c:v>
                </c:pt>
                <c:pt idx="416">
                  <c:v>2016-10-26</c:v>
                </c:pt>
                <c:pt idx="417">
                  <c:v>2016-10-27</c:v>
                </c:pt>
                <c:pt idx="418">
                  <c:v>2016-10-28</c:v>
                </c:pt>
                <c:pt idx="419">
                  <c:v>2016-10-31</c:v>
                </c:pt>
                <c:pt idx="420">
                  <c:v>2016-11-01</c:v>
                </c:pt>
                <c:pt idx="421">
                  <c:v>2016-11-02</c:v>
                </c:pt>
                <c:pt idx="422">
                  <c:v>2016-11-03</c:v>
                </c:pt>
                <c:pt idx="423">
                  <c:v>2016-11-04</c:v>
                </c:pt>
                <c:pt idx="424">
                  <c:v>2016-11-07</c:v>
                </c:pt>
                <c:pt idx="425">
                  <c:v>2016-11-08</c:v>
                </c:pt>
                <c:pt idx="426">
                  <c:v>2016-11-09</c:v>
                </c:pt>
                <c:pt idx="427">
                  <c:v>2016-11-10</c:v>
                </c:pt>
                <c:pt idx="428">
                  <c:v>2016-11-14</c:v>
                </c:pt>
                <c:pt idx="429">
                  <c:v>2016-11-15</c:v>
                </c:pt>
                <c:pt idx="430">
                  <c:v>2016-11-16</c:v>
                </c:pt>
                <c:pt idx="431">
                  <c:v>2016-11-17</c:v>
                </c:pt>
                <c:pt idx="432">
                  <c:v>2016-11-18</c:v>
                </c:pt>
                <c:pt idx="433">
                  <c:v>2016-11-21</c:v>
                </c:pt>
                <c:pt idx="434">
                  <c:v>2016-11-22</c:v>
                </c:pt>
                <c:pt idx="435">
                  <c:v>2016-11-23</c:v>
                </c:pt>
                <c:pt idx="436">
                  <c:v>2016-11-25</c:v>
                </c:pt>
                <c:pt idx="437">
                  <c:v>2016-11-28</c:v>
                </c:pt>
                <c:pt idx="438">
                  <c:v>2016-11-29</c:v>
                </c:pt>
                <c:pt idx="439">
                  <c:v>2016-11-30</c:v>
                </c:pt>
                <c:pt idx="440">
                  <c:v>2016-12-01</c:v>
                </c:pt>
                <c:pt idx="441">
                  <c:v>2016-12-02</c:v>
                </c:pt>
                <c:pt idx="442">
                  <c:v>2016-12-05</c:v>
                </c:pt>
                <c:pt idx="443">
                  <c:v>2016-12-06</c:v>
                </c:pt>
                <c:pt idx="444">
                  <c:v>2016-12-07</c:v>
                </c:pt>
                <c:pt idx="445">
                  <c:v>2016-12-08</c:v>
                </c:pt>
                <c:pt idx="446">
                  <c:v>2016-12-09</c:v>
                </c:pt>
                <c:pt idx="447">
                  <c:v>2016-12-12</c:v>
                </c:pt>
                <c:pt idx="448">
                  <c:v>2016-12-13</c:v>
                </c:pt>
                <c:pt idx="449">
                  <c:v>2016-12-14</c:v>
                </c:pt>
                <c:pt idx="450">
                  <c:v>2016-12-15</c:v>
                </c:pt>
                <c:pt idx="451">
                  <c:v>2016-12-16</c:v>
                </c:pt>
                <c:pt idx="452">
                  <c:v>2016-12-19</c:v>
                </c:pt>
                <c:pt idx="453">
                  <c:v>2016-12-20</c:v>
                </c:pt>
                <c:pt idx="454">
                  <c:v>2016-12-21</c:v>
                </c:pt>
                <c:pt idx="455">
                  <c:v>2016-12-22</c:v>
                </c:pt>
                <c:pt idx="456">
                  <c:v>2016-12-23</c:v>
                </c:pt>
                <c:pt idx="457">
                  <c:v>2016-12-27</c:v>
                </c:pt>
                <c:pt idx="458">
                  <c:v>2016-12-28</c:v>
                </c:pt>
                <c:pt idx="459">
                  <c:v>2016-12-29</c:v>
                </c:pt>
                <c:pt idx="460">
                  <c:v>2016-12-30</c:v>
                </c:pt>
                <c:pt idx="461">
                  <c:v>2017-01-03</c:v>
                </c:pt>
                <c:pt idx="462">
                  <c:v>2017-01-04</c:v>
                </c:pt>
                <c:pt idx="463">
                  <c:v>2017-01-05</c:v>
                </c:pt>
                <c:pt idx="464">
                  <c:v>2017-01-06</c:v>
                </c:pt>
                <c:pt idx="465">
                  <c:v>2017-01-09</c:v>
                </c:pt>
                <c:pt idx="466">
                  <c:v>2017-01-10</c:v>
                </c:pt>
                <c:pt idx="467">
                  <c:v>2017-01-11</c:v>
                </c:pt>
                <c:pt idx="468">
                  <c:v>2017-01-12</c:v>
                </c:pt>
                <c:pt idx="469">
                  <c:v>2017-01-13</c:v>
                </c:pt>
                <c:pt idx="470">
                  <c:v>2017-01-17</c:v>
                </c:pt>
                <c:pt idx="471">
                  <c:v>2017-01-18</c:v>
                </c:pt>
                <c:pt idx="472">
                  <c:v>2017-01-19</c:v>
                </c:pt>
                <c:pt idx="473">
                  <c:v>2017-01-20</c:v>
                </c:pt>
                <c:pt idx="474">
                  <c:v>2017-01-23</c:v>
                </c:pt>
                <c:pt idx="475">
                  <c:v>2017-01-24</c:v>
                </c:pt>
                <c:pt idx="476">
                  <c:v>2017-01-25</c:v>
                </c:pt>
                <c:pt idx="477">
                  <c:v>2017-01-26</c:v>
                </c:pt>
                <c:pt idx="478">
                  <c:v>2017-01-27</c:v>
                </c:pt>
                <c:pt idx="479">
                  <c:v>2017-01-30</c:v>
                </c:pt>
                <c:pt idx="480">
                  <c:v>2017-01-31</c:v>
                </c:pt>
                <c:pt idx="481">
                  <c:v>2017-02-01</c:v>
                </c:pt>
                <c:pt idx="482">
                  <c:v>2017-02-02</c:v>
                </c:pt>
                <c:pt idx="483">
                  <c:v>2017-02-03</c:v>
                </c:pt>
                <c:pt idx="484">
                  <c:v>2017-02-06</c:v>
                </c:pt>
                <c:pt idx="485">
                  <c:v>2017-02-07</c:v>
                </c:pt>
                <c:pt idx="486">
                  <c:v>2017-02-08</c:v>
                </c:pt>
                <c:pt idx="487">
                  <c:v>2017-02-09</c:v>
                </c:pt>
                <c:pt idx="488">
                  <c:v>2017-02-10</c:v>
                </c:pt>
                <c:pt idx="489">
                  <c:v>2017-02-13</c:v>
                </c:pt>
                <c:pt idx="490">
                  <c:v>2017-02-14</c:v>
                </c:pt>
                <c:pt idx="491">
                  <c:v>2017-02-15</c:v>
                </c:pt>
                <c:pt idx="492">
                  <c:v>2017-02-16</c:v>
                </c:pt>
                <c:pt idx="493">
                  <c:v>2017-02-17</c:v>
                </c:pt>
                <c:pt idx="494">
                  <c:v>2017-02-21</c:v>
                </c:pt>
                <c:pt idx="495">
                  <c:v>2017-02-22</c:v>
                </c:pt>
                <c:pt idx="496">
                  <c:v>2017-02-23</c:v>
                </c:pt>
                <c:pt idx="497">
                  <c:v>2017-02-24</c:v>
                </c:pt>
                <c:pt idx="498">
                  <c:v>2017-02-27</c:v>
                </c:pt>
                <c:pt idx="499">
                  <c:v>2017-02-28</c:v>
                </c:pt>
                <c:pt idx="500">
                  <c:v>2017-03-01</c:v>
                </c:pt>
                <c:pt idx="501">
                  <c:v>2017-03-02</c:v>
                </c:pt>
                <c:pt idx="502">
                  <c:v>2017-03-03</c:v>
                </c:pt>
                <c:pt idx="503">
                  <c:v>2017-03-06</c:v>
                </c:pt>
                <c:pt idx="504">
                  <c:v>2017-03-07</c:v>
                </c:pt>
                <c:pt idx="505">
                  <c:v>2017-03-08</c:v>
                </c:pt>
                <c:pt idx="506">
                  <c:v>2017-03-09</c:v>
                </c:pt>
                <c:pt idx="507">
                  <c:v>2017-03-10</c:v>
                </c:pt>
                <c:pt idx="508">
                  <c:v>2017-03-13</c:v>
                </c:pt>
                <c:pt idx="509">
                  <c:v>2017-03-14</c:v>
                </c:pt>
                <c:pt idx="510">
                  <c:v>2017-03-15</c:v>
                </c:pt>
                <c:pt idx="511">
                  <c:v>2017-03-16</c:v>
                </c:pt>
                <c:pt idx="512">
                  <c:v>2017-03-17</c:v>
                </c:pt>
                <c:pt idx="513">
                  <c:v>2017-03-20</c:v>
                </c:pt>
                <c:pt idx="514">
                  <c:v>2017-03-21</c:v>
                </c:pt>
                <c:pt idx="515">
                  <c:v>2017-03-22</c:v>
                </c:pt>
                <c:pt idx="516">
                  <c:v>2017-03-23</c:v>
                </c:pt>
                <c:pt idx="517">
                  <c:v>2017-03-24</c:v>
                </c:pt>
                <c:pt idx="518">
                  <c:v>2017-03-27</c:v>
                </c:pt>
                <c:pt idx="519">
                  <c:v>2017-03-28</c:v>
                </c:pt>
                <c:pt idx="520">
                  <c:v>2017-03-29</c:v>
                </c:pt>
                <c:pt idx="521">
                  <c:v>2017-03-30</c:v>
                </c:pt>
                <c:pt idx="522">
                  <c:v>2017-03-31</c:v>
                </c:pt>
                <c:pt idx="523">
                  <c:v>2017-04-03</c:v>
                </c:pt>
                <c:pt idx="524">
                  <c:v>2017-04-04</c:v>
                </c:pt>
                <c:pt idx="525">
                  <c:v>2017-04-05</c:v>
                </c:pt>
                <c:pt idx="526">
                  <c:v>2017-04-06</c:v>
                </c:pt>
                <c:pt idx="527">
                  <c:v>2017-04-07</c:v>
                </c:pt>
                <c:pt idx="528">
                  <c:v>2017-04-10</c:v>
                </c:pt>
                <c:pt idx="529">
                  <c:v>2017-04-11</c:v>
                </c:pt>
                <c:pt idx="530">
                  <c:v>2017-04-12</c:v>
                </c:pt>
                <c:pt idx="531">
                  <c:v>2017-04-13</c:v>
                </c:pt>
                <c:pt idx="532">
                  <c:v>2017-04-17</c:v>
                </c:pt>
                <c:pt idx="533">
                  <c:v>2017-04-18</c:v>
                </c:pt>
                <c:pt idx="534">
                  <c:v>2017-04-19</c:v>
                </c:pt>
                <c:pt idx="535">
                  <c:v>2017-04-20</c:v>
                </c:pt>
                <c:pt idx="536">
                  <c:v>2017-04-21</c:v>
                </c:pt>
                <c:pt idx="537">
                  <c:v>2017-04-24</c:v>
                </c:pt>
                <c:pt idx="538">
                  <c:v>2017-04-25</c:v>
                </c:pt>
                <c:pt idx="539">
                  <c:v>2017-04-26</c:v>
                </c:pt>
                <c:pt idx="540">
                  <c:v>2017-04-27</c:v>
                </c:pt>
                <c:pt idx="541">
                  <c:v>2017-04-28</c:v>
                </c:pt>
                <c:pt idx="542">
                  <c:v>2017-05-01</c:v>
                </c:pt>
                <c:pt idx="543">
                  <c:v>2017-05-02</c:v>
                </c:pt>
                <c:pt idx="544">
                  <c:v>2017-05-03</c:v>
                </c:pt>
                <c:pt idx="545">
                  <c:v>2017-05-04</c:v>
                </c:pt>
                <c:pt idx="546">
                  <c:v>2017-05-05</c:v>
                </c:pt>
                <c:pt idx="547">
                  <c:v>2017-05-08</c:v>
                </c:pt>
                <c:pt idx="548">
                  <c:v>2017-05-09</c:v>
                </c:pt>
                <c:pt idx="549">
                  <c:v>2017-05-10</c:v>
                </c:pt>
                <c:pt idx="550">
                  <c:v>2017-05-11</c:v>
                </c:pt>
                <c:pt idx="551">
                  <c:v>2017-05-12</c:v>
                </c:pt>
                <c:pt idx="552">
                  <c:v>2017-05-15</c:v>
                </c:pt>
                <c:pt idx="553">
                  <c:v>2017-05-16</c:v>
                </c:pt>
                <c:pt idx="554">
                  <c:v>2017-05-17</c:v>
                </c:pt>
                <c:pt idx="555">
                  <c:v>2017-05-18</c:v>
                </c:pt>
                <c:pt idx="556">
                  <c:v>2017-05-19</c:v>
                </c:pt>
                <c:pt idx="557">
                  <c:v>2017-05-22</c:v>
                </c:pt>
                <c:pt idx="558">
                  <c:v>2017-05-23</c:v>
                </c:pt>
                <c:pt idx="559">
                  <c:v>2017-05-24</c:v>
                </c:pt>
                <c:pt idx="560">
                  <c:v>2017-05-25</c:v>
                </c:pt>
                <c:pt idx="561">
                  <c:v>2017-05-26</c:v>
                </c:pt>
                <c:pt idx="562">
                  <c:v>2017-05-30</c:v>
                </c:pt>
                <c:pt idx="563">
                  <c:v>2017-05-31</c:v>
                </c:pt>
                <c:pt idx="564">
                  <c:v>2017-06-01</c:v>
                </c:pt>
                <c:pt idx="565">
                  <c:v>2017-06-02</c:v>
                </c:pt>
                <c:pt idx="566">
                  <c:v>2017-06-05</c:v>
                </c:pt>
                <c:pt idx="567">
                  <c:v>2017-06-06</c:v>
                </c:pt>
                <c:pt idx="568">
                  <c:v>2017-06-07</c:v>
                </c:pt>
                <c:pt idx="569">
                  <c:v>2017-06-08</c:v>
                </c:pt>
                <c:pt idx="570">
                  <c:v>2017-06-09</c:v>
                </c:pt>
                <c:pt idx="571">
                  <c:v>2017-06-12</c:v>
                </c:pt>
                <c:pt idx="572">
                  <c:v>2017-06-13</c:v>
                </c:pt>
                <c:pt idx="573">
                  <c:v>2017-06-14</c:v>
                </c:pt>
                <c:pt idx="574">
                  <c:v>2017-06-15</c:v>
                </c:pt>
                <c:pt idx="575">
                  <c:v>2017-06-16</c:v>
                </c:pt>
                <c:pt idx="576">
                  <c:v>2017-06-19</c:v>
                </c:pt>
                <c:pt idx="577">
                  <c:v>2017-06-20</c:v>
                </c:pt>
                <c:pt idx="578">
                  <c:v>2017-06-21</c:v>
                </c:pt>
                <c:pt idx="579">
                  <c:v>2017-06-22</c:v>
                </c:pt>
                <c:pt idx="580">
                  <c:v>2017-06-23</c:v>
                </c:pt>
                <c:pt idx="581">
                  <c:v>2017-06-26</c:v>
                </c:pt>
                <c:pt idx="582">
                  <c:v>2017-06-27</c:v>
                </c:pt>
                <c:pt idx="583">
                  <c:v>2017-06-28</c:v>
                </c:pt>
                <c:pt idx="584">
                  <c:v>2017-06-29</c:v>
                </c:pt>
                <c:pt idx="585">
                  <c:v>2017-06-30</c:v>
                </c:pt>
                <c:pt idx="586">
                  <c:v>2017-07-03</c:v>
                </c:pt>
                <c:pt idx="587">
                  <c:v>2017-07-05</c:v>
                </c:pt>
                <c:pt idx="588">
                  <c:v>2017-07-06</c:v>
                </c:pt>
                <c:pt idx="589">
                  <c:v>2017-07-07</c:v>
                </c:pt>
                <c:pt idx="590">
                  <c:v>2017-07-10</c:v>
                </c:pt>
                <c:pt idx="591">
                  <c:v>2017-07-11</c:v>
                </c:pt>
                <c:pt idx="592">
                  <c:v>2017-07-12</c:v>
                </c:pt>
                <c:pt idx="593">
                  <c:v>2017-07-13</c:v>
                </c:pt>
                <c:pt idx="594">
                  <c:v>2017-07-14</c:v>
                </c:pt>
                <c:pt idx="595">
                  <c:v>2017-07-17</c:v>
                </c:pt>
                <c:pt idx="596">
                  <c:v>2017-07-18</c:v>
                </c:pt>
                <c:pt idx="597">
                  <c:v>2017-07-19</c:v>
                </c:pt>
                <c:pt idx="598">
                  <c:v>2017-07-20</c:v>
                </c:pt>
                <c:pt idx="599">
                  <c:v>2017-07-21</c:v>
                </c:pt>
                <c:pt idx="600">
                  <c:v>2017-07-24</c:v>
                </c:pt>
                <c:pt idx="601">
                  <c:v>2017-07-25</c:v>
                </c:pt>
                <c:pt idx="602">
                  <c:v>2017-07-26</c:v>
                </c:pt>
                <c:pt idx="603">
                  <c:v>2017-07-27</c:v>
                </c:pt>
                <c:pt idx="604">
                  <c:v>2017-07-28</c:v>
                </c:pt>
                <c:pt idx="605">
                  <c:v>2017-07-31</c:v>
                </c:pt>
                <c:pt idx="606">
                  <c:v>2017-08-01</c:v>
                </c:pt>
                <c:pt idx="607">
                  <c:v>2017-08-02</c:v>
                </c:pt>
                <c:pt idx="608">
                  <c:v>2017-08-03</c:v>
                </c:pt>
                <c:pt idx="609">
                  <c:v>2017-08-04</c:v>
                </c:pt>
                <c:pt idx="610">
                  <c:v>2017-08-07</c:v>
                </c:pt>
                <c:pt idx="611">
                  <c:v>2017-08-08</c:v>
                </c:pt>
                <c:pt idx="612">
                  <c:v>2017-08-09</c:v>
                </c:pt>
                <c:pt idx="613">
                  <c:v>2017-08-10</c:v>
                </c:pt>
                <c:pt idx="614">
                  <c:v>2017-08-11</c:v>
                </c:pt>
                <c:pt idx="615">
                  <c:v>2017-08-14</c:v>
                </c:pt>
                <c:pt idx="616">
                  <c:v>2017-08-15</c:v>
                </c:pt>
                <c:pt idx="617">
                  <c:v>2017-08-16</c:v>
                </c:pt>
                <c:pt idx="618">
                  <c:v>2017-08-17</c:v>
                </c:pt>
                <c:pt idx="619">
                  <c:v>2017-08-18</c:v>
                </c:pt>
                <c:pt idx="620">
                  <c:v>2017-08-21</c:v>
                </c:pt>
                <c:pt idx="621">
                  <c:v>2017-08-22</c:v>
                </c:pt>
                <c:pt idx="622">
                  <c:v>2017-08-23</c:v>
                </c:pt>
                <c:pt idx="623">
                  <c:v>2017-08-24</c:v>
                </c:pt>
                <c:pt idx="624">
                  <c:v>2017-08-25</c:v>
                </c:pt>
                <c:pt idx="625">
                  <c:v>2017-08-28</c:v>
                </c:pt>
                <c:pt idx="626">
                  <c:v>2017-08-29</c:v>
                </c:pt>
                <c:pt idx="627">
                  <c:v>2017-08-30</c:v>
                </c:pt>
                <c:pt idx="628">
                  <c:v>2017-08-31</c:v>
                </c:pt>
                <c:pt idx="629">
                  <c:v>2017-09-01</c:v>
                </c:pt>
                <c:pt idx="630">
                  <c:v>2017-09-05</c:v>
                </c:pt>
                <c:pt idx="631">
                  <c:v>2017-09-06</c:v>
                </c:pt>
                <c:pt idx="632">
                  <c:v>2017-09-07</c:v>
                </c:pt>
                <c:pt idx="633">
                  <c:v>2017-09-08</c:v>
                </c:pt>
                <c:pt idx="634">
                  <c:v>2017-09-11</c:v>
                </c:pt>
                <c:pt idx="635">
                  <c:v>2017-09-12</c:v>
                </c:pt>
                <c:pt idx="636">
                  <c:v>2017-09-13</c:v>
                </c:pt>
                <c:pt idx="637">
                  <c:v>2017-09-14</c:v>
                </c:pt>
                <c:pt idx="638">
                  <c:v>2017-09-15</c:v>
                </c:pt>
                <c:pt idx="639">
                  <c:v>2017-09-18</c:v>
                </c:pt>
                <c:pt idx="640">
                  <c:v>2017-09-19</c:v>
                </c:pt>
                <c:pt idx="641">
                  <c:v>2017-09-20</c:v>
                </c:pt>
                <c:pt idx="642">
                  <c:v>2017-09-21</c:v>
                </c:pt>
                <c:pt idx="643">
                  <c:v>2017-09-22</c:v>
                </c:pt>
                <c:pt idx="644">
                  <c:v>2017-09-25</c:v>
                </c:pt>
                <c:pt idx="645">
                  <c:v>2017-09-26</c:v>
                </c:pt>
                <c:pt idx="646">
                  <c:v>2017-09-27</c:v>
                </c:pt>
                <c:pt idx="647">
                  <c:v>2017-09-28</c:v>
                </c:pt>
                <c:pt idx="648">
                  <c:v>2017-09-29</c:v>
                </c:pt>
                <c:pt idx="649">
                  <c:v>2017-10-02</c:v>
                </c:pt>
              </c:strCache>
            </c:strRef>
          </c:cat>
          <c:val>
            <c:numRef>
              <c:f>'Rates Summary'!$O$80:$O$729</c:f>
              <c:numCache>
                <c:formatCode>General</c:formatCode>
                <c:ptCount val="650"/>
                <c:pt idx="0">
                  <c:v>1.3767723130618554</c:v>
                </c:pt>
                <c:pt idx="1">
                  <c:v>1.3850546031605075</c:v>
                </c:pt>
                <c:pt idx="2">
                  <c:v>1.3692587050391631</c:v>
                </c:pt>
                <c:pt idx="3">
                  <c:v>1.3490675358181696</c:v>
                </c:pt>
                <c:pt idx="4">
                  <c:v>1.350389284878674</c:v>
                </c:pt>
                <c:pt idx="5">
                  <c:v>1.3485070688916867</c:v>
                </c:pt>
                <c:pt idx="6">
                  <c:v>1.3560774820987149</c:v>
                </c:pt>
                <c:pt idx="7">
                  <c:v>1.344209617863692</c:v>
                </c:pt>
                <c:pt idx="8">
                  <c:v>1.3396149033691263</c:v>
                </c:pt>
                <c:pt idx="9">
                  <c:v>1.3107424221176069</c:v>
                </c:pt>
                <c:pt idx="10">
                  <c:v>1.3237028011769647</c:v>
                </c:pt>
                <c:pt idx="11">
                  <c:v>1.3697307582715406</c:v>
                </c:pt>
                <c:pt idx="12">
                  <c:v>1.3176631575817741</c:v>
                </c:pt>
                <c:pt idx="13">
                  <c:v>1.380434488216318</c:v>
                </c:pt>
                <c:pt idx="14">
                  <c:v>1.3608783819725627</c:v>
                </c:pt>
                <c:pt idx="15">
                  <c:v>1.3753831809120984</c:v>
                </c:pt>
                <c:pt idx="16">
                  <c:v>1.3445010227561975</c:v>
                </c:pt>
                <c:pt idx="17">
                  <c:v>1.3813410012688965</c:v>
                </c:pt>
                <c:pt idx="18">
                  <c:v>1.4088439334600631</c:v>
                </c:pt>
                <c:pt idx="19">
                  <c:v>1.3829965684645829</c:v>
                </c:pt>
                <c:pt idx="20">
                  <c:v>1.4104066097299408</c:v>
                </c:pt>
                <c:pt idx="21">
                  <c:v>1.4414732984829457</c:v>
                </c:pt>
                <c:pt idx="22">
                  <c:v>1.3984649566955778</c:v>
                </c:pt>
                <c:pt idx="23">
                  <c:v>1.4275418500681698</c:v>
                </c:pt>
                <c:pt idx="24">
                  <c:v>1.4347708909616306</c:v>
                </c:pt>
                <c:pt idx="25">
                  <c:v>1.45449494111489</c:v>
                </c:pt>
                <c:pt idx="26">
                  <c:v>1.4284238056650325</c:v>
                </c:pt>
                <c:pt idx="27">
                  <c:v>1.4339693770784783</c:v>
                </c:pt>
                <c:pt idx="28">
                  <c:v>1.3985370958949779</c:v>
                </c:pt>
                <c:pt idx="29">
                  <c:v>1.4141832503070106</c:v>
                </c:pt>
                <c:pt idx="30">
                  <c:v>1.4400239062985229</c:v>
                </c:pt>
                <c:pt idx="31">
                  <c:v>1.4765459371823244</c:v>
                </c:pt>
                <c:pt idx="32">
                  <c:v>1.4816570489965968</c:v>
                </c:pt>
                <c:pt idx="33">
                  <c:v>1.4553975121316345</c:v>
                </c:pt>
                <c:pt idx="34">
                  <c:v>1.4484845527450128</c:v>
                </c:pt>
                <c:pt idx="35">
                  <c:v>1.4189829558031428</c:v>
                </c:pt>
                <c:pt idx="36">
                  <c:v>1.3955985888148446</c:v>
                </c:pt>
                <c:pt idx="37">
                  <c:v>1.4027324649448731</c:v>
                </c:pt>
                <c:pt idx="38">
                  <c:v>1.4287261054410563</c:v>
                </c:pt>
                <c:pt idx="39">
                  <c:v>1.399638181655116</c:v>
                </c:pt>
                <c:pt idx="40">
                  <c:v>1.3965245043623147</c:v>
                </c:pt>
                <c:pt idx="41">
                  <c:v>1.4051259133719631</c:v>
                </c:pt>
                <c:pt idx="42">
                  <c:v>1.392326959678261</c:v>
                </c:pt>
                <c:pt idx="43">
                  <c:v>1.3376037045529532</c:v>
                </c:pt>
                <c:pt idx="44">
                  <c:v>1.3382868556600449</c:v>
                </c:pt>
                <c:pt idx="45">
                  <c:v>1.3591058371379292</c:v>
                </c:pt>
                <c:pt idx="46">
                  <c:v>1.3488685175880604</c:v>
                </c:pt>
                <c:pt idx="47">
                  <c:v>1.4193142585576541</c:v>
                </c:pt>
                <c:pt idx="48">
                  <c:v>1.3548718947147338</c:v>
                </c:pt>
                <c:pt idx="49">
                  <c:v>1.3180081621213482</c:v>
                </c:pt>
                <c:pt idx="50">
                  <c:v>1.2901623738570742</c:v>
                </c:pt>
                <c:pt idx="51">
                  <c:v>1.2758005799587988</c:v>
                </c:pt>
                <c:pt idx="52">
                  <c:v>1.3277952372216348</c:v>
                </c:pt>
                <c:pt idx="53">
                  <c:v>1.4060407971615168</c:v>
                </c:pt>
                <c:pt idx="54">
                  <c:v>1.3250673032177192</c:v>
                </c:pt>
                <c:pt idx="55">
                  <c:v>1.3854099604525558</c:v>
                </c:pt>
                <c:pt idx="56">
                  <c:v>1.3856715887829274</c:v>
                </c:pt>
                <c:pt idx="57">
                  <c:v>1.4063989296447374</c:v>
                </c:pt>
                <c:pt idx="58">
                  <c:v>1.4030263634132119</c:v>
                </c:pt>
                <c:pt idx="59">
                  <c:v>1.44198666367699</c:v>
                </c:pt>
                <c:pt idx="60">
                  <c:v>1.3918403508282922</c:v>
                </c:pt>
                <c:pt idx="61">
                  <c:v>1.3819537066305525</c:v>
                </c:pt>
                <c:pt idx="62">
                  <c:v>1.3595143674414412</c:v>
                </c:pt>
                <c:pt idx="63">
                  <c:v>1.3899216487000827</c:v>
                </c:pt>
                <c:pt idx="64">
                  <c:v>1.3159947927940223</c:v>
                </c:pt>
                <c:pt idx="65">
                  <c:v>1.3179575902307146</c:v>
                </c:pt>
                <c:pt idx="66">
                  <c:v>1.3764410362338237</c:v>
                </c:pt>
                <c:pt idx="67">
                  <c:v>1.328582321910313</c:v>
                </c:pt>
                <c:pt idx="68">
                  <c:v>1.3365601446523632</c:v>
                </c:pt>
                <c:pt idx="69">
                  <c:v>1.3340285749929719</c:v>
                </c:pt>
                <c:pt idx="70">
                  <c:v>1.363248574151259</c:v>
                </c:pt>
                <c:pt idx="71">
                  <c:v>1.3727474583322374</c:v>
                </c:pt>
                <c:pt idx="72">
                  <c:v>1.3520436311364827</c:v>
                </c:pt>
                <c:pt idx="73">
                  <c:v>1.3250009408803773</c:v>
                </c:pt>
                <c:pt idx="74">
                  <c:v>1.3546590474000695</c:v>
                </c:pt>
                <c:pt idx="75">
                  <c:v>1.3784025956929589</c:v>
                </c:pt>
                <c:pt idx="76">
                  <c:v>1.3626117600642815</c:v>
                </c:pt>
                <c:pt idx="77">
                  <c:v>1.3393027160157196</c:v>
                </c:pt>
                <c:pt idx="78">
                  <c:v>1.3248194727734872</c:v>
                </c:pt>
                <c:pt idx="79">
                  <c:v>1.3173137949883147</c:v>
                </c:pt>
                <c:pt idx="80">
                  <c:v>1.3541190053582786</c:v>
                </c:pt>
                <c:pt idx="81">
                  <c:v>1.3323746511014782</c:v>
                </c:pt>
                <c:pt idx="82">
                  <c:v>1.2688630129929737</c:v>
                </c:pt>
                <c:pt idx="83">
                  <c:v>1.381400351642144</c:v>
                </c:pt>
                <c:pt idx="84">
                  <c:v>1.341395844456327</c:v>
                </c:pt>
                <c:pt idx="85">
                  <c:v>1.3579387500851681</c:v>
                </c:pt>
                <c:pt idx="86">
                  <c:v>1.3318842535059612</c:v>
                </c:pt>
                <c:pt idx="87">
                  <c:v>1.403088195853847</c:v>
                </c:pt>
                <c:pt idx="88">
                  <c:v>1.3885261473635655</c:v>
                </c:pt>
                <c:pt idx="89">
                  <c:v>1.4464195837012623</c:v>
                </c:pt>
                <c:pt idx="90">
                  <c:v>1.3791834069139486</c:v>
                </c:pt>
                <c:pt idx="91">
                  <c:v>1.3623221262366418</c:v>
                </c:pt>
                <c:pt idx="92">
                  <c:v>1.3459714438214008</c:v>
                </c:pt>
                <c:pt idx="93">
                  <c:v>1.3551356009374995</c:v>
                </c:pt>
                <c:pt idx="94">
                  <c:v>1.3862663110886373</c:v>
                </c:pt>
                <c:pt idx="95">
                  <c:v>1.3647904303378449</c:v>
                </c:pt>
                <c:pt idx="96">
                  <c:v>1.3301538255240535</c:v>
                </c:pt>
                <c:pt idx="97">
                  <c:v>1.337556217179366</c:v>
                </c:pt>
                <c:pt idx="98">
                  <c:v>1.3954639430270657</c:v>
                </c:pt>
                <c:pt idx="99">
                  <c:v>1.3995708395773065</c:v>
                </c:pt>
                <c:pt idx="100">
                  <c:v>1.4411629915795856</c:v>
                </c:pt>
                <c:pt idx="101">
                  <c:v>1.3615908789310525</c:v>
                </c:pt>
                <c:pt idx="102">
                  <c:v>1.3905033314839395</c:v>
                </c:pt>
                <c:pt idx="103">
                  <c:v>1.406894726432065</c:v>
                </c:pt>
                <c:pt idx="104">
                  <c:v>1.3990730709089572</c:v>
                </c:pt>
                <c:pt idx="105">
                  <c:v>1.4142622761226427</c:v>
                </c:pt>
                <c:pt idx="106">
                  <c:v>1.3746115348342114</c:v>
                </c:pt>
                <c:pt idx="107">
                  <c:v>1.3884211033274538</c:v>
                </c:pt>
                <c:pt idx="108">
                  <c:v>1.3417099204406964</c:v>
                </c:pt>
                <c:pt idx="109">
                  <c:v>1.3897272293081944</c:v>
                </c:pt>
                <c:pt idx="110">
                  <c:v>1.4062236602360569</c:v>
                </c:pt>
                <c:pt idx="111">
                  <c:v>1.3819113318165615</c:v>
                </c:pt>
                <c:pt idx="112">
                  <c:v>1.3528192699155452</c:v>
                </c:pt>
                <c:pt idx="113">
                  <c:v>1.3667998914706656</c:v>
                </c:pt>
                <c:pt idx="114">
                  <c:v>1.3935265574210718</c:v>
                </c:pt>
                <c:pt idx="115">
                  <c:v>1.3199668474812989</c:v>
                </c:pt>
                <c:pt idx="116">
                  <c:v>1.3471126329946661</c:v>
                </c:pt>
                <c:pt idx="117">
                  <c:v>1.3569649967621358</c:v>
                </c:pt>
                <c:pt idx="118">
                  <c:v>1.3786533705042512</c:v>
                </c:pt>
                <c:pt idx="119">
                  <c:v>1.3842193880067069</c:v>
                </c:pt>
                <c:pt idx="120">
                  <c:v>1.4184805925595136</c:v>
                </c:pt>
                <c:pt idx="121">
                  <c:v>1.4240510820396328</c:v>
                </c:pt>
                <c:pt idx="122">
                  <c:v>1.3461775581264221</c:v>
                </c:pt>
                <c:pt idx="123">
                  <c:v>1.3762244225186233</c:v>
                </c:pt>
                <c:pt idx="124">
                  <c:v>1.3702876473877039</c:v>
                </c:pt>
                <c:pt idx="125">
                  <c:v>1.371620139292911</c:v>
                </c:pt>
                <c:pt idx="126">
                  <c:v>1.3359142635562784</c:v>
                </c:pt>
                <c:pt idx="127">
                  <c:v>1.3398637747196687</c:v>
                </c:pt>
                <c:pt idx="128">
                  <c:v>1.3662351624346272</c:v>
                </c:pt>
                <c:pt idx="129">
                  <c:v>1.3334668463308543</c:v>
                </c:pt>
                <c:pt idx="130">
                  <c:v>1.3548011989398434</c:v>
                </c:pt>
                <c:pt idx="131">
                  <c:v>1.345934545877109</c:v>
                </c:pt>
                <c:pt idx="132">
                  <c:v>1.3421916816529791</c:v>
                </c:pt>
                <c:pt idx="133">
                  <c:v>1.3801484621049211</c:v>
                </c:pt>
                <c:pt idx="134">
                  <c:v>1.3139892686049721</c:v>
                </c:pt>
                <c:pt idx="135">
                  <c:v>1.3094000937836907</c:v>
                </c:pt>
                <c:pt idx="136">
                  <c:v>1.320676630630637</c:v>
                </c:pt>
                <c:pt idx="137">
                  <c:v>1.2841143094237346</c:v>
                </c:pt>
                <c:pt idx="138">
                  <c:v>1.3153333917490166</c:v>
                </c:pt>
                <c:pt idx="139">
                  <c:v>1.3609315490244984</c:v>
                </c:pt>
                <c:pt idx="140">
                  <c:v>1.3433624005666713</c:v>
                </c:pt>
                <c:pt idx="141">
                  <c:v>1.2711291981569215</c:v>
                </c:pt>
                <c:pt idx="142">
                  <c:v>1.3403856147060331</c:v>
                </c:pt>
                <c:pt idx="143">
                  <c:v>1.3087192423471181</c:v>
                </c:pt>
                <c:pt idx="144">
                  <c:v>1.3100166515089626</c:v>
                </c:pt>
                <c:pt idx="145">
                  <c:v>1.3392598943022547</c:v>
                </c:pt>
                <c:pt idx="146">
                  <c:v>1.4016700850654802</c:v>
                </c:pt>
                <c:pt idx="147">
                  <c:v>1.3695696294134241</c:v>
                </c:pt>
                <c:pt idx="148">
                  <c:v>1.360607222928208</c:v>
                </c:pt>
                <c:pt idx="149">
                  <c:v>1.3608517481168692</c:v>
                </c:pt>
                <c:pt idx="150">
                  <c:v>1.3352855380387381</c:v>
                </c:pt>
                <c:pt idx="151">
                  <c:v>1.3584576499280527</c:v>
                </c:pt>
                <c:pt idx="152">
                  <c:v>1.4099505967942854</c:v>
                </c:pt>
                <c:pt idx="153">
                  <c:v>1.3968846705228266</c:v>
                </c:pt>
                <c:pt idx="154">
                  <c:v>1.3458300099986316</c:v>
                </c:pt>
                <c:pt idx="155">
                  <c:v>1.3617867057788908</c:v>
                </c:pt>
                <c:pt idx="156">
                  <c:v>1.3884027369181562</c:v>
                </c:pt>
                <c:pt idx="157">
                  <c:v>1.4157152039569625</c:v>
                </c:pt>
                <c:pt idx="158">
                  <c:v>1.3736667089216181</c:v>
                </c:pt>
                <c:pt idx="159">
                  <c:v>1.3947662077366294</c:v>
                </c:pt>
                <c:pt idx="160">
                  <c:v>1.4143963987281183</c:v>
                </c:pt>
                <c:pt idx="161">
                  <c:v>1.4014476420636686</c:v>
                </c:pt>
                <c:pt idx="162">
                  <c:v>1.4012448010444774</c:v>
                </c:pt>
                <c:pt idx="163">
                  <c:v>1.4211699420075385</c:v>
                </c:pt>
                <c:pt idx="164">
                  <c:v>1.3672588343876586</c:v>
                </c:pt>
                <c:pt idx="165">
                  <c:v>1.3951841896257662</c:v>
                </c:pt>
                <c:pt idx="166">
                  <c:v>1.3822648838722078</c:v>
                </c:pt>
                <c:pt idx="167">
                  <c:v>1.3405939855792273</c:v>
                </c:pt>
                <c:pt idx="168">
                  <c:v>1.3163425157674535</c:v>
                </c:pt>
                <c:pt idx="169">
                  <c:v>1.382603279306442</c:v>
                </c:pt>
                <c:pt idx="170">
                  <c:v>1.333515372857075</c:v>
                </c:pt>
                <c:pt idx="171">
                  <c:v>1.3140489826323516</c:v>
                </c:pt>
                <c:pt idx="172">
                  <c:v>1.3005788962555929</c:v>
                </c:pt>
                <c:pt idx="173">
                  <c:v>1.3462915602679879</c:v>
                </c:pt>
                <c:pt idx="174">
                  <c:v>1.3172937290421491</c:v>
                </c:pt>
                <c:pt idx="175">
                  <c:v>1.316787062149724</c:v>
                </c:pt>
                <c:pt idx="176">
                  <c:v>1.3510158512803705</c:v>
                </c:pt>
                <c:pt idx="177">
                  <c:v>1.3118123719292241</c:v>
                </c:pt>
                <c:pt idx="178">
                  <c:v>1.3409432636572283</c:v>
                </c:pt>
                <c:pt idx="179">
                  <c:v>1.3093469566609726</c:v>
                </c:pt>
                <c:pt idx="180">
                  <c:v>1.3659462776110343</c:v>
                </c:pt>
                <c:pt idx="181">
                  <c:v>1.3421756357701742</c:v>
                </c:pt>
                <c:pt idx="182">
                  <c:v>1.3275612153295382</c:v>
                </c:pt>
                <c:pt idx="183">
                  <c:v>1.3460355153841306</c:v>
                </c:pt>
                <c:pt idx="184">
                  <c:v>1.3497577833207932</c:v>
                </c:pt>
                <c:pt idx="185">
                  <c:v>1.312558811100295</c:v>
                </c:pt>
                <c:pt idx="186">
                  <c:v>1.3328332204110456</c:v>
                </c:pt>
                <c:pt idx="187">
                  <c:v>1.3789085705873161</c:v>
                </c:pt>
                <c:pt idx="188">
                  <c:v>1.3870107438833901</c:v>
                </c:pt>
                <c:pt idx="189">
                  <c:v>1.3720497680960513</c:v>
                </c:pt>
                <c:pt idx="190">
                  <c:v>1.3512398203888618</c:v>
                </c:pt>
                <c:pt idx="191">
                  <c:v>1.3257441323564103</c:v>
                </c:pt>
                <c:pt idx="192">
                  <c:v>1.3523272828480835</c:v>
                </c:pt>
                <c:pt idx="193">
                  <c:v>1.4100866573652131</c:v>
                </c:pt>
                <c:pt idx="194">
                  <c:v>1.3307468533549343</c:v>
                </c:pt>
                <c:pt idx="195">
                  <c:v>1.3822072513889021</c:v>
                </c:pt>
                <c:pt idx="196">
                  <c:v>1.3035323107608618</c:v>
                </c:pt>
                <c:pt idx="197">
                  <c:v>1.3620967408307858</c:v>
                </c:pt>
                <c:pt idx="198">
                  <c:v>1.333773998786383</c:v>
                </c:pt>
                <c:pt idx="199">
                  <c:v>1.3948236198639736</c:v>
                </c:pt>
                <c:pt idx="200">
                  <c:v>1.3773493316441123</c:v>
                </c:pt>
                <c:pt idx="201">
                  <c:v>1.3511166597308324</c:v>
                </c:pt>
                <c:pt idx="202">
                  <c:v>1.3618438709171168</c:v>
                </c:pt>
                <c:pt idx="203">
                  <c:v>1.3359955989425345</c:v>
                </c:pt>
                <c:pt idx="204">
                  <c:v>1.3254859343729883</c:v>
                </c:pt>
                <c:pt idx="205">
                  <c:v>1.3633591624764714</c:v>
                </c:pt>
                <c:pt idx="206">
                  <c:v>1.3857901773313539</c:v>
                </c:pt>
                <c:pt idx="207">
                  <c:v>1.3979949111574996</c:v>
                </c:pt>
                <c:pt idx="208">
                  <c:v>1.3392070009488681</c:v>
                </c:pt>
                <c:pt idx="209">
                  <c:v>1.3392070009488681</c:v>
                </c:pt>
                <c:pt idx="210">
                  <c:v>1.375136043082168</c:v>
                </c:pt>
                <c:pt idx="211">
                  <c:v>1.3275532407818007</c:v>
                </c:pt>
                <c:pt idx="212">
                  <c:v>1.3504005561690013</c:v>
                </c:pt>
                <c:pt idx="213">
                  <c:v>1.3707734753573573</c:v>
                </c:pt>
                <c:pt idx="214">
                  <c:v>1.4053760664038701</c:v>
                </c:pt>
                <c:pt idx="215">
                  <c:v>1.4362617907126243</c:v>
                </c:pt>
                <c:pt idx="216">
                  <c:v>1.412143301539486</c:v>
                </c:pt>
                <c:pt idx="217">
                  <c:v>1.3902543567849559</c:v>
                </c:pt>
                <c:pt idx="218">
                  <c:v>1.4433972483785733</c:v>
                </c:pt>
                <c:pt idx="219">
                  <c:v>1.4167037894257015</c:v>
                </c:pt>
                <c:pt idx="220">
                  <c:v>1.3867328481514531</c:v>
                </c:pt>
                <c:pt idx="221">
                  <c:v>1.3989292121888393</c:v>
                </c:pt>
                <c:pt idx="222">
                  <c:v>1.4531963915360162</c:v>
                </c:pt>
                <c:pt idx="223">
                  <c:v>1.4138674629050358</c:v>
                </c:pt>
                <c:pt idx="224">
                  <c:v>1.4027596397735813</c:v>
                </c:pt>
                <c:pt idx="225">
                  <c:v>1.4454787058738934</c:v>
                </c:pt>
                <c:pt idx="226">
                  <c:v>1.4702887269816074</c:v>
                </c:pt>
                <c:pt idx="227">
                  <c:v>1.4662318001458878</c:v>
                </c:pt>
                <c:pt idx="228">
                  <c:v>1.4403447713549691</c:v>
                </c:pt>
                <c:pt idx="229">
                  <c:v>1.4493989069436828</c:v>
                </c:pt>
                <c:pt idx="230">
                  <c:v>1.3990047617591512</c:v>
                </c:pt>
                <c:pt idx="231">
                  <c:v>1.4839317175837758</c:v>
                </c:pt>
                <c:pt idx="232">
                  <c:v>1.4922067075010674</c:v>
                </c:pt>
                <c:pt idx="233">
                  <c:v>1.4497509758046037</c:v>
                </c:pt>
                <c:pt idx="234">
                  <c:v>1.4636345304439833</c:v>
                </c:pt>
                <c:pt idx="235">
                  <c:v>1.5195658664529095</c:v>
                </c:pt>
                <c:pt idx="236">
                  <c:v>1.4288444995569523</c:v>
                </c:pt>
                <c:pt idx="237">
                  <c:v>1.5174191381756956</c:v>
                </c:pt>
                <c:pt idx="238">
                  <c:v>1.4811746321094097</c:v>
                </c:pt>
                <c:pt idx="239">
                  <c:v>1.4402786654975712</c:v>
                </c:pt>
                <c:pt idx="240">
                  <c:v>1.4903229209288682</c:v>
                </c:pt>
                <c:pt idx="241">
                  <c:v>1.4491285471870583</c:v>
                </c:pt>
                <c:pt idx="242">
                  <c:v>1.5165962255216543</c:v>
                </c:pt>
                <c:pt idx="243">
                  <c:v>1.4809673265285019</c:v>
                </c:pt>
                <c:pt idx="244">
                  <c:v>1.484505709162439</c:v>
                </c:pt>
                <c:pt idx="245">
                  <c:v>1.5444619835715279</c:v>
                </c:pt>
                <c:pt idx="246">
                  <c:v>1.5444619835715279</c:v>
                </c:pt>
                <c:pt idx="247">
                  <c:v>1.4885258462474449</c:v>
                </c:pt>
                <c:pt idx="248">
                  <c:v>1.4822197272155224</c:v>
                </c:pt>
                <c:pt idx="249">
                  <c:v>1.4922083064214415</c:v>
                </c:pt>
                <c:pt idx="250">
                  <c:v>1.5258358306573263</c:v>
                </c:pt>
                <c:pt idx="251">
                  <c:v>1.4214797978141447</c:v>
                </c:pt>
                <c:pt idx="252">
                  <c:v>1.4472299736339997</c:v>
                </c:pt>
                <c:pt idx="253">
                  <c:v>1.3724492284207701</c:v>
                </c:pt>
                <c:pt idx="254">
                  <c:v>1.4098728955497342</c:v>
                </c:pt>
                <c:pt idx="255">
                  <c:v>1.4275809230380383</c:v>
                </c:pt>
                <c:pt idx="256">
                  <c:v>1.407402429217943</c:v>
                </c:pt>
                <c:pt idx="257">
                  <c:v>1.4192566166813254</c:v>
                </c:pt>
                <c:pt idx="258">
                  <c:v>1.3880388700941824</c:v>
                </c:pt>
                <c:pt idx="259">
                  <c:v>1.3857912154714538</c:v>
                </c:pt>
                <c:pt idx="260">
                  <c:v>1.390044775530078</c:v>
                </c:pt>
                <c:pt idx="261">
                  <c:v>1.4188399315161118</c:v>
                </c:pt>
                <c:pt idx="262">
                  <c:v>1.4019789896918387</c:v>
                </c:pt>
                <c:pt idx="263">
                  <c:v>1.3960455495950694</c:v>
                </c:pt>
                <c:pt idx="264">
                  <c:v>1.3765238248233231</c:v>
                </c:pt>
                <c:pt idx="265">
                  <c:v>1.3958578484170869</c:v>
                </c:pt>
                <c:pt idx="266">
                  <c:v>1.4788596217930181</c:v>
                </c:pt>
                <c:pt idx="267">
                  <c:v>1.4788596217930181</c:v>
                </c:pt>
                <c:pt idx="268">
                  <c:v>1.4302268358016947</c:v>
                </c:pt>
                <c:pt idx="269">
                  <c:v>1.4449522052907025</c:v>
                </c:pt>
                <c:pt idx="270">
                  <c:v>1.3973595547438067</c:v>
                </c:pt>
                <c:pt idx="271">
                  <c:v>1.4563925803018185</c:v>
                </c:pt>
                <c:pt idx="272">
                  <c:v>1.4032972646442787</c:v>
                </c:pt>
                <c:pt idx="273">
                  <c:v>1.3912763514268753</c:v>
                </c:pt>
                <c:pt idx="274">
                  <c:v>1.3871561031966206</c:v>
                </c:pt>
                <c:pt idx="275">
                  <c:v>1.3963132805404066</c:v>
                </c:pt>
                <c:pt idx="276">
                  <c:v>1.4434423545509192</c:v>
                </c:pt>
                <c:pt idx="277">
                  <c:v>1.4252176004618335</c:v>
                </c:pt>
                <c:pt idx="278">
                  <c:v>1.2752984724555763</c:v>
                </c:pt>
                <c:pt idx="279">
                  <c:v>1.2068208073831663</c:v>
                </c:pt>
                <c:pt idx="280">
                  <c:v>1.2524472556299622</c:v>
                </c:pt>
                <c:pt idx="281">
                  <c:v>1.2649956675031926</c:v>
                </c:pt>
                <c:pt idx="282">
                  <c:v>1.2416870490961023</c:v>
                </c:pt>
                <c:pt idx="283">
                  <c:v>1.2318482376022057</c:v>
                </c:pt>
                <c:pt idx="284">
                  <c:v>1.2143660272955057</c:v>
                </c:pt>
                <c:pt idx="285">
                  <c:v>1.1722158061993229</c:v>
                </c:pt>
                <c:pt idx="286">
                  <c:v>1.2345703217738415</c:v>
                </c:pt>
                <c:pt idx="287">
                  <c:v>1.2058609656994008</c:v>
                </c:pt>
                <c:pt idx="288">
                  <c:v>1.349031974298166</c:v>
                </c:pt>
                <c:pt idx="289">
                  <c:v>1.3485532226902881</c:v>
                </c:pt>
                <c:pt idx="290">
                  <c:v>1.4052639031494674</c:v>
                </c:pt>
                <c:pt idx="291">
                  <c:v>1.4107248836313966</c:v>
                </c:pt>
                <c:pt idx="292">
                  <c:v>1.3983649824145301</c:v>
                </c:pt>
                <c:pt idx="293">
                  <c:v>1.3983649824145301</c:v>
                </c:pt>
                <c:pt idx="294">
                  <c:v>1.3745555446435995</c:v>
                </c:pt>
                <c:pt idx="295">
                  <c:v>1.3401352931938257</c:v>
                </c:pt>
                <c:pt idx="296">
                  <c:v>1.4028598210366134</c:v>
                </c:pt>
                <c:pt idx="297">
                  <c:v>1.413746200626937</c:v>
                </c:pt>
                <c:pt idx="298">
                  <c:v>1.4047674060398603</c:v>
                </c:pt>
                <c:pt idx="299">
                  <c:v>1.4102754268281212</c:v>
                </c:pt>
                <c:pt idx="300">
                  <c:v>1.4095417711016662</c:v>
                </c:pt>
                <c:pt idx="301">
                  <c:v>1.4279171236794526</c:v>
                </c:pt>
                <c:pt idx="302">
                  <c:v>1.4672664360218979</c:v>
                </c:pt>
                <c:pt idx="303">
                  <c:v>1.4227409652131613</c:v>
                </c:pt>
                <c:pt idx="304">
                  <c:v>1.3895626942840609</c:v>
                </c:pt>
                <c:pt idx="305">
                  <c:v>1.3705266964640681</c:v>
                </c:pt>
                <c:pt idx="306">
                  <c:v>1.4201060093796789</c:v>
                </c:pt>
                <c:pt idx="307">
                  <c:v>1.3986393180345504</c:v>
                </c:pt>
                <c:pt idx="308">
                  <c:v>1.3967011127495641</c:v>
                </c:pt>
                <c:pt idx="309">
                  <c:v>1.3852215756040926</c:v>
                </c:pt>
                <c:pt idx="310">
                  <c:v>1.3985868970003403</c:v>
                </c:pt>
                <c:pt idx="311">
                  <c:v>1.432065794608183</c:v>
                </c:pt>
                <c:pt idx="312">
                  <c:v>1.4330833103180467</c:v>
                </c:pt>
                <c:pt idx="313">
                  <c:v>1.474881855717675</c:v>
                </c:pt>
                <c:pt idx="314">
                  <c:v>1.4145606323137245</c:v>
                </c:pt>
                <c:pt idx="315">
                  <c:v>1.4734573787387928</c:v>
                </c:pt>
                <c:pt idx="316">
                  <c:v>1.4126786253426622</c:v>
                </c:pt>
                <c:pt idx="317">
                  <c:v>1.4031925366903568</c:v>
                </c:pt>
                <c:pt idx="318">
                  <c:v>1.3968186703471814</c:v>
                </c:pt>
                <c:pt idx="319">
                  <c:v>1.4039701980394521</c:v>
                </c:pt>
                <c:pt idx="320">
                  <c:v>1.4151231915103581</c:v>
                </c:pt>
                <c:pt idx="321">
                  <c:v>1.4254287955330489</c:v>
                </c:pt>
                <c:pt idx="322">
                  <c:v>1.4124181632878554</c:v>
                </c:pt>
                <c:pt idx="323">
                  <c:v>1.3777439618351444</c:v>
                </c:pt>
                <c:pt idx="324">
                  <c:v>1.4308043674251958</c:v>
                </c:pt>
                <c:pt idx="325">
                  <c:v>1.4072085747802836</c:v>
                </c:pt>
                <c:pt idx="326">
                  <c:v>1.3597221153526091</c:v>
                </c:pt>
                <c:pt idx="327">
                  <c:v>1.4239248812308876</c:v>
                </c:pt>
                <c:pt idx="328">
                  <c:v>1.3911708223524433</c:v>
                </c:pt>
                <c:pt idx="329">
                  <c:v>1.4257273748703347</c:v>
                </c:pt>
                <c:pt idx="330">
                  <c:v>1.4250092139917259</c:v>
                </c:pt>
                <c:pt idx="331">
                  <c:v>1.3847900318576221</c:v>
                </c:pt>
                <c:pt idx="332">
                  <c:v>1.5071743396264043</c:v>
                </c:pt>
                <c:pt idx="333">
                  <c:v>1.4928114843002596</c:v>
                </c:pt>
                <c:pt idx="334">
                  <c:v>1.5181264367975902</c:v>
                </c:pt>
                <c:pt idx="335">
                  <c:v>1.5616717344738698</c:v>
                </c:pt>
                <c:pt idx="336">
                  <c:v>1.5367355744571571</c:v>
                </c:pt>
                <c:pt idx="337">
                  <c:v>1.5795166447488749</c:v>
                </c:pt>
                <c:pt idx="338">
                  <c:v>1.4879031265626859</c:v>
                </c:pt>
                <c:pt idx="339">
                  <c:v>1.5093718222359371</c:v>
                </c:pt>
                <c:pt idx="340">
                  <c:v>1.5093718222359371</c:v>
                </c:pt>
                <c:pt idx="341">
                  <c:v>1.4907187184410962</c:v>
                </c:pt>
                <c:pt idx="342">
                  <c:v>1.4878487839883734</c:v>
                </c:pt>
                <c:pt idx="343">
                  <c:v>1.5126797206942739</c:v>
                </c:pt>
                <c:pt idx="344">
                  <c:v>1.4857525929786672</c:v>
                </c:pt>
                <c:pt idx="345">
                  <c:v>1.4320126216454128</c:v>
                </c:pt>
                <c:pt idx="346">
                  <c:v>1.4320038242493474</c:v>
                </c:pt>
                <c:pt idx="347">
                  <c:v>1.4552625927980722</c:v>
                </c:pt>
                <c:pt idx="348">
                  <c:v>1.4400445353768521</c:v>
                </c:pt>
                <c:pt idx="349">
                  <c:v>1.4685074348609786</c:v>
                </c:pt>
                <c:pt idx="350">
                  <c:v>1.4314990341355542</c:v>
                </c:pt>
                <c:pt idx="351">
                  <c:v>1.4044469139786706</c:v>
                </c:pt>
                <c:pt idx="352">
                  <c:v>1.4156922014272217</c:v>
                </c:pt>
                <c:pt idx="353">
                  <c:v>1.5012266366858813</c:v>
                </c:pt>
                <c:pt idx="354">
                  <c:v>1.458741118069171</c:v>
                </c:pt>
                <c:pt idx="355">
                  <c:v>1.4959408200174518</c:v>
                </c:pt>
                <c:pt idx="356">
                  <c:v>1.4484886764578451</c:v>
                </c:pt>
                <c:pt idx="357">
                  <c:v>1.4463025680946437</c:v>
                </c:pt>
                <c:pt idx="358">
                  <c:v>1.425580939656536</c:v>
                </c:pt>
                <c:pt idx="359">
                  <c:v>1.4474145715455575</c:v>
                </c:pt>
                <c:pt idx="360">
                  <c:v>1.3923510794962612</c:v>
                </c:pt>
                <c:pt idx="361">
                  <c:v>1.4075885902150056</c:v>
                </c:pt>
                <c:pt idx="362">
                  <c:v>1.4194076358295136</c:v>
                </c:pt>
                <c:pt idx="363">
                  <c:v>1.4315900824415204</c:v>
                </c:pt>
                <c:pt idx="364">
                  <c:v>1.4315900824415204</c:v>
                </c:pt>
                <c:pt idx="365">
                  <c:v>1.4315900824415204</c:v>
                </c:pt>
                <c:pt idx="366">
                  <c:v>1.4200649418712348</c:v>
                </c:pt>
                <c:pt idx="367">
                  <c:v>1.3826786101341946</c:v>
                </c:pt>
                <c:pt idx="368">
                  <c:v>1.414106999901906</c:v>
                </c:pt>
                <c:pt idx="369">
                  <c:v>1.4104236623355972</c:v>
                </c:pt>
                <c:pt idx="370">
                  <c:v>1.3678392430408335</c:v>
                </c:pt>
                <c:pt idx="371">
                  <c:v>1.4122803220639581</c:v>
                </c:pt>
                <c:pt idx="372">
                  <c:v>1.4099749736164078</c:v>
                </c:pt>
                <c:pt idx="373">
                  <c:v>1.3799399915581267</c:v>
                </c:pt>
                <c:pt idx="374">
                  <c:v>1.3799399915581267</c:v>
                </c:pt>
                <c:pt idx="375">
                  <c:v>1.3799399915581267</c:v>
                </c:pt>
                <c:pt idx="376">
                  <c:v>1.4076437610143209</c:v>
                </c:pt>
                <c:pt idx="377">
                  <c:v>1.3696598772677189</c:v>
                </c:pt>
                <c:pt idx="378">
                  <c:v>1.3919858726762371</c:v>
                </c:pt>
                <c:pt idx="379">
                  <c:v>1.4131943504070361</c:v>
                </c:pt>
                <c:pt idx="380">
                  <c:v>1.4131943504070361</c:v>
                </c:pt>
                <c:pt idx="381">
                  <c:v>1.4131943504070361</c:v>
                </c:pt>
                <c:pt idx="382">
                  <c:v>1.3810061409470544</c:v>
                </c:pt>
                <c:pt idx="383">
                  <c:v>1.356970799096489</c:v>
                </c:pt>
                <c:pt idx="384">
                  <c:v>1.356970799096489</c:v>
                </c:pt>
                <c:pt idx="385">
                  <c:v>1.4024298035303469</c:v>
                </c:pt>
                <c:pt idx="386">
                  <c:v>1.3732836339242607</c:v>
                </c:pt>
                <c:pt idx="387">
                  <c:v>1.4086854219054139</c:v>
                </c:pt>
                <c:pt idx="388">
                  <c:v>1.3641426073932224</c:v>
                </c:pt>
                <c:pt idx="389">
                  <c:v>1.3544678140103013</c:v>
                </c:pt>
                <c:pt idx="390">
                  <c:v>1.3333859369099939</c:v>
                </c:pt>
                <c:pt idx="391">
                  <c:v>1.3527690166581421</c:v>
                </c:pt>
                <c:pt idx="392">
                  <c:v>1.3635721227200222</c:v>
                </c:pt>
                <c:pt idx="393">
                  <c:v>1.3878120704306323</c:v>
                </c:pt>
                <c:pt idx="394">
                  <c:v>1.3693648084910017</c:v>
                </c:pt>
                <c:pt idx="395">
                  <c:v>1.3762072634618856</c:v>
                </c:pt>
                <c:pt idx="396">
                  <c:v>1.4179856855156647</c:v>
                </c:pt>
                <c:pt idx="397">
                  <c:v>1.4184683707277475</c:v>
                </c:pt>
                <c:pt idx="398">
                  <c:v>1.4050389780769876</c:v>
                </c:pt>
                <c:pt idx="399">
                  <c:v>1.3656452118237845</c:v>
                </c:pt>
                <c:pt idx="400">
                  <c:v>1.3829767031118487</c:v>
                </c:pt>
                <c:pt idx="401">
                  <c:v>1.342061628933906</c:v>
                </c:pt>
                <c:pt idx="402">
                  <c:v>1.3162243902619417</c:v>
                </c:pt>
                <c:pt idx="403">
                  <c:v>1.2967647568083416</c:v>
                </c:pt>
                <c:pt idx="404">
                  <c:v>1.3121957243295332</c:v>
                </c:pt>
                <c:pt idx="405">
                  <c:v>1.3625462793440548</c:v>
                </c:pt>
                <c:pt idx="406">
                  <c:v>1.3622908049815976</c:v>
                </c:pt>
                <c:pt idx="407">
                  <c:v>1.3589681718113604</c:v>
                </c:pt>
                <c:pt idx="408">
                  <c:v>1.306770839062136</c:v>
                </c:pt>
                <c:pt idx="409">
                  <c:v>1.3756822986028225</c:v>
                </c:pt>
                <c:pt idx="410">
                  <c:v>1.3587551619264566</c:v>
                </c:pt>
                <c:pt idx="411">
                  <c:v>1.3541019542818074</c:v>
                </c:pt>
                <c:pt idx="412">
                  <c:v>1.3301084441050532</c:v>
                </c:pt>
                <c:pt idx="413">
                  <c:v>1.355021593086037</c:v>
                </c:pt>
                <c:pt idx="414">
                  <c:v>1.3141065979481743</c:v>
                </c:pt>
                <c:pt idx="415">
                  <c:v>1.3594253144292376</c:v>
                </c:pt>
                <c:pt idx="416">
                  <c:v>1.3562495055370607</c:v>
                </c:pt>
                <c:pt idx="417">
                  <c:v>1.3292926974939896</c:v>
                </c:pt>
                <c:pt idx="418">
                  <c:v>1.3431760850716392</c:v>
                </c:pt>
                <c:pt idx="419">
                  <c:v>1.322944439364226</c:v>
                </c:pt>
                <c:pt idx="420">
                  <c:v>1.3430076114178362</c:v>
                </c:pt>
                <c:pt idx="421">
                  <c:v>1.326128851806349</c:v>
                </c:pt>
                <c:pt idx="422">
                  <c:v>1.3379925450847203</c:v>
                </c:pt>
                <c:pt idx="423">
                  <c:v>1.324245134515025</c:v>
                </c:pt>
                <c:pt idx="424">
                  <c:v>1.2880583051069112</c:v>
                </c:pt>
                <c:pt idx="425">
                  <c:v>1.2845718199283824</c:v>
                </c:pt>
                <c:pt idx="426">
                  <c:v>1.2584893540990438</c:v>
                </c:pt>
                <c:pt idx="427">
                  <c:v>1.2874052178868989</c:v>
                </c:pt>
                <c:pt idx="428">
                  <c:v>1.2962066275660855</c:v>
                </c:pt>
                <c:pt idx="429">
                  <c:v>1.3513224990730894</c:v>
                </c:pt>
                <c:pt idx="430">
                  <c:v>1.3567364497758867</c:v>
                </c:pt>
                <c:pt idx="431">
                  <c:v>1.2831255965965118</c:v>
                </c:pt>
                <c:pt idx="432">
                  <c:v>1.303812802252744</c:v>
                </c:pt>
                <c:pt idx="433">
                  <c:v>1.2925985518769423</c:v>
                </c:pt>
                <c:pt idx="434">
                  <c:v>1.4060043442350474</c:v>
                </c:pt>
                <c:pt idx="435">
                  <c:v>1.3513060336106737</c:v>
                </c:pt>
                <c:pt idx="436">
                  <c:v>1.3587849087100263</c:v>
                </c:pt>
                <c:pt idx="437">
                  <c:v>1.4118157392515787</c:v>
                </c:pt>
                <c:pt idx="438">
                  <c:v>1.3910485833871793</c:v>
                </c:pt>
                <c:pt idx="439">
                  <c:v>1.3592893759386548</c:v>
                </c:pt>
                <c:pt idx="440">
                  <c:v>1.3307264804416468</c:v>
                </c:pt>
                <c:pt idx="441">
                  <c:v>1.3546886281335297</c:v>
                </c:pt>
                <c:pt idx="442">
                  <c:v>1.3399398429199323</c:v>
                </c:pt>
                <c:pt idx="443">
                  <c:v>1.3633952984461435</c:v>
                </c:pt>
                <c:pt idx="444">
                  <c:v>1.4158133734642635</c:v>
                </c:pt>
                <c:pt idx="445">
                  <c:v>1.3983012658581722</c:v>
                </c:pt>
                <c:pt idx="446">
                  <c:v>1.3180441002362577</c:v>
                </c:pt>
                <c:pt idx="447">
                  <c:v>1.3771872201338704</c:v>
                </c:pt>
                <c:pt idx="448">
                  <c:v>1.3177507978890657</c:v>
                </c:pt>
                <c:pt idx="449">
                  <c:v>1.2687650044271197</c:v>
                </c:pt>
                <c:pt idx="450">
                  <c:v>1.3397934092197692</c:v>
                </c:pt>
                <c:pt idx="451">
                  <c:v>1.3132747667273332</c:v>
                </c:pt>
                <c:pt idx="452">
                  <c:v>1.3437790163331964</c:v>
                </c:pt>
                <c:pt idx="453">
                  <c:v>1.3447347872914683</c:v>
                </c:pt>
                <c:pt idx="454">
                  <c:v>1.3665253265956423</c:v>
                </c:pt>
                <c:pt idx="455">
                  <c:v>1.3708163546347887</c:v>
                </c:pt>
                <c:pt idx="456">
                  <c:v>1.3391610774314282</c:v>
                </c:pt>
                <c:pt idx="457">
                  <c:v>1.3586069373010987</c:v>
                </c:pt>
                <c:pt idx="458">
                  <c:v>1.4242063301926788</c:v>
                </c:pt>
                <c:pt idx="459">
                  <c:v>1.3989386811003834</c:v>
                </c:pt>
                <c:pt idx="460">
                  <c:v>1.4381499354896716</c:v>
                </c:pt>
                <c:pt idx="461">
                  <c:v>1.4077455221403607</c:v>
                </c:pt>
                <c:pt idx="462">
                  <c:v>1.3772903700377783</c:v>
                </c:pt>
                <c:pt idx="463">
                  <c:v>1.3958189468337268</c:v>
                </c:pt>
                <c:pt idx="464">
                  <c:v>1.3829330841596783</c:v>
                </c:pt>
                <c:pt idx="465">
                  <c:v>1.4516771039800307</c:v>
                </c:pt>
                <c:pt idx="466">
                  <c:v>1.438824178323201</c:v>
                </c:pt>
                <c:pt idx="467">
                  <c:v>1.4284897763112285</c:v>
                </c:pt>
                <c:pt idx="468">
                  <c:v>1.4020159699433365</c:v>
                </c:pt>
                <c:pt idx="469">
                  <c:v>1.4328722188963829</c:v>
                </c:pt>
                <c:pt idx="470">
                  <c:v>1.4516734076712772</c:v>
                </c:pt>
                <c:pt idx="471">
                  <c:v>1.3590812689000915</c:v>
                </c:pt>
                <c:pt idx="472">
                  <c:v>1.3823786984422664</c:v>
                </c:pt>
                <c:pt idx="473">
                  <c:v>1.4300661962543626</c:v>
                </c:pt>
                <c:pt idx="474">
                  <c:v>1.4192972354131319</c:v>
                </c:pt>
                <c:pt idx="475">
                  <c:v>1.3584111363860938</c:v>
                </c:pt>
                <c:pt idx="476">
                  <c:v>1.3549129669210469</c:v>
                </c:pt>
                <c:pt idx="477">
                  <c:v>1.418440787288852</c:v>
                </c:pt>
                <c:pt idx="478">
                  <c:v>1.3912595479456935</c:v>
                </c:pt>
                <c:pt idx="479">
                  <c:v>1.3656744346065048</c:v>
                </c:pt>
                <c:pt idx="480">
                  <c:v>1.4004859756786916</c:v>
                </c:pt>
                <c:pt idx="481">
                  <c:v>1.3706454691720542</c:v>
                </c:pt>
                <c:pt idx="482">
                  <c:v>1.3774435564353316</c:v>
                </c:pt>
                <c:pt idx="483">
                  <c:v>1.3816505715833649</c:v>
                </c:pt>
                <c:pt idx="484">
                  <c:v>1.4532637934971762</c:v>
                </c:pt>
                <c:pt idx="485">
                  <c:v>1.432656432399632</c:v>
                </c:pt>
                <c:pt idx="486">
                  <c:v>1.4362309943925169</c:v>
                </c:pt>
                <c:pt idx="488">
                  <c:v>1.4055703590385618</c:v>
                </c:pt>
                <c:pt idx="489">
                  <c:v>1.3577996855653796</c:v>
                </c:pt>
                <c:pt idx="490">
                  <c:v>1.3870570641238074</c:v>
                </c:pt>
                <c:pt idx="491">
                  <c:v>1.3425840656976322</c:v>
                </c:pt>
                <c:pt idx="492">
                  <c:v>1.3207708011866748</c:v>
                </c:pt>
                <c:pt idx="493">
                  <c:v>1.3108553708996395</c:v>
                </c:pt>
                <c:pt idx="494">
                  <c:v>1.335748496602936</c:v>
                </c:pt>
                <c:pt idx="495">
                  <c:v>1.2944315060474976</c:v>
                </c:pt>
                <c:pt idx="496">
                  <c:v>1.3162081891699771</c:v>
                </c:pt>
                <c:pt idx="497">
                  <c:v>1.3083006154490393</c:v>
                </c:pt>
                <c:pt idx="498">
                  <c:v>1.2581652597848882</c:v>
                </c:pt>
                <c:pt idx="499">
                  <c:v>1.3255762045366453</c:v>
                </c:pt>
                <c:pt idx="500">
                  <c:v>1.2746066915525829</c:v>
                </c:pt>
                <c:pt idx="501">
                  <c:v>1.2395328440968028</c:v>
                </c:pt>
                <c:pt idx="502">
                  <c:v>1.2706276900922533</c:v>
                </c:pt>
                <c:pt idx="503">
                  <c:v>1.3108664799958092</c:v>
                </c:pt>
                <c:pt idx="504">
                  <c:v>1.2421631684163734</c:v>
                </c:pt>
                <c:pt idx="505">
                  <c:v>1.268930186011596</c:v>
                </c:pt>
                <c:pt idx="506">
                  <c:v>1.2303812548250501</c:v>
                </c:pt>
                <c:pt idx="507">
                  <c:v>1.2542123168512402</c:v>
                </c:pt>
                <c:pt idx="508">
                  <c:v>1.2288312751140966</c:v>
                </c:pt>
                <c:pt idx="509">
                  <c:v>1.2943737156968225</c:v>
                </c:pt>
                <c:pt idx="510">
                  <c:v>1.3369674171508525</c:v>
                </c:pt>
                <c:pt idx="511">
                  <c:v>1.26577201161914</c:v>
                </c:pt>
                <c:pt idx="512">
                  <c:v>1.3283061369595652</c:v>
                </c:pt>
                <c:pt idx="513">
                  <c:v>1.3450263920094332</c:v>
                </c:pt>
                <c:pt idx="514">
                  <c:v>1.313212015747717</c:v>
                </c:pt>
                <c:pt idx="515">
                  <c:v>1.3164582384102108</c:v>
                </c:pt>
                <c:pt idx="516">
                  <c:v>1.2855530136037454</c:v>
                </c:pt>
                <c:pt idx="517">
                  <c:v>1.27134334100289</c:v>
                </c:pt>
                <c:pt idx="518">
                  <c:v>1.2462146572977593</c:v>
                </c:pt>
                <c:pt idx="519">
                  <c:v>1.2522907830582346</c:v>
                </c:pt>
                <c:pt idx="520">
                  <c:v>1.2962859118159822</c:v>
                </c:pt>
                <c:pt idx="521">
                  <c:v>1.2471073243177044</c:v>
                </c:pt>
                <c:pt idx="522">
                  <c:v>1.2826493758138766</c:v>
                </c:pt>
                <c:pt idx="523">
                  <c:v>1.3115509386128199</c:v>
                </c:pt>
                <c:pt idx="524">
                  <c:v>1.2952615670789209</c:v>
                </c:pt>
                <c:pt idx="525">
                  <c:v>1.2669233979752441</c:v>
                </c:pt>
                <c:pt idx="526">
                  <c:v>1.2964145224709467</c:v>
                </c:pt>
                <c:pt idx="527">
                  <c:v>1.263606044562442</c:v>
                </c:pt>
                <c:pt idx="528">
                  <c:v>1.2582672150115126</c:v>
                </c:pt>
                <c:pt idx="529">
                  <c:v>1.2930468730891267</c:v>
                </c:pt>
                <c:pt idx="530">
                  <c:v>1.2785555357863252</c:v>
                </c:pt>
                <c:pt idx="531">
                  <c:v>1.2891290256843611</c:v>
                </c:pt>
                <c:pt idx="532">
                  <c:v>1.2834771502335374</c:v>
                </c:pt>
                <c:pt idx="533">
                  <c:v>1.3010048748995342</c:v>
                </c:pt>
                <c:pt idx="534">
                  <c:v>1.2652346658514417</c:v>
                </c:pt>
                <c:pt idx="535">
                  <c:v>1.2698524874268458</c:v>
                </c:pt>
                <c:pt idx="536">
                  <c:v>1.2617542915167137</c:v>
                </c:pt>
                <c:pt idx="537">
                  <c:v>1.2935716422146022</c:v>
                </c:pt>
                <c:pt idx="538">
                  <c:v>1.2260568625261175</c:v>
                </c:pt>
                <c:pt idx="539">
                  <c:v>1.2909537250399936</c:v>
                </c:pt>
                <c:pt idx="540">
                  <c:v>1.3044678937355811</c:v>
                </c:pt>
                <c:pt idx="541">
                  <c:v>1.3412140388854445</c:v>
                </c:pt>
                <c:pt idx="542">
                  <c:v>1.2655226862260021</c:v>
                </c:pt>
                <c:pt idx="543">
                  <c:v>1.3404371048228521</c:v>
                </c:pt>
                <c:pt idx="544">
                  <c:v>1.2662203283871403</c:v>
                </c:pt>
                <c:pt idx="545">
                  <c:v>1.31410828878241</c:v>
                </c:pt>
                <c:pt idx="546">
                  <c:v>1.2910864140549976</c:v>
                </c:pt>
                <c:pt idx="547">
                  <c:v>1.2428898932810455</c:v>
                </c:pt>
                <c:pt idx="549">
                  <c:v>1.2217632376975294</c:v>
                </c:pt>
                <c:pt idx="550">
                  <c:v>1.2252413072290596</c:v>
                </c:pt>
                <c:pt idx="551">
                  <c:v>1.2643538894937967</c:v>
                </c:pt>
                <c:pt idx="552">
                  <c:v>1.2623927016895407</c:v>
                </c:pt>
                <c:pt idx="553">
                  <c:v>1.2767166730257076</c:v>
                </c:pt>
                <c:pt idx="554">
                  <c:v>1.3303260703245043</c:v>
                </c:pt>
                <c:pt idx="555">
                  <c:v>1.2392179782026409</c:v>
                </c:pt>
                <c:pt idx="556">
                  <c:v>1.2343958624660312</c:v>
                </c:pt>
                <c:pt idx="557">
                  <c:v>1.250761197693115</c:v>
                </c:pt>
                <c:pt idx="558">
                  <c:v>1.215775185213547</c:v>
                </c:pt>
                <c:pt idx="559">
                  <c:v>1.2679071851940724</c:v>
                </c:pt>
                <c:pt idx="560">
                  <c:v>1.2531006198805399</c:v>
                </c:pt>
                <c:pt idx="562">
                  <c:v>1.3109149847455859</c:v>
                </c:pt>
                <c:pt idx="563">
                  <c:v>1.3073657455286902</c:v>
                </c:pt>
                <c:pt idx="564">
                  <c:v>1.302219755981556</c:v>
                </c:pt>
                <c:pt idx="565">
                  <c:v>1.2373005052434276</c:v>
                </c:pt>
                <c:pt idx="566">
                  <c:v>1.2697825221475945</c:v>
                </c:pt>
                <c:pt idx="567">
                  <c:v>1.2929373288665977</c:v>
                </c:pt>
                <c:pt idx="568">
                  <c:v>1.2688678545673886</c:v>
                </c:pt>
                <c:pt idx="569">
                  <c:v>1.240243828273502</c:v>
                </c:pt>
                <c:pt idx="570">
                  <c:v>1.218583410830764</c:v>
                </c:pt>
                <c:pt idx="571">
                  <c:v>1.2149799464051572</c:v>
                </c:pt>
                <c:pt idx="572">
                  <c:v>1.2410845837626554</c:v>
                </c:pt>
                <c:pt idx="573">
                  <c:v>1.2196735431014611</c:v>
                </c:pt>
                <c:pt idx="574">
                  <c:v>1.2172981553398361</c:v>
                </c:pt>
                <c:pt idx="575">
                  <c:v>1.238249441584607</c:v>
                </c:pt>
                <c:pt idx="576">
                  <c:v>1.2324108735262664</c:v>
                </c:pt>
                <c:pt idx="577">
                  <c:v>1.2730956017203012</c:v>
                </c:pt>
                <c:pt idx="578">
                  <c:v>1.2430608567518531</c:v>
                </c:pt>
                <c:pt idx="579">
                  <c:v>1.2357497374167477</c:v>
                </c:pt>
                <c:pt idx="580">
                  <c:v>1.2367504602386543</c:v>
                </c:pt>
                <c:pt idx="581">
                  <c:v>1.2311466763792156</c:v>
                </c:pt>
                <c:pt idx="582">
                  <c:v>1.2130626840589334</c:v>
                </c:pt>
                <c:pt idx="583">
                  <c:v>1.2370520871953121</c:v>
                </c:pt>
                <c:pt idx="584">
                  <c:v>1.2455640687227643</c:v>
                </c:pt>
                <c:pt idx="585">
                  <c:v>1.2096851226929746</c:v>
                </c:pt>
                <c:pt idx="586">
                  <c:v>1.1727293242201613</c:v>
                </c:pt>
                <c:pt idx="587">
                  <c:v>1.2478245905031917</c:v>
                </c:pt>
                <c:pt idx="589">
                  <c:v>1.2101345456662407</c:v>
                </c:pt>
                <c:pt idx="590">
                  <c:v>1.2366696587596613</c:v>
                </c:pt>
                <c:pt idx="591">
                  <c:v>1.2390797361472607</c:v>
                </c:pt>
                <c:pt idx="592">
                  <c:v>1.2352817994414582</c:v>
                </c:pt>
                <c:pt idx="593">
                  <c:v>1.2159843389074756</c:v>
                </c:pt>
                <c:pt idx="594">
                  <c:v>1.2143028453000442</c:v>
                </c:pt>
                <c:pt idx="595">
                  <c:v>1.2508852774766308</c:v>
                </c:pt>
                <c:pt idx="596">
                  <c:v>1.2545265773745822</c:v>
                </c:pt>
                <c:pt idx="597">
                  <c:v>1.249689701853576</c:v>
                </c:pt>
                <c:pt idx="599">
                  <c:v>1.2417985645805381</c:v>
                </c:pt>
                <c:pt idx="600">
                  <c:v>1.2237516201504794</c:v>
                </c:pt>
                <c:pt idx="601">
                  <c:v>1.1921517984264178</c:v>
                </c:pt>
                <c:pt idx="602">
                  <c:v>1.2493476089100186</c:v>
                </c:pt>
                <c:pt idx="603">
                  <c:v>1.2284494018883758</c:v>
                </c:pt>
                <c:pt idx="604">
                  <c:v>1.2539263397914087</c:v>
                </c:pt>
                <c:pt idx="605">
                  <c:v>1.255552005100566</c:v>
                </c:pt>
                <c:pt idx="606">
                  <c:v>1.2342985551131438</c:v>
                </c:pt>
                <c:pt idx="607">
                  <c:v>1.2255023237433309</c:v>
                </c:pt>
                <c:pt idx="608">
                  <c:v>1.2297476210697611</c:v>
                </c:pt>
                <c:pt idx="609">
                  <c:v>1.2183078312472355</c:v>
                </c:pt>
                <c:pt idx="610">
                  <c:v>1.2405350916514657</c:v>
                </c:pt>
                <c:pt idx="611">
                  <c:v>1.2097570278039669</c:v>
                </c:pt>
                <c:pt idx="612">
                  <c:v>1.2175040065038143</c:v>
                </c:pt>
                <c:pt idx="613">
                  <c:v>1.2300859027278306</c:v>
                </c:pt>
                <c:pt idx="614">
                  <c:v>1.2490477020229764</c:v>
                </c:pt>
                <c:pt idx="615">
                  <c:v>1.2470185375550702</c:v>
                </c:pt>
                <c:pt idx="616">
                  <c:v>1.2228178342271425</c:v>
                </c:pt>
                <c:pt idx="617">
                  <c:v>1.2614484018440528</c:v>
                </c:pt>
                <c:pt idx="618">
                  <c:v>1.2630360272808943</c:v>
                </c:pt>
                <c:pt idx="619">
                  <c:v>1.2370328873259593</c:v>
                </c:pt>
                <c:pt idx="621">
                  <c:v>1.2313817823743876</c:v>
                </c:pt>
                <c:pt idx="622">
                  <c:v>1.2495744207831039</c:v>
                </c:pt>
                <c:pt idx="623">
                  <c:v>1.2509700286136158</c:v>
                </c:pt>
                <c:pt idx="624">
                  <c:v>1.2696643713366551</c:v>
                </c:pt>
                <c:pt idx="625">
                  <c:v>1.2320807558638061</c:v>
                </c:pt>
                <c:pt idx="626">
                  <c:v>1.2232558932095841</c:v>
                </c:pt>
                <c:pt idx="627">
                  <c:v>1.2298256315531391</c:v>
                </c:pt>
                <c:pt idx="628">
                  <c:v>1.2669940404925761</c:v>
                </c:pt>
                <c:pt idx="629">
                  <c:v>1.2398708132197762</c:v>
                </c:pt>
                <c:pt idx="630">
                  <c:v>1.3137496997686626</c:v>
                </c:pt>
                <c:pt idx="631">
                  <c:v>1.1952053514657961</c:v>
                </c:pt>
                <c:pt idx="632">
                  <c:v>1.2403456343464707</c:v>
                </c:pt>
                <c:pt idx="633">
                  <c:v>1.2368722192697439</c:v>
                </c:pt>
                <c:pt idx="634">
                  <c:v>1.2154290011718563</c:v>
                </c:pt>
                <c:pt idx="635">
                  <c:v>1.2397499822279943</c:v>
                </c:pt>
                <c:pt idx="636">
                  <c:v>1.2148098901011357</c:v>
                </c:pt>
                <c:pt idx="637">
                  <c:v>1.2502917789683186</c:v>
                </c:pt>
                <c:pt idx="638">
                  <c:v>1.2287904364121307</c:v>
                </c:pt>
                <c:pt idx="639">
                  <c:v>1.2368721419646482</c:v>
                </c:pt>
                <c:pt idx="640">
                  <c:v>1.233075252256751</c:v>
                </c:pt>
                <c:pt idx="641">
                  <c:v>1.2012915613885258</c:v>
                </c:pt>
                <c:pt idx="642">
                  <c:v>1.2008472242715935</c:v>
                </c:pt>
                <c:pt idx="643">
                  <c:v>1.2106710754578394</c:v>
                </c:pt>
                <c:pt idx="644">
                  <c:v>1.2384129500020271</c:v>
                </c:pt>
                <c:pt idx="645">
                  <c:v>1.2490939117632229</c:v>
                </c:pt>
                <c:pt idx="646">
                  <c:v>1.1873481575602705</c:v>
                </c:pt>
                <c:pt idx="647">
                  <c:v>1.2311381308069846</c:v>
                </c:pt>
                <c:pt idx="648">
                  <c:v>1.1775393249364716</c:v>
                </c:pt>
                <c:pt idx="649">
                  <c:v>1.2100938867934219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55040"/>
        <c:axId val="342456576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 w="19050">
              <a:solidFill>
                <a:srgbClr val="2E398A"/>
              </a:solidFill>
              <a:prstDash val="solid"/>
            </a:ln>
          </c:spPr>
          <c:marker>
            <c:symbol val="none"/>
          </c:marker>
          <c:cat>
            <c:strRef>
              <c:f>'Rates Summary'!$M$80:$M$729</c:f>
              <c:strCache>
                <c:ptCount val="650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2015-12-30</c:v>
                </c:pt>
                <c:pt idx="210">
                  <c:v>2015-12-31</c:v>
                </c:pt>
                <c:pt idx="211">
                  <c:v>2016-01-04</c:v>
                </c:pt>
                <c:pt idx="212">
                  <c:v>2016-01-05</c:v>
                </c:pt>
                <c:pt idx="213">
                  <c:v>2016-01-06</c:v>
                </c:pt>
                <c:pt idx="214">
                  <c:v>2016-01-07</c:v>
                </c:pt>
                <c:pt idx="215">
                  <c:v>2016-01-08</c:v>
                </c:pt>
                <c:pt idx="216">
                  <c:v>2016-01-11</c:v>
                </c:pt>
                <c:pt idx="217">
                  <c:v>2016-01-12</c:v>
                </c:pt>
                <c:pt idx="218">
                  <c:v>2016-01-13</c:v>
                </c:pt>
                <c:pt idx="219">
                  <c:v>2016-01-14</c:v>
                </c:pt>
                <c:pt idx="220">
                  <c:v>2016-01-15</c:v>
                </c:pt>
                <c:pt idx="221">
                  <c:v>2016-01-19</c:v>
                </c:pt>
                <c:pt idx="222">
                  <c:v>2016-01-20</c:v>
                </c:pt>
                <c:pt idx="223">
                  <c:v>2016-01-21</c:v>
                </c:pt>
                <c:pt idx="224">
                  <c:v>2016-01-22</c:v>
                </c:pt>
                <c:pt idx="225">
                  <c:v>2016-01-25</c:v>
                </c:pt>
                <c:pt idx="226">
                  <c:v>2016-01-26</c:v>
                </c:pt>
                <c:pt idx="227">
                  <c:v>2016-01-27</c:v>
                </c:pt>
                <c:pt idx="228">
                  <c:v>2016-01-28</c:v>
                </c:pt>
                <c:pt idx="229">
                  <c:v>2016-01-29</c:v>
                </c:pt>
                <c:pt idx="230">
                  <c:v>2016-02-01</c:v>
                </c:pt>
                <c:pt idx="231">
                  <c:v>2016-02-02</c:v>
                </c:pt>
                <c:pt idx="232">
                  <c:v>2016-02-03</c:v>
                </c:pt>
                <c:pt idx="233">
                  <c:v>2016-02-04</c:v>
                </c:pt>
                <c:pt idx="234">
                  <c:v>2016-02-05</c:v>
                </c:pt>
                <c:pt idx="235">
                  <c:v>2016-02-08</c:v>
                </c:pt>
                <c:pt idx="236">
                  <c:v>2016-02-09</c:v>
                </c:pt>
                <c:pt idx="237">
                  <c:v>2016-02-10</c:v>
                </c:pt>
                <c:pt idx="238">
                  <c:v>2016-02-11</c:v>
                </c:pt>
                <c:pt idx="239">
                  <c:v>2016-02-12</c:v>
                </c:pt>
                <c:pt idx="240">
                  <c:v>2016-02-16</c:v>
                </c:pt>
                <c:pt idx="241">
                  <c:v>2016-02-17</c:v>
                </c:pt>
                <c:pt idx="242">
                  <c:v>2016-02-18</c:v>
                </c:pt>
                <c:pt idx="243">
                  <c:v>2016-02-19</c:v>
                </c:pt>
                <c:pt idx="244">
                  <c:v>2016-02-22</c:v>
                </c:pt>
                <c:pt idx="245">
                  <c:v>2016-02-23</c:v>
                </c:pt>
                <c:pt idx="246">
                  <c:v>2016-02-24</c:v>
                </c:pt>
                <c:pt idx="247">
                  <c:v>2016-02-25</c:v>
                </c:pt>
                <c:pt idx="248">
                  <c:v>2016-02-26</c:v>
                </c:pt>
                <c:pt idx="249">
                  <c:v>2016-02-29</c:v>
                </c:pt>
                <c:pt idx="250">
                  <c:v>2016-03-01</c:v>
                </c:pt>
                <c:pt idx="251">
                  <c:v>2016-03-02</c:v>
                </c:pt>
                <c:pt idx="252">
                  <c:v>2016-03-03</c:v>
                </c:pt>
                <c:pt idx="253">
                  <c:v>2016-03-04</c:v>
                </c:pt>
                <c:pt idx="254">
                  <c:v>2016-03-07</c:v>
                </c:pt>
                <c:pt idx="255">
                  <c:v>2016-03-08</c:v>
                </c:pt>
                <c:pt idx="256">
                  <c:v>2016-03-09</c:v>
                </c:pt>
                <c:pt idx="257">
                  <c:v>2016-03-10</c:v>
                </c:pt>
                <c:pt idx="258">
                  <c:v>2016-03-11</c:v>
                </c:pt>
                <c:pt idx="259">
                  <c:v>2016-03-14</c:v>
                </c:pt>
                <c:pt idx="260">
                  <c:v>2016-03-15</c:v>
                </c:pt>
                <c:pt idx="261">
                  <c:v>2016-03-16</c:v>
                </c:pt>
                <c:pt idx="262">
                  <c:v>2016-03-17</c:v>
                </c:pt>
                <c:pt idx="263">
                  <c:v>2016-03-18</c:v>
                </c:pt>
                <c:pt idx="264">
                  <c:v>2016-03-21</c:v>
                </c:pt>
                <c:pt idx="265">
                  <c:v>2016-03-22</c:v>
                </c:pt>
                <c:pt idx="266">
                  <c:v>2016-03-23</c:v>
                </c:pt>
                <c:pt idx="267">
                  <c:v>2016-03-24</c:v>
                </c:pt>
                <c:pt idx="268">
                  <c:v>2016-03-28</c:v>
                </c:pt>
                <c:pt idx="269">
                  <c:v>2016-03-29</c:v>
                </c:pt>
                <c:pt idx="270">
                  <c:v>2016-03-30</c:v>
                </c:pt>
                <c:pt idx="271">
                  <c:v>2016-03-31</c:v>
                </c:pt>
                <c:pt idx="272">
                  <c:v>2016-04-01</c:v>
                </c:pt>
                <c:pt idx="273">
                  <c:v>2016-04-04</c:v>
                </c:pt>
                <c:pt idx="274">
                  <c:v>2016-04-05</c:v>
                </c:pt>
                <c:pt idx="275">
                  <c:v>2016-04-06</c:v>
                </c:pt>
                <c:pt idx="276">
                  <c:v>2016-04-07</c:v>
                </c:pt>
                <c:pt idx="277">
                  <c:v>2016-04-08</c:v>
                </c:pt>
                <c:pt idx="278">
                  <c:v>2016-04-11</c:v>
                </c:pt>
                <c:pt idx="279">
                  <c:v>2016-04-12</c:v>
                </c:pt>
                <c:pt idx="280">
                  <c:v>2016-04-13</c:v>
                </c:pt>
                <c:pt idx="281">
                  <c:v>2016-04-14</c:v>
                </c:pt>
                <c:pt idx="282">
                  <c:v>2016-04-15</c:v>
                </c:pt>
                <c:pt idx="283">
                  <c:v>2016-04-18</c:v>
                </c:pt>
                <c:pt idx="284">
                  <c:v>2016-04-19</c:v>
                </c:pt>
                <c:pt idx="285">
                  <c:v>2016-04-20</c:v>
                </c:pt>
                <c:pt idx="286">
                  <c:v>2016-04-21</c:v>
                </c:pt>
                <c:pt idx="287">
                  <c:v>2016-04-22</c:v>
                </c:pt>
                <c:pt idx="288">
                  <c:v>2016-04-25</c:v>
                </c:pt>
                <c:pt idx="289">
                  <c:v>2016-04-26</c:v>
                </c:pt>
                <c:pt idx="290">
                  <c:v>2016-04-27</c:v>
                </c:pt>
                <c:pt idx="291">
                  <c:v>2016-04-28</c:v>
                </c:pt>
                <c:pt idx="292">
                  <c:v>2016-04-29</c:v>
                </c:pt>
                <c:pt idx="293">
                  <c:v>2016-05-02</c:v>
                </c:pt>
                <c:pt idx="294">
                  <c:v>2016-05-03</c:v>
                </c:pt>
                <c:pt idx="295">
                  <c:v>2016-05-04</c:v>
                </c:pt>
                <c:pt idx="296">
                  <c:v>2016-05-05</c:v>
                </c:pt>
                <c:pt idx="297">
                  <c:v>2016-05-06</c:v>
                </c:pt>
                <c:pt idx="298">
                  <c:v>2016-05-09</c:v>
                </c:pt>
                <c:pt idx="299">
                  <c:v>2016-05-10</c:v>
                </c:pt>
                <c:pt idx="300">
                  <c:v>2016-05-11</c:v>
                </c:pt>
                <c:pt idx="301">
                  <c:v>2016-05-12</c:v>
                </c:pt>
                <c:pt idx="302">
                  <c:v>2016-05-13</c:v>
                </c:pt>
                <c:pt idx="303">
                  <c:v>2016-05-16</c:v>
                </c:pt>
                <c:pt idx="304">
                  <c:v>2016-05-17</c:v>
                </c:pt>
                <c:pt idx="305">
                  <c:v>2016-05-18</c:v>
                </c:pt>
                <c:pt idx="306">
                  <c:v>2016-05-19</c:v>
                </c:pt>
                <c:pt idx="307">
                  <c:v>2016-05-20</c:v>
                </c:pt>
                <c:pt idx="308">
                  <c:v>2016-05-23</c:v>
                </c:pt>
                <c:pt idx="309">
                  <c:v>2016-05-24</c:v>
                </c:pt>
                <c:pt idx="310">
                  <c:v>2016-05-25</c:v>
                </c:pt>
                <c:pt idx="311">
                  <c:v>2016-05-26</c:v>
                </c:pt>
                <c:pt idx="312">
                  <c:v>2016-05-27</c:v>
                </c:pt>
                <c:pt idx="313">
                  <c:v>2016-05-31</c:v>
                </c:pt>
                <c:pt idx="314">
                  <c:v>2016-06-01</c:v>
                </c:pt>
                <c:pt idx="315">
                  <c:v>2016-06-02</c:v>
                </c:pt>
                <c:pt idx="316">
                  <c:v>2016-06-03</c:v>
                </c:pt>
                <c:pt idx="317">
                  <c:v>2016-06-06</c:v>
                </c:pt>
                <c:pt idx="318">
                  <c:v>2016-06-07</c:v>
                </c:pt>
                <c:pt idx="319">
                  <c:v>2016-06-08</c:v>
                </c:pt>
                <c:pt idx="320">
                  <c:v>2016-06-09</c:v>
                </c:pt>
                <c:pt idx="321">
                  <c:v>2016-06-10</c:v>
                </c:pt>
                <c:pt idx="322">
                  <c:v>2016-06-13</c:v>
                </c:pt>
                <c:pt idx="323">
                  <c:v>2016-06-14</c:v>
                </c:pt>
                <c:pt idx="324">
                  <c:v>2016-06-15</c:v>
                </c:pt>
                <c:pt idx="325">
                  <c:v>2016-06-16</c:v>
                </c:pt>
                <c:pt idx="326">
                  <c:v>2016-06-17</c:v>
                </c:pt>
                <c:pt idx="327">
                  <c:v>2016-06-20</c:v>
                </c:pt>
                <c:pt idx="328">
                  <c:v>2016-06-21</c:v>
                </c:pt>
                <c:pt idx="329">
                  <c:v>2016-06-22</c:v>
                </c:pt>
                <c:pt idx="330">
                  <c:v>2016-06-23</c:v>
                </c:pt>
                <c:pt idx="331">
                  <c:v>2016-06-24</c:v>
                </c:pt>
                <c:pt idx="332">
                  <c:v>2016-06-27</c:v>
                </c:pt>
                <c:pt idx="333">
                  <c:v>2016-06-28</c:v>
                </c:pt>
                <c:pt idx="334">
                  <c:v>2016-06-29</c:v>
                </c:pt>
                <c:pt idx="335">
                  <c:v>2016-06-30</c:v>
                </c:pt>
                <c:pt idx="336">
                  <c:v>2016-07-01</c:v>
                </c:pt>
                <c:pt idx="337">
                  <c:v>2016-07-05</c:v>
                </c:pt>
                <c:pt idx="338">
                  <c:v>2016-07-06</c:v>
                </c:pt>
                <c:pt idx="339">
                  <c:v>2016-07-07</c:v>
                </c:pt>
                <c:pt idx="340">
                  <c:v>2016-07-08</c:v>
                </c:pt>
                <c:pt idx="341">
                  <c:v>2016-07-11</c:v>
                </c:pt>
                <c:pt idx="342">
                  <c:v>2016-07-12</c:v>
                </c:pt>
                <c:pt idx="343">
                  <c:v>2016-07-13</c:v>
                </c:pt>
                <c:pt idx="344">
                  <c:v>2016-07-14</c:v>
                </c:pt>
                <c:pt idx="345">
                  <c:v>2016-07-15</c:v>
                </c:pt>
                <c:pt idx="346">
                  <c:v>2016-07-18</c:v>
                </c:pt>
                <c:pt idx="347">
                  <c:v>2016-07-19</c:v>
                </c:pt>
                <c:pt idx="348">
                  <c:v>2016-07-20</c:v>
                </c:pt>
                <c:pt idx="349">
                  <c:v>2016-07-21</c:v>
                </c:pt>
                <c:pt idx="350">
                  <c:v>2016-07-22</c:v>
                </c:pt>
                <c:pt idx="351">
                  <c:v>2016-07-25</c:v>
                </c:pt>
                <c:pt idx="352">
                  <c:v>2016-07-26</c:v>
                </c:pt>
                <c:pt idx="353">
                  <c:v>2016-07-27</c:v>
                </c:pt>
                <c:pt idx="354">
                  <c:v>2016-07-28</c:v>
                </c:pt>
                <c:pt idx="355">
                  <c:v>2016-07-29</c:v>
                </c:pt>
                <c:pt idx="356">
                  <c:v>2016-08-01</c:v>
                </c:pt>
                <c:pt idx="357">
                  <c:v>2016-08-02</c:v>
                </c:pt>
                <c:pt idx="358">
                  <c:v>2016-08-03</c:v>
                </c:pt>
                <c:pt idx="359">
                  <c:v>2016-08-04</c:v>
                </c:pt>
                <c:pt idx="360">
                  <c:v>2016-08-05</c:v>
                </c:pt>
                <c:pt idx="361">
                  <c:v>2016-08-08</c:v>
                </c:pt>
                <c:pt idx="362">
                  <c:v>2016-08-09</c:v>
                </c:pt>
                <c:pt idx="363">
                  <c:v>2016-08-10</c:v>
                </c:pt>
                <c:pt idx="364">
                  <c:v>2016-08-11</c:v>
                </c:pt>
                <c:pt idx="365">
                  <c:v>2016-08-12</c:v>
                </c:pt>
                <c:pt idx="366">
                  <c:v>2016-08-15</c:v>
                </c:pt>
                <c:pt idx="367">
                  <c:v>2016-08-16</c:v>
                </c:pt>
                <c:pt idx="368">
                  <c:v>2016-08-17</c:v>
                </c:pt>
                <c:pt idx="369">
                  <c:v>2016-08-18</c:v>
                </c:pt>
                <c:pt idx="370">
                  <c:v>2016-08-19</c:v>
                </c:pt>
                <c:pt idx="371">
                  <c:v>2016-08-22</c:v>
                </c:pt>
                <c:pt idx="372">
                  <c:v>2016-08-23</c:v>
                </c:pt>
                <c:pt idx="373">
                  <c:v>2016-08-24</c:v>
                </c:pt>
                <c:pt idx="374">
                  <c:v>2016-08-25</c:v>
                </c:pt>
                <c:pt idx="375">
                  <c:v>2016-08-26</c:v>
                </c:pt>
                <c:pt idx="376">
                  <c:v>2016-08-29</c:v>
                </c:pt>
                <c:pt idx="377">
                  <c:v>2016-08-30</c:v>
                </c:pt>
                <c:pt idx="378">
                  <c:v>2016-08-31</c:v>
                </c:pt>
                <c:pt idx="379">
                  <c:v>2016-09-01</c:v>
                </c:pt>
                <c:pt idx="380">
                  <c:v>2016-09-02</c:v>
                </c:pt>
                <c:pt idx="381">
                  <c:v>2016-09-06</c:v>
                </c:pt>
                <c:pt idx="382">
                  <c:v>2016-09-07</c:v>
                </c:pt>
                <c:pt idx="383">
                  <c:v>2016-09-08</c:v>
                </c:pt>
                <c:pt idx="384">
                  <c:v>2016-09-09</c:v>
                </c:pt>
                <c:pt idx="385">
                  <c:v>2016-09-12</c:v>
                </c:pt>
                <c:pt idx="386">
                  <c:v>2016-09-13</c:v>
                </c:pt>
                <c:pt idx="387">
                  <c:v>2016-09-14</c:v>
                </c:pt>
                <c:pt idx="388">
                  <c:v>2016-09-15</c:v>
                </c:pt>
                <c:pt idx="389">
                  <c:v>2016-09-16</c:v>
                </c:pt>
                <c:pt idx="390">
                  <c:v>2016-09-19</c:v>
                </c:pt>
                <c:pt idx="391">
                  <c:v>2016-09-20</c:v>
                </c:pt>
                <c:pt idx="392">
                  <c:v>2016-09-21</c:v>
                </c:pt>
                <c:pt idx="393">
                  <c:v>2016-09-22</c:v>
                </c:pt>
                <c:pt idx="394">
                  <c:v>2016-09-23</c:v>
                </c:pt>
                <c:pt idx="395">
                  <c:v>2016-09-26</c:v>
                </c:pt>
                <c:pt idx="396">
                  <c:v>2016-09-27</c:v>
                </c:pt>
                <c:pt idx="397">
                  <c:v>2016-09-28</c:v>
                </c:pt>
                <c:pt idx="398">
                  <c:v>2016-09-29</c:v>
                </c:pt>
                <c:pt idx="399">
                  <c:v>2016-09-30</c:v>
                </c:pt>
                <c:pt idx="400">
                  <c:v>2016-10-03</c:v>
                </c:pt>
                <c:pt idx="401">
                  <c:v>2016-10-04</c:v>
                </c:pt>
                <c:pt idx="402">
                  <c:v>2016-10-05</c:v>
                </c:pt>
                <c:pt idx="403">
                  <c:v>2016-10-06</c:v>
                </c:pt>
                <c:pt idx="404">
                  <c:v>2016-10-07</c:v>
                </c:pt>
                <c:pt idx="405">
                  <c:v>2016-10-11</c:v>
                </c:pt>
                <c:pt idx="406">
                  <c:v>2016-10-12</c:v>
                </c:pt>
                <c:pt idx="407">
                  <c:v>2016-10-13</c:v>
                </c:pt>
                <c:pt idx="408">
                  <c:v>2016-10-14</c:v>
                </c:pt>
                <c:pt idx="409">
                  <c:v>2016-10-17</c:v>
                </c:pt>
                <c:pt idx="410">
                  <c:v>2016-10-18</c:v>
                </c:pt>
                <c:pt idx="411">
                  <c:v>2016-10-19</c:v>
                </c:pt>
                <c:pt idx="412">
                  <c:v>2016-10-20</c:v>
                </c:pt>
                <c:pt idx="413">
                  <c:v>2016-10-21</c:v>
                </c:pt>
                <c:pt idx="414">
                  <c:v>2016-10-24</c:v>
                </c:pt>
                <c:pt idx="415">
                  <c:v>2016-10-25</c:v>
                </c:pt>
                <c:pt idx="416">
                  <c:v>2016-10-26</c:v>
                </c:pt>
                <c:pt idx="417">
                  <c:v>2016-10-27</c:v>
                </c:pt>
                <c:pt idx="418">
                  <c:v>2016-10-28</c:v>
                </c:pt>
                <c:pt idx="419">
                  <c:v>2016-10-31</c:v>
                </c:pt>
                <c:pt idx="420">
                  <c:v>2016-11-01</c:v>
                </c:pt>
                <c:pt idx="421">
                  <c:v>2016-11-02</c:v>
                </c:pt>
                <c:pt idx="422">
                  <c:v>2016-11-03</c:v>
                </c:pt>
                <c:pt idx="423">
                  <c:v>2016-11-04</c:v>
                </c:pt>
                <c:pt idx="424">
                  <c:v>2016-11-07</c:v>
                </c:pt>
                <c:pt idx="425">
                  <c:v>2016-11-08</c:v>
                </c:pt>
                <c:pt idx="426">
                  <c:v>2016-11-09</c:v>
                </c:pt>
                <c:pt idx="427">
                  <c:v>2016-11-10</c:v>
                </c:pt>
                <c:pt idx="428">
                  <c:v>2016-11-14</c:v>
                </c:pt>
                <c:pt idx="429">
                  <c:v>2016-11-15</c:v>
                </c:pt>
                <c:pt idx="430">
                  <c:v>2016-11-16</c:v>
                </c:pt>
                <c:pt idx="431">
                  <c:v>2016-11-17</c:v>
                </c:pt>
                <c:pt idx="432">
                  <c:v>2016-11-18</c:v>
                </c:pt>
                <c:pt idx="433">
                  <c:v>2016-11-21</c:v>
                </c:pt>
                <c:pt idx="434">
                  <c:v>2016-11-22</c:v>
                </c:pt>
                <c:pt idx="435">
                  <c:v>2016-11-23</c:v>
                </c:pt>
                <c:pt idx="436">
                  <c:v>2016-11-25</c:v>
                </c:pt>
                <c:pt idx="437">
                  <c:v>2016-11-28</c:v>
                </c:pt>
                <c:pt idx="438">
                  <c:v>2016-11-29</c:v>
                </c:pt>
                <c:pt idx="439">
                  <c:v>2016-11-30</c:v>
                </c:pt>
                <c:pt idx="440">
                  <c:v>2016-12-01</c:v>
                </c:pt>
                <c:pt idx="441">
                  <c:v>2016-12-02</c:v>
                </c:pt>
                <c:pt idx="442">
                  <c:v>2016-12-05</c:v>
                </c:pt>
                <c:pt idx="443">
                  <c:v>2016-12-06</c:v>
                </c:pt>
                <c:pt idx="444">
                  <c:v>2016-12-07</c:v>
                </c:pt>
                <c:pt idx="445">
                  <c:v>2016-12-08</c:v>
                </c:pt>
                <c:pt idx="446">
                  <c:v>2016-12-09</c:v>
                </c:pt>
                <c:pt idx="447">
                  <c:v>2016-12-12</c:v>
                </c:pt>
                <c:pt idx="448">
                  <c:v>2016-12-13</c:v>
                </c:pt>
                <c:pt idx="449">
                  <c:v>2016-12-14</c:v>
                </c:pt>
                <c:pt idx="450">
                  <c:v>2016-12-15</c:v>
                </c:pt>
                <c:pt idx="451">
                  <c:v>2016-12-16</c:v>
                </c:pt>
                <c:pt idx="452">
                  <c:v>2016-12-19</c:v>
                </c:pt>
                <c:pt idx="453">
                  <c:v>2016-12-20</c:v>
                </c:pt>
                <c:pt idx="454">
                  <c:v>2016-12-21</c:v>
                </c:pt>
                <c:pt idx="455">
                  <c:v>2016-12-22</c:v>
                </c:pt>
                <c:pt idx="456">
                  <c:v>2016-12-23</c:v>
                </c:pt>
                <c:pt idx="457">
                  <c:v>2016-12-27</c:v>
                </c:pt>
                <c:pt idx="458">
                  <c:v>2016-12-28</c:v>
                </c:pt>
                <c:pt idx="459">
                  <c:v>2016-12-29</c:v>
                </c:pt>
                <c:pt idx="460">
                  <c:v>2016-12-30</c:v>
                </c:pt>
                <c:pt idx="461">
                  <c:v>2017-01-03</c:v>
                </c:pt>
                <c:pt idx="462">
                  <c:v>2017-01-04</c:v>
                </c:pt>
                <c:pt idx="463">
                  <c:v>2017-01-05</c:v>
                </c:pt>
                <c:pt idx="464">
                  <c:v>2017-01-06</c:v>
                </c:pt>
                <c:pt idx="465">
                  <c:v>2017-01-09</c:v>
                </c:pt>
                <c:pt idx="466">
                  <c:v>2017-01-10</c:v>
                </c:pt>
                <c:pt idx="467">
                  <c:v>2017-01-11</c:v>
                </c:pt>
                <c:pt idx="468">
                  <c:v>2017-01-12</c:v>
                </c:pt>
                <c:pt idx="469">
                  <c:v>2017-01-13</c:v>
                </c:pt>
                <c:pt idx="470">
                  <c:v>2017-01-17</c:v>
                </c:pt>
                <c:pt idx="471">
                  <c:v>2017-01-18</c:v>
                </c:pt>
                <c:pt idx="472">
                  <c:v>2017-01-19</c:v>
                </c:pt>
                <c:pt idx="473">
                  <c:v>2017-01-20</c:v>
                </c:pt>
                <c:pt idx="474">
                  <c:v>2017-01-23</c:v>
                </c:pt>
                <c:pt idx="475">
                  <c:v>2017-01-24</c:v>
                </c:pt>
                <c:pt idx="476">
                  <c:v>2017-01-25</c:v>
                </c:pt>
                <c:pt idx="477">
                  <c:v>2017-01-26</c:v>
                </c:pt>
                <c:pt idx="478">
                  <c:v>2017-01-27</c:v>
                </c:pt>
                <c:pt idx="479">
                  <c:v>2017-01-30</c:v>
                </c:pt>
                <c:pt idx="480">
                  <c:v>2017-01-31</c:v>
                </c:pt>
                <c:pt idx="481">
                  <c:v>2017-02-01</c:v>
                </c:pt>
                <c:pt idx="482">
                  <c:v>2017-02-02</c:v>
                </c:pt>
                <c:pt idx="483">
                  <c:v>2017-02-03</c:v>
                </c:pt>
                <c:pt idx="484">
                  <c:v>2017-02-06</c:v>
                </c:pt>
                <c:pt idx="485">
                  <c:v>2017-02-07</c:v>
                </c:pt>
                <c:pt idx="486">
                  <c:v>2017-02-08</c:v>
                </c:pt>
                <c:pt idx="487">
                  <c:v>2017-02-09</c:v>
                </c:pt>
                <c:pt idx="488">
                  <c:v>2017-02-10</c:v>
                </c:pt>
                <c:pt idx="489">
                  <c:v>2017-02-13</c:v>
                </c:pt>
                <c:pt idx="490">
                  <c:v>2017-02-14</c:v>
                </c:pt>
                <c:pt idx="491">
                  <c:v>2017-02-15</c:v>
                </c:pt>
                <c:pt idx="492">
                  <c:v>2017-02-16</c:v>
                </c:pt>
                <c:pt idx="493">
                  <c:v>2017-02-17</c:v>
                </c:pt>
                <c:pt idx="494">
                  <c:v>2017-02-21</c:v>
                </c:pt>
                <c:pt idx="495">
                  <c:v>2017-02-22</c:v>
                </c:pt>
                <c:pt idx="496">
                  <c:v>2017-02-23</c:v>
                </c:pt>
                <c:pt idx="497">
                  <c:v>2017-02-24</c:v>
                </c:pt>
                <c:pt idx="498">
                  <c:v>2017-02-27</c:v>
                </c:pt>
                <c:pt idx="499">
                  <c:v>2017-02-28</c:v>
                </c:pt>
                <c:pt idx="500">
                  <c:v>2017-03-01</c:v>
                </c:pt>
                <c:pt idx="501">
                  <c:v>2017-03-02</c:v>
                </c:pt>
                <c:pt idx="502">
                  <c:v>2017-03-03</c:v>
                </c:pt>
                <c:pt idx="503">
                  <c:v>2017-03-06</c:v>
                </c:pt>
                <c:pt idx="504">
                  <c:v>2017-03-07</c:v>
                </c:pt>
                <c:pt idx="505">
                  <c:v>2017-03-08</c:v>
                </c:pt>
                <c:pt idx="506">
                  <c:v>2017-03-09</c:v>
                </c:pt>
                <c:pt idx="507">
                  <c:v>2017-03-10</c:v>
                </c:pt>
                <c:pt idx="508">
                  <c:v>2017-03-13</c:v>
                </c:pt>
                <c:pt idx="509">
                  <c:v>2017-03-14</c:v>
                </c:pt>
                <c:pt idx="510">
                  <c:v>2017-03-15</c:v>
                </c:pt>
                <c:pt idx="511">
                  <c:v>2017-03-16</c:v>
                </c:pt>
                <c:pt idx="512">
                  <c:v>2017-03-17</c:v>
                </c:pt>
                <c:pt idx="513">
                  <c:v>2017-03-20</c:v>
                </c:pt>
                <c:pt idx="514">
                  <c:v>2017-03-21</c:v>
                </c:pt>
                <c:pt idx="515">
                  <c:v>2017-03-22</c:v>
                </c:pt>
                <c:pt idx="516">
                  <c:v>2017-03-23</c:v>
                </c:pt>
                <c:pt idx="517">
                  <c:v>2017-03-24</c:v>
                </c:pt>
                <c:pt idx="518">
                  <c:v>2017-03-27</c:v>
                </c:pt>
                <c:pt idx="519">
                  <c:v>2017-03-28</c:v>
                </c:pt>
                <c:pt idx="520">
                  <c:v>2017-03-29</c:v>
                </c:pt>
                <c:pt idx="521">
                  <c:v>2017-03-30</c:v>
                </c:pt>
                <c:pt idx="522">
                  <c:v>2017-03-31</c:v>
                </c:pt>
                <c:pt idx="523">
                  <c:v>2017-04-03</c:v>
                </c:pt>
                <c:pt idx="524">
                  <c:v>2017-04-04</c:v>
                </c:pt>
                <c:pt idx="525">
                  <c:v>2017-04-05</c:v>
                </c:pt>
                <c:pt idx="526">
                  <c:v>2017-04-06</c:v>
                </c:pt>
                <c:pt idx="527">
                  <c:v>2017-04-07</c:v>
                </c:pt>
                <c:pt idx="528">
                  <c:v>2017-04-10</c:v>
                </c:pt>
                <c:pt idx="529">
                  <c:v>2017-04-11</c:v>
                </c:pt>
                <c:pt idx="530">
                  <c:v>2017-04-12</c:v>
                </c:pt>
                <c:pt idx="531">
                  <c:v>2017-04-13</c:v>
                </c:pt>
                <c:pt idx="532">
                  <c:v>2017-04-17</c:v>
                </c:pt>
                <c:pt idx="533">
                  <c:v>2017-04-18</c:v>
                </c:pt>
                <c:pt idx="534">
                  <c:v>2017-04-19</c:v>
                </c:pt>
                <c:pt idx="535">
                  <c:v>2017-04-20</c:v>
                </c:pt>
                <c:pt idx="536">
                  <c:v>2017-04-21</c:v>
                </c:pt>
                <c:pt idx="537">
                  <c:v>2017-04-24</c:v>
                </c:pt>
                <c:pt idx="538">
                  <c:v>2017-04-25</c:v>
                </c:pt>
                <c:pt idx="539">
                  <c:v>2017-04-26</c:v>
                </c:pt>
                <c:pt idx="540">
                  <c:v>2017-04-27</c:v>
                </c:pt>
                <c:pt idx="541">
                  <c:v>2017-04-28</c:v>
                </c:pt>
                <c:pt idx="542">
                  <c:v>2017-05-01</c:v>
                </c:pt>
                <c:pt idx="543">
                  <c:v>2017-05-02</c:v>
                </c:pt>
                <c:pt idx="544">
                  <c:v>2017-05-03</c:v>
                </c:pt>
                <c:pt idx="545">
                  <c:v>2017-05-04</c:v>
                </c:pt>
                <c:pt idx="546">
                  <c:v>2017-05-05</c:v>
                </c:pt>
                <c:pt idx="547">
                  <c:v>2017-05-08</c:v>
                </c:pt>
                <c:pt idx="548">
                  <c:v>2017-05-09</c:v>
                </c:pt>
                <c:pt idx="549">
                  <c:v>2017-05-10</c:v>
                </c:pt>
                <c:pt idx="550">
                  <c:v>2017-05-11</c:v>
                </c:pt>
                <c:pt idx="551">
                  <c:v>2017-05-12</c:v>
                </c:pt>
                <c:pt idx="552">
                  <c:v>2017-05-15</c:v>
                </c:pt>
                <c:pt idx="553">
                  <c:v>2017-05-16</c:v>
                </c:pt>
                <c:pt idx="554">
                  <c:v>2017-05-17</c:v>
                </c:pt>
                <c:pt idx="555">
                  <c:v>2017-05-18</c:v>
                </c:pt>
                <c:pt idx="556">
                  <c:v>2017-05-19</c:v>
                </c:pt>
                <c:pt idx="557">
                  <c:v>2017-05-22</c:v>
                </c:pt>
                <c:pt idx="558">
                  <c:v>2017-05-23</c:v>
                </c:pt>
                <c:pt idx="559">
                  <c:v>2017-05-24</c:v>
                </c:pt>
                <c:pt idx="560">
                  <c:v>2017-05-25</c:v>
                </c:pt>
                <c:pt idx="561">
                  <c:v>2017-05-26</c:v>
                </c:pt>
                <c:pt idx="562">
                  <c:v>2017-05-30</c:v>
                </c:pt>
                <c:pt idx="563">
                  <c:v>2017-05-31</c:v>
                </c:pt>
                <c:pt idx="564">
                  <c:v>2017-06-01</c:v>
                </c:pt>
                <c:pt idx="565">
                  <c:v>2017-06-02</c:v>
                </c:pt>
                <c:pt idx="566">
                  <c:v>2017-06-05</c:v>
                </c:pt>
                <c:pt idx="567">
                  <c:v>2017-06-06</c:v>
                </c:pt>
                <c:pt idx="568">
                  <c:v>2017-06-07</c:v>
                </c:pt>
                <c:pt idx="569">
                  <c:v>2017-06-08</c:v>
                </c:pt>
                <c:pt idx="570">
                  <c:v>2017-06-09</c:v>
                </c:pt>
                <c:pt idx="571">
                  <c:v>2017-06-12</c:v>
                </c:pt>
                <c:pt idx="572">
                  <c:v>2017-06-13</c:v>
                </c:pt>
                <c:pt idx="573">
                  <c:v>2017-06-14</c:v>
                </c:pt>
                <c:pt idx="574">
                  <c:v>2017-06-15</c:v>
                </c:pt>
                <c:pt idx="575">
                  <c:v>2017-06-16</c:v>
                </c:pt>
                <c:pt idx="576">
                  <c:v>2017-06-19</c:v>
                </c:pt>
                <c:pt idx="577">
                  <c:v>2017-06-20</c:v>
                </c:pt>
                <c:pt idx="578">
                  <c:v>2017-06-21</c:v>
                </c:pt>
                <c:pt idx="579">
                  <c:v>2017-06-22</c:v>
                </c:pt>
                <c:pt idx="580">
                  <c:v>2017-06-23</c:v>
                </c:pt>
                <c:pt idx="581">
                  <c:v>2017-06-26</c:v>
                </c:pt>
                <c:pt idx="582">
                  <c:v>2017-06-27</c:v>
                </c:pt>
                <c:pt idx="583">
                  <c:v>2017-06-28</c:v>
                </c:pt>
                <c:pt idx="584">
                  <c:v>2017-06-29</c:v>
                </c:pt>
                <c:pt idx="585">
                  <c:v>2017-06-30</c:v>
                </c:pt>
                <c:pt idx="586">
                  <c:v>2017-07-03</c:v>
                </c:pt>
                <c:pt idx="587">
                  <c:v>2017-07-05</c:v>
                </c:pt>
                <c:pt idx="588">
                  <c:v>2017-07-06</c:v>
                </c:pt>
                <c:pt idx="589">
                  <c:v>2017-07-07</c:v>
                </c:pt>
                <c:pt idx="590">
                  <c:v>2017-07-10</c:v>
                </c:pt>
                <c:pt idx="591">
                  <c:v>2017-07-11</c:v>
                </c:pt>
                <c:pt idx="592">
                  <c:v>2017-07-12</c:v>
                </c:pt>
                <c:pt idx="593">
                  <c:v>2017-07-13</c:v>
                </c:pt>
                <c:pt idx="594">
                  <c:v>2017-07-14</c:v>
                </c:pt>
                <c:pt idx="595">
                  <c:v>2017-07-17</c:v>
                </c:pt>
                <c:pt idx="596">
                  <c:v>2017-07-18</c:v>
                </c:pt>
                <c:pt idx="597">
                  <c:v>2017-07-19</c:v>
                </c:pt>
                <c:pt idx="598">
                  <c:v>2017-07-20</c:v>
                </c:pt>
                <c:pt idx="599">
                  <c:v>2017-07-21</c:v>
                </c:pt>
                <c:pt idx="600">
                  <c:v>2017-07-24</c:v>
                </c:pt>
                <c:pt idx="601">
                  <c:v>2017-07-25</c:v>
                </c:pt>
                <c:pt idx="602">
                  <c:v>2017-07-26</c:v>
                </c:pt>
                <c:pt idx="603">
                  <c:v>2017-07-27</c:v>
                </c:pt>
                <c:pt idx="604">
                  <c:v>2017-07-28</c:v>
                </c:pt>
                <c:pt idx="605">
                  <c:v>2017-07-31</c:v>
                </c:pt>
                <c:pt idx="606">
                  <c:v>2017-08-01</c:v>
                </c:pt>
                <c:pt idx="607">
                  <c:v>2017-08-02</c:v>
                </c:pt>
                <c:pt idx="608">
                  <c:v>2017-08-03</c:v>
                </c:pt>
                <c:pt idx="609">
                  <c:v>2017-08-04</c:v>
                </c:pt>
                <c:pt idx="610">
                  <c:v>2017-08-07</c:v>
                </c:pt>
                <c:pt idx="611">
                  <c:v>2017-08-08</c:v>
                </c:pt>
                <c:pt idx="612">
                  <c:v>2017-08-09</c:v>
                </c:pt>
                <c:pt idx="613">
                  <c:v>2017-08-10</c:v>
                </c:pt>
                <c:pt idx="614">
                  <c:v>2017-08-11</c:v>
                </c:pt>
                <c:pt idx="615">
                  <c:v>2017-08-14</c:v>
                </c:pt>
                <c:pt idx="616">
                  <c:v>2017-08-15</c:v>
                </c:pt>
                <c:pt idx="617">
                  <c:v>2017-08-16</c:v>
                </c:pt>
                <c:pt idx="618">
                  <c:v>2017-08-17</c:v>
                </c:pt>
                <c:pt idx="619">
                  <c:v>2017-08-18</c:v>
                </c:pt>
                <c:pt idx="620">
                  <c:v>2017-08-21</c:v>
                </c:pt>
                <c:pt idx="621">
                  <c:v>2017-08-22</c:v>
                </c:pt>
                <c:pt idx="622">
                  <c:v>2017-08-23</c:v>
                </c:pt>
                <c:pt idx="623">
                  <c:v>2017-08-24</c:v>
                </c:pt>
                <c:pt idx="624">
                  <c:v>2017-08-25</c:v>
                </c:pt>
                <c:pt idx="625">
                  <c:v>2017-08-28</c:v>
                </c:pt>
                <c:pt idx="626">
                  <c:v>2017-08-29</c:v>
                </c:pt>
                <c:pt idx="627">
                  <c:v>2017-08-30</c:v>
                </c:pt>
                <c:pt idx="628">
                  <c:v>2017-08-31</c:v>
                </c:pt>
                <c:pt idx="629">
                  <c:v>2017-09-01</c:v>
                </c:pt>
                <c:pt idx="630">
                  <c:v>2017-09-05</c:v>
                </c:pt>
                <c:pt idx="631">
                  <c:v>2017-09-06</c:v>
                </c:pt>
                <c:pt idx="632">
                  <c:v>2017-09-07</c:v>
                </c:pt>
                <c:pt idx="633">
                  <c:v>2017-09-08</c:v>
                </c:pt>
                <c:pt idx="634">
                  <c:v>2017-09-11</c:v>
                </c:pt>
                <c:pt idx="635">
                  <c:v>2017-09-12</c:v>
                </c:pt>
                <c:pt idx="636">
                  <c:v>2017-09-13</c:v>
                </c:pt>
                <c:pt idx="637">
                  <c:v>2017-09-14</c:v>
                </c:pt>
                <c:pt idx="638">
                  <c:v>2017-09-15</c:v>
                </c:pt>
                <c:pt idx="639">
                  <c:v>2017-09-18</c:v>
                </c:pt>
                <c:pt idx="640">
                  <c:v>2017-09-19</c:v>
                </c:pt>
                <c:pt idx="641">
                  <c:v>2017-09-20</c:v>
                </c:pt>
                <c:pt idx="642">
                  <c:v>2017-09-21</c:v>
                </c:pt>
                <c:pt idx="643">
                  <c:v>2017-09-22</c:v>
                </c:pt>
                <c:pt idx="644">
                  <c:v>2017-09-25</c:v>
                </c:pt>
                <c:pt idx="645">
                  <c:v>2017-09-26</c:v>
                </c:pt>
                <c:pt idx="646">
                  <c:v>2017-09-27</c:v>
                </c:pt>
                <c:pt idx="647">
                  <c:v>2017-09-28</c:v>
                </c:pt>
                <c:pt idx="648">
                  <c:v>2017-09-29</c:v>
                </c:pt>
                <c:pt idx="649">
                  <c:v>2017-10-02</c:v>
                </c:pt>
              </c:strCache>
            </c:strRef>
          </c:cat>
          <c:val>
            <c:numRef>
              <c:f>'Rates Summary'!$N$80:$N$729</c:f>
              <c:numCache>
                <c:formatCode>General</c:formatCode>
                <c:ptCount val="650"/>
                <c:pt idx="0">
                  <c:v>2.8341999400292899</c:v>
                </c:pt>
                <c:pt idx="1">
                  <c:v>2.8241837227534399</c:v>
                </c:pt>
                <c:pt idx="2">
                  <c:v>2.81556157497667</c:v>
                </c:pt>
                <c:pt idx="3">
                  <c:v>2.9303170109018999</c:v>
                </c:pt>
                <c:pt idx="4">
                  <c:v>2.90222752352993</c:v>
                </c:pt>
                <c:pt idx="5">
                  <c:v>2.84635033680676</c:v>
                </c:pt>
                <c:pt idx="6">
                  <c:v>2.8278353033181198</c:v>
                </c:pt>
                <c:pt idx="7">
                  <c:v>2.8138191102539798</c:v>
                </c:pt>
                <c:pt idx="8">
                  <c:v>2.8315057491425</c:v>
                </c:pt>
                <c:pt idx="9">
                  <c:v>2.8241768518279202</c:v>
                </c:pt>
                <c:pt idx="10">
                  <c:v>2.79584100930466</c:v>
                </c:pt>
                <c:pt idx="11">
                  <c:v>2.6928489030954199</c:v>
                </c:pt>
                <c:pt idx="12">
                  <c:v>2.70955656376128</c:v>
                </c:pt>
                <c:pt idx="13">
                  <c:v>2.6717729385436999</c:v>
                </c:pt>
                <c:pt idx="14">
                  <c:v>2.6575094779916602</c:v>
                </c:pt>
                <c:pt idx="15">
                  <c:v>2.60984671554638</c:v>
                </c:pt>
                <c:pt idx="16">
                  <c:v>2.6641693960453199</c:v>
                </c:pt>
                <c:pt idx="17">
                  <c:v>2.7519990602785001</c:v>
                </c:pt>
                <c:pt idx="18">
                  <c:v>2.6934832462996599</c:v>
                </c:pt>
                <c:pt idx="19">
                  <c:v>2.6906214304432701</c:v>
                </c:pt>
                <c:pt idx="20">
                  <c:v>2.66103516127894</c:v>
                </c:pt>
                <c:pt idx="21">
                  <c:v>2.5992657753902901</c:v>
                </c:pt>
                <c:pt idx="22">
                  <c:v>2.6512826680006101</c:v>
                </c:pt>
                <c:pt idx="23">
                  <c:v>2.5908884215358099</c:v>
                </c:pt>
                <c:pt idx="24">
                  <c:v>2.63391710374052</c:v>
                </c:pt>
                <c:pt idx="25">
                  <c:v>2.6287824588785198</c:v>
                </c:pt>
                <c:pt idx="26">
                  <c:v>2.62032151165119</c:v>
                </c:pt>
                <c:pt idx="27">
                  <c:v>2.6476582784281</c:v>
                </c:pt>
                <c:pt idx="28">
                  <c:v>2.6673945625319102</c:v>
                </c:pt>
                <c:pt idx="29">
                  <c:v>2.64134045041691</c:v>
                </c:pt>
                <c:pt idx="30">
                  <c:v>2.5968587672613901</c:v>
                </c:pt>
                <c:pt idx="31">
                  <c:v>2.58469358456979</c:v>
                </c:pt>
                <c:pt idx="32">
                  <c:v>2.5759029417987498</c:v>
                </c:pt>
                <c:pt idx="33">
                  <c:v>2.56712042045777</c:v>
                </c:pt>
                <c:pt idx="34">
                  <c:v>2.59858921707026</c:v>
                </c:pt>
                <c:pt idx="35">
                  <c:v>2.62252108008507</c:v>
                </c:pt>
                <c:pt idx="36">
                  <c:v>2.6753264137467299</c:v>
                </c:pt>
                <c:pt idx="37">
                  <c:v>2.6562875815293401</c:v>
                </c:pt>
                <c:pt idx="38">
                  <c:v>2.62955921776924</c:v>
                </c:pt>
                <c:pt idx="39">
                  <c:v>2.6437338504186898</c:v>
                </c:pt>
                <c:pt idx="40">
                  <c:v>2.6991414546305501</c:v>
                </c:pt>
                <c:pt idx="41">
                  <c:v>2.7467458715573199</c:v>
                </c:pt>
                <c:pt idx="42">
                  <c:v>2.7480147229669498</c:v>
                </c:pt>
                <c:pt idx="43">
                  <c:v>2.8064099070641602</c:v>
                </c:pt>
                <c:pt idx="44">
                  <c:v>2.8416760056146502</c:v>
                </c:pt>
                <c:pt idx="45">
                  <c:v>2.8756484754346898</c:v>
                </c:pt>
                <c:pt idx="46">
                  <c:v>2.91930519695658</c:v>
                </c:pt>
                <c:pt idx="47">
                  <c:v>2.86177796804412</c:v>
                </c:pt>
                <c:pt idx="48">
                  <c:v>2.8101076932532698</c:v>
                </c:pt>
                <c:pt idx="49">
                  <c:v>2.9199815904284798</c:v>
                </c:pt>
                <c:pt idx="50">
                  <c:v>2.9362897451124002</c:v>
                </c:pt>
                <c:pt idx="51">
                  <c:v>2.9586092652733198</c:v>
                </c:pt>
                <c:pt idx="52">
                  <c:v>2.9068905487933598</c:v>
                </c:pt>
                <c:pt idx="53">
                  <c:v>2.82631669904023</c:v>
                </c:pt>
                <c:pt idx="54">
                  <c:v>2.8896799307946499</c:v>
                </c:pt>
                <c:pt idx="55">
                  <c:v>2.9214483553786899</c:v>
                </c:pt>
                <c:pt idx="56">
                  <c:v>2.9102623265110599</c:v>
                </c:pt>
                <c:pt idx="57">
                  <c:v>2.8599760435846102</c:v>
                </c:pt>
                <c:pt idx="58">
                  <c:v>2.8915210158303699</c:v>
                </c:pt>
                <c:pt idx="59">
                  <c:v>2.8500704386135798</c:v>
                </c:pt>
                <c:pt idx="60">
                  <c:v>2.8460665334928898</c:v>
                </c:pt>
                <c:pt idx="61">
                  <c:v>2.8413672152174398</c:v>
                </c:pt>
                <c:pt idx="62">
                  <c:v>2.8125589424365498</c:v>
                </c:pt>
                <c:pt idx="63">
                  <c:v>2.8873082715202201</c:v>
                </c:pt>
                <c:pt idx="64">
                  <c:v>2.96123512742628</c:v>
                </c:pt>
                <c:pt idx="65">
                  <c:v>3.0744144315737501</c:v>
                </c:pt>
                <c:pt idx="66">
                  <c:v>3.0256748636149999</c:v>
                </c:pt>
                <c:pt idx="67">
                  <c:v>3.1185389251118698</c:v>
                </c:pt>
                <c:pt idx="68">
                  <c:v>3.0852280715370801</c:v>
                </c:pt>
                <c:pt idx="69">
                  <c:v>3.1292995796246399</c:v>
                </c:pt>
                <c:pt idx="70">
                  <c:v>3.1773446759928401</c:v>
                </c:pt>
                <c:pt idx="71">
                  <c:v>3.0761153132050598</c:v>
                </c:pt>
                <c:pt idx="72">
                  <c:v>3.0919401279735599</c:v>
                </c:pt>
                <c:pt idx="73">
                  <c:v>3.0848485059502999</c:v>
                </c:pt>
                <c:pt idx="74">
                  <c:v>3.0537402902567599</c:v>
                </c:pt>
                <c:pt idx="75">
                  <c:v>3.03216152423493</c:v>
                </c:pt>
                <c:pt idx="76">
                  <c:v>3.0468019127231698</c:v>
                </c:pt>
                <c:pt idx="77">
                  <c:v>2.9822174038917302</c:v>
                </c:pt>
                <c:pt idx="78">
                  <c:v>3.0761568887156101</c:v>
                </c:pt>
                <c:pt idx="79">
                  <c:v>3.1219045210798799</c:v>
                </c:pt>
                <c:pt idx="80">
                  <c:v>3.0912606104251101</c:v>
                </c:pt>
                <c:pt idx="81">
                  <c:v>3.1158923075545402</c:v>
                </c:pt>
                <c:pt idx="82">
                  <c:v>3.2022687944333499</c:v>
                </c:pt>
                <c:pt idx="83">
                  <c:v>3.0851869199683102</c:v>
                </c:pt>
                <c:pt idx="84">
                  <c:v>3.0732804432921599</c:v>
                </c:pt>
                <c:pt idx="85">
                  <c:v>3.16276525236256</c:v>
                </c:pt>
                <c:pt idx="86">
                  <c:v>3.1329453977786899</c:v>
                </c:pt>
                <c:pt idx="87">
                  <c:v>3.0409627195865201</c:v>
                </c:pt>
                <c:pt idx="88">
                  <c:v>3.00985191194196</c:v>
                </c:pt>
                <c:pt idx="89">
                  <c:v>2.9791453962399599</c:v>
                </c:pt>
                <c:pt idx="90">
                  <c:v>3.0519928057207899</c:v>
                </c:pt>
                <c:pt idx="91">
                  <c:v>3.1469144966257199</c:v>
                </c:pt>
                <c:pt idx="92">
                  <c:v>3.1440801611331</c:v>
                </c:pt>
                <c:pt idx="93">
                  <c:v>3.1081065530197201</c:v>
                </c:pt>
                <c:pt idx="94">
                  <c:v>3.0651881254767099</c:v>
                </c:pt>
                <c:pt idx="95">
                  <c:v>3.0642370952529001</c:v>
                </c:pt>
                <c:pt idx="96">
                  <c:v>3.0508649511892498</c:v>
                </c:pt>
                <c:pt idx="97">
                  <c:v>3.07026860246684</c:v>
                </c:pt>
                <c:pt idx="98">
                  <c:v>3.04099858929172</c:v>
                </c:pt>
                <c:pt idx="99">
                  <c:v>3.0272722743659699</c:v>
                </c:pt>
                <c:pt idx="100">
                  <c:v>3.00152435884748</c:v>
                </c:pt>
                <c:pt idx="101">
                  <c:v>3.00880742941581</c:v>
                </c:pt>
                <c:pt idx="102">
                  <c:v>2.9768819813504899</c:v>
                </c:pt>
                <c:pt idx="103">
                  <c:v>2.9700273705701301</c:v>
                </c:pt>
                <c:pt idx="104">
                  <c:v>2.9952166878972601</c:v>
                </c:pt>
                <c:pt idx="105">
                  <c:v>2.9944455468035298</c:v>
                </c:pt>
                <c:pt idx="106">
                  <c:v>2.9155081259623699</c:v>
                </c:pt>
                <c:pt idx="107">
                  <c:v>2.8859588833612699</c:v>
                </c:pt>
                <c:pt idx="108">
                  <c:v>2.9592567116727899</c:v>
                </c:pt>
                <c:pt idx="109">
                  <c:v>3.0089114844805001</c:v>
                </c:pt>
                <c:pt idx="110">
                  <c:v>2.9719648499802398</c:v>
                </c:pt>
                <c:pt idx="111">
                  <c:v>2.92350190324946</c:v>
                </c:pt>
                <c:pt idx="112">
                  <c:v>2.9753003706109098</c:v>
                </c:pt>
                <c:pt idx="113">
                  <c:v>2.8894517792115599</c:v>
                </c:pt>
                <c:pt idx="114">
                  <c:v>2.8863432484098199</c:v>
                </c:pt>
                <c:pt idx="115">
                  <c:v>2.94154866689746</c:v>
                </c:pt>
                <c:pt idx="116">
                  <c:v>2.9622833477952701</c:v>
                </c:pt>
                <c:pt idx="117">
                  <c:v>2.9357435322539001</c:v>
                </c:pt>
                <c:pt idx="118">
                  <c:v>2.9596582925735899</c:v>
                </c:pt>
                <c:pt idx="119">
                  <c:v>2.8898853758214198</c:v>
                </c:pt>
                <c:pt idx="120">
                  <c:v>2.85986737962509</c:v>
                </c:pt>
                <c:pt idx="121">
                  <c:v>2.8344803887664098</c:v>
                </c:pt>
                <c:pt idx="122">
                  <c:v>2.79004351105465</c:v>
                </c:pt>
                <c:pt idx="123">
                  <c:v>2.9080768711615201</c:v>
                </c:pt>
                <c:pt idx="124">
                  <c:v>2.9117942461472701</c:v>
                </c:pt>
                <c:pt idx="125">
                  <c:v>2.9085457311755398</c:v>
                </c:pt>
                <c:pt idx="126">
                  <c:v>2.9130814289562301</c:v>
                </c:pt>
                <c:pt idx="127">
                  <c:v>2.9344470402340699</c:v>
                </c:pt>
                <c:pt idx="128">
                  <c:v>2.9096799662845698</c:v>
                </c:pt>
                <c:pt idx="129">
                  <c:v>2.9358931445910401</c:v>
                </c:pt>
                <c:pt idx="130">
                  <c:v>2.90498942377981</c:v>
                </c:pt>
                <c:pt idx="131">
                  <c:v>2.8787744272910301</c:v>
                </c:pt>
                <c:pt idx="132">
                  <c:v>2.9185627226684798</c:v>
                </c:pt>
                <c:pt idx="133">
                  <c:v>2.9027513521030701</c:v>
                </c:pt>
                <c:pt idx="134">
                  <c:v>2.9327229891480799</c:v>
                </c:pt>
                <c:pt idx="135">
                  <c:v>2.9154645829543302</c:v>
                </c:pt>
                <c:pt idx="136">
                  <c:v>2.90800506731745</c:v>
                </c:pt>
                <c:pt idx="137">
                  <c:v>2.9912109118513701</c:v>
                </c:pt>
                <c:pt idx="138">
                  <c:v>2.9926621611582802</c:v>
                </c:pt>
                <c:pt idx="139">
                  <c:v>2.8946199392202701</c:v>
                </c:pt>
                <c:pt idx="140">
                  <c:v>2.8362882018725202</c:v>
                </c:pt>
                <c:pt idx="141">
                  <c:v>2.91486476009828</c:v>
                </c:pt>
                <c:pt idx="142">
                  <c:v>2.8594352216235301</c:v>
                </c:pt>
                <c:pt idx="143">
                  <c:v>2.8734950564364601</c:v>
                </c:pt>
                <c:pt idx="144">
                  <c:v>2.8712695086990299</c:v>
                </c:pt>
                <c:pt idx="145">
                  <c:v>2.8987506443333801</c:v>
                </c:pt>
                <c:pt idx="146">
                  <c:v>2.8546348135519901</c:v>
                </c:pt>
                <c:pt idx="147">
                  <c:v>2.8124515814242899</c:v>
                </c:pt>
                <c:pt idx="148">
                  <c:v>2.8018988061488499</c:v>
                </c:pt>
                <c:pt idx="149">
                  <c:v>2.7784102270308701</c:v>
                </c:pt>
                <c:pt idx="150">
                  <c:v>2.7296334551710499</c:v>
                </c:pt>
                <c:pt idx="151">
                  <c:v>2.7734212235563001</c:v>
                </c:pt>
                <c:pt idx="152">
                  <c:v>2.7570320859498798</c:v>
                </c:pt>
                <c:pt idx="153">
                  <c:v>2.77010275743095</c:v>
                </c:pt>
                <c:pt idx="154">
                  <c:v>2.81486937200697</c:v>
                </c:pt>
                <c:pt idx="155">
                  <c:v>2.8165675160693602</c:v>
                </c:pt>
                <c:pt idx="156">
                  <c:v>2.7891999400544001</c:v>
                </c:pt>
                <c:pt idx="157">
                  <c:v>2.7081035827114999</c:v>
                </c:pt>
                <c:pt idx="158">
                  <c:v>2.73044392273518</c:v>
                </c:pt>
                <c:pt idx="159">
                  <c:v>2.7334728347211201</c:v>
                </c:pt>
                <c:pt idx="160">
                  <c:v>2.7352021596982001</c:v>
                </c:pt>
                <c:pt idx="161">
                  <c:v>2.7729349961757701</c:v>
                </c:pt>
                <c:pt idx="162">
                  <c:v>2.7446763066937101</c:v>
                </c:pt>
                <c:pt idx="163">
                  <c:v>2.7173642653119501</c:v>
                </c:pt>
                <c:pt idx="164">
                  <c:v>2.77127537293183</c:v>
                </c:pt>
                <c:pt idx="165">
                  <c:v>2.7558575864349502</c:v>
                </c:pt>
                <c:pt idx="166">
                  <c:v>2.7239833090670502</c:v>
                </c:pt>
                <c:pt idx="167">
                  <c:v>2.7958120452124602</c:v>
                </c:pt>
                <c:pt idx="168">
                  <c:v>2.8760429870518398</c:v>
                </c:pt>
                <c:pt idx="169">
                  <c:v>2.8444181025455899</c:v>
                </c:pt>
                <c:pt idx="170">
                  <c:v>2.8650468207927799</c:v>
                </c:pt>
                <c:pt idx="171">
                  <c:v>2.8982983852453801</c:v>
                </c:pt>
                <c:pt idx="172">
                  <c:v>2.9340630334667899</c:v>
                </c:pt>
                <c:pt idx="173">
                  <c:v>2.9388026853832501</c:v>
                </c:pt>
                <c:pt idx="174">
                  <c:v>3.0126979954339599</c:v>
                </c:pt>
                <c:pt idx="175">
                  <c:v>3.0394713990433302</c:v>
                </c:pt>
                <c:pt idx="176">
                  <c:v>3.0240881034818901</c:v>
                </c:pt>
                <c:pt idx="177">
                  <c:v>3.0415503408748101</c:v>
                </c:pt>
                <c:pt idx="178">
                  <c:v>3.0032203766891601</c:v>
                </c:pt>
                <c:pt idx="179">
                  <c:v>2.9962349476624799</c:v>
                </c:pt>
                <c:pt idx="180">
                  <c:v>2.9829487992520902</c:v>
                </c:pt>
                <c:pt idx="181">
                  <c:v>2.97922271147955</c:v>
                </c:pt>
                <c:pt idx="182">
                  <c:v>2.9567440380932299</c:v>
                </c:pt>
                <c:pt idx="183">
                  <c:v>2.9778815410804498</c:v>
                </c:pt>
                <c:pt idx="184">
                  <c:v>2.9783756626827098</c:v>
                </c:pt>
                <c:pt idx="185">
                  <c:v>2.9726150604600501</c:v>
                </c:pt>
                <c:pt idx="186">
                  <c:v>2.9699990408330801</c:v>
                </c:pt>
                <c:pt idx="187">
                  <c:v>2.9627998266716902</c:v>
                </c:pt>
                <c:pt idx="188">
                  <c:v>2.9474672658602201</c:v>
                </c:pt>
                <c:pt idx="189">
                  <c:v>2.8947298491443201</c:v>
                </c:pt>
                <c:pt idx="190">
                  <c:v>2.9165593470462001</c:v>
                </c:pt>
                <c:pt idx="191">
                  <c:v>3.0544306669029599</c:v>
                </c:pt>
                <c:pt idx="192">
                  <c:v>2.9966381834712199</c:v>
                </c:pt>
                <c:pt idx="193">
                  <c:v>2.9498986890501602</c:v>
                </c:pt>
                <c:pt idx="194">
                  <c:v>2.97492729888162</c:v>
                </c:pt>
                <c:pt idx="195">
                  <c:v>2.9584562580557998</c:v>
                </c:pt>
                <c:pt idx="196">
                  <c:v>2.9975278287112799</c:v>
                </c:pt>
                <c:pt idx="197">
                  <c:v>2.93038775773327</c:v>
                </c:pt>
                <c:pt idx="198">
                  <c:v>2.9956917661864102</c:v>
                </c:pt>
                <c:pt idx="199">
                  <c:v>3.0277544715368299</c:v>
                </c:pt>
                <c:pt idx="200">
                  <c:v>3.0337070171743399</c:v>
                </c:pt>
                <c:pt idx="201">
                  <c:v>2.9938542795846499</c:v>
                </c:pt>
                <c:pt idx="202">
                  <c:v>2.9654454819851401</c:v>
                </c:pt>
                <c:pt idx="203">
                  <c:v>2.9731174036640602</c:v>
                </c:pt>
                <c:pt idx="204">
                  <c:v>3.0177597197552002</c:v>
                </c:pt>
                <c:pt idx="205">
                  <c:v>3.0426080275796101</c:v>
                </c:pt>
                <c:pt idx="206">
                  <c:v>3.0275766664066102</c:v>
                </c:pt>
                <c:pt idx="207">
                  <c:v>3.0029644484734299</c:v>
                </c:pt>
                <c:pt idx="208">
                  <c:v>3.05738829293283</c:v>
                </c:pt>
                <c:pt idx="209">
                  <c:v>3.0484600868524701</c:v>
                </c:pt>
                <c:pt idx="210">
                  <c:v>3.0053894082817201</c:v>
                </c:pt>
                <c:pt idx="211">
                  <c:v>2.993452685197</c:v>
                </c:pt>
                <c:pt idx="212">
                  <c:v>2.99513727920968</c:v>
                </c:pt>
                <c:pt idx="213">
                  <c:v>2.9334005201837599</c:v>
                </c:pt>
                <c:pt idx="214">
                  <c:v>2.9119506998989602</c:v>
                </c:pt>
                <c:pt idx="215">
                  <c:v>2.88545680781831</c:v>
                </c:pt>
                <c:pt idx="216">
                  <c:v>2.8978342309890999</c:v>
                </c:pt>
                <c:pt idx="217">
                  <c:v>2.8424738889513801</c:v>
                </c:pt>
                <c:pt idx="218">
                  <c:v>2.8127941632470699</c:v>
                </c:pt>
                <c:pt idx="219">
                  <c:v>2.82567876803239</c:v>
                </c:pt>
                <c:pt idx="220">
                  <c:v>2.78255799649583</c:v>
                </c:pt>
                <c:pt idx="221">
                  <c:v>2.78837847860318</c:v>
                </c:pt>
                <c:pt idx="222">
                  <c:v>2.7399955828051801</c:v>
                </c:pt>
                <c:pt idx="223">
                  <c:v>2.7634717888750999</c:v>
                </c:pt>
                <c:pt idx="224">
                  <c:v>2.7884908118762199</c:v>
                </c:pt>
                <c:pt idx="225">
                  <c:v>2.7702129413051901</c:v>
                </c:pt>
                <c:pt idx="226">
                  <c:v>2.7316832790579499</c:v>
                </c:pt>
                <c:pt idx="227">
                  <c:v>2.73574020589367</c:v>
                </c:pt>
                <c:pt idx="228">
                  <c:v>2.70685241961761</c:v>
                </c:pt>
                <c:pt idx="229">
                  <c:v>2.6475345232254401</c:v>
                </c:pt>
                <c:pt idx="230">
                  <c:v>2.7082747576934199</c:v>
                </c:pt>
                <c:pt idx="231">
                  <c:v>2.6172888132357301</c:v>
                </c:pt>
                <c:pt idx="232">
                  <c:v>2.6150928157028002</c:v>
                </c:pt>
                <c:pt idx="233">
                  <c:v>2.6195226711190198</c:v>
                </c:pt>
                <c:pt idx="234">
                  <c:v>2.6103236546711099</c:v>
                </c:pt>
                <c:pt idx="235">
                  <c:v>2.5303433230650998</c:v>
                </c:pt>
                <c:pt idx="236">
                  <c:v>2.5047286028973201</c:v>
                </c:pt>
                <c:pt idx="237">
                  <c:v>2.4821302759437298</c:v>
                </c:pt>
                <c:pt idx="238">
                  <c:v>2.42881647726065</c:v>
                </c:pt>
                <c:pt idx="239">
                  <c:v>2.5557387123841</c:v>
                </c:pt>
                <c:pt idx="240">
                  <c:v>2.5621450125099101</c:v>
                </c:pt>
                <c:pt idx="241">
                  <c:v>2.60333938625172</c:v>
                </c:pt>
                <c:pt idx="242">
                  <c:v>2.5443053522825401</c:v>
                </c:pt>
                <c:pt idx="243">
                  <c:v>2.5449659922268899</c:v>
                </c:pt>
                <c:pt idx="244">
                  <c:v>2.5540295471269099</c:v>
                </c:pt>
                <c:pt idx="245">
                  <c:v>2.5356667445590699</c:v>
                </c:pt>
                <c:pt idx="246">
                  <c:v>2.5165312715175401</c:v>
                </c:pt>
                <c:pt idx="247">
                  <c:v>2.4936082120119001</c:v>
                </c:pt>
                <c:pt idx="248">
                  <c:v>2.5559111404476602</c:v>
                </c:pt>
                <c:pt idx="249">
                  <c:v>2.52735457322752</c:v>
                </c:pt>
                <c:pt idx="250">
                  <c:v>2.6160113869012802</c:v>
                </c:pt>
                <c:pt idx="251">
                  <c:v>2.6371866759210301</c:v>
                </c:pt>
                <c:pt idx="252">
                  <c:v>2.6040316185117298</c:v>
                </c:pt>
                <c:pt idx="253">
                  <c:v>2.6456437130167698</c:v>
                </c:pt>
                <c:pt idx="254">
                  <c:v>2.6797159507930601</c:v>
                </c:pt>
                <c:pt idx="255">
                  <c:v>2.6318246797468499</c:v>
                </c:pt>
                <c:pt idx="256">
                  <c:v>2.6993160821671598</c:v>
                </c:pt>
                <c:pt idx="257">
                  <c:v>2.7087001450916599</c:v>
                </c:pt>
                <c:pt idx="258">
                  <c:v>2.7411857736504301</c:v>
                </c:pt>
                <c:pt idx="259">
                  <c:v>2.7302113432602999</c:v>
                </c:pt>
                <c:pt idx="260">
                  <c:v>2.7488667702223699</c:v>
                </c:pt>
                <c:pt idx="261">
                  <c:v>2.6989079918651599</c:v>
                </c:pt>
                <c:pt idx="262">
                  <c:v>2.6507645211895499</c:v>
                </c:pt>
                <c:pt idx="263">
                  <c:v>2.6443435040904602</c:v>
                </c:pt>
                <c:pt idx="264">
                  <c:v>2.6999804416345499</c:v>
                </c:pt>
                <c:pt idx="265">
                  <c:v>2.7181679952198698</c:v>
                </c:pt>
                <c:pt idx="266">
                  <c:v>2.66584672213606</c:v>
                </c:pt>
                <c:pt idx="267">
                  <c:v>2.6924441854195602</c:v>
                </c:pt>
                <c:pt idx="268">
                  <c:v>2.6784573232198698</c:v>
                </c:pt>
                <c:pt idx="269">
                  <c:v>2.5818538340504298</c:v>
                </c:pt>
                <c:pt idx="270">
                  <c:v>2.5932132712975302</c:v>
                </c:pt>
                <c:pt idx="271">
                  <c:v>2.5397621553493499</c:v>
                </c:pt>
                <c:pt idx="272">
                  <c:v>2.5354129105946002</c:v>
                </c:pt>
                <c:pt idx="273">
                  <c:v>2.5272030973588802</c:v>
                </c:pt>
                <c:pt idx="274">
                  <c:v>2.49044583951994</c:v>
                </c:pt>
                <c:pt idx="275">
                  <c:v>2.5206676223705302</c:v>
                </c:pt>
                <c:pt idx="276">
                  <c:v>2.47278907327191</c:v>
                </c:pt>
                <c:pt idx="277">
                  <c:v>2.47640548535824</c:v>
                </c:pt>
                <c:pt idx="278">
                  <c:v>2.4761946977279501</c:v>
                </c:pt>
                <c:pt idx="279">
                  <c:v>2.52514420347971</c:v>
                </c:pt>
                <c:pt idx="280">
                  <c:v>2.5121043496510298</c:v>
                </c:pt>
                <c:pt idx="281">
                  <c:v>2.5130719329869802</c:v>
                </c:pt>
                <c:pt idx="282">
                  <c:v>2.50830487739315</c:v>
                </c:pt>
                <c:pt idx="283">
                  <c:v>2.5181131981013598</c:v>
                </c:pt>
                <c:pt idx="284">
                  <c:v>2.5437168006359601</c:v>
                </c:pt>
                <c:pt idx="285">
                  <c:v>2.6250547369401902</c:v>
                </c:pt>
                <c:pt idx="286">
                  <c:v>2.6404764057609502</c:v>
                </c:pt>
                <c:pt idx="287">
                  <c:v>2.6550245016792</c:v>
                </c:pt>
                <c:pt idx="288">
                  <c:v>2.6615233310635298</c:v>
                </c:pt>
                <c:pt idx="289">
                  <c:v>2.6761661289504999</c:v>
                </c:pt>
                <c:pt idx="290">
                  <c:v>2.6300132369593099</c:v>
                </c:pt>
                <c:pt idx="291">
                  <c:v>2.5822903724603399</c:v>
                </c:pt>
                <c:pt idx="292">
                  <c:v>2.5646426996598599</c:v>
                </c:pt>
                <c:pt idx="293">
                  <c:v>2.6083213948699102</c:v>
                </c:pt>
                <c:pt idx="294">
                  <c:v>2.5475265739167301</c:v>
                </c:pt>
                <c:pt idx="295">
                  <c:v>2.55214527077672</c:v>
                </c:pt>
                <c:pt idx="296">
                  <c:v>2.5164663859594998</c:v>
                </c:pt>
                <c:pt idx="297">
                  <c:v>2.5169224725100698</c:v>
                </c:pt>
                <c:pt idx="298">
                  <c:v>2.5026837288081998</c:v>
                </c:pt>
                <c:pt idx="299">
                  <c:v>2.5182072919323999</c:v>
                </c:pt>
                <c:pt idx="300">
                  <c:v>2.5137546946134099</c:v>
                </c:pt>
                <c:pt idx="301">
                  <c:v>2.5257961096675898</c:v>
                </c:pt>
                <c:pt idx="302">
                  <c:v>2.4834878565514402</c:v>
                </c:pt>
                <c:pt idx="303">
                  <c:v>2.5243153261906799</c:v>
                </c:pt>
                <c:pt idx="304">
                  <c:v>2.5507411556917998</c:v>
                </c:pt>
                <c:pt idx="305">
                  <c:v>2.6588027556734102</c:v>
                </c:pt>
                <c:pt idx="306">
                  <c:v>2.61087975726997</c:v>
                </c:pt>
                <c:pt idx="307">
                  <c:v>2.6144990771795702</c:v>
                </c:pt>
                <c:pt idx="308">
                  <c:v>2.6073788484172402</c:v>
                </c:pt>
                <c:pt idx="309">
                  <c:v>2.6240146186215201</c:v>
                </c:pt>
                <c:pt idx="310">
                  <c:v>2.6451164330337602</c:v>
                </c:pt>
                <c:pt idx="311">
                  <c:v>2.59920787607486</c:v>
                </c:pt>
                <c:pt idx="312">
                  <c:v>2.6025934291599802</c:v>
                </c:pt>
                <c:pt idx="313">
                  <c:v>2.5912536258674699</c:v>
                </c:pt>
                <c:pt idx="314">
                  <c:v>2.6061508171936398</c:v>
                </c:pt>
                <c:pt idx="315">
                  <c:v>2.5951614206570599</c:v>
                </c:pt>
                <c:pt idx="316">
                  <c:v>2.50110738001568</c:v>
                </c:pt>
                <c:pt idx="317">
                  <c:v>2.50890733570674</c:v>
                </c:pt>
                <c:pt idx="318">
                  <c:v>2.5084011199927301</c:v>
                </c:pt>
                <c:pt idx="319">
                  <c:v>2.5005077726390401</c:v>
                </c:pt>
                <c:pt idx="320">
                  <c:v>2.4857330932558601</c:v>
                </c:pt>
                <c:pt idx="321">
                  <c:v>2.4694934611032302</c:v>
                </c:pt>
                <c:pt idx="322">
                  <c:v>2.45908468763596</c:v>
                </c:pt>
                <c:pt idx="323">
                  <c:v>2.46769011076751</c:v>
                </c:pt>
                <c:pt idx="324">
                  <c:v>2.45037012960805</c:v>
                </c:pt>
                <c:pt idx="325">
                  <c:v>2.4315261347107602</c:v>
                </c:pt>
                <c:pt idx="326">
                  <c:v>2.47900822312821</c:v>
                </c:pt>
                <c:pt idx="327">
                  <c:v>2.50328408923819</c:v>
                </c:pt>
                <c:pt idx="328">
                  <c:v>2.5153297074650598</c:v>
                </c:pt>
                <c:pt idx="329">
                  <c:v>2.51044994669209</c:v>
                </c:pt>
                <c:pt idx="330">
                  <c:v>2.5328661525509899</c:v>
                </c:pt>
                <c:pt idx="331">
                  <c:v>2.42238784637689</c:v>
                </c:pt>
                <c:pt idx="332">
                  <c:v>2.28975271762293</c:v>
                </c:pt>
                <c:pt idx="333">
                  <c:v>2.2924928729045799</c:v>
                </c:pt>
                <c:pt idx="334">
                  <c:v>2.2865529695176998</c:v>
                </c:pt>
                <c:pt idx="335">
                  <c:v>2.2474863691242</c:v>
                </c:pt>
                <c:pt idx="336">
                  <c:v>2.2397995226071998</c:v>
                </c:pt>
                <c:pt idx="337">
                  <c:v>2.1596234413025202</c:v>
                </c:pt>
                <c:pt idx="338">
                  <c:v>2.19882717699562</c:v>
                </c:pt>
                <c:pt idx="339">
                  <c:v>2.2327355208775002</c:v>
                </c:pt>
                <c:pt idx="340">
                  <c:v>2.22171317291324</c:v>
                </c:pt>
                <c:pt idx="341">
                  <c:v>2.2498836736013899</c:v>
                </c:pt>
                <c:pt idx="342">
                  <c:v>2.3035973514028201</c:v>
                </c:pt>
                <c:pt idx="343">
                  <c:v>2.2780835111266402</c:v>
                </c:pt>
                <c:pt idx="344">
                  <c:v>2.3132728669173401</c:v>
                </c:pt>
                <c:pt idx="345">
                  <c:v>2.3587572487332702</c:v>
                </c:pt>
                <c:pt idx="346">
                  <c:v>2.3547084525242998</c:v>
                </c:pt>
                <c:pt idx="347">
                  <c:v>2.3280330351195899</c:v>
                </c:pt>
                <c:pt idx="348">
                  <c:v>2.34677807026147</c:v>
                </c:pt>
                <c:pt idx="349">
                  <c:v>2.3508657378420699</c:v>
                </c:pt>
                <c:pt idx="350">
                  <c:v>2.3723679310859498</c:v>
                </c:pt>
                <c:pt idx="351">
                  <c:v>2.3827340297619202</c:v>
                </c:pt>
                <c:pt idx="352">
                  <c:v>2.3913145424010498</c:v>
                </c:pt>
                <c:pt idx="353">
                  <c:v>2.3415396621578699</c:v>
                </c:pt>
                <c:pt idx="354">
                  <c:v>2.3214949111864098</c:v>
                </c:pt>
                <c:pt idx="355">
                  <c:v>2.2658760705109899</c:v>
                </c:pt>
                <c:pt idx="356">
                  <c:v>2.2903256966230399</c:v>
                </c:pt>
                <c:pt idx="357">
                  <c:v>2.3285237865503698</c:v>
                </c:pt>
                <c:pt idx="358">
                  <c:v>2.3355292606834301</c:v>
                </c:pt>
                <c:pt idx="359">
                  <c:v>2.2962196436559199</c:v>
                </c:pt>
                <c:pt idx="360">
                  <c:v>2.36176289703742</c:v>
                </c:pt>
                <c:pt idx="361">
                  <c:v>2.3691281963665198</c:v>
                </c:pt>
                <c:pt idx="362">
                  <c:v>2.33119047788963</c:v>
                </c:pt>
                <c:pt idx="363">
                  <c:v>2.2940770499801002</c:v>
                </c:pt>
                <c:pt idx="364">
                  <c:v>2.3497760407358701</c:v>
                </c:pt>
                <c:pt idx="365">
                  <c:v>2.31461753479971</c:v>
                </c:pt>
                <c:pt idx="366">
                  <c:v>2.34200914311478</c:v>
                </c:pt>
                <c:pt idx="367">
                  <c:v>2.35874720795284</c:v>
                </c:pt>
                <c:pt idx="368">
                  <c:v>2.34960598186067</c:v>
                </c:pt>
                <c:pt idx="369">
                  <c:v>2.32201570653978</c:v>
                </c:pt>
                <c:pt idx="370">
                  <c:v>2.3744079472292099</c:v>
                </c:pt>
                <c:pt idx="371">
                  <c:v>2.35076611353908</c:v>
                </c:pt>
                <c:pt idx="372">
                  <c:v>2.34539470834196</c:v>
                </c:pt>
                <c:pt idx="373">
                  <c:v>2.3488178258811199</c:v>
                </c:pt>
                <c:pt idx="374">
                  <c:v>2.35475537195207</c:v>
                </c:pt>
                <c:pt idx="375">
                  <c:v>2.3971487906373001</c:v>
                </c:pt>
                <c:pt idx="376">
                  <c:v>2.3636791601900198</c:v>
                </c:pt>
                <c:pt idx="377">
                  <c:v>2.3673893775366199</c:v>
                </c:pt>
                <c:pt idx="378">
                  <c:v>2.3666135397931098</c:v>
                </c:pt>
                <c:pt idx="379">
                  <c:v>2.3803157009582701</c:v>
                </c:pt>
                <c:pt idx="380">
                  <c:v>2.3963402358760302</c:v>
                </c:pt>
                <c:pt idx="381">
                  <c:v>2.3497707860559398</c:v>
                </c:pt>
                <c:pt idx="382">
                  <c:v>2.3452158200023101</c:v>
                </c:pt>
                <c:pt idx="383">
                  <c:v>2.3842872829241002</c:v>
                </c:pt>
                <c:pt idx="384">
                  <c:v>2.4473125668689599</c:v>
                </c:pt>
                <c:pt idx="385">
                  <c:v>2.44286053650336</c:v>
                </c:pt>
                <c:pt idx="386">
                  <c:v>2.4759496030778601</c:v>
                </c:pt>
                <c:pt idx="387">
                  <c:v>2.44524956278855</c:v>
                </c:pt>
                <c:pt idx="388">
                  <c:v>2.45404364191142</c:v>
                </c:pt>
                <c:pt idx="389">
                  <c:v>2.45470500500842</c:v>
                </c:pt>
                <c:pt idx="390">
                  <c:v>2.4705200282403998</c:v>
                </c:pt>
                <c:pt idx="391">
                  <c:v>2.4677434570547199</c:v>
                </c:pt>
                <c:pt idx="392">
                  <c:v>2.4472298243210799</c:v>
                </c:pt>
                <c:pt idx="393">
                  <c:v>2.4229898766104698</c:v>
                </c:pt>
                <c:pt idx="394">
                  <c:v>2.35417709036851</c:v>
                </c:pt>
                <c:pt idx="395">
                  <c:v>2.3204598577200901</c:v>
                </c:pt>
                <c:pt idx="396">
                  <c:v>2.3036095465699198</c:v>
                </c:pt>
                <c:pt idx="397">
                  <c:v>2.3175565245512799</c:v>
                </c:pt>
                <c:pt idx="398">
                  <c:v>2.3157936267169901</c:v>
                </c:pt>
                <c:pt idx="399">
                  <c:v>2.3450247275103502</c:v>
                </c:pt>
                <c:pt idx="400">
                  <c:v>2.3593230360377899</c:v>
                </c:pt>
                <c:pt idx="401">
                  <c:v>2.4007367882510802</c:v>
                </c:pt>
                <c:pt idx="402">
                  <c:v>2.4230964984502701</c:v>
                </c:pt>
                <c:pt idx="403">
                  <c:v>2.4425561319038702</c:v>
                </c:pt>
                <c:pt idx="404">
                  <c:v>2.4494735846374298</c:v>
                </c:pt>
                <c:pt idx="405">
                  <c:v>2.4735241202306701</c:v>
                </c:pt>
                <c:pt idx="406">
                  <c:v>2.49089475229058</c:v>
                </c:pt>
                <c:pt idx="407">
                  <c:v>2.4566708605099099</c:v>
                </c:pt>
                <c:pt idx="408">
                  <c:v>2.5031538447013899</c:v>
                </c:pt>
                <c:pt idx="409">
                  <c:v>2.48665049817154</c:v>
                </c:pt>
                <c:pt idx="410">
                  <c:v>2.46551867128733</c:v>
                </c:pt>
                <c:pt idx="411">
                  <c:v>2.4639577006004401</c:v>
                </c:pt>
                <c:pt idx="412">
                  <c:v>2.45827138639036</c:v>
                </c:pt>
                <c:pt idx="413">
                  <c:v>2.4486777045586599</c:v>
                </c:pt>
                <c:pt idx="414">
                  <c:v>2.46526496945889</c:v>
                </c:pt>
                <c:pt idx="415">
                  <c:v>2.4661306434007502</c:v>
                </c:pt>
                <c:pt idx="416">
                  <c:v>2.4860574973773799</c:v>
                </c:pt>
                <c:pt idx="417">
                  <c:v>2.5299104688545802</c:v>
                </c:pt>
                <c:pt idx="418">
                  <c:v>2.53316437266355</c:v>
                </c:pt>
                <c:pt idx="419">
                  <c:v>2.5336094696522</c:v>
                </c:pt>
                <c:pt idx="420">
                  <c:v>2.5296440225789101</c:v>
                </c:pt>
                <c:pt idx="421">
                  <c:v>2.52426864553397</c:v>
                </c:pt>
                <c:pt idx="422">
                  <c:v>2.53251832650023</c:v>
                </c:pt>
                <c:pt idx="423">
                  <c:v>2.5169810735830902</c:v>
                </c:pt>
                <c:pt idx="424">
                  <c:v>2.5437510721177499</c:v>
                </c:pt>
                <c:pt idx="425">
                  <c:v>2.5815492501069399</c:v>
                </c:pt>
                <c:pt idx="426">
                  <c:v>2.7578334689679198</c:v>
                </c:pt>
                <c:pt idx="427">
                  <c:v>2.8203429128505602</c:v>
                </c:pt>
                <c:pt idx="428">
                  <c:v>2.9518507510638798</c:v>
                </c:pt>
                <c:pt idx="429">
                  <c:v>2.938815281358</c:v>
                </c:pt>
                <c:pt idx="430">
                  <c:v>2.9180541697648699</c:v>
                </c:pt>
                <c:pt idx="431">
                  <c:v>2.9579353811966902</c:v>
                </c:pt>
                <c:pt idx="432">
                  <c:v>3.03169131774919</c:v>
                </c:pt>
                <c:pt idx="433">
                  <c:v>3.0422928996340901</c:v>
                </c:pt>
                <c:pt idx="434">
                  <c:v>3.0253759468796799</c:v>
                </c:pt>
                <c:pt idx="435">
                  <c:v>3.0811413392722198</c:v>
                </c:pt>
                <c:pt idx="436">
                  <c:v>3.1125235634348298</c:v>
                </c:pt>
                <c:pt idx="437">
                  <c:v>3.0232721749517699</c:v>
                </c:pt>
                <c:pt idx="438">
                  <c:v>3.0032104294376101</c:v>
                </c:pt>
                <c:pt idx="439">
                  <c:v>3.0600031389564002</c:v>
                </c:pt>
                <c:pt idx="440">
                  <c:v>3.13599610528588</c:v>
                </c:pt>
                <c:pt idx="441">
                  <c:v>3.0833533421517099</c:v>
                </c:pt>
                <c:pt idx="442">
                  <c:v>3.0836284241838401</c:v>
                </c:pt>
                <c:pt idx="443">
                  <c:v>3.0839441300707402</c:v>
                </c:pt>
                <c:pt idx="444">
                  <c:v>3.0288108885972802</c:v>
                </c:pt>
                <c:pt idx="445">
                  <c:v>3.05722705621156</c:v>
                </c:pt>
                <c:pt idx="446">
                  <c:v>3.1428652362036398</c:v>
                </c:pt>
                <c:pt idx="447">
                  <c:v>3.1502344995912401</c:v>
                </c:pt>
                <c:pt idx="448">
                  <c:v>3.1621575354435998</c:v>
                </c:pt>
                <c:pt idx="449">
                  <c:v>3.2178280594971298</c:v>
                </c:pt>
                <c:pt idx="450">
                  <c:v>3.3050524395001402</c:v>
                </c:pt>
                <c:pt idx="451">
                  <c:v>3.3305211408689099</c:v>
                </c:pt>
                <c:pt idx="452">
                  <c:v>3.2735630913423499</c:v>
                </c:pt>
                <c:pt idx="453">
                  <c:v>3.2884025896165299</c:v>
                </c:pt>
                <c:pt idx="454">
                  <c:v>3.25892031354691</c:v>
                </c:pt>
                <c:pt idx="455">
                  <c:v>3.2544954518988001</c:v>
                </c:pt>
                <c:pt idx="456">
                  <c:v>3.25541429686829</c:v>
                </c:pt>
                <c:pt idx="457">
                  <c:v>3.2725828232051102</c:v>
                </c:pt>
                <c:pt idx="458">
                  <c:v>3.2082776514321698</c:v>
                </c:pt>
                <c:pt idx="459">
                  <c:v>3.1554338932112498</c:v>
                </c:pt>
                <c:pt idx="460">
                  <c:v>3.0949306211781802</c:v>
                </c:pt>
                <c:pt idx="461">
                  <c:v>3.1214715085485301</c:v>
                </c:pt>
                <c:pt idx="462">
                  <c:v>3.1384996351244299</c:v>
                </c:pt>
                <c:pt idx="463">
                  <c:v>3.0451114987111199</c:v>
                </c:pt>
                <c:pt idx="464">
                  <c:v>3.1031472109984501</c:v>
                </c:pt>
                <c:pt idx="465">
                  <c:v>3.0761940067362201</c:v>
                </c:pt>
                <c:pt idx="466">
                  <c:v>3.0731891921219798</c:v>
                </c:pt>
                <c:pt idx="467">
                  <c:v>3.05308577181211</c:v>
                </c:pt>
                <c:pt idx="468">
                  <c:v>3.0490468852483001</c:v>
                </c:pt>
                <c:pt idx="469">
                  <c:v>3.0821770129948698</c:v>
                </c:pt>
                <c:pt idx="470">
                  <c:v>3.03783768226076</c:v>
                </c:pt>
                <c:pt idx="471">
                  <c:v>3.1230464878989399</c:v>
                </c:pt>
                <c:pt idx="472">
                  <c:v>3.1861069346241799</c:v>
                </c:pt>
                <c:pt idx="473">
                  <c:v>3.1835668268230601</c:v>
                </c:pt>
                <c:pt idx="474">
                  <c:v>3.11336724887106</c:v>
                </c:pt>
                <c:pt idx="475">
                  <c:v>3.1829132943818701</c:v>
                </c:pt>
                <c:pt idx="476">
                  <c:v>3.2322949335607598</c:v>
                </c:pt>
                <c:pt idx="477">
                  <c:v>3.2180488774769902</c:v>
                </c:pt>
                <c:pt idx="478">
                  <c:v>3.19076268089509</c:v>
                </c:pt>
                <c:pt idx="479">
                  <c:v>3.1841018118348199</c:v>
                </c:pt>
                <c:pt idx="480">
                  <c:v>3.1648459578607699</c:v>
                </c:pt>
                <c:pt idx="481">
                  <c:v>3.18917499104727</c:v>
                </c:pt>
                <c:pt idx="482">
                  <c:v>3.1752248472544302</c:v>
                </c:pt>
                <c:pt idx="483">
                  <c:v>3.1937009048335998</c:v>
                </c:pt>
                <c:pt idx="484">
                  <c:v>3.12563821963785</c:v>
                </c:pt>
                <c:pt idx="485">
                  <c:v>3.11144834473152</c:v>
                </c:pt>
                <c:pt idx="486">
                  <c:v>3.06145355695508</c:v>
                </c:pt>
                <c:pt idx="487">
                  <c:v>3.1159737913786199</c:v>
                </c:pt>
                <c:pt idx="488">
                  <c:v>3.1266954027246601</c:v>
                </c:pt>
                <c:pt idx="489">
                  <c:v>3.14587454818964</c:v>
                </c:pt>
                <c:pt idx="490">
                  <c:v>3.1762657063573001</c:v>
                </c:pt>
                <c:pt idx="491">
                  <c:v>3.2164698384240098</c:v>
                </c:pt>
                <c:pt idx="492">
                  <c:v>3.1651345268873601</c:v>
                </c:pt>
                <c:pt idx="493">
                  <c:v>3.1413763100515402</c:v>
                </c:pt>
                <c:pt idx="494">
                  <c:v>3.15611019744426</c:v>
                </c:pt>
                <c:pt idx="495">
                  <c:v>3.1530775330962602</c:v>
                </c:pt>
                <c:pt idx="496">
                  <c:v>3.1200244614852002</c:v>
                </c:pt>
                <c:pt idx="497">
                  <c:v>3.0479406911303002</c:v>
                </c:pt>
                <c:pt idx="498">
                  <c:v>3.1104332506902499</c:v>
                </c:pt>
                <c:pt idx="499">
                  <c:v>3.10342915438406</c:v>
                </c:pt>
                <c:pt idx="500">
                  <c:v>3.20642025134075</c:v>
                </c:pt>
                <c:pt idx="501">
                  <c:v>3.2342757341067498</c:v>
                </c:pt>
                <c:pt idx="502">
                  <c:v>3.2320225363083699</c:v>
                </c:pt>
                <c:pt idx="503">
                  <c:v>3.22523463201723</c:v>
                </c:pt>
                <c:pt idx="504">
                  <c:v>3.2431556019799901</c:v>
                </c:pt>
                <c:pt idx="505">
                  <c:v>3.2819752362601502</c:v>
                </c:pt>
                <c:pt idx="506">
                  <c:v>3.3406216672638802</c:v>
                </c:pt>
                <c:pt idx="507">
                  <c:v>3.3206925533128699</c:v>
                </c:pt>
                <c:pt idx="508">
                  <c:v>3.35448233982074</c:v>
                </c:pt>
                <c:pt idx="509">
                  <c:v>3.3507469979464899</c:v>
                </c:pt>
                <c:pt idx="510">
                  <c:v>3.2454530703247602</c:v>
                </c:pt>
                <c:pt idx="511">
                  <c:v>3.2604043069453401</c:v>
                </c:pt>
                <c:pt idx="512">
                  <c:v>3.2371023816739601</c:v>
                </c:pt>
                <c:pt idx="513">
                  <c:v>3.2160937594911698</c:v>
                </c:pt>
                <c:pt idx="514">
                  <c:v>3.1691629122543801</c:v>
                </c:pt>
                <c:pt idx="515">
                  <c:v>3.13601308669194</c:v>
                </c:pt>
                <c:pt idx="516">
                  <c:v>3.16228142903738</c:v>
                </c:pt>
                <c:pt idx="517">
                  <c:v>3.1557690807885401</c:v>
                </c:pt>
                <c:pt idx="518">
                  <c:v>3.12573819371962</c:v>
                </c:pt>
                <c:pt idx="519">
                  <c:v>3.17921056091257</c:v>
                </c:pt>
                <c:pt idx="520">
                  <c:v>3.14154244535563</c:v>
                </c:pt>
                <c:pt idx="521">
                  <c:v>3.1654132061037701</c:v>
                </c:pt>
                <c:pt idx="522">
                  <c:v>3.1464660335213801</c:v>
                </c:pt>
                <c:pt idx="523">
                  <c:v>3.0927700686783002</c:v>
                </c:pt>
                <c:pt idx="524">
                  <c:v>3.0853787320257</c:v>
                </c:pt>
                <c:pt idx="525">
                  <c:v>3.0998224631634499</c:v>
                </c:pt>
                <c:pt idx="526">
                  <c:v>3.0807227057386499</c:v>
                </c:pt>
                <c:pt idx="527">
                  <c:v>3.1209189236978601</c:v>
                </c:pt>
                <c:pt idx="528">
                  <c:v>3.1141964081853302</c:v>
                </c:pt>
                <c:pt idx="529">
                  <c:v>3.0374940248305098</c:v>
                </c:pt>
                <c:pt idx="530">
                  <c:v>3.0385942417440401</c:v>
                </c:pt>
                <c:pt idx="531">
                  <c:v>2.9754212603526402</c:v>
                </c:pt>
                <c:pt idx="532">
                  <c:v>2.98409934955184</c:v>
                </c:pt>
                <c:pt idx="533">
                  <c:v>2.9250473100689098</c:v>
                </c:pt>
                <c:pt idx="534">
                  <c:v>2.9490872231359599</c:v>
                </c:pt>
                <c:pt idx="535">
                  <c:v>2.98817605273842</c:v>
                </c:pt>
                <c:pt idx="536">
                  <c:v>2.9809859854313698</c:v>
                </c:pt>
                <c:pt idx="537">
                  <c:v>3.0169909715329202</c:v>
                </c:pt>
                <c:pt idx="538">
                  <c:v>3.0874346795919401</c:v>
                </c:pt>
                <c:pt idx="539">
                  <c:v>3.0602135791338601</c:v>
                </c:pt>
                <c:pt idx="540">
                  <c:v>3.0345757133158</c:v>
                </c:pt>
                <c:pt idx="541">
                  <c:v>3.0168102354422901</c:v>
                </c:pt>
                <c:pt idx="542">
                  <c:v>3.0580560556291201</c:v>
                </c:pt>
                <c:pt idx="543">
                  <c:v>3.02195489821497</c:v>
                </c:pt>
                <c:pt idx="544">
                  <c:v>3.04669100104817</c:v>
                </c:pt>
                <c:pt idx="545">
                  <c:v>3.0837456473004301</c:v>
                </c:pt>
                <c:pt idx="546">
                  <c:v>3.07550277889916</c:v>
                </c:pt>
                <c:pt idx="547">
                  <c:v>3.0924935285971999</c:v>
                </c:pt>
                <c:pt idx="548">
                  <c:v>3.1238691664051901</c:v>
                </c:pt>
                <c:pt idx="549">
                  <c:v>3.1370226273665902</c:v>
                </c:pt>
                <c:pt idx="550">
                  <c:v>3.13354455783506</c:v>
                </c:pt>
                <c:pt idx="551">
                  <c:v>3.0503961031254101</c:v>
                </c:pt>
                <c:pt idx="552">
                  <c:v>3.0540256886172599</c:v>
                </c:pt>
                <c:pt idx="553">
                  <c:v>3.0367748690923499</c:v>
                </c:pt>
                <c:pt idx="554">
                  <c:v>2.9255759416218798</c:v>
                </c:pt>
                <c:pt idx="555">
                  <c:v>2.96077919351512</c:v>
                </c:pt>
                <c:pt idx="556">
                  <c:v>2.9772059927121801</c:v>
                </c:pt>
                <c:pt idx="557">
                  <c:v>2.98253297919802</c:v>
                </c:pt>
                <c:pt idx="558">
                  <c:v>3.0058699919752301</c:v>
                </c:pt>
                <c:pt idx="559">
                  <c:v>2.9850094443117499</c:v>
                </c:pt>
                <c:pt idx="560">
                  <c:v>2.9655991684288501</c:v>
                </c:pt>
                <c:pt idx="561">
                  <c:v>2.9675370068735298</c:v>
                </c:pt>
                <c:pt idx="562">
                  <c:v>2.9372545764826601</c:v>
                </c:pt>
                <c:pt idx="563">
                  <c:v>2.9230211048442398</c:v>
                </c:pt>
                <c:pt idx="564">
                  <c:v>2.9488855063004098</c:v>
                </c:pt>
                <c:pt idx="565">
                  <c:v>2.90078451779174</c:v>
                </c:pt>
                <c:pt idx="566">
                  <c:v>2.9134061518930401</c:v>
                </c:pt>
                <c:pt idx="567">
                  <c:v>2.87725867553146</c:v>
                </c:pt>
                <c:pt idx="568">
                  <c:v>2.9007963657703</c:v>
                </c:pt>
                <c:pt idx="569">
                  <c:v>2.90843617288568</c:v>
                </c:pt>
                <c:pt idx="570">
                  <c:v>2.9249537323478201</c:v>
                </c:pt>
                <c:pt idx="571">
                  <c:v>2.94258560480931</c:v>
                </c:pt>
                <c:pt idx="572">
                  <c:v>2.9398654916265299</c:v>
                </c:pt>
                <c:pt idx="573">
                  <c:v>2.8752948215848</c:v>
                </c:pt>
                <c:pt idx="574">
                  <c:v>2.9075667658346598</c:v>
                </c:pt>
                <c:pt idx="575">
                  <c:v>2.8970830344627001</c:v>
                </c:pt>
                <c:pt idx="576">
                  <c:v>2.9229309635649501</c:v>
                </c:pt>
                <c:pt idx="577">
                  <c:v>2.8829829108867799</c:v>
                </c:pt>
                <c:pt idx="578">
                  <c:v>2.8967693275214801</c:v>
                </c:pt>
                <c:pt idx="579">
                  <c:v>2.89502511307504</c:v>
                </c:pt>
                <c:pt idx="580">
                  <c:v>2.8885893355353098</c:v>
                </c:pt>
                <c:pt idx="581">
                  <c:v>2.8786176823455198</c:v>
                </c:pt>
                <c:pt idx="582">
                  <c:v>2.9305936844385498</c:v>
                </c:pt>
                <c:pt idx="583">
                  <c:v>2.9404244020871499</c:v>
                </c:pt>
                <c:pt idx="584">
                  <c:v>2.9800880794915101</c:v>
                </c:pt>
                <c:pt idx="585">
                  <c:v>3.0226143981411502</c:v>
                </c:pt>
                <c:pt idx="586">
                  <c:v>3.0738606111301499</c:v>
                </c:pt>
                <c:pt idx="587">
                  <c:v>3.0541997432279802</c:v>
                </c:pt>
                <c:pt idx="588">
                  <c:v>3.0857459402469098</c:v>
                </c:pt>
                <c:pt idx="589">
                  <c:v>3.1061017529399901</c:v>
                </c:pt>
                <c:pt idx="590">
                  <c:v>3.0818663952260299</c:v>
                </c:pt>
                <c:pt idx="591">
                  <c:v>3.0692268892382302</c:v>
                </c:pt>
                <c:pt idx="592">
                  <c:v>3.01403656016261</c:v>
                </c:pt>
                <c:pt idx="593">
                  <c:v>3.0326199882874301</c:v>
                </c:pt>
                <c:pt idx="594">
                  <c:v>3.0158212312193302</c:v>
                </c:pt>
                <c:pt idx="595">
                  <c:v>3.0046032284055402</c:v>
                </c:pt>
                <c:pt idx="596">
                  <c:v>2.97056428337457</c:v>
                </c:pt>
                <c:pt idx="597">
                  <c:v>2.97246415847412</c:v>
                </c:pt>
                <c:pt idx="598">
                  <c:v>2.9731323059338801</c:v>
                </c:pt>
                <c:pt idx="599">
                  <c:v>2.94257511254186</c:v>
                </c:pt>
                <c:pt idx="600">
                  <c:v>2.9539216653401201</c:v>
                </c:pt>
                <c:pt idx="601">
                  <c:v>3.02215443116989</c:v>
                </c:pt>
                <c:pt idx="602">
                  <c:v>2.9701129901318302</c:v>
                </c:pt>
                <c:pt idx="603">
                  <c:v>2.9938270438996102</c:v>
                </c:pt>
                <c:pt idx="604">
                  <c:v>2.9740140733448301</c:v>
                </c:pt>
                <c:pt idx="605">
                  <c:v>2.97637624245715</c:v>
                </c:pt>
                <c:pt idx="606">
                  <c:v>2.9403667589797098</c:v>
                </c:pt>
                <c:pt idx="607">
                  <c:v>2.9478542196080602</c:v>
                </c:pt>
                <c:pt idx="608">
                  <c:v>2.9190280511429001</c:v>
                </c:pt>
                <c:pt idx="609">
                  <c:v>2.9469409436626601</c:v>
                </c:pt>
                <c:pt idx="610">
                  <c:v>2.9337005392138198</c:v>
                </c:pt>
                <c:pt idx="611">
                  <c:v>2.9532777755808302</c:v>
                </c:pt>
                <c:pt idx="612">
                  <c:v>2.9149127266331099</c:v>
                </c:pt>
                <c:pt idx="613">
                  <c:v>2.9057812704780299</c:v>
                </c:pt>
                <c:pt idx="614">
                  <c:v>2.88684387791647</c:v>
                </c:pt>
                <c:pt idx="615">
                  <c:v>2.8989518850804301</c:v>
                </c:pt>
                <c:pt idx="616">
                  <c:v>2.9395075858603499</c:v>
                </c:pt>
                <c:pt idx="617">
                  <c:v>2.9032960694511001</c:v>
                </c:pt>
                <c:pt idx="618">
                  <c:v>2.8788328946045998</c:v>
                </c:pt>
                <c:pt idx="619">
                  <c:v>2.8849159649276999</c:v>
                </c:pt>
                <c:pt idx="620">
                  <c:v>2.8809330766595802</c:v>
                </c:pt>
                <c:pt idx="621">
                  <c:v>2.9039512630900401</c:v>
                </c:pt>
                <c:pt idx="622">
                  <c:v>2.86756430791635</c:v>
                </c:pt>
                <c:pt idx="623">
                  <c:v>2.8814309818514099</c:v>
                </c:pt>
                <c:pt idx="624">
                  <c:v>2.85470701352213</c:v>
                </c:pt>
                <c:pt idx="625">
                  <c:v>2.8455759093588999</c:v>
                </c:pt>
                <c:pt idx="626">
                  <c:v>2.8303497254794401</c:v>
                </c:pt>
                <c:pt idx="627">
                  <c:v>2.8426315316664401</c:v>
                </c:pt>
                <c:pt idx="628">
                  <c:v>2.8177381018146699</c:v>
                </c:pt>
                <c:pt idx="629">
                  <c:v>2.8505659614824999</c:v>
                </c:pt>
                <c:pt idx="630">
                  <c:v>2.7686387386153899</c:v>
                </c:pt>
                <c:pt idx="631">
                  <c:v>2.8132496631977602</c:v>
                </c:pt>
                <c:pt idx="632">
                  <c:v>2.7688521651914</c:v>
                </c:pt>
                <c:pt idx="633">
                  <c:v>2.76958844979265</c:v>
                </c:pt>
                <c:pt idx="634">
                  <c:v>2.8333960473494502</c:v>
                </c:pt>
                <c:pt idx="635">
                  <c:v>2.85764653167635</c:v>
                </c:pt>
                <c:pt idx="636">
                  <c:v>2.8730648948017001</c:v>
                </c:pt>
                <c:pt idx="637">
                  <c:v>2.8751288472692602</c:v>
                </c:pt>
                <c:pt idx="638">
                  <c:v>2.8805932706555302</c:v>
                </c:pt>
                <c:pt idx="639">
                  <c:v>2.9057723964536701</c:v>
                </c:pt>
                <c:pt idx="640">
                  <c:v>2.9043715676588402</c:v>
                </c:pt>
                <c:pt idx="641">
                  <c:v>2.9399523487894101</c:v>
                </c:pt>
                <c:pt idx="642">
                  <c:v>2.93833125966247</c:v>
                </c:pt>
                <c:pt idx="643">
                  <c:v>2.9240861727141798</c:v>
                </c:pt>
                <c:pt idx="644">
                  <c:v>2.8840645930864102</c:v>
                </c:pt>
                <c:pt idx="645">
                  <c:v>2.8877476464560701</c:v>
                </c:pt>
                <c:pt idx="646">
                  <c:v>2.9533030207859099</c:v>
                </c:pt>
                <c:pt idx="647">
                  <c:v>2.93891033578682</c:v>
                </c:pt>
                <c:pt idx="648">
                  <c:v>2.9532102294675502</c:v>
                </c:pt>
                <c:pt idx="649">
                  <c:v>2.9577488830812499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0672"/>
        <c:axId val="342458752"/>
      </c:lineChart>
      <c:dateAx>
        <c:axId val="342455040"/>
        <c:scaling>
          <c:orientation val="minMax"/>
        </c:scaling>
        <c:delete val="0"/>
        <c:axPos val="b"/>
        <c:numFmt formatCode="mm/dd/yy;@" sourceLinked="0"/>
        <c:majorTickMark val="out"/>
        <c:minorTickMark val="none"/>
        <c:tickLblPos val="nextTo"/>
        <c:crossAx val="342456576"/>
        <c:crosses val="autoZero"/>
        <c:auto val="0"/>
        <c:lblOffset val="100"/>
        <c:baseTimeUnit val="days"/>
        <c:majorUnit val="60"/>
        <c:minorUnit val="60"/>
      </c:dateAx>
      <c:valAx>
        <c:axId val="342456576"/>
        <c:scaling>
          <c:orientation val="minMax"/>
          <c:min val="1.100000000000000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42455040"/>
        <c:crosses val="autoZero"/>
        <c:crossBetween val="between"/>
      </c:valAx>
      <c:valAx>
        <c:axId val="342458752"/>
        <c:scaling>
          <c:orientation val="minMax"/>
          <c:min val="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98404576038250335"/>
              <c:y val="0.28844697604288827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42460672"/>
        <c:crosses val="max"/>
        <c:crossBetween val="between"/>
      </c:valAx>
      <c:catAx>
        <c:axId val="34246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245875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57150</xdr:colOff>
      <xdr:row>9</xdr:row>
      <xdr:rowOff>38101</xdr:rowOff>
    </xdr:from>
    <xdr:to>
      <xdr:col>26</xdr:col>
      <xdr:colOff>0</xdr:colOff>
      <xdr:row>10</xdr:row>
      <xdr:rowOff>175261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1790701"/>
          <a:ext cx="11049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</a:t>
          </a:r>
          <a:endParaRPr lang="en-US" sz="1100" b="1"/>
        </a:p>
      </xdr:txBody>
    </xdr:sp>
    <xdr:clientData/>
  </xdr:twoCellAnchor>
  <xdr:twoCellAnchor>
    <xdr:from>
      <xdr:col>26</xdr:col>
      <xdr:colOff>276226</xdr:colOff>
      <xdr:row>9</xdr:row>
      <xdr:rowOff>38101</xdr:rowOff>
    </xdr:from>
    <xdr:to>
      <xdr:col>28</xdr:col>
      <xdr:colOff>47626</xdr:colOff>
      <xdr:row>10</xdr:row>
      <xdr:rowOff>175261</xdr:rowOff>
    </xdr:to>
    <xdr:sp macro="[0]!CreatePDFReport" textlink="">
      <xdr:nvSpPr>
        <xdr:cNvPr id="3" name="Rounded Rectangle 2"/>
        <xdr:cNvSpPr/>
      </xdr:nvSpPr>
      <xdr:spPr>
        <a:xfrm>
          <a:off x="16487776" y="1790701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600075</xdr:colOff>
      <xdr:row>25</xdr:row>
      <xdr:rowOff>158749</xdr:rowOff>
    </xdr:from>
    <xdr:to>
      <xdr:col>22</xdr:col>
      <xdr:colOff>95250</xdr:colOff>
      <xdr:row>40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431799</xdr:colOff>
      <xdr:row>40</xdr:row>
      <xdr:rowOff>28575</xdr:rowOff>
    </xdr:from>
    <xdr:to>
      <xdr:col>22</xdr:col>
      <xdr:colOff>323849</xdr:colOff>
      <xdr:row>54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3011.43083946759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47">
        <s v="2017-09-25"/>
        <m u="1"/>
        <s v="2015-03-04" u="1"/>
        <s v="2015-07-15" u="1"/>
        <s v="2016-09-15" u="1"/>
        <s v="2015-03-18" u="1"/>
        <s v="2016-04-05" u="1"/>
        <s v="2015-03-05" u="1"/>
        <s v="2015-07-16" u="1"/>
        <s v="2016-09-16" u="1"/>
        <s v="2016-04-06" u="1"/>
        <s v="2016-05-19" u="1"/>
        <s v="2016-10-24" u="1"/>
        <s v="2015-03-06" u="1"/>
        <s v="2016-04-07" u="1"/>
        <s v="2015-05-19" u="1"/>
        <s v="2016-04-08" u="1"/>
        <s v="2015-05-22" u="1"/>
        <s v="2015-08-20" u="1"/>
        <s v="2016-01-26" u="1"/>
        <s v="2015-03-10" u="1"/>
        <s v="2016-04-11" u="1"/>
        <s v="2015-03-09" u="1"/>
        <s v="2015-03-11" u="1"/>
        <s v="2016-04-12" u="1"/>
        <s v="2015-03-12" u="1"/>
        <s v="2016-04-13" u="1"/>
        <s v="2015-03-13" u="1"/>
        <s v="2015-07-24" u="1"/>
        <s v="2016-11-15" u="1"/>
        <s v="2015-03-27" u="1"/>
        <s v="2015-06-25" u="1"/>
        <s v="2016-04-14" u="1"/>
        <s v="2015-04-27" u="1"/>
        <s v="2016-11-16" u="1"/>
        <s v="2016-04-01" u="1"/>
        <s v="2015-03-30" u="1"/>
        <s v="2016-04-15" u="1"/>
        <s v="2016-02-03" u="1"/>
        <s v="2015-04-30" u="1"/>
        <s v="2015-03-02" u="1"/>
        <s v="2015-04-15" u="1"/>
        <s v="2015-07-27" u="1"/>
        <s v="2015-03-03" u="1"/>
        <s v="2015-04-16" u="1"/>
        <s v="2015-12-17" u="1"/>
        <s v="2016-04-04" u="1"/>
      </sharedItems>
    </cacheField>
    <cacheField name="SeriesNumValue" numFmtId="0">
      <sharedItems containsSemiMixedTypes="0" containsString="0" containsNumber="1" minValue="0.0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3011.430839699075" createdVersion="4" refreshedVersion="4" minRefreshableVersion="3" recordCount="4424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632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6-02-03"/>
        <s v="2016-02-04"/>
        <s v="2016-02-05"/>
        <s v="2016-02-08"/>
        <s v="2016-02-09"/>
        <s v="2016-02-10"/>
        <s v="2016-02-11"/>
        <s v="2016-02-12"/>
        <s v="2016-02-16"/>
        <s v="2016-02-17"/>
        <s v="2016-02-18"/>
        <s v="2016-02-19"/>
        <s v="2016-02-22"/>
        <s v="2016-02-23"/>
        <s v="2016-02-25"/>
        <s v="2016-02-26"/>
        <s v="2016-02-29"/>
        <s v="2016-03-01"/>
        <s v="2016-03-02"/>
        <s v="2016-03-03"/>
        <s v="2016-03-04"/>
        <s v="2016-03-07"/>
        <s v="2016-03-08"/>
        <s v="2016-03-09"/>
        <s v="2016-03-10"/>
        <s v="2016-03-11"/>
        <s v="2016-03-14"/>
        <s v="2016-03-15"/>
        <s v="2016-03-16"/>
        <s v="2016-03-17"/>
        <s v="2016-03-18"/>
        <s v="2016-03-21"/>
        <s v="2016-03-22"/>
        <s v="2016-03-23"/>
        <s v="2016-03-28"/>
        <s v="2016-03-29"/>
        <s v="2016-03-30"/>
        <s v="2016-03-31"/>
        <s v="2016-04-01"/>
        <s v="2016-04-04"/>
        <s v="2016-04-05"/>
        <s v="2016-04-06"/>
        <s v="2016-04-07"/>
        <s v="2016-04-08"/>
        <s v="2016-04-11"/>
        <s v="2016-04-12"/>
        <s v="2016-04-13"/>
        <s v="2016-04-14"/>
        <s v="2016-04-15"/>
        <s v="2016-04-18"/>
        <s v="2016-04-19"/>
        <s v="2016-04-20"/>
        <s v="2016-04-21"/>
        <s v="2016-04-22"/>
        <s v="2016-04-25"/>
        <s v="2016-04-26"/>
        <s v="2016-04-27"/>
        <s v="2016-04-28"/>
        <s v="2016-04-29"/>
        <s v="2016-05-03"/>
        <s v="2016-05-04"/>
        <s v="2016-05-05"/>
        <s v="2016-05-06"/>
        <s v="2016-05-09"/>
        <s v="2016-05-10"/>
        <s v="2016-05-11"/>
        <s v="2016-05-12"/>
        <s v="2016-05-13"/>
        <s v="2016-05-16"/>
        <s v="2016-05-17"/>
        <s v="2016-05-18"/>
        <s v="2016-05-19"/>
        <s v="2016-05-20"/>
        <s v="2016-05-23"/>
        <s v="2016-05-24"/>
        <s v="2016-05-25"/>
        <s v="2016-05-26"/>
        <s v="2016-05-27"/>
        <s v="2016-05-31"/>
        <s v="2016-06-01"/>
        <s v="2016-06-02"/>
        <s v="2016-06-03"/>
        <s v="2016-06-06"/>
        <s v="2016-06-07"/>
        <s v="2016-06-08"/>
        <s v="2016-06-09"/>
        <s v="2016-06-10"/>
        <s v="2016-06-13"/>
        <s v="2016-06-14"/>
        <s v="2016-06-15"/>
        <s v="2016-06-16"/>
        <s v="2016-06-17"/>
        <s v="2016-06-20"/>
        <s v="2016-06-21"/>
        <s v="2016-06-22"/>
        <s v="2016-06-23"/>
        <s v="2016-06-24"/>
        <s v="2016-06-27"/>
        <s v="2016-06-28"/>
        <s v="2016-06-29"/>
        <s v="2016-06-30"/>
        <s v="2016-07-01"/>
        <s v="2016-07-05"/>
        <s v="2016-07-06"/>
        <s v="2016-07-07"/>
        <s v="2016-07-11"/>
        <s v="2016-07-12"/>
        <s v="2016-07-13"/>
        <s v="2016-07-14"/>
        <s v="2016-07-15"/>
        <s v="2016-07-18"/>
        <s v="2016-07-19"/>
        <s v="2016-07-20"/>
        <s v="2016-07-21"/>
        <s v="2016-07-22"/>
        <s v="2016-07-25"/>
        <s v="2016-07-26"/>
        <s v="2016-07-27"/>
        <s v="2016-07-28"/>
        <s v="2016-07-29"/>
        <s v="2016-08-01"/>
        <s v="2016-08-02"/>
        <s v="2016-08-03"/>
        <s v="2016-08-04"/>
        <s v="2016-08-05"/>
        <s v="2016-08-08"/>
        <s v="2016-08-09"/>
        <s v="2016-08-10"/>
        <s v="2016-08-15"/>
        <s v="2016-08-16"/>
        <s v="2016-08-17"/>
        <s v="2016-08-18"/>
        <s v="2016-08-19"/>
        <s v="2016-08-22"/>
        <s v="2016-08-23"/>
        <s v="2016-08-24"/>
        <s v="2016-08-29"/>
        <s v="2016-08-30"/>
        <s v="2016-08-31"/>
        <s v="2016-09-01"/>
        <s v="2016-09-07"/>
        <s v="2016-09-08"/>
        <s v="2016-09-12"/>
        <s v="2016-09-13"/>
        <s v="2016-09-14"/>
        <s v="2016-09-15"/>
        <s v="2016-09-16"/>
        <s v="2016-09-19"/>
        <s v="2016-09-20"/>
        <s v="2016-09-21"/>
        <s v="2016-09-22"/>
        <s v="2016-09-23"/>
        <s v="2016-09-26"/>
        <s v="2016-09-27"/>
        <s v="2016-09-28"/>
        <s v="2016-09-29"/>
        <s v="2016-09-30"/>
        <s v="2016-10-03"/>
        <s v="2016-10-04"/>
        <s v="2016-10-05"/>
        <s v="2016-10-06"/>
        <s v="2016-10-07"/>
        <s v="2016-10-11"/>
        <s v="2016-10-12"/>
        <s v="2016-10-13"/>
        <s v="2016-10-14"/>
        <s v="2016-10-17"/>
        <s v="2016-10-18"/>
        <s v="2016-10-19"/>
        <s v="2016-10-20"/>
        <s v="2016-10-21"/>
        <s v="2016-10-24"/>
        <s v="2016-10-25"/>
        <s v="2016-10-26"/>
        <s v="2016-10-27"/>
        <s v="2016-10-28"/>
        <s v="2016-10-31"/>
        <s v="2016-11-01"/>
        <s v="2016-11-02"/>
        <s v="2016-11-03"/>
        <s v="2016-11-04"/>
        <s v="2016-11-07"/>
        <s v="2016-11-08"/>
        <s v="2016-11-09"/>
        <s v="2016-11-10"/>
        <s v="2016-11-14"/>
        <s v="2016-11-15"/>
        <s v="2016-11-16"/>
        <s v="2016-11-17"/>
        <s v="2016-11-18"/>
        <s v="2016-11-21"/>
        <s v="2016-11-22"/>
        <s v="2016-11-23"/>
        <s v="2016-11-25"/>
        <s v="2016-11-28"/>
        <s v="2016-11-29"/>
        <s v="2016-11-30"/>
        <s v="2016-12-01"/>
        <s v="2016-12-02"/>
        <s v="2016-12-05"/>
        <s v="2016-12-06"/>
        <s v="2016-12-07"/>
        <s v="2016-12-08"/>
        <s v="2016-12-09"/>
        <s v="2016-12-12"/>
        <s v="2016-12-13"/>
        <s v="2016-12-14"/>
        <s v="2016-12-15"/>
        <s v="2016-12-16"/>
        <s v="2016-12-19"/>
        <s v="2016-12-20"/>
        <s v="2016-12-21"/>
        <s v="2016-12-22"/>
        <s v="2016-12-23"/>
        <s v="2016-12-27"/>
        <s v="2016-12-28"/>
        <s v="2016-12-29"/>
        <s v="2016-12-30"/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7"/>
        <s v="2017-07-10"/>
        <s v="2017-07-11"/>
        <s v="2017-07-12"/>
        <s v="2017-07-13"/>
        <s v="2017-07-14"/>
        <s v="2017-07-17"/>
        <s v="2017-07-18"/>
        <s v="2017-07-19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</sharedItems>
    </cacheField>
    <cacheField name="SeriesNumValue" numFmtId="0">
      <sharedItems containsSemiMixedTypes="0" containsString="0" containsNumber="1" minValue="1.8328281869824845" maxValue="5.03762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3011.430839930559" createdVersion="4" refreshedVersion="4" minRefreshableVersion="3" recordCount="3226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664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0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6-02-03"/>
        <s v="2016-02-04"/>
        <s v="2016-02-05"/>
        <s v="2016-02-08"/>
        <s v="2016-02-09"/>
        <s v="2016-02-10"/>
        <s v="2016-02-11"/>
        <s v="2016-02-12"/>
        <s v="2016-02-16"/>
        <s v="2016-02-17"/>
        <s v="2016-02-18"/>
        <s v="2016-02-19"/>
        <s v="2016-02-22"/>
        <s v="2016-02-23"/>
        <s v="2016-02-24"/>
        <s v="2016-02-25"/>
        <s v="2016-02-26"/>
        <s v="2016-02-29"/>
        <s v="2016-03-01"/>
        <s v="2016-03-02"/>
        <s v="2016-03-03"/>
        <s v="2016-03-04"/>
        <s v="2016-03-07"/>
        <s v="2016-03-08"/>
        <s v="2016-03-09"/>
        <s v="2016-03-10"/>
        <s v="2016-03-11"/>
        <s v="2016-03-14"/>
        <s v="2016-03-15"/>
        <s v="2016-03-16"/>
        <s v="2016-03-17"/>
        <s v="2016-03-18"/>
        <s v="2016-03-21"/>
        <s v="2016-03-22"/>
        <s v="2016-03-23"/>
        <s v="2016-03-24"/>
        <s v="2016-03-28"/>
        <s v="2016-03-29"/>
        <s v="2016-03-30"/>
        <s v="2016-03-31"/>
        <s v="2016-04-01"/>
        <s v="2016-04-04"/>
        <s v="2016-04-05"/>
        <s v="2016-04-06"/>
        <s v="2016-04-07"/>
        <s v="2016-04-08"/>
        <s v="2016-04-11"/>
        <s v="2016-04-12"/>
        <s v="2016-04-13"/>
        <s v="2016-04-14"/>
        <s v="2016-04-15"/>
        <s v="2016-04-18"/>
        <s v="2016-04-19"/>
        <s v="2016-04-20"/>
        <s v="2016-04-21"/>
        <s v="2016-04-22"/>
        <s v="2016-04-25"/>
        <s v="2016-04-26"/>
        <s v="2016-04-27"/>
        <s v="2016-04-28"/>
        <s v="2016-04-29"/>
        <s v="2016-05-02"/>
        <s v="2016-05-03"/>
        <s v="2016-05-04"/>
        <s v="2016-05-05"/>
        <s v="2016-05-06"/>
        <s v="2016-05-09"/>
        <s v="2016-05-10"/>
        <s v="2016-05-11"/>
        <s v="2016-05-12"/>
        <s v="2016-05-13"/>
        <s v="2016-05-16"/>
        <s v="2016-05-17"/>
        <s v="2016-05-18"/>
        <s v="2016-05-19"/>
        <s v="2016-05-20"/>
        <s v="2016-05-23"/>
        <s v="2016-05-24"/>
        <s v="2016-05-25"/>
        <s v="2016-05-26"/>
        <s v="2016-05-27"/>
        <s v="2016-05-31"/>
        <s v="2016-06-01"/>
        <s v="2016-06-02"/>
        <s v="2016-06-03"/>
        <s v="2016-06-06"/>
        <s v="2016-06-07"/>
        <s v="2016-06-08"/>
        <s v="2016-06-09"/>
        <s v="2016-06-10"/>
        <s v="2016-06-13"/>
        <s v="2016-06-14"/>
        <s v="2016-06-15"/>
        <s v="2016-06-16"/>
        <s v="2016-06-17"/>
        <s v="2016-06-20"/>
        <s v="2016-06-21"/>
        <s v="2016-06-22"/>
        <s v="2016-06-23"/>
        <s v="2016-06-24"/>
        <s v="2016-06-27"/>
        <s v="2016-06-28"/>
        <s v="2016-06-29"/>
        <s v="2016-06-30"/>
        <s v="2016-07-01"/>
        <s v="2016-07-05"/>
        <s v="2016-07-06"/>
        <s v="2016-07-07"/>
        <s v="2016-07-08"/>
        <s v="2016-07-11"/>
        <s v="2016-07-12"/>
        <s v="2016-07-13"/>
        <s v="2016-07-14"/>
        <s v="2016-07-15"/>
        <s v="2016-07-18"/>
        <s v="2016-07-19"/>
        <s v="2016-07-20"/>
        <s v="2016-07-21"/>
        <s v="2016-07-22"/>
        <s v="2016-07-25"/>
        <s v="2016-07-26"/>
        <s v="2016-07-27"/>
        <s v="2016-07-28"/>
        <s v="2016-07-29"/>
        <s v="2016-08-01"/>
        <s v="2016-08-02"/>
        <s v="2016-08-03"/>
        <s v="2016-08-04"/>
        <s v="2016-08-05"/>
        <s v="2016-08-08"/>
        <s v="2016-08-09"/>
        <s v="2016-08-10"/>
        <s v="2016-08-11"/>
        <s v="2016-08-12"/>
        <s v="2016-08-15"/>
        <s v="2016-08-16"/>
        <s v="2016-08-17"/>
        <s v="2016-08-18"/>
        <s v="2016-08-19"/>
        <s v="2016-08-22"/>
        <s v="2016-08-23"/>
        <s v="2016-08-24"/>
        <s v="2016-08-25"/>
        <s v="2016-08-26"/>
        <s v="2016-08-29"/>
        <s v="2016-08-30"/>
        <s v="2016-08-31"/>
        <s v="2016-09-01"/>
        <s v="2016-09-02"/>
        <s v="2016-09-06"/>
        <s v="2016-09-07"/>
        <s v="2016-09-08"/>
        <s v="2016-09-09"/>
        <s v="2016-09-12"/>
        <s v="2016-09-13"/>
        <s v="2016-09-14"/>
        <s v="2016-09-15"/>
        <s v="2016-09-16"/>
        <s v="2016-09-19"/>
        <s v="2016-09-20"/>
        <s v="2016-09-21"/>
        <s v="2016-09-22"/>
        <s v="2016-09-23"/>
        <s v="2016-09-26"/>
        <s v="2016-09-27"/>
        <s v="2016-09-28"/>
        <s v="2016-09-29"/>
        <s v="2016-09-30"/>
        <s v="2016-10-03"/>
        <s v="2016-10-04"/>
        <s v="2016-10-05"/>
        <s v="2016-10-06"/>
        <s v="2016-10-07"/>
        <s v="2016-10-11"/>
        <s v="2016-10-12"/>
        <s v="2016-10-13"/>
        <s v="2016-10-14"/>
        <s v="2016-10-17"/>
        <s v="2016-10-18"/>
        <s v="2016-10-19"/>
        <s v="2016-10-20"/>
        <s v="2016-10-21"/>
        <s v="2016-10-24"/>
        <s v="2016-10-25"/>
        <s v="2016-10-26"/>
        <s v="2016-10-27"/>
        <s v="2016-10-28"/>
        <s v="2016-10-31"/>
        <s v="2016-11-01"/>
        <s v="2016-11-02"/>
        <s v="2016-11-03"/>
        <s v="2016-11-04"/>
        <s v="2016-11-07"/>
        <s v="2016-11-08"/>
        <s v="2016-11-09"/>
        <s v="2016-11-10"/>
        <s v="2016-11-14"/>
        <s v="2016-11-15"/>
        <s v="2016-11-16"/>
        <s v="2016-11-17"/>
        <s v="2016-11-18"/>
        <s v="2016-11-21"/>
        <s v="2016-11-22"/>
        <s v="2016-11-23"/>
        <s v="2016-11-25"/>
        <s v="2016-11-28"/>
        <s v="2016-11-29"/>
        <s v="2016-11-30"/>
        <s v="2016-12-01"/>
        <s v="2016-12-02"/>
        <s v="2016-12-05"/>
        <s v="2016-12-06"/>
        <s v="2016-12-07"/>
        <s v="2016-12-08"/>
        <s v="2016-12-09"/>
        <s v="2016-12-12"/>
        <s v="2016-12-13"/>
        <s v="2016-12-14"/>
        <s v="2016-12-15"/>
        <s v="2016-12-16"/>
        <s v="2016-12-19"/>
        <s v="2016-12-20"/>
        <s v="2016-12-21"/>
        <s v="2016-12-22"/>
        <s v="2016-12-23"/>
        <s v="2016-12-27"/>
        <s v="2016-12-28"/>
        <s v="2016-12-29"/>
        <s v="2016-12-30"/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7"/>
        <s v="2017-07-10"/>
        <s v="2017-07-11"/>
        <s v="2017-07-12"/>
        <s v="2017-07-13"/>
        <s v="2017-07-14"/>
        <s v="2017-07-17"/>
        <s v="2017-07-18"/>
        <s v="2017-07-19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02-09"/>
        <s v="2017-05-09"/>
        <s v="2017-05-26"/>
        <s v="2017-07-06"/>
        <s v="2017-07-20"/>
        <s v="2017-08-21"/>
        <s v="2015-02-19" u="1"/>
        <s v="2015-02-18" u="1"/>
        <s v="2015-02-17" u="1"/>
        <s v="2015-02-27" u="1"/>
        <s v="2015-02-26" u="1"/>
        <s v="2015-03-02" u="1"/>
        <s v="2015-02-25" u="1"/>
        <s v="2015-02-13" u="1"/>
        <s v="2015-02-24" u="1"/>
        <s v="2015-02-12" u="1"/>
        <s v="2015-02-23" u="1"/>
        <s v="2015-02-11" u="1"/>
        <s v="2015-02-10" u="1"/>
        <s v="2015-02-20" u="1"/>
      </sharedItems>
    </cacheField>
    <cacheField name="SeriesNumValue" numFmtId="0">
      <sharedItems containsSemiMixedTypes="0" containsString="0" containsNumber="1" minValue="0.82038673553830044" maxValue="3.35448233982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3011.430840162036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50">
        <s v="2017-09-29"/>
        <s v="2016-04-18" u="1"/>
        <s v="2015-03-04" u="1"/>
        <s v="2016-04-20" u="1"/>
        <s v="2015-03-18" u="1"/>
        <s v="2015-07-31" u="1"/>
        <s v="2016-11-22" u="1"/>
        <s v="2016-04-19" u="1"/>
        <s v="2015-03-05" u="1"/>
        <s v="2016-04-21" u="1"/>
        <s v="2015-03-19" u="1"/>
        <s v="2015-03-06" u="1"/>
        <s v="2015-04-21" u="1"/>
        <s v="2016-04-07" u="1"/>
        <s v="2015-04-22" u="1"/>
        <s v="2016-02-09" u="1"/>
        <s v="2015-05-06" u="1"/>
        <s v="2015-12-23" u="1"/>
        <s v="2016-04-08" u="1"/>
        <s v="2015-03-10" u="1"/>
        <s v="2015-07-21" u="1"/>
        <s v="2016-09-21" u="1"/>
        <s v="2015-03-24" u="1"/>
        <s v="2016-04-11" u="1"/>
        <s v="2015-03-09" u="1"/>
        <s v="2015-03-11" u="1"/>
        <s v="2015-07-22" u="1"/>
        <s v="2016-09-22" u="1"/>
        <s v="2016-04-12" u="1"/>
        <s v="2016-05-25" u="1"/>
        <s v="2016-10-28" u="1"/>
        <s v="2015-03-12" u="1"/>
        <s v="2016-04-13" u="1"/>
        <s v="2016-02-01" u="1"/>
        <s v="2015-03-13" u="1"/>
        <s v="2016-04-14" u="1"/>
        <s v="2015-05-26" u="1"/>
        <s v="2016-04-15" u="1"/>
        <s v="2015-03-02" u="1"/>
        <s v="2015-08-26" u="1"/>
        <s v="2015-03-16" u="1"/>
        <s v="2015-05-01" u="1"/>
        <s v="2015-04-02" u="1"/>
        <s v="2015-03-03" u="1"/>
        <s v="2015-05-29" u="1"/>
        <s v="2015-03-17" u="1"/>
        <s v="2015-07-30" u="1"/>
        <s v="2016-11-21" u="1"/>
        <s v="2015-04-03" u="1"/>
        <s v="2015-07-01" u="1"/>
      </sharedItems>
    </cacheField>
    <cacheField name="SeriesNumValue" numFmtId="0">
      <sharedItems containsSemiMixedTypes="0" containsString="0" containsNumber="1" minValue="0.0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3011.430840277775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52">
        <s v="2017-10-02"/>
        <m u="1"/>
        <s v="2016-04-19" u="1"/>
        <s v="2016-04-14" u="1"/>
        <s v="2015-04-22" u="1"/>
        <s v="2015-03-17" u="1"/>
        <s v="2015-03-12" u="1"/>
        <s v="2015-05-27" u="1"/>
        <s v="2015-03-02" u="1"/>
        <s v="2015-07-22" u="1"/>
        <s v="2015-08-27" u="1"/>
        <s v="2015-05-07" u="1"/>
        <s v="2015-07-02" u="1"/>
        <s v="2016-04-22" u="1"/>
        <s v="2015-03-25" u="1"/>
        <s v="2016-02-02" u="1"/>
        <s v="2015-03-20" u="1"/>
        <s v="2016-04-12" u="1"/>
        <s v="2015-03-10" u="1"/>
        <s v="2015-03-05" u="1"/>
        <s v="2016-09-22" u="1"/>
        <s v="2016-11-23" u="1"/>
        <s v="2016-02-10" u="1"/>
        <s v="2016-04-20" u="1"/>
        <s v="2016-04-15" u="1"/>
        <s v="2015-04-23" u="1"/>
        <s v="2015-03-18" u="1"/>
        <s v="2015-03-13" u="1"/>
        <s v="2016-10-31" u="1"/>
        <s v="2015-03-03" u="1"/>
        <s v="2015-07-23" u="1"/>
        <s v="2015-04-03" u="1"/>
        <s v="2015-12-24" u="1"/>
        <s v="2015-08-03" u="1"/>
        <s v="2016-04-18" u="1"/>
        <s v="2016-04-13" u="1"/>
        <s v="2015-03-16" u="1"/>
        <s v="2016-04-08" u="1"/>
        <s v="2015-03-11" u="1"/>
        <s v="2015-07-31" u="1"/>
        <s v="2015-03-06" u="1"/>
        <s v="2016-09-23" u="1"/>
        <s v="2015-04-06" u="1"/>
        <s v="2015-06-01" u="1"/>
        <s v="2016-04-21" u="1"/>
        <s v="2016-05-26" u="1"/>
        <s v="2016-04-11" u="1"/>
        <s v="2015-03-19" u="1"/>
        <s v="2015-03-09" u="1"/>
        <s v="2015-03-04" u="1"/>
        <s v="2016-11-22" u="1"/>
        <s v="2015-05-04" u="1"/>
      </sharedItems>
    </cacheField>
    <cacheField name="SeriesNumValue" numFmtId="0">
      <sharedItems containsSemiMixedTypes="0" containsString="0" containsNumber="1" minValue="0.0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379331815548976"/>
  </r>
  <r>
    <x v="0"/>
    <x v="0"/>
    <x v="1"/>
    <s v="MTG"/>
    <x v="0"/>
    <n v="4.13"/>
  </r>
  <r>
    <x v="0"/>
    <x v="0"/>
    <x v="2"/>
    <s v="MTG"/>
    <x v="0"/>
    <n v="0.54800000000000004"/>
  </r>
  <r>
    <x v="0"/>
    <x v="0"/>
    <x v="3"/>
    <s v="MTG"/>
    <x v="0"/>
    <n v="4"/>
  </r>
  <r>
    <x v="0"/>
    <x v="0"/>
    <x v="4"/>
    <s v="MTG"/>
    <x v="0"/>
    <n v="1.253868588468487"/>
  </r>
  <r>
    <x v="0"/>
    <x v="1"/>
    <x v="0"/>
    <s v="MTG"/>
    <x v="0"/>
    <n v="3.8124950348616728"/>
  </r>
  <r>
    <x v="0"/>
    <x v="1"/>
    <x v="1"/>
    <s v="MTG"/>
    <x v="0"/>
    <n v="3.9369999999999998"/>
  </r>
  <r>
    <x v="0"/>
    <x v="1"/>
    <x v="2"/>
    <s v="MTG"/>
    <x v="0"/>
    <n v="0.75"/>
  </r>
  <r>
    <x v="0"/>
    <x v="1"/>
    <x v="3"/>
    <s v="MTG"/>
    <x v="0"/>
    <n v="3.875"/>
  </r>
  <r>
    <x v="0"/>
    <x v="1"/>
    <x v="4"/>
    <s v="MTG"/>
    <x v="0"/>
    <n v="0.92843044177526279"/>
  </r>
  <r>
    <x v="0"/>
    <x v="2"/>
    <x v="0"/>
    <s v="MTG"/>
    <x v="0"/>
    <n v="4.3364279754872603"/>
  </r>
  <r>
    <x v="0"/>
    <x v="2"/>
    <x v="1"/>
    <s v="MTG"/>
    <x v="0"/>
    <n v="4.03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4523633824008504"/>
  </r>
  <r>
    <x v="0"/>
    <x v="3"/>
    <x v="0"/>
    <s v="MTG"/>
    <x v="0"/>
    <n v="4.2030539804499192"/>
  </r>
  <r>
    <x v="0"/>
    <x v="3"/>
    <x v="1"/>
    <s v="MTG"/>
    <x v="0"/>
    <n v="4.1470000000000002"/>
  </r>
  <r>
    <x v="0"/>
    <x v="3"/>
    <x v="5"/>
    <s v="MTG"/>
    <x v="0"/>
    <n v="209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189893873635086"/>
  </r>
  <r>
    <x v="1"/>
    <x v="2"/>
    <x v="1"/>
    <s v="MTG"/>
    <x v="0"/>
    <n v="1"/>
  </r>
  <r>
    <x v="1"/>
    <x v="2"/>
    <x v="2"/>
    <s v="MTG"/>
    <x v="0"/>
    <n v="1"/>
  </r>
  <r>
    <x v="1"/>
    <x v="2"/>
    <x v="3"/>
    <s v="MTG"/>
    <x v="0"/>
    <n v="1"/>
  </r>
  <r>
    <x v="1"/>
    <x v="3"/>
    <x v="0"/>
    <s v="MTG"/>
    <x v="0"/>
    <n v="4.8142499999999995"/>
  </r>
  <r>
    <x v="1"/>
    <x v="3"/>
    <x v="1"/>
    <s v="MTG"/>
    <x v="0"/>
    <n v="5.6790000000000003"/>
  </r>
  <r>
    <x v="1"/>
    <x v="3"/>
    <x v="5"/>
    <s v="MTG"/>
    <x v="0"/>
    <n v="701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.625"/>
  </r>
  <r>
    <x v="1"/>
    <x v="3"/>
    <x v="4"/>
    <s v="MTG"/>
    <x v="0"/>
    <n v="2.0604933227684996"/>
  </r>
  <r>
    <x v="1"/>
    <x v="3"/>
    <x v="7"/>
    <s v="MTG"/>
    <x v="0"/>
    <n v="3500"/>
  </r>
  <r>
    <x v="2"/>
    <x v="3"/>
    <x v="0"/>
    <s v="MTG"/>
    <x v="0"/>
    <n v="3.9770901967365671"/>
  </r>
  <r>
    <x v="2"/>
    <x v="3"/>
    <x v="1"/>
    <s v="MTG"/>
    <x v="0"/>
    <n v="3.992"/>
  </r>
  <r>
    <x v="2"/>
    <x v="3"/>
    <x v="5"/>
    <s v="MTG"/>
    <x v="0"/>
    <n v="0.05"/>
  </r>
  <r>
    <x v="2"/>
    <x v="3"/>
    <x v="6"/>
    <s v="MTG"/>
    <x v="0"/>
    <n v="200000"/>
  </r>
  <r>
    <x v="2"/>
    <x v="3"/>
    <x v="2"/>
    <s v="MTG"/>
    <x v="0"/>
    <n v="1"/>
  </r>
  <r>
    <x v="2"/>
    <x v="3"/>
    <x v="3"/>
    <s v="MTG"/>
    <x v="0"/>
    <n v="3.875"/>
  </r>
  <r>
    <x v="2"/>
    <x v="3"/>
    <x v="4"/>
    <s v="MTG"/>
    <x v="0"/>
    <n v="1.0930256036501569"/>
  </r>
  <r>
    <x v="3"/>
    <x v="3"/>
    <x v="0"/>
    <s v="MTG"/>
    <x v="0"/>
    <n v="3.9929555782460247"/>
  </r>
  <r>
    <x v="3"/>
    <x v="3"/>
    <x v="1"/>
    <s v="MTG"/>
    <x v="0"/>
    <n v="3.8290000000000002"/>
  </r>
  <r>
    <x v="3"/>
    <x v="3"/>
    <x v="5"/>
    <s v="MTG"/>
    <x v="0"/>
    <n v="0.0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625"/>
  </r>
  <r>
    <x v="3"/>
    <x v="3"/>
    <x v="4"/>
    <s v="MTG"/>
    <x v="0"/>
    <n v="1.10889098515961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424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Bank of America"/>
    <s v="1Point Rate"/>
    <s v="MTG"/>
    <x v="9"/>
    <n v="4.1695190979670524"/>
  </r>
  <r>
    <x v="0"/>
    <s v="Bank of America"/>
    <s v="1Point Rate"/>
    <s v="MTG"/>
    <x v="10"/>
    <n v="4.1400591551201122"/>
  </r>
  <r>
    <x v="0"/>
    <s v="Bank of America"/>
    <s v="1Point Rate"/>
    <s v="MTG"/>
    <x v="11"/>
    <n v="4.1164532413786334"/>
  </r>
  <r>
    <x v="0"/>
    <s v="Bank of America"/>
    <s v="1Point Rate"/>
    <s v="MTG"/>
    <x v="12"/>
    <n v="4.066228818482883"/>
  </r>
  <r>
    <x v="0"/>
    <s v="Bank of America"/>
    <s v="1Point Rate"/>
    <s v="MTG"/>
    <x v="13"/>
    <n v="4.0425219308185625"/>
  </r>
  <r>
    <x v="0"/>
    <s v="Bank of America"/>
    <s v="1Point Rate"/>
    <s v="MTG"/>
    <x v="14"/>
    <n v="4.0009528680553874"/>
  </r>
  <r>
    <x v="0"/>
    <s v="Bank of America"/>
    <s v="1Point Rate"/>
    <s v="MTG"/>
    <x v="15"/>
    <n v="3.977152156157012"/>
  </r>
  <r>
    <x v="0"/>
    <s v="Bank of America"/>
    <s v="1Point Rate"/>
    <s v="MTG"/>
    <x v="16"/>
    <n v="3.9920316083167364"/>
  </r>
  <r>
    <x v="0"/>
    <s v="Bank of America"/>
    <s v="1Point Rate"/>
    <s v="MTG"/>
    <x v="17"/>
    <n v="4.1489026694458522"/>
  </r>
  <r>
    <x v="0"/>
    <s v="Bank of America"/>
    <s v="1Point Rate"/>
    <s v="MTG"/>
    <x v="18"/>
    <n v="4.1223578866648536"/>
  </r>
  <r>
    <x v="0"/>
    <s v="Bank of America"/>
    <s v="1Point Rate"/>
    <s v="MTG"/>
    <x v="19"/>
    <n v="4.0987266256305297"/>
  </r>
  <r>
    <x v="0"/>
    <s v="Bank of America"/>
    <s v="1Point Rate"/>
    <s v="MTG"/>
    <x v="20"/>
    <n v="4.2106746450138894"/>
  </r>
  <r>
    <x v="0"/>
    <s v="Bank of America"/>
    <s v="1Point Rate"/>
    <s v="MTG"/>
    <x v="21"/>
    <n v="4.1871698000587845"/>
  </r>
  <r>
    <x v="0"/>
    <s v="Bank of America"/>
    <s v="1Point Rate"/>
    <s v="MTG"/>
    <x v="22"/>
    <n v="4.1930491621487036"/>
  </r>
  <r>
    <x v="0"/>
    <s v="Bank of America"/>
    <s v="1Point Rate"/>
    <s v="MTG"/>
    <x v="23"/>
    <n v="4.1577414411756237"/>
  </r>
  <r>
    <x v="0"/>
    <s v="Bank of America"/>
    <s v="1Point Rate"/>
    <s v="MTG"/>
    <x v="24"/>
    <n v="4.2312138395879879"/>
  </r>
  <r>
    <x v="0"/>
    <s v="Bank of America"/>
    <s v="1Point Rate"/>
    <s v="MTG"/>
    <x v="25"/>
    <n v="4.2605110281721359"/>
  </r>
  <r>
    <x v="0"/>
    <s v="Bank of America"/>
    <s v="1Point Rate"/>
    <s v="MTG"/>
    <x v="26"/>
    <n v="4.2312138395879879"/>
  </r>
  <r>
    <x v="0"/>
    <s v="Bank of America"/>
    <s v="1Point Rate"/>
    <s v="MTG"/>
    <x v="27"/>
    <n v="4.225348119194102"/>
  </r>
  <r>
    <x v="0"/>
    <s v="Bank of America"/>
    <s v="1Point Rate"/>
    <s v="MTG"/>
    <x v="28"/>
    <n v="4.2370774645785501"/>
  </r>
  <r>
    <x v="0"/>
    <s v="Bank of America"/>
    <s v="1Point Rate"/>
    <s v="MTG"/>
    <x v="29"/>
    <n v="4.2282812413722635"/>
  </r>
  <r>
    <x v="0"/>
    <s v="Bank of America"/>
    <s v="1Point Rate"/>
    <s v="MTG"/>
    <x v="30"/>
    <n v="4.1724621964444255"/>
  </r>
  <r>
    <x v="0"/>
    <s v="Bank of America"/>
    <s v="1Point Rate"/>
    <s v="MTG"/>
    <x v="31"/>
    <n v="4.1754047688553753"/>
  </r>
  <r>
    <x v="0"/>
    <s v="Bank of America"/>
    <s v="1Point Rate"/>
    <s v="MTG"/>
    <x v="32"/>
    <n v="4.160686645028302"/>
  </r>
  <r>
    <x v="0"/>
    <s v="Bank of America"/>
    <s v="1Point Rate"/>
    <s v="MTG"/>
    <x v="33"/>
    <n v="4.1253094173164744"/>
  </r>
  <r>
    <x v="0"/>
    <s v="Bank of America"/>
    <s v="1Point Rate"/>
    <s v="MTG"/>
    <x v="34"/>
    <n v="4.1518494534957036"/>
  </r>
  <r>
    <x v="0"/>
    <s v="Bank of America"/>
    <s v="1Point Rate"/>
    <s v="MTG"/>
    <x v="35"/>
    <n v="4.2018642658889958"/>
  </r>
  <r>
    <x v="0"/>
    <s v="Bank of America"/>
    <s v="1Point Rate"/>
    <s v="MTG"/>
    <x v="36"/>
    <n v="4.2106746450138894"/>
  </r>
  <r>
    <x v="0"/>
    <s v="Bank of America"/>
    <s v="1Point Rate"/>
    <s v="MTG"/>
    <x v="37"/>
    <n v="4.1959880552043716"/>
  </r>
  <r>
    <x v="0"/>
    <s v="Bank of America"/>
    <s v="1Point Rate"/>
    <s v="MTG"/>
    <x v="38"/>
    <n v="4.1930491621487036"/>
  </r>
  <r>
    <x v="0"/>
    <s v="Bank of America"/>
    <s v="1Point Rate"/>
    <s v="MTG"/>
    <x v="39"/>
    <n v="4.1930491621487036"/>
  </r>
  <r>
    <x v="0"/>
    <s v="Bank of America"/>
    <s v="1Point Rate"/>
    <s v="MTG"/>
    <x v="40"/>
    <n v="4.2487984318822525"/>
  </r>
  <r>
    <x v="0"/>
    <s v="Bank of America"/>
    <s v="1Point Rate"/>
    <s v="MTG"/>
    <x v="41"/>
    <n v="4.2672076568305926"/>
  </r>
  <r>
    <x v="0"/>
    <s v="Bank of America"/>
    <s v="1Point Rate"/>
    <s v="MTG"/>
    <x v="42"/>
    <n v="4.2232506437744561"/>
  </r>
  <r>
    <x v="0"/>
    <s v="Bank of America"/>
    <s v="1Point Rate"/>
    <s v="MTG"/>
    <x v="43"/>
    <n v="4.2672076568305926"/>
  </r>
  <r>
    <x v="0"/>
    <s v="Bank of America"/>
    <s v="1Point Rate"/>
    <s v="MTG"/>
    <x v="44"/>
    <n v="4.3168838594099084"/>
  </r>
  <r>
    <x v="0"/>
    <s v="Bank of America"/>
    <s v="1Point Rate"/>
    <s v="MTG"/>
    <x v="45"/>
    <n v="4.3022888156892893"/>
  </r>
  <r>
    <x v="0"/>
    <s v="Bank of America"/>
    <s v="1Point Rate"/>
    <s v="MTG"/>
    <x v="46"/>
    <n v="4.3518590182395505"/>
  </r>
  <r>
    <x v="0"/>
    <s v="Bank of America"/>
    <s v="1Point Rate"/>
    <s v="MTG"/>
    <x v="47"/>
    <n v="4.3460350104353029"/>
  </r>
  <r>
    <x v="0"/>
    <s v="Bank of America"/>
    <s v="1Point Rate"/>
    <s v="MTG"/>
    <x v="48"/>
    <n v="4.2897559420131923"/>
  </r>
  <r>
    <x v="0"/>
    <s v="Bank of America"/>
    <s v="1Point Rate"/>
    <s v="MTG"/>
    <x v="49"/>
    <n v="4.2642808417652107"/>
  </r>
  <r>
    <x v="0"/>
    <s v="Bank of America"/>
    <s v="1Point Rate"/>
    <s v="MTG"/>
    <x v="50"/>
    <n v="4.2642808417652107"/>
  </r>
  <r>
    <x v="0"/>
    <s v="Bank of America"/>
    <s v="1Point Rate"/>
    <s v="MTG"/>
    <x v="51"/>
    <n v="4.2642808417652107"/>
  </r>
  <r>
    <x v="0"/>
    <s v="Bank of America"/>
    <s v="1Point Rate"/>
    <s v="MTG"/>
    <x v="52"/>
    <n v="4.2642808417652107"/>
  </r>
  <r>
    <x v="0"/>
    <s v="Bank of America"/>
    <s v="1Point Rate"/>
    <s v="MTG"/>
    <x v="53"/>
    <n v="4.2642808417652107"/>
  </r>
  <r>
    <x v="0"/>
    <s v="Bank of America"/>
    <s v="1Point Rate"/>
    <s v="MTG"/>
    <x v="54"/>
    <n v="4.2554972682965033"/>
  </r>
  <r>
    <x v="0"/>
    <s v="Bank of America"/>
    <s v="1Point Rate"/>
    <s v="MTG"/>
    <x v="55"/>
    <n v="4.3518590182395505"/>
  </r>
  <r>
    <x v="0"/>
    <s v="Bank of America"/>
    <s v="1Point Rate"/>
    <s v="MTG"/>
    <x v="56"/>
    <n v="4.3402089296616397"/>
  </r>
  <r>
    <x v="0"/>
    <s v="Bank of America"/>
    <s v="1Point Rate"/>
    <s v="MTG"/>
    <x v="57"/>
    <n v="4.3168838594099084"/>
  </r>
  <r>
    <x v="0"/>
    <s v="Bank of America"/>
    <s v="1Point Rate"/>
    <s v="MTG"/>
    <x v="58"/>
    <n v="4.3547702450498376"/>
  </r>
  <r>
    <x v="0"/>
    <s v="Bank of America"/>
    <s v="1Point Rate"/>
    <s v="MTG"/>
    <x v="59"/>
    <n v="4.3780414237322258"/>
  </r>
  <r>
    <x v="0"/>
    <s v="Bank of America"/>
    <s v="1Point Rate"/>
    <s v="MTG"/>
    <x v="60"/>
    <n v="4.3489472734036934"/>
  </r>
  <r>
    <x v="0"/>
    <s v="Bank of America"/>
    <s v="1Point Rate"/>
    <s v="MTG"/>
    <x v="61"/>
    <n v="4.2906034235109347"/>
  </r>
  <r>
    <x v="0"/>
    <s v="Bank of America"/>
    <s v="1Point Rate"/>
    <s v="MTG"/>
    <x v="62"/>
    <n v="4.2085721821838193"/>
  </r>
  <r>
    <x v="0"/>
    <s v="Bank of America"/>
    <s v="1Point Rate"/>
    <s v="MTG"/>
    <x v="63"/>
    <n v="4.3751343371947211"/>
  </r>
  <r>
    <x v="0"/>
    <s v="Bank of America"/>
    <s v="1Point Rate"/>
    <s v="MTG"/>
    <x v="64"/>
    <n v="4.3751343371947211"/>
  </r>
  <r>
    <x v="0"/>
    <s v="Bank of America"/>
    <s v="1Point Rate"/>
    <s v="MTG"/>
    <x v="65"/>
    <n v="4.4783040201842867"/>
  </r>
  <r>
    <x v="0"/>
    <s v="Bank of America"/>
    <s v="1Point Rate"/>
    <s v="MTG"/>
    <x v="66"/>
    <n v="4.4204074273666594"/>
  </r>
  <r>
    <x v="0"/>
    <s v="Bank of America"/>
    <s v="1Point Rate"/>
    <s v="MTG"/>
    <x v="67"/>
    <n v="4.506877778796885"/>
  </r>
  <r>
    <x v="0"/>
    <s v="Bank of America"/>
    <s v="1Point Rate"/>
    <s v="MTG"/>
    <x v="68"/>
    <n v="4.4982195751567664"/>
  </r>
  <r>
    <x v="0"/>
    <s v="Bank of America"/>
    <s v="1Point Rate"/>
    <s v="MTG"/>
    <x v="69"/>
    <n v="4.5731051550143587"/>
  </r>
  <r>
    <x v="0"/>
    <s v="Bank of America"/>
    <s v="1Point Rate"/>
    <s v="MTG"/>
    <x v="70"/>
    <n v="4.6190180362729505"/>
  </r>
  <r>
    <x v="0"/>
    <s v="Bank of America"/>
    <s v="1Point Rate"/>
    <s v="MTG"/>
    <x v="71"/>
    <n v="4.5446319580999752"/>
  </r>
  <r>
    <x v="0"/>
    <s v="Bank of America"/>
    <s v="1Point Rate"/>
    <s v="MTG"/>
    <x v="72"/>
    <n v="4.5273550581154201"/>
  </r>
  <r>
    <x v="0"/>
    <s v="Bank of America"/>
    <s v="1Point Rate"/>
    <s v="MTG"/>
    <x v="73"/>
    <n v="4.5302358163273126"/>
  </r>
  <r>
    <x v="0"/>
    <s v="Bank of America"/>
    <s v="1Point Rate"/>
    <s v="MTG"/>
    <x v="74"/>
    <n v="4.4927461331875742"/>
  </r>
  <r>
    <x v="0"/>
    <s v="Bank of America"/>
    <s v="1Point Rate"/>
    <s v="MTG"/>
    <x v="75"/>
    <n v="4.5014052622718115"/>
  </r>
  <r>
    <x v="0"/>
    <s v="Bank of America"/>
    <s v="1Point Rate"/>
    <s v="MTG"/>
    <x v="76"/>
    <n v="4.4464862944264567"/>
  </r>
  <r>
    <x v="0"/>
    <s v="Bank of America"/>
    <s v="1Point Rate"/>
    <s v="MTG"/>
    <x v="77"/>
    <n v="4.4088034557948594"/>
  </r>
  <r>
    <x v="0"/>
    <s v="Bank of America"/>
    <s v="1Point Rate"/>
    <s v="MTG"/>
    <x v="78"/>
    <n v="4.4493813788399832"/>
  </r>
  <r>
    <x v="0"/>
    <s v="Bank of America"/>
    <s v="1Point Rate"/>
    <s v="MTG"/>
    <x v="79"/>
    <n v="4.5270624197579012"/>
  </r>
  <r>
    <x v="0"/>
    <s v="Bank of America"/>
    <s v="1Point Rate"/>
    <s v="MTG"/>
    <x v="80"/>
    <n v="4.4895567814149242"/>
  </r>
  <r>
    <x v="0"/>
    <s v="Bank of America"/>
    <s v="1Point Rate"/>
    <s v="MTG"/>
    <x v="81"/>
    <n v="4.5011061529054421"/>
  </r>
  <r>
    <x v="0"/>
    <s v="Bank of America"/>
    <s v="1Point Rate"/>
    <s v="MTG"/>
    <x v="82"/>
    <n v="4.6052695045580423"/>
  </r>
  <r>
    <x v="0"/>
    <s v="Bank of America"/>
    <s v="1Point Rate"/>
    <s v="MTG"/>
    <x v="83"/>
    <n v="4.5759785098962773"/>
  </r>
  <r>
    <x v="0"/>
    <s v="Bank of America"/>
    <s v="1Point Rate"/>
    <s v="MTG"/>
    <x v="84"/>
    <n v="4.4924448895185813"/>
  </r>
  <r>
    <x v="0"/>
    <s v="Bank of America"/>
    <s v="1Point Rate"/>
    <s v="MTG"/>
    <x v="85"/>
    <n v="4.6333392501361672"/>
  </r>
  <r>
    <x v="0"/>
    <s v="Bank of America"/>
    <s v="1Point Rate"/>
    <s v="MTG"/>
    <x v="86"/>
    <n v="4.5673569234199736"/>
  </r>
  <r>
    <x v="0"/>
    <s v="Bank of America"/>
    <s v="1Point Rate"/>
    <s v="MTG"/>
    <x v="87"/>
    <n v="4.4953324873966052"/>
  </r>
  <r>
    <x v="0"/>
    <s v="Bank of America"/>
    <s v="1Point Rate"/>
    <s v="MTG"/>
    <x v="88"/>
    <n v="4.4985193972193684"/>
  </r>
  <r>
    <x v="0"/>
    <s v="Bank of America"/>
    <s v="1Point Rate"/>
    <s v="MTG"/>
    <x v="89"/>
    <n v="4.5446319580999752"/>
  </r>
  <r>
    <x v="0"/>
    <s v="Bank of America"/>
    <s v="1Point Rate"/>
    <s v="MTG"/>
    <x v="90"/>
    <n v="4.5446319580999752"/>
  </r>
  <r>
    <x v="0"/>
    <s v="Bank of America"/>
    <s v="1Point Rate"/>
    <s v="MTG"/>
    <x v="91"/>
    <n v="4.5960778002180591"/>
  </r>
  <r>
    <x v="0"/>
    <s v="Bank of America"/>
    <s v="1Point Rate"/>
    <s v="MTG"/>
    <x v="92"/>
    <n v="4.6425186326748173"/>
  </r>
  <r>
    <x v="0"/>
    <s v="Bank of America"/>
    <s v="1Point Rate"/>
    <s v="MTG"/>
    <x v="93"/>
    <n v="4.5472221224551266"/>
  </r>
  <r>
    <x v="0"/>
    <s v="Bank of America"/>
    <s v="1Point Rate"/>
    <s v="MTG"/>
    <x v="94"/>
    <n v="4.5472221224551266"/>
  </r>
  <r>
    <x v="0"/>
    <s v="Bank of America"/>
    <s v="1Point Rate"/>
    <s v="MTG"/>
    <x v="95"/>
    <n v="4.4779992446135664"/>
  </r>
  <r>
    <x v="0"/>
    <s v="Bank of America"/>
    <s v="1Point Rate"/>
    <s v="MTG"/>
    <x v="96"/>
    <n v="4.4461738601142571"/>
  </r>
  <r>
    <x v="0"/>
    <s v="Bank of America"/>
    <s v="1Point Rate"/>
    <s v="MTG"/>
    <x v="97"/>
    <n v="4.4461738601142571"/>
  </r>
  <r>
    <x v="0"/>
    <s v="Bank of America"/>
    <s v="1Point Rate"/>
    <s v="MTG"/>
    <x v="98"/>
    <n v="4.4696326089388583"/>
  </r>
  <r>
    <x v="0"/>
    <s v="Bank of America"/>
    <s v="1Point Rate"/>
    <s v="MTG"/>
    <x v="99"/>
    <n v="4.4811934664059407"/>
  </r>
  <r>
    <x v="0"/>
    <s v="Bank of America"/>
    <s v="1Point Rate"/>
    <s v="MTG"/>
    <x v="100"/>
    <n v="4.4522759501537079"/>
  </r>
  <r>
    <x v="0"/>
    <s v="Bank of America"/>
    <s v="1Point Rate"/>
    <s v="MTG"/>
    <x v="101"/>
    <n v="4.4204074273666594"/>
  </r>
  <r>
    <x v="0"/>
    <s v="Bank of America"/>
    <s v="1Point Rate"/>
    <s v="MTG"/>
    <x v="102"/>
    <n v="4.4406945858636773"/>
  </r>
  <r>
    <x v="0"/>
    <s v="Bank of America"/>
    <s v="1Point Rate"/>
    <s v="MTG"/>
    <x v="103"/>
    <n v="4.4493813788399832"/>
  </r>
  <r>
    <x v="0"/>
    <s v="Bank of America"/>
    <s v="1Point Rate"/>
    <s v="MTG"/>
    <x v="104"/>
    <n v="4.4609565865630021"/>
  </r>
  <r>
    <x v="0"/>
    <s v="Bank of America"/>
    <s v="1Point Rate"/>
    <s v="MTG"/>
    <x v="105"/>
    <n v="4.4898587339935672"/>
  </r>
  <r>
    <x v="0"/>
    <s v="Bank of America"/>
    <s v="1Point Rate"/>
    <s v="MTG"/>
    <x v="106"/>
    <n v="4.3739421106982554"/>
  </r>
  <r>
    <x v="0"/>
    <s v="Bank of America"/>
    <s v="1Point Rate"/>
    <s v="MTG"/>
    <x v="107"/>
    <n v="4.3855708043827342"/>
  </r>
  <r>
    <x v="0"/>
    <s v="Bank of America"/>
    <s v="1Point Rate"/>
    <s v="MTG"/>
    <x v="108"/>
    <n v="4.4146064703713783"/>
  </r>
  <r>
    <x v="0"/>
    <s v="Bank of America"/>
    <s v="1Point Rate"/>
    <s v="MTG"/>
    <x v="109"/>
    <n v="4.5014052622718115"/>
  </r>
  <r>
    <x v="0"/>
    <s v="Bank of America"/>
    <s v="1Point Rate"/>
    <s v="MTG"/>
    <x v="110"/>
    <n v="4.5129436118874455"/>
  </r>
  <r>
    <x v="0"/>
    <s v="Bank of America"/>
    <s v="1Point Rate"/>
    <s v="MTG"/>
    <x v="111"/>
    <n v="4.3477473586080162"/>
  </r>
  <r>
    <x v="0"/>
    <s v="Bank of America"/>
    <s v="1Point Rate"/>
    <s v="MTG"/>
    <x v="112"/>
    <n v="4.4175072060123801"/>
  </r>
  <r>
    <x v="0"/>
    <s v="Bank of America"/>
    <s v="1Point Rate"/>
    <s v="MTG"/>
    <x v="113"/>
    <n v="4.3652151737597782"/>
  </r>
  <r>
    <x v="0"/>
    <s v="Bank of America"/>
    <s v="1Point Rate"/>
    <s v="MTG"/>
    <x v="114"/>
    <n v="4.4070838695955894"/>
  </r>
  <r>
    <x v="0"/>
    <s v="Bank of America"/>
    <s v="1Point Rate"/>
    <s v="MTG"/>
    <x v="115"/>
    <n v="4.3623051624544651"/>
  </r>
  <r>
    <x v="0"/>
    <s v="Bank of America"/>
    <s v="1Point Rate"/>
    <s v="MTG"/>
    <x v="116"/>
    <n v="4.4320031720673221"/>
  </r>
  <r>
    <x v="0"/>
    <s v="Bank of America"/>
    <s v="1Point Rate"/>
    <s v="MTG"/>
    <x v="117"/>
    <n v="4.3185929708734827"/>
  </r>
  <r>
    <x v="0"/>
    <s v="Bank of America"/>
    <s v="1Point Rate"/>
    <s v="MTG"/>
    <x v="118"/>
    <n v="4.3623051624544651"/>
  </r>
  <r>
    <x v="0"/>
    <s v="Bank of America"/>
    <s v="1Point Rate"/>
    <s v="MTG"/>
    <x v="119"/>
    <n v="4.3739421106982554"/>
  </r>
  <r>
    <x v="0"/>
    <s v="Bank of America"/>
    <s v="1Point Rate"/>
    <s v="MTG"/>
    <x v="120"/>
    <n v="4.3402089296616397"/>
  </r>
  <r>
    <x v="0"/>
    <s v="Bank of America"/>
    <s v="1Point Rate"/>
    <s v="MTG"/>
    <x v="121"/>
    <n v="4.2964471598000369"/>
  </r>
  <r>
    <x v="0"/>
    <s v="Bank of America"/>
    <s v="1Point Rate"/>
    <s v="MTG"/>
    <x v="122"/>
    <n v="4.2341459139538875"/>
  </r>
  <r>
    <x v="0"/>
    <s v="Bank of America"/>
    <s v="1Point Rate"/>
    <s v="MTG"/>
    <x v="123"/>
    <n v="4.2935255517595659"/>
  </r>
  <r>
    <x v="0"/>
    <s v="Bank of America"/>
    <s v="1Point Rate"/>
    <s v="MTG"/>
    <x v="124"/>
    <n v="4.3605911450345749"/>
  </r>
  <r>
    <x v="0"/>
    <s v="Bank of America"/>
    <s v="1Point Rate"/>
    <s v="MTG"/>
    <x v="125"/>
    <n v="4.2659844704607144"/>
  </r>
  <r>
    <x v="0"/>
    <s v="Bank of America"/>
    <s v="1Point Rate"/>
    <s v="MTG"/>
    <x v="126"/>
    <n v="4.2132075105238744"/>
  </r>
  <r>
    <x v="0"/>
    <s v="Bank of America"/>
    <s v="1Point Rate"/>
    <s v="MTG"/>
    <x v="127"/>
    <n v="4.2073329774115562"/>
  </r>
  <r>
    <x v="0"/>
    <s v="Bank of America"/>
    <s v="1Point Rate"/>
    <s v="MTG"/>
    <x v="128"/>
    <n v="4.2484108996908265"/>
  </r>
  <r>
    <x v="0"/>
    <s v="Bank of America"/>
    <s v="1Point Rate"/>
    <s v="MTG"/>
    <x v="129"/>
    <n v="4.2981540865235441"/>
  </r>
  <r>
    <x v="0"/>
    <s v="Bank of America"/>
    <s v="1Point Rate"/>
    <s v="MTG"/>
    <x v="130"/>
    <n v="4.1896968435167041"/>
  </r>
  <r>
    <x v="0"/>
    <s v="Bank of America"/>
    <s v="1Point Rate"/>
    <s v="MTG"/>
    <x v="131"/>
    <n v="4.1661527181973517"/>
  </r>
  <r>
    <x v="0"/>
    <s v="Bank of America"/>
    <s v="1Point Rate"/>
    <s v="MTG"/>
    <x v="132"/>
    <n v="4.2513411289951666"/>
  </r>
  <r>
    <x v="0"/>
    <s v="Bank of America"/>
    <s v="1Point Rate"/>
    <s v="MTG"/>
    <x v="133"/>
    <n v="4.2689115785087015"/>
  </r>
  <r>
    <x v="0"/>
    <s v="Bank of America"/>
    <s v="1Point Rate"/>
    <s v="MTG"/>
    <x v="134"/>
    <n v="4.2484108996908265"/>
  </r>
  <r>
    <x v="0"/>
    <s v="Bank of America"/>
    <s v="1Point Rate"/>
    <s v="MTG"/>
    <x v="135"/>
    <n v="4.2278847118467544"/>
  </r>
  <r>
    <x v="0"/>
    <s v="Bank of America"/>
    <s v="1Point Rate"/>
    <s v="MTG"/>
    <x v="136"/>
    <n v="4.2220153961616571"/>
  </r>
  <r>
    <x v="0"/>
    <s v="Bank of America"/>
    <s v="1Point Rate"/>
    <s v="MTG"/>
    <x v="137"/>
    <n v="4.2659844704607144"/>
  </r>
  <r>
    <x v="0"/>
    <s v="Bank of America"/>
    <s v="1Point Rate"/>
    <s v="MTG"/>
    <x v="138"/>
    <n v="4.3065726711167507"/>
  </r>
  <r>
    <x v="0"/>
    <s v="Bank of America"/>
    <s v="1Point Rate"/>
    <s v="MTG"/>
    <x v="139"/>
    <n v="4.2981540865235441"/>
  </r>
  <r>
    <x v="0"/>
    <s v="Bank of America"/>
    <s v="1Point Rate"/>
    <s v="MTG"/>
    <x v="140"/>
    <n v="4.2085721821838193"/>
  </r>
  <r>
    <x v="0"/>
    <s v="Bank of America"/>
    <s v="1Point Rate"/>
    <s v="MTG"/>
    <x v="141"/>
    <n v="4.1543680910694123"/>
  </r>
  <r>
    <x v="0"/>
    <s v="Bank of America"/>
    <s v="1Point Rate"/>
    <s v="MTG"/>
    <x v="142"/>
    <n v="4.1749856896618471"/>
  </r>
  <r>
    <x v="0"/>
    <s v="Bank of America"/>
    <s v="1Point Rate"/>
    <s v="MTG"/>
    <x v="143"/>
    <n v="4.1690975655386646"/>
  </r>
  <r>
    <x v="0"/>
    <s v="Bank of America"/>
    <s v="1Point Rate"/>
    <s v="MTG"/>
    <x v="144"/>
    <n v="4.2291183677260413"/>
  </r>
  <r>
    <x v="0"/>
    <s v="Bank of America"/>
    <s v="1Point Rate"/>
    <s v="MTG"/>
    <x v="145"/>
    <n v="4.1955776447865043"/>
  </r>
  <r>
    <x v="0"/>
    <s v="Bank of America"/>
    <s v="1Point Rate"/>
    <s v="MTG"/>
    <x v="146"/>
    <n v="4.1867556587570789"/>
  </r>
  <r>
    <x v="0"/>
    <s v="Bank of America"/>
    <s v="1Point Rate"/>
    <s v="MTG"/>
    <x v="147"/>
    <n v="4.1720418893230349"/>
  </r>
  <r>
    <x v="0"/>
    <s v="Bank of America"/>
    <s v="1Point Rate"/>
    <s v="MTG"/>
    <x v="148"/>
    <n v="4.2349840011791029"/>
  </r>
  <r>
    <x v="0"/>
    <s v="Bank of America"/>
    <s v="1Point Rate"/>
    <s v="MTG"/>
    <x v="149"/>
    <n v="4.1674028340858227"/>
  </r>
  <r>
    <x v="0"/>
    <s v="Bank of America"/>
    <s v="1Point Rate"/>
    <s v="MTG"/>
    <x v="150"/>
    <n v="4.126130597381807"/>
  </r>
  <r>
    <x v="0"/>
    <s v="Bank of America"/>
    <s v="1Point Rate"/>
    <s v="MTG"/>
    <x v="151"/>
    <n v="4.1143195893331752"/>
  </r>
  <r>
    <x v="0"/>
    <s v="Bank of America"/>
    <s v="1Point Rate"/>
    <s v="MTG"/>
    <x v="152"/>
    <n v="4.1674028340858227"/>
  </r>
  <r>
    <x v="0"/>
    <s v="Bank of America"/>
    <s v="1Point Rate"/>
    <s v="MTG"/>
    <x v="153"/>
    <n v="4.1703469103349287"/>
  </r>
  <r>
    <x v="0"/>
    <s v="Bank of America"/>
    <s v="1Point Rate"/>
    <s v="MTG"/>
    <x v="154"/>
    <n v="4.1762334884512189"/>
  </r>
  <r>
    <x v="0"/>
    <s v="Bank of America"/>
    <s v="1Point Rate"/>
    <s v="MTG"/>
    <x v="155"/>
    <n v="4.1968199924512142"/>
  </r>
  <r>
    <x v="0"/>
    <s v="Bank of America"/>
    <s v="1Point Rate"/>
    <s v="MTG"/>
    <x v="156"/>
    <n v="4.1674028340858227"/>
  </r>
  <r>
    <x v="0"/>
    <s v="Bank of America"/>
    <s v="1Point Rate"/>
    <s v="MTG"/>
    <x v="157"/>
    <n v="4.1379331815548976"/>
  </r>
  <r>
    <x v="0"/>
    <s v="Bank of America"/>
    <s v="1Point Rate"/>
    <s v="MTG"/>
    <x v="158"/>
    <n v="4.1231786353861342"/>
  </r>
  <r>
    <x v="0"/>
    <s v="Bank of America"/>
    <s v="1Point Rate"/>
    <s v="MTG"/>
    <x v="159"/>
    <n v="4.1290820328863767"/>
  </r>
  <r>
    <x v="0"/>
    <s v="Bank of America"/>
    <s v="1Point Rate"/>
    <s v="MTG"/>
    <x v="160"/>
    <n v="4.1113655202581336"/>
  </r>
  <r>
    <x v="0"/>
    <s v="Bank of America"/>
    <s v="1Point Rate"/>
    <s v="MTG"/>
    <x v="161"/>
    <n v="4.1202261467859813"/>
  </r>
  <r>
    <x v="0"/>
    <s v="Bank of America"/>
    <s v="1Point Rate"/>
    <s v="MTG"/>
    <x v="162"/>
    <n v="4.102500150302923"/>
  </r>
  <r>
    <x v="0"/>
    <s v="Bank of America"/>
    <s v="1Point Rate"/>
    <s v="MTG"/>
    <x v="163"/>
    <n v="4.0758755498697496"/>
  </r>
  <r>
    <x v="0"/>
    <s v="Bank of America"/>
    <s v="1Point Rate"/>
    <s v="MTG"/>
    <x v="164"/>
    <n v="4.0758755498697496"/>
  </r>
  <r>
    <x v="0"/>
    <s v="Bank of America"/>
    <s v="1Point Rate"/>
    <s v="MTG"/>
    <x v="165"/>
    <n v="4.105455800854287"/>
  </r>
  <r>
    <x v="0"/>
    <s v="Bank of America"/>
    <s v="1Point Rate"/>
    <s v="MTG"/>
    <x v="166"/>
    <n v="4.0847551681119691"/>
  </r>
  <r>
    <x v="0"/>
    <s v="Bank of America"/>
    <s v="1Point Rate"/>
    <s v="MTG"/>
    <x v="167"/>
    <n v="4.0817958235616114"/>
  </r>
  <r>
    <x v="0"/>
    <s v="Bank of America"/>
    <s v="1Point Rate"/>
    <s v="MTG"/>
    <x v="168"/>
    <n v="4.2144451362355886"/>
  </r>
  <r>
    <x v="0"/>
    <s v="Bank of America"/>
    <s v="1Point Rate"/>
    <s v="MTG"/>
    <x v="169"/>
    <n v="4.2320514457091392"/>
  </r>
  <r>
    <x v="0"/>
    <s v="Bank of America"/>
    <s v="1Point Rate"/>
    <s v="MTG"/>
    <x v="170"/>
    <n v="4.1850594213293615"/>
  </r>
  <r>
    <x v="0"/>
    <s v="Bank of America"/>
    <s v="1Point Rate"/>
    <s v="MTG"/>
    <x v="171"/>
    <n v="4.1821179681285399"/>
  </r>
  <r>
    <x v="0"/>
    <s v="Bank of America"/>
    <s v="1Point Rate"/>
    <s v="MTG"/>
    <x v="172"/>
    <n v="4.1484726333034283"/>
  </r>
  <r>
    <x v="0"/>
    <s v="Bank of America"/>
    <s v="1Point Rate"/>
    <s v="MTG"/>
    <x v="173"/>
    <n v="4.2073329774115562"/>
  </r>
  <r>
    <x v="0"/>
    <s v="Bank of America"/>
    <s v="1Point Rate"/>
    <s v="MTG"/>
    <x v="174"/>
    <n v="4.2923097382949242"/>
  </r>
  <r>
    <x v="0"/>
    <s v="Bank of America"/>
    <s v="1Point Rate"/>
    <s v="MTG"/>
    <x v="175"/>
    <n v="4.2831902952287439"/>
  </r>
  <r>
    <x v="0"/>
    <s v="Bank of America"/>
    <s v="1Point Rate"/>
    <s v="MTG"/>
    <x v="176"/>
    <n v="4.2978081615169801"/>
  </r>
  <r>
    <x v="0"/>
    <s v="Bank of America"/>
    <s v="1Point Rate"/>
    <s v="MTG"/>
    <x v="177"/>
    <n v="4.2802651684494641"/>
  </r>
  <r>
    <x v="0"/>
    <s v="Bank of America"/>
    <s v="1Point Rate"/>
    <s v="MTG"/>
    <x v="178"/>
    <n v="4.3039963598094522"/>
  </r>
  <r>
    <x v="0"/>
    <s v="Bank of America"/>
    <s v="1Point Rate"/>
    <s v="MTG"/>
    <x v="179"/>
    <n v="4.2864633142523001"/>
  </r>
  <r>
    <x v="0"/>
    <s v="Bank of America"/>
    <s v="1Point Rate"/>
    <s v="MTG"/>
    <x v="180"/>
    <n v="4.2806148135221429"/>
  </r>
  <r>
    <x v="0"/>
    <s v="Bank of America"/>
    <s v="1Point Rate"/>
    <s v="MTG"/>
    <x v="181"/>
    <n v="4.2689115785087015"/>
  </r>
  <r>
    <x v="0"/>
    <s v="Bank of America"/>
    <s v="1Point Rate"/>
    <s v="MTG"/>
    <x v="182"/>
    <n v="4.2278847118467544"/>
  </r>
  <r>
    <x v="0"/>
    <s v="Bank of America"/>
    <s v="1Point Rate"/>
    <s v="MTG"/>
    <x v="183"/>
    <n v="4.224950314738753"/>
  </r>
  <r>
    <x v="0"/>
    <s v="Bank of America"/>
    <s v="1Point Rate"/>
    <s v="MTG"/>
    <x v="184"/>
    <n v="4.2776897841265393"/>
  </r>
  <r>
    <x v="0"/>
    <s v="Bank of America"/>
    <s v="1Point Rate"/>
    <s v="MTG"/>
    <x v="185"/>
    <n v="4.2689115785087015"/>
  </r>
  <r>
    <x v="0"/>
    <s v="Bank of America"/>
    <s v="1Point Rate"/>
    <s v="MTG"/>
    <x v="186"/>
    <n v="4.3069167186221247"/>
  </r>
  <r>
    <x v="0"/>
    <s v="Bank of America"/>
    <s v="1Point Rate"/>
    <s v="MTG"/>
    <x v="187"/>
    <n v="4.2981540865235441"/>
  </r>
  <r>
    <x v="0"/>
    <s v="Bank of America"/>
    <s v="1Point Rate"/>
    <s v="MTG"/>
    <x v="188"/>
    <n v="4.3010754824792077"/>
  </r>
  <r>
    <x v="0"/>
    <s v="Bank of America"/>
    <s v="1Point Rate"/>
    <s v="MTG"/>
    <x v="189"/>
    <n v="4.2747642352322801"/>
  </r>
  <r>
    <x v="0"/>
    <s v="Bank of America"/>
    <s v="1Point Rate"/>
    <s v="MTG"/>
    <x v="190"/>
    <n v="4.2454801497938641"/>
  </r>
  <r>
    <x v="0"/>
    <s v="Bank of America"/>
    <s v="1Point Rate"/>
    <s v="MTG"/>
    <x v="191"/>
    <n v="4.3270050994940847"/>
  </r>
  <r>
    <x v="0"/>
    <s v="Bank of America"/>
    <s v="1Point Rate"/>
    <s v="MTG"/>
    <x v="192"/>
    <n v="4.2627035239995106"/>
  </r>
  <r>
    <x v="0"/>
    <s v="Bank of America"/>
    <s v="1Point Rate"/>
    <s v="MTG"/>
    <x v="193"/>
    <n v="4.3069167186221247"/>
  </r>
  <r>
    <x v="0"/>
    <s v="Bank of America"/>
    <s v="1Point Rate"/>
    <s v="MTG"/>
    <x v="194"/>
    <n v="4.2484108996908265"/>
  </r>
  <r>
    <x v="0"/>
    <s v="Bank of America"/>
    <s v="1Point Rate"/>
    <s v="MTG"/>
    <x v="195"/>
    <n v="4.2659844704607144"/>
  </r>
  <r>
    <x v="0"/>
    <s v="Bank of America"/>
    <s v="1Point Rate"/>
    <s v="MTG"/>
    <x v="196"/>
    <n v="4.2718381667285747"/>
  </r>
  <r>
    <x v="0"/>
    <s v="Bank of America"/>
    <s v="1Point Rate"/>
    <s v="MTG"/>
    <x v="197"/>
    <n v="4.2981540865235441"/>
  </r>
  <r>
    <x v="0"/>
    <s v="Bank of America"/>
    <s v="1Point Rate"/>
    <s v="MTG"/>
    <x v="198"/>
    <n v="4.321169846229119"/>
  </r>
  <r>
    <x v="0"/>
    <s v="Bank of America"/>
    <s v="1Point Rate"/>
    <s v="MTG"/>
    <x v="199"/>
    <n v="4.432241325153659"/>
  </r>
  <r>
    <x v="0"/>
    <s v="Bank of America"/>
    <s v="1Point Rate"/>
    <s v="MTG"/>
    <x v="200"/>
    <n v="4.3881507237947863"/>
  </r>
  <r>
    <x v="0"/>
    <s v="Bank of America"/>
    <s v="1Point Rate"/>
    <s v="MTG"/>
    <x v="201"/>
    <n v="4.309493139938624"/>
  </r>
  <r>
    <x v="0"/>
    <s v="Bank of America"/>
    <s v="1Point Rate"/>
    <s v="MTG"/>
    <x v="202"/>
    <n v="4.3039963598094522"/>
  </r>
  <r>
    <x v="0"/>
    <s v="Bank of America"/>
    <s v="1Point Rate"/>
    <s v="MTG"/>
    <x v="203"/>
    <n v="4.2601286944480448"/>
  </r>
  <r>
    <x v="0"/>
    <s v="Bank of America"/>
    <s v="1Point Rate"/>
    <s v="MTG"/>
    <x v="204"/>
    <n v="4.2714866791154122"/>
  </r>
  <r>
    <x v="0"/>
    <s v="Bank of America"/>
    <s v="1Point Rate"/>
    <s v="MTG"/>
    <x v="205"/>
    <n v="4.3677940887453044"/>
  </r>
  <r>
    <x v="0"/>
    <s v="Bank of America"/>
    <s v="1Point Rate"/>
    <s v="MTG"/>
    <x v="206"/>
    <n v="4.3648839395113539"/>
  </r>
  <r>
    <x v="0"/>
    <s v="Bank of America"/>
    <s v="1Point Rate"/>
    <s v="MTG"/>
    <x v="207"/>
    <n v="4.3794295383213715"/>
  </r>
  <r>
    <x v="0"/>
    <s v="Bank of America"/>
    <s v="1Point Rate"/>
    <s v="MTG"/>
    <x v="208"/>
    <n v="4.3619732753244458"/>
  </r>
  <r>
    <x v="0"/>
    <s v="Bank of America"/>
    <s v="1Point Rate"/>
    <s v="MTG"/>
    <x v="209"/>
    <n v="4.3590620960775004"/>
  </r>
  <r>
    <x v="0"/>
    <s v="Bank of America"/>
    <s v="1Point Rate"/>
    <s v="MTG"/>
    <x v="210"/>
    <n v="4.3069167186221247"/>
  </r>
  <r>
    <x v="0"/>
    <s v="Bank of America"/>
    <s v="1Point Rate"/>
    <s v="MTG"/>
    <x v="211"/>
    <n v="4.309493139938624"/>
  </r>
  <r>
    <x v="0"/>
    <s v="Bank of America"/>
    <s v="1Point Rate"/>
    <s v="MTG"/>
    <x v="212"/>
    <n v="4.3039963598094522"/>
  </r>
  <r>
    <x v="0"/>
    <s v="Bank of America"/>
    <s v="1Point Rate"/>
    <s v="MTG"/>
    <x v="213"/>
    <n v="4.2542708378161587"/>
  </r>
  <r>
    <x v="0"/>
    <s v="Bank of America"/>
    <s v="1Point Rate"/>
    <s v="MTG"/>
    <x v="214"/>
    <n v="4.2718381667285747"/>
  </r>
  <r>
    <x v="0"/>
    <s v="Bank of America"/>
    <s v="1Point Rate"/>
    <s v="MTG"/>
    <x v="215"/>
    <n v="4.2864633142523001"/>
  </r>
  <r>
    <x v="0"/>
    <s v="Bank of America"/>
    <s v="1Point Rate"/>
    <s v="MTG"/>
    <x v="216"/>
    <n v="4.2278847118467544"/>
  </r>
  <r>
    <x v="0"/>
    <s v="Bank of America"/>
    <s v="1Point Rate"/>
    <s v="MTG"/>
    <x v="217"/>
    <n v="4.2601286944480448"/>
  </r>
  <r>
    <x v="0"/>
    <s v="Bank of America"/>
    <s v="1Point Rate"/>
    <s v="MTG"/>
    <x v="218"/>
    <n v="4.2337519420959611"/>
  </r>
  <r>
    <x v="0"/>
    <s v="Bank of America"/>
    <s v="1Point Rate"/>
    <s v="MTG"/>
    <x v="219"/>
    <n v="4.2320514457091392"/>
  </r>
  <r>
    <x v="0"/>
    <s v="Bank of America"/>
    <s v="1Point Rate"/>
    <s v="MTG"/>
    <x v="220"/>
    <n v="4.1720418893230349"/>
  </r>
  <r>
    <x v="0"/>
    <s v="Bank of America"/>
    <s v="1Point Rate"/>
    <s v="MTG"/>
    <x v="221"/>
    <n v="4.1997588253638858"/>
  </r>
  <r>
    <x v="0"/>
    <s v="Bank of America"/>
    <s v="1Point Rate"/>
    <s v="MTG"/>
    <x v="222"/>
    <n v="4.1349833248614178"/>
  </r>
  <r>
    <x v="0"/>
    <s v="Bank of America"/>
    <s v="1Point Rate"/>
    <s v="MTG"/>
    <x v="223"/>
    <n v="4.2190799560072145"/>
  </r>
  <r>
    <x v="0"/>
    <s v="Bank of America"/>
    <s v="1Point Rate"/>
    <s v="MTG"/>
    <x v="224"/>
    <n v="4.1955776447865043"/>
  </r>
  <r>
    <x v="0"/>
    <s v="Bank of America"/>
    <s v="1Point Rate"/>
    <s v="MTG"/>
    <x v="225"/>
    <n v="4.2026971345497621"/>
  </r>
  <r>
    <x v="0"/>
    <s v="Bank of America"/>
    <s v="1Point Rate"/>
    <s v="MTG"/>
    <x v="226"/>
    <n v="4.2026971345497621"/>
  </r>
  <r>
    <x v="0"/>
    <s v="Bank of America"/>
    <s v="1Point Rate"/>
    <s v="MTG"/>
    <x v="227"/>
    <n v="4.1690975655386646"/>
  </r>
  <r>
    <x v="0"/>
    <s v="Bank of America"/>
    <s v="1Point Rate"/>
    <s v="MTG"/>
    <x v="228"/>
    <n v="4.1556212785682742"/>
  </r>
  <r>
    <x v="0"/>
    <s v="Bank of America"/>
    <s v="1Point Rate"/>
    <s v="MTG"/>
    <x v="229"/>
    <n v="4.1938806357020679"/>
  </r>
  <r>
    <x v="0"/>
    <s v="Bank of America"/>
    <s v="1Point Rate"/>
    <s v="MTG"/>
    <x v="230"/>
    <n v="4.105455800854287"/>
  </r>
  <r>
    <x v="0"/>
    <s v="Bank of America"/>
    <s v="1Point Rate"/>
    <s v="MTG"/>
    <x v="231"/>
    <n v="4.099543972372329"/>
  </r>
  <r>
    <x v="0"/>
    <s v="Bank of America"/>
    <s v="1Point Rate"/>
    <s v="MTG"/>
    <x v="232"/>
    <n v="4.0788359508504897"/>
  </r>
  <r>
    <x v="0"/>
    <s v="Bank of America"/>
    <s v="1Point Rate"/>
    <s v="MTG"/>
    <x v="233"/>
    <n v="4.0936300339223344"/>
  </r>
  <r>
    <x v="0"/>
    <s v="Bank of America"/>
    <s v="1Point Rate"/>
    <s v="MTG"/>
    <x v="234"/>
    <n v="4.0610656170015185"/>
  </r>
  <r>
    <x v="0"/>
    <s v="Bank of America"/>
    <s v="1Point Rate"/>
    <s v="MTG"/>
    <x v="235"/>
    <n v="3.9711272820705292"/>
  </r>
  <r>
    <x v="0"/>
    <s v="Bank of America"/>
    <s v="1Point Rate"/>
    <s v="MTG"/>
    <x v="236"/>
    <n v="4.049208150466348"/>
  </r>
  <r>
    <x v="0"/>
    <s v="Bank of America"/>
    <s v="1Point Rate"/>
    <s v="MTG"/>
    <x v="237"/>
    <n v="3.911443077961068"/>
  </r>
  <r>
    <x v="0"/>
    <s v="Bank of America"/>
    <s v="1Point Rate"/>
    <s v="MTG"/>
    <x v="238"/>
    <n v="4.0640286610076064"/>
  </r>
  <r>
    <x v="0"/>
    <s v="Bank of America"/>
    <s v="1Point Rate"/>
    <s v="MTG"/>
    <x v="239"/>
    <n v="4.0729146205057845"/>
  </r>
  <r>
    <x v="0"/>
    <s v="Bank of America"/>
    <s v="1Point Rate"/>
    <s v="MTG"/>
    <x v="240"/>
    <n v="4.0729146205057845"/>
  </r>
  <r>
    <x v="0"/>
    <s v="Bank of America"/>
    <s v="1Point Rate"/>
    <s v="MTG"/>
    <x v="241"/>
    <n v="4.0432762413312"/>
  </r>
  <r>
    <x v="0"/>
    <s v="Bank of America"/>
    <s v="1Point Rate"/>
    <s v="MTG"/>
    <x v="242"/>
    <n v="4.0254677997339217"/>
  </r>
  <r>
    <x v="0"/>
    <s v="Bank of America"/>
    <s v="1Point Rate"/>
    <s v="MTG"/>
    <x v="243"/>
    <n v="4.0758755498697496"/>
  </r>
  <r>
    <x v="0"/>
    <s v="Bank of America"/>
    <s v="1Point Rate"/>
    <s v="MTG"/>
    <x v="244"/>
    <n v="4.1202261467859813"/>
  </r>
  <r>
    <x v="0"/>
    <s v="Bank of America"/>
    <s v="1Point Rate"/>
    <s v="MTG"/>
    <x v="245"/>
    <n v="4.0432762413312"/>
  </r>
  <r>
    <x v="0"/>
    <s v="Bank of America"/>
    <s v="1Point Rate"/>
    <s v="MTG"/>
    <x v="246"/>
    <n v="4.0699531626481287"/>
  </r>
  <r>
    <x v="0"/>
    <s v="Bank of America"/>
    <s v="1Point Rate"/>
    <s v="MTG"/>
    <x v="247"/>
    <n v="4.087713984615517"/>
  </r>
  <r>
    <x v="0"/>
    <s v="Bank of America"/>
    <s v="1Point Rate"/>
    <s v="MTG"/>
    <x v="248"/>
    <n v="4.105455800854287"/>
  </r>
  <r>
    <x v="0"/>
    <s v="Bank of America"/>
    <s v="1Point Rate"/>
    <s v="MTG"/>
    <x v="249"/>
    <n v="4.1762334884512189"/>
  </r>
  <r>
    <x v="0"/>
    <s v="Bank of America"/>
    <s v="1Point Rate"/>
    <s v="MTG"/>
    <x v="250"/>
    <n v="4.0551379420588836"/>
  </r>
  <r>
    <x v="0"/>
    <s v="Bank of America"/>
    <s v="1Point Rate"/>
    <s v="MTG"/>
    <x v="251"/>
    <n v="4.0462424606468641"/>
  </r>
  <r>
    <x v="0"/>
    <s v="Bank of America"/>
    <s v="1Point Rate"/>
    <s v="MTG"/>
    <x v="252"/>
    <n v="4.0847551681119691"/>
  </r>
  <r>
    <x v="0"/>
    <s v="Bank of America"/>
    <s v="1Point Rate"/>
    <s v="MTG"/>
    <x v="253"/>
    <n v="4.087713984615517"/>
  </r>
  <r>
    <x v="0"/>
    <s v="Bank of America"/>
    <s v="1Point Rate"/>
    <s v="MTG"/>
    <x v="254"/>
    <n v="4.1231786353861342"/>
  </r>
  <r>
    <x v="0"/>
    <s v="Bank of America"/>
    <s v="1Point Rate"/>
    <s v="MTG"/>
    <x v="255"/>
    <n v="4.1438313169051328"/>
  </r>
  <r>
    <x v="0"/>
    <s v="Bank of America"/>
    <s v="1Point Rate"/>
    <s v="MTG"/>
    <x v="256"/>
    <n v="4.0847551681119691"/>
  </r>
  <r>
    <x v="0"/>
    <s v="Bank of America"/>
    <s v="1Point Rate"/>
    <s v="MTG"/>
    <x v="257"/>
    <n v="4.1703469103349287"/>
  </r>
  <r>
    <x v="0"/>
    <s v="Bank of America"/>
    <s v="1Point Rate"/>
    <s v="MTG"/>
    <x v="258"/>
    <n v="4.1556212785682742"/>
  </r>
  <r>
    <x v="0"/>
    <s v="Bank of America"/>
    <s v="1Point Rate"/>
    <s v="MTG"/>
    <x v="259"/>
    <n v="4.1320329420089141"/>
  </r>
  <r>
    <x v="0"/>
    <s v="Bank of America"/>
    <s v="1Point Rate"/>
    <s v="MTG"/>
    <x v="260"/>
    <n v="4.0610656170015185"/>
  </r>
  <r>
    <x v="0"/>
    <s v="Bank of America"/>
    <s v="1Point Rate"/>
    <s v="MTG"/>
    <x v="261"/>
    <n v="4.0729146205057845"/>
  </r>
  <r>
    <x v="0"/>
    <s v="Bank of America"/>
    <s v="1Point Rate"/>
    <s v="MTG"/>
    <x v="262"/>
    <n v="4.0936300339223344"/>
  </r>
  <r>
    <x v="0"/>
    <s v="Bank of America"/>
    <s v="1Point Rate"/>
    <s v="MTG"/>
    <x v="263"/>
    <n v="4.1202261467859813"/>
  </r>
  <r>
    <x v="0"/>
    <s v="Bank of America"/>
    <s v="1Point Rate"/>
    <s v="MTG"/>
    <x v="264"/>
    <n v="4.1467795957841771"/>
  </r>
  <r>
    <x v="0"/>
    <s v="Bank of America"/>
    <s v="1Point Rate"/>
    <s v="MTG"/>
    <x v="265"/>
    <n v="4.0669911761866535"/>
  </r>
  <r>
    <x v="0"/>
    <s v="Bank of America"/>
    <s v="1Point Rate"/>
    <s v="MTG"/>
    <x v="266"/>
    <n v="4.049208150466348"/>
  </r>
  <r>
    <x v="0"/>
    <s v="Bank of America"/>
    <s v="1Point Rate"/>
    <s v="MTG"/>
    <x v="267"/>
    <n v="3.9979154753353749"/>
  </r>
  <r>
    <x v="0"/>
    <s v="Bank of America"/>
    <s v="1Point Rate"/>
    <s v="MTG"/>
    <x v="268"/>
    <n v="3.9889908755802277"/>
  </r>
  <r>
    <x v="0"/>
    <s v="Bank of America"/>
    <s v="1Point Rate"/>
    <s v="MTG"/>
    <x v="269"/>
    <n v="3.8905872366551955"/>
  </r>
  <r>
    <x v="0"/>
    <s v="Bank of America"/>
    <s v="1Point Rate"/>
    <s v="MTG"/>
    <x v="270"/>
    <n v="3.8696245630898871"/>
  </r>
  <r>
    <x v="0"/>
    <s v="Bank of America"/>
    <s v="1Point Rate"/>
    <s v="MTG"/>
    <x v="271"/>
    <n v="3.8336270974045563"/>
  </r>
  <r>
    <x v="0"/>
    <s v="Bank of America"/>
    <s v="1Point Rate"/>
    <s v="MTG"/>
    <x v="272"/>
    <n v="3.8636303795906124"/>
  </r>
  <r>
    <x v="0"/>
    <s v="Bank of America"/>
    <s v="1Point Rate"/>
    <s v="MTG"/>
    <x v="273"/>
    <n v="3.8606324792381819"/>
  </r>
  <r>
    <x v="0"/>
    <s v="Bank of America"/>
    <s v="1Point Rate"/>
    <s v="MTG"/>
    <x v="274"/>
    <n v="3.8636303795906124"/>
  </r>
  <r>
    <x v="0"/>
    <s v="Bank of America"/>
    <s v="1Point Rate"/>
    <s v="MTG"/>
    <x v="275"/>
    <n v="3.8396320721816526"/>
  </r>
  <r>
    <x v="0"/>
    <s v="Bank of America"/>
    <s v="1Point Rate"/>
    <s v="MTG"/>
    <x v="276"/>
    <n v="3.8246155830766617"/>
  </r>
  <r>
    <x v="0"/>
    <s v="Bank of America"/>
    <s v="1Point Rate"/>
    <s v="MTG"/>
    <x v="277"/>
    <n v="3.8606324792381819"/>
  </r>
  <r>
    <x v="0"/>
    <s v="Bank of America"/>
    <s v="1Point Rate"/>
    <s v="MTG"/>
    <x v="278"/>
    <n v="3.8516355423965551"/>
  </r>
  <r>
    <x v="0"/>
    <s v="Bank of America"/>
    <s v="1Point Rate"/>
    <s v="MTG"/>
    <x v="279"/>
    <n v="3.8336270974045563"/>
  </r>
  <r>
    <x v="0"/>
    <s v="Bank of America"/>
    <s v="1Point Rate"/>
    <s v="MTG"/>
    <x v="280"/>
    <n v="3.7704442165834595"/>
  </r>
  <r>
    <x v="0"/>
    <s v="Bank of America"/>
    <s v="1Point Rate"/>
    <s v="MTG"/>
    <x v="281"/>
    <n v="3.7704442165834595"/>
  </r>
  <r>
    <x v="0"/>
    <s v="Bank of America"/>
    <s v="1Point Rate"/>
    <s v="MTG"/>
    <x v="282"/>
    <n v="3.8005610836847525"/>
  </r>
  <r>
    <x v="0"/>
    <s v="Bank of America"/>
    <s v="1Point Rate"/>
    <s v="MTG"/>
    <x v="283"/>
    <n v="3.9532444762714771"/>
  </r>
  <r>
    <x v="0"/>
    <s v="Bank of America"/>
    <s v="1Point Rate"/>
    <s v="MTG"/>
    <x v="284"/>
    <n v="3.9621882822301635"/>
  </r>
  <r>
    <x v="0"/>
    <s v="Bank of America"/>
    <s v="1Point Rate"/>
    <s v="MTG"/>
    <x v="285"/>
    <n v="3.9562262791250933"/>
  </r>
  <r>
    <x v="0"/>
    <s v="Bank of America"/>
    <s v="1Point Rate"/>
    <s v="MTG"/>
    <x v="286"/>
    <n v="3.9502621390655515"/>
  </r>
  <r>
    <x v="0"/>
    <s v="Bank of America"/>
    <s v="1Point Rate"/>
    <s v="MTG"/>
    <x v="287"/>
    <n v="3.9592075477402422"/>
  </r>
  <r>
    <x v="0"/>
    <s v="Bank of America"/>
    <s v="1Point Rate"/>
    <s v="MTG"/>
    <x v="288"/>
    <n v="3.9472792673953085"/>
  </r>
  <r>
    <x v="0"/>
    <s v="Bank of America"/>
    <s v="1Point Rate"/>
    <s v="MTG"/>
    <x v="289"/>
    <n v="3.8905872366551955"/>
  </r>
  <r>
    <x v="0"/>
    <s v="Bank of America"/>
    <s v="1Point Rate"/>
    <s v="MTG"/>
    <x v="290"/>
    <n v="3.9473531286857177"/>
  </r>
  <r>
    <x v="0"/>
    <s v="Bank of America"/>
    <s v="1Point Rate"/>
    <s v="MTG"/>
    <x v="291"/>
    <n v="3.8606324792381819"/>
  </r>
  <r>
    <x v="0"/>
    <s v="Bank of America"/>
    <s v="1Point Rate"/>
    <s v="MTG"/>
    <x v="292"/>
    <n v="3.9383274444660326"/>
  </r>
  <r>
    <x v="0"/>
    <s v="Bank of America"/>
    <s v="1Point Rate"/>
    <s v="MTG"/>
    <x v="293"/>
    <n v="4.013584901236344"/>
  </r>
  <r>
    <x v="0"/>
    <s v="Bank of America"/>
    <s v="1Point Rate"/>
    <s v="MTG"/>
    <x v="294"/>
    <n v="3.9830384776058789"/>
  </r>
  <r>
    <x v="0"/>
    <s v="Bank of America"/>
    <s v="1Point Rate"/>
    <s v="MTG"/>
    <x v="295"/>
    <n v="4.0699531626481287"/>
  </r>
  <r>
    <x v="0"/>
    <s v="Bank of America"/>
    <s v="1Point Rate"/>
    <s v="MTG"/>
    <x v="296"/>
    <n v="4.049208150466348"/>
  </r>
  <r>
    <x v="0"/>
    <s v="Bank of America"/>
    <s v="1Point Rate"/>
    <s v="MTG"/>
    <x v="297"/>
    <n v="4.0758755498697496"/>
  </r>
  <r>
    <x v="0"/>
    <s v="Bank of America"/>
    <s v="1Point Rate"/>
    <s v="MTG"/>
    <x v="298"/>
    <n v="4.0699531626481287"/>
  </r>
  <r>
    <x v="0"/>
    <s v="Bank of America"/>
    <s v="1Point Rate"/>
    <s v="MTG"/>
    <x v="299"/>
    <n v="4.0788359508504897"/>
  </r>
  <r>
    <x v="0"/>
    <s v="Bank of America"/>
    <s v="1Point Rate"/>
    <s v="MTG"/>
    <x v="300"/>
    <n v="4.0521733108995752"/>
  </r>
  <r>
    <x v="0"/>
    <s v="Bank of America"/>
    <s v="1Point Rate"/>
    <s v="MTG"/>
    <x v="301"/>
    <n v="4.0965872669484726"/>
  </r>
  <r>
    <x v="0"/>
    <s v="Bank of America"/>
    <s v="1Point Rate"/>
    <s v="MTG"/>
    <x v="302"/>
    <n v="4.1632073471907693"/>
  </r>
  <r>
    <x v="0"/>
    <s v="Bank of America"/>
    <s v="1Point Rate"/>
    <s v="MTG"/>
    <x v="303"/>
    <n v="4.1514206242954286"/>
  </r>
  <r>
    <x v="0"/>
    <s v="Bank of America"/>
    <s v="1Point Rate"/>
    <s v="MTG"/>
    <x v="304"/>
    <n v="4.1484726333034283"/>
  </r>
  <r>
    <x v="0"/>
    <s v="Bank of America"/>
    <s v="1Point Rate"/>
    <s v="MTG"/>
    <x v="305"/>
    <n v="4.1690975655386646"/>
  </r>
  <r>
    <x v="0"/>
    <s v="Bank of America"/>
    <s v="1Point Rate"/>
    <s v="MTG"/>
    <x v="306"/>
    <n v="4.1838139511017385"/>
  </r>
  <r>
    <x v="0"/>
    <s v="Bank of America"/>
    <s v="1Point Rate"/>
    <s v="MTG"/>
    <x v="307"/>
    <n v="4.224950314738753"/>
  </r>
  <r>
    <x v="0"/>
    <s v="Bank of America"/>
    <s v="1Point Rate"/>
    <s v="MTG"/>
    <x v="308"/>
    <n v="4.2132075105238744"/>
  </r>
  <r>
    <x v="0"/>
    <s v="Bank of America"/>
    <s v="1Point Rate"/>
    <s v="MTG"/>
    <x v="309"/>
    <n v="4.2747642352322801"/>
  </r>
  <r>
    <x v="0"/>
    <s v="Bank of America"/>
    <s v="1Point Rate"/>
    <s v="MTG"/>
    <x v="310"/>
    <n v="4.2190799560072145"/>
  </r>
  <r>
    <x v="0"/>
    <s v="Bank of America"/>
    <s v="1Point Rate"/>
    <s v="MTG"/>
    <x v="311"/>
    <n v="4.2864633142523001"/>
  </r>
  <r>
    <x v="0"/>
    <s v="Bank of America"/>
    <s v="1Point Rate"/>
    <s v="MTG"/>
    <x v="312"/>
    <n v="4.0403094924050471"/>
  </r>
  <r>
    <x v="0"/>
    <s v="Bank of America"/>
    <s v="1Point Rate"/>
    <s v="MTG"/>
    <x v="313"/>
    <n v="4.03734221375937"/>
  </r>
  <r>
    <x v="0"/>
    <s v="Bank of America"/>
    <s v="1Point Rate"/>
    <s v="MTG"/>
    <x v="314"/>
    <n v="4.0403094924050471"/>
  </r>
  <r>
    <x v="0"/>
    <s v="Bank of America"/>
    <s v="1Point Rate"/>
    <s v="MTG"/>
    <x v="315"/>
    <n v="4.03734221375937"/>
  </r>
  <r>
    <x v="0"/>
    <s v="Bank of America"/>
    <s v="1Point Rate"/>
    <s v="MTG"/>
    <x v="316"/>
    <n v="4.0521733108995752"/>
  </r>
  <r>
    <x v="0"/>
    <s v="Bank of America"/>
    <s v="1Point Rate"/>
    <s v="MTG"/>
    <x v="317"/>
    <n v="4.0284371983798186"/>
  </r>
  <r>
    <x v="0"/>
    <s v="Bank of America"/>
    <s v="1Point Rate"/>
    <s v="MTG"/>
    <x v="318"/>
    <n v="3.9652389689500764"/>
  </r>
  <r>
    <x v="0"/>
    <s v="Bank of America"/>
    <s v="1Point Rate"/>
    <s v="MTG"/>
    <x v="319"/>
    <n v="3.9890567867784577"/>
  </r>
  <r>
    <x v="0"/>
    <s v="Bank of America"/>
    <s v="1Point Rate"/>
    <s v="MTG"/>
    <x v="320"/>
    <n v="4.0039255533877984"/>
  </r>
  <r>
    <x v="0"/>
    <s v="Bank of America"/>
    <s v="1Point Rate"/>
    <s v="MTG"/>
    <x v="321"/>
    <n v="3.9622593343320154"/>
  </r>
  <r>
    <x v="0"/>
    <s v="Bank of America"/>
    <s v="1Point Rate"/>
    <s v="MTG"/>
    <x v="322"/>
    <n v="3.9324335250417612"/>
  </r>
  <r>
    <x v="0"/>
    <s v="Bank of America"/>
    <s v="1Point Rate"/>
    <s v="MTG"/>
    <x v="323"/>
    <n v="4.0335659652504399"/>
  </r>
  <r>
    <x v="0"/>
    <s v="Bank of America"/>
    <s v="1Point Rate"/>
    <s v="MTG"/>
    <x v="324"/>
    <n v="4.0454324503154133"/>
  </r>
  <r>
    <x v="0"/>
    <s v="Bank of America"/>
    <s v="1Point Rate"/>
    <s v="MTG"/>
    <x v="325"/>
    <n v="4.0691399461706377"/>
  </r>
  <r>
    <x v="0"/>
    <s v="Bank of America"/>
    <s v="1Point Rate"/>
    <s v="MTG"/>
    <x v="326"/>
    <n v="4.0898561797954418"/>
  </r>
  <r>
    <x v="0"/>
    <s v="Bank of America"/>
    <s v="1Point Rate"/>
    <s v="MTG"/>
    <x v="327"/>
    <n v="3.8666277408368082"/>
  </r>
  <r>
    <x v="0"/>
    <s v="Bank of America"/>
    <s v="1Point Rate"/>
    <s v="MTG"/>
    <x v="328"/>
    <n v="3.888543269864674"/>
  </r>
  <r>
    <x v="0"/>
    <s v="Bank of America"/>
    <s v="1Point Rate"/>
    <s v="MTG"/>
    <x v="329"/>
    <n v="3.9055444302295426"/>
  </r>
  <r>
    <x v="0"/>
    <s v="Bank of America"/>
    <s v="1Point Rate"/>
    <s v="MTG"/>
    <x v="330"/>
    <n v="3.9204881860351919"/>
  </r>
  <r>
    <x v="0"/>
    <s v="Bank of America"/>
    <s v="1Point Rate"/>
    <s v="MTG"/>
    <x v="331"/>
    <n v="3.9384029751663099"/>
  </r>
  <r>
    <x v="0"/>
    <s v="Bank of America"/>
    <s v="1Point Rate"/>
    <s v="MTG"/>
    <x v="332"/>
    <n v="3.8375913709210305"/>
  </r>
  <r>
    <x v="0"/>
    <s v="Bank of America"/>
    <s v="1Point Rate"/>
    <s v="MTG"/>
    <x v="333"/>
    <n v="3.8135598956691821"/>
  </r>
  <r>
    <x v="0"/>
    <s v="Bank of America"/>
    <s v="1Point Rate"/>
    <s v="MTG"/>
    <x v="334"/>
    <n v="3.7925038821595614"/>
  </r>
  <r>
    <x v="0"/>
    <s v="Bank of America"/>
    <s v="1Point Rate"/>
    <s v="MTG"/>
    <x v="335"/>
    <n v="3.7955135127116617"/>
  </r>
  <r>
    <x v="0"/>
    <s v="Bank of America"/>
    <s v="1Point Rate"/>
    <s v="MTG"/>
    <x v="336"/>
    <n v="3.7894937084278566"/>
  </r>
  <r>
    <x v="0"/>
    <s v="Bank of America"/>
    <s v="1Point Rate"/>
    <s v="MTG"/>
    <x v="337"/>
    <n v="3.8345893328135392"/>
  </r>
  <r>
    <x v="0"/>
    <s v="Bank of America"/>
    <s v="1Point Rate"/>
    <s v="MTG"/>
    <x v="338"/>
    <n v="3.8315867531351544"/>
  </r>
  <r>
    <x v="0"/>
    <s v="Bank of America"/>
    <s v="1Point Rate"/>
    <s v="MTG"/>
    <x v="339"/>
    <n v="3.8965717275280443"/>
  </r>
  <r>
    <x v="0"/>
    <s v="Bank of America"/>
    <s v="1Point Rate"/>
    <s v="MTG"/>
    <x v="340"/>
    <n v="3.8945273494346946"/>
  </r>
  <r>
    <x v="0"/>
    <s v="Bank of America"/>
    <s v="1Point Rate"/>
    <s v="MTG"/>
    <x v="341"/>
    <n v="3.8465942369774484"/>
  </r>
  <r>
    <x v="0"/>
    <s v="Bank of America"/>
    <s v="1Point Rate"/>
    <s v="MTG"/>
    <x v="342"/>
    <n v="3.8636303795906124"/>
  </r>
  <r>
    <x v="0"/>
    <s v="Bank of America"/>
    <s v="1Point Rate"/>
    <s v="MTG"/>
    <x v="343"/>
    <n v="3.8765686357466569"/>
  </r>
  <r>
    <x v="0"/>
    <s v="Bank of America"/>
    <s v="1Point Rate"/>
    <s v="MTG"/>
    <x v="344"/>
    <n v="3.8846005934615979"/>
  </r>
  <r>
    <x v="0"/>
    <s v="Bank of America"/>
    <s v="1Point Rate"/>
    <s v="MTG"/>
    <x v="345"/>
    <n v="3.8225757635354207"/>
  </r>
  <r>
    <x v="0"/>
    <s v="Bank of America"/>
    <s v="1Point Rate"/>
    <s v="MTG"/>
    <x v="346"/>
    <n v="3.7864829913982345"/>
  </r>
  <r>
    <x v="0"/>
    <s v="Bank of America"/>
    <s v="1Point Rate"/>
    <s v="MTG"/>
    <x v="347"/>
    <n v="3.8045391464315701"/>
  </r>
  <r>
    <x v="0"/>
    <s v="Bank of America"/>
    <s v="1Point Rate"/>
    <s v="MTG"/>
    <x v="348"/>
    <n v="3.8165657271796651"/>
  </r>
  <r>
    <x v="0"/>
    <s v="Bank of America"/>
    <s v="1Point Rate"/>
    <s v="MTG"/>
    <x v="349"/>
    <n v="3.8195710164292263"/>
  </r>
  <r>
    <x v="0"/>
    <s v="Bank of America"/>
    <s v="1Point Rate"/>
    <s v="MTG"/>
    <x v="350"/>
    <n v="3.7774475793801021"/>
  </r>
  <r>
    <x v="0"/>
    <s v="Bank of America"/>
    <s v="1Point Rate"/>
    <s v="MTG"/>
    <x v="351"/>
    <n v="3.7503119679176402"/>
  </r>
  <r>
    <x v="0"/>
    <s v="Bank of America"/>
    <s v="1Point Rate"/>
    <s v="MTG"/>
    <x v="352"/>
    <n v="3.8285836317734239"/>
  </r>
  <r>
    <x v="0"/>
    <s v="Bank of America"/>
    <s v="1Point Rate"/>
    <s v="MTG"/>
    <x v="353"/>
    <n v="3.7442758422272009"/>
  </r>
  <r>
    <x v="0"/>
    <s v="Bank of America"/>
    <s v="1Point Rate"/>
    <s v="MTG"/>
    <x v="354"/>
    <n v="3.7049878434695116"/>
  </r>
  <r>
    <x v="0"/>
    <s v="Bank of America"/>
    <s v="1Point Rate"/>
    <s v="MTG"/>
    <x v="355"/>
    <n v="3.7140624934841013"/>
  </r>
  <r>
    <x v="0"/>
    <s v="Bank of America"/>
    <s v="1Point Rate"/>
    <s v="MTG"/>
    <x v="356"/>
    <n v="3.7744346880113291"/>
  </r>
  <r>
    <x v="0"/>
    <s v="Bank of America"/>
    <s v="1Point Rate"/>
    <s v="MTG"/>
    <x v="357"/>
    <n v="3.7623776826486259"/>
  </r>
  <r>
    <x v="0"/>
    <s v="Bank of America"/>
    <s v="1Point Rate"/>
    <s v="MTG"/>
    <x v="358"/>
    <n v="3.6959082746301712"/>
  </r>
  <r>
    <x v="0"/>
    <s v="Bank of America"/>
    <s v="1Point Rate"/>
    <s v="MTG"/>
    <x v="359"/>
    <n v="3.7412569618961715"/>
  </r>
  <r>
    <x v="0"/>
    <s v="Bank of America"/>
    <s v="1Point Rate"/>
    <s v="MTG"/>
    <x v="360"/>
    <n v="3.7653927502039988"/>
  </r>
  <r>
    <x v="0"/>
    <s v="Bank of America"/>
    <s v="1Point Rate"/>
    <s v="MTG"/>
    <x v="361"/>
    <n v="3.7503119679176402"/>
  </r>
  <r>
    <x v="0"/>
    <s v="Bank of America"/>
    <s v="1Point Rate"/>
    <s v="MTG"/>
    <x v="362"/>
    <n v="3.7291759879601032"/>
  </r>
  <r>
    <x v="0"/>
    <s v="Bank of America"/>
    <s v="1Point Rate"/>
    <s v="MTG"/>
    <x v="363"/>
    <n v="3.7684072735387675"/>
  </r>
  <r>
    <x v="0"/>
    <s v="Bank of America"/>
    <s v="1Point Rate"/>
    <s v="MTG"/>
    <x v="364"/>
    <n v="3.7774475793801021"/>
  </r>
  <r>
    <x v="0"/>
    <s v="Bank of America"/>
    <s v="1Point Rate"/>
    <s v="MTG"/>
    <x v="365"/>
    <n v="3.7774475793801021"/>
  </r>
  <r>
    <x v="0"/>
    <s v="Bank of America"/>
    <s v="1Point Rate"/>
    <s v="MTG"/>
    <x v="366"/>
    <n v="3.7472941775298052"/>
  </r>
  <r>
    <x v="0"/>
    <s v="Bank of America"/>
    <s v="1Point Rate"/>
    <s v="MTG"/>
    <x v="367"/>
    <n v="3.8105535217853115"/>
  </r>
  <r>
    <x v="0"/>
    <s v="Bank of America"/>
    <s v="1Point Rate"/>
    <s v="MTG"/>
    <x v="368"/>
    <n v="3.7804599269901726"/>
  </r>
  <r>
    <x v="0"/>
    <s v="Bank of America"/>
    <s v="1Point Rate"/>
    <s v="MTG"/>
    <x v="369"/>
    <n v="3.7925038821595614"/>
  </r>
  <r>
    <x v="0"/>
    <s v="Bank of America"/>
    <s v="1Point Rate"/>
    <s v="MTG"/>
    <x v="370"/>
    <n v="3.8375913709210305"/>
  </r>
  <r>
    <x v="0"/>
    <s v="Bank of America"/>
    <s v="1Point Rate"/>
    <s v="MTG"/>
    <x v="371"/>
    <n v="3.7261543807459407"/>
  </r>
  <r>
    <x v="0"/>
    <s v="Bank of America"/>
    <s v="1Point Rate"/>
    <s v="MTG"/>
    <x v="372"/>
    <n v="3.753329213509065"/>
  </r>
  <r>
    <x v="0"/>
    <s v="Bank of America"/>
    <s v="1Point Rate"/>
    <s v="MTG"/>
    <x v="373"/>
    <n v="3.8855504208794045"/>
  </r>
  <r>
    <x v="0"/>
    <s v="Bank of America"/>
    <s v="1Point Rate"/>
    <s v="MTG"/>
    <x v="374"/>
    <n v="3.8405928675752534"/>
  </r>
  <r>
    <x v="0"/>
    <s v="Bank of America"/>
    <s v="1Point Rate"/>
    <s v="MTG"/>
    <x v="375"/>
    <n v="3.8615881930673468"/>
  </r>
  <r>
    <x v="0"/>
    <s v="Bank of America"/>
    <s v="1Point Rate"/>
    <s v="MTG"/>
    <x v="376"/>
    <n v="3.8405928675752534"/>
  </r>
  <r>
    <x v="0"/>
    <s v="Bank of America"/>
    <s v="1Point Rate"/>
    <s v="MTG"/>
    <x v="377"/>
    <n v="3.8045391464315701"/>
  </r>
  <r>
    <x v="0"/>
    <s v="Bank of America"/>
    <s v="1Point Rate"/>
    <s v="MTG"/>
    <x v="378"/>
    <n v="3.7834717309582593"/>
  </r>
  <r>
    <x v="0"/>
    <s v="Bank of America"/>
    <s v="1Point Rate"/>
    <s v="MTG"/>
    <x v="379"/>
    <n v="3.7894937084278566"/>
  </r>
  <r>
    <x v="0"/>
    <s v="Bank of America"/>
    <s v="1Point Rate"/>
    <s v="MTG"/>
    <x v="380"/>
    <n v="3.7804599269901726"/>
  </r>
  <r>
    <x v="0"/>
    <s v="Bank of America"/>
    <s v="1Point Rate"/>
    <s v="MTG"/>
    <x v="381"/>
    <n v="3.7804599269901726"/>
  </r>
  <r>
    <x v="0"/>
    <s v="Bank of America"/>
    <s v="1Point Rate"/>
    <s v="MTG"/>
    <x v="382"/>
    <n v="3.7563459144165527"/>
  </r>
  <r>
    <x v="0"/>
    <s v="Bank of America"/>
    <s v="1Point Rate"/>
    <s v="MTG"/>
    <x v="383"/>
    <n v="3.7125792894169338"/>
  </r>
  <r>
    <x v="0"/>
    <s v="Bank of America"/>
    <s v="1Point Rate"/>
    <s v="MTG"/>
    <x v="384"/>
    <n v="3.7702459673334463"/>
  </r>
  <r>
    <x v="0"/>
    <s v="Bank of America"/>
    <s v="1Point Rate"/>
    <s v="MTG"/>
    <x v="385"/>
    <n v="3.7672323467978384"/>
  </r>
  <r>
    <x v="0"/>
    <s v="Bank of America"/>
    <s v="1Point Rate"/>
    <s v="MTG"/>
    <x v="386"/>
    <n v="3.7762715723431679"/>
  </r>
  <r>
    <x v="0"/>
    <s v="Bank of America"/>
    <s v="1Point Rate"/>
    <s v="MTG"/>
    <x v="387"/>
    <n v="3.7276883557345766"/>
  </r>
  <r>
    <x v="0"/>
    <s v="Bank of America"/>
    <s v="1Point Rate"/>
    <s v="MTG"/>
    <x v="388"/>
    <n v="3.7593620707585087"/>
  </r>
  <r>
    <x v="0"/>
    <s v="Bank of America"/>
    <s v="1Point Rate"/>
    <s v="MTG"/>
    <x v="389"/>
    <n v="3.7007944755754334"/>
  </r>
  <r>
    <x v="0"/>
    <s v="Bank of America"/>
    <s v="1Point Rate"/>
    <s v="MTG"/>
    <x v="390"/>
    <n v="3.712893782620899"/>
  </r>
  <r>
    <x v="0"/>
    <s v="Bank of America"/>
    <s v="1Point Rate"/>
    <s v="MTG"/>
    <x v="391"/>
    <n v="3.712893782620899"/>
  </r>
  <r>
    <x v="0"/>
    <s v="Bank of America"/>
    <s v="1Point Rate"/>
    <s v="MTG"/>
    <x v="392"/>
    <n v="3.7098697775530791"/>
  </r>
  <r>
    <x v="0"/>
    <s v="Bank of America"/>
    <s v="1Point Rate"/>
    <s v="MTG"/>
    <x v="393"/>
    <n v="3.849594109956072"/>
  </r>
  <r>
    <x v="0"/>
    <s v="Bank of America"/>
    <s v="1Point Rate"/>
    <s v="MTG"/>
    <x v="394"/>
    <n v="3.8585904833802025"/>
  </r>
  <r>
    <x v="0"/>
    <s v="Bank of America"/>
    <s v="1Point Rate"/>
    <s v="MTG"/>
    <x v="395"/>
    <n v="3.8304039996417654"/>
  </r>
  <r>
    <x v="0"/>
    <s v="Bank of America"/>
    <s v="1Point Rate"/>
    <s v="MTG"/>
    <x v="396"/>
    <n v="3.807546605410788"/>
  </r>
  <r>
    <x v="0"/>
    <s v="Bank of America"/>
    <s v="1Point Rate"/>
    <s v="MTG"/>
    <x v="397"/>
    <n v="3.8615881930673495"/>
  </r>
  <r>
    <x v="0"/>
    <s v="Bank of America"/>
    <s v="1Point Rate"/>
    <s v="MTG"/>
    <x v="398"/>
    <n v="3.8045391464315563"/>
  </r>
  <r>
    <x v="0"/>
    <s v="Bank of America"/>
    <s v="1Point Rate"/>
    <s v="MTG"/>
    <x v="399"/>
    <n v="3.840592867575237"/>
  </r>
  <r>
    <x v="0"/>
    <s v="Bank of America"/>
    <s v="1Point Rate"/>
    <s v="MTG"/>
    <x v="400"/>
    <n v="3.7883162413589382"/>
  </r>
  <r>
    <x v="0"/>
    <s v="Bank of America"/>
    <s v="1Point Rate"/>
    <s v="MTG"/>
    <x v="401"/>
    <n v="3.849594109956072"/>
  </r>
  <r>
    <x v="0"/>
    <s v="Bank of America"/>
    <s v="1Point Rate"/>
    <s v="MTG"/>
    <x v="402"/>
    <n v="3.7822949967091262"/>
  </r>
  <r>
    <x v="0"/>
    <s v="Bank of America"/>
    <s v="1Point Rate"/>
    <s v="MTG"/>
    <x v="403"/>
    <n v="3.8705780793661986"/>
  </r>
  <r>
    <x v="0"/>
    <s v="Bank of America"/>
    <s v="1Point Rate"/>
    <s v="MTG"/>
    <x v="404"/>
    <n v="3.8424095087418202"/>
  </r>
  <r>
    <x v="0"/>
    <s v="Bank of America"/>
    <s v="1Point Rate"/>
    <s v="MTG"/>
    <x v="405"/>
    <n v="3.8465942369774679"/>
  </r>
  <r>
    <x v="0"/>
    <s v="Bank of America"/>
    <s v="1Point Rate"/>
    <s v="MTG"/>
    <x v="406"/>
    <n v="3.8846005934616143"/>
  </r>
  <r>
    <x v="0"/>
    <s v="Bank of America"/>
    <s v="1Point Rate"/>
    <s v="MTG"/>
    <x v="407"/>
    <n v="3.900509271898938"/>
  </r>
  <r>
    <x v="0"/>
    <s v="Bank of America"/>
    <s v="1Point Rate"/>
    <s v="MTG"/>
    <x v="408"/>
    <n v="3.807546605410788"/>
  </r>
  <r>
    <x v="0"/>
    <s v="Bank of America"/>
    <s v="1Point Rate"/>
    <s v="MTG"/>
    <x v="409"/>
    <n v="3.8135598956691878"/>
  </r>
  <r>
    <x v="0"/>
    <s v="Bank of America"/>
    <s v="1Point Rate"/>
    <s v="MTG"/>
    <x v="410"/>
    <n v="3.8315867531351571"/>
  </r>
  <r>
    <x v="0"/>
    <s v="Bank of America"/>
    <s v="1Point Rate"/>
    <s v="MTG"/>
    <x v="411"/>
    <n v="3.8726208464650322"/>
  </r>
  <r>
    <x v="0"/>
    <s v="Bank of America"/>
    <s v="1Point Rate"/>
    <s v="MTG"/>
    <x v="412"/>
    <n v="3.8015311447318783"/>
  </r>
  <r>
    <x v="0"/>
    <s v="Bank of America"/>
    <s v="1Point Rate"/>
    <s v="MTG"/>
    <x v="413"/>
    <n v="3.8135598956691878"/>
  </r>
  <r>
    <x v="0"/>
    <s v="Bank of America"/>
    <s v="1Point Rate"/>
    <s v="MTG"/>
    <x v="414"/>
    <n v="4.0158109581559156"/>
  </r>
  <r>
    <x v="0"/>
    <s v="Bank of America"/>
    <s v="1Point Rate"/>
    <s v="MTG"/>
    <x v="415"/>
    <n v="4.1194058280557329"/>
  </r>
  <r>
    <x v="0"/>
    <s v="Bank of America"/>
    <s v="1Point Rate"/>
    <s v="MTG"/>
    <x v="416"/>
    <n v="4.2437785335996203"/>
  </r>
  <r>
    <x v="0"/>
    <s v="Bank of America"/>
    <s v="1Point Rate"/>
    <s v="MTG"/>
    <x v="417"/>
    <n v="4.2613535053943963"/>
  </r>
  <r>
    <x v="0"/>
    <s v="Bank of America"/>
    <s v="1Point Rate"/>
    <s v="MTG"/>
    <x v="418"/>
    <n v="4.2952321718311808"/>
  </r>
  <r>
    <x v="0"/>
    <s v="Bank of America"/>
    <s v="1Point Rate"/>
    <s v="MTG"/>
    <x v="419"/>
    <n v="4.2144451362355806"/>
  </r>
  <r>
    <x v="0"/>
    <s v="Bank of America"/>
    <s v="1Point Rate"/>
    <s v="MTG"/>
    <x v="420"/>
    <n v="4.3185929708734854"/>
  </r>
  <r>
    <x v="0"/>
    <s v="Bank of America"/>
    <s v="1Point Rate"/>
    <s v="MTG"/>
    <x v="421"/>
    <n v="4.3302609355545023"/>
  </r>
  <r>
    <x v="0"/>
    <s v="Bank of America"/>
    <s v="1Point Rate"/>
    <s v="MTG"/>
    <x v="422"/>
    <n v="4.607823822175499"/>
  </r>
  <r>
    <x v="0"/>
    <s v="Bank of America"/>
    <s v="1Point Rate"/>
    <s v="MTG"/>
    <x v="423"/>
    <n v="4.4693257294093423"/>
  </r>
  <r>
    <x v="0"/>
    <s v="Bank of America"/>
    <s v="1Point Rate"/>
    <s v="MTG"/>
    <x v="424"/>
    <n v="4.4548596476894264"/>
  </r>
  <r>
    <x v="0"/>
    <s v="Bank of America"/>
    <s v="1Point Rate"/>
    <s v="MTG"/>
    <x v="425"/>
    <n v="4.423307134540754"/>
  </r>
  <r>
    <x v="0"/>
    <s v="Bank of America"/>
    <s v="1Point Rate"/>
    <s v="MTG"/>
    <x v="426"/>
    <n v="4.3652151737597782"/>
  </r>
  <r>
    <x v="0"/>
    <s v="Bank of America"/>
    <s v="1Point Rate"/>
    <s v="MTG"/>
    <x v="427"/>
    <n v="4.4953324873966052"/>
  </r>
  <r>
    <x v="0"/>
    <s v="Bank of America"/>
    <s v="1Point Rate"/>
    <s v="MTG"/>
    <x v="428"/>
    <n v="4.5184149151432536"/>
  </r>
  <r>
    <x v="0"/>
    <s v="Bank of America"/>
    <s v="1Point Rate"/>
    <s v="MTG"/>
    <x v="429"/>
    <n v="4.4029983827726733"/>
  </r>
  <r>
    <x v="0"/>
    <s v="Bank of America"/>
    <s v="1Point Rate"/>
    <s v="MTG"/>
    <x v="430"/>
    <n v="4.4519648969237426"/>
  </r>
  <r>
    <x v="0"/>
    <s v="Bank of America"/>
    <s v="1Point Rate"/>
    <s v="MTG"/>
    <x v="431"/>
    <n v="4.4548596476894264"/>
  </r>
  <r>
    <x v="0"/>
    <s v="Bank of America"/>
    <s v="1Point Rate"/>
    <s v="MTG"/>
    <x v="432"/>
    <n v="4.504558713898728"/>
  </r>
  <r>
    <x v="0"/>
    <s v="Bank of America"/>
    <s v="1Point Rate"/>
    <s v="MTG"/>
    <x v="433"/>
    <n v="4.4551700084732104"/>
  </r>
  <r>
    <x v="0"/>
    <s v="Bank of America"/>
    <s v="1Point Rate"/>
    <s v="MTG"/>
    <x v="434"/>
    <n v="4.5708099804483355"/>
  </r>
  <r>
    <x v="0"/>
    <s v="Bank of America"/>
    <s v="1Point Rate"/>
    <s v="MTG"/>
    <x v="435"/>
    <n v="4.6697188289968921"/>
  </r>
  <r>
    <x v="0"/>
    <s v="Bank of America"/>
    <s v="1Point Rate"/>
    <s v="MTG"/>
    <x v="436"/>
    <n v="4.4779992446135664"/>
  </r>
  <r>
    <x v="0"/>
    <s v="Bank of America"/>
    <s v="1Point Rate"/>
    <s v="MTG"/>
    <x v="437"/>
    <n v="4.5823045764148045"/>
  </r>
  <r>
    <x v="0"/>
    <s v="Bank of America"/>
    <s v="1Point Rate"/>
    <s v="MTG"/>
    <x v="438"/>
    <n v="4.7694394146053272"/>
  </r>
  <r>
    <x v="0"/>
    <s v="Bank of America"/>
    <s v="1Point Rate"/>
    <s v="MTG"/>
    <x v="439"/>
    <n v="4.797329823173559"/>
  </r>
  <r>
    <x v="0"/>
    <s v="Bank of America"/>
    <s v="1Point Rate"/>
    <s v="MTG"/>
    <x v="440"/>
    <n v="4.6920499579266268"/>
  </r>
  <r>
    <x v="0"/>
    <s v="Bank of America"/>
    <s v="1Point Rate"/>
    <s v="MTG"/>
    <x v="441"/>
    <n v="4.7552310348564344"/>
  </r>
  <r>
    <x v="0"/>
    <s v="Bank of America"/>
    <s v="1Point Rate"/>
    <s v="MTG"/>
    <x v="442"/>
    <n v="4.7239287533587957"/>
  </r>
  <r>
    <x v="0"/>
    <s v="Bank of America"/>
    <s v="1Point Rate"/>
    <s v="MTG"/>
    <x v="443"/>
    <n v="4.7239287533587957"/>
  </r>
  <r>
    <x v="0"/>
    <s v="Bank of America"/>
    <s v="1Point Rate"/>
    <s v="MTG"/>
    <x v="444"/>
    <n v="4.6982728752586977"/>
  </r>
  <r>
    <x v="0"/>
    <s v="Bank of America"/>
    <s v="1Point Rate"/>
    <s v="MTG"/>
    <x v="445"/>
    <n v="4.7807971623460777"/>
  </r>
  <r>
    <x v="0"/>
    <s v="Bank of America"/>
    <s v="1Point Rate"/>
    <s v="MTG"/>
    <x v="446"/>
    <n v="4.7410102040366011"/>
  </r>
  <r>
    <x v="0"/>
    <s v="Bank of America"/>
    <s v="1Point Rate"/>
    <s v="MTG"/>
    <x v="447"/>
    <n v="4.6196061754823114"/>
  </r>
  <r>
    <x v="0"/>
    <s v="Bank of America"/>
    <s v="1Point Rate"/>
    <s v="MTG"/>
    <x v="448"/>
    <n v="4.5650596465316067"/>
  </r>
  <r>
    <x v="0"/>
    <s v="Bank of America"/>
    <s v="1Point Rate"/>
    <s v="MTG"/>
    <x v="449"/>
    <n v="4.51898400099134"/>
  </r>
  <r>
    <x v="0"/>
    <s v="Bank of America"/>
    <s v="1Point Rate"/>
    <s v="MTG"/>
    <x v="450"/>
    <n v="4.4958974405090295"/>
  </r>
  <r>
    <x v="0"/>
    <s v="Bank of America"/>
    <s v="1Point Rate"/>
    <s v="MTG"/>
    <x v="451"/>
    <n v="4.3823371144144883"/>
  </r>
  <r>
    <x v="0"/>
    <s v="Bank of America"/>
    <s v="1Point Rate"/>
    <s v="MTG"/>
    <x v="452"/>
    <n v="4.4403807755514579"/>
  </r>
  <r>
    <x v="0"/>
    <s v="Bank of America"/>
    <s v="1Point Rate"/>
    <s v="MTG"/>
    <x v="453"/>
    <n v="4.5765582901272763"/>
  </r>
  <r>
    <x v="0"/>
    <s v="Bank of America"/>
    <s v="1Point Rate"/>
    <s v="MTG"/>
    <x v="454"/>
    <n v="4.5765582901272763"/>
  </r>
  <r>
    <x v="0"/>
    <s v="Bank of America"/>
    <s v="1Point Rate"/>
    <s v="MTG"/>
    <x v="455"/>
    <n v="4.5449175247284552"/>
  </r>
  <r>
    <x v="0"/>
    <s v="Bank of America"/>
    <s v="1Point Rate"/>
    <s v="MTG"/>
    <x v="456"/>
    <n v="4.51898400099134"/>
  </r>
  <r>
    <x v="0"/>
    <s v="Bank of America"/>
    <s v="1Point Rate"/>
    <s v="MTG"/>
    <x v="457"/>
    <n v="4.6625406011926644"/>
  </r>
  <r>
    <x v="0"/>
    <s v="Bank of America"/>
    <s v="1Point Rate"/>
    <s v="MTG"/>
    <x v="458"/>
    <n v="4.5160999599325891"/>
  </r>
  <r>
    <x v="0"/>
    <s v="Bank of America"/>
    <s v="1Point Rate"/>
    <s v="MTG"/>
    <x v="459"/>
    <n v="4.5593072875306691"/>
  </r>
  <r>
    <x v="0"/>
    <s v="Bank of America"/>
    <s v="1Point Rate"/>
    <s v="MTG"/>
    <x v="460"/>
    <n v="4.7461976057644284"/>
  </r>
  <r>
    <x v="0"/>
    <s v="Bank of America"/>
    <s v="1Point Rate"/>
    <s v="MTG"/>
    <x v="461"/>
    <n v="4.8313287829191687"/>
  </r>
  <r>
    <x v="0"/>
    <s v="Bank of America"/>
    <s v="1Point Rate"/>
    <s v="MTG"/>
    <x v="462"/>
    <n v="4.7291177700692373"/>
  </r>
  <r>
    <x v="0"/>
    <s v="Bank of America"/>
    <s v="1Point Rate"/>
    <s v="MTG"/>
    <x v="463"/>
    <n v="4.7637575560043235"/>
  </r>
  <r>
    <x v="0"/>
    <s v="Bank of America"/>
    <s v="1Point Rate"/>
    <s v="MTG"/>
    <x v="464"/>
    <n v="4.7888189466821647"/>
  </r>
  <r>
    <x v="0"/>
    <s v="Bank of America"/>
    <s v="1Point Rate"/>
    <s v="MTG"/>
    <x v="465"/>
    <n v="4.8934755687761582"/>
  </r>
  <r>
    <x v="0"/>
    <s v="Bank of America"/>
    <s v="1Point Rate"/>
    <s v="MTG"/>
    <x v="466"/>
    <n v="4.8313287829191687"/>
  </r>
  <r>
    <x v="0"/>
    <s v="Bank of America"/>
    <s v="1Point Rate"/>
    <s v="MTG"/>
    <x v="467"/>
    <n v="4.8115047133634281"/>
  </r>
  <r>
    <x v="0"/>
    <s v="Bank of America"/>
    <s v="1Point Rate"/>
    <s v="MTG"/>
    <x v="468"/>
    <n v="4.8737274617559763"/>
  </r>
  <r>
    <x v="0"/>
    <s v="Bank of America"/>
    <s v="1Point Rate"/>
    <s v="MTG"/>
    <x v="469"/>
    <n v="4.8058362422642036"/>
  </r>
  <r>
    <x v="0"/>
    <s v="Bank of America"/>
    <s v="1Point Rate"/>
    <s v="MTG"/>
    <x v="470"/>
    <n v="4.8143382067331446"/>
  </r>
  <r>
    <x v="0"/>
    <s v="Bank of America"/>
    <s v="1Point Rate"/>
    <s v="MTG"/>
    <x v="471"/>
    <n v="4.7661014631344658"/>
  </r>
  <r>
    <x v="0"/>
    <s v="Bank of America"/>
    <s v="1Point Rate"/>
    <s v="MTG"/>
    <x v="472"/>
    <n v="4.7803036100067127"/>
  </r>
  <r>
    <x v="0"/>
    <s v="Bank of America"/>
    <s v="1Point Rate"/>
    <s v="MTG"/>
    <x v="473"/>
    <n v="4.641114665991215"/>
  </r>
  <r>
    <x v="0"/>
    <s v="Bank of America"/>
    <s v="1Point Rate"/>
    <s v="MTG"/>
    <x v="474"/>
    <n v="4.6081378479045014"/>
  </r>
  <r>
    <x v="0"/>
    <s v="Bank of America"/>
    <s v="1Point Rate"/>
    <s v="MTG"/>
    <x v="475"/>
    <n v="4.6224719964520613"/>
  </r>
  <r>
    <x v="0"/>
    <s v="Bank of America"/>
    <s v="1Point Rate"/>
    <s v="MTG"/>
    <x v="476"/>
    <n v="4.6640020090797556"/>
  </r>
  <r>
    <x v="0"/>
    <s v="Bank of America"/>
    <s v="1Point Rate"/>
    <s v="MTG"/>
    <x v="477"/>
    <n v="4.7467000313236047"/>
  </r>
  <r>
    <x v="0"/>
    <s v="Bank of America"/>
    <s v="1Point Rate"/>
    <s v="MTG"/>
    <x v="478"/>
    <n v="4.7296245658857412"/>
  </r>
  <r>
    <x v="0"/>
    <s v="Bank of America"/>
    <s v="1Point Rate"/>
    <s v="MTG"/>
    <x v="479"/>
    <n v="4.5650596465316067"/>
  </r>
  <r>
    <x v="0"/>
    <s v="Bank of America"/>
    <s v="1Point Rate"/>
    <s v="MTG"/>
    <x v="480"/>
    <n v="4.5535529025989323"/>
  </r>
  <r>
    <x v="0"/>
    <s v="Bank of America"/>
    <s v="1Point Rate"/>
    <s v="MTG"/>
    <x v="481"/>
    <n v="4.6167398502484591"/>
  </r>
  <r>
    <x v="0"/>
    <s v="Bank of America"/>
    <s v="1Point Rate"/>
    <s v="MTG"/>
    <x v="482"/>
    <n v="4.5011061529054421"/>
  </r>
  <r>
    <x v="0"/>
    <s v="Bank of America"/>
    <s v="1Point Rate"/>
    <s v="MTG"/>
    <x v="483"/>
    <n v="4.4895567814149242"/>
  </r>
  <r>
    <x v="0"/>
    <s v="Bank of America"/>
    <s v="1Point Rate"/>
    <s v="MTG"/>
    <x v="484"/>
    <n v="4.3561504016631858"/>
  </r>
  <r>
    <x v="0"/>
    <s v="Bank of America"/>
    <s v="1Point Rate"/>
    <s v="MTG"/>
    <x v="485"/>
    <n v="4.4055792172463795"/>
  </r>
  <r>
    <x v="0"/>
    <s v="Bank of America"/>
    <s v="1Point Rate"/>
    <s v="MTG"/>
    <x v="486"/>
    <n v="4.4606476144770362"/>
  </r>
  <r>
    <x v="0"/>
    <s v="Bank of America"/>
    <s v="1Point Rate"/>
    <s v="MTG"/>
    <x v="487"/>
    <n v="4.5132154108004903"/>
  </r>
  <r>
    <x v="0"/>
    <s v="Bank of America"/>
    <s v="1Point Rate"/>
    <s v="MTG"/>
    <x v="488"/>
    <n v="4.4843419520413725"/>
  </r>
  <r>
    <x v="0"/>
    <s v="Bank of America"/>
    <s v="1Point Rate"/>
    <s v="MTG"/>
    <x v="489"/>
    <n v="4.5362775837453722"/>
  </r>
  <r>
    <x v="0"/>
    <s v="Bank of America"/>
    <s v="1Point Rate"/>
    <s v="MTG"/>
    <x v="490"/>
    <n v="4.6697188289968921"/>
  </r>
  <r>
    <x v="0"/>
    <s v="Bank of America"/>
    <s v="1Point Rate"/>
    <s v="MTG"/>
    <x v="491"/>
    <n v="4.6382514892441318"/>
  </r>
  <r>
    <x v="0"/>
    <s v="Bank of America"/>
    <s v="1Point Rate"/>
    <s v="MTG"/>
    <x v="492"/>
    <n v="4.7296245658857412"/>
  </r>
  <r>
    <x v="0"/>
    <s v="Bank of America"/>
    <s v="1Point Rate"/>
    <s v="MTG"/>
    <x v="493"/>
    <n v="4.7467000313236047"/>
  </r>
  <r>
    <x v="0"/>
    <s v="Bank of America"/>
    <s v="1Point Rate"/>
    <s v="MTG"/>
    <x v="494"/>
    <n v="4.7296245658857412"/>
  </r>
  <r>
    <x v="0"/>
    <s v="Bank of America"/>
    <s v="1Point Rate"/>
    <s v="MTG"/>
    <x v="495"/>
    <n v="4.7632595449686468"/>
  </r>
  <r>
    <x v="0"/>
    <s v="Bank of America"/>
    <s v="1Point Rate"/>
    <s v="MTG"/>
    <x v="496"/>
    <n v="4.82283571935921"/>
  </r>
  <r>
    <x v="0"/>
    <s v="Bank of America"/>
    <s v="1Point Rate"/>
    <s v="MTG"/>
    <x v="497"/>
    <n v="4.7291177700692373"/>
  </r>
  <r>
    <x v="0"/>
    <s v="Bank of America"/>
    <s v="1Point Rate"/>
    <s v="MTG"/>
    <x v="498"/>
    <n v="4.5981142236570944"/>
  </r>
  <r>
    <x v="0"/>
    <s v="Bank of America"/>
    <s v="1Point Rate"/>
    <s v="MTG"/>
    <x v="499"/>
    <n v="4.672576487151896"/>
  </r>
  <r>
    <x v="0"/>
    <s v="Bank of America"/>
    <s v="1Point Rate"/>
    <s v="MTG"/>
    <x v="500"/>
    <n v="4.6554230186202066"/>
  </r>
  <r>
    <x v="0"/>
    <s v="Bank of America"/>
    <s v="1Point Rate"/>
    <s v="MTG"/>
    <x v="501"/>
    <n v="4.5895005442725276"/>
  </r>
  <r>
    <x v="0"/>
    <s v="Bank of America"/>
    <s v="1Point Rate"/>
    <s v="MTG"/>
    <x v="502"/>
    <n v="4.4698861326727419"/>
  </r>
  <r>
    <x v="0"/>
    <s v="Bank of America"/>
    <s v="1Point Rate"/>
    <s v="MTG"/>
    <x v="503"/>
    <n v="4.4808893946865291"/>
  </r>
  <r>
    <x v="0"/>
    <s v="Bank of America"/>
    <s v="1Point Rate"/>
    <s v="MTG"/>
    <x v="504"/>
    <n v="4.4519648969237426"/>
  </r>
  <r>
    <x v="0"/>
    <s v="Bank of America"/>
    <s v="1Point Rate"/>
    <s v="MTG"/>
    <x v="505"/>
    <n v="4.3244279887249375"/>
  </r>
  <r>
    <x v="0"/>
    <s v="Bank of America"/>
    <s v="1Point Rate"/>
    <s v="MTG"/>
    <x v="506"/>
    <n v="4.3590620960775004"/>
  </r>
  <r>
    <x v="0"/>
    <s v="Bank of America"/>
    <s v="1Point Rate"/>
    <s v="MTG"/>
    <x v="507"/>
    <n v="4.3415841982875039"/>
  </r>
  <r>
    <x v="0"/>
    <s v="Bank of America"/>
    <s v="1Point Rate"/>
    <s v="MTG"/>
    <x v="508"/>
    <n v="4.3648839395113539"/>
  </r>
  <r>
    <x v="0"/>
    <s v="Bank of America"/>
    <s v="1Point Rate"/>
    <s v="MTG"/>
    <x v="509"/>
    <n v="4.3707037231358203"/>
  </r>
  <r>
    <x v="0"/>
    <s v="Bank of America"/>
    <s v="1Point Rate"/>
    <s v="MTG"/>
    <x v="510"/>
    <n v="4.4577538868375139"/>
  </r>
  <r>
    <x v="0"/>
    <s v="Bank of America"/>
    <s v="1Point Rate"/>
    <s v="MTG"/>
    <x v="511"/>
    <n v="4.4026757525723266"/>
  </r>
  <r>
    <x v="0"/>
    <s v="Bank of America"/>
    <s v="1Point Rate"/>
    <s v="MTG"/>
    <x v="512"/>
    <n v="4.425889099587673"/>
  </r>
  <r>
    <x v="0"/>
    <s v="Bank of America"/>
    <s v="1Point Rate"/>
    <s v="MTG"/>
    <x v="513"/>
    <n v="4.3590620960775004"/>
  </r>
  <r>
    <x v="0"/>
    <s v="Bank of America"/>
    <s v="1Point Rate"/>
    <s v="MTG"/>
    <x v="514"/>
    <n v="4.3910567572971591"/>
  </r>
  <r>
    <x v="0"/>
    <s v="Bank of America"/>
    <s v="1Point Rate"/>
    <s v="MTG"/>
    <x v="515"/>
    <n v="4.3415841982875039"/>
  </r>
  <r>
    <x v="0"/>
    <s v="Bank of America"/>
    <s v="1Point Rate"/>
    <s v="MTG"/>
    <x v="516"/>
    <n v="4.3419206196261708"/>
  </r>
  <r>
    <x v="0"/>
    <s v="Bank of America"/>
    <s v="1Point Rate"/>
    <s v="MTG"/>
    <x v="517"/>
    <n v="4.2776897841265393"/>
  </r>
  <r>
    <x v="0"/>
    <s v="Bank of America"/>
    <s v="1Point Rate"/>
    <s v="MTG"/>
    <x v="518"/>
    <n v="4.2542708378161587"/>
  </r>
  <r>
    <x v="0"/>
    <s v="Bank of America"/>
    <s v="1Point Rate"/>
    <s v="MTG"/>
    <x v="519"/>
    <n v="4.2981540865235441"/>
  </r>
  <r>
    <x v="0"/>
    <s v="Bank of America"/>
    <s v="1Point Rate"/>
    <s v="MTG"/>
    <x v="520"/>
    <n v="4.2601286944480448"/>
  </r>
  <r>
    <x v="0"/>
    <s v="Bank of America"/>
    <s v="1Point Rate"/>
    <s v="MTG"/>
    <x v="521"/>
    <n v="4.2132075105238744"/>
  </r>
  <r>
    <x v="0"/>
    <s v="Bank of America"/>
    <s v="1Point Rate"/>
    <s v="MTG"/>
    <x v="522"/>
    <n v="4.2601286944480448"/>
  </r>
  <r>
    <x v="0"/>
    <s v="Bank of America"/>
    <s v="1Point Rate"/>
    <s v="MTG"/>
    <x v="523"/>
    <n v="4.2308185875965627"/>
  </r>
  <r>
    <x v="0"/>
    <s v="Bank of America"/>
    <s v="1Point Rate"/>
    <s v="MTG"/>
    <x v="524"/>
    <n v="4.2513411289951666"/>
  </r>
  <r>
    <x v="0"/>
    <s v="Bank of America"/>
    <s v="1Point Rate"/>
    <s v="MTG"/>
    <x v="525"/>
    <n v="4.2630568424773081"/>
  </r>
  <r>
    <x v="0"/>
    <s v="Bank of America"/>
    <s v="1Point Rate"/>
    <s v="MTG"/>
    <x v="526"/>
    <n v="4.3010754824792077"/>
  </r>
  <r>
    <x v="0"/>
    <s v="Bank of America"/>
    <s v="1Point Rate"/>
    <s v="MTG"/>
    <x v="527"/>
    <n v="4.2689115785087015"/>
  </r>
  <r>
    <x v="0"/>
    <s v="Bank of America"/>
    <s v="1Point Rate"/>
    <s v="MTG"/>
    <x v="528"/>
    <n v="4.3448342476141146"/>
  </r>
  <r>
    <x v="0"/>
    <s v="Bank of America"/>
    <s v="1Point Rate"/>
    <s v="MTG"/>
    <x v="529"/>
    <n v="4.3331766326070991"/>
  </r>
  <r>
    <x v="0"/>
    <s v="Bank of America"/>
    <s v="1Point Rate"/>
    <s v="MTG"/>
    <x v="530"/>
    <n v="4.3623051624544651"/>
  </r>
  <r>
    <x v="0"/>
    <s v="Bank of America"/>
    <s v="1Point Rate"/>
    <s v="MTG"/>
    <x v="531"/>
    <n v="4.3215107387307263"/>
  </r>
  <r>
    <x v="0"/>
    <s v="Bank of America"/>
    <s v="1Point Rate"/>
    <s v="MTG"/>
    <x v="532"/>
    <n v="4.3794295383213715"/>
  </r>
  <r>
    <x v="0"/>
    <s v="Bank of America"/>
    <s v="1Point Rate"/>
    <s v="MTG"/>
    <x v="533"/>
    <n v="4.3506599527151097"/>
  </r>
  <r>
    <x v="0"/>
    <s v="Bank of America"/>
    <s v="1Point Rate"/>
    <s v="MTG"/>
    <x v="534"/>
    <n v="4.2542708378161587"/>
  </r>
  <r>
    <x v="0"/>
    <s v="Bank of America"/>
    <s v="1Point Rate"/>
    <s v="MTG"/>
    <x v="535"/>
    <n v="4.2835393235273624"/>
  </r>
  <r>
    <x v="0"/>
    <s v="Bank of America"/>
    <s v="1Point Rate"/>
    <s v="MTG"/>
    <x v="536"/>
    <n v="4.2835393235273624"/>
  </r>
  <r>
    <x v="0"/>
    <s v="Bank of America"/>
    <s v="1Point Rate"/>
    <s v="MTG"/>
    <x v="537"/>
    <n v="4.2484108996908265"/>
  </r>
  <r>
    <x v="0"/>
    <s v="Bank of America"/>
    <s v="1Point Rate"/>
    <s v="MTG"/>
    <x v="538"/>
    <n v="4.2747642352322801"/>
  </r>
  <r>
    <x v="0"/>
    <s v="Bank of America"/>
    <s v="1Point Rate"/>
    <s v="MTG"/>
    <x v="539"/>
    <n v="4.2630568424773081"/>
  </r>
  <r>
    <x v="0"/>
    <s v="Bank of America"/>
    <s v="1Point Rate"/>
    <s v="MTG"/>
    <x v="540"/>
    <n v="4.2144451362355886"/>
  </r>
  <r>
    <x v="0"/>
    <s v="Bank of America"/>
    <s v="1Point Rate"/>
    <s v="MTG"/>
    <x v="541"/>
    <n v="4.1732904617539637"/>
  </r>
  <r>
    <x v="0"/>
    <s v="Bank of America"/>
    <s v="1Point Rate"/>
    <s v="MTG"/>
    <x v="542"/>
    <n v="4.1732904617539637"/>
  </r>
  <r>
    <x v="0"/>
    <s v="Bank of America"/>
    <s v="1Point Rate"/>
    <s v="MTG"/>
    <x v="543"/>
    <n v="4.1821179681285399"/>
  </r>
  <r>
    <x v="0"/>
    <s v="Bank of America"/>
    <s v="1Point Rate"/>
    <s v="MTG"/>
    <x v="544"/>
    <n v="4.1674028340858227"/>
  </r>
  <r>
    <x v="0"/>
    <s v="Bank of America"/>
    <s v="1Point Rate"/>
    <s v="MTG"/>
    <x v="545"/>
    <n v="4.1968199924512142"/>
  </r>
  <r>
    <x v="0"/>
    <s v="Bank of America"/>
    <s v="1Point Rate"/>
    <s v="MTG"/>
    <x v="546"/>
    <n v="4.1556212785682742"/>
  </r>
  <r>
    <x v="0"/>
    <s v="Bank of America"/>
    <s v="1Point Rate"/>
    <s v="MTG"/>
    <x v="547"/>
    <n v="4.2132075105238744"/>
  </r>
  <r>
    <x v="0"/>
    <s v="Bank of America"/>
    <s v="1Point Rate"/>
    <s v="MTG"/>
    <x v="548"/>
    <n v="4.2320514457091392"/>
  </r>
  <r>
    <x v="0"/>
    <s v="Bank of America"/>
    <s v="1Point Rate"/>
    <s v="MTG"/>
    <x v="549"/>
    <n v="4.224950314738753"/>
  </r>
  <r>
    <x v="0"/>
    <s v="Bank of America"/>
    <s v="1Point Rate"/>
    <s v="MTG"/>
    <x v="550"/>
    <n v="4.1938806357020679"/>
  </r>
  <r>
    <x v="0"/>
    <s v="Bank of America"/>
    <s v="1Point Rate"/>
    <s v="MTG"/>
    <x v="551"/>
    <n v="4.2144451362355886"/>
  </r>
  <r>
    <x v="0"/>
    <s v="Bank of America"/>
    <s v="1Point Rate"/>
    <s v="MTG"/>
    <x v="552"/>
    <n v="4.1194058280557355"/>
  </r>
  <r>
    <x v="0"/>
    <s v="Bank of America"/>
    <s v="1Point Rate"/>
    <s v="MTG"/>
    <x v="553"/>
    <n v="4.1172731314723672"/>
  </r>
  <r>
    <x v="0"/>
    <s v="Bank of America"/>
    <s v="1Point Rate"/>
    <s v="MTG"/>
    <x v="554"/>
    <n v="4.1084109241347946"/>
  </r>
  <r>
    <x v="0"/>
    <s v="Bank of America"/>
    <s v="1Point Rate"/>
    <s v="MTG"/>
    <x v="555"/>
    <n v="4.105455800854287"/>
  </r>
  <r>
    <x v="0"/>
    <s v="Bank of America"/>
    <s v="1Point Rate"/>
    <s v="MTG"/>
    <x v="556"/>
    <n v="4.099543972372329"/>
  </r>
  <r>
    <x v="0"/>
    <s v="Bank of America"/>
    <s v="1Point Rate"/>
    <s v="MTG"/>
    <x v="557"/>
    <n v="4.1320329420089141"/>
  </r>
  <r>
    <x v="0"/>
    <s v="Bank of America"/>
    <s v="1Point Rate"/>
    <s v="MTG"/>
    <x v="558"/>
    <n v="4.0513625072186139"/>
  </r>
  <r>
    <x v="0"/>
    <s v="Bank of America"/>
    <s v="1Point Rate"/>
    <s v="MTG"/>
    <x v="559"/>
    <n v="4.0928135241094665"/>
  </r>
  <r>
    <x v="0"/>
    <s v="Bank of America"/>
    <s v="1Point Rate"/>
    <s v="MTG"/>
    <x v="560"/>
    <n v="4.1046376117541934"/>
  </r>
  <r>
    <x v="0"/>
    <s v="Bank of America"/>
    <s v="1Point Rate"/>
    <s v="MTG"/>
    <x v="561"/>
    <n v="4.1526745765048156"/>
  </r>
  <r>
    <x v="0"/>
    <s v="Bank of America"/>
    <s v="1Point Rate"/>
    <s v="MTG"/>
    <x v="562"/>
    <n v="4.1556212785682742"/>
  </r>
  <r>
    <x v="0"/>
    <s v="Bank of America"/>
    <s v="1Point Rate"/>
    <s v="MTG"/>
    <x v="563"/>
    <n v="4.1526745765048156"/>
  </r>
  <r>
    <x v="0"/>
    <s v="Bank of America"/>
    <s v="1Point Rate"/>
    <s v="MTG"/>
    <x v="564"/>
    <n v="4.1164532413786334"/>
  </r>
  <r>
    <x v="0"/>
    <s v="Bank of America"/>
    <s v="1Point Rate"/>
    <s v="MTG"/>
    <x v="565"/>
    <n v="4.1408825121982815"/>
  </r>
  <r>
    <x v="0"/>
    <s v="Bank of America"/>
    <s v="1Point Rate"/>
    <s v="MTG"/>
    <x v="566"/>
    <n v="4.110546483372512"/>
  </r>
  <r>
    <x v="0"/>
    <s v="Bank of America"/>
    <s v="1Point Rate"/>
    <s v="MTG"/>
    <x v="567"/>
    <n v="4.1379331815548976"/>
  </r>
  <r>
    <x v="0"/>
    <s v="Bank of America"/>
    <s v="1Point Rate"/>
    <s v="MTG"/>
    <x v="568"/>
    <n v="4.179175990540184"/>
  </r>
  <r>
    <x v="0"/>
    <s v="Bank of America"/>
    <s v="1Point Rate"/>
    <s v="MTG"/>
    <x v="569"/>
    <n v="4.1850594213293615"/>
  </r>
  <r>
    <x v="0"/>
    <s v="Bank of America"/>
    <s v="1Point Rate"/>
    <s v="MTG"/>
    <x v="570"/>
    <n v="4.1497273489473896"/>
  </r>
  <r>
    <x v="0"/>
    <s v="Bank of America"/>
    <s v="1Point Rate"/>
    <s v="MTG"/>
    <x v="571"/>
    <n v="4.2437785335995981"/>
  </r>
  <r>
    <x v="0"/>
    <s v="Bank of America"/>
    <s v="1Point Rate"/>
    <s v="MTG"/>
    <x v="572"/>
    <n v="4.2467090001112977"/>
  </r>
  <r>
    <x v="0"/>
    <s v="Bank of America"/>
    <s v="1Point Rate"/>
    <s v="MTG"/>
    <x v="573"/>
    <n v="4.2718381667285747"/>
  </r>
  <r>
    <x v="0"/>
    <s v="Bank of America"/>
    <s v="1Point Rate"/>
    <s v="MTG"/>
    <x v="574"/>
    <n v="4.3127558811293758"/>
  </r>
  <r>
    <x v="0"/>
    <s v="Bank of America"/>
    <s v="1Point Rate"/>
    <s v="MTG"/>
    <x v="575"/>
    <n v="4.2718381667285747"/>
  </r>
  <r>
    <x v="0"/>
    <s v="Bank of America"/>
    <s v="1Point Rate"/>
    <s v="MTG"/>
    <x v="576"/>
    <n v="4.2161439941639536"/>
  </r>
  <r>
    <x v="0"/>
    <s v="Bank of America"/>
    <s v="1Point Rate"/>
    <s v="MTG"/>
    <x v="577"/>
    <n v="4.2220153961616571"/>
  </r>
  <r>
    <x v="0"/>
    <s v="Bank of America"/>
    <s v="1Point Rate"/>
    <s v="MTG"/>
    <x v="578"/>
    <n v="4.2026971345497621"/>
  </r>
  <r>
    <x v="0"/>
    <s v="Bank of America"/>
    <s v="1Point Rate"/>
    <s v="MTG"/>
    <x v="579"/>
    <n v="4.2190799560072145"/>
  </r>
  <r>
    <x v="0"/>
    <s v="Bank of America"/>
    <s v="1Point Rate"/>
    <s v="MTG"/>
    <x v="580"/>
    <n v="4.2144451362355886"/>
  </r>
  <r>
    <x v="0"/>
    <s v="Bank of America"/>
    <s v="1Point Rate"/>
    <s v="MTG"/>
    <x v="581"/>
    <n v="4.2026971345497621"/>
  </r>
  <r>
    <x v="0"/>
    <s v="Bank of America"/>
    <s v="1Point Rate"/>
    <s v="MTG"/>
    <x v="582"/>
    <n v="4.110546483372512"/>
  </r>
  <r>
    <x v="0"/>
    <s v="Bank of America"/>
    <s v="1Point Rate"/>
    <s v="MTG"/>
    <x v="583"/>
    <n v="4.1467795957841771"/>
  </r>
  <r>
    <x v="0"/>
    <s v="Bank of America"/>
    <s v="1Point Rate"/>
    <s v="MTG"/>
    <x v="584"/>
    <n v="4.1732904617539637"/>
  </r>
  <r>
    <x v="0"/>
    <s v="Bank of America"/>
    <s v="1Point Rate"/>
    <s v="MTG"/>
    <x v="585"/>
    <n v="4.2203159975859652"/>
  </r>
  <r>
    <x v="0"/>
    <s v="Bank of America"/>
    <s v="1Point Rate"/>
    <s v="MTG"/>
    <x v="586"/>
    <n v="4.1732904617539637"/>
  </r>
  <r>
    <x v="0"/>
    <s v="Bank of America"/>
    <s v="1Point Rate"/>
    <s v="MTG"/>
    <x v="587"/>
    <n v="4.2232506437744561"/>
  </r>
  <r>
    <x v="0"/>
    <s v="Bank of America"/>
    <s v="1Point Rate"/>
    <s v="MTG"/>
    <x v="588"/>
    <n v="4.2437785335995981"/>
  </r>
  <r>
    <x v="0"/>
    <s v="Bank of America"/>
    <s v="1Point Rate"/>
    <s v="MTG"/>
    <x v="589"/>
    <n v="4.1821179681285399"/>
  </r>
  <r>
    <x v="0"/>
    <s v="Bank of America"/>
    <s v="1Point Rate"/>
    <s v="MTG"/>
    <x v="590"/>
    <n v="4.1615131066523583"/>
  </r>
  <r>
    <x v="0"/>
    <s v="Bank of America"/>
    <s v="1Point Rate"/>
    <s v="MTG"/>
    <x v="591"/>
    <n v="4.1290820328863767"/>
  </r>
  <r>
    <x v="0"/>
    <s v="Bank of America"/>
    <s v="1Point Rate"/>
    <s v="MTG"/>
    <x v="592"/>
    <n v="4.1290820328863767"/>
  </r>
  <r>
    <x v="0"/>
    <s v="Bank of America"/>
    <s v="1Point Rate"/>
    <s v="MTG"/>
    <x v="593"/>
    <n v="4.1349833248614178"/>
  </r>
  <r>
    <x v="0"/>
    <s v="Bank of America"/>
    <s v="1Point Rate"/>
    <s v="MTG"/>
    <x v="594"/>
    <n v="4.1202261467859813"/>
  </r>
  <r>
    <x v="0"/>
    <s v="Bank of America"/>
    <s v="1Point Rate"/>
    <s v="MTG"/>
    <x v="595"/>
    <n v="4.0957703393502847"/>
  </r>
  <r>
    <x v="0"/>
    <s v="Bank of America"/>
    <s v="1Point Rate"/>
    <s v="MTG"/>
    <x v="596"/>
    <n v="4.1075923118200182"/>
  </r>
  <r>
    <x v="0"/>
    <s v="Bank of America"/>
    <s v="1Point Rate"/>
    <s v="MTG"/>
    <x v="597"/>
    <n v="4.1075923118200182"/>
  </r>
  <r>
    <x v="0"/>
    <s v="Bank of America"/>
    <s v="1Point Rate"/>
    <s v="MTG"/>
    <x v="598"/>
    <n v="4.0839399035018316"/>
  </r>
  <r>
    <x v="0"/>
    <s v="Bank of America"/>
    <s v="1Point Rate"/>
    <s v="MTG"/>
    <x v="599"/>
    <n v="4.1194058280557355"/>
  </r>
  <r>
    <x v="0"/>
    <s v="Bank of America"/>
    <s v="1Point Rate"/>
    <s v="MTG"/>
    <x v="600"/>
    <n v="4.1290820328863767"/>
  </r>
  <r>
    <x v="0"/>
    <s v="Bank of America"/>
    <s v="1Point Rate"/>
    <s v="MTG"/>
    <x v="601"/>
    <n v="4.099543972372329"/>
  </r>
  <r>
    <x v="0"/>
    <s v="Bank of America"/>
    <s v="1Point Rate"/>
    <s v="MTG"/>
    <x v="602"/>
    <n v="4.0839399035018316"/>
  </r>
  <r>
    <x v="0"/>
    <s v="Bank of America"/>
    <s v="1Point Rate"/>
    <s v="MTG"/>
    <x v="603"/>
    <n v="4.105455800854287"/>
  </r>
  <r>
    <x v="0"/>
    <s v="Bank of America"/>
    <s v="1Point Rate"/>
    <s v="MTG"/>
    <x v="604"/>
    <n v="4.0936300339223344"/>
  </r>
  <r>
    <x v="0"/>
    <s v="Bank of America"/>
    <s v="1Point Rate"/>
    <s v="MTG"/>
    <x v="605"/>
    <n v="4.0936300339223344"/>
  </r>
  <r>
    <x v="0"/>
    <s v="Bank of America"/>
    <s v="1Point Rate"/>
    <s v="MTG"/>
    <x v="606"/>
    <n v="4.0936300339223344"/>
  </r>
  <r>
    <x v="0"/>
    <s v="Bank of America"/>
    <s v="1Point Rate"/>
    <s v="MTG"/>
    <x v="607"/>
    <n v="3.9979154753353749"/>
  </r>
  <r>
    <x v="0"/>
    <s v="Bank of America"/>
    <s v="1Point Rate"/>
    <s v="MTG"/>
    <x v="608"/>
    <n v="3.9979154753353749"/>
  </r>
  <r>
    <x v="0"/>
    <s v="Bank of America"/>
    <s v="1Point Rate"/>
    <s v="MTG"/>
    <x v="609"/>
    <n v="4.0424666256249511"/>
  </r>
  <r>
    <x v="0"/>
    <s v="Bank of America"/>
    <s v="1Point Rate"/>
    <s v="MTG"/>
    <x v="610"/>
    <n v="4.0305980159846175"/>
  </r>
  <r>
    <x v="0"/>
    <s v="Bank of America"/>
    <s v="1Point Rate"/>
    <s v="MTG"/>
    <x v="611"/>
    <n v="4.0572904415645503"/>
  </r>
  <r>
    <x v="0"/>
    <s v="Bank of America"/>
    <s v="1Point Rate"/>
    <s v="MTG"/>
    <x v="612"/>
    <n v="4.0572904415645503"/>
  </r>
  <r>
    <x v="0"/>
    <s v="Bank of America"/>
    <s v="1Point Rate"/>
    <s v="MTG"/>
    <x v="613"/>
    <n v="4.0127791565443349"/>
  </r>
  <r>
    <x v="0"/>
    <s v="Bank of America"/>
    <s v="1Point Rate"/>
    <s v="MTG"/>
    <x v="614"/>
    <n v="4.0157502960415918"/>
  </r>
  <r>
    <x v="0"/>
    <s v="Bank of America"/>
    <s v="1Point Rate"/>
    <s v="MTG"/>
    <x v="615"/>
    <n v="4.0068352811424779"/>
  </r>
  <r>
    <x v="0"/>
    <s v="Bank of America"/>
    <s v="1Point Rate"/>
    <s v="MTG"/>
    <x v="616"/>
    <n v="4.0483977441432888"/>
  </r>
  <r>
    <x v="0"/>
    <s v="Bank of America"/>
    <s v="1Point Rate"/>
    <s v="MTG"/>
    <x v="617"/>
    <n v="4.0898561797954418"/>
  </r>
  <r>
    <x v="0"/>
    <s v="Bank of America"/>
    <s v="1Point Rate"/>
    <s v="MTG"/>
    <x v="618"/>
    <n v="4.0809809712996072"/>
  </r>
  <r>
    <x v="0"/>
    <s v="Bank of America"/>
    <s v="1Point Rate"/>
    <s v="MTG"/>
    <x v="619"/>
    <n v="4.1046376117541934"/>
  </r>
  <r>
    <x v="0"/>
    <s v="Bank of America"/>
    <s v="1Point Rate"/>
    <s v="MTG"/>
    <x v="620"/>
    <n v="4.1046376117541934"/>
  </r>
  <r>
    <x v="0"/>
    <s v="Bank of America"/>
    <s v="1Point Rate"/>
    <s v="MTG"/>
    <x v="621"/>
    <n v="4.1113655202581336"/>
  </r>
  <r>
    <x v="0"/>
    <s v="Bank of America"/>
    <s v="1Point Rate"/>
    <s v="MTG"/>
    <x v="622"/>
    <n v="4.0906722731815695"/>
  </r>
  <r>
    <x v="0"/>
    <s v="Bank of America"/>
    <s v="1Point Rate"/>
    <s v="MTG"/>
    <x v="623"/>
    <n v="4.1379331815548976"/>
  </r>
  <r>
    <x v="0"/>
    <s v="Bank of America"/>
    <s v="1Point Rate"/>
    <s v="MTG"/>
    <x v="624"/>
    <n v="4.158567455246458"/>
  </r>
  <r>
    <x v="0"/>
    <s v="Bank of America"/>
    <s v="1Point Rate"/>
    <s v="MTG"/>
    <x v="625"/>
    <n v="4.1408825121982815"/>
  </r>
  <r>
    <x v="0"/>
    <s v="Bank of America"/>
    <s v="1Point Rate"/>
    <s v="MTG"/>
    <x v="626"/>
    <n v="4.1379331815548976"/>
  </r>
  <r>
    <x v="0"/>
    <s v="Bank of America"/>
    <s v="1Point Rate"/>
    <s v="MTG"/>
    <x v="627"/>
    <n v="4.1202261467859813"/>
  </r>
  <r>
    <x v="0"/>
    <s v="Bank of America"/>
    <s v="1Point Rate"/>
    <s v="MTG"/>
    <x v="628"/>
    <n v="4.1644582328949262"/>
  </r>
  <r>
    <x v="0"/>
    <s v="Bank of America"/>
    <s v="1Point Rate"/>
    <s v="MTG"/>
    <x v="629"/>
    <n v="4.1909407550050704"/>
  </r>
  <r>
    <x v="0"/>
    <s v="Bank of America"/>
    <s v="1Point Rate"/>
    <s v="MTG"/>
    <x v="630"/>
    <n v="4.1408825121982815"/>
  </r>
  <r>
    <x v="0"/>
    <s v="Bank of America"/>
    <s v="1Point Rate"/>
    <s v="MTG"/>
    <x v="631"/>
    <n v="4.1821179681285399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Chase"/>
    <s v="1Point Rate"/>
    <s v="MTG"/>
    <x v="9"/>
    <n v="3.9361387568601574"/>
  </r>
  <r>
    <x v="0"/>
    <s v="Chase"/>
    <s v="1Point Rate"/>
    <s v="MTG"/>
    <x v="10"/>
    <n v="3.9353424338077225"/>
  </r>
  <r>
    <x v="0"/>
    <s v="Chase"/>
    <s v="1Point Rate"/>
    <s v="MTG"/>
    <x v="11"/>
    <n v="3.8425411667081901"/>
  </r>
  <r>
    <x v="0"/>
    <s v="Chase"/>
    <s v="1Point Rate"/>
    <s v="MTG"/>
    <x v="12"/>
    <n v="3.812592661796018"/>
  </r>
  <r>
    <x v="0"/>
    <s v="Chase"/>
    <s v="1Point Rate"/>
    <s v="MTG"/>
    <x v="13"/>
    <n v="3.8425411667081901"/>
  </r>
  <r>
    <x v="0"/>
    <s v="Chase"/>
    <s v="1Point Rate"/>
    <s v="MTG"/>
    <x v="14"/>
    <n v="3.8425411667081901"/>
  </r>
  <r>
    <x v="0"/>
    <s v="Chase"/>
    <s v="1Point Rate"/>
    <s v="MTG"/>
    <x v="15"/>
    <n v="3.8124950348616728"/>
  </r>
  <r>
    <x v="0"/>
    <s v="Chase"/>
    <s v="1Point Rate"/>
    <s v="MTG"/>
    <x v="16"/>
    <n v="3.812592661796018"/>
  </r>
  <r>
    <x v="0"/>
    <s v="Chase"/>
    <s v="1Point Rate"/>
    <s v="MTG"/>
    <x v="17"/>
    <n v="3.9054628819113248"/>
  </r>
  <r>
    <x v="0"/>
    <s v="Chase"/>
    <s v="1Point Rate"/>
    <s v="MTG"/>
    <x v="18"/>
    <n v="3.8725334437312955"/>
  </r>
  <r>
    <x v="0"/>
    <s v="Chase"/>
    <s v="1Point Rate"/>
    <s v="MTG"/>
    <x v="19"/>
    <n v="3.8425411667081901"/>
  </r>
  <r>
    <x v="0"/>
    <s v="Chase"/>
    <s v="1Point Rate"/>
    <s v="MTG"/>
    <x v="20"/>
    <n v="3.812592661796018"/>
  </r>
  <r>
    <x v="0"/>
    <s v="Chase"/>
    <s v="1Point Rate"/>
    <s v="MTG"/>
    <x v="21"/>
    <n v="3.7493301282064344"/>
  </r>
  <r>
    <x v="0"/>
    <s v="Chase"/>
    <s v="1Point Rate"/>
    <s v="MTG"/>
    <x v="22"/>
    <n v="3.7794849694083221"/>
  </r>
  <r>
    <x v="0"/>
    <s v="Chase"/>
    <s v="1Point Rate"/>
    <s v="MTG"/>
    <x v="23"/>
    <n v="3.7493301282064344"/>
  </r>
  <r>
    <x v="0"/>
    <s v="Chase"/>
    <s v="1Point Rate"/>
    <s v="MTG"/>
    <x v="24"/>
    <n v="3.812592661796018"/>
  </r>
  <r>
    <x v="0"/>
    <s v="Chase"/>
    <s v="1Point Rate"/>
    <s v="MTG"/>
    <x v="25"/>
    <n v="3.8425411667081901"/>
  </r>
  <r>
    <x v="0"/>
    <s v="Chase"/>
    <s v="1Point Rate"/>
    <s v="MTG"/>
    <x v="26"/>
    <n v="3.8124950348616728"/>
  </r>
  <r>
    <x v="0"/>
    <s v="Chase"/>
    <s v="1Point Rate"/>
    <s v="MTG"/>
    <x v="27"/>
    <n v="3.812592661796018"/>
  </r>
  <r>
    <x v="0"/>
    <s v="Chase"/>
    <s v="1Point Rate"/>
    <s v="MTG"/>
    <x v="28"/>
    <n v="3.8124950348616728"/>
  </r>
  <r>
    <x v="0"/>
    <s v="Chase"/>
    <s v="1Point Rate"/>
    <s v="MTG"/>
    <x v="29"/>
    <n v="3.8425411667081901"/>
  </r>
  <r>
    <x v="0"/>
    <s v="Chase"/>
    <s v="1Point Rate"/>
    <s v="MTG"/>
    <x v="30"/>
    <n v="3.7794849694083221"/>
  </r>
  <r>
    <x v="0"/>
    <s v="Chase"/>
    <s v="1Point Rate"/>
    <s v="MTG"/>
    <x v="31"/>
    <n v="3.812592661796018"/>
  </r>
  <r>
    <x v="0"/>
    <s v="Chase"/>
    <s v="1Point Rate"/>
    <s v="MTG"/>
    <x v="32"/>
    <n v="3.812592661796018"/>
  </r>
  <r>
    <x v="0"/>
    <s v="Chase"/>
    <s v="1Point Rate"/>
    <s v="MTG"/>
    <x v="33"/>
    <n v="3.812592661796018"/>
  </r>
  <r>
    <x v="0"/>
    <s v="Chase"/>
    <s v="1Point Rate"/>
    <s v="MTG"/>
    <x v="34"/>
    <n v="3.7794849694083221"/>
  </r>
  <r>
    <x v="0"/>
    <s v="Chase"/>
    <s v="1Point Rate"/>
    <s v="MTG"/>
    <x v="35"/>
    <n v="3.7794849694083221"/>
  </r>
  <r>
    <x v="0"/>
    <s v="Chase"/>
    <s v="1Point Rate"/>
    <s v="MTG"/>
    <x v="36"/>
    <n v="3.812592661796018"/>
  </r>
  <r>
    <x v="0"/>
    <s v="Chase"/>
    <s v="1Point Rate"/>
    <s v="MTG"/>
    <x v="37"/>
    <n v="3.8425411667081901"/>
  </r>
  <r>
    <x v="0"/>
    <s v="Chase"/>
    <s v="1Point Rate"/>
    <s v="MTG"/>
    <x v="38"/>
    <n v="3.8425411667081901"/>
  </r>
  <r>
    <x v="0"/>
    <s v="Chase"/>
    <s v="1Point Rate"/>
    <s v="MTG"/>
    <x v="39"/>
    <n v="3.8124950348616728"/>
  </r>
  <r>
    <x v="0"/>
    <s v="Chase"/>
    <s v="1Point Rate"/>
    <s v="MTG"/>
    <x v="40"/>
    <n v="3.8425411667081901"/>
  </r>
  <r>
    <x v="0"/>
    <s v="Chase"/>
    <s v="1Point Rate"/>
    <s v="MTG"/>
    <x v="41"/>
    <n v="3.9062558298878747"/>
  </r>
  <r>
    <x v="0"/>
    <s v="Chase"/>
    <s v="1Point Rate"/>
    <s v="MTG"/>
    <x v="42"/>
    <n v="3.9353424338077225"/>
  </r>
  <r>
    <x v="0"/>
    <s v="Chase"/>
    <s v="1Point Rate"/>
    <s v="MTG"/>
    <x v="43"/>
    <n v="3.9353424338077225"/>
  </r>
  <r>
    <x v="0"/>
    <s v="Chase"/>
    <s v="1Point Rate"/>
    <s v="MTG"/>
    <x v="44"/>
    <n v="3.968948344733974"/>
  </r>
  <r>
    <x v="0"/>
    <s v="Chase"/>
    <s v="1Point Rate"/>
    <s v="MTG"/>
    <x v="45"/>
    <n v="4.0610656170015185"/>
  </r>
  <r>
    <x v="0"/>
    <s v="Chase"/>
    <s v="1Point Rate"/>
    <s v="MTG"/>
    <x v="46"/>
    <n v="4.0610656170015185"/>
  </r>
  <r>
    <x v="0"/>
    <s v="Chase"/>
    <s v="1Point Rate"/>
    <s v="MTG"/>
    <x v="47"/>
    <n v="4.0284371983798186"/>
  </r>
  <r>
    <x v="0"/>
    <s v="Chase"/>
    <s v="1Point Rate"/>
    <s v="MTG"/>
    <x v="48"/>
    <n v="3.9361387568601574"/>
  </r>
  <r>
    <x v="0"/>
    <s v="Chase"/>
    <s v="1Point Rate"/>
    <s v="MTG"/>
    <x v="49"/>
    <n v="3.9987193359155064"/>
  </r>
  <r>
    <x v="0"/>
    <s v="Chase"/>
    <s v="1Point Rate"/>
    <s v="MTG"/>
    <x v="50"/>
    <n v="4.0284371983798186"/>
  </r>
  <r>
    <x v="0"/>
    <s v="Chase"/>
    <s v="1Point Rate"/>
    <s v="MTG"/>
    <x v="51"/>
    <n v="4.0610656170015185"/>
  </r>
  <r>
    <x v="0"/>
    <s v="Chase"/>
    <s v="1Point Rate"/>
    <s v="MTG"/>
    <x v="52"/>
    <n v="4.0301218665618999"/>
  </r>
  <r>
    <x v="0"/>
    <s v="Chase"/>
    <s v="1Point Rate"/>
    <s v="MTG"/>
    <x v="53"/>
    <n v="4.0284371983798186"/>
  </r>
  <r>
    <x v="0"/>
    <s v="Chase"/>
    <s v="1Point Rate"/>
    <s v="MTG"/>
    <x v="54"/>
    <n v="3.9987193359155064"/>
  </r>
  <r>
    <x v="0"/>
    <s v="Chase"/>
    <s v="1Point Rate"/>
    <s v="MTG"/>
    <x v="55"/>
    <n v="4.0936300339223344"/>
  </r>
  <r>
    <x v="0"/>
    <s v="Chase"/>
    <s v="1Point Rate"/>
    <s v="MTG"/>
    <x v="56"/>
    <n v="4.0936300339223344"/>
  </r>
  <r>
    <x v="0"/>
    <s v="Chase"/>
    <s v="1Point Rate"/>
    <s v="MTG"/>
    <x v="57"/>
    <n v="3.9987193359155064"/>
  </r>
  <r>
    <x v="0"/>
    <s v="Chase"/>
    <s v="1Point Rate"/>
    <s v="MTG"/>
    <x v="58"/>
    <n v="4.0936300339223344"/>
  </r>
  <r>
    <x v="0"/>
    <s v="Chase"/>
    <s v="1Point Rate"/>
    <s v="MTG"/>
    <x v="59"/>
    <n v="4.0284371983798186"/>
  </r>
  <r>
    <x v="0"/>
    <s v="Chase"/>
    <s v="1Point Rate"/>
    <s v="MTG"/>
    <x v="60"/>
    <n v="3.9659683192190758"/>
  </r>
  <r>
    <x v="0"/>
    <s v="Chase"/>
    <s v="1Point Rate"/>
    <s v="MTG"/>
    <x v="61"/>
    <n v="3.9659683192190758"/>
  </r>
  <r>
    <x v="0"/>
    <s v="Chase"/>
    <s v="1Point Rate"/>
    <s v="MTG"/>
    <x v="62"/>
    <n v="3.9361387568601574"/>
  </r>
  <r>
    <x v="0"/>
    <s v="Chase"/>
    <s v="1Point Rate"/>
    <s v="MTG"/>
    <x v="63"/>
    <n v="4.0284371983798186"/>
  </r>
  <r>
    <x v="0"/>
    <s v="Chase"/>
    <s v="1Point Rate"/>
    <s v="MTG"/>
    <x v="64"/>
    <n v="4.0284371983798186"/>
  </r>
  <r>
    <x v="0"/>
    <s v="Chase"/>
    <s v="1Point Rate"/>
    <s v="MTG"/>
    <x v="65"/>
    <n v="4.1248698203088709"/>
  </r>
  <r>
    <x v="0"/>
    <s v="Chase"/>
    <s v="1Point Rate"/>
    <s v="MTG"/>
    <x v="66"/>
    <n v="4.1248698203088709"/>
  </r>
  <r>
    <x v="0"/>
    <s v="Chase"/>
    <s v="1Point Rate"/>
    <s v="MTG"/>
    <x v="67"/>
    <n v="4.1539931569602002"/>
  </r>
  <r>
    <x v="0"/>
    <s v="Chase"/>
    <s v="1Point Rate"/>
    <s v="MTG"/>
    <x v="68"/>
    <n v="4.1248698203088709"/>
  </r>
  <r>
    <x v="0"/>
    <s v="Chase"/>
    <s v="1Point Rate"/>
    <s v="MTG"/>
    <x v="69"/>
    <n v="4.2161439941639536"/>
  </r>
  <r>
    <x v="0"/>
    <s v="Chase"/>
    <s v="1Point Rate"/>
    <s v="MTG"/>
    <x v="70"/>
    <n v="4.2802651684494641"/>
  </r>
  <r>
    <x v="0"/>
    <s v="Chase"/>
    <s v="1Point Rate"/>
    <s v="MTG"/>
    <x v="71"/>
    <n v="4.1867556587570789"/>
  </r>
  <r>
    <x v="0"/>
    <s v="Chase"/>
    <s v="1Point Rate"/>
    <s v="MTG"/>
    <x v="72"/>
    <n v="4.2161439941639536"/>
  </r>
  <r>
    <x v="0"/>
    <s v="Chase"/>
    <s v="1Point Rate"/>
    <s v="MTG"/>
    <x v="73"/>
    <n v="4.1543680910694123"/>
  </r>
  <r>
    <x v="0"/>
    <s v="Chase"/>
    <s v="1Point Rate"/>
    <s v="MTG"/>
    <x v="74"/>
    <n v="4.1543680910694123"/>
  </r>
  <r>
    <x v="0"/>
    <s v="Chase"/>
    <s v="1Point Rate"/>
    <s v="MTG"/>
    <x v="75"/>
    <n v="4.1543680910694123"/>
  </r>
  <r>
    <x v="0"/>
    <s v="Chase"/>
    <s v="1Point Rate"/>
    <s v="MTG"/>
    <x v="76"/>
    <n v="4.1248698203088709"/>
  </r>
  <r>
    <x v="0"/>
    <s v="Chase"/>
    <s v="1Point Rate"/>
    <s v="MTG"/>
    <x v="77"/>
    <n v="4.0627523635008007"/>
  </r>
  <r>
    <x v="0"/>
    <s v="Chase"/>
    <s v="1Point Rate"/>
    <s v="MTG"/>
    <x v="78"/>
    <n v="4.1867556587570789"/>
  </r>
  <r>
    <x v="0"/>
    <s v="Chase"/>
    <s v="1Point Rate"/>
    <s v="MTG"/>
    <x v="79"/>
    <n v="4.1539931569602002"/>
  </r>
  <r>
    <x v="0"/>
    <s v="Chase"/>
    <s v="1Point Rate"/>
    <s v="MTG"/>
    <x v="80"/>
    <n v="4.2161439941639536"/>
  </r>
  <r>
    <x v="0"/>
    <s v="Chase"/>
    <s v="1Point Rate"/>
    <s v="MTG"/>
    <x v="81"/>
    <n v="4.2161439941639536"/>
  </r>
  <r>
    <x v="0"/>
    <s v="Chase"/>
    <s v="1Point Rate"/>
    <s v="MTG"/>
    <x v="82"/>
    <n v="4.1863869638007634"/>
  </r>
  <r>
    <x v="0"/>
    <s v="Chase"/>
    <s v="1Point Rate"/>
    <s v="MTG"/>
    <x v="83"/>
    <n v="4.1539931569602002"/>
  </r>
  <r>
    <x v="0"/>
    <s v="Chase"/>
    <s v="1Point Rate"/>
    <s v="MTG"/>
    <x v="84"/>
    <n v="4.1539931569602002"/>
  </r>
  <r>
    <x v="0"/>
    <s v="Chase"/>
    <s v="1Point Rate"/>
    <s v="MTG"/>
    <x v="85"/>
    <n v="4.1863869638007634"/>
  </r>
  <r>
    <x v="0"/>
    <s v="Chase"/>
    <s v="1Point Rate"/>
    <s v="MTG"/>
    <x v="86"/>
    <n v="4.2161439941639536"/>
  </r>
  <r>
    <x v="0"/>
    <s v="Chase"/>
    <s v="1Point Rate"/>
    <s v="MTG"/>
    <x v="87"/>
    <n v="4.1543680910694123"/>
  </r>
  <r>
    <x v="0"/>
    <s v="Chase"/>
    <s v="1Point Rate"/>
    <s v="MTG"/>
    <x v="88"/>
    <n v="4.0923610563473902"/>
  </r>
  <r>
    <x v="0"/>
    <s v="Chase"/>
    <s v="1Point Rate"/>
    <s v="MTG"/>
    <x v="89"/>
    <n v="4.0627523635008007"/>
  </r>
  <r>
    <x v="0"/>
    <s v="Chase"/>
    <s v="1Point Rate"/>
    <s v="MTG"/>
    <x v="90"/>
    <n v="4.0627523635008007"/>
  </r>
  <r>
    <x v="0"/>
    <s v="Chase"/>
    <s v="1Point Rate"/>
    <s v="MTG"/>
    <x v="91"/>
    <n v="4.1867556587570789"/>
  </r>
  <r>
    <x v="0"/>
    <s v="Chase"/>
    <s v="1Point Rate"/>
    <s v="MTG"/>
    <x v="92"/>
    <n v="4.1863869638007634"/>
  </r>
  <r>
    <x v="0"/>
    <s v="Chase"/>
    <s v="1Point Rate"/>
    <s v="MTG"/>
    <x v="93"/>
    <n v="4.1867556587570789"/>
  </r>
  <r>
    <x v="0"/>
    <s v="Chase"/>
    <s v="1Point Rate"/>
    <s v="MTG"/>
    <x v="94"/>
    <n v="4.1543680910694123"/>
  </r>
  <r>
    <x v="0"/>
    <s v="Chase"/>
    <s v="1Point Rate"/>
    <s v="MTG"/>
    <x v="95"/>
    <n v="4.1248698203088709"/>
  </r>
  <r>
    <x v="0"/>
    <s v="Chase"/>
    <s v="1Point Rate"/>
    <s v="MTG"/>
    <x v="96"/>
    <n v="4.0627523635008007"/>
  </r>
  <r>
    <x v="0"/>
    <s v="Chase"/>
    <s v="1Point Rate"/>
    <s v="MTG"/>
    <x v="97"/>
    <n v="4.0923610563473902"/>
  </r>
  <r>
    <x v="0"/>
    <s v="Chase"/>
    <s v="1Point Rate"/>
    <s v="MTG"/>
    <x v="98"/>
    <n v="4.0923610563473902"/>
  </r>
  <r>
    <x v="0"/>
    <s v="Chase"/>
    <s v="1Point Rate"/>
    <s v="MTG"/>
    <x v="99"/>
    <n v="4.1231786353861342"/>
  </r>
  <r>
    <x v="0"/>
    <s v="Chase"/>
    <s v="1Point Rate"/>
    <s v="MTG"/>
    <x v="100"/>
    <n v="4.1231786353861342"/>
  </r>
  <r>
    <x v="0"/>
    <s v="Chase"/>
    <s v="1Point Rate"/>
    <s v="MTG"/>
    <x v="101"/>
    <n v="4.0936300339223344"/>
  </r>
  <r>
    <x v="0"/>
    <s v="Chase"/>
    <s v="1Point Rate"/>
    <s v="MTG"/>
    <x v="102"/>
    <n v="4.0610656170015185"/>
  </r>
  <r>
    <x v="0"/>
    <s v="Chase"/>
    <s v="1Point Rate"/>
    <s v="MTG"/>
    <x v="103"/>
    <n v="4.0936300339223344"/>
  </r>
  <r>
    <x v="0"/>
    <s v="Chase"/>
    <s v="1Point Rate"/>
    <s v="MTG"/>
    <x v="104"/>
    <n v="4.0936300339223344"/>
  </r>
  <r>
    <x v="0"/>
    <s v="Chase"/>
    <s v="1Point Rate"/>
    <s v="MTG"/>
    <x v="105"/>
    <n v="4.0936300339223344"/>
  </r>
  <r>
    <x v="0"/>
    <s v="Chase"/>
    <s v="1Point Rate"/>
    <s v="MTG"/>
    <x v="106"/>
    <n v="3.968948344733974"/>
  </r>
  <r>
    <x v="0"/>
    <s v="Chase"/>
    <s v="1Point Rate"/>
    <s v="MTG"/>
    <x v="107"/>
    <n v="3.968948344733974"/>
  </r>
  <r>
    <x v="0"/>
    <s v="Chase"/>
    <s v="1Point Rate"/>
    <s v="MTG"/>
    <x v="108"/>
    <n v="3.968948344733974"/>
  </r>
  <r>
    <x v="0"/>
    <s v="Chase"/>
    <s v="1Point Rate"/>
    <s v="MTG"/>
    <x v="109"/>
    <n v="4.0936300339223344"/>
  </r>
  <r>
    <x v="0"/>
    <s v="Chase"/>
    <s v="1Point Rate"/>
    <s v="MTG"/>
    <x v="110"/>
    <n v="4.0610656170015185"/>
  </r>
  <r>
    <x v="0"/>
    <s v="Chase"/>
    <s v="1Point Rate"/>
    <s v="MTG"/>
    <x v="111"/>
    <n v="3.9987193359155064"/>
  </r>
  <r>
    <x v="0"/>
    <s v="Chase"/>
    <s v="1Point Rate"/>
    <s v="MTG"/>
    <x v="112"/>
    <n v="4.0284371983798186"/>
  </r>
  <r>
    <x v="0"/>
    <s v="Chase"/>
    <s v="1Point Rate"/>
    <s v="MTG"/>
    <x v="113"/>
    <n v="3.968948344733974"/>
  </r>
  <r>
    <x v="0"/>
    <s v="Chase"/>
    <s v="1Point Rate"/>
    <s v="MTG"/>
    <x v="114"/>
    <n v="3.9361387568601574"/>
  </r>
  <r>
    <x v="0"/>
    <s v="Chase"/>
    <s v="1Point Rate"/>
    <s v="MTG"/>
    <x v="115"/>
    <n v="3.9987193359155064"/>
  </r>
  <r>
    <x v="0"/>
    <s v="Chase"/>
    <s v="1Point Rate"/>
    <s v="MTG"/>
    <x v="116"/>
    <n v="4.0284371983798186"/>
  </r>
  <r>
    <x v="0"/>
    <s v="Chase"/>
    <s v="1Point Rate"/>
    <s v="MTG"/>
    <x v="117"/>
    <n v="4.0284371983798186"/>
  </r>
  <r>
    <x v="0"/>
    <s v="Chase"/>
    <s v="1Point Rate"/>
    <s v="MTG"/>
    <x v="118"/>
    <n v="4.0610656170015185"/>
  </r>
  <r>
    <x v="0"/>
    <s v="Chase"/>
    <s v="1Point Rate"/>
    <s v="MTG"/>
    <x v="119"/>
    <n v="3.9361387568601574"/>
  </r>
  <r>
    <x v="0"/>
    <s v="Chase"/>
    <s v="1Point Rate"/>
    <s v="MTG"/>
    <x v="120"/>
    <n v="3.9361387568601574"/>
  </r>
  <r>
    <x v="0"/>
    <s v="Chase"/>
    <s v="1Point Rate"/>
    <s v="MTG"/>
    <x v="121"/>
    <n v="3.9353424338077225"/>
  </r>
  <r>
    <x v="0"/>
    <s v="Chase"/>
    <s v="1Point Rate"/>
    <s v="MTG"/>
    <x v="122"/>
    <n v="3.8124950348616728"/>
  </r>
  <r>
    <x v="0"/>
    <s v="Chase"/>
    <s v="1Point Rate"/>
    <s v="MTG"/>
    <x v="123"/>
    <n v="3.9659683192190758"/>
  </r>
  <r>
    <x v="0"/>
    <s v="Chase"/>
    <s v="1Point Rate"/>
    <s v="MTG"/>
    <x v="124"/>
    <n v="3.9987193359155064"/>
  </r>
  <r>
    <x v="0"/>
    <s v="Chase"/>
    <s v="1Point Rate"/>
    <s v="MTG"/>
    <x v="125"/>
    <n v="4.0284371983798186"/>
  </r>
  <r>
    <x v="0"/>
    <s v="Chase"/>
    <s v="1Point Rate"/>
    <s v="MTG"/>
    <x v="126"/>
    <n v="3.9659683192190758"/>
  </r>
  <r>
    <x v="0"/>
    <s v="Chase"/>
    <s v="1Point Rate"/>
    <s v="MTG"/>
    <x v="127"/>
    <n v="3.9659683192190758"/>
  </r>
  <r>
    <x v="0"/>
    <s v="Chase"/>
    <s v="1Point Rate"/>
    <s v="MTG"/>
    <x v="128"/>
    <n v="3.9659683192190758"/>
  </r>
  <r>
    <x v="0"/>
    <s v="Chase"/>
    <s v="1Point Rate"/>
    <s v="MTG"/>
    <x v="129"/>
    <n v="3.9987193359155064"/>
  </r>
  <r>
    <x v="0"/>
    <s v="Chase"/>
    <s v="1Point Rate"/>
    <s v="MTG"/>
    <x v="130"/>
    <n v="3.9659683192190758"/>
  </r>
  <r>
    <x v="0"/>
    <s v="Chase"/>
    <s v="1Point Rate"/>
    <s v="MTG"/>
    <x v="131"/>
    <n v="3.9361387568601574"/>
  </r>
  <r>
    <x v="0"/>
    <s v="Chase"/>
    <s v="1Point Rate"/>
    <s v="MTG"/>
    <x v="132"/>
    <n v="4.0284371983798186"/>
  </r>
  <r>
    <x v="0"/>
    <s v="Chase"/>
    <s v="1Point Rate"/>
    <s v="MTG"/>
    <x v="133"/>
    <n v="4.0284371983798186"/>
  </r>
  <r>
    <x v="0"/>
    <s v="Chase"/>
    <s v="1Point Rate"/>
    <s v="MTG"/>
    <x v="134"/>
    <n v="3.9361387568601574"/>
  </r>
  <r>
    <x v="0"/>
    <s v="Chase"/>
    <s v="1Point Rate"/>
    <s v="MTG"/>
    <x v="135"/>
    <n v="3.9361387568601574"/>
  </r>
  <r>
    <x v="0"/>
    <s v="Chase"/>
    <s v="1Point Rate"/>
    <s v="MTG"/>
    <x v="136"/>
    <n v="3.9659683192190758"/>
  </r>
  <r>
    <x v="0"/>
    <s v="Chase"/>
    <s v="1Point Rate"/>
    <s v="MTG"/>
    <x v="137"/>
    <n v="4.0610656170015185"/>
  </r>
  <r>
    <x v="0"/>
    <s v="Chase"/>
    <s v="1Point Rate"/>
    <s v="MTG"/>
    <x v="138"/>
    <n v="4.0936300339223344"/>
  </r>
  <r>
    <x v="0"/>
    <s v="Chase"/>
    <s v="1Point Rate"/>
    <s v="MTG"/>
    <x v="139"/>
    <n v="3.9353424338077225"/>
  </r>
  <r>
    <x v="0"/>
    <s v="Chase"/>
    <s v="1Point Rate"/>
    <s v="MTG"/>
    <x v="140"/>
    <n v="3.8725334437312955"/>
  </r>
  <r>
    <x v="0"/>
    <s v="Chase"/>
    <s v="1Point Rate"/>
    <s v="MTG"/>
    <x v="141"/>
    <n v="3.9353424338077225"/>
  </r>
  <r>
    <x v="0"/>
    <s v="Chase"/>
    <s v="1Point Rate"/>
    <s v="MTG"/>
    <x v="142"/>
    <n v="3.9353424338077225"/>
  </r>
  <r>
    <x v="0"/>
    <s v="Chase"/>
    <s v="1Point Rate"/>
    <s v="MTG"/>
    <x v="143"/>
    <n v="3.9054628819113248"/>
  </r>
  <r>
    <x v="0"/>
    <s v="Chase"/>
    <s v="1Point Rate"/>
    <s v="MTG"/>
    <x v="144"/>
    <n v="3.9054628819113248"/>
  </r>
  <r>
    <x v="0"/>
    <s v="Chase"/>
    <s v="1Point Rate"/>
    <s v="MTG"/>
    <x v="145"/>
    <n v="3.968948344733974"/>
  </r>
  <r>
    <x v="0"/>
    <s v="Chase"/>
    <s v="1Point Rate"/>
    <s v="MTG"/>
    <x v="146"/>
    <n v="3.9353424338077225"/>
  </r>
  <r>
    <x v="0"/>
    <s v="Chase"/>
    <s v="1Point Rate"/>
    <s v="MTG"/>
    <x v="147"/>
    <n v="3.9054628819113248"/>
  </r>
  <r>
    <x v="0"/>
    <s v="Chase"/>
    <s v="1Point Rate"/>
    <s v="MTG"/>
    <x v="148"/>
    <n v="3.8425411667081901"/>
  </r>
  <r>
    <x v="0"/>
    <s v="Chase"/>
    <s v="1Point Rate"/>
    <s v="MTG"/>
    <x v="149"/>
    <n v="3.8124950348616728"/>
  </r>
  <r>
    <x v="0"/>
    <s v="Chase"/>
    <s v="1Point Rate"/>
    <s v="MTG"/>
    <x v="150"/>
    <n v="3.7160970281867178"/>
  </r>
  <r>
    <x v="0"/>
    <s v="Chase"/>
    <s v="1Point Rate"/>
    <s v="MTG"/>
    <x v="151"/>
    <n v="3.812592661796018"/>
  </r>
  <r>
    <x v="0"/>
    <s v="Chase"/>
    <s v="1Point Rate"/>
    <s v="MTG"/>
    <x v="152"/>
    <n v="3.8124950348616728"/>
  </r>
  <r>
    <x v="0"/>
    <s v="Chase"/>
    <s v="1Point Rate"/>
    <s v="MTG"/>
    <x v="153"/>
    <n v="3.8124950348616728"/>
  </r>
  <r>
    <x v="0"/>
    <s v="Chase"/>
    <s v="1Point Rate"/>
    <s v="MTG"/>
    <x v="154"/>
    <n v="3.8425411667081901"/>
  </r>
  <r>
    <x v="0"/>
    <s v="Chase"/>
    <s v="1Point Rate"/>
    <s v="MTG"/>
    <x v="155"/>
    <n v="3.9353424338077225"/>
  </r>
  <r>
    <x v="0"/>
    <s v="Chase"/>
    <s v="1Point Rate"/>
    <s v="MTG"/>
    <x v="156"/>
    <n v="3.8725334437312955"/>
  </r>
  <r>
    <x v="0"/>
    <s v="Chase"/>
    <s v="1Point Rate"/>
    <s v="MTG"/>
    <x v="157"/>
    <n v="3.8124950348616728"/>
  </r>
  <r>
    <x v="0"/>
    <s v="Chase"/>
    <s v="1Point Rate"/>
    <s v="MTG"/>
    <x v="158"/>
    <n v="3.8124950348616728"/>
  </r>
  <r>
    <x v="0"/>
    <s v="Chase"/>
    <s v="1Point Rate"/>
    <s v="MTG"/>
    <x v="159"/>
    <n v="3.812592661796018"/>
  </r>
  <r>
    <x v="0"/>
    <s v="Chase"/>
    <s v="1Point Rate"/>
    <s v="MTG"/>
    <x v="160"/>
    <n v="3.8425411667081901"/>
  </r>
  <r>
    <x v="0"/>
    <s v="Chase"/>
    <s v="1Point Rate"/>
    <s v="MTG"/>
    <x v="161"/>
    <n v="3.8425411667081901"/>
  </r>
  <r>
    <x v="0"/>
    <s v="Chase"/>
    <s v="1Point Rate"/>
    <s v="MTG"/>
    <x v="162"/>
    <n v="3.8425411667081901"/>
  </r>
  <r>
    <x v="0"/>
    <s v="Chase"/>
    <s v="1Point Rate"/>
    <s v="MTG"/>
    <x v="163"/>
    <n v="3.8425411667081901"/>
  </r>
  <r>
    <x v="0"/>
    <s v="Chase"/>
    <s v="1Point Rate"/>
    <s v="MTG"/>
    <x v="164"/>
    <n v="3.8425411667081901"/>
  </r>
  <r>
    <x v="0"/>
    <s v="Chase"/>
    <s v="1Point Rate"/>
    <s v="MTG"/>
    <x v="165"/>
    <n v="3.8425411667081901"/>
  </r>
  <r>
    <x v="0"/>
    <s v="Chase"/>
    <s v="1Point Rate"/>
    <s v="MTG"/>
    <x v="166"/>
    <n v="3.8124950348616728"/>
  </r>
  <r>
    <x v="0"/>
    <s v="Chase"/>
    <s v="1Point Rate"/>
    <s v="MTG"/>
    <x v="167"/>
    <n v="3.8425411667081901"/>
  </r>
  <r>
    <x v="0"/>
    <s v="Chase"/>
    <s v="1Point Rate"/>
    <s v="MTG"/>
    <x v="168"/>
    <n v="3.8725334437312955"/>
  </r>
  <r>
    <x v="0"/>
    <s v="Chase"/>
    <s v="1Point Rate"/>
    <s v="MTG"/>
    <x v="169"/>
    <n v="3.9353424338077225"/>
  </r>
  <r>
    <x v="0"/>
    <s v="Chase"/>
    <s v="1Point Rate"/>
    <s v="MTG"/>
    <x v="170"/>
    <n v="3.9353424338077225"/>
  </r>
  <r>
    <x v="0"/>
    <s v="Chase"/>
    <s v="1Point Rate"/>
    <s v="MTG"/>
    <x v="171"/>
    <n v="3.9062558298878747"/>
  </r>
  <r>
    <x v="0"/>
    <s v="Chase"/>
    <s v="1Point Rate"/>
    <s v="MTG"/>
    <x v="172"/>
    <n v="3.9361387568601574"/>
  </r>
  <r>
    <x v="0"/>
    <s v="Chase"/>
    <s v="1Point Rate"/>
    <s v="MTG"/>
    <x v="173"/>
    <n v="3.9659683192190758"/>
  </r>
  <r>
    <x v="0"/>
    <s v="Chase"/>
    <s v="1Point Rate"/>
    <s v="MTG"/>
    <x v="174"/>
    <n v="4.0284371983798186"/>
  </r>
  <r>
    <x v="0"/>
    <s v="Chase"/>
    <s v="1Point Rate"/>
    <s v="MTG"/>
    <x v="175"/>
    <n v="4.0936300339223344"/>
  </r>
  <r>
    <x v="0"/>
    <s v="Chase"/>
    <s v="1Point Rate"/>
    <s v="MTG"/>
    <x v="176"/>
    <n v="4.0936300339223344"/>
  </r>
  <r>
    <x v="0"/>
    <s v="Chase"/>
    <s v="1Point Rate"/>
    <s v="MTG"/>
    <x v="177"/>
    <n v="4.0936300339223344"/>
  </r>
  <r>
    <x v="0"/>
    <s v="Chase"/>
    <s v="1Point Rate"/>
    <s v="MTG"/>
    <x v="178"/>
    <n v="4.0936300339223344"/>
  </r>
  <r>
    <x v="0"/>
    <s v="Chase"/>
    <s v="1Point Rate"/>
    <s v="MTG"/>
    <x v="179"/>
    <n v="4.0610656170015185"/>
  </r>
  <r>
    <x v="0"/>
    <s v="Chase"/>
    <s v="1Point Rate"/>
    <s v="MTG"/>
    <x v="180"/>
    <n v="4.0610656170015185"/>
  </r>
  <r>
    <x v="0"/>
    <s v="Chase"/>
    <s v="1Point Rate"/>
    <s v="MTG"/>
    <x v="181"/>
    <n v="4.0610656170015185"/>
  </r>
  <r>
    <x v="0"/>
    <s v="Chase"/>
    <s v="1Point Rate"/>
    <s v="MTG"/>
    <x v="182"/>
    <n v="4.0284371983798186"/>
  </r>
  <r>
    <x v="0"/>
    <s v="Chase"/>
    <s v="1Point Rate"/>
    <s v="MTG"/>
    <x v="183"/>
    <n v="4.0284371983798186"/>
  </r>
  <r>
    <x v="0"/>
    <s v="Chase"/>
    <s v="1Point Rate"/>
    <s v="MTG"/>
    <x v="184"/>
    <n v="4.0936300339223344"/>
  </r>
  <r>
    <x v="0"/>
    <s v="Chase"/>
    <s v="1Point Rate"/>
    <s v="MTG"/>
    <x v="185"/>
    <n v="4.0284371983798186"/>
  </r>
  <r>
    <x v="0"/>
    <s v="Chase"/>
    <s v="1Point Rate"/>
    <s v="MTG"/>
    <x v="186"/>
    <n v="4.0610656170015185"/>
  </r>
  <r>
    <x v="0"/>
    <s v="Chase"/>
    <s v="1Point Rate"/>
    <s v="MTG"/>
    <x v="187"/>
    <n v="4.0610656170015185"/>
  </r>
  <r>
    <x v="0"/>
    <s v="Chase"/>
    <s v="1Point Rate"/>
    <s v="MTG"/>
    <x v="188"/>
    <n v="4.0610656170015185"/>
  </r>
  <r>
    <x v="0"/>
    <s v="Chase"/>
    <s v="1Point Rate"/>
    <s v="MTG"/>
    <x v="189"/>
    <n v="4.0284371983798186"/>
  </r>
  <r>
    <x v="0"/>
    <s v="Chase"/>
    <s v="1Point Rate"/>
    <s v="MTG"/>
    <x v="190"/>
    <n v="3.9659683192190758"/>
  </r>
  <r>
    <x v="0"/>
    <s v="Chase"/>
    <s v="1Point Rate"/>
    <s v="MTG"/>
    <x v="191"/>
    <n v="4.0936300339223344"/>
  </r>
  <r>
    <x v="0"/>
    <s v="Chase"/>
    <s v="1Point Rate"/>
    <s v="MTG"/>
    <x v="192"/>
    <n v="4.0936300339223344"/>
  </r>
  <r>
    <x v="0"/>
    <s v="Chase"/>
    <s v="1Point Rate"/>
    <s v="MTG"/>
    <x v="193"/>
    <n v="4.0936300339223344"/>
  </r>
  <r>
    <x v="0"/>
    <s v="Chase"/>
    <s v="1Point Rate"/>
    <s v="MTG"/>
    <x v="194"/>
    <n v="3.9987193359155064"/>
  </r>
  <r>
    <x v="0"/>
    <s v="Chase"/>
    <s v="1Point Rate"/>
    <s v="MTG"/>
    <x v="195"/>
    <n v="4.0284371983798186"/>
  </r>
  <r>
    <x v="0"/>
    <s v="Chase"/>
    <s v="1Point Rate"/>
    <s v="MTG"/>
    <x v="196"/>
    <n v="4.0284371983798186"/>
  </r>
  <r>
    <x v="0"/>
    <s v="Chase"/>
    <s v="1Point Rate"/>
    <s v="MTG"/>
    <x v="197"/>
    <n v="4.0284371983798186"/>
  </r>
  <r>
    <x v="0"/>
    <s v="Chase"/>
    <s v="1Point Rate"/>
    <s v="MTG"/>
    <x v="198"/>
    <n v="4.0610656170015185"/>
  </r>
  <r>
    <x v="0"/>
    <s v="Chase"/>
    <s v="1Point Rate"/>
    <s v="MTG"/>
    <x v="199"/>
    <n v="4.0627523635008007"/>
  </r>
  <r>
    <x v="0"/>
    <s v="Chase"/>
    <s v="1Point Rate"/>
    <s v="MTG"/>
    <x v="200"/>
    <n v="4.0923610563473902"/>
  </r>
  <r>
    <x v="0"/>
    <s v="Chase"/>
    <s v="1Point Rate"/>
    <s v="MTG"/>
    <x v="201"/>
    <n v="4.0627523635008007"/>
  </r>
  <r>
    <x v="0"/>
    <s v="Chase"/>
    <s v="1Point Rate"/>
    <s v="MTG"/>
    <x v="202"/>
    <n v="4.0610656170015185"/>
  </r>
  <r>
    <x v="0"/>
    <s v="Chase"/>
    <s v="1Point Rate"/>
    <s v="MTG"/>
    <x v="203"/>
    <n v="4.0610656170015185"/>
  </r>
  <r>
    <x v="0"/>
    <s v="Chase"/>
    <s v="1Point Rate"/>
    <s v="MTG"/>
    <x v="204"/>
    <n v="4.0936300339223344"/>
  </r>
  <r>
    <x v="0"/>
    <s v="Chase"/>
    <s v="1Point Rate"/>
    <s v="MTG"/>
    <x v="205"/>
    <n v="4.0923610563473902"/>
  </r>
  <r>
    <x v="0"/>
    <s v="Chase"/>
    <s v="1Point Rate"/>
    <s v="MTG"/>
    <x v="206"/>
    <n v="4.1248698203088709"/>
  </r>
  <r>
    <x v="0"/>
    <s v="Chase"/>
    <s v="1Point Rate"/>
    <s v="MTG"/>
    <x v="207"/>
    <n v="4.0923610563473902"/>
  </r>
  <r>
    <x v="0"/>
    <s v="Chase"/>
    <s v="1Point Rate"/>
    <s v="MTG"/>
    <x v="208"/>
    <n v="4.0923610563473902"/>
  </r>
  <r>
    <x v="0"/>
    <s v="Chase"/>
    <s v="1Point Rate"/>
    <s v="MTG"/>
    <x v="209"/>
    <n v="4.0627523635008007"/>
  </r>
  <r>
    <x v="0"/>
    <s v="Chase"/>
    <s v="1Point Rate"/>
    <s v="MTG"/>
    <x v="210"/>
    <n v="4.0936300339223344"/>
  </r>
  <r>
    <x v="0"/>
    <s v="Chase"/>
    <s v="1Point Rate"/>
    <s v="MTG"/>
    <x v="211"/>
    <n v="4.0936300339223344"/>
  </r>
  <r>
    <x v="0"/>
    <s v="Chase"/>
    <s v="1Point Rate"/>
    <s v="MTG"/>
    <x v="212"/>
    <n v="4.0610656170015185"/>
  </r>
  <r>
    <x v="0"/>
    <s v="Chase"/>
    <s v="1Point Rate"/>
    <s v="MTG"/>
    <x v="213"/>
    <n v="3.9987193359155064"/>
  </r>
  <r>
    <x v="0"/>
    <s v="Chase"/>
    <s v="1Point Rate"/>
    <s v="MTG"/>
    <x v="214"/>
    <n v="3.9987193359155064"/>
  </r>
  <r>
    <x v="0"/>
    <s v="Chase"/>
    <s v="1Point Rate"/>
    <s v="MTG"/>
    <x v="215"/>
    <n v="3.968948344733974"/>
  </r>
  <r>
    <x v="0"/>
    <s v="Chase"/>
    <s v="1Point Rate"/>
    <s v="MTG"/>
    <x v="216"/>
    <n v="3.9681481492823516"/>
  </r>
  <r>
    <x v="0"/>
    <s v="Chase"/>
    <s v="1Point Rate"/>
    <s v="MTG"/>
    <x v="217"/>
    <n v="3.968948344733974"/>
  </r>
  <r>
    <x v="0"/>
    <s v="Chase"/>
    <s v="1Point Rate"/>
    <s v="MTG"/>
    <x v="218"/>
    <n v="3.968948344733974"/>
  </r>
  <r>
    <x v="0"/>
    <s v="Chase"/>
    <s v="1Point Rate"/>
    <s v="MTG"/>
    <x v="219"/>
    <n v="3.8755297138005318"/>
  </r>
  <r>
    <x v="0"/>
    <s v="Chase"/>
    <s v="1Point Rate"/>
    <s v="MTG"/>
    <x v="220"/>
    <n v="3.9353424338077225"/>
  </r>
  <r>
    <x v="0"/>
    <s v="Chase"/>
    <s v="1Point Rate"/>
    <s v="MTG"/>
    <x v="221"/>
    <n v="3.9054628819113248"/>
  </r>
  <r>
    <x v="0"/>
    <s v="Chase"/>
    <s v="1Point Rate"/>
    <s v="MTG"/>
    <x v="222"/>
    <n v="3.9361387568601574"/>
  </r>
  <r>
    <x v="0"/>
    <s v="Chase"/>
    <s v="1Point Rate"/>
    <s v="MTG"/>
    <x v="223"/>
    <n v="3.9361387568601574"/>
  </r>
  <r>
    <x v="0"/>
    <s v="Chase"/>
    <s v="1Point Rate"/>
    <s v="MTG"/>
    <x v="224"/>
    <n v="3.9353424338077225"/>
  </r>
  <r>
    <x v="0"/>
    <s v="Chase"/>
    <s v="1Point Rate"/>
    <s v="MTG"/>
    <x v="225"/>
    <n v="3.9054628819113248"/>
  </r>
  <r>
    <x v="0"/>
    <s v="Chase"/>
    <s v="1Point Rate"/>
    <s v="MTG"/>
    <x v="226"/>
    <n v="3.9054628819113248"/>
  </r>
  <r>
    <x v="0"/>
    <s v="Chase"/>
    <s v="1Point Rate"/>
    <s v="MTG"/>
    <x v="227"/>
    <n v="3.8425411667081901"/>
  </r>
  <r>
    <x v="0"/>
    <s v="Chase"/>
    <s v="1Point Rate"/>
    <s v="MTG"/>
    <x v="228"/>
    <n v="3.812592661796018"/>
  </r>
  <r>
    <x v="0"/>
    <s v="Chase"/>
    <s v="1Point Rate"/>
    <s v="MTG"/>
    <x v="229"/>
    <n v="3.812592661796018"/>
  </r>
  <r>
    <x v="0"/>
    <s v="Chase"/>
    <s v="1Point Rate"/>
    <s v="MTG"/>
    <x v="230"/>
    <n v="3.812592661796018"/>
  </r>
  <r>
    <x v="0"/>
    <s v="Chase"/>
    <s v="1Point Rate"/>
    <s v="MTG"/>
    <x v="231"/>
    <n v="3.812592661796018"/>
  </r>
  <r>
    <x v="0"/>
    <s v="Chase"/>
    <s v="1Point Rate"/>
    <s v="MTG"/>
    <x v="232"/>
    <n v="3.7160970281867178"/>
  </r>
  <r>
    <x v="0"/>
    <s v="Chase"/>
    <s v="1Point Rate"/>
    <s v="MTG"/>
    <x v="233"/>
    <n v="3.7493301282064344"/>
  </r>
  <r>
    <x v="0"/>
    <s v="Chase"/>
    <s v="1Point Rate"/>
    <s v="MTG"/>
    <x v="234"/>
    <n v="3.6858279260181446"/>
  </r>
  <r>
    <x v="0"/>
    <s v="Chase"/>
    <s v="1Point Rate"/>
    <s v="MTG"/>
    <x v="235"/>
    <n v="3.6534718233992534"/>
  </r>
  <r>
    <x v="0"/>
    <s v="Chase"/>
    <s v="1Point Rate"/>
    <s v="MTG"/>
    <x v="236"/>
    <n v="3.6868237838299476"/>
  </r>
  <r>
    <x v="0"/>
    <s v="Chase"/>
    <s v="1Point Rate"/>
    <s v="MTG"/>
    <x v="237"/>
    <n v="3.59150520623463"/>
  </r>
  <r>
    <x v="0"/>
    <s v="Chase"/>
    <s v="1Point Rate"/>
    <s v="MTG"/>
    <x v="238"/>
    <n v="3.6230942695247728"/>
  </r>
  <r>
    <x v="0"/>
    <s v="Chase"/>
    <s v="1Point Rate"/>
    <s v="MTG"/>
    <x v="239"/>
    <n v="3.7160970281867178"/>
  </r>
  <r>
    <x v="0"/>
    <s v="Chase"/>
    <s v="1Point Rate"/>
    <s v="MTG"/>
    <x v="240"/>
    <n v="3.7160970281867178"/>
  </r>
  <r>
    <x v="0"/>
    <s v="Chase"/>
    <s v="1Point Rate"/>
    <s v="MTG"/>
    <x v="241"/>
    <n v="3.7160970281867178"/>
  </r>
  <r>
    <x v="0"/>
    <s v="Chase"/>
    <s v="1Point Rate"/>
    <s v="MTG"/>
    <x v="242"/>
    <n v="3.6868237838299476"/>
  </r>
  <r>
    <x v="0"/>
    <s v="Chase"/>
    <s v="1Point Rate"/>
    <s v="MTG"/>
    <x v="243"/>
    <n v="3.6868237838299476"/>
  </r>
  <r>
    <x v="0"/>
    <s v="Chase"/>
    <s v="1Point Rate"/>
    <s v="MTG"/>
    <x v="244"/>
    <n v="3.6858279260181446"/>
  </r>
  <r>
    <x v="0"/>
    <s v="Chase"/>
    <s v="1Point Rate"/>
    <s v="MTG"/>
    <x v="245"/>
    <n v="3.6230942695247728"/>
  </r>
  <r>
    <x v="0"/>
    <s v="Chase"/>
    <s v="1Point Rate"/>
    <s v="MTG"/>
    <x v="246"/>
    <n v="3.7191209404595797"/>
  </r>
  <r>
    <x v="0"/>
    <s v="Chase"/>
    <s v="1Point Rate"/>
    <s v="MTG"/>
    <x v="247"/>
    <n v="3.6565065600402202"/>
  </r>
  <r>
    <x v="0"/>
    <s v="Chase"/>
    <s v="1Point Rate"/>
    <s v="MTG"/>
    <x v="248"/>
    <n v="3.7191209404595797"/>
  </r>
  <r>
    <x v="0"/>
    <s v="Chase"/>
    <s v="1Point Rate"/>
    <s v="MTG"/>
    <x v="249"/>
    <n v="3.7191209404595797"/>
  </r>
  <r>
    <x v="0"/>
    <s v="Chase"/>
    <s v="1Point Rate"/>
    <s v="MTG"/>
    <x v="250"/>
    <n v="3.7493301282064344"/>
  </r>
  <r>
    <x v="0"/>
    <s v="Chase"/>
    <s v="1Point Rate"/>
    <s v="MTG"/>
    <x v="251"/>
    <n v="3.7191209404595797"/>
  </r>
  <r>
    <x v="0"/>
    <s v="Chase"/>
    <s v="1Point Rate"/>
    <s v="MTG"/>
    <x v="252"/>
    <n v="3.7824974689009494"/>
  </r>
  <r>
    <x v="0"/>
    <s v="Chase"/>
    <s v="1Point Rate"/>
    <s v="MTG"/>
    <x v="253"/>
    <n v="3.7493301282064344"/>
  </r>
  <r>
    <x v="0"/>
    <s v="Chase"/>
    <s v="1Point Rate"/>
    <s v="MTG"/>
    <x v="254"/>
    <n v="3.812592661796018"/>
  </r>
  <r>
    <x v="0"/>
    <s v="Chase"/>
    <s v="1Point Rate"/>
    <s v="MTG"/>
    <x v="255"/>
    <n v="3.812592661796018"/>
  </r>
  <r>
    <x v="0"/>
    <s v="Chase"/>
    <s v="1Point Rate"/>
    <s v="MTG"/>
    <x v="256"/>
    <n v="3.812592661796018"/>
  </r>
  <r>
    <x v="0"/>
    <s v="Chase"/>
    <s v="1Point Rate"/>
    <s v="MTG"/>
    <x v="257"/>
    <n v="3.8124950348616728"/>
  </r>
  <r>
    <x v="0"/>
    <s v="Chase"/>
    <s v="1Point Rate"/>
    <s v="MTG"/>
    <x v="258"/>
    <n v="3.812592661796018"/>
  </r>
  <r>
    <x v="0"/>
    <s v="Chase"/>
    <s v="1Point Rate"/>
    <s v="MTG"/>
    <x v="259"/>
    <n v="3.8124950348616728"/>
  </r>
  <r>
    <x v="0"/>
    <s v="Chase"/>
    <s v="1Point Rate"/>
    <s v="MTG"/>
    <x v="260"/>
    <n v="3.7493301282064344"/>
  </r>
  <r>
    <x v="0"/>
    <s v="Chase"/>
    <s v="1Point Rate"/>
    <s v="MTG"/>
    <x v="261"/>
    <n v="3.7493301282064344"/>
  </r>
  <r>
    <x v="0"/>
    <s v="Chase"/>
    <s v="1Point Rate"/>
    <s v="MTG"/>
    <x v="262"/>
    <n v="3.7824974689009494"/>
  </r>
  <r>
    <x v="0"/>
    <s v="Chase"/>
    <s v="1Point Rate"/>
    <s v="MTG"/>
    <x v="263"/>
    <n v="3.812592661796018"/>
  </r>
  <r>
    <x v="0"/>
    <s v="Chase"/>
    <s v="1Point Rate"/>
    <s v="MTG"/>
    <x v="264"/>
    <n v="3.8124950348616728"/>
  </r>
  <r>
    <x v="0"/>
    <s v="Chase"/>
    <s v="1Point Rate"/>
    <s v="MTG"/>
    <x v="265"/>
    <n v="3.8124950348616728"/>
  </r>
  <r>
    <x v="0"/>
    <s v="Chase"/>
    <s v="1Point Rate"/>
    <s v="MTG"/>
    <x v="266"/>
    <n v="3.7824974689009494"/>
  </r>
  <r>
    <x v="0"/>
    <s v="Chase"/>
    <s v="1Point Rate"/>
    <s v="MTG"/>
    <x v="267"/>
    <n v="3.6888572908327415"/>
  </r>
  <r>
    <x v="0"/>
    <s v="Chase"/>
    <s v="1Point Rate"/>
    <s v="MTG"/>
    <x v="268"/>
    <n v="3.7201095290272148"/>
  </r>
  <r>
    <x v="0"/>
    <s v="Chase"/>
    <s v="1Point Rate"/>
    <s v="MTG"/>
    <x v="269"/>
    <n v="3.6565065600402202"/>
  </r>
  <r>
    <x v="0"/>
    <s v="Chase"/>
    <s v="1Point Rate"/>
    <s v="MTG"/>
    <x v="270"/>
    <n v="3.6261344965465785"/>
  </r>
  <r>
    <x v="0"/>
    <s v="Chase"/>
    <s v="1Point Rate"/>
    <s v="MTG"/>
    <x v="271"/>
    <n v="3.5926617476217717"/>
  </r>
  <r>
    <x v="0"/>
    <s v="Chase"/>
    <s v="1Point Rate"/>
    <s v="MTG"/>
    <x v="272"/>
    <n v="3.6261344965465785"/>
  </r>
  <r>
    <x v="0"/>
    <s v="Chase"/>
    <s v="1Point Rate"/>
    <s v="MTG"/>
    <x v="273"/>
    <n v="3.6261344965465785"/>
  </r>
  <r>
    <x v="0"/>
    <s v="Chase"/>
    <s v="1Point Rate"/>
    <s v="MTG"/>
    <x v="274"/>
    <n v="3.6261344965465785"/>
  </r>
  <r>
    <x v="0"/>
    <s v="Chase"/>
    <s v="1Point Rate"/>
    <s v="MTG"/>
    <x v="275"/>
    <n v="3.5926617476217717"/>
  </r>
  <r>
    <x v="0"/>
    <s v="Chase"/>
    <s v="1Point Rate"/>
    <s v="MTG"/>
    <x v="276"/>
    <n v="3.5621741407473531"/>
  </r>
  <r>
    <x v="0"/>
    <s v="Chase"/>
    <s v="1Point Rate"/>
    <s v="MTG"/>
    <x v="277"/>
    <n v="3.5926617476217717"/>
  </r>
  <r>
    <x v="0"/>
    <s v="Chase"/>
    <s v="1Point Rate"/>
    <s v="MTG"/>
    <x v="278"/>
    <n v="3.6261344965465785"/>
  </r>
  <r>
    <x v="0"/>
    <s v="Chase"/>
    <s v="1Point Rate"/>
    <s v="MTG"/>
    <x v="279"/>
    <n v="3.5926617476217717"/>
  </r>
  <r>
    <x v="0"/>
    <s v="Chase"/>
    <s v="1Point Rate"/>
    <s v="MTG"/>
    <x v="280"/>
    <n v="3.6261344965465785"/>
  </r>
  <r>
    <x v="0"/>
    <s v="Chase"/>
    <s v="1Point Rate"/>
    <s v="MTG"/>
    <x v="281"/>
    <n v="3.6261344965465785"/>
  </r>
  <r>
    <x v="0"/>
    <s v="Chase"/>
    <s v="1Point Rate"/>
    <s v="MTG"/>
    <x v="282"/>
    <n v="3.6888572908327415"/>
  </r>
  <r>
    <x v="0"/>
    <s v="Chase"/>
    <s v="1Point Rate"/>
    <s v="MTG"/>
    <x v="283"/>
    <n v="3.7201095290272148"/>
  </r>
  <r>
    <x v="0"/>
    <s v="Chase"/>
    <s v="1Point Rate"/>
    <s v="MTG"/>
    <x v="284"/>
    <n v="3.6868237838299476"/>
  </r>
  <r>
    <x v="0"/>
    <s v="Chase"/>
    <s v="1Point Rate"/>
    <s v="MTG"/>
    <x v="285"/>
    <n v="3.6565065600402202"/>
  </r>
  <r>
    <x v="0"/>
    <s v="Chase"/>
    <s v="1Point Rate"/>
    <s v="MTG"/>
    <x v="286"/>
    <n v="3.6868237838299476"/>
  </r>
  <r>
    <x v="0"/>
    <s v="Chase"/>
    <s v="1Point Rate"/>
    <s v="MTG"/>
    <x v="287"/>
    <n v="3.7201095290272148"/>
  </r>
  <r>
    <x v="0"/>
    <s v="Chase"/>
    <s v="1Point Rate"/>
    <s v="MTG"/>
    <x v="288"/>
    <n v="3.6565065600402202"/>
  </r>
  <r>
    <x v="0"/>
    <s v="Chase"/>
    <s v="1Point Rate"/>
    <s v="MTG"/>
    <x v="289"/>
    <n v="3.6565065600402202"/>
  </r>
  <r>
    <x v="0"/>
    <s v="Chase"/>
    <s v="1Point Rate"/>
    <s v="MTG"/>
    <x v="290"/>
    <n v="3.5621741407473531"/>
  </r>
  <r>
    <x v="0"/>
    <s v="Chase"/>
    <s v="1Point Rate"/>
    <s v="MTG"/>
    <x v="291"/>
    <n v="3.5621741407473531"/>
  </r>
  <r>
    <x v="0"/>
    <s v="Chase"/>
    <s v="1Point Rate"/>
    <s v="MTG"/>
    <x v="292"/>
    <n v="3.5926617476217717"/>
  </r>
  <r>
    <x v="0"/>
    <s v="Chase"/>
    <s v="1Point Rate"/>
    <s v="MTG"/>
    <x v="293"/>
    <n v="3.5945506588933029"/>
  </r>
  <r>
    <x v="0"/>
    <s v="Chase"/>
    <s v="1Point Rate"/>
    <s v="MTG"/>
    <x v="294"/>
    <n v="3.5945506588933029"/>
  </r>
  <r>
    <x v="0"/>
    <s v="Chase"/>
    <s v="1Point Rate"/>
    <s v="MTG"/>
    <x v="295"/>
    <n v="3.5621741407473531"/>
  </r>
  <r>
    <x v="0"/>
    <s v="Chase"/>
    <s v="1Point Rate"/>
    <s v="MTG"/>
    <x v="296"/>
    <n v="3.5621741407473531"/>
  </r>
  <r>
    <x v="0"/>
    <s v="Chase"/>
    <s v="1Point Rate"/>
    <s v="MTG"/>
    <x v="297"/>
    <n v="3.5926617476217717"/>
  </r>
  <r>
    <x v="0"/>
    <s v="Chase"/>
    <s v="1Point Rate"/>
    <s v="MTG"/>
    <x v="298"/>
    <n v="3.5926617476217717"/>
  </r>
  <r>
    <x v="0"/>
    <s v="Chase"/>
    <s v="1Point Rate"/>
    <s v="MTG"/>
    <x v="299"/>
    <n v="3.5926617476217717"/>
  </r>
  <r>
    <x v="0"/>
    <s v="Chase"/>
    <s v="1Point Rate"/>
    <s v="MTG"/>
    <x v="300"/>
    <n v="3.6261344965465785"/>
  </r>
  <r>
    <x v="0"/>
    <s v="Chase"/>
    <s v="1Point Rate"/>
    <s v="MTG"/>
    <x v="301"/>
    <n v="3.7191209404595797"/>
  </r>
  <r>
    <x v="0"/>
    <s v="Chase"/>
    <s v="1Point Rate"/>
    <s v="MTG"/>
    <x v="302"/>
    <n v="3.6888572908327415"/>
  </r>
  <r>
    <x v="0"/>
    <s v="Chase"/>
    <s v="1Point Rate"/>
    <s v="MTG"/>
    <x v="303"/>
    <n v="3.7201095290272148"/>
  </r>
  <r>
    <x v="0"/>
    <s v="Chase"/>
    <s v="1Point Rate"/>
    <s v="MTG"/>
    <x v="304"/>
    <n v="3.6868237838299476"/>
  </r>
  <r>
    <x v="0"/>
    <s v="Chase"/>
    <s v="1Point Rate"/>
    <s v="MTG"/>
    <x v="305"/>
    <n v="3.6868237838299476"/>
  </r>
  <r>
    <x v="0"/>
    <s v="Chase"/>
    <s v="1Point Rate"/>
    <s v="MTG"/>
    <x v="306"/>
    <n v="3.7191209404595797"/>
  </r>
  <r>
    <x v="0"/>
    <s v="Chase"/>
    <s v="1Point Rate"/>
    <s v="MTG"/>
    <x v="307"/>
    <n v="3.7191209404595797"/>
  </r>
  <r>
    <x v="0"/>
    <s v="Chase"/>
    <s v="1Point Rate"/>
    <s v="MTG"/>
    <x v="308"/>
    <n v="3.7201095290272148"/>
  </r>
  <r>
    <x v="0"/>
    <s v="Chase"/>
    <s v="1Point Rate"/>
    <s v="MTG"/>
    <x v="309"/>
    <n v="3.7191209404595797"/>
  </r>
  <r>
    <x v="0"/>
    <s v="Chase"/>
    <s v="1Point Rate"/>
    <s v="MTG"/>
    <x v="310"/>
    <n v="3.6868237838299476"/>
  </r>
  <r>
    <x v="0"/>
    <s v="Chase"/>
    <s v="1Point Rate"/>
    <s v="MTG"/>
    <x v="311"/>
    <n v="3.7201095290272148"/>
  </r>
  <r>
    <x v="0"/>
    <s v="Chase"/>
    <s v="1Point Rate"/>
    <s v="MTG"/>
    <x v="312"/>
    <n v="3.6261344965465785"/>
  </r>
  <r>
    <x v="0"/>
    <s v="Chase"/>
    <s v="1Point Rate"/>
    <s v="MTG"/>
    <x v="313"/>
    <n v="3.5926617476217717"/>
  </r>
  <r>
    <x v="0"/>
    <s v="Chase"/>
    <s v="1Point Rate"/>
    <s v="MTG"/>
    <x v="314"/>
    <n v="3.5621741407473531"/>
  </r>
  <r>
    <x v="0"/>
    <s v="Chase"/>
    <s v="1Point Rate"/>
    <s v="MTG"/>
    <x v="315"/>
    <n v="3.5621741407473531"/>
  </r>
  <r>
    <x v="0"/>
    <s v="Chase"/>
    <s v="1Point Rate"/>
    <s v="MTG"/>
    <x v="316"/>
    <n v="3.5945506588933029"/>
  </r>
  <r>
    <x v="0"/>
    <s v="Chase"/>
    <s v="1Point Rate"/>
    <s v="MTG"/>
    <x v="317"/>
    <n v="3.5945506588933029"/>
  </r>
  <r>
    <x v="0"/>
    <s v="Chase"/>
    <s v="1Point Rate"/>
    <s v="MTG"/>
    <x v="318"/>
    <n v="3.5640712654731899"/>
  </r>
  <r>
    <x v="0"/>
    <s v="Chase"/>
    <s v="1Point Rate"/>
    <s v="MTG"/>
    <x v="319"/>
    <n v="3.5304800171515964"/>
  </r>
  <r>
    <x v="0"/>
    <s v="Chase"/>
    <s v="1Point Rate"/>
    <s v="MTG"/>
    <x v="320"/>
    <n v="3.5640712654731899"/>
  </r>
  <r>
    <x v="0"/>
    <s v="Chase"/>
    <s v="1Point Rate"/>
    <s v="MTG"/>
    <x v="321"/>
    <n v="3.5304800171515964"/>
  </r>
  <r>
    <x v="0"/>
    <s v="Chase"/>
    <s v="1Point Rate"/>
    <s v="MTG"/>
    <x v="322"/>
    <n v="3.5304800171515964"/>
  </r>
  <r>
    <x v="0"/>
    <s v="Chase"/>
    <s v="1Point Rate"/>
    <s v="MTG"/>
    <x v="323"/>
    <n v="3.5945506588933029"/>
  </r>
  <r>
    <x v="0"/>
    <s v="Chase"/>
    <s v="1Point Rate"/>
    <s v="MTG"/>
    <x v="324"/>
    <n v="3.5621741407473531"/>
  </r>
  <r>
    <x v="0"/>
    <s v="Chase"/>
    <s v="1Point Rate"/>
    <s v="MTG"/>
    <x v="325"/>
    <n v="3.5926617476217717"/>
  </r>
  <r>
    <x v="0"/>
    <s v="Chase"/>
    <s v="1Point Rate"/>
    <s v="MTG"/>
    <x v="326"/>
    <n v="3.6261344965465785"/>
  </r>
  <r>
    <x v="0"/>
    <s v="Chase"/>
    <s v="1Point Rate"/>
    <s v="MTG"/>
    <x v="327"/>
    <n v="3.4998842856206775"/>
  </r>
  <r>
    <x v="0"/>
    <s v="Chase"/>
    <s v="1Point Rate"/>
    <s v="MTG"/>
    <x v="328"/>
    <n v="3.4692329718342103"/>
  </r>
  <r>
    <x v="0"/>
    <s v="Chase"/>
    <s v="1Point Rate"/>
    <s v="MTG"/>
    <x v="329"/>
    <n v="3.4385259572555285"/>
  </r>
  <r>
    <x v="0"/>
    <s v="Chase"/>
    <s v="1Point Rate"/>
    <s v="MTG"/>
    <x v="330"/>
    <n v="3.4692329718342103"/>
  </r>
  <r>
    <x v="0"/>
    <s v="Chase"/>
    <s v="1Point Rate"/>
    <s v="MTG"/>
    <x v="331"/>
    <n v="3.4692329718342103"/>
  </r>
  <r>
    <x v="0"/>
    <s v="Chase"/>
    <s v="1Point Rate"/>
    <s v="MTG"/>
    <x v="332"/>
    <n v="3.438254991858261"/>
  </r>
  <r>
    <x v="0"/>
    <s v="Chase"/>
    <s v="1Point Rate"/>
    <s v="MTG"/>
    <x v="333"/>
    <n v="3.4074962925917163"/>
  </r>
  <r>
    <x v="0"/>
    <s v="Chase"/>
    <s v="1Point Rate"/>
    <s v="MTG"/>
    <x v="334"/>
    <n v="3.3427203379813504"/>
  </r>
  <r>
    <x v="0"/>
    <s v="Chase"/>
    <s v="1Point Rate"/>
    <s v="MTG"/>
    <x v="335"/>
    <n v="3.4074962925917163"/>
  </r>
  <r>
    <x v="0"/>
    <s v="Chase"/>
    <s v="1Point Rate"/>
    <s v="MTG"/>
    <x v="336"/>
    <n v="3.4074962925917163"/>
  </r>
  <r>
    <x v="0"/>
    <s v="Chase"/>
    <s v="1Point Rate"/>
    <s v="MTG"/>
    <x v="337"/>
    <n v="3.438254991858261"/>
  </r>
  <r>
    <x v="0"/>
    <s v="Chase"/>
    <s v="1Point Rate"/>
    <s v="MTG"/>
    <x v="338"/>
    <n v="3.4385259572555285"/>
  </r>
  <r>
    <x v="0"/>
    <s v="Chase"/>
    <s v="1Point Rate"/>
    <s v="MTG"/>
    <x v="339"/>
    <n v="3.4692329718342103"/>
  </r>
  <r>
    <x v="0"/>
    <s v="Chase"/>
    <s v="1Point Rate"/>
    <s v="MTG"/>
    <x v="340"/>
    <n v="3.438254991858261"/>
  </r>
  <r>
    <x v="0"/>
    <s v="Chase"/>
    <s v="1Point Rate"/>
    <s v="MTG"/>
    <x v="341"/>
    <n v="3.4689577298953638"/>
  </r>
  <r>
    <x v="0"/>
    <s v="Chase"/>
    <s v="1Point Rate"/>
    <s v="MTG"/>
    <x v="342"/>
    <n v="3.438254991858261"/>
  </r>
  <r>
    <x v="0"/>
    <s v="Chase"/>
    <s v="1Point Rate"/>
    <s v="MTG"/>
    <x v="343"/>
    <n v="3.4692329718342103"/>
  </r>
  <r>
    <x v="0"/>
    <s v="Chase"/>
    <s v="1Point Rate"/>
    <s v="MTG"/>
    <x v="344"/>
    <n v="3.4998842856206775"/>
  </r>
  <r>
    <x v="0"/>
    <s v="Chase"/>
    <s v="1Point Rate"/>
    <s v="MTG"/>
    <x v="345"/>
    <n v="3.4998842856206775"/>
  </r>
  <r>
    <x v="0"/>
    <s v="Chase"/>
    <s v="1Point Rate"/>
    <s v="MTG"/>
    <x v="346"/>
    <n v="3.4692329718342103"/>
  </r>
  <r>
    <x v="0"/>
    <s v="Chase"/>
    <s v="1Point Rate"/>
    <s v="MTG"/>
    <x v="347"/>
    <n v="3.5304800171515964"/>
  </r>
  <r>
    <x v="0"/>
    <s v="Chase"/>
    <s v="1Point Rate"/>
    <s v="MTG"/>
    <x v="348"/>
    <n v="3.5640712654731899"/>
  </r>
  <r>
    <x v="0"/>
    <s v="Chase"/>
    <s v="1Point Rate"/>
    <s v="MTG"/>
    <x v="349"/>
    <n v="3.4998842856206775"/>
  </r>
  <r>
    <x v="0"/>
    <s v="Chase"/>
    <s v="1Point Rate"/>
    <s v="MTG"/>
    <x v="350"/>
    <n v="3.4385259572555285"/>
  </r>
  <r>
    <x v="0"/>
    <s v="Chase"/>
    <s v="1Point Rate"/>
    <s v="MTG"/>
    <x v="351"/>
    <n v="3.4385259572555285"/>
  </r>
  <r>
    <x v="0"/>
    <s v="Chase"/>
    <s v="1Point Rate"/>
    <s v="MTG"/>
    <x v="352"/>
    <n v="3.4692329718342103"/>
  </r>
  <r>
    <x v="0"/>
    <s v="Chase"/>
    <s v="1Point Rate"/>
    <s v="MTG"/>
    <x v="353"/>
    <n v="3.4692329718342103"/>
  </r>
  <r>
    <x v="0"/>
    <s v="Chase"/>
    <s v="1Point Rate"/>
    <s v="MTG"/>
    <x v="354"/>
    <n v="3.438254991858261"/>
  </r>
  <r>
    <x v="0"/>
    <s v="Chase"/>
    <s v="1Point Rate"/>
    <s v="MTG"/>
    <x v="355"/>
    <n v="3.438254991858261"/>
  </r>
  <r>
    <x v="0"/>
    <s v="Chase"/>
    <s v="1Point Rate"/>
    <s v="MTG"/>
    <x v="356"/>
    <n v="3.4692329718342103"/>
  </r>
  <r>
    <x v="0"/>
    <s v="Chase"/>
    <s v="1Point Rate"/>
    <s v="MTG"/>
    <x v="357"/>
    <n v="3.4385259572555285"/>
  </r>
  <r>
    <x v="0"/>
    <s v="Chase"/>
    <s v="1Point Rate"/>
    <s v="MTG"/>
    <x v="358"/>
    <n v="3.4074962925917163"/>
  </r>
  <r>
    <x v="0"/>
    <s v="Chase"/>
    <s v="1Point Rate"/>
    <s v="MTG"/>
    <x v="359"/>
    <n v="3.4385259572555285"/>
  </r>
  <r>
    <x v="0"/>
    <s v="Chase"/>
    <s v="1Point Rate"/>
    <s v="MTG"/>
    <x v="360"/>
    <n v="3.438254991858261"/>
  </r>
  <r>
    <x v="0"/>
    <s v="Chase"/>
    <s v="1Point Rate"/>
    <s v="MTG"/>
    <x v="361"/>
    <n v="3.4692329718342103"/>
  </r>
  <r>
    <x v="0"/>
    <s v="Chase"/>
    <s v="1Point Rate"/>
    <s v="MTG"/>
    <x v="362"/>
    <n v="3.4385259572555285"/>
  </r>
  <r>
    <x v="0"/>
    <s v="Chase"/>
    <s v="1Point Rate"/>
    <s v="MTG"/>
    <x v="363"/>
    <n v="3.4385259572555285"/>
  </r>
  <r>
    <x v="0"/>
    <s v="Chase"/>
    <s v="1Point Rate"/>
    <s v="MTG"/>
    <x v="364"/>
    <n v="3.4692329718342103"/>
  </r>
  <r>
    <x v="0"/>
    <s v="Chase"/>
    <s v="1Point Rate"/>
    <s v="MTG"/>
    <x v="365"/>
    <n v="3.4385259572555285"/>
  </r>
  <r>
    <x v="0"/>
    <s v="Chase"/>
    <s v="1Point Rate"/>
    <s v="MTG"/>
    <x v="366"/>
    <n v="3.4385259572555285"/>
  </r>
  <r>
    <x v="0"/>
    <s v="Chase"/>
    <s v="1Point Rate"/>
    <s v="MTG"/>
    <x v="367"/>
    <n v="3.4692329718342103"/>
  </r>
  <r>
    <x v="0"/>
    <s v="Chase"/>
    <s v="1Point Rate"/>
    <s v="MTG"/>
    <x v="368"/>
    <n v="3.4385259572555285"/>
  </r>
  <r>
    <x v="0"/>
    <s v="Chase"/>
    <s v="1Point Rate"/>
    <s v="MTG"/>
    <x v="369"/>
    <n v="3.4692329718342103"/>
  </r>
  <r>
    <x v="0"/>
    <s v="Chase"/>
    <s v="1Point Rate"/>
    <s v="MTG"/>
    <x v="370"/>
    <n v="3.4692329718342103"/>
  </r>
  <r>
    <x v="0"/>
    <s v="Chase"/>
    <s v="1Point Rate"/>
    <s v="MTG"/>
    <x v="371"/>
    <n v="3.4689577298953638"/>
  </r>
  <r>
    <x v="0"/>
    <s v="Chase"/>
    <s v="1Point Rate"/>
    <s v="MTG"/>
    <x v="372"/>
    <n v="3.4689577298953638"/>
  </r>
  <r>
    <x v="0"/>
    <s v="Chase"/>
    <s v="1Point Rate"/>
    <s v="MTG"/>
    <x v="373"/>
    <n v="3.5640712654731899"/>
  </r>
  <r>
    <x v="0"/>
    <s v="Chase"/>
    <s v="1Point Rate"/>
    <s v="MTG"/>
    <x v="374"/>
    <n v="3.5304800171515964"/>
  </r>
  <r>
    <x v="0"/>
    <s v="Chase"/>
    <s v="1Point Rate"/>
    <s v="MTG"/>
    <x v="375"/>
    <n v="3.5304800171515964"/>
  </r>
  <r>
    <x v="0"/>
    <s v="Chase"/>
    <s v="1Point Rate"/>
    <s v="MTG"/>
    <x v="376"/>
    <n v="3.4998842856206775"/>
  </r>
  <r>
    <x v="0"/>
    <s v="Chase"/>
    <s v="1Point Rate"/>
    <s v="MTG"/>
    <x v="377"/>
    <n v="3.4998842856206775"/>
  </r>
  <r>
    <x v="0"/>
    <s v="Chase"/>
    <s v="1Point Rate"/>
    <s v="MTG"/>
    <x v="378"/>
    <n v="3.4998842856206775"/>
  </r>
  <r>
    <x v="0"/>
    <s v="Chase"/>
    <s v="1Point Rate"/>
    <s v="MTG"/>
    <x v="379"/>
    <n v="3.5304800171515964"/>
  </r>
  <r>
    <x v="0"/>
    <s v="Chase"/>
    <s v="1Point Rate"/>
    <s v="MTG"/>
    <x v="380"/>
    <n v="3.5304800171515964"/>
  </r>
  <r>
    <x v="0"/>
    <s v="Chase"/>
    <s v="1Point Rate"/>
    <s v="MTG"/>
    <x v="381"/>
    <n v="3.5304800171515964"/>
  </r>
  <r>
    <x v="0"/>
    <s v="Chase"/>
    <s v="1Point Rate"/>
    <s v="MTG"/>
    <x v="382"/>
    <n v="3.4385259572555285"/>
  </r>
  <r>
    <x v="0"/>
    <s v="Chase"/>
    <s v="1Point Rate"/>
    <s v="MTG"/>
    <x v="383"/>
    <n v="3.4077631230667786"/>
  </r>
  <r>
    <x v="0"/>
    <s v="Chase"/>
    <s v="1Point Rate"/>
    <s v="MTG"/>
    <x v="384"/>
    <n v="3.438254991858261"/>
  </r>
  <r>
    <x v="0"/>
    <s v="Chase"/>
    <s v="1Point Rate"/>
    <s v="MTG"/>
    <x v="385"/>
    <n v="3.4689577298953638"/>
  </r>
  <r>
    <x v="0"/>
    <s v="Chase"/>
    <s v="1Point Rate"/>
    <s v="MTG"/>
    <x v="386"/>
    <n v="3.4077631230667786"/>
  </r>
  <r>
    <x v="0"/>
    <s v="Chase"/>
    <s v="1Point Rate"/>
    <s v="MTG"/>
    <x v="387"/>
    <n v="3.4689577298953638"/>
  </r>
  <r>
    <x v="0"/>
    <s v="Chase"/>
    <s v="1Point Rate"/>
    <s v="MTG"/>
    <x v="388"/>
    <n v="3.4689577298953638"/>
  </r>
  <r>
    <x v="0"/>
    <s v="Chase"/>
    <s v="1Point Rate"/>
    <s v="MTG"/>
    <x v="389"/>
    <n v="3.4996046260141411"/>
  </r>
  <r>
    <x v="0"/>
    <s v="Chase"/>
    <s v="1Point Rate"/>
    <s v="MTG"/>
    <x v="390"/>
    <n v="3.4385259572555285"/>
  </r>
  <r>
    <x v="0"/>
    <s v="Chase"/>
    <s v="1Point Rate"/>
    <s v="MTG"/>
    <x v="391"/>
    <n v="3.4385259572555285"/>
  </r>
  <r>
    <x v="0"/>
    <s v="Chase"/>
    <s v="1Point Rate"/>
    <s v="MTG"/>
    <x v="392"/>
    <n v="3.4692329718342103"/>
  </r>
  <r>
    <x v="0"/>
    <s v="Chase"/>
    <s v="1Point Rate"/>
    <s v="MTG"/>
    <x v="393"/>
    <n v="3.4998842856206775"/>
  </r>
  <r>
    <x v="0"/>
    <s v="Chase"/>
    <s v="1Point Rate"/>
    <s v="MTG"/>
    <x v="394"/>
    <n v="3.5304800171515964"/>
  </r>
  <r>
    <x v="0"/>
    <s v="Chase"/>
    <s v="1Point Rate"/>
    <s v="MTG"/>
    <x v="395"/>
    <n v="3.4998842856206775"/>
  </r>
  <r>
    <x v="0"/>
    <s v="Chase"/>
    <s v="1Point Rate"/>
    <s v="MTG"/>
    <x v="396"/>
    <n v="3.4998842856206775"/>
  </r>
  <r>
    <x v="0"/>
    <s v="Chase"/>
    <s v="1Point Rate"/>
    <s v="MTG"/>
    <x v="397"/>
    <n v="3.5640712654731899"/>
  </r>
  <r>
    <x v="0"/>
    <s v="Chase"/>
    <s v="1Point Rate"/>
    <s v="MTG"/>
    <x v="398"/>
    <n v="3.5304800171515964"/>
  </r>
  <r>
    <x v="0"/>
    <s v="Chase"/>
    <s v="1Point Rate"/>
    <s v="MTG"/>
    <x v="399"/>
    <n v="3.5640712654731899"/>
  </r>
  <r>
    <x v="0"/>
    <s v="Chase"/>
    <s v="1Point Rate"/>
    <s v="MTG"/>
    <x v="400"/>
    <n v="3.5304800171515964"/>
  </r>
  <r>
    <x v="0"/>
    <s v="Chase"/>
    <s v="1Point Rate"/>
    <s v="MTG"/>
    <x v="401"/>
    <n v="3.5304800171515964"/>
  </r>
  <r>
    <x v="0"/>
    <s v="Chase"/>
    <s v="1Point Rate"/>
    <s v="MTG"/>
    <x v="402"/>
    <n v="3.4998842856206775"/>
  </r>
  <r>
    <x v="0"/>
    <s v="Chase"/>
    <s v="1Point Rate"/>
    <s v="MTG"/>
    <x v="403"/>
    <n v="3.5640712654731899"/>
  </r>
  <r>
    <x v="0"/>
    <s v="Chase"/>
    <s v="1Point Rate"/>
    <s v="MTG"/>
    <x v="404"/>
    <n v="3.5945506588933029"/>
  </r>
  <r>
    <x v="0"/>
    <s v="Chase"/>
    <s v="1Point Rate"/>
    <s v="MTG"/>
    <x v="405"/>
    <n v="3.5316313316850221"/>
  </r>
  <r>
    <x v="0"/>
    <s v="Chase"/>
    <s v="1Point Rate"/>
    <s v="MTG"/>
    <x v="406"/>
    <n v="3.5621741407473531"/>
  </r>
  <r>
    <x v="0"/>
    <s v="Chase"/>
    <s v="1Point Rate"/>
    <s v="MTG"/>
    <x v="407"/>
    <n v="3.5316313316850221"/>
  </r>
  <r>
    <x v="0"/>
    <s v="Chase"/>
    <s v="1Point Rate"/>
    <s v="MTG"/>
    <x v="408"/>
    <n v="3.5621741407473531"/>
  </r>
  <r>
    <x v="0"/>
    <s v="Chase"/>
    <s v="1Point Rate"/>
    <s v="MTG"/>
    <x v="409"/>
    <n v="3.5316313316850221"/>
  </r>
  <r>
    <x v="0"/>
    <s v="Chase"/>
    <s v="1Point Rate"/>
    <s v="MTG"/>
    <x v="410"/>
    <n v="3.5621741407473531"/>
  </r>
  <r>
    <x v="0"/>
    <s v="Chase"/>
    <s v="1Point Rate"/>
    <s v="MTG"/>
    <x v="411"/>
    <n v="3.5621741407473531"/>
  </r>
  <r>
    <x v="0"/>
    <s v="Chase"/>
    <s v="1Point Rate"/>
    <s v="MTG"/>
    <x v="412"/>
    <n v="3.5316313316850221"/>
  </r>
  <r>
    <x v="0"/>
    <s v="Chase"/>
    <s v="1Point Rate"/>
    <s v="MTG"/>
    <x v="413"/>
    <n v="3.5945506588933029"/>
  </r>
  <r>
    <x v="0"/>
    <s v="Chase"/>
    <s v="1Point Rate"/>
    <s v="MTG"/>
    <x v="414"/>
    <n v="3.6888572908327415"/>
  </r>
  <r>
    <x v="0"/>
    <s v="Chase"/>
    <s v="1Point Rate"/>
    <s v="MTG"/>
    <x v="415"/>
    <n v="3.8124950348616728"/>
  </r>
  <r>
    <x v="0"/>
    <s v="Chase"/>
    <s v="1Point Rate"/>
    <s v="MTG"/>
    <x v="416"/>
    <n v="3.9361387568601574"/>
  </r>
  <r>
    <x v="0"/>
    <s v="Chase"/>
    <s v="1Point Rate"/>
    <s v="MTG"/>
    <x v="417"/>
    <n v="4.0314060668582723"/>
  </r>
  <r>
    <x v="0"/>
    <s v="Chase"/>
    <s v="1Point Rate"/>
    <s v="MTG"/>
    <x v="418"/>
    <n v="3.9361387568601574"/>
  </r>
  <r>
    <x v="0"/>
    <s v="Chase"/>
    <s v="1Point Rate"/>
    <s v="MTG"/>
    <x v="419"/>
    <n v="3.968948344733974"/>
  </r>
  <r>
    <x v="0"/>
    <s v="Chase"/>
    <s v="1Point Rate"/>
    <s v="MTG"/>
    <x v="420"/>
    <n v="4.0936300339223344"/>
  </r>
  <r>
    <x v="0"/>
    <s v="Chase"/>
    <s v="1Point Rate"/>
    <s v="MTG"/>
    <x v="421"/>
    <n v="4.0301218665618999"/>
  </r>
  <r>
    <x v="0"/>
    <s v="Chase"/>
    <s v="1Point Rate"/>
    <s v="MTG"/>
    <x v="422"/>
    <n v="4.0301218665618999"/>
  </r>
  <r>
    <x v="0"/>
    <s v="Chase"/>
    <s v="1Point Rate"/>
    <s v="MTG"/>
    <x v="423"/>
    <n v="4.1867556587570789"/>
  </r>
  <r>
    <x v="0"/>
    <s v="Chase"/>
    <s v="1Point Rate"/>
    <s v="MTG"/>
    <x v="424"/>
    <n v="4.1573150337364799"/>
  </r>
  <r>
    <x v="0"/>
    <s v="Chase"/>
    <s v="1Point Rate"/>
    <s v="MTG"/>
    <x v="425"/>
    <n v="4.1248698203088709"/>
  </r>
  <r>
    <x v="0"/>
    <s v="Chase"/>
    <s v="1Point Rate"/>
    <s v="MTG"/>
    <x v="426"/>
    <n v="4.0627523635008007"/>
  </r>
  <r>
    <x v="0"/>
    <s v="Chase"/>
    <s v="1Point Rate"/>
    <s v="MTG"/>
    <x v="427"/>
    <n v="4.1248698203088709"/>
  </r>
  <r>
    <x v="0"/>
    <s v="Chase"/>
    <s v="1Point Rate"/>
    <s v="MTG"/>
    <x v="428"/>
    <n v="4.1863869638007634"/>
  </r>
  <r>
    <x v="0"/>
    <s v="Chase"/>
    <s v="1Point Rate"/>
    <s v="MTG"/>
    <x v="429"/>
    <n v="4.1573150337364799"/>
  </r>
  <r>
    <x v="0"/>
    <s v="Chase"/>
    <s v="1Point Rate"/>
    <s v="MTG"/>
    <x v="430"/>
    <n v="4.1573150337364799"/>
  </r>
  <r>
    <x v="0"/>
    <s v="Chase"/>
    <s v="1Point Rate"/>
    <s v="MTG"/>
    <x v="431"/>
    <n v="4.1248698203088709"/>
  </r>
  <r>
    <x v="0"/>
    <s v="Chase"/>
    <s v="1Point Rate"/>
    <s v="MTG"/>
    <x v="432"/>
    <n v="4.1248698203088709"/>
  </r>
  <r>
    <x v="0"/>
    <s v="Chase"/>
    <s v="1Point Rate"/>
    <s v="MTG"/>
    <x v="433"/>
    <n v="4.1573150337364799"/>
  </r>
  <r>
    <x v="0"/>
    <s v="Chase"/>
    <s v="1Point Rate"/>
    <s v="MTG"/>
    <x v="434"/>
    <n v="4.1248698203088709"/>
  </r>
  <r>
    <x v="0"/>
    <s v="Chase"/>
    <s v="1Point Rate"/>
    <s v="MTG"/>
    <x v="435"/>
    <n v="4.2190799560072145"/>
  </r>
  <r>
    <x v="0"/>
    <s v="Chase"/>
    <s v="1Point Rate"/>
    <s v="MTG"/>
    <x v="436"/>
    <n v="4.1573150337364799"/>
  </r>
  <r>
    <x v="0"/>
    <s v="Chase"/>
    <s v="1Point Rate"/>
    <s v="MTG"/>
    <x v="437"/>
    <n v="4.2187176588090702"/>
  </r>
  <r>
    <x v="0"/>
    <s v="Chase"/>
    <s v="1Point Rate"/>
    <s v="MTG"/>
    <x v="438"/>
    <n v="4.3450385992509455"/>
  </r>
  <r>
    <x v="0"/>
    <s v="Chase"/>
    <s v="1Point Rate"/>
    <s v="MTG"/>
    <x v="439"/>
    <n v="4.3129484261880471"/>
  </r>
  <r>
    <x v="0"/>
    <s v="Chase"/>
    <s v="1Point Rate"/>
    <s v="MTG"/>
    <x v="440"/>
    <n v="4.3124130917521919"/>
  </r>
  <r>
    <x v="0"/>
    <s v="Chase"/>
    <s v="1Point Rate"/>
    <s v="MTG"/>
    <x v="441"/>
    <n v="4.3124130917521919"/>
  </r>
  <r>
    <x v="0"/>
    <s v="Chase"/>
    <s v="1Point Rate"/>
    <s v="MTG"/>
    <x v="442"/>
    <n v="4.3129484261880471"/>
  </r>
  <r>
    <x v="0"/>
    <s v="Chase"/>
    <s v="1Point Rate"/>
    <s v="MTG"/>
    <x v="443"/>
    <n v="4.3124130917521919"/>
  </r>
  <r>
    <x v="0"/>
    <s v="Chase"/>
    <s v="1Point Rate"/>
    <s v="MTG"/>
    <x v="444"/>
    <n v="4.2802651684494641"/>
  </r>
  <r>
    <x v="0"/>
    <s v="Chase"/>
    <s v="1Point Rate"/>
    <s v="MTG"/>
    <x v="445"/>
    <n v="4.3129484261880471"/>
  </r>
  <r>
    <x v="0"/>
    <s v="Chase"/>
    <s v="1Point Rate"/>
    <s v="MTG"/>
    <x v="446"/>
    <n v="4.2509853875527766"/>
  </r>
  <r>
    <x v="0"/>
    <s v="Chase"/>
    <s v="1Point Rate"/>
    <s v="MTG"/>
    <x v="447"/>
    <n v="4.1863869638007634"/>
  </r>
  <r>
    <x v="0"/>
    <s v="Chase"/>
    <s v="1Point Rate"/>
    <s v="MTG"/>
    <x v="448"/>
    <n v="4.2190799560072145"/>
  </r>
  <r>
    <x v="0"/>
    <s v="Chase"/>
    <s v="1Point Rate"/>
    <s v="MTG"/>
    <x v="449"/>
    <n v="4.1863869638007634"/>
  </r>
  <r>
    <x v="0"/>
    <s v="Chase"/>
    <s v="1Point Rate"/>
    <s v="MTG"/>
    <x v="450"/>
    <n v="4.2190799560072145"/>
  </r>
  <r>
    <x v="0"/>
    <s v="Chase"/>
    <s v="1Point Rate"/>
    <s v="MTG"/>
    <x v="451"/>
    <n v="4.0953190284509828"/>
  </r>
  <r>
    <x v="0"/>
    <s v="Chase"/>
    <s v="1Point Rate"/>
    <s v="MTG"/>
    <x v="452"/>
    <n v="4.1573150337364799"/>
  </r>
  <r>
    <x v="0"/>
    <s v="Chase"/>
    <s v="1Point Rate"/>
    <s v="MTG"/>
    <x v="453"/>
    <n v="4.1248698203088709"/>
  </r>
  <r>
    <x v="0"/>
    <s v="Chase"/>
    <s v="1Point Rate"/>
    <s v="MTG"/>
    <x v="454"/>
    <n v="4.1248698203088709"/>
  </r>
  <r>
    <x v="0"/>
    <s v="Chase"/>
    <s v="1Point Rate"/>
    <s v="MTG"/>
    <x v="455"/>
    <n v="4.0953190284509828"/>
  </r>
  <r>
    <x v="0"/>
    <s v="Chase"/>
    <s v="1Point Rate"/>
    <s v="MTG"/>
    <x v="456"/>
    <n v="4.0627523635008007"/>
  </r>
  <r>
    <x v="0"/>
    <s v="Chase"/>
    <s v="1Point Rate"/>
    <s v="MTG"/>
    <x v="457"/>
    <n v="4.0953190284509828"/>
  </r>
  <r>
    <x v="0"/>
    <s v="Chase"/>
    <s v="1Point Rate"/>
    <s v="MTG"/>
    <x v="458"/>
    <n v="4.0953190284509828"/>
  </r>
  <r>
    <x v="0"/>
    <s v="Chase"/>
    <s v="1Point Rate"/>
    <s v="MTG"/>
    <x v="459"/>
    <n v="4.1248698203088709"/>
  </r>
  <r>
    <x v="0"/>
    <s v="Chase"/>
    <s v="1Point Rate"/>
    <s v="MTG"/>
    <x v="460"/>
    <n v="4.2187176588090702"/>
  </r>
  <r>
    <x v="0"/>
    <s v="Chase"/>
    <s v="1Point Rate"/>
    <s v="MTG"/>
    <x v="461"/>
    <n v="4.2509853875527766"/>
  </r>
  <r>
    <x v="0"/>
    <s v="Chase"/>
    <s v="1Point Rate"/>
    <s v="MTG"/>
    <x v="462"/>
    <n v="4.2190799560072145"/>
  </r>
  <r>
    <x v="0"/>
    <s v="Chase"/>
    <s v="1Point Rate"/>
    <s v="MTG"/>
    <x v="463"/>
    <n v="4.2190799560072145"/>
  </r>
  <r>
    <x v="0"/>
    <s v="Chase"/>
    <s v="1Point Rate"/>
    <s v="MTG"/>
    <x v="464"/>
    <n v="4.2509853875527766"/>
  </r>
  <r>
    <x v="0"/>
    <s v="Chase"/>
    <s v="1Point Rate"/>
    <s v="MTG"/>
    <x v="465"/>
    <n v="4.2802651684494641"/>
  </r>
  <r>
    <x v="0"/>
    <s v="Chase"/>
    <s v="1Point Rate"/>
    <s v="MTG"/>
    <x v="466"/>
    <n v="4.2509853875527766"/>
  </r>
  <r>
    <x v="0"/>
    <s v="Chase"/>
    <s v="1Point Rate"/>
    <s v="MTG"/>
    <x v="467"/>
    <n v="4.2509853875527766"/>
  </r>
  <r>
    <x v="0"/>
    <s v="Chase"/>
    <s v="1Point Rate"/>
    <s v="MTG"/>
    <x v="468"/>
    <n v="4.2509853875527766"/>
  </r>
  <r>
    <x v="0"/>
    <s v="Chase"/>
    <s v="1Point Rate"/>
    <s v="MTG"/>
    <x v="469"/>
    <n v="4.2509853875527766"/>
  </r>
  <r>
    <x v="0"/>
    <s v="Chase"/>
    <s v="1Point Rate"/>
    <s v="MTG"/>
    <x v="470"/>
    <n v="4.2509853875527766"/>
  </r>
  <r>
    <x v="0"/>
    <s v="Chase"/>
    <s v="1Point Rate"/>
    <s v="MTG"/>
    <x v="471"/>
    <n v="4.2509853875527766"/>
  </r>
  <r>
    <x v="0"/>
    <s v="Chase"/>
    <s v="1Point Rate"/>
    <s v="MTG"/>
    <x v="472"/>
    <n v="4.2509853875527766"/>
  </r>
  <r>
    <x v="0"/>
    <s v="Chase"/>
    <s v="1Point Rate"/>
    <s v="MTG"/>
    <x v="473"/>
    <n v="4.2509853875527766"/>
  </r>
  <r>
    <x v="0"/>
    <s v="Chase"/>
    <s v="1Point Rate"/>
    <s v="MTG"/>
    <x v="474"/>
    <n v="4.2509853875527766"/>
  </r>
  <r>
    <x v="0"/>
    <s v="Chase"/>
    <s v="1Point Rate"/>
    <s v="MTG"/>
    <x v="475"/>
    <n v="4.2509853875527766"/>
  </r>
  <r>
    <x v="0"/>
    <s v="Chase"/>
    <s v="1Point Rate"/>
    <s v="MTG"/>
    <x v="476"/>
    <n v="4.2190799560072145"/>
  </r>
  <r>
    <x v="0"/>
    <s v="Chase"/>
    <s v="1Point Rate"/>
    <s v="MTG"/>
    <x v="477"/>
    <n v="4.2509853875527766"/>
  </r>
  <r>
    <x v="0"/>
    <s v="Chase"/>
    <s v="1Point Rate"/>
    <s v="MTG"/>
    <x v="478"/>
    <n v="4.2509853875527766"/>
  </r>
  <r>
    <x v="0"/>
    <s v="Chase"/>
    <s v="1Point Rate"/>
    <s v="MTG"/>
    <x v="479"/>
    <n v="4.1863869638007634"/>
  </r>
  <r>
    <x v="0"/>
    <s v="Chase"/>
    <s v="1Point Rate"/>
    <s v="MTG"/>
    <x v="480"/>
    <n v="4.1248698203088709"/>
  </r>
  <r>
    <x v="0"/>
    <s v="Chase"/>
    <s v="1Point Rate"/>
    <s v="MTG"/>
    <x v="481"/>
    <n v="4.2190799560072145"/>
  </r>
  <r>
    <x v="0"/>
    <s v="Chase"/>
    <s v="1Point Rate"/>
    <s v="MTG"/>
    <x v="482"/>
    <n v="4.1573150337364799"/>
  </r>
  <r>
    <x v="0"/>
    <s v="Chase"/>
    <s v="1Point Rate"/>
    <s v="MTG"/>
    <x v="483"/>
    <n v="4.1248698203088709"/>
  </r>
  <r>
    <x v="0"/>
    <s v="Chase"/>
    <s v="1Point Rate"/>
    <s v="MTG"/>
    <x v="484"/>
    <n v="4.0627523635008007"/>
  </r>
  <r>
    <x v="0"/>
    <s v="Chase"/>
    <s v="1Point Rate"/>
    <s v="MTG"/>
    <x v="485"/>
    <n v="4.0627523635008007"/>
  </r>
  <r>
    <x v="0"/>
    <s v="Chase"/>
    <s v="1Point Rate"/>
    <s v="MTG"/>
    <x v="486"/>
    <n v="4.1248698203088709"/>
  </r>
  <r>
    <x v="0"/>
    <s v="Chase"/>
    <s v="1Point Rate"/>
    <s v="MTG"/>
    <x v="487"/>
    <n v="4.2187176588090702"/>
  </r>
  <r>
    <x v="0"/>
    <s v="Chase"/>
    <s v="1Point Rate"/>
    <s v="MTG"/>
    <x v="488"/>
    <n v="4.2187176588090702"/>
  </r>
  <r>
    <x v="0"/>
    <s v="Chase"/>
    <s v="1Point Rate"/>
    <s v="MTG"/>
    <x v="489"/>
    <n v="4.2187176588090702"/>
  </r>
  <r>
    <x v="0"/>
    <s v="Chase"/>
    <s v="1Point Rate"/>
    <s v="MTG"/>
    <x v="490"/>
    <n v="4.2190799560072145"/>
  </r>
  <r>
    <x v="0"/>
    <s v="Chase"/>
    <s v="1Point Rate"/>
    <s v="MTG"/>
    <x v="491"/>
    <n v="4.1863869638007634"/>
  </r>
  <r>
    <x v="0"/>
    <s v="Chase"/>
    <s v="1Point Rate"/>
    <s v="MTG"/>
    <x v="492"/>
    <n v="4.2802651684494641"/>
  </r>
  <r>
    <x v="0"/>
    <s v="Chase"/>
    <s v="1Point Rate"/>
    <s v="MTG"/>
    <x v="493"/>
    <n v="4.2802651684494641"/>
  </r>
  <r>
    <x v="0"/>
    <s v="Chase"/>
    <s v="1Point Rate"/>
    <s v="MTG"/>
    <x v="494"/>
    <n v="4.3129484261880471"/>
  </r>
  <r>
    <x v="0"/>
    <s v="Chase"/>
    <s v="1Point Rate"/>
    <s v="MTG"/>
    <x v="495"/>
    <n v="4.3129484261880471"/>
  </r>
  <r>
    <x v="0"/>
    <s v="Chase"/>
    <s v="1Point Rate"/>
    <s v="MTG"/>
    <x v="496"/>
    <n v="4.3741574696848291"/>
  </r>
  <r>
    <x v="0"/>
    <s v="Chase"/>
    <s v="1Point Rate"/>
    <s v="MTG"/>
    <x v="497"/>
    <n v="4.2802651684494641"/>
  </r>
  <r>
    <x v="0"/>
    <s v="Chase"/>
    <s v="1Point Rate"/>
    <s v="MTG"/>
    <x v="498"/>
    <n v="4.2509853875527766"/>
  </r>
  <r>
    <x v="0"/>
    <s v="Chase"/>
    <s v="1Point Rate"/>
    <s v="MTG"/>
    <x v="499"/>
    <n v="4.1863869638007634"/>
  </r>
  <r>
    <x v="0"/>
    <s v="Chase"/>
    <s v="1Point Rate"/>
    <s v="MTG"/>
    <x v="500"/>
    <n v="4.1863869638007634"/>
  </r>
  <r>
    <x v="0"/>
    <s v="Chase"/>
    <s v="1Point Rate"/>
    <s v="MTG"/>
    <x v="501"/>
    <n v="4.1248698203088709"/>
  </r>
  <r>
    <x v="0"/>
    <s v="Chase"/>
    <s v="1Point Rate"/>
    <s v="MTG"/>
    <x v="502"/>
    <n v="4.1248698203088709"/>
  </r>
  <r>
    <x v="0"/>
    <s v="Chase"/>
    <s v="1Point Rate"/>
    <s v="MTG"/>
    <x v="503"/>
    <n v="4.0953190284509828"/>
  </r>
  <r>
    <x v="0"/>
    <s v="Chase"/>
    <s v="1Point Rate"/>
    <s v="MTG"/>
    <x v="504"/>
    <n v="4.1248698203088709"/>
  </r>
  <r>
    <x v="0"/>
    <s v="Chase"/>
    <s v="1Point Rate"/>
    <s v="MTG"/>
    <x v="505"/>
    <n v="4.0953190284509828"/>
  </r>
  <r>
    <x v="0"/>
    <s v="Chase"/>
    <s v="1Point Rate"/>
    <s v="MTG"/>
    <x v="506"/>
    <n v="4.1573150337364799"/>
  </r>
  <r>
    <x v="0"/>
    <s v="Chase"/>
    <s v="1Point Rate"/>
    <s v="MTG"/>
    <x v="507"/>
    <n v="4.1573150337364799"/>
  </r>
  <r>
    <x v="0"/>
    <s v="Chase"/>
    <s v="1Point Rate"/>
    <s v="MTG"/>
    <x v="508"/>
    <n v="4.1248698203088709"/>
  </r>
  <r>
    <x v="0"/>
    <s v="Chase"/>
    <s v="1Point Rate"/>
    <s v="MTG"/>
    <x v="509"/>
    <n v="4.1248698203088709"/>
  </r>
  <r>
    <x v="0"/>
    <s v="Chase"/>
    <s v="1Point Rate"/>
    <s v="MTG"/>
    <x v="510"/>
    <n v="4.0627523635008007"/>
  </r>
  <r>
    <x v="0"/>
    <s v="Chase"/>
    <s v="1Point Rate"/>
    <s v="MTG"/>
    <x v="511"/>
    <n v="4.0640286610076064"/>
  </r>
  <r>
    <x v="0"/>
    <s v="Chase"/>
    <s v="1Point Rate"/>
    <s v="MTG"/>
    <x v="512"/>
    <n v="4.0936300339223344"/>
  </r>
  <r>
    <x v="0"/>
    <s v="Chase"/>
    <s v="1Point Rate"/>
    <s v="MTG"/>
    <x v="513"/>
    <n v="4.0936300339223344"/>
  </r>
  <r>
    <x v="0"/>
    <s v="Chase"/>
    <s v="1Point Rate"/>
    <s v="MTG"/>
    <x v="514"/>
    <n v="4.0627523635008007"/>
  </r>
  <r>
    <x v="0"/>
    <s v="Chase"/>
    <s v="1Point Rate"/>
    <s v="MTG"/>
    <x v="515"/>
    <n v="4.0627523635008007"/>
  </r>
  <r>
    <x v="0"/>
    <s v="Chase"/>
    <s v="1Point Rate"/>
    <s v="MTG"/>
    <x v="516"/>
    <n v="4.0640286610076064"/>
  </r>
  <r>
    <x v="0"/>
    <s v="Chase"/>
    <s v="1Point Rate"/>
    <s v="MTG"/>
    <x v="517"/>
    <n v="3.9987193359155064"/>
  </r>
  <r>
    <x v="0"/>
    <s v="Chase"/>
    <s v="1Point Rate"/>
    <s v="MTG"/>
    <x v="518"/>
    <n v="3.9361387568601574"/>
  </r>
  <r>
    <x v="0"/>
    <s v="Chase"/>
    <s v="1Point Rate"/>
    <s v="MTG"/>
    <x v="519"/>
    <n v="3.9681481492823516"/>
  </r>
  <r>
    <x v="0"/>
    <s v="Chase"/>
    <s v="1Point Rate"/>
    <s v="MTG"/>
    <x v="520"/>
    <n v="3.9383274444660326"/>
  </r>
  <r>
    <x v="0"/>
    <s v="Chase"/>
    <s v="1Point Rate"/>
    <s v="MTG"/>
    <x v="521"/>
    <n v="3.9383274444660326"/>
  </r>
  <r>
    <x v="0"/>
    <s v="Chase"/>
    <s v="1Point Rate"/>
    <s v="MTG"/>
    <x v="522"/>
    <n v="3.9361387568601574"/>
  </r>
  <r>
    <x v="0"/>
    <s v="Chase"/>
    <s v="1Point Rate"/>
    <s v="MTG"/>
    <x v="523"/>
    <n v="3.9361387568601574"/>
  </r>
  <r>
    <x v="0"/>
    <s v="Chase"/>
    <s v="1Point Rate"/>
    <s v="MTG"/>
    <x v="524"/>
    <n v="3.9987193359155064"/>
  </r>
  <r>
    <x v="0"/>
    <s v="Chase"/>
    <s v="1Point Rate"/>
    <s v="MTG"/>
    <x v="525"/>
    <n v="3.9987193359155064"/>
  </r>
  <r>
    <x v="0"/>
    <s v="Chase"/>
    <s v="1Point Rate"/>
    <s v="MTG"/>
    <x v="526"/>
    <n v="4.0640286610076064"/>
  </r>
  <r>
    <x v="0"/>
    <s v="Chase"/>
    <s v="1Point Rate"/>
    <s v="MTG"/>
    <x v="527"/>
    <n v="4.0314060668582723"/>
  </r>
  <r>
    <x v="0"/>
    <s v="Chase"/>
    <s v="1Point Rate"/>
    <s v="MTG"/>
    <x v="528"/>
    <n v="4.0314060668582723"/>
  </r>
  <r>
    <x v="0"/>
    <s v="Chase"/>
    <s v="1Point Rate"/>
    <s v="MTG"/>
    <x v="529"/>
    <n v="3.968948344733974"/>
  </r>
  <r>
    <x v="0"/>
    <s v="Chase"/>
    <s v="1Point Rate"/>
    <s v="MTG"/>
    <x v="530"/>
    <n v="4.0314060668582723"/>
  </r>
  <r>
    <x v="0"/>
    <s v="Chase"/>
    <s v="1Point Rate"/>
    <s v="MTG"/>
    <x v="531"/>
    <n v="3.9987193359155064"/>
  </r>
  <r>
    <x v="0"/>
    <s v="Chase"/>
    <s v="1Point Rate"/>
    <s v="MTG"/>
    <x v="532"/>
    <n v="4.0640286610076064"/>
  </r>
  <r>
    <x v="0"/>
    <s v="Chase"/>
    <s v="1Point Rate"/>
    <s v="MTG"/>
    <x v="533"/>
    <n v="4.0314060668582723"/>
  </r>
  <r>
    <x v="0"/>
    <s v="Chase"/>
    <s v="1Point Rate"/>
    <s v="MTG"/>
    <x v="534"/>
    <n v="4.0314060668582723"/>
  </r>
  <r>
    <x v="0"/>
    <s v="Chase"/>
    <s v="1Point Rate"/>
    <s v="MTG"/>
    <x v="535"/>
    <n v="4.0640286610076064"/>
  </r>
  <r>
    <x v="0"/>
    <s v="Chase"/>
    <s v="1Point Rate"/>
    <s v="MTG"/>
    <x v="536"/>
    <n v="4.0640286610076064"/>
  </r>
  <r>
    <x v="0"/>
    <s v="Chase"/>
    <s v="1Point Rate"/>
    <s v="MTG"/>
    <x v="537"/>
    <n v="4.0314060668582723"/>
  </r>
  <r>
    <x v="0"/>
    <s v="Chase"/>
    <s v="1Point Rate"/>
    <s v="MTG"/>
    <x v="538"/>
    <n v="3.9987193359155064"/>
  </r>
  <r>
    <x v="0"/>
    <s v="Chase"/>
    <s v="1Point Rate"/>
    <s v="MTG"/>
    <x v="539"/>
    <n v="3.9987193359155064"/>
  </r>
  <r>
    <x v="0"/>
    <s v="Chase"/>
    <s v="1Point Rate"/>
    <s v="MTG"/>
    <x v="540"/>
    <n v="3.9361387568601574"/>
  </r>
  <r>
    <x v="0"/>
    <s v="Chase"/>
    <s v="1Point Rate"/>
    <s v="MTG"/>
    <x v="541"/>
    <n v="3.8755297138005318"/>
  </r>
  <r>
    <x v="0"/>
    <s v="Chase"/>
    <s v="1Point Rate"/>
    <s v="MTG"/>
    <x v="542"/>
    <n v="3.9383274444660326"/>
  </r>
  <r>
    <x v="0"/>
    <s v="Chase"/>
    <s v="1Point Rate"/>
    <s v="MTG"/>
    <x v="543"/>
    <n v="3.9383274444660326"/>
  </r>
  <r>
    <x v="0"/>
    <s v="Chase"/>
    <s v="1Point Rate"/>
    <s v="MTG"/>
    <x v="544"/>
    <n v="3.9383274444660326"/>
  </r>
  <r>
    <x v="0"/>
    <s v="Chase"/>
    <s v="1Point Rate"/>
    <s v="MTG"/>
    <x v="545"/>
    <n v="3.9383274444660326"/>
  </r>
  <r>
    <x v="0"/>
    <s v="Chase"/>
    <s v="1Point Rate"/>
    <s v="MTG"/>
    <x v="546"/>
    <n v="3.9383274444660326"/>
  </r>
  <r>
    <x v="0"/>
    <s v="Chase"/>
    <s v="1Point Rate"/>
    <s v="MTG"/>
    <x v="547"/>
    <n v="3.9383274444660326"/>
  </r>
  <r>
    <x v="0"/>
    <s v="Chase"/>
    <s v="1Point Rate"/>
    <s v="MTG"/>
    <x v="548"/>
    <n v="3.9383274444660326"/>
  </r>
  <r>
    <x v="0"/>
    <s v="Chase"/>
    <s v="1Point Rate"/>
    <s v="MTG"/>
    <x v="549"/>
    <n v="3.9383274444660326"/>
  </r>
  <r>
    <x v="0"/>
    <s v="Chase"/>
    <s v="1Point Rate"/>
    <s v="MTG"/>
    <x v="550"/>
    <n v="3.8425411667081901"/>
  </r>
  <r>
    <x v="0"/>
    <s v="Chase"/>
    <s v="1Point Rate"/>
    <s v="MTG"/>
    <x v="551"/>
    <n v="3.9383274444660326"/>
  </r>
  <r>
    <x v="0"/>
    <s v="Chase"/>
    <s v="1Point Rate"/>
    <s v="MTG"/>
    <x v="552"/>
    <n v="3.9383274444660326"/>
  </r>
  <r>
    <x v="0"/>
    <s v="Chase"/>
    <s v="1Point Rate"/>
    <s v="MTG"/>
    <x v="553"/>
    <n v="3.9383274444660326"/>
  </r>
  <r>
    <x v="0"/>
    <s v="Chase"/>
    <s v="1Point Rate"/>
    <s v="MTG"/>
    <x v="554"/>
    <n v="3.9383274444660326"/>
  </r>
  <r>
    <x v="0"/>
    <s v="Chase"/>
    <s v="1Point Rate"/>
    <s v="MTG"/>
    <x v="555"/>
    <n v="3.8425411667081901"/>
  </r>
  <r>
    <x v="0"/>
    <s v="Chase"/>
    <s v="1Point Rate"/>
    <s v="MTG"/>
    <x v="556"/>
    <n v="3.8755297138005318"/>
  </r>
  <r>
    <x v="0"/>
    <s v="Chase"/>
    <s v="1Point Rate"/>
    <s v="MTG"/>
    <x v="557"/>
    <n v="3.8755297138005318"/>
  </r>
  <r>
    <x v="0"/>
    <s v="Chase"/>
    <s v="1Point Rate"/>
    <s v="MTG"/>
    <x v="558"/>
    <n v="3.812592661796018"/>
  </r>
  <r>
    <x v="0"/>
    <s v="Chase"/>
    <s v="1Point Rate"/>
    <s v="MTG"/>
    <x v="559"/>
    <n v="3.8124950348616728"/>
  </r>
  <r>
    <x v="0"/>
    <s v="Chase"/>
    <s v="1Point Rate"/>
    <s v="MTG"/>
    <x v="560"/>
    <n v="3.8425411667081901"/>
  </r>
  <r>
    <x v="0"/>
    <s v="Chase"/>
    <s v="1Point Rate"/>
    <s v="MTG"/>
    <x v="561"/>
    <n v="3.8425411667081901"/>
  </r>
  <r>
    <x v="0"/>
    <s v="Chase"/>
    <s v="1Point Rate"/>
    <s v="MTG"/>
    <x v="562"/>
    <n v="3.8425411667081901"/>
  </r>
  <r>
    <x v="0"/>
    <s v="Chase"/>
    <s v="1Point Rate"/>
    <s v="MTG"/>
    <x v="563"/>
    <n v="3.8124950348616728"/>
  </r>
  <r>
    <x v="0"/>
    <s v="Chase"/>
    <s v="1Point Rate"/>
    <s v="MTG"/>
    <x v="564"/>
    <n v="3.8124950348616728"/>
  </r>
  <r>
    <x v="0"/>
    <s v="Chase"/>
    <s v="1Point Rate"/>
    <s v="MTG"/>
    <x v="565"/>
    <n v="3.8124950348616728"/>
  </r>
  <r>
    <x v="0"/>
    <s v="Chase"/>
    <s v="1Point Rate"/>
    <s v="MTG"/>
    <x v="566"/>
    <n v="3.812592661796018"/>
  </r>
  <r>
    <x v="0"/>
    <s v="Chase"/>
    <s v="1Point Rate"/>
    <s v="MTG"/>
    <x v="567"/>
    <n v="3.8425411667081901"/>
  </r>
  <r>
    <x v="0"/>
    <s v="Chase"/>
    <s v="1Point Rate"/>
    <s v="MTG"/>
    <x v="568"/>
    <n v="3.8755297138005318"/>
  </r>
  <r>
    <x v="0"/>
    <s v="Chase"/>
    <s v="1Point Rate"/>
    <s v="MTG"/>
    <x v="569"/>
    <n v="3.9054628819113248"/>
  </r>
  <r>
    <x v="0"/>
    <s v="Chase"/>
    <s v="1Point Rate"/>
    <s v="MTG"/>
    <x v="570"/>
    <n v="3.9383274444660326"/>
  </r>
  <r>
    <x v="0"/>
    <s v="Chase"/>
    <s v="1Point Rate"/>
    <s v="MTG"/>
    <x v="571"/>
    <n v="3.9383274444660326"/>
  </r>
  <r>
    <x v="0"/>
    <s v="Chase"/>
    <s v="1Point Rate"/>
    <s v="MTG"/>
    <x v="572"/>
    <n v="3.968948344733974"/>
  </r>
  <r>
    <x v="0"/>
    <s v="Chase"/>
    <s v="1Point Rate"/>
    <s v="MTG"/>
    <x v="573"/>
    <n v="3.968948344733974"/>
  </r>
  <r>
    <x v="0"/>
    <s v="Chase"/>
    <s v="1Point Rate"/>
    <s v="MTG"/>
    <x v="574"/>
    <n v="3.968948344733974"/>
  </r>
  <r>
    <x v="0"/>
    <s v="Chase"/>
    <s v="1Point Rate"/>
    <s v="MTG"/>
    <x v="575"/>
    <n v="3.968948344733974"/>
  </r>
  <r>
    <x v="0"/>
    <s v="Chase"/>
    <s v="1Point Rate"/>
    <s v="MTG"/>
    <x v="576"/>
    <n v="3.9681481492823516"/>
  </r>
  <r>
    <x v="0"/>
    <s v="Chase"/>
    <s v="1Point Rate"/>
    <s v="MTG"/>
    <x v="577"/>
    <n v="3.9681481492823516"/>
  </r>
  <r>
    <x v="0"/>
    <s v="Chase"/>
    <s v="1Point Rate"/>
    <s v="MTG"/>
    <x v="578"/>
    <n v="3.9054628819113248"/>
  </r>
  <r>
    <x v="0"/>
    <s v="Chase"/>
    <s v="1Point Rate"/>
    <s v="MTG"/>
    <x v="579"/>
    <n v="3.9383274444660326"/>
  </r>
  <r>
    <x v="0"/>
    <s v="Chase"/>
    <s v="1Point Rate"/>
    <s v="MTG"/>
    <x v="580"/>
    <n v="3.9054628819113248"/>
  </r>
  <r>
    <x v="0"/>
    <s v="Chase"/>
    <s v="1Point Rate"/>
    <s v="MTG"/>
    <x v="581"/>
    <n v="3.9054628819113248"/>
  </r>
  <r>
    <x v="0"/>
    <s v="Chase"/>
    <s v="1Point Rate"/>
    <s v="MTG"/>
    <x v="582"/>
    <n v="3.8755297138005318"/>
  </r>
  <r>
    <x v="0"/>
    <s v="Chase"/>
    <s v="1Point Rate"/>
    <s v="MTG"/>
    <x v="583"/>
    <n v="3.8124950348616728"/>
  </r>
  <r>
    <x v="0"/>
    <s v="Chase"/>
    <s v="1Point Rate"/>
    <s v="MTG"/>
    <x v="584"/>
    <n v="3.8425411667081901"/>
  </r>
  <r>
    <x v="0"/>
    <s v="Chase"/>
    <s v="1Point Rate"/>
    <s v="MTG"/>
    <x v="585"/>
    <n v="3.9054628819113248"/>
  </r>
  <r>
    <x v="0"/>
    <s v="Chase"/>
    <s v="1Point Rate"/>
    <s v="MTG"/>
    <x v="586"/>
    <n v="3.8425411667081901"/>
  </r>
  <r>
    <x v="0"/>
    <s v="Chase"/>
    <s v="1Point Rate"/>
    <s v="MTG"/>
    <x v="587"/>
    <n v="3.8755297138005318"/>
  </r>
  <r>
    <x v="0"/>
    <s v="Chase"/>
    <s v="1Point Rate"/>
    <s v="MTG"/>
    <x v="588"/>
    <n v="3.8425411667081901"/>
  </r>
  <r>
    <x v="0"/>
    <s v="Chase"/>
    <s v="1Point Rate"/>
    <s v="MTG"/>
    <x v="589"/>
    <n v="3.8425411667081901"/>
  </r>
  <r>
    <x v="0"/>
    <s v="Chase"/>
    <s v="1Point Rate"/>
    <s v="MTG"/>
    <x v="590"/>
    <n v="3.8124950348616728"/>
  </r>
  <r>
    <x v="0"/>
    <s v="Chase"/>
    <s v="1Point Rate"/>
    <s v="MTG"/>
    <x v="591"/>
    <n v="3.8426337494806249"/>
  </r>
  <r>
    <x v="0"/>
    <s v="Chase"/>
    <s v="1Point Rate"/>
    <s v="MTG"/>
    <x v="592"/>
    <n v="3.8124950348616728"/>
  </r>
  <r>
    <x v="0"/>
    <s v="Chase"/>
    <s v="1Point Rate"/>
    <s v="MTG"/>
    <x v="593"/>
    <n v="3.8425411667081901"/>
  </r>
  <r>
    <x v="0"/>
    <s v="Chase"/>
    <s v="1Point Rate"/>
    <s v="MTG"/>
    <x v="594"/>
    <n v="3.8124950348616728"/>
  </r>
  <r>
    <x v="0"/>
    <s v="Chase"/>
    <s v="1Point Rate"/>
    <s v="MTG"/>
    <x v="595"/>
    <n v="3.8426337494806249"/>
  </r>
  <r>
    <x v="0"/>
    <s v="Chase"/>
    <s v="1Point Rate"/>
    <s v="MTG"/>
    <x v="596"/>
    <n v="3.8124950348616728"/>
  </r>
  <r>
    <x v="0"/>
    <s v="Chase"/>
    <s v="1Point Rate"/>
    <s v="MTG"/>
    <x v="597"/>
    <n v="3.812592661796018"/>
  </r>
  <r>
    <x v="0"/>
    <s v="Chase"/>
    <s v="1Point Rate"/>
    <s v="MTG"/>
    <x v="598"/>
    <n v="3.812592661796018"/>
  </r>
  <r>
    <x v="0"/>
    <s v="Chase"/>
    <s v="1Point Rate"/>
    <s v="MTG"/>
    <x v="599"/>
    <n v="3.8425411667081901"/>
  </r>
  <r>
    <x v="0"/>
    <s v="Chase"/>
    <s v="1Point Rate"/>
    <s v="MTG"/>
    <x v="600"/>
    <n v="3.8425411667081901"/>
  </r>
  <r>
    <x v="0"/>
    <s v="Chase"/>
    <s v="1Point Rate"/>
    <s v="MTG"/>
    <x v="601"/>
    <n v="3.8124950348616728"/>
  </r>
  <r>
    <x v="0"/>
    <s v="Chase"/>
    <s v="1Point Rate"/>
    <s v="MTG"/>
    <x v="602"/>
    <n v="3.812592661796018"/>
  </r>
  <r>
    <x v="0"/>
    <s v="Chase"/>
    <s v="1Point Rate"/>
    <s v="MTG"/>
    <x v="603"/>
    <n v="3.8124950348616728"/>
  </r>
  <r>
    <x v="0"/>
    <s v="Chase"/>
    <s v="1Point Rate"/>
    <s v="MTG"/>
    <x v="604"/>
    <n v="3.812592661796018"/>
  </r>
  <r>
    <x v="0"/>
    <s v="Chase"/>
    <s v="1Point Rate"/>
    <s v="MTG"/>
    <x v="605"/>
    <n v="3.812592661796018"/>
  </r>
  <r>
    <x v="0"/>
    <s v="Chase"/>
    <s v="1Point Rate"/>
    <s v="MTG"/>
    <x v="606"/>
    <n v="3.812592661796018"/>
  </r>
  <r>
    <x v="0"/>
    <s v="Chase"/>
    <s v="1Point Rate"/>
    <s v="MTG"/>
    <x v="607"/>
    <n v="3.7824974689009494"/>
  </r>
  <r>
    <x v="0"/>
    <s v="Chase"/>
    <s v="1Point Rate"/>
    <s v="MTG"/>
    <x v="608"/>
    <n v="3.7191209404595797"/>
  </r>
  <r>
    <x v="0"/>
    <s v="Chase"/>
    <s v="1Point Rate"/>
    <s v="MTG"/>
    <x v="609"/>
    <n v="3.7493301282064344"/>
  </r>
  <r>
    <x v="0"/>
    <s v="Chase"/>
    <s v="1Point Rate"/>
    <s v="MTG"/>
    <x v="610"/>
    <n v="3.7493301282064344"/>
  </r>
  <r>
    <x v="0"/>
    <s v="Chase"/>
    <s v="1Point Rate"/>
    <s v="MTG"/>
    <x v="611"/>
    <n v="3.7191209404595797"/>
  </r>
  <r>
    <x v="0"/>
    <s v="Chase"/>
    <s v="1Point Rate"/>
    <s v="MTG"/>
    <x v="612"/>
    <n v="3.7191209404595797"/>
  </r>
  <r>
    <x v="0"/>
    <s v="Chase"/>
    <s v="1Point Rate"/>
    <s v="MTG"/>
    <x v="613"/>
    <n v="3.6888572908327415"/>
  </r>
  <r>
    <x v="0"/>
    <s v="Chase"/>
    <s v="1Point Rate"/>
    <s v="MTG"/>
    <x v="614"/>
    <n v="3.6888572908327415"/>
  </r>
  <r>
    <x v="0"/>
    <s v="Chase"/>
    <s v="1Point Rate"/>
    <s v="MTG"/>
    <x v="615"/>
    <n v="3.6868237838299476"/>
  </r>
  <r>
    <x v="0"/>
    <s v="Chase"/>
    <s v="1Point Rate"/>
    <s v="MTG"/>
    <x v="616"/>
    <n v="3.7191209404595797"/>
  </r>
  <r>
    <x v="0"/>
    <s v="Chase"/>
    <s v="1Point Rate"/>
    <s v="MTG"/>
    <x v="617"/>
    <n v="3.7493301282064344"/>
  </r>
  <r>
    <x v="0"/>
    <s v="Chase"/>
    <s v="1Point Rate"/>
    <s v="MTG"/>
    <x v="618"/>
    <n v="3.7493301282064344"/>
  </r>
  <r>
    <x v="0"/>
    <s v="Chase"/>
    <s v="1Point Rate"/>
    <s v="MTG"/>
    <x v="619"/>
    <n v="3.7824974689009494"/>
  </r>
  <r>
    <x v="0"/>
    <s v="Chase"/>
    <s v="1Point Rate"/>
    <s v="MTG"/>
    <x v="620"/>
    <n v="3.7824974689009494"/>
  </r>
  <r>
    <x v="0"/>
    <s v="Chase"/>
    <s v="1Point Rate"/>
    <s v="MTG"/>
    <x v="621"/>
    <n v="3.812592661796018"/>
  </r>
  <r>
    <x v="0"/>
    <s v="Chase"/>
    <s v="1Point Rate"/>
    <s v="MTG"/>
    <x v="622"/>
    <n v="3.8124950348616728"/>
  </r>
  <r>
    <x v="0"/>
    <s v="Chase"/>
    <s v="1Point Rate"/>
    <s v="MTG"/>
    <x v="623"/>
    <n v="3.8124950348616728"/>
  </r>
  <r>
    <x v="0"/>
    <s v="Chase"/>
    <s v="1Point Rate"/>
    <s v="MTG"/>
    <x v="624"/>
    <n v="3.8124950348616728"/>
  </r>
  <r>
    <x v="0"/>
    <s v="Chase"/>
    <s v="1Point Rate"/>
    <s v="MTG"/>
    <x v="625"/>
    <n v="3.8124950348616728"/>
  </r>
  <r>
    <x v="0"/>
    <s v="Chase"/>
    <s v="1Point Rate"/>
    <s v="MTG"/>
    <x v="626"/>
    <n v="3.8124950348616728"/>
  </r>
  <r>
    <x v="0"/>
    <s v="Chase"/>
    <s v="1Point Rate"/>
    <s v="MTG"/>
    <x v="627"/>
    <n v="3.812592661796018"/>
  </r>
  <r>
    <x v="0"/>
    <s v="Chase"/>
    <s v="1Point Rate"/>
    <s v="MTG"/>
    <x v="628"/>
    <n v="3.8124950348616728"/>
  </r>
  <r>
    <x v="0"/>
    <s v="Chase"/>
    <s v="1Point Rate"/>
    <s v="MTG"/>
    <x v="629"/>
    <n v="3.8425411667081901"/>
  </r>
  <r>
    <x v="0"/>
    <s v="Chase"/>
    <s v="1Point Rate"/>
    <s v="MTG"/>
    <x v="630"/>
    <n v="3.8426337494806249"/>
  </r>
  <r>
    <x v="0"/>
    <s v="Chase"/>
    <s v="1Point Rate"/>
    <s v="MTG"/>
    <x v="631"/>
    <n v="3.8425411667081901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Quicken"/>
    <s v="1Point Rate"/>
    <s v="MTG"/>
    <x v="9"/>
    <n v="4.2722152605049795"/>
  </r>
  <r>
    <x v="0"/>
    <s v="Quicken"/>
    <s v="1Point Rate"/>
    <s v="MTG"/>
    <x v="10"/>
    <n v="4.2722196725487462"/>
  </r>
  <r>
    <x v="0"/>
    <s v="Quicken"/>
    <s v="1Point Rate"/>
    <s v="MTG"/>
    <x v="11"/>
    <n v="4.1164931032788781"/>
  </r>
  <r>
    <x v="0"/>
    <s v="Quicken"/>
    <s v="1Point Rate"/>
    <s v="MTG"/>
    <x v="12"/>
    <n v="4.1164931032788781"/>
  </r>
  <r>
    <x v="0"/>
    <s v="Quicken"/>
    <s v="1Point Rate"/>
    <s v="MTG"/>
    <x v="13"/>
    <n v="4.1489354754111796"/>
  </r>
  <r>
    <x v="0"/>
    <s v="Quicken"/>
    <s v="1Point Rate"/>
    <s v="MTG"/>
    <x v="14"/>
    <n v="4.1164931032788781"/>
  </r>
  <r>
    <x v="0"/>
    <s v="Quicken"/>
    <s v="1Point Rate"/>
    <s v="MTG"/>
    <x v="15"/>
    <n v="4.0839866621698553"/>
  </r>
  <r>
    <x v="0"/>
    <s v="Quicken"/>
    <s v="1Point Rate"/>
    <s v="MTG"/>
    <x v="16"/>
    <n v="4.1164931032788781"/>
  </r>
  <r>
    <x v="0"/>
    <s v="Quicken"/>
    <s v="1Point Rate"/>
    <s v="MTG"/>
    <x v="17"/>
    <n v="4.2429503753802189"/>
  </r>
  <r>
    <x v="0"/>
    <s v="Quicken"/>
    <s v="1Point Rate"/>
    <s v="MTG"/>
    <x v="18"/>
    <n v="4.1783730691905516"/>
  </r>
  <r>
    <x v="0"/>
    <s v="Quicken"/>
    <s v="1Point Rate"/>
    <s v="MTG"/>
    <x v="19"/>
    <n v="4.1783730691905516"/>
  </r>
  <r>
    <x v="0"/>
    <s v="Quicken"/>
    <s v="1Point Rate"/>
    <s v="MTG"/>
    <x v="20"/>
    <n v="4.1489354754111796"/>
  </r>
  <r>
    <x v="0"/>
    <s v="Quicken"/>
    <s v="1Point Rate"/>
    <s v="MTG"/>
    <x v="21"/>
    <n v="4.0543796294704109"/>
  </r>
  <r>
    <x v="0"/>
    <s v="Quicken"/>
    <s v="1Point Rate"/>
    <s v="MTG"/>
    <x v="22"/>
    <n v="4.0543796294704109"/>
  </r>
  <r>
    <x v="0"/>
    <s v="Quicken"/>
    <s v="1Point Rate"/>
    <s v="MTG"/>
    <x v="23"/>
    <n v="4.1173811756101593"/>
  </r>
  <r>
    <x v="0"/>
    <s v="Quicken"/>
    <s v="1Point Rate"/>
    <s v="MTG"/>
    <x v="24"/>
    <n v="4.1173811756101593"/>
  </r>
  <r>
    <x v="0"/>
    <s v="Quicken"/>
    <s v="1Point Rate"/>
    <s v="MTG"/>
    <x v="25"/>
    <n v="4.1164931032788781"/>
  </r>
  <r>
    <x v="0"/>
    <s v="Quicken"/>
    <s v="1Point Rate"/>
    <s v="MTG"/>
    <x v="26"/>
    <n v="4.0839866621698553"/>
  </r>
  <r>
    <x v="0"/>
    <s v="Quicken"/>
    <s v="1Point Rate"/>
    <s v="MTG"/>
    <x v="27"/>
    <n v="4.1164931032788781"/>
  </r>
  <r>
    <x v="0"/>
    <s v="Quicken"/>
    <s v="1Point Rate"/>
    <s v="MTG"/>
    <x v="28"/>
    <n v="4.1468684016219548"/>
  </r>
  <r>
    <x v="0"/>
    <s v="Quicken"/>
    <s v="1Point Rate"/>
    <s v="MTG"/>
    <x v="29"/>
    <n v="4.0839866621698553"/>
  </r>
  <r>
    <x v="0"/>
    <s v="Quicken"/>
    <s v="1Point Rate"/>
    <s v="MTG"/>
    <x v="30"/>
    <n v="4.0848839185997514"/>
  </r>
  <r>
    <x v="0"/>
    <s v="Quicken"/>
    <s v="1Point Rate"/>
    <s v="MTG"/>
    <x v="31"/>
    <n v="4.0848839185997514"/>
  </r>
  <r>
    <x v="0"/>
    <s v="Quicken"/>
    <s v="1Point Rate"/>
    <s v="MTG"/>
    <x v="32"/>
    <n v="4.0848839185997514"/>
  </r>
  <r>
    <x v="0"/>
    <s v="Quicken"/>
    <s v="1Point Rate"/>
    <s v="MTG"/>
    <x v="33"/>
    <n v="4.0848839185997514"/>
  </r>
  <r>
    <x v="0"/>
    <s v="Quicken"/>
    <s v="1Point Rate"/>
    <s v="MTG"/>
    <x v="34"/>
    <n v="4.0848839185997514"/>
  </r>
  <r>
    <x v="0"/>
    <s v="Quicken"/>
    <s v="1Point Rate"/>
    <s v="MTG"/>
    <x v="35"/>
    <n v="4.1173811756101593"/>
  </r>
  <r>
    <x v="0"/>
    <s v="Quicken"/>
    <s v="1Point Rate"/>
    <s v="MTG"/>
    <x v="36"/>
    <n v="4.1468684016219548"/>
  </r>
  <r>
    <x v="0"/>
    <s v="Quicken"/>
    <s v="1Point Rate"/>
    <s v="MTG"/>
    <x v="37"/>
    <n v="4.0839866621698553"/>
  </r>
  <r>
    <x v="0"/>
    <s v="Quicken"/>
    <s v="1Point Rate"/>
    <s v="MTG"/>
    <x v="38"/>
    <n v="4.0839866621698553"/>
  </r>
  <r>
    <x v="0"/>
    <s v="Quicken"/>
    <s v="1Point Rate"/>
    <s v="MTG"/>
    <x v="39"/>
    <n v="4.0543796294704109"/>
  </r>
  <r>
    <x v="0"/>
    <s v="Quicken"/>
    <s v="1Point Rate"/>
    <s v="MTG"/>
    <x v="40"/>
    <n v="4.1164931032788781"/>
  </r>
  <r>
    <x v="0"/>
    <s v="Quicken"/>
    <s v="1Point Rate"/>
    <s v="MTG"/>
    <x v="41"/>
    <n v="4.2722196725487462"/>
  </r>
  <r>
    <x v="0"/>
    <s v="Quicken"/>
    <s v="1Point Rate"/>
    <s v="MTG"/>
    <x v="42"/>
    <n v="4.2722196725487462"/>
  </r>
  <r>
    <x v="0"/>
    <s v="Quicken"/>
    <s v="1Point Rate"/>
    <s v="MTG"/>
    <x v="43"/>
    <n v="4.2429503753802189"/>
  </r>
  <r>
    <x v="0"/>
    <s v="Quicken"/>
    <s v="1Point Rate"/>
    <s v="MTG"/>
    <x v="44"/>
    <n v="4.2722152605049795"/>
  </r>
  <r>
    <x v="0"/>
    <s v="Quicken"/>
    <s v="1Point Rate"/>
    <s v="MTG"/>
    <x v="45"/>
    <n v="4.3364393474588088"/>
  </r>
  <r>
    <x v="0"/>
    <s v="Quicken"/>
    <s v="1Point Rate"/>
    <s v="MTG"/>
    <x v="46"/>
    <n v="4.2955298466319416"/>
  </r>
  <r>
    <x v="0"/>
    <s v="Quicken"/>
    <s v="1Point Rate"/>
    <s v="MTG"/>
    <x v="47"/>
    <n v="4.3247184562130432"/>
  </r>
  <r>
    <x v="0"/>
    <s v="Quicken"/>
    <s v="1Point Rate"/>
    <s v="MTG"/>
    <x v="48"/>
    <n v="4.2722196725487462"/>
  </r>
  <r>
    <x v="0"/>
    <s v="Quicken"/>
    <s v="1Point Rate"/>
    <s v="MTG"/>
    <x v="49"/>
    <n v="4.3247184562130432"/>
  </r>
  <r>
    <x v="0"/>
    <s v="Quicken"/>
    <s v="1Point Rate"/>
    <s v="MTG"/>
    <x v="50"/>
    <n v="4.356765969784167"/>
  </r>
  <r>
    <x v="0"/>
    <s v="Quicken"/>
    <s v="1Point Rate"/>
    <s v="MTG"/>
    <x v="51"/>
    <n v="4.3247184562130432"/>
  </r>
  <r>
    <x v="0"/>
    <s v="Quicken"/>
    <s v="1Point Rate"/>
    <s v="MTG"/>
    <x v="52"/>
    <n v="4.356765969784167"/>
  </r>
  <r>
    <x v="0"/>
    <s v="Quicken"/>
    <s v="1Point Rate"/>
    <s v="MTG"/>
    <x v="53"/>
    <n v="4.3364393474588088"/>
  </r>
  <r>
    <x v="0"/>
    <s v="Quicken"/>
    <s v="1Point Rate"/>
    <s v="MTG"/>
    <x v="54"/>
    <n v="4.3655488616966043"/>
  </r>
  <r>
    <x v="0"/>
    <s v="Quicken"/>
    <s v="1Point Rate"/>
    <s v="MTG"/>
    <x v="55"/>
    <n v="4.356765969784167"/>
  </r>
  <r>
    <x v="0"/>
    <s v="Quicken"/>
    <s v="1Point Rate"/>
    <s v="MTG"/>
    <x v="56"/>
    <n v="4.3247184562130432"/>
  </r>
  <r>
    <x v="0"/>
    <s v="Quicken"/>
    <s v="1Point Rate"/>
    <s v="MTG"/>
    <x v="57"/>
    <n v="4.3247184562130432"/>
  </r>
  <r>
    <x v="0"/>
    <s v="Quicken"/>
    <s v="1Point Rate"/>
    <s v="MTG"/>
    <x v="58"/>
    <n v="4.3655488616966043"/>
  </r>
  <r>
    <x v="0"/>
    <s v="Quicken"/>
    <s v="1Point Rate"/>
    <s v="MTG"/>
    <x v="59"/>
    <n v="4.3975094107446839"/>
  </r>
  <r>
    <x v="0"/>
    <s v="Quicken"/>
    <s v="1Point Rate"/>
    <s v="MTG"/>
    <x v="60"/>
    <n v="4.3364393474588088"/>
  </r>
  <r>
    <x v="0"/>
    <s v="Quicken"/>
    <s v="1Point Rate"/>
    <s v="MTG"/>
    <x v="61"/>
    <n v="4.3364393474588088"/>
  </r>
  <r>
    <x v="0"/>
    <s v="Quicken"/>
    <s v="1Point Rate"/>
    <s v="MTG"/>
    <x v="62"/>
    <n v="4.3043588303271259"/>
  </r>
  <r>
    <x v="0"/>
    <s v="Quicken"/>
    <s v="1Point Rate"/>
    <s v="MTG"/>
    <x v="63"/>
    <n v="4.4177736793579685"/>
  </r>
  <r>
    <x v="0"/>
    <s v="Quicken"/>
    <s v="1Point Rate"/>
    <s v="MTG"/>
    <x v="64"/>
    <n v="4.4177736793579685"/>
  </r>
  <r>
    <x v="0"/>
    <s v="Quicken"/>
    <s v="1Point Rate"/>
    <s v="MTG"/>
    <x v="65"/>
    <n v="4.5215920109797576"/>
  </r>
  <r>
    <x v="0"/>
    <s v="Quicken"/>
    <s v="1Point Rate"/>
    <s v="MTG"/>
    <x v="66"/>
    <n v="4.51007164418104"/>
  </r>
  <r>
    <x v="0"/>
    <s v="Quicken"/>
    <s v="1Point Rate"/>
    <s v="MTG"/>
    <x v="67"/>
    <n v="4.5733883757567257"/>
  </r>
  <r>
    <x v="0"/>
    <s v="Quicken"/>
    <s v="1Point Rate"/>
    <s v="MTG"/>
    <x v="68"/>
    <n v="4.5733883757567257"/>
  </r>
  <r>
    <x v="0"/>
    <s v="Quicken"/>
    <s v="1Point Rate"/>
    <s v="MTG"/>
    <x v="69"/>
    <n v="4.5733883757567257"/>
  </r>
  <r>
    <x v="0"/>
    <s v="Quicken"/>
    <s v="1Point Rate"/>
    <s v="MTG"/>
    <x v="70"/>
    <n v="4.58487342616412"/>
  </r>
  <r>
    <x v="0"/>
    <s v="Quicken"/>
    <s v="1Point Rate"/>
    <s v="MTG"/>
    <x v="71"/>
    <n v="4.5733883757567257"/>
  </r>
  <r>
    <x v="0"/>
    <s v="Quicken"/>
    <s v="1Point Rate"/>
    <s v="MTG"/>
    <x v="72"/>
    <n v="4.5417608906253868"/>
  </r>
  <r>
    <x v="0"/>
    <s v="Quicken"/>
    <s v="1Point Rate"/>
    <s v="MTG"/>
    <x v="73"/>
    <n v="4.51007164418104"/>
  </r>
  <r>
    <x v="0"/>
    <s v="Quicken"/>
    <s v="1Point Rate"/>
    <s v="MTG"/>
    <x v="74"/>
    <n v="4.5417608906253868"/>
  </r>
  <r>
    <x v="0"/>
    <s v="Quicken"/>
    <s v="1Point Rate"/>
    <s v="MTG"/>
    <x v="75"/>
    <n v="4.5417608906253868"/>
  </r>
  <r>
    <x v="0"/>
    <s v="Quicken"/>
    <s v="1Point Rate"/>
    <s v="MTG"/>
    <x v="76"/>
    <n v="4.5131838688757515"/>
  </r>
  <r>
    <x v="0"/>
    <s v="Quicken"/>
    <s v="1Point Rate"/>
    <s v="MTG"/>
    <x v="77"/>
    <n v="4.449639278675031"/>
  </r>
  <r>
    <x v="0"/>
    <s v="Quicken"/>
    <s v="1Point Rate"/>
    <s v="MTG"/>
    <x v="78"/>
    <n v="4.4783204935797372"/>
  </r>
  <r>
    <x v="0"/>
    <s v="Quicken"/>
    <s v="1Point Rate"/>
    <s v="MTG"/>
    <x v="79"/>
    <n v="4.5215920109797576"/>
  </r>
  <r>
    <x v="0"/>
    <s v="Quicken"/>
    <s v="1Point Rate"/>
    <s v="MTG"/>
    <x v="80"/>
    <n v="4.5215920109797576"/>
  </r>
  <r>
    <x v="0"/>
    <s v="Quicken"/>
    <s v="1Point Rate"/>
    <s v="MTG"/>
    <x v="81"/>
    <n v="4.5215920109797576"/>
  </r>
  <r>
    <x v="0"/>
    <s v="Quicken"/>
    <s v="1Point Rate"/>
    <s v="MTG"/>
    <x v="82"/>
    <n v="4.58487342616412"/>
  </r>
  <r>
    <x v="0"/>
    <s v="Quicken"/>
    <s v="1Point Rate"/>
    <s v="MTG"/>
    <x v="83"/>
    <n v="4.5215920109797576"/>
  </r>
  <r>
    <x v="0"/>
    <s v="Quicken"/>
    <s v="1Point Rate"/>
    <s v="MTG"/>
    <x v="84"/>
    <n v="4.5215920109797576"/>
  </r>
  <r>
    <x v="0"/>
    <s v="Quicken"/>
    <s v="1Point Rate"/>
    <s v="MTG"/>
    <x v="85"/>
    <n v="4.58487342616412"/>
  </r>
  <r>
    <x v="0"/>
    <s v="Quicken"/>
    <s v="1Point Rate"/>
    <s v="MTG"/>
    <x v="86"/>
    <n v="4.5215920109797576"/>
  </r>
  <r>
    <x v="0"/>
    <s v="Quicken"/>
    <s v="1Point Rate"/>
    <s v="MTG"/>
    <x v="87"/>
    <n v="4.5733883757567257"/>
  </r>
  <r>
    <x v="0"/>
    <s v="Quicken"/>
    <s v="1Point Rate"/>
    <s v="MTG"/>
    <x v="88"/>
    <n v="4.5131838688757515"/>
  </r>
  <r>
    <x v="0"/>
    <s v="Quicken"/>
    <s v="1Point Rate"/>
    <s v="MTG"/>
    <x v="89"/>
    <n v="4.5417608906253868"/>
  </r>
  <r>
    <x v="0"/>
    <s v="Quicken"/>
    <s v="1Point Rate"/>
    <s v="MTG"/>
    <x v="90"/>
    <n v="4.6278726141585871"/>
  </r>
  <r>
    <x v="0"/>
    <s v="Quicken"/>
    <s v="1Point Rate"/>
    <s v="MTG"/>
    <x v="91"/>
    <n v="4.6393276238687271"/>
  </r>
  <r>
    <x v="0"/>
    <s v="Quicken"/>
    <s v="1Point Rate"/>
    <s v="MTG"/>
    <x v="92"/>
    <n v="4.623303488160051"/>
  </r>
  <r>
    <x v="0"/>
    <s v="Quicken"/>
    <s v="1Point Rate"/>
    <s v="MTG"/>
    <x v="93"/>
    <n v="4.5647651580417525"/>
  </r>
  <r>
    <x v="0"/>
    <s v="Quicken"/>
    <s v="1Point Rate"/>
    <s v="MTG"/>
    <x v="94"/>
    <n v="4.61355243920144"/>
  </r>
  <r>
    <x v="0"/>
    <s v="Quicken"/>
    <s v="1Point Rate"/>
    <s v="MTG"/>
    <x v="95"/>
    <n v="4.5590153608656223"/>
  </r>
  <r>
    <x v="0"/>
    <s v="Quicken"/>
    <s v="1Point Rate"/>
    <s v="MTG"/>
    <x v="96"/>
    <n v="4.5244737897027454"/>
  </r>
  <r>
    <x v="0"/>
    <s v="Quicken"/>
    <s v="1Point Rate"/>
    <s v="MTG"/>
    <x v="97"/>
    <n v="4.6020892685877657"/>
  </r>
  <r>
    <x v="0"/>
    <s v="Quicken"/>
    <s v="1Point Rate"/>
    <s v="MTG"/>
    <x v="98"/>
    <n v="4.6307417564501678"/>
  </r>
  <r>
    <x v="0"/>
    <s v="Quicken"/>
    <s v="1Point Rate"/>
    <s v="MTG"/>
    <x v="99"/>
    <n v="4.61355243920144"/>
  </r>
  <r>
    <x v="0"/>
    <s v="Quicken"/>
    <s v="1Point Rate"/>
    <s v="MTG"/>
    <x v="100"/>
    <n v="4.6421801086296943"/>
  </r>
  <r>
    <x v="0"/>
    <s v="Quicken"/>
    <s v="1Point Rate"/>
    <s v="MTG"/>
    <x v="101"/>
    <n v="4.5388826043032733"/>
  </r>
  <r>
    <x v="0"/>
    <s v="Quicken"/>
    <s v="1Point Rate"/>
    <s v="MTG"/>
    <x v="102"/>
    <n v="4.5391078806773386"/>
  </r>
  <r>
    <x v="0"/>
    <s v="Quicken"/>
    <s v="1Point Rate"/>
    <s v="MTG"/>
    <x v="103"/>
    <n v="4.5360038074512801"/>
  </r>
  <r>
    <x v="0"/>
    <s v="Quicken"/>
    <s v="1Point Rate"/>
    <s v="MTG"/>
    <x v="104"/>
    <n v="4.5331244999599418"/>
  </r>
  <r>
    <x v="0"/>
    <s v="Quicken"/>
    <s v="1Point Rate"/>
    <s v="MTG"/>
    <x v="105"/>
    <n v="4.5618946090091974"/>
  </r>
  <r>
    <x v="0"/>
    <s v="Quicken"/>
    <s v="1Point Rate"/>
    <s v="MTG"/>
    <x v="106"/>
    <n v="4.4987637218053917"/>
  </r>
  <r>
    <x v="0"/>
    <s v="Quicken"/>
    <s v="1Point Rate"/>
    <s v="MTG"/>
    <x v="107"/>
    <n v="4.455426331689484"/>
  </r>
  <r>
    <x v="0"/>
    <s v="Quicken"/>
    <s v="1Point Rate"/>
    <s v="MTG"/>
    <x v="108"/>
    <n v="4.455426331689484"/>
  </r>
  <r>
    <x v="0"/>
    <s v="Quicken"/>
    <s v="1Point Rate"/>
    <s v="MTG"/>
    <x v="109"/>
    <n v="4.51007164418104"/>
  </r>
  <r>
    <x v="0"/>
    <s v="Quicken"/>
    <s v="1Point Rate"/>
    <s v="MTG"/>
    <x v="110"/>
    <n v="4.51007164418104"/>
  </r>
  <r>
    <x v="0"/>
    <s v="Quicken"/>
    <s v="1Point Rate"/>
    <s v="MTG"/>
    <x v="111"/>
    <n v="4.5103008640814553"/>
  </r>
  <r>
    <x v="0"/>
    <s v="Quicken"/>
    <s v="1Point Rate"/>
    <s v="MTG"/>
    <x v="112"/>
    <n v="4.5016487760545134"/>
  </r>
  <r>
    <x v="0"/>
    <s v="Quicken"/>
    <s v="1Point Rate"/>
    <s v="MTG"/>
    <x v="113"/>
    <n v="4.4032686982864488"/>
  </r>
  <r>
    <x v="0"/>
    <s v="Quicken"/>
    <s v="1Point Rate"/>
    <s v="MTG"/>
    <x v="114"/>
    <n v="4.4120162205622693"/>
  </r>
  <r>
    <x v="0"/>
    <s v="Quicken"/>
    <s v="1Point Rate"/>
    <s v="MTG"/>
    <x v="115"/>
    <n v="4.3974630931963619"/>
  </r>
  <r>
    <x v="0"/>
    <s v="Quicken"/>
    <s v="1Point Rate"/>
    <s v="MTG"/>
    <x v="116"/>
    <n v="4.4583190867639022"/>
  </r>
  <r>
    <x v="0"/>
    <s v="Quicken"/>
    <s v="1Point Rate"/>
    <s v="MTG"/>
    <x v="117"/>
    <n v="4.53622948086214"/>
  </r>
  <r>
    <x v="0"/>
    <s v="Quicken"/>
    <s v="1Point Rate"/>
    <s v="MTG"/>
    <x v="118"/>
    <n v="4.5649904911962729"/>
  </r>
  <r>
    <x v="0"/>
    <s v="Quicken"/>
    <s v="1Point Rate"/>
    <s v="MTG"/>
    <x v="119"/>
    <n v="4.4987637218053917"/>
  </r>
  <r>
    <x v="0"/>
    <s v="Quicken"/>
    <s v="1Point Rate"/>
    <s v="MTG"/>
    <x v="120"/>
    <n v="4.4728038259110665"/>
  </r>
  <r>
    <x v="0"/>
    <s v="Quicken"/>
    <s v="1Point Rate"/>
    <s v="MTG"/>
    <x v="121"/>
    <n v="4.4380959133108595"/>
  </r>
  <r>
    <x v="0"/>
    <s v="Quicken"/>
    <s v="1Point Rate"/>
    <s v="MTG"/>
    <x v="122"/>
    <n v="4.3364393474588088"/>
  </r>
  <r>
    <x v="0"/>
    <s v="Quicken"/>
    <s v="1Point Rate"/>
    <s v="MTG"/>
    <x v="123"/>
    <n v="4.4525330623629999"/>
  </r>
  <r>
    <x v="0"/>
    <s v="Quicken"/>
    <s v="1Point Rate"/>
    <s v="MTG"/>
    <x v="124"/>
    <n v="4.4814426272411128"/>
  </r>
  <r>
    <x v="0"/>
    <s v="Quicken"/>
    <s v="1Point Rate"/>
    <s v="MTG"/>
    <x v="125"/>
    <n v="4.5074173470845675"/>
  </r>
  <r>
    <x v="0"/>
    <s v="Quicken"/>
    <s v="1Point Rate"/>
    <s v="MTG"/>
    <x v="126"/>
    <n v="4.4525665640015335"/>
  </r>
  <r>
    <x v="0"/>
    <s v="Quicken"/>
    <s v="1Point Rate"/>
    <s v="MTG"/>
    <x v="127"/>
    <n v="4.4987637218053917"/>
  </r>
  <r>
    <x v="0"/>
    <s v="Quicken"/>
    <s v="1Point Rate"/>
    <s v="MTG"/>
    <x v="128"/>
    <n v="4.4641030545879552"/>
  </r>
  <r>
    <x v="0"/>
    <s v="Quicken"/>
    <s v="1Point Rate"/>
    <s v="MTG"/>
    <x v="129"/>
    <n v="4.4929920752998243"/>
  </r>
  <r>
    <x v="0"/>
    <s v="Quicken"/>
    <s v="1Point Rate"/>
    <s v="MTG"/>
    <x v="130"/>
    <n v="4.4583190867639022"/>
  </r>
  <r>
    <x v="0"/>
    <s v="Quicken"/>
    <s v="1Point Rate"/>
    <s v="MTG"/>
    <x v="131"/>
    <n v="4.4323040413094947"/>
  </r>
  <r>
    <x v="0"/>
    <s v="Quicken"/>
    <s v="1Point Rate"/>
    <s v="MTG"/>
    <x v="132"/>
    <n v="4.4756648239621484"/>
  </r>
  <r>
    <x v="0"/>
    <s v="Quicken"/>
    <s v="1Point Rate"/>
    <s v="MTG"/>
    <x v="133"/>
    <n v="4.409072238564514"/>
  </r>
  <r>
    <x v="0"/>
    <s v="Quicken"/>
    <s v="1Point Rate"/>
    <s v="MTG"/>
    <x v="134"/>
    <n v="4.4380589981556735"/>
  </r>
  <r>
    <x v="0"/>
    <s v="Quicken"/>
    <s v="1Point Rate"/>
    <s v="MTG"/>
    <x v="135"/>
    <n v="4.4351626410420213"/>
  </r>
  <r>
    <x v="0"/>
    <s v="Quicken"/>
    <s v="1Point Rate"/>
    <s v="MTG"/>
    <x v="136"/>
    <n v="4.426470479208465"/>
  </r>
  <r>
    <x v="0"/>
    <s v="Quicken"/>
    <s v="1Point Rate"/>
    <s v="MTG"/>
    <x v="137"/>
    <n v="4.455426331689484"/>
  </r>
  <r>
    <x v="0"/>
    <s v="Quicken"/>
    <s v="1Point Rate"/>
    <s v="MTG"/>
    <x v="138"/>
    <n v="4.5129550406413994"/>
  </r>
  <r>
    <x v="0"/>
    <s v="Quicken"/>
    <s v="1Point Rate"/>
    <s v="MTG"/>
    <x v="139"/>
    <n v="4.4698849666991043"/>
  </r>
  <r>
    <x v="0"/>
    <s v="Quicken"/>
    <s v="1Point Rate"/>
    <s v="MTG"/>
    <x v="140"/>
    <n v="4.4756928033917305"/>
  </r>
  <r>
    <x v="0"/>
    <s v="Quicken"/>
    <s v="1Point Rate"/>
    <s v="MTG"/>
    <x v="141"/>
    <n v="4.4612113276937526"/>
  </r>
  <r>
    <x v="0"/>
    <s v="Quicken"/>
    <s v="1Point Rate"/>
    <s v="MTG"/>
    <x v="142"/>
    <n v="4.4959012413987631"/>
  </r>
  <r>
    <x v="0"/>
    <s v="Quicken"/>
    <s v="1Point Rate"/>
    <s v="MTG"/>
    <x v="143"/>
    <n v="4.4612427672344044"/>
  </r>
  <r>
    <x v="0"/>
    <s v="Quicken"/>
    <s v="1Point Rate"/>
    <s v="MTG"/>
    <x v="144"/>
    <n v="4.3975094107446839"/>
  </r>
  <r>
    <x v="0"/>
    <s v="Quicken"/>
    <s v="1Point Rate"/>
    <s v="MTG"/>
    <x v="145"/>
    <n v="4.4872435678189095"/>
  </r>
  <r>
    <x v="0"/>
    <s v="Quicken"/>
    <s v="1Point Rate"/>
    <s v="MTG"/>
    <x v="146"/>
    <n v="4.481469214488631"/>
  </r>
  <r>
    <x v="0"/>
    <s v="Quicken"/>
    <s v="1Point Rate"/>
    <s v="MTG"/>
    <x v="147"/>
    <n v="4.3539112876651567"/>
  </r>
  <r>
    <x v="0"/>
    <s v="Quicken"/>
    <s v="1Point Rate"/>
    <s v="MTG"/>
    <x v="148"/>
    <n v="4.3160254782800767"/>
  </r>
  <r>
    <x v="0"/>
    <s v="Quicken"/>
    <s v="1Point Rate"/>
    <s v="MTG"/>
    <x v="149"/>
    <n v="4.2194971642154622"/>
  </r>
  <r>
    <x v="0"/>
    <s v="Quicken"/>
    <s v="1Point Rate"/>
    <s v="MTG"/>
    <x v="150"/>
    <n v="4.1851226297877071"/>
  </r>
  <r>
    <x v="0"/>
    <s v="Quicken"/>
    <s v="1Point Rate"/>
    <s v="MTG"/>
    <x v="151"/>
    <n v="4.2429503753802189"/>
  </r>
  <r>
    <x v="0"/>
    <s v="Quicken"/>
    <s v="1Point Rate"/>
    <s v="MTG"/>
    <x v="152"/>
    <n v="4.2692951008456594"/>
  </r>
  <r>
    <x v="0"/>
    <s v="Quicken"/>
    <s v="1Point Rate"/>
    <s v="MTG"/>
    <x v="153"/>
    <n v="4.2663700054349984"/>
  </r>
  <r>
    <x v="0"/>
    <s v="Quicken"/>
    <s v="1Point Rate"/>
    <s v="MTG"/>
    <x v="154"/>
    <n v="4.2663700054349984"/>
  </r>
  <r>
    <x v="0"/>
    <s v="Quicken"/>
    <s v="1Point Rate"/>
    <s v="MTG"/>
    <x v="155"/>
    <n v="4.3247809909932062"/>
  </r>
  <r>
    <x v="0"/>
    <s v="Quicken"/>
    <s v="1Point Rate"/>
    <s v="MTG"/>
    <x v="156"/>
    <n v="4.2517366688896017"/>
  </r>
  <r>
    <x v="0"/>
    <s v="Quicken"/>
    <s v="1Point Rate"/>
    <s v="MTG"/>
    <x v="157"/>
    <n v="4.1871940628292794"/>
  </r>
  <r>
    <x v="0"/>
    <s v="Quicken"/>
    <s v="1Point Rate"/>
    <s v="MTG"/>
    <x v="158"/>
    <n v="4.1842542585809461"/>
  </r>
  <r>
    <x v="0"/>
    <s v="Quicken"/>
    <s v="1Point Rate"/>
    <s v="MTG"/>
    <x v="159"/>
    <n v="4.2136286077206035"/>
  </r>
  <r>
    <x v="0"/>
    <s v="Quicken"/>
    <s v="1Point Rate"/>
    <s v="MTG"/>
    <x v="160"/>
    <n v="4.2868346793109513"/>
  </r>
  <r>
    <x v="0"/>
    <s v="Quicken"/>
    <s v="1Point Rate"/>
    <s v="MTG"/>
    <x v="161"/>
    <n v="4.3160254782800767"/>
  </r>
  <r>
    <x v="0"/>
    <s v="Quicken"/>
    <s v="1Point Rate"/>
    <s v="MTG"/>
    <x v="162"/>
    <n v="4.280990246513638"/>
  </r>
  <r>
    <x v="0"/>
    <s v="Quicken"/>
    <s v="1Point Rate"/>
    <s v="MTG"/>
    <x v="163"/>
    <n v="4.2780672452720152"/>
  </r>
  <r>
    <x v="0"/>
    <s v="Quicken"/>
    <s v="1Point Rate"/>
    <s v="MTG"/>
    <x v="164"/>
    <n v="4.2780672452720152"/>
  </r>
  <r>
    <x v="0"/>
    <s v="Quicken"/>
    <s v="1Point Rate"/>
    <s v="MTG"/>
    <x v="165"/>
    <n v="4.2985172692523879"/>
  </r>
  <r>
    <x v="0"/>
    <s v="Quicken"/>
    <s v="1Point Rate"/>
    <s v="MTG"/>
    <x v="166"/>
    <n v="4.2312279709849516"/>
  </r>
  <r>
    <x v="0"/>
    <s v="Quicken"/>
    <s v="1Point Rate"/>
    <s v="MTG"/>
    <x v="167"/>
    <n v="4.324772535098508"/>
  </r>
  <r>
    <x v="0"/>
    <s v="Quicken"/>
    <s v="1Point Rate"/>
    <s v="MTG"/>
    <x v="168"/>
    <n v="4.3858946468589499"/>
  </r>
  <r>
    <x v="0"/>
    <s v="Quicken"/>
    <s v="1Point Rate"/>
    <s v="MTG"/>
    <x v="169"/>
    <n v="4.3829896610860253"/>
  </r>
  <r>
    <x v="0"/>
    <s v="Quicken"/>
    <s v="1Point Rate"/>
    <s v="MTG"/>
    <x v="170"/>
    <n v="4.3771781350109968"/>
  </r>
  <r>
    <x v="0"/>
    <s v="Quicken"/>
    <s v="1Point Rate"/>
    <s v="MTG"/>
    <x v="171"/>
    <n v="4.4033136866892715"/>
  </r>
  <r>
    <x v="0"/>
    <s v="Quicken"/>
    <s v="1Point Rate"/>
    <s v="MTG"/>
    <x v="172"/>
    <n v="4.4323040413094947"/>
  </r>
  <r>
    <x v="0"/>
    <s v="Quicken"/>
    <s v="1Point Rate"/>
    <s v="MTG"/>
    <x v="173"/>
    <n v="4.4206731281571114"/>
  </r>
  <r>
    <x v="0"/>
    <s v="Quicken"/>
    <s v="1Point Rate"/>
    <s v="MTG"/>
    <x v="174"/>
    <n v="4.5131838688757515"/>
  </r>
  <r>
    <x v="0"/>
    <s v="Quicken"/>
    <s v="1Point Rate"/>
    <s v="MTG"/>
    <x v="175"/>
    <n v="4.501418384745314"/>
  </r>
  <r>
    <x v="0"/>
    <s v="Quicken"/>
    <s v="1Point Rate"/>
    <s v="MTG"/>
    <x v="176"/>
    <n v="4.4985329412233339"/>
  </r>
  <r>
    <x v="0"/>
    <s v="Quicken"/>
    <s v="1Point Rate"/>
    <s v="MTG"/>
    <x v="177"/>
    <n v="4.4927605179685131"/>
  </r>
  <r>
    <x v="0"/>
    <s v="Quicken"/>
    <s v="1Point Rate"/>
    <s v="MTG"/>
    <x v="178"/>
    <n v="4.4929920752998243"/>
  </r>
  <r>
    <x v="0"/>
    <s v="Quicken"/>
    <s v="1Point Rate"/>
    <s v="MTG"/>
    <x v="179"/>
    <n v="4.4525330623629999"/>
  </r>
  <r>
    <x v="0"/>
    <s v="Quicken"/>
    <s v="1Point Rate"/>
    <s v="MTG"/>
    <x v="180"/>
    <n v="4.5678637845748948"/>
  </r>
  <r>
    <x v="0"/>
    <s v="Quicken"/>
    <s v="1Point Rate"/>
    <s v="MTG"/>
    <x v="181"/>
    <n v="4.5333505698116854"/>
  </r>
  <r>
    <x v="0"/>
    <s v="Quicken"/>
    <s v="1Point Rate"/>
    <s v="MTG"/>
    <x v="182"/>
    <n v="4.4987637218053917"/>
  </r>
  <r>
    <x v="0"/>
    <s v="Quicken"/>
    <s v="1Point Rate"/>
    <s v="MTG"/>
    <x v="183"/>
    <n v="4.4958781549225408"/>
  </r>
  <r>
    <x v="0"/>
    <s v="Quicken"/>
    <s v="1Point Rate"/>
    <s v="MTG"/>
    <x v="184"/>
    <n v="4.5189483422881471"/>
  </r>
  <r>
    <x v="0"/>
    <s v="Quicken"/>
    <s v="1Point Rate"/>
    <s v="MTG"/>
    <x v="185"/>
    <n v="4.4612113276937526"/>
  </r>
  <r>
    <x v="0"/>
    <s v="Quicken"/>
    <s v="1Point Rate"/>
    <s v="MTG"/>
    <x v="186"/>
    <n v="4.4612113276937526"/>
  </r>
  <r>
    <x v="0"/>
    <s v="Quicken"/>
    <s v="1Point Rate"/>
    <s v="MTG"/>
    <x v="187"/>
    <n v="4.4612113276937526"/>
  </r>
  <r>
    <x v="0"/>
    <s v="Quicken"/>
    <s v="1Point Rate"/>
    <s v="MTG"/>
    <x v="188"/>
    <n v="4.4293683816765057"/>
  </r>
  <r>
    <x v="0"/>
    <s v="Quicken"/>
    <s v="1Point Rate"/>
    <s v="MTG"/>
    <x v="189"/>
    <n v="4.4062150485441451"/>
  </r>
  <r>
    <x v="0"/>
    <s v="Quicken"/>
    <s v="1Point Rate"/>
    <s v="MTG"/>
    <x v="190"/>
    <n v="4.4380959133108595"/>
  </r>
  <r>
    <x v="0"/>
    <s v="Quicken"/>
    <s v="1Point Rate"/>
    <s v="MTG"/>
    <x v="191"/>
    <n v="4.5532689327452376"/>
  </r>
  <r>
    <x v="0"/>
    <s v="Quicken"/>
    <s v="1Point Rate"/>
    <s v="MTG"/>
    <x v="192"/>
    <n v="4.5534922150014268"/>
  </r>
  <r>
    <x v="0"/>
    <s v="Quicken"/>
    <s v="1Point Rate"/>
    <s v="MTG"/>
    <x v="193"/>
    <n v="4.4929920752998243"/>
  </r>
  <r>
    <x v="0"/>
    <s v="Quicken"/>
    <s v="1Point Rate"/>
    <s v="MTG"/>
    <x v="194"/>
    <n v="4.4929920752998243"/>
  </r>
  <r>
    <x v="0"/>
    <s v="Quicken"/>
    <s v="1Point Rate"/>
    <s v="MTG"/>
    <x v="195"/>
    <n v="4.5218298111210657"/>
  </r>
  <r>
    <x v="0"/>
    <s v="Quicken"/>
    <s v="1Point Rate"/>
    <s v="MTG"/>
    <x v="196"/>
    <n v="4.5218298111210657"/>
  </r>
  <r>
    <x v="0"/>
    <s v="Quicken"/>
    <s v="1Point Rate"/>
    <s v="MTG"/>
    <x v="197"/>
    <n v="4.4612113276937526"/>
  </r>
  <r>
    <x v="0"/>
    <s v="Quicken"/>
    <s v="1Point Rate"/>
    <s v="MTG"/>
    <x v="198"/>
    <n v="4.5534922150014268"/>
  </r>
  <r>
    <x v="0"/>
    <s v="Quicken"/>
    <s v="1Point Rate"/>
    <s v="MTG"/>
    <x v="199"/>
    <n v="4.5848739945623596"/>
  </r>
  <r>
    <x v="0"/>
    <s v="Quicken"/>
    <s v="1Point Rate"/>
    <s v="MTG"/>
    <x v="200"/>
    <n v="4.5532689327452376"/>
  </r>
  <r>
    <x v="0"/>
    <s v="Quicken"/>
    <s v="1Point Rate"/>
    <s v="MTG"/>
    <x v="201"/>
    <n v="4.5216021614685626"/>
  </r>
  <r>
    <x v="0"/>
    <s v="Quicken"/>
    <s v="1Point Rate"/>
    <s v="MTG"/>
    <x v="202"/>
    <n v="4.5218298111210657"/>
  </r>
  <r>
    <x v="0"/>
    <s v="Quicken"/>
    <s v="1Point Rate"/>
    <s v="MTG"/>
    <x v="203"/>
    <n v="4.4929920752998243"/>
  </r>
  <r>
    <x v="0"/>
    <s v="Quicken"/>
    <s v="1Point Rate"/>
    <s v="MTG"/>
    <x v="204"/>
    <n v="4.5218298111210657"/>
  </r>
  <r>
    <x v="0"/>
    <s v="Quicken"/>
    <s v="1Point Rate"/>
    <s v="MTG"/>
    <x v="205"/>
    <n v="4.5532689327452376"/>
  </r>
  <r>
    <x v="0"/>
    <s v="Quicken"/>
    <s v="1Point Rate"/>
    <s v="MTG"/>
    <x v="206"/>
    <n v="4.5532689327452376"/>
  </r>
  <r>
    <x v="0"/>
    <s v="Quicken"/>
    <s v="1Point Rate"/>
    <s v="MTG"/>
    <x v="207"/>
    <n v="4.5216021614685626"/>
  </r>
  <r>
    <x v="0"/>
    <s v="Quicken"/>
    <s v="1Point Rate"/>
    <s v="MTG"/>
    <x v="208"/>
    <n v="4.5216021614685626"/>
  </r>
  <r>
    <x v="0"/>
    <s v="Quicken"/>
    <s v="1Point Rate"/>
    <s v="MTG"/>
    <x v="209"/>
    <n v="4.5534922150014268"/>
  </r>
  <r>
    <x v="0"/>
    <s v="Quicken"/>
    <s v="1Point Rate"/>
    <s v="MTG"/>
    <x v="210"/>
    <n v="4.4612113276937526"/>
  </r>
  <r>
    <x v="0"/>
    <s v="Quicken"/>
    <s v="1Point Rate"/>
    <s v="MTG"/>
    <x v="211"/>
    <n v="4.4929920752998243"/>
  </r>
  <r>
    <x v="0"/>
    <s v="Quicken"/>
    <s v="1Point Rate"/>
    <s v="MTG"/>
    <x v="212"/>
    <n v="4.4293683816765057"/>
  </r>
  <r>
    <x v="0"/>
    <s v="Quicken"/>
    <s v="1Point Rate"/>
    <s v="MTG"/>
    <x v="213"/>
    <n v="4.4699143336624472"/>
  </r>
  <r>
    <x v="0"/>
    <s v="Quicken"/>
    <s v="1Point Rate"/>
    <s v="MTG"/>
    <x v="214"/>
    <n v="4.4699143336624472"/>
  </r>
  <r>
    <x v="0"/>
    <s v="Quicken"/>
    <s v="1Point Rate"/>
    <s v="MTG"/>
    <x v="215"/>
    <n v="4.4380959133108595"/>
  </r>
  <r>
    <x v="0"/>
    <s v="Quicken"/>
    <s v="1Point Rate"/>
    <s v="MTG"/>
    <x v="216"/>
    <n v="4.3771781350109968"/>
  </r>
  <r>
    <x v="0"/>
    <s v="Quicken"/>
    <s v="1Point Rate"/>
    <s v="MTG"/>
    <x v="217"/>
    <n v="4.3131143092804933"/>
  </r>
  <r>
    <x v="0"/>
    <s v="Quicken"/>
    <s v="1Point Rate"/>
    <s v="MTG"/>
    <x v="218"/>
    <n v="4.3451776555859825"/>
  </r>
  <r>
    <x v="0"/>
    <s v="Quicken"/>
    <s v="1Point Rate"/>
    <s v="MTG"/>
    <x v="219"/>
    <n v="4.3131087489386006"/>
  </r>
  <r>
    <x v="0"/>
    <s v="Quicken"/>
    <s v="1Point Rate"/>
    <s v="MTG"/>
    <x v="220"/>
    <n v="4.3451776555859825"/>
  </r>
  <r>
    <x v="0"/>
    <s v="Quicken"/>
    <s v="1Point Rate"/>
    <s v="MTG"/>
    <x v="221"/>
    <n v="4.2488084289060692"/>
  </r>
  <r>
    <x v="0"/>
    <s v="Quicken"/>
    <s v="1Point Rate"/>
    <s v="MTG"/>
    <x v="222"/>
    <n v="4.2194971642154622"/>
  </r>
  <r>
    <x v="0"/>
    <s v="Quicken"/>
    <s v="1Point Rate"/>
    <s v="MTG"/>
    <x v="223"/>
    <n v="4.3131143092804933"/>
  </r>
  <r>
    <x v="0"/>
    <s v="Quicken"/>
    <s v="1Point Rate"/>
    <s v="MTG"/>
    <x v="224"/>
    <n v="4.3131087489386006"/>
  </r>
  <r>
    <x v="0"/>
    <s v="Quicken"/>
    <s v="1Point Rate"/>
    <s v="MTG"/>
    <x v="225"/>
    <n v="4.280990246513638"/>
  </r>
  <r>
    <x v="0"/>
    <s v="Quicken"/>
    <s v="1Point Rate"/>
    <s v="MTG"/>
    <x v="226"/>
    <n v="4.280990246513638"/>
  </r>
  <r>
    <x v="0"/>
    <s v="Quicken"/>
    <s v="1Point Rate"/>
    <s v="MTG"/>
    <x v="227"/>
    <n v="4.2194971642154622"/>
  </r>
  <r>
    <x v="0"/>
    <s v="Quicken"/>
    <s v="1Point Rate"/>
    <s v="MTG"/>
    <x v="228"/>
    <n v="4.1871940628292794"/>
  </r>
  <r>
    <x v="0"/>
    <s v="Quicken"/>
    <s v="1Point Rate"/>
    <s v="MTG"/>
    <x v="229"/>
    <n v="4.1871940628292794"/>
  </r>
  <r>
    <x v="0"/>
    <s v="Quicken"/>
    <s v="1Point Rate"/>
    <s v="MTG"/>
    <x v="230"/>
    <n v="4.1871940628292794"/>
  </r>
  <r>
    <x v="0"/>
    <s v="Quicken"/>
    <s v="1Point Rate"/>
    <s v="MTG"/>
    <x v="231"/>
    <n v="4.2174218608486846"/>
  </r>
  <r>
    <x v="0"/>
    <s v="Quicken"/>
    <s v="1Point Rate"/>
    <s v="MTG"/>
    <x v="232"/>
    <n v="4.1851226297877071"/>
  </r>
  <r>
    <x v="0"/>
    <s v="Quicken"/>
    <s v="1Point Rate"/>
    <s v="MTG"/>
    <x v="233"/>
    <n v="4.2174218608486846"/>
  </r>
  <r>
    <x v="0"/>
    <s v="Quicken"/>
    <s v="1Point Rate"/>
    <s v="MTG"/>
    <x v="234"/>
    <n v="4.1557042361827934"/>
  </r>
  <r>
    <x v="0"/>
    <s v="Quicken"/>
    <s v="1Point Rate"/>
    <s v="MTG"/>
    <x v="235"/>
    <n v="4.0612091257194027"/>
  </r>
  <r>
    <x v="0"/>
    <s v="Quicken"/>
    <s v="1Point Rate"/>
    <s v="MTG"/>
    <x v="236"/>
    <n v="4.0907972944729467"/>
  </r>
  <r>
    <x v="0"/>
    <s v="Quicken"/>
    <s v="1Point Rate"/>
    <s v="MTG"/>
    <x v="237"/>
    <n v="4.0907972944729467"/>
  </r>
  <r>
    <x v="0"/>
    <s v="Quicken"/>
    <s v="1Point Rate"/>
    <s v="MTG"/>
    <x v="238"/>
    <n v="4.0612091257194027"/>
  </r>
  <r>
    <x v="0"/>
    <s v="Quicken"/>
    <s v="1Point Rate"/>
    <s v="MTG"/>
    <x v="239"/>
    <n v="4.1851226297877071"/>
  </r>
  <r>
    <x v="0"/>
    <s v="Quicken"/>
    <s v="1Point Rate"/>
    <s v="MTG"/>
    <x v="240"/>
    <n v="4.1851226297877071"/>
  </r>
  <r>
    <x v="0"/>
    <s v="Quicken"/>
    <s v="1Point Rate"/>
    <s v="MTG"/>
    <x v="241"/>
    <n v="4.1871940628292794"/>
  </r>
  <r>
    <x v="0"/>
    <s v="Quicken"/>
    <s v="1Point Rate"/>
    <s v="MTG"/>
    <x v="242"/>
    <n v="4.1557042361827934"/>
  </r>
  <r>
    <x v="0"/>
    <s v="Quicken"/>
    <s v="1Point Rate"/>
    <s v="MTG"/>
    <x v="243"/>
    <n v="4.1557042361827934"/>
  </r>
  <r>
    <x v="0"/>
    <s v="Quicken"/>
    <s v="1Point Rate"/>
    <s v="MTG"/>
    <x v="244"/>
    <n v="4.2174218608486846"/>
  </r>
  <r>
    <x v="0"/>
    <s v="Quicken"/>
    <s v="1Point Rate"/>
    <s v="MTG"/>
    <x v="245"/>
    <n v="4.0907972944729467"/>
  </r>
  <r>
    <x v="0"/>
    <s v="Quicken"/>
    <s v="1Point Rate"/>
    <s v="MTG"/>
    <x v="246"/>
    <n v="4.1851226297877071"/>
  </r>
  <r>
    <x v="0"/>
    <s v="Quicken"/>
    <s v="1Point Rate"/>
    <s v="MTG"/>
    <x v="247"/>
    <n v="4.1557042361827934"/>
  </r>
  <r>
    <x v="0"/>
    <s v="Quicken"/>
    <s v="1Point Rate"/>
    <s v="MTG"/>
    <x v="248"/>
    <n v="4.2174218608486846"/>
  </r>
  <r>
    <x v="0"/>
    <s v="Quicken"/>
    <s v="1Point Rate"/>
    <s v="MTG"/>
    <x v="249"/>
    <n v="4.2194971642154622"/>
  </r>
  <r>
    <x v="0"/>
    <s v="Quicken"/>
    <s v="1Point Rate"/>
    <s v="MTG"/>
    <x v="250"/>
    <n v="4.2194971642154622"/>
  </r>
  <r>
    <x v="0"/>
    <s v="Quicken"/>
    <s v="1Point Rate"/>
    <s v="MTG"/>
    <x v="251"/>
    <n v="4.1871940628292794"/>
  </r>
  <r>
    <x v="0"/>
    <s v="Quicken"/>
    <s v="1Point Rate"/>
    <s v="MTG"/>
    <x v="252"/>
    <n v="4.2488084289060692"/>
  </r>
  <r>
    <x v="0"/>
    <s v="Quicken"/>
    <s v="1Point Rate"/>
    <s v="MTG"/>
    <x v="253"/>
    <n v="4.2194971642154622"/>
  </r>
  <r>
    <x v="0"/>
    <s v="Quicken"/>
    <s v="1Point Rate"/>
    <s v="MTG"/>
    <x v="254"/>
    <n v="4.2488084289060692"/>
  </r>
  <r>
    <x v="0"/>
    <s v="Quicken"/>
    <s v="1Point Rate"/>
    <s v="MTG"/>
    <x v="255"/>
    <n v="4.3131087489386006"/>
  </r>
  <r>
    <x v="0"/>
    <s v="Quicken"/>
    <s v="1Point Rate"/>
    <s v="MTG"/>
    <x v="256"/>
    <n v="4.3131087489386006"/>
  </r>
  <r>
    <x v="0"/>
    <s v="Quicken"/>
    <s v="1Point Rate"/>
    <s v="MTG"/>
    <x v="257"/>
    <n v="4.3131143092804933"/>
  </r>
  <r>
    <x v="0"/>
    <s v="Quicken"/>
    <s v="1Point Rate"/>
    <s v="MTG"/>
    <x v="258"/>
    <n v="4.280990246513638"/>
  </r>
  <r>
    <x v="0"/>
    <s v="Quicken"/>
    <s v="1Point Rate"/>
    <s v="MTG"/>
    <x v="259"/>
    <n v="4.280990246513638"/>
  </r>
  <r>
    <x v="0"/>
    <s v="Quicken"/>
    <s v="1Point Rate"/>
    <s v="MTG"/>
    <x v="260"/>
    <n v="4.2194971642154622"/>
  </r>
  <r>
    <x v="0"/>
    <s v="Quicken"/>
    <s v="1Point Rate"/>
    <s v="MTG"/>
    <x v="261"/>
    <n v="4.2194971642154622"/>
  </r>
  <r>
    <x v="0"/>
    <s v="Quicken"/>
    <s v="1Point Rate"/>
    <s v="MTG"/>
    <x v="262"/>
    <n v="4.2488084289060692"/>
  </r>
  <r>
    <x v="0"/>
    <s v="Quicken"/>
    <s v="1Point Rate"/>
    <s v="MTG"/>
    <x v="263"/>
    <n v="4.280990246513638"/>
  </r>
  <r>
    <x v="0"/>
    <s v="Quicken"/>
    <s v="1Point Rate"/>
    <s v="MTG"/>
    <x v="264"/>
    <n v="4.3131087489386006"/>
  </r>
  <r>
    <x v="0"/>
    <s v="Quicken"/>
    <s v="1Point Rate"/>
    <s v="MTG"/>
    <x v="265"/>
    <n v="4.2488084289060692"/>
  </r>
  <r>
    <x v="0"/>
    <s v="Quicken"/>
    <s v="1Point Rate"/>
    <s v="MTG"/>
    <x v="266"/>
    <n v="4.1557042361827934"/>
  </r>
  <r>
    <x v="0"/>
    <s v="Quicken"/>
    <s v="1Point Rate"/>
    <s v="MTG"/>
    <x v="267"/>
    <n v="4.1557042361827934"/>
  </r>
  <r>
    <x v="0"/>
    <s v="Quicken"/>
    <s v="1Point Rate"/>
    <s v="MTG"/>
    <x v="268"/>
    <n v="4.1557042361827934"/>
  </r>
  <r>
    <x v="0"/>
    <s v="Quicken"/>
    <s v="1Point Rate"/>
    <s v="MTG"/>
    <x v="269"/>
    <n v="4.0907972944729467"/>
  </r>
  <r>
    <x v="0"/>
    <s v="Quicken"/>
    <s v="1Point Rate"/>
    <s v="MTG"/>
    <x v="270"/>
    <n v="4.0612091257194027"/>
  </r>
  <r>
    <x v="0"/>
    <s v="Quicken"/>
    <s v="1Point Rate"/>
    <s v="MTG"/>
    <x v="271"/>
    <n v="4.0286005844162132"/>
  </r>
  <r>
    <x v="0"/>
    <s v="Quicken"/>
    <s v="1Point Rate"/>
    <s v="MTG"/>
    <x v="272"/>
    <n v="4.0612091257194027"/>
  </r>
  <r>
    <x v="0"/>
    <s v="Quicken"/>
    <s v="1Point Rate"/>
    <s v="MTG"/>
    <x v="273"/>
    <n v="4.0612091257194027"/>
  </r>
  <r>
    <x v="0"/>
    <s v="Quicken"/>
    <s v="1Point Rate"/>
    <s v="MTG"/>
    <x v="274"/>
    <n v="4.0612091257194027"/>
  </r>
  <r>
    <x v="0"/>
    <s v="Quicken"/>
    <s v="1Point Rate"/>
    <s v="MTG"/>
    <x v="275"/>
    <n v="4.0612091257194027"/>
  </r>
  <r>
    <x v="0"/>
    <s v="Quicken"/>
    <s v="1Point Rate"/>
    <s v="MTG"/>
    <x v="276"/>
    <n v="4.0286005844162132"/>
  </r>
  <r>
    <x v="0"/>
    <s v="Quicken"/>
    <s v="1Point Rate"/>
    <s v="MTG"/>
    <x v="277"/>
    <n v="4.0612091257194027"/>
  </r>
  <r>
    <x v="0"/>
    <s v="Quicken"/>
    <s v="1Point Rate"/>
    <s v="MTG"/>
    <x v="278"/>
    <n v="4.0907972944729467"/>
  </r>
  <r>
    <x v="0"/>
    <s v="Quicken"/>
    <s v="1Point Rate"/>
    <s v="MTG"/>
    <x v="279"/>
    <n v="4.0612091257194027"/>
  </r>
  <r>
    <x v="0"/>
    <s v="Quicken"/>
    <s v="1Point Rate"/>
    <s v="MTG"/>
    <x v="280"/>
    <n v="4.0907972944729467"/>
  </r>
  <r>
    <x v="0"/>
    <s v="Quicken"/>
    <s v="1Point Rate"/>
    <s v="MTG"/>
    <x v="281"/>
    <n v="4.1232828633845466"/>
  </r>
  <r>
    <x v="0"/>
    <s v="Quicken"/>
    <s v="1Point Rate"/>
    <s v="MTG"/>
    <x v="282"/>
    <n v="4.1871940628292794"/>
  </r>
  <r>
    <x v="0"/>
    <s v="Quicken"/>
    <s v="1Point Rate"/>
    <s v="MTG"/>
    <x v="283"/>
    <n v="4.2194971642154622"/>
  </r>
  <r>
    <x v="0"/>
    <s v="Quicken"/>
    <s v="1Point Rate"/>
    <s v="MTG"/>
    <x v="284"/>
    <n v="4.1871940628292794"/>
  </r>
  <r>
    <x v="0"/>
    <s v="Quicken"/>
    <s v="1Point Rate"/>
    <s v="MTG"/>
    <x v="285"/>
    <n v="4.1871940628292794"/>
  </r>
  <r>
    <x v="0"/>
    <s v="Quicken"/>
    <s v="1Point Rate"/>
    <s v="MTG"/>
    <x v="286"/>
    <n v="4.2194971642154622"/>
  </r>
  <r>
    <x v="0"/>
    <s v="Quicken"/>
    <s v="1Point Rate"/>
    <s v="MTG"/>
    <x v="287"/>
    <n v="4.2194971642154622"/>
  </r>
  <r>
    <x v="0"/>
    <s v="Quicken"/>
    <s v="1Point Rate"/>
    <s v="MTG"/>
    <x v="288"/>
    <n v="4.1871940628292794"/>
  </r>
  <r>
    <x v="0"/>
    <s v="Quicken"/>
    <s v="1Point Rate"/>
    <s v="MTG"/>
    <x v="289"/>
    <n v="4.1851226297877071"/>
  </r>
  <r>
    <x v="0"/>
    <s v="Quicken"/>
    <s v="1Point Rate"/>
    <s v="MTG"/>
    <x v="290"/>
    <n v="4.1232828633845466"/>
  </r>
  <r>
    <x v="0"/>
    <s v="Quicken"/>
    <s v="1Point Rate"/>
    <s v="MTG"/>
    <x v="291"/>
    <n v="4.0907972944729467"/>
  </r>
  <r>
    <x v="0"/>
    <s v="Quicken"/>
    <s v="1Point Rate"/>
    <s v="MTG"/>
    <x v="292"/>
    <n v="4.0907972944729467"/>
  </r>
  <r>
    <x v="0"/>
    <s v="Quicken"/>
    <s v="1Point Rate"/>
    <s v="MTG"/>
    <x v="293"/>
    <n v="4.0612091257194027"/>
  </r>
  <r>
    <x v="0"/>
    <s v="Quicken"/>
    <s v="1Point Rate"/>
    <s v="MTG"/>
    <x v="294"/>
    <n v="4.0612091257194027"/>
  </r>
  <r>
    <x v="0"/>
    <s v="Quicken"/>
    <s v="1Point Rate"/>
    <s v="MTG"/>
    <x v="295"/>
    <n v="4.0907972944729467"/>
  </r>
  <r>
    <x v="0"/>
    <s v="Quicken"/>
    <s v="1Point Rate"/>
    <s v="MTG"/>
    <x v="296"/>
    <n v="4.0907972944729467"/>
  </r>
  <r>
    <x v="0"/>
    <s v="Quicken"/>
    <s v="1Point Rate"/>
    <s v="MTG"/>
    <x v="297"/>
    <n v="4.0907972944729467"/>
  </r>
  <r>
    <x v="0"/>
    <s v="Quicken"/>
    <s v="1Point Rate"/>
    <s v="MTG"/>
    <x v="298"/>
    <n v="4.0848839185997514"/>
  </r>
  <r>
    <x v="0"/>
    <s v="Quicken"/>
    <s v="1Point Rate"/>
    <s v="MTG"/>
    <x v="299"/>
    <n v="4.0612091257194027"/>
  </r>
  <r>
    <x v="0"/>
    <s v="Quicken"/>
    <s v="1Point Rate"/>
    <s v="MTG"/>
    <x v="300"/>
    <n v="4.0273892510335889"/>
  </r>
  <r>
    <x v="0"/>
    <s v="Quicken"/>
    <s v="1Point Rate"/>
    <s v="MTG"/>
    <x v="301"/>
    <n v="4.1232828633845466"/>
  </r>
  <r>
    <x v="0"/>
    <s v="Quicken"/>
    <s v="1Point Rate"/>
    <s v="MTG"/>
    <x v="302"/>
    <n v="4.0907972944729467"/>
  </r>
  <r>
    <x v="0"/>
    <s v="Quicken"/>
    <s v="1Point Rate"/>
    <s v="MTG"/>
    <x v="303"/>
    <n v="4.0612091257194027"/>
  </r>
  <r>
    <x v="0"/>
    <s v="Quicken"/>
    <s v="1Point Rate"/>
    <s v="MTG"/>
    <x v="304"/>
    <n v="4.0612091257194027"/>
  </r>
  <r>
    <x v="0"/>
    <s v="Quicken"/>
    <s v="1Point Rate"/>
    <s v="MTG"/>
    <x v="305"/>
    <n v="4.0612091257194027"/>
  </r>
  <r>
    <x v="0"/>
    <s v="Quicken"/>
    <s v="1Point Rate"/>
    <s v="MTG"/>
    <x v="306"/>
    <n v="4.0907972944729467"/>
  </r>
  <r>
    <x v="0"/>
    <s v="Quicken"/>
    <s v="1Point Rate"/>
    <s v="MTG"/>
    <x v="307"/>
    <n v="4.0612091257194027"/>
  </r>
  <r>
    <x v="0"/>
    <s v="Quicken"/>
    <s v="1Point Rate"/>
    <s v="MTG"/>
    <x v="308"/>
    <n v="4.0895756165465809"/>
  </r>
  <r>
    <x v="0"/>
    <s v="Quicken"/>
    <s v="1Point Rate"/>
    <s v="MTG"/>
    <x v="309"/>
    <n v="4.0895756165465809"/>
  </r>
  <r>
    <x v="0"/>
    <s v="Quicken"/>
    <s v="1Point Rate"/>
    <s v="MTG"/>
    <x v="310"/>
    <n v="4.0599924484051417"/>
  </r>
  <r>
    <x v="0"/>
    <s v="Quicken"/>
    <s v="1Point Rate"/>
    <s v="MTG"/>
    <x v="311"/>
    <n v="4.0895756165465809"/>
  </r>
  <r>
    <x v="0"/>
    <s v="Quicken"/>
    <s v="1Point Rate"/>
    <s v="MTG"/>
    <x v="312"/>
    <n v="3.9976937553080876"/>
  </r>
  <r>
    <x v="0"/>
    <s v="Quicken"/>
    <s v="1Point Rate"/>
    <s v="MTG"/>
    <x v="313"/>
    <n v="4.0273892510335889"/>
  </r>
  <r>
    <x v="0"/>
    <s v="Quicken"/>
    <s v="1Point Rate"/>
    <s v="MTG"/>
    <x v="314"/>
    <n v="4.0273892510335889"/>
  </r>
  <r>
    <x v="0"/>
    <s v="Quicken"/>
    <s v="1Point Rate"/>
    <s v="MTG"/>
    <x v="315"/>
    <n v="4.0273892510335889"/>
  </r>
  <r>
    <x v="0"/>
    <s v="Quicken"/>
    <s v="1Point Rate"/>
    <s v="MTG"/>
    <x v="316"/>
    <n v="3.9649667218579321"/>
  </r>
  <r>
    <x v="0"/>
    <s v="Quicken"/>
    <s v="1Point Rate"/>
    <s v="MTG"/>
    <x v="317"/>
    <n v="3.9649667218579321"/>
  </r>
  <r>
    <x v="0"/>
    <s v="Quicken"/>
    <s v="1Point Rate"/>
    <s v="MTG"/>
    <x v="318"/>
    <n v="3.9649667218579321"/>
  </r>
  <r>
    <x v="0"/>
    <s v="Quicken"/>
    <s v="1Point Rate"/>
    <s v="MTG"/>
    <x v="319"/>
    <n v="3.9351583966085761"/>
  </r>
  <r>
    <x v="0"/>
    <s v="Quicken"/>
    <s v="1Point Rate"/>
    <s v="MTG"/>
    <x v="320"/>
    <n v="3.9649667218579321"/>
  </r>
  <r>
    <x v="0"/>
    <s v="Quicken"/>
    <s v="1Point Rate"/>
    <s v="MTG"/>
    <x v="321"/>
    <n v="3.9351583966085761"/>
  </r>
  <r>
    <x v="0"/>
    <s v="Quicken"/>
    <s v="1Point Rate"/>
    <s v="MTG"/>
    <x v="322"/>
    <n v="3.9649667218579321"/>
  </r>
  <r>
    <x v="0"/>
    <s v="Quicken"/>
    <s v="1Point Rate"/>
    <s v="MTG"/>
    <x v="323"/>
    <n v="4.0273892510335889"/>
  </r>
  <r>
    <x v="0"/>
    <s v="Quicken"/>
    <s v="1Point Rate"/>
    <s v="MTG"/>
    <x v="324"/>
    <n v="4.0273892510335889"/>
  </r>
  <r>
    <x v="0"/>
    <s v="Quicken"/>
    <s v="1Point Rate"/>
    <s v="MTG"/>
    <x v="325"/>
    <n v="4.0273892510335889"/>
  </r>
  <r>
    <x v="0"/>
    <s v="Quicken"/>
    <s v="1Point Rate"/>
    <s v="MTG"/>
    <x v="326"/>
    <n v="4.0599924484051417"/>
  </r>
  <r>
    <x v="0"/>
    <s v="Quicken"/>
    <s v="1Point Rate"/>
    <s v="MTG"/>
    <x v="327"/>
    <n v="3.9351583966085761"/>
  </r>
  <r>
    <x v="0"/>
    <s v="Quicken"/>
    <s v="1Point Rate"/>
    <s v="MTG"/>
    <x v="328"/>
    <n v="3.9646015689346088"/>
  </r>
  <r>
    <x v="0"/>
    <s v="Quicken"/>
    <s v="1Point Rate"/>
    <s v="MTG"/>
    <x v="329"/>
    <n v="3.9318166229704437"/>
  </r>
  <r>
    <x v="0"/>
    <s v="Quicken"/>
    <s v="1Point Rate"/>
    <s v="MTG"/>
    <x v="330"/>
    <n v="3.9019553775197724"/>
  </r>
  <r>
    <x v="0"/>
    <s v="Quicken"/>
    <s v="1Point Rate"/>
    <s v="MTG"/>
    <x v="331"/>
    <n v="3.9019553775197724"/>
  </r>
  <r>
    <x v="0"/>
    <s v="Quicken"/>
    <s v="1Point Rate"/>
    <s v="MTG"/>
    <x v="332"/>
    <n v="3.9019553775197724"/>
  </r>
  <r>
    <x v="0"/>
    <s v="Quicken"/>
    <s v="1Point Rate"/>
    <s v="MTG"/>
    <x v="333"/>
    <n v="3.8720399663140839"/>
  </r>
  <r>
    <x v="0"/>
    <s v="Quicken"/>
    <s v="1Point Rate"/>
    <s v="MTG"/>
    <x v="334"/>
    <n v="3.8720399663140839"/>
  </r>
  <r>
    <x v="0"/>
    <s v="Quicken"/>
    <s v="1Point Rate"/>
    <s v="MTG"/>
    <x v="335"/>
    <n v="3.9019553775197724"/>
  </r>
  <r>
    <x v="0"/>
    <s v="Quicken"/>
    <s v="1Point Rate"/>
    <s v="MTG"/>
    <x v="336"/>
    <n v="3.9019553775197724"/>
  </r>
  <r>
    <x v="0"/>
    <s v="Quicken"/>
    <s v="1Point Rate"/>
    <s v="MTG"/>
    <x v="337"/>
    <n v="3.9646015689346088"/>
  </r>
  <r>
    <x v="0"/>
    <s v="Quicken"/>
    <s v="1Point Rate"/>
    <s v="MTG"/>
    <x v="338"/>
    <n v="3.9646015689346088"/>
  </r>
  <r>
    <x v="0"/>
    <s v="Quicken"/>
    <s v="1Point Rate"/>
    <s v="MTG"/>
    <x v="339"/>
    <n v="3.9649667218579321"/>
  </r>
  <r>
    <x v="0"/>
    <s v="Quicken"/>
    <s v="1Point Rate"/>
    <s v="MTG"/>
    <x v="340"/>
    <n v="3.9649667218579321"/>
  </r>
  <r>
    <x v="0"/>
    <s v="Quicken"/>
    <s v="1Point Rate"/>
    <s v="MTG"/>
    <x v="341"/>
    <n v="3.9649667218579321"/>
  </r>
  <r>
    <x v="0"/>
    <s v="Quicken"/>
    <s v="1Point Rate"/>
    <s v="MTG"/>
    <x v="342"/>
    <n v="3.9649667218579321"/>
  </r>
  <r>
    <x v="0"/>
    <s v="Quicken"/>
    <s v="1Point Rate"/>
    <s v="MTG"/>
    <x v="343"/>
    <n v="3.9351583966085761"/>
  </r>
  <r>
    <x v="0"/>
    <s v="Quicken"/>
    <s v="1Point Rate"/>
    <s v="MTG"/>
    <x v="344"/>
    <n v="3.9649667218579321"/>
  </r>
  <r>
    <x v="0"/>
    <s v="Quicken"/>
    <s v="1Point Rate"/>
    <s v="MTG"/>
    <x v="345"/>
    <n v="3.9649667218579321"/>
  </r>
  <r>
    <x v="0"/>
    <s v="Quicken"/>
    <s v="1Point Rate"/>
    <s v="MTG"/>
    <x v="346"/>
    <n v="3.9649667218579321"/>
  </r>
  <r>
    <x v="0"/>
    <s v="Quicken"/>
    <s v="1Point Rate"/>
    <s v="MTG"/>
    <x v="347"/>
    <n v="3.9649667218579321"/>
  </r>
  <r>
    <x v="0"/>
    <s v="Quicken"/>
    <s v="1Point Rate"/>
    <s v="MTG"/>
    <x v="348"/>
    <n v="3.9976937553080876"/>
  </r>
  <r>
    <x v="0"/>
    <s v="Quicken"/>
    <s v="1Point Rate"/>
    <s v="MTG"/>
    <x v="349"/>
    <n v="3.9351583966085761"/>
  </r>
  <r>
    <x v="0"/>
    <s v="Quicken"/>
    <s v="1Point Rate"/>
    <s v="MTG"/>
    <x v="350"/>
    <n v="3.9019553775197724"/>
  </r>
  <r>
    <x v="0"/>
    <s v="Quicken"/>
    <s v="1Point Rate"/>
    <s v="MTG"/>
    <x v="351"/>
    <n v="3.9019553775197724"/>
  </r>
  <r>
    <x v="0"/>
    <s v="Quicken"/>
    <s v="1Point Rate"/>
    <s v="MTG"/>
    <x v="352"/>
    <n v="3.9351583966085761"/>
  </r>
  <r>
    <x v="0"/>
    <s v="Quicken"/>
    <s v="1Point Rate"/>
    <s v="MTG"/>
    <x v="353"/>
    <n v="3.9646015689346088"/>
  </r>
  <r>
    <x v="0"/>
    <s v="Quicken"/>
    <s v="1Point Rate"/>
    <s v="MTG"/>
    <x v="354"/>
    <n v="3.9019553775197724"/>
  </r>
  <r>
    <x v="0"/>
    <s v="Quicken"/>
    <s v="1Point Rate"/>
    <s v="MTG"/>
    <x v="355"/>
    <n v="3.9347997728339967"/>
  </r>
  <r>
    <x v="0"/>
    <s v="Quicken"/>
    <s v="1Point Rate"/>
    <s v="MTG"/>
    <x v="356"/>
    <n v="3.9351583966085761"/>
  </r>
  <r>
    <x v="0"/>
    <s v="Quicken"/>
    <s v="1Point Rate"/>
    <s v="MTG"/>
    <x v="357"/>
    <n v="3.9351583966085761"/>
  </r>
  <r>
    <x v="0"/>
    <s v="Quicken"/>
    <s v="1Point Rate"/>
    <s v="MTG"/>
    <x v="358"/>
    <n v="3.9347997728339967"/>
  </r>
  <r>
    <x v="0"/>
    <s v="Quicken"/>
    <s v="1Point Rate"/>
    <s v="MTG"/>
    <x v="359"/>
    <n v="3.9347997728339967"/>
  </r>
  <r>
    <x v="0"/>
    <s v="Quicken"/>
    <s v="1Point Rate"/>
    <s v="MTG"/>
    <x v="360"/>
    <n v="3.9347997728339967"/>
  </r>
  <r>
    <x v="0"/>
    <s v="Quicken"/>
    <s v="1Point Rate"/>
    <s v="MTG"/>
    <x v="361"/>
    <n v="3.9646015689346088"/>
  </r>
  <r>
    <x v="0"/>
    <s v="Quicken"/>
    <s v="1Point Rate"/>
    <s v="MTG"/>
    <x v="362"/>
    <n v="3.9347997728339967"/>
  </r>
  <r>
    <x v="0"/>
    <s v="Quicken"/>
    <s v="1Point Rate"/>
    <s v="MTG"/>
    <x v="363"/>
    <n v="3.9347997728339967"/>
  </r>
  <r>
    <x v="0"/>
    <s v="Quicken"/>
    <s v="1Point Rate"/>
    <s v="MTG"/>
    <x v="364"/>
    <n v="3.9347997728339967"/>
  </r>
  <r>
    <x v="0"/>
    <s v="Quicken"/>
    <s v="1Point Rate"/>
    <s v="MTG"/>
    <x v="365"/>
    <n v="3.9347997728339967"/>
  </r>
  <r>
    <x v="0"/>
    <s v="Quicken"/>
    <s v="1Point Rate"/>
    <s v="MTG"/>
    <x v="366"/>
    <n v="3.9019553775197724"/>
  </r>
  <r>
    <x v="0"/>
    <s v="Quicken"/>
    <s v="1Point Rate"/>
    <s v="MTG"/>
    <x v="367"/>
    <n v="3.9347997728339967"/>
  </r>
  <r>
    <x v="0"/>
    <s v="Quicken"/>
    <s v="1Point Rate"/>
    <s v="MTG"/>
    <x v="368"/>
    <n v="3.9019553775197724"/>
  </r>
  <r>
    <x v="0"/>
    <s v="Quicken"/>
    <s v="1Point Rate"/>
    <s v="MTG"/>
    <x v="369"/>
    <n v="3.9019553775197724"/>
  </r>
  <r>
    <x v="0"/>
    <s v="Quicken"/>
    <s v="1Point Rate"/>
    <s v="MTG"/>
    <x v="370"/>
    <n v="3.9347997728339967"/>
  </r>
  <r>
    <x v="0"/>
    <s v="Quicken"/>
    <s v="1Point Rate"/>
    <s v="MTG"/>
    <x v="371"/>
    <n v="3.8390703147923091"/>
  </r>
  <r>
    <x v="0"/>
    <s v="Quicken"/>
    <s v="1Point Rate"/>
    <s v="MTG"/>
    <x v="372"/>
    <n v="3.8720399663140839"/>
  </r>
  <r>
    <x v="0"/>
    <s v="Quicken"/>
    <s v="1Point Rate"/>
    <s v="MTG"/>
    <x v="373"/>
    <n v="3.9351583966085761"/>
  </r>
  <r>
    <x v="0"/>
    <s v="Quicken"/>
    <s v="1Point Rate"/>
    <s v="MTG"/>
    <x v="374"/>
    <n v="3.9649667218579321"/>
  </r>
  <r>
    <x v="0"/>
    <s v="Quicken"/>
    <s v="1Point Rate"/>
    <s v="MTG"/>
    <x v="375"/>
    <n v="3.9649667218579321"/>
  </r>
  <r>
    <x v="0"/>
    <s v="Quicken"/>
    <s v="1Point Rate"/>
    <s v="MTG"/>
    <x v="376"/>
    <n v="3.9351583966085761"/>
  </r>
  <r>
    <x v="0"/>
    <s v="Quicken"/>
    <s v="1Point Rate"/>
    <s v="MTG"/>
    <x v="377"/>
    <n v="3.9351583966085761"/>
  </r>
  <r>
    <x v="0"/>
    <s v="Quicken"/>
    <s v="1Point Rate"/>
    <s v="MTG"/>
    <x v="378"/>
    <n v="3.9351583966085761"/>
  </r>
  <r>
    <x v="0"/>
    <s v="Quicken"/>
    <s v="1Point Rate"/>
    <s v="MTG"/>
    <x v="379"/>
    <n v="3.9649667218579321"/>
  </r>
  <r>
    <x v="0"/>
    <s v="Quicken"/>
    <s v="1Point Rate"/>
    <s v="MTG"/>
    <x v="380"/>
    <n v="3.9351583966085761"/>
  </r>
  <r>
    <x v="0"/>
    <s v="Quicken"/>
    <s v="1Point Rate"/>
    <s v="MTG"/>
    <x v="381"/>
    <n v="3.9351583966085761"/>
  </r>
  <r>
    <x v="0"/>
    <s v="Quicken"/>
    <s v="1Point Rate"/>
    <s v="MTG"/>
    <x v="382"/>
    <n v="3.8720399663140839"/>
  </r>
  <r>
    <x v="0"/>
    <s v="Quicken"/>
    <s v="1Point Rate"/>
    <s v="MTG"/>
    <x v="383"/>
    <n v="3.8390703147923091"/>
  </r>
  <r>
    <x v="0"/>
    <s v="Quicken"/>
    <s v="1Point Rate"/>
    <s v="MTG"/>
    <x v="384"/>
    <n v="3.8090407795200316"/>
  </r>
  <r>
    <x v="0"/>
    <s v="Quicken"/>
    <s v="1Point Rate"/>
    <s v="MTG"/>
    <x v="385"/>
    <n v="3.8390703147923091"/>
  </r>
  <r>
    <x v="0"/>
    <s v="Quicken"/>
    <s v="1Point Rate"/>
    <s v="MTG"/>
    <x v="386"/>
    <n v="3.8720399663140839"/>
  </r>
  <r>
    <x v="0"/>
    <s v="Quicken"/>
    <s v="1Point Rate"/>
    <s v="MTG"/>
    <x v="387"/>
    <n v="3.8390703147923091"/>
  </r>
  <r>
    <x v="0"/>
    <s v="Quicken"/>
    <s v="1Point Rate"/>
    <s v="MTG"/>
    <x v="388"/>
    <n v="3.8720399663140839"/>
  </r>
  <r>
    <x v="0"/>
    <s v="Quicken"/>
    <s v="1Point Rate"/>
    <s v="MTG"/>
    <x v="389"/>
    <n v="3.9019553775197724"/>
  </r>
  <r>
    <x v="0"/>
    <s v="Quicken"/>
    <s v="1Point Rate"/>
    <s v="MTG"/>
    <x v="390"/>
    <n v="3.9351583966085761"/>
  </r>
  <r>
    <x v="0"/>
    <s v="Quicken"/>
    <s v="1Point Rate"/>
    <s v="MTG"/>
    <x v="391"/>
    <n v="3.9351583966085761"/>
  </r>
  <r>
    <x v="0"/>
    <s v="Quicken"/>
    <s v="1Point Rate"/>
    <s v="MTG"/>
    <x v="392"/>
    <n v="3.9351583966085761"/>
  </r>
  <r>
    <x v="0"/>
    <s v="Quicken"/>
    <s v="1Point Rate"/>
    <s v="MTG"/>
    <x v="393"/>
    <n v="3.9976937553080876"/>
  </r>
  <r>
    <x v="0"/>
    <s v="Quicken"/>
    <s v="1Point Rate"/>
    <s v="MTG"/>
    <x v="394"/>
    <n v="3.9649667218579321"/>
  </r>
  <r>
    <x v="0"/>
    <s v="Quicken"/>
    <s v="1Point Rate"/>
    <s v="MTG"/>
    <x v="395"/>
    <n v="3.9351583966085761"/>
  </r>
  <r>
    <x v="0"/>
    <s v="Quicken"/>
    <s v="1Point Rate"/>
    <s v="MTG"/>
    <x v="396"/>
    <n v="3.9351583966085761"/>
  </r>
  <r>
    <x v="0"/>
    <s v="Quicken"/>
    <s v="1Point Rate"/>
    <s v="MTG"/>
    <x v="397"/>
    <n v="3.9649667218579321"/>
  </r>
  <r>
    <x v="0"/>
    <s v="Quicken"/>
    <s v="1Point Rate"/>
    <s v="MTG"/>
    <x v="398"/>
    <n v="3.9649667218579321"/>
  </r>
  <r>
    <x v="0"/>
    <s v="Quicken"/>
    <s v="1Point Rate"/>
    <s v="MTG"/>
    <x v="399"/>
    <n v="3.9351583966085761"/>
  </r>
  <r>
    <x v="0"/>
    <s v="Quicken"/>
    <s v="1Point Rate"/>
    <s v="MTG"/>
    <x v="400"/>
    <n v="3.9023069735991318"/>
  </r>
  <r>
    <x v="0"/>
    <s v="Quicken"/>
    <s v="1Point Rate"/>
    <s v="MTG"/>
    <x v="401"/>
    <n v="3.9023069735991318"/>
  </r>
  <r>
    <x v="0"/>
    <s v="Quicken"/>
    <s v="1Point Rate"/>
    <s v="MTG"/>
    <x v="402"/>
    <n v="3.9646015689346088"/>
  </r>
  <r>
    <x v="0"/>
    <s v="Quicken"/>
    <s v="1Point Rate"/>
    <s v="MTG"/>
    <x v="403"/>
    <n v="3.9351583966085761"/>
  </r>
  <r>
    <x v="0"/>
    <s v="Quicken"/>
    <s v="1Point Rate"/>
    <s v="MTG"/>
    <x v="404"/>
    <n v="3.9351583966085761"/>
  </r>
  <r>
    <x v="0"/>
    <s v="Quicken"/>
    <s v="1Point Rate"/>
    <s v="MTG"/>
    <x v="405"/>
    <n v="3.9976937553080876"/>
  </r>
  <r>
    <x v="0"/>
    <s v="Quicken"/>
    <s v="1Point Rate"/>
    <s v="MTG"/>
    <x v="406"/>
    <n v="3.9976937553080876"/>
  </r>
  <r>
    <x v="0"/>
    <s v="Quicken"/>
    <s v="1Point Rate"/>
    <s v="MTG"/>
    <x v="407"/>
    <n v="3.9976937553080876"/>
  </r>
  <r>
    <x v="0"/>
    <s v="Quicken"/>
    <s v="1Point Rate"/>
    <s v="MTG"/>
    <x v="408"/>
    <n v="4.0599924484051417"/>
  </r>
  <r>
    <x v="0"/>
    <s v="Quicken"/>
    <s v="1Point Rate"/>
    <s v="MTG"/>
    <x v="409"/>
    <n v="3.9976937553080876"/>
  </r>
  <r>
    <x v="0"/>
    <s v="Quicken"/>
    <s v="1Point Rate"/>
    <s v="MTG"/>
    <x v="410"/>
    <n v="4.0273892510335889"/>
  </r>
  <r>
    <x v="0"/>
    <s v="Quicken"/>
    <s v="1Point Rate"/>
    <s v="MTG"/>
    <x v="411"/>
    <n v="3.9976937553080876"/>
  </r>
  <r>
    <x v="0"/>
    <s v="Quicken"/>
    <s v="1Point Rate"/>
    <s v="MTG"/>
    <x v="412"/>
    <n v="3.9976937553080876"/>
  </r>
  <r>
    <x v="0"/>
    <s v="Quicken"/>
    <s v="1Point Rate"/>
    <s v="MTG"/>
    <x v="413"/>
    <n v="4.0599924484051417"/>
  </r>
  <r>
    <x v="0"/>
    <s v="Quicken"/>
    <s v="1Point Rate"/>
    <s v="MTG"/>
    <x v="414"/>
    <n v="4.1871940628292794"/>
  </r>
  <r>
    <x v="0"/>
    <s v="Quicken"/>
    <s v="1Point Rate"/>
    <s v="MTG"/>
    <x v="415"/>
    <n v="4.1871940628292794"/>
  </r>
  <r>
    <x v="0"/>
    <s v="Quicken"/>
    <s v="1Point Rate"/>
    <s v="MTG"/>
    <x v="416"/>
    <n v="4.3131143092804933"/>
  </r>
  <r>
    <x v="0"/>
    <s v="Quicken"/>
    <s v="1Point Rate"/>
    <s v="MTG"/>
    <x v="417"/>
    <n v="4.4293683816765057"/>
  </r>
  <r>
    <x v="0"/>
    <s v="Quicken"/>
    <s v="1Point Rate"/>
    <s v="MTG"/>
    <x v="418"/>
    <n v="4.4293683816765057"/>
  </r>
  <r>
    <x v="0"/>
    <s v="Quicken"/>
    <s v="1Point Rate"/>
    <s v="MTG"/>
    <x v="419"/>
    <n v="4.4062150485441451"/>
  </r>
  <r>
    <x v="0"/>
    <s v="Quicken"/>
    <s v="1Point Rate"/>
    <s v="MTG"/>
    <x v="420"/>
    <n v="4.4293683816765057"/>
  </r>
  <r>
    <x v="0"/>
    <s v="Quicken"/>
    <s v="1Point Rate"/>
    <s v="MTG"/>
    <x v="421"/>
    <n v="4.5247107681827838"/>
  </r>
  <r>
    <x v="0"/>
    <s v="Quicken"/>
    <s v="1Point Rate"/>
    <s v="MTG"/>
    <x v="422"/>
    <n v="4.5247107681827838"/>
  </r>
  <r>
    <x v="0"/>
    <s v="Quicken"/>
    <s v="1Point Rate"/>
    <s v="MTG"/>
    <x v="423"/>
    <n v="4.5247107681827838"/>
  </r>
  <r>
    <x v="0"/>
    <s v="Quicken"/>
    <s v="1Point Rate"/>
    <s v="MTG"/>
    <x v="424"/>
    <n v="4.585092837463657"/>
  </r>
  <r>
    <x v="0"/>
    <s v="Quicken"/>
    <s v="1Point Rate"/>
    <s v="MTG"/>
    <x v="425"/>
    <n v="4.5676392933581882"/>
  </r>
  <r>
    <x v="0"/>
    <s v="Quicken"/>
    <s v="1Point Rate"/>
    <s v="MTG"/>
    <x v="426"/>
    <n v="4.585092837463657"/>
  </r>
  <r>
    <x v="0"/>
    <s v="Quicken"/>
    <s v="1Point Rate"/>
    <s v="MTG"/>
    <x v="427"/>
    <n v="4.4929920752998243"/>
  </r>
  <r>
    <x v="0"/>
    <s v="Quicken"/>
    <s v="1Point Rate"/>
    <s v="MTG"/>
    <x v="428"/>
    <n v="4.535995802572498"/>
  </r>
  <r>
    <x v="0"/>
    <s v="Quicken"/>
    <s v="1Point Rate"/>
    <s v="MTG"/>
    <x v="429"/>
    <n v="4.6278787880568846"/>
  </r>
  <r>
    <x v="0"/>
    <s v="Quicken"/>
    <s v="1Point Rate"/>
    <s v="MTG"/>
    <x v="430"/>
    <n v="4.535995802572498"/>
  </r>
  <r>
    <x v="0"/>
    <s v="Quicken"/>
    <s v="1Point Rate"/>
    <s v="MTG"/>
    <x v="431"/>
    <n v="4.585092837463657"/>
  </r>
  <r>
    <x v="0"/>
    <s v="Quicken"/>
    <s v="1Point Rate"/>
    <s v="MTG"/>
    <x v="432"/>
    <n v="4.585092837463657"/>
  </r>
  <r>
    <x v="0"/>
    <s v="Quicken"/>
    <s v="1Point Rate"/>
    <s v="MTG"/>
    <x v="433"/>
    <n v="4.585092837463657"/>
  </r>
  <r>
    <x v="0"/>
    <s v="Quicken"/>
    <s v="1Point Rate"/>
    <s v="MTG"/>
    <x v="434"/>
    <n v="4.585092837463657"/>
  </r>
  <r>
    <x v="0"/>
    <s v="Quicken"/>
    <s v="1Point Rate"/>
    <s v="MTG"/>
    <x v="435"/>
    <n v="4.5963526852907544"/>
  </r>
  <r>
    <x v="0"/>
    <s v="Quicken"/>
    <s v="1Point Rate"/>
    <s v="MTG"/>
    <x v="436"/>
    <n v="4.5963526852907544"/>
  </r>
  <r>
    <x v="0"/>
    <s v="Quicken"/>
    <s v="1Point Rate"/>
    <s v="MTG"/>
    <x v="437"/>
    <n v="4.5963526852907544"/>
  </r>
  <r>
    <x v="0"/>
    <s v="Quicken"/>
    <s v="1Point Rate"/>
    <s v="MTG"/>
    <x v="438"/>
    <n v="4.7559818902716513"/>
  </r>
  <r>
    <x v="0"/>
    <s v="Quicken"/>
    <s v="1Point Rate"/>
    <s v="MTG"/>
    <x v="439"/>
    <n v="4.7559818902716513"/>
  </r>
  <r>
    <x v="0"/>
    <s v="Quicken"/>
    <s v="1Point Rate"/>
    <s v="MTG"/>
    <x v="440"/>
    <n v="4.7559818902716513"/>
  </r>
  <r>
    <x v="0"/>
    <s v="Quicken"/>
    <s v="1Point Rate"/>
    <s v="MTG"/>
    <x v="441"/>
    <n v="4.7559818902716513"/>
  </r>
  <r>
    <x v="0"/>
    <s v="Quicken"/>
    <s v="1Point Rate"/>
    <s v="MTG"/>
    <x v="442"/>
    <n v="4.7559818902716513"/>
  </r>
  <r>
    <x v="0"/>
    <s v="Quicken"/>
    <s v="1Point Rate"/>
    <s v="MTG"/>
    <x v="443"/>
    <n v="4.7559818902716513"/>
  </r>
  <r>
    <x v="0"/>
    <s v="Quicken"/>
    <s v="1Point Rate"/>
    <s v="MTG"/>
    <x v="444"/>
    <n v="4.7220899627389947"/>
  </r>
  <r>
    <x v="0"/>
    <s v="Quicken"/>
    <s v="1Point Rate"/>
    <s v="MTG"/>
    <x v="445"/>
    <n v="4.7220899627389947"/>
  </r>
  <r>
    <x v="0"/>
    <s v="Quicken"/>
    <s v="1Point Rate"/>
    <s v="MTG"/>
    <x v="446"/>
    <n v="4.7220899627389947"/>
  </r>
  <r>
    <x v="0"/>
    <s v="Quicken"/>
    <s v="1Point Rate"/>
    <s v="MTG"/>
    <x v="447"/>
    <n v="4.7220899627389947"/>
  </r>
  <r>
    <x v="0"/>
    <s v="Quicken"/>
    <s v="1Point Rate"/>
    <s v="MTG"/>
    <x v="448"/>
    <n v="4.7220899627389947"/>
  </r>
  <r>
    <x v="0"/>
    <s v="Quicken"/>
    <s v="1Point Rate"/>
    <s v="MTG"/>
    <x v="449"/>
    <n v="4.7220899627389947"/>
  </r>
  <r>
    <x v="0"/>
    <s v="Quicken"/>
    <s v="1Point Rate"/>
    <s v="MTG"/>
    <x v="450"/>
    <n v="4.7220899627389947"/>
  </r>
  <r>
    <x v="0"/>
    <s v="Quicken"/>
    <s v="1Point Rate"/>
    <s v="MTG"/>
    <x v="451"/>
    <n v="4.7220899627389947"/>
  </r>
  <r>
    <x v="0"/>
    <s v="Quicken"/>
    <s v="1Point Rate"/>
    <s v="MTG"/>
    <x v="452"/>
    <n v="4.7220899627389947"/>
  </r>
  <r>
    <x v="0"/>
    <s v="Quicken"/>
    <s v="1Point Rate"/>
    <s v="MTG"/>
    <x v="453"/>
    <n v="4.7220899627389947"/>
  </r>
  <r>
    <x v="0"/>
    <s v="Quicken"/>
    <s v="1Point Rate"/>
    <s v="MTG"/>
    <x v="454"/>
    <n v="4.7220899627389947"/>
  </r>
  <r>
    <x v="0"/>
    <s v="Quicken"/>
    <s v="1Point Rate"/>
    <s v="MTG"/>
    <x v="455"/>
    <n v="4.7220899627389947"/>
  </r>
  <r>
    <x v="0"/>
    <s v="Quicken"/>
    <s v="1Point Rate"/>
    <s v="MTG"/>
    <x v="456"/>
    <n v="4.7220899627389947"/>
  </r>
  <r>
    <x v="0"/>
    <s v="Quicken"/>
    <s v="1Point Rate"/>
    <s v="MTG"/>
    <x v="457"/>
    <n v="4.7220899627389947"/>
  </r>
  <r>
    <x v="0"/>
    <s v="Quicken"/>
    <s v="1Point Rate"/>
    <s v="MTG"/>
    <x v="458"/>
    <n v="4.7220899627389947"/>
  </r>
  <r>
    <x v="0"/>
    <s v="Quicken"/>
    <s v="1Point Rate"/>
    <s v="MTG"/>
    <x v="459"/>
    <n v="4.5563675496667244"/>
  </r>
  <r>
    <x v="0"/>
    <s v="Quicken"/>
    <s v="1Point Rate"/>
    <s v="MTG"/>
    <x v="460"/>
    <n v="4.5563675496667244"/>
  </r>
  <r>
    <x v="0"/>
    <s v="Quicken"/>
    <s v="1Point Rate"/>
    <s v="MTG"/>
    <x v="461"/>
    <n v="4.5563675496667244"/>
  </r>
  <r>
    <x v="0"/>
    <s v="Quicken"/>
    <s v="1Point Rate"/>
    <s v="MTG"/>
    <x v="462"/>
    <n v="4.5563675496667244"/>
  </r>
  <r>
    <x v="0"/>
    <s v="Quicken"/>
    <s v="1Point Rate"/>
    <s v="MTG"/>
    <x v="463"/>
    <n v="4.5563675496667244"/>
  </r>
  <r>
    <x v="0"/>
    <s v="Quicken"/>
    <s v="1Point Rate"/>
    <s v="MTG"/>
    <x v="464"/>
    <n v="4.5563675496667244"/>
  </r>
  <r>
    <x v="0"/>
    <s v="Quicken"/>
    <s v="1Point Rate"/>
    <s v="MTG"/>
    <x v="465"/>
    <n v="4.5563675496667244"/>
  </r>
  <r>
    <x v="0"/>
    <s v="Quicken"/>
    <s v="1Point Rate"/>
    <s v="MTG"/>
    <x v="466"/>
    <n v="4.5563675496667244"/>
  </r>
  <r>
    <x v="0"/>
    <s v="Quicken"/>
    <s v="1Point Rate"/>
    <s v="MTG"/>
    <x v="467"/>
    <n v="4.5563675496667244"/>
  </r>
  <r>
    <x v="0"/>
    <s v="Quicken"/>
    <s v="1Point Rate"/>
    <s v="MTG"/>
    <x v="468"/>
    <n v="4.5563675496667244"/>
  </r>
  <r>
    <x v="0"/>
    <s v="Quicken"/>
    <s v="1Point Rate"/>
    <s v="MTG"/>
    <x v="469"/>
    <n v="4.5563675496667244"/>
  </r>
  <r>
    <x v="0"/>
    <s v="Quicken"/>
    <s v="1Point Rate"/>
    <s v="MTG"/>
    <x v="470"/>
    <n v="4.5963526852907544"/>
  </r>
  <r>
    <x v="0"/>
    <s v="Quicken"/>
    <s v="1Point Rate"/>
    <s v="MTG"/>
    <x v="471"/>
    <n v="4.5963526852907544"/>
  </r>
  <r>
    <x v="0"/>
    <s v="Quicken"/>
    <s v="1Point Rate"/>
    <s v="MTG"/>
    <x v="472"/>
    <n v="4.5963526852907544"/>
  </r>
  <r>
    <x v="0"/>
    <s v="Quicken"/>
    <s v="1Point Rate"/>
    <s v="MTG"/>
    <x v="473"/>
    <n v="4.5963526852907544"/>
  </r>
  <r>
    <x v="0"/>
    <s v="Quicken"/>
    <s v="1Point Rate"/>
    <s v="MTG"/>
    <x v="474"/>
    <n v="4.5676392933581882"/>
  </r>
  <r>
    <x v="0"/>
    <s v="Quicken"/>
    <s v="1Point Rate"/>
    <s v="MTG"/>
    <x v="475"/>
    <n v="4.5676392933581882"/>
  </r>
  <r>
    <x v="0"/>
    <s v="Quicken"/>
    <s v="1Point Rate"/>
    <s v="MTG"/>
    <x v="476"/>
    <n v="4.5676392933581882"/>
  </r>
  <r>
    <x v="0"/>
    <s v="Quicken"/>
    <s v="1Point Rate"/>
    <s v="MTG"/>
    <x v="477"/>
    <n v="4.5676392933581882"/>
  </r>
  <r>
    <x v="0"/>
    <s v="Quicken"/>
    <s v="1Point Rate"/>
    <s v="MTG"/>
    <x v="478"/>
    <n v="4.5676392933581882"/>
  </r>
  <r>
    <x v="0"/>
    <s v="Quicken"/>
    <s v="1Point Rate"/>
    <s v="MTG"/>
    <x v="479"/>
    <n v="4.5676392933581882"/>
  </r>
  <r>
    <x v="0"/>
    <s v="Quicken"/>
    <s v="1Point Rate"/>
    <s v="MTG"/>
    <x v="480"/>
    <n v="4.5676392933581882"/>
  </r>
  <r>
    <x v="0"/>
    <s v="Quicken"/>
    <s v="1Point Rate"/>
    <s v="MTG"/>
    <x v="481"/>
    <n v="4.5676392933581882"/>
  </r>
  <r>
    <x v="0"/>
    <s v="Quicken"/>
    <s v="1Point Rate"/>
    <s v="MTG"/>
    <x v="482"/>
    <n v="4.5676392933581882"/>
  </r>
  <r>
    <x v="0"/>
    <s v="Quicken"/>
    <s v="1Point Rate"/>
    <s v="MTG"/>
    <x v="483"/>
    <n v="4.5676392933581882"/>
  </r>
  <r>
    <x v="0"/>
    <s v="Quicken"/>
    <s v="1Point Rate"/>
    <s v="MTG"/>
    <x v="484"/>
    <n v="4.5676392933581882"/>
  </r>
  <r>
    <x v="0"/>
    <s v="Quicken"/>
    <s v="1Point Rate"/>
    <s v="MTG"/>
    <x v="485"/>
    <n v="4.5676392933581882"/>
  </r>
  <r>
    <x v="0"/>
    <s v="Quicken"/>
    <s v="1Point Rate"/>
    <s v="MTG"/>
    <x v="486"/>
    <n v="4.5676392933581882"/>
  </r>
  <r>
    <x v="0"/>
    <s v="Quicken"/>
    <s v="1Point Rate"/>
    <s v="MTG"/>
    <x v="487"/>
    <n v="4.5676392933581882"/>
  </r>
  <r>
    <x v="0"/>
    <s v="Quicken"/>
    <s v="1Point Rate"/>
    <s v="MTG"/>
    <x v="488"/>
    <n v="4.5676392933581882"/>
  </r>
  <r>
    <x v="0"/>
    <s v="Quicken"/>
    <s v="1Point Rate"/>
    <s v="MTG"/>
    <x v="489"/>
    <n v="4.5676392933581882"/>
  </r>
  <r>
    <x v="0"/>
    <s v="Quicken"/>
    <s v="1Point Rate"/>
    <s v="MTG"/>
    <x v="490"/>
    <n v="4.5676392933581882"/>
  </r>
  <r>
    <x v="0"/>
    <s v="Quicken"/>
    <s v="1Point Rate"/>
    <s v="MTG"/>
    <x v="491"/>
    <n v="4.5676392933581882"/>
  </r>
  <r>
    <x v="0"/>
    <s v="Quicken"/>
    <s v="1Point Rate"/>
    <s v="MTG"/>
    <x v="492"/>
    <n v="4.5676392933581882"/>
  </r>
  <r>
    <x v="0"/>
    <s v="Quicken"/>
    <s v="1Point Rate"/>
    <s v="MTG"/>
    <x v="493"/>
    <n v="4.5676392933581882"/>
  </r>
  <r>
    <x v="0"/>
    <s v="Quicken"/>
    <s v="1Point Rate"/>
    <s v="MTG"/>
    <x v="494"/>
    <n v="4.5676392933581882"/>
  </r>
  <r>
    <x v="0"/>
    <s v="Quicken"/>
    <s v="1Point Rate"/>
    <s v="MTG"/>
    <x v="495"/>
    <n v="4.5676392933581882"/>
  </r>
  <r>
    <x v="0"/>
    <s v="Quicken"/>
    <s v="1Point Rate"/>
    <s v="MTG"/>
    <x v="496"/>
    <n v="4.5676392933581882"/>
  </r>
  <r>
    <x v="0"/>
    <s v="Quicken"/>
    <s v="1Point Rate"/>
    <s v="MTG"/>
    <x v="497"/>
    <n v="4.5676392933581882"/>
  </r>
  <r>
    <x v="0"/>
    <s v="Quicken"/>
    <s v="1Point Rate"/>
    <s v="MTG"/>
    <x v="498"/>
    <n v="4.5676392933581882"/>
  </r>
  <r>
    <x v="0"/>
    <s v="Quicken"/>
    <s v="1Point Rate"/>
    <s v="MTG"/>
    <x v="499"/>
    <n v="4.7147042538915791"/>
  </r>
  <r>
    <x v="0"/>
    <s v="Quicken"/>
    <s v="1Point Rate"/>
    <s v="MTG"/>
    <x v="500"/>
    <n v="4.7147042538915791"/>
  </r>
  <r>
    <x v="0"/>
    <s v="Quicken"/>
    <s v="1Point Rate"/>
    <s v="MTG"/>
    <x v="501"/>
    <n v="4.7147042538915791"/>
  </r>
  <r>
    <x v="0"/>
    <s v="Quicken"/>
    <s v="1Point Rate"/>
    <s v="MTG"/>
    <x v="502"/>
    <n v="4.7147042538915791"/>
  </r>
  <r>
    <x v="0"/>
    <s v="Quicken"/>
    <s v="1Point Rate"/>
    <s v="MTG"/>
    <x v="503"/>
    <n v="4.7147042538915791"/>
  </r>
  <r>
    <x v="0"/>
    <s v="Quicken"/>
    <s v="1Point Rate"/>
    <s v="MTG"/>
    <x v="504"/>
    <n v="4.5676392933581882"/>
  </r>
  <r>
    <x v="0"/>
    <s v="Quicken"/>
    <s v="1Point Rate"/>
    <s v="MTG"/>
    <x v="505"/>
    <n v="4.5676392933581882"/>
  </r>
  <r>
    <x v="0"/>
    <s v="Quicken"/>
    <s v="1Point Rate"/>
    <s v="MTG"/>
    <x v="506"/>
    <n v="4.585092837463657"/>
  </r>
  <r>
    <x v="0"/>
    <s v="Quicken"/>
    <s v="1Point Rate"/>
    <s v="MTG"/>
    <x v="507"/>
    <n v="4.6278787880568846"/>
  </r>
  <r>
    <x v="0"/>
    <s v="Quicken"/>
    <s v="1Point Rate"/>
    <s v="MTG"/>
    <x v="508"/>
    <n v="4.5963526852907544"/>
  </r>
  <r>
    <x v="0"/>
    <s v="Quicken"/>
    <s v="1Point Rate"/>
    <s v="MTG"/>
    <x v="509"/>
    <n v="4.5963526852907544"/>
  </r>
  <r>
    <x v="0"/>
    <s v="Quicken"/>
    <s v="1Point Rate"/>
    <s v="MTG"/>
    <x v="510"/>
    <n v="4.5963526852907544"/>
  </r>
  <r>
    <x v="0"/>
    <s v="Quicken"/>
    <s v="1Point Rate"/>
    <s v="MTG"/>
    <x v="511"/>
    <n v="4.4929920752998243"/>
  </r>
  <r>
    <x v="0"/>
    <s v="Quicken"/>
    <s v="1Point Rate"/>
    <s v="MTG"/>
    <x v="512"/>
    <n v="4.4929920752998243"/>
  </r>
  <r>
    <x v="0"/>
    <s v="Quicken"/>
    <s v="1Point Rate"/>
    <s v="MTG"/>
    <x v="513"/>
    <n v="4.4929920752998243"/>
  </r>
  <r>
    <x v="0"/>
    <s v="Quicken"/>
    <s v="1Point Rate"/>
    <s v="MTG"/>
    <x v="514"/>
    <n v="4.585092837463657"/>
  </r>
  <r>
    <x v="0"/>
    <s v="Quicken"/>
    <s v="1Point Rate"/>
    <s v="MTG"/>
    <x v="515"/>
    <n v="4.585092837463657"/>
  </r>
  <r>
    <x v="0"/>
    <s v="Quicken"/>
    <s v="1Point Rate"/>
    <s v="MTG"/>
    <x v="516"/>
    <n v="4.4929920752998243"/>
  </r>
  <r>
    <x v="0"/>
    <s v="Quicken"/>
    <s v="1Point Rate"/>
    <s v="MTG"/>
    <x v="517"/>
    <n v="4.4929920752998243"/>
  </r>
  <r>
    <x v="0"/>
    <s v="Quicken"/>
    <s v="1Point Rate"/>
    <s v="MTG"/>
    <x v="518"/>
    <n v="4.4293683816765057"/>
  </r>
  <r>
    <x v="0"/>
    <s v="Quicken"/>
    <s v="1Point Rate"/>
    <s v="MTG"/>
    <x v="519"/>
    <n v="4.4293683816765057"/>
  </r>
  <r>
    <x v="0"/>
    <s v="Quicken"/>
    <s v="1Point Rate"/>
    <s v="MTG"/>
    <x v="520"/>
    <n v="4.3771781350109968"/>
  </r>
  <r>
    <x v="0"/>
    <s v="Quicken"/>
    <s v="1Point Rate"/>
    <s v="MTG"/>
    <x v="521"/>
    <n v="4.3771781350109968"/>
  </r>
  <r>
    <x v="0"/>
    <s v="Quicken"/>
    <s v="1Point Rate"/>
    <s v="MTG"/>
    <x v="522"/>
    <n v="4.4612113276937526"/>
  </r>
  <r>
    <x v="0"/>
    <s v="Quicken"/>
    <s v="1Point Rate"/>
    <s v="MTG"/>
    <x v="523"/>
    <n v="4.4293683816765057"/>
  </r>
  <r>
    <x v="0"/>
    <s v="Quicken"/>
    <s v="1Point Rate"/>
    <s v="MTG"/>
    <x v="524"/>
    <n v="4.4929920752998243"/>
  </r>
  <r>
    <x v="0"/>
    <s v="Quicken"/>
    <s v="1Point Rate"/>
    <s v="MTG"/>
    <x v="525"/>
    <n v="4.4929920752998243"/>
  </r>
  <r>
    <x v="0"/>
    <s v="Quicken"/>
    <s v="1Point Rate"/>
    <s v="MTG"/>
    <x v="526"/>
    <n v="4.585092837463657"/>
  </r>
  <r>
    <x v="0"/>
    <s v="Quicken"/>
    <s v="1Point Rate"/>
    <s v="MTG"/>
    <x v="527"/>
    <n v="4.4929920752998243"/>
  </r>
  <r>
    <x v="0"/>
    <s v="Quicken"/>
    <s v="1Point Rate"/>
    <s v="MTG"/>
    <x v="528"/>
    <n v="4.4929920752998243"/>
  </r>
  <r>
    <x v="0"/>
    <s v="Quicken"/>
    <s v="1Point Rate"/>
    <s v="MTG"/>
    <x v="529"/>
    <n v="4.4929920752998243"/>
  </r>
  <r>
    <x v="0"/>
    <s v="Quicken"/>
    <s v="1Point Rate"/>
    <s v="MTG"/>
    <x v="530"/>
    <n v="4.4929920752998243"/>
  </r>
  <r>
    <x v="0"/>
    <s v="Quicken"/>
    <s v="1Point Rate"/>
    <s v="MTG"/>
    <x v="531"/>
    <n v="4.4929920752998243"/>
  </r>
  <r>
    <x v="0"/>
    <s v="Quicken"/>
    <s v="1Point Rate"/>
    <s v="MTG"/>
    <x v="532"/>
    <n v="4.585092837463657"/>
  </r>
  <r>
    <x v="0"/>
    <s v="Quicken"/>
    <s v="1Point Rate"/>
    <s v="MTG"/>
    <x v="533"/>
    <n v="4.585092837463657"/>
  </r>
  <r>
    <x v="0"/>
    <s v="Quicken"/>
    <s v="1Point Rate"/>
    <s v="MTG"/>
    <x v="534"/>
    <n v="4.4929920752998243"/>
  </r>
  <r>
    <x v="0"/>
    <s v="Quicken"/>
    <s v="1Point Rate"/>
    <s v="MTG"/>
    <x v="535"/>
    <n v="4.5247107681827838"/>
  </r>
  <r>
    <x v="0"/>
    <s v="Quicken"/>
    <s v="1Point Rate"/>
    <s v="MTG"/>
    <x v="536"/>
    <n v="4.5247107681827838"/>
  </r>
  <r>
    <x v="0"/>
    <s v="Quicken"/>
    <s v="1Point Rate"/>
    <s v="MTG"/>
    <x v="537"/>
    <n v="4.5247107681827838"/>
  </r>
  <r>
    <x v="0"/>
    <s v="Quicken"/>
    <s v="1Point Rate"/>
    <s v="MTG"/>
    <x v="538"/>
    <n v="4.4929920752998243"/>
  </r>
  <r>
    <x v="0"/>
    <s v="Quicken"/>
    <s v="1Point Rate"/>
    <s v="MTG"/>
    <x v="539"/>
    <n v="4.4929920752998243"/>
  </r>
  <r>
    <x v="0"/>
    <s v="Quicken"/>
    <s v="1Point Rate"/>
    <s v="MTG"/>
    <x v="540"/>
    <n v="4.4380959133108595"/>
  </r>
  <r>
    <x v="0"/>
    <s v="Quicken"/>
    <s v="1Point Rate"/>
    <s v="MTG"/>
    <x v="541"/>
    <n v="4.3771781350109968"/>
  </r>
  <r>
    <x v="0"/>
    <s v="Quicken"/>
    <s v="1Point Rate"/>
    <s v="MTG"/>
    <x v="542"/>
    <n v="4.4062150485441451"/>
  </r>
  <r>
    <x v="0"/>
    <s v="Quicken"/>
    <s v="1Point Rate"/>
    <s v="MTG"/>
    <x v="543"/>
    <n v="4.4380959133108595"/>
  </r>
  <r>
    <x v="0"/>
    <s v="Quicken"/>
    <s v="1Point Rate"/>
    <s v="MTG"/>
    <x v="544"/>
    <n v="4.4062150485441451"/>
  </r>
  <r>
    <x v="0"/>
    <s v="Quicken"/>
    <s v="1Point Rate"/>
    <s v="MTG"/>
    <x v="545"/>
    <n v="4.4380959133108595"/>
  </r>
  <r>
    <x v="0"/>
    <s v="Quicken"/>
    <s v="1Point Rate"/>
    <s v="MTG"/>
    <x v="546"/>
    <n v="4.4062150485441451"/>
  </r>
  <r>
    <x v="0"/>
    <s v="Quicken"/>
    <s v="1Point Rate"/>
    <s v="MTG"/>
    <x v="547"/>
    <n v="4.4062150485441451"/>
  </r>
  <r>
    <x v="0"/>
    <s v="Quicken"/>
    <s v="1Point Rate"/>
    <s v="MTG"/>
    <x v="548"/>
    <n v="4.3771781350109968"/>
  </r>
  <r>
    <x v="0"/>
    <s v="Quicken"/>
    <s v="1Point Rate"/>
    <s v="MTG"/>
    <x v="549"/>
    <n v="4.4062150485441451"/>
  </r>
  <r>
    <x v="0"/>
    <s v="Quicken"/>
    <s v="1Point Rate"/>
    <s v="MTG"/>
    <x v="550"/>
    <n v="4.3131143092804933"/>
  </r>
  <r>
    <x v="0"/>
    <s v="Quicken"/>
    <s v="1Point Rate"/>
    <s v="MTG"/>
    <x v="551"/>
    <n v="4.3771781350109968"/>
  </r>
  <r>
    <x v="0"/>
    <s v="Quicken"/>
    <s v="1Point Rate"/>
    <s v="MTG"/>
    <x v="552"/>
    <n v="4.3131087489386006"/>
  </r>
  <r>
    <x v="0"/>
    <s v="Quicken"/>
    <s v="1Point Rate"/>
    <s v="MTG"/>
    <x v="553"/>
    <n v="4.3131143092804933"/>
  </r>
  <r>
    <x v="0"/>
    <s v="Quicken"/>
    <s v="1Point Rate"/>
    <s v="MTG"/>
    <x v="554"/>
    <n v="4.3451776555859825"/>
  </r>
  <r>
    <x v="0"/>
    <s v="Quicken"/>
    <s v="1Point Rate"/>
    <s v="MTG"/>
    <x v="555"/>
    <n v="4.3771781350109968"/>
  </r>
  <r>
    <x v="0"/>
    <s v="Quicken"/>
    <s v="1Point Rate"/>
    <s v="MTG"/>
    <x v="556"/>
    <n v="4.4062150485441451"/>
  </r>
  <r>
    <x v="0"/>
    <s v="Quicken"/>
    <s v="1Point Rate"/>
    <s v="MTG"/>
    <x v="557"/>
    <n v="4.4062150485441451"/>
  </r>
  <r>
    <x v="0"/>
    <s v="Quicken"/>
    <s v="1Point Rate"/>
    <s v="MTG"/>
    <x v="558"/>
    <n v="4.3131143092804933"/>
  </r>
  <r>
    <x v="0"/>
    <s v="Quicken"/>
    <s v="1Point Rate"/>
    <s v="MTG"/>
    <x v="559"/>
    <n v="4.3451776555859825"/>
  </r>
  <r>
    <x v="0"/>
    <s v="Quicken"/>
    <s v="1Point Rate"/>
    <s v="MTG"/>
    <x v="560"/>
    <n v="4.3451776555859825"/>
  </r>
  <r>
    <x v="0"/>
    <s v="Quicken"/>
    <s v="1Point Rate"/>
    <s v="MTG"/>
    <x v="561"/>
    <n v="4.3771781350109968"/>
  </r>
  <r>
    <x v="0"/>
    <s v="Quicken"/>
    <s v="1Point Rate"/>
    <s v="MTG"/>
    <x v="562"/>
    <n v="4.3771781350109968"/>
  </r>
  <r>
    <x v="0"/>
    <s v="Quicken"/>
    <s v="1Point Rate"/>
    <s v="MTG"/>
    <x v="563"/>
    <n v="4.3451776555859825"/>
  </r>
  <r>
    <x v="0"/>
    <s v="Quicken"/>
    <s v="1Point Rate"/>
    <s v="MTG"/>
    <x v="564"/>
    <n v="4.3451776555859825"/>
  </r>
  <r>
    <x v="0"/>
    <s v="Quicken"/>
    <s v="1Point Rate"/>
    <s v="MTG"/>
    <x v="565"/>
    <n v="4.3451776555859825"/>
  </r>
  <r>
    <x v="0"/>
    <s v="Quicken"/>
    <s v="1Point Rate"/>
    <s v="MTG"/>
    <x v="566"/>
    <n v="4.3131143092804933"/>
  </r>
  <r>
    <x v="0"/>
    <s v="Quicken"/>
    <s v="1Point Rate"/>
    <s v="MTG"/>
    <x v="567"/>
    <n v="4.3451776555859825"/>
  </r>
  <r>
    <x v="0"/>
    <s v="Quicken"/>
    <s v="1Point Rate"/>
    <s v="MTG"/>
    <x v="568"/>
    <n v="4.3451776555859825"/>
  </r>
  <r>
    <x v="0"/>
    <s v="Quicken"/>
    <s v="1Point Rate"/>
    <s v="MTG"/>
    <x v="569"/>
    <n v="4.4380959133108595"/>
  </r>
  <r>
    <x v="0"/>
    <s v="Quicken"/>
    <s v="1Point Rate"/>
    <s v="MTG"/>
    <x v="570"/>
    <n v="4.4062150485441451"/>
  </r>
  <r>
    <x v="0"/>
    <s v="Quicken"/>
    <s v="1Point Rate"/>
    <s v="MTG"/>
    <x v="571"/>
    <n v="4.4293683816765057"/>
  </r>
  <r>
    <x v="0"/>
    <s v="Quicken"/>
    <s v="1Point Rate"/>
    <s v="MTG"/>
    <x v="572"/>
    <n v="4.4929920752998243"/>
  </r>
  <r>
    <x v="0"/>
    <s v="Quicken"/>
    <s v="1Point Rate"/>
    <s v="MTG"/>
    <x v="573"/>
    <n v="4.5247107681827838"/>
  </r>
  <r>
    <x v="0"/>
    <s v="Quicken"/>
    <s v="1Point Rate"/>
    <s v="MTG"/>
    <x v="574"/>
    <n v="4.4929920752998243"/>
  </r>
  <r>
    <x v="0"/>
    <s v="Quicken"/>
    <s v="1Point Rate"/>
    <s v="MTG"/>
    <x v="575"/>
    <n v="4.4929920752998243"/>
  </r>
  <r>
    <x v="0"/>
    <s v="Quicken"/>
    <s v="1Point Rate"/>
    <s v="MTG"/>
    <x v="576"/>
    <n v="4.4380959133108595"/>
  </r>
  <r>
    <x v="0"/>
    <s v="Quicken"/>
    <s v="1Point Rate"/>
    <s v="MTG"/>
    <x v="577"/>
    <n v="4.4293683816765057"/>
  </r>
  <r>
    <x v="0"/>
    <s v="Quicken"/>
    <s v="1Point Rate"/>
    <s v="MTG"/>
    <x v="578"/>
    <n v="4.4380959133108595"/>
  </r>
  <r>
    <x v="0"/>
    <s v="Quicken"/>
    <s v="1Point Rate"/>
    <s v="MTG"/>
    <x v="579"/>
    <n v="4.4293683816765057"/>
  </r>
  <r>
    <x v="0"/>
    <s v="Quicken"/>
    <s v="1Point Rate"/>
    <s v="MTG"/>
    <x v="580"/>
    <n v="4.4062150485441451"/>
  </r>
  <r>
    <x v="0"/>
    <s v="Quicken"/>
    <s v="1Point Rate"/>
    <s v="MTG"/>
    <x v="581"/>
    <n v="4.4062150485441451"/>
  </r>
  <r>
    <x v="0"/>
    <s v="Quicken"/>
    <s v="1Point Rate"/>
    <s v="MTG"/>
    <x v="582"/>
    <n v="4.3771781350109968"/>
  </r>
  <r>
    <x v="0"/>
    <s v="Quicken"/>
    <s v="1Point Rate"/>
    <s v="MTG"/>
    <x v="583"/>
    <n v="4.3771781350109968"/>
  </r>
  <r>
    <x v="0"/>
    <s v="Quicken"/>
    <s v="1Point Rate"/>
    <s v="MTG"/>
    <x v="584"/>
    <n v="4.4062150485441451"/>
  </r>
  <r>
    <x v="0"/>
    <s v="Quicken"/>
    <s v="1Point Rate"/>
    <s v="MTG"/>
    <x v="585"/>
    <n v="4.3771781350109968"/>
  </r>
  <r>
    <x v="0"/>
    <s v="Quicken"/>
    <s v="1Point Rate"/>
    <s v="MTG"/>
    <x v="586"/>
    <n v="4.4380959133108595"/>
  </r>
  <r>
    <x v="0"/>
    <s v="Quicken"/>
    <s v="1Point Rate"/>
    <s v="MTG"/>
    <x v="587"/>
    <n v="4.4380959133108595"/>
  </r>
  <r>
    <x v="0"/>
    <s v="Quicken"/>
    <s v="1Point Rate"/>
    <s v="MTG"/>
    <x v="588"/>
    <n v="4.4062150485441451"/>
  </r>
  <r>
    <x v="0"/>
    <s v="Quicken"/>
    <s v="1Point Rate"/>
    <s v="MTG"/>
    <x v="589"/>
    <n v="4.3451776555859825"/>
  </r>
  <r>
    <x v="0"/>
    <s v="Quicken"/>
    <s v="1Point Rate"/>
    <s v="MTG"/>
    <x v="590"/>
    <n v="4.3451776555859825"/>
  </r>
  <r>
    <x v="0"/>
    <s v="Quicken"/>
    <s v="1Point Rate"/>
    <s v="MTG"/>
    <x v="591"/>
    <n v="4.3131143092804933"/>
  </r>
  <r>
    <x v="0"/>
    <s v="Quicken"/>
    <s v="1Point Rate"/>
    <s v="MTG"/>
    <x v="592"/>
    <n v="4.3451776555859825"/>
  </r>
  <r>
    <x v="0"/>
    <s v="Quicken"/>
    <s v="1Point Rate"/>
    <s v="MTG"/>
    <x v="593"/>
    <n v="4.3451776555859825"/>
  </r>
  <r>
    <x v="0"/>
    <s v="Quicken"/>
    <s v="1Point Rate"/>
    <s v="MTG"/>
    <x v="594"/>
    <n v="4.3451776555859825"/>
  </r>
  <r>
    <x v="0"/>
    <s v="Quicken"/>
    <s v="1Point Rate"/>
    <s v="MTG"/>
    <x v="595"/>
    <n v="4.280990246513638"/>
  </r>
  <r>
    <x v="0"/>
    <s v="Quicken"/>
    <s v="1Point Rate"/>
    <s v="MTG"/>
    <x v="596"/>
    <n v="4.3131087489386006"/>
  </r>
  <r>
    <x v="0"/>
    <s v="Quicken"/>
    <s v="1Point Rate"/>
    <s v="MTG"/>
    <x v="597"/>
    <n v="4.3131087489386006"/>
  </r>
  <r>
    <x v="0"/>
    <s v="Quicken"/>
    <s v="1Point Rate"/>
    <s v="MTG"/>
    <x v="598"/>
    <n v="4.3131087489386006"/>
  </r>
  <r>
    <x v="0"/>
    <s v="Quicken"/>
    <s v="1Point Rate"/>
    <s v="MTG"/>
    <x v="599"/>
    <n v="4.3131143092804933"/>
  </r>
  <r>
    <x v="0"/>
    <s v="Quicken"/>
    <s v="1Point Rate"/>
    <s v="MTG"/>
    <x v="600"/>
    <n v="4.3131143092804933"/>
  </r>
  <r>
    <x v="0"/>
    <s v="Quicken"/>
    <s v="1Point Rate"/>
    <s v="MTG"/>
    <x v="601"/>
    <n v="4.3451640831048239"/>
  </r>
  <r>
    <x v="0"/>
    <s v="Quicken"/>
    <s v="1Point Rate"/>
    <s v="MTG"/>
    <x v="602"/>
    <n v="4.280990246513638"/>
  </r>
  <r>
    <x v="0"/>
    <s v="Quicken"/>
    <s v="1Point Rate"/>
    <s v="MTG"/>
    <x v="603"/>
    <n v="4.3131087489386006"/>
  </r>
  <r>
    <x v="0"/>
    <s v="Quicken"/>
    <s v="1Point Rate"/>
    <s v="MTG"/>
    <x v="604"/>
    <n v="4.3131087489386006"/>
  </r>
  <r>
    <x v="0"/>
    <s v="Quicken"/>
    <s v="1Point Rate"/>
    <s v="MTG"/>
    <x v="605"/>
    <n v="4.3131087489386006"/>
  </r>
  <r>
    <x v="0"/>
    <s v="Quicken"/>
    <s v="1Point Rate"/>
    <s v="MTG"/>
    <x v="606"/>
    <n v="4.280990246513638"/>
  </r>
  <r>
    <x v="0"/>
    <s v="Quicken"/>
    <s v="1Point Rate"/>
    <s v="MTG"/>
    <x v="607"/>
    <n v="4.280990246513638"/>
  </r>
  <r>
    <x v="0"/>
    <s v="Quicken"/>
    <s v="1Point Rate"/>
    <s v="MTG"/>
    <x v="608"/>
    <n v="4.1871940628292794"/>
  </r>
  <r>
    <x v="0"/>
    <s v="Quicken"/>
    <s v="1Point Rate"/>
    <s v="MTG"/>
    <x v="609"/>
    <n v="4.2488084289060692"/>
  </r>
  <r>
    <x v="0"/>
    <s v="Quicken"/>
    <s v="1Point Rate"/>
    <s v="MTG"/>
    <x v="610"/>
    <n v="4.2488084289060692"/>
  </r>
  <r>
    <x v="0"/>
    <s v="Quicken"/>
    <s v="1Point Rate"/>
    <s v="MTG"/>
    <x v="611"/>
    <n v="4.2751437206531122"/>
  </r>
  <r>
    <x v="0"/>
    <s v="Quicken"/>
    <s v="1Point Rate"/>
    <s v="MTG"/>
    <x v="612"/>
    <n v="4.2429503753802189"/>
  </r>
  <r>
    <x v="0"/>
    <s v="Quicken"/>
    <s v="1Point Rate"/>
    <s v="MTG"/>
    <x v="613"/>
    <n v="4.2086193094627129"/>
  </r>
  <r>
    <x v="0"/>
    <s v="Quicken"/>
    <s v="1Point Rate"/>
    <s v="MTG"/>
    <x v="614"/>
    <n v="4.2086193094627129"/>
  </r>
  <r>
    <x v="0"/>
    <s v="Quicken"/>
    <s v="1Point Rate"/>
    <s v="MTG"/>
    <x v="615"/>
    <n v="4.2086193094627129"/>
  </r>
  <r>
    <x v="0"/>
    <s v="Quicken"/>
    <s v="1Point Rate"/>
    <s v="MTG"/>
    <x v="616"/>
    <n v="4.2429503753802189"/>
  </r>
  <r>
    <x v="0"/>
    <s v="Quicken"/>
    <s v="1Point Rate"/>
    <s v="MTG"/>
    <x v="617"/>
    <n v="4.3043554281633112"/>
  </r>
  <r>
    <x v="0"/>
    <s v="Quicken"/>
    <s v="1Point Rate"/>
    <s v="MTG"/>
    <x v="618"/>
    <n v="4.2751437206531122"/>
  </r>
  <r>
    <x v="0"/>
    <s v="Quicken"/>
    <s v="1Point Rate"/>
    <s v="MTG"/>
    <x v="619"/>
    <n v="4.3043554281633112"/>
  </r>
  <r>
    <x v="0"/>
    <s v="Quicken"/>
    <s v="1Point Rate"/>
    <s v="MTG"/>
    <x v="620"/>
    <n v="4.3043554281633112"/>
  </r>
  <r>
    <x v="0"/>
    <s v="Quicken"/>
    <s v="1Point Rate"/>
    <s v="MTG"/>
    <x v="621"/>
    <n v="4.3364279754872603"/>
  </r>
  <r>
    <x v="0"/>
    <s v="Quicken"/>
    <s v="1Point Rate"/>
    <s v="MTG"/>
    <x v="622"/>
    <n v="4.3364279754872603"/>
  </r>
  <r>
    <x v="0"/>
    <s v="Quicken"/>
    <s v="1Point Rate"/>
    <s v="MTG"/>
    <x v="623"/>
    <n v="4.3043554281633112"/>
  </r>
  <r>
    <x v="0"/>
    <s v="Quicken"/>
    <s v="1Point Rate"/>
    <s v="MTG"/>
    <x v="624"/>
    <n v="4.3364279754872603"/>
  </r>
  <r>
    <x v="0"/>
    <s v="Quicken"/>
    <s v="1Point Rate"/>
    <s v="MTG"/>
    <x v="625"/>
    <n v="4.3364279754872603"/>
  </r>
  <r>
    <x v="0"/>
    <s v="Quicken"/>
    <s v="1Point Rate"/>
    <s v="MTG"/>
    <x v="626"/>
    <n v="4.3364279754872603"/>
  </r>
  <r>
    <x v="0"/>
    <s v="Quicken"/>
    <s v="1Point Rate"/>
    <s v="MTG"/>
    <x v="627"/>
    <n v="4.3043554281633112"/>
  </r>
  <r>
    <x v="0"/>
    <s v="Quicken"/>
    <s v="1Point Rate"/>
    <s v="MTG"/>
    <x v="628"/>
    <n v="4.3364279754872603"/>
  </r>
  <r>
    <x v="0"/>
    <s v="Quicken"/>
    <s v="1Point Rate"/>
    <s v="MTG"/>
    <x v="629"/>
    <n v="4.3364393474588088"/>
  </r>
  <r>
    <x v="0"/>
    <s v="Quicken"/>
    <s v="1Point Rate"/>
    <s v="MTG"/>
    <x v="630"/>
    <n v="4.3364279754872603"/>
  </r>
  <r>
    <x v="0"/>
    <s v="Quicken"/>
    <s v="1Point Rate"/>
    <s v="MTG"/>
    <x v="631"/>
    <n v="4.3364393474588088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0"/>
    <s v="Wells Fargo"/>
    <s v="1Point Rate"/>
    <s v="MTG"/>
    <x v="9"/>
    <n v="4.1618039804499194"/>
  </r>
  <r>
    <x v="0"/>
    <s v="Wells Fargo"/>
    <s v="1Point Rate"/>
    <s v="MTG"/>
    <x v="10"/>
    <n v="4.1305539804499194"/>
  </r>
  <r>
    <x v="0"/>
    <s v="Wells Fargo"/>
    <s v="1Point Rate"/>
    <s v="MTG"/>
    <x v="11"/>
    <n v="4.1748311341021385"/>
  </r>
  <r>
    <x v="0"/>
    <s v="Wells Fargo"/>
    <s v="1Point Rate"/>
    <s v="MTG"/>
    <x v="12"/>
    <n v="4.1135643018144359"/>
  </r>
  <r>
    <x v="0"/>
    <s v="Wells Fargo"/>
    <s v="1Point Rate"/>
    <s v="MTG"/>
    <x v="13"/>
    <n v="4.1748311341021385"/>
  </r>
  <r>
    <x v="0"/>
    <s v="Wells Fargo"/>
    <s v="1Point Rate"/>
    <s v="MTG"/>
    <x v="14"/>
    <n v="4.1135643018144359"/>
  </r>
  <r>
    <x v="0"/>
    <s v="Wells Fargo"/>
    <s v="1Point Rate"/>
    <s v="MTG"/>
    <x v="15"/>
    <n v="4.0672857326453746"/>
  </r>
  <r>
    <x v="0"/>
    <s v="Wells Fargo"/>
    <s v="1Point Rate"/>
    <s v="MTG"/>
    <x v="16"/>
    <n v="4.1135643018144359"/>
  </r>
  <r>
    <x v="0"/>
    <s v="Wells Fargo"/>
    <s v="1Point Rate"/>
    <s v="MTG"/>
    <x v="17"/>
    <n v="4.2360443194521897"/>
  </r>
  <r>
    <x v="0"/>
    <s v="Wells Fargo"/>
    <s v="1Point Rate"/>
    <s v="MTG"/>
    <x v="18"/>
    <n v="4.2360443194521897"/>
  </r>
  <r>
    <x v="0"/>
    <s v="Wells Fargo"/>
    <s v="1Point Rate"/>
    <s v="MTG"/>
    <x v="19"/>
    <n v="4.1748311341021385"/>
  </r>
  <r>
    <x v="0"/>
    <s v="Wells Fargo"/>
    <s v="1Point Rate"/>
    <s v="MTG"/>
    <x v="20"/>
    <n v="4.1135643018144359"/>
  </r>
  <r>
    <x v="0"/>
    <s v="Wells Fargo"/>
    <s v="1Point Rate"/>
    <s v="MTG"/>
    <x v="21"/>
    <n v="4.1720767377573145"/>
  </r>
  <r>
    <x v="0"/>
    <s v="Wells Fargo"/>
    <s v="1Point Rate"/>
    <s v="MTG"/>
    <x v="22"/>
    <n v="4.1720767377573145"/>
  </r>
  <r>
    <x v="0"/>
    <s v="Wells Fargo"/>
    <s v="1Point Rate"/>
    <s v="MTG"/>
    <x v="23"/>
    <n v="4.0492683414237005"/>
  </r>
  <r>
    <x v="0"/>
    <s v="Wells Fargo"/>
    <s v="1Point Rate"/>
    <s v="MTG"/>
    <x v="24"/>
    <n v="4.1135643018144359"/>
  </r>
  <r>
    <x v="0"/>
    <s v="Wells Fargo"/>
    <s v="1Point Rate"/>
    <s v="MTG"/>
    <x v="25"/>
    <n v="4.1135643018144359"/>
  </r>
  <r>
    <x v="0"/>
    <s v="Wells Fargo"/>
    <s v="1Point Rate"/>
    <s v="MTG"/>
    <x v="26"/>
    <n v="4.0672857326453746"/>
  </r>
  <r>
    <x v="0"/>
    <s v="Wells Fargo"/>
    <s v="1Point Rate"/>
    <s v="MTG"/>
    <x v="27"/>
    <n v="4.1720767377573145"/>
  </r>
  <r>
    <x v="0"/>
    <s v="Wells Fargo"/>
    <s v="1Point Rate"/>
    <s v="MTG"/>
    <x v="28"/>
    <n v="4.0672857326453746"/>
  </r>
  <r>
    <x v="0"/>
    <s v="Wells Fargo"/>
    <s v="1Point Rate"/>
    <s v="MTG"/>
    <x v="29"/>
    <n v="4.0672857326453746"/>
  </r>
  <r>
    <x v="0"/>
    <s v="Wells Fargo"/>
    <s v="1Point Rate"/>
    <s v="MTG"/>
    <x v="30"/>
    <n v="4.1106996097871527"/>
  </r>
  <r>
    <x v="0"/>
    <s v="Wells Fargo"/>
    <s v="1Point Rate"/>
    <s v="MTG"/>
    <x v="31"/>
    <n v="4.1720767377573145"/>
  </r>
  <r>
    <x v="0"/>
    <s v="Wells Fargo"/>
    <s v="1Point Rate"/>
    <s v="MTG"/>
    <x v="32"/>
    <n v="4.1720767377573145"/>
  </r>
  <r>
    <x v="0"/>
    <s v="Wells Fargo"/>
    <s v="1Point Rate"/>
    <s v="MTG"/>
    <x v="33"/>
    <n v="4.0672857326453746"/>
  </r>
  <r>
    <x v="0"/>
    <s v="Wells Fargo"/>
    <s v="1Point Rate"/>
    <s v="MTG"/>
    <x v="34"/>
    <n v="4.1720767377573145"/>
  </r>
  <r>
    <x v="0"/>
    <s v="Wells Fargo"/>
    <s v="1Point Rate"/>
    <s v="MTG"/>
    <x v="35"/>
    <n v="4.0672857326453746"/>
  </r>
  <r>
    <x v="0"/>
    <s v="Wells Fargo"/>
    <s v="1Point Rate"/>
    <s v="MTG"/>
    <x v="36"/>
    <n v="4.1135643018144359"/>
  </r>
  <r>
    <x v="0"/>
    <s v="Wells Fargo"/>
    <s v="1Point Rate"/>
    <s v="MTG"/>
    <x v="37"/>
    <n v="4.1135643018144359"/>
  </r>
  <r>
    <x v="0"/>
    <s v="Wells Fargo"/>
    <s v="1Point Rate"/>
    <s v="MTG"/>
    <x v="38"/>
    <n v="4.1135643018144359"/>
  </r>
  <r>
    <x v="0"/>
    <s v="Wells Fargo"/>
    <s v="1Point Rate"/>
    <s v="MTG"/>
    <x v="39"/>
    <n v="4.1135643018144359"/>
  </r>
  <r>
    <x v="0"/>
    <s v="Wells Fargo"/>
    <s v="1Point Rate"/>
    <s v="MTG"/>
    <x v="40"/>
    <n v="4.1748311341021385"/>
  </r>
  <r>
    <x v="0"/>
    <s v="Wells Fargo"/>
    <s v="1Point Rate"/>
    <s v="MTG"/>
    <x v="41"/>
    <n v="4.1618039804499194"/>
  </r>
  <r>
    <x v="0"/>
    <s v="Wells Fargo"/>
    <s v="1Point Rate"/>
    <s v="MTG"/>
    <x v="42"/>
    <n v="4.1305539804499194"/>
  </r>
  <r>
    <x v="0"/>
    <s v="Wells Fargo"/>
    <s v="1Point Rate"/>
    <s v="MTG"/>
    <x v="43"/>
    <n v="4.1305539804499194"/>
  </r>
  <r>
    <x v="0"/>
    <s v="Wells Fargo"/>
    <s v="1Point Rate"/>
    <s v="MTG"/>
    <x v="44"/>
    <n v="4.1618039804499194"/>
  </r>
  <r>
    <x v="0"/>
    <s v="Wells Fargo"/>
    <s v="1Point Rate"/>
    <s v="MTG"/>
    <x v="45"/>
    <n v="4.2392234701408622"/>
  </r>
  <r>
    <x v="0"/>
    <s v="Wells Fargo"/>
    <s v="1Point Rate"/>
    <s v="MTG"/>
    <x v="46"/>
    <n v="4.3642403763055508"/>
  </r>
  <r>
    <x v="0"/>
    <s v="Wells Fargo"/>
    <s v="1Point Rate"/>
    <s v="MTG"/>
    <x v="47"/>
    <n v="4.4251782413789309"/>
  </r>
  <r>
    <x v="0"/>
    <s v="Wells Fargo"/>
    <s v="1Point Rate"/>
    <s v="MTG"/>
    <x v="48"/>
    <n v="4.1618039804499194"/>
  </r>
  <r>
    <x v="0"/>
    <s v="Wells Fargo"/>
    <s v="1Point Rate"/>
    <s v="MTG"/>
    <x v="49"/>
    <n v="4.3642403763055508"/>
  </r>
  <r>
    <x v="0"/>
    <s v="Wells Fargo"/>
    <s v="1Point Rate"/>
    <s v="MTG"/>
    <x v="50"/>
    <n v="4.2563244659487021"/>
  </r>
  <r>
    <x v="0"/>
    <s v="Wells Fargo"/>
    <s v="1Point Rate"/>
    <s v="MTG"/>
    <x v="51"/>
    <n v="4.2875744659487021"/>
  </r>
  <r>
    <x v="0"/>
    <s v="Wells Fargo"/>
    <s v="1Point Rate"/>
    <s v="MTG"/>
    <x v="52"/>
    <n v="4.2875744659487021"/>
  </r>
  <r>
    <x v="0"/>
    <s v="Wells Fargo"/>
    <s v="1Point Rate"/>
    <s v="MTG"/>
    <x v="53"/>
    <n v="4.3002725972031506"/>
  </r>
  <r>
    <x v="0"/>
    <s v="Wells Fargo"/>
    <s v="1Point Rate"/>
    <s v="MTG"/>
    <x v="54"/>
    <n v="4.2392234701408622"/>
  </r>
  <r>
    <x v="0"/>
    <s v="Wells Fargo"/>
    <s v="1Point Rate"/>
    <s v="MTG"/>
    <x v="55"/>
    <n v="4.4251782413789309"/>
  </r>
  <r>
    <x v="0"/>
    <s v="Wells Fargo"/>
    <s v="1Point Rate"/>
    <s v="MTG"/>
    <x v="56"/>
    <n v="4.4251782413789309"/>
  </r>
  <r>
    <x v="0"/>
    <s v="Wells Fargo"/>
    <s v="1Point Rate"/>
    <s v="MTG"/>
    <x v="57"/>
    <n v="4.4251782413789309"/>
  </r>
  <r>
    <x v="0"/>
    <s v="Wells Fargo"/>
    <s v="1Point Rate"/>
    <s v="MTG"/>
    <x v="58"/>
    <n v="4.3642403763055508"/>
  </r>
  <r>
    <x v="0"/>
    <s v="Wells Fargo"/>
    <s v="1Point Rate"/>
    <s v="MTG"/>
    <x v="59"/>
    <n v="4.3642403763055508"/>
  </r>
  <r>
    <x v="0"/>
    <s v="Wells Fargo"/>
    <s v="1Point Rate"/>
    <s v="MTG"/>
    <x v="60"/>
    <n v="4.3002725972031506"/>
  </r>
  <r>
    <x v="0"/>
    <s v="Wells Fargo"/>
    <s v="1Point Rate"/>
    <s v="MTG"/>
    <x v="61"/>
    <n v="4.3002725972031506"/>
  </r>
  <r>
    <x v="0"/>
    <s v="Wells Fargo"/>
    <s v="1Point Rate"/>
    <s v="MTG"/>
    <x v="62"/>
    <n v="4.2392234701408622"/>
  </r>
  <r>
    <x v="0"/>
    <s v="Wells Fargo"/>
    <s v="1Point Rate"/>
    <s v="MTG"/>
    <x v="63"/>
    <n v="4.2875744659487021"/>
  </r>
  <r>
    <x v="0"/>
    <s v="Wells Fargo"/>
    <s v="1Point Rate"/>
    <s v="MTG"/>
    <x v="64"/>
    <n v="4.2875744659487021"/>
  </r>
  <r>
    <x v="0"/>
    <s v="Wells Fargo"/>
    <s v="1Point Rate"/>
    <s v="MTG"/>
    <x v="65"/>
    <n v="4.4447222357449441"/>
  </r>
  <r>
    <x v="0"/>
    <s v="Wells Fargo"/>
    <s v="1Point Rate"/>
    <s v="MTG"/>
    <x v="66"/>
    <n v="4.5531147075387262"/>
  </r>
  <r>
    <x v="0"/>
    <s v="Wells Fargo"/>
    <s v="1Point Rate"/>
    <s v="MTG"/>
    <x v="67"/>
    <n v="4.5542256765749203"/>
  </r>
  <r>
    <x v="0"/>
    <s v="Wells Fargo"/>
    <s v="1Point Rate"/>
    <s v="MTG"/>
    <x v="68"/>
    <n v="4.4906750935354101"/>
  </r>
  <r>
    <x v="0"/>
    <s v="Wells Fargo"/>
    <s v="1Point Rate"/>
    <s v="MTG"/>
    <x v="69"/>
    <n v="4.4906750935354101"/>
  </r>
  <r>
    <x v="0"/>
    <s v="Wells Fargo"/>
    <s v="1Point Rate"/>
    <s v="MTG"/>
    <x v="70"/>
    <n v="4.6782163696898609"/>
  </r>
  <r>
    <x v="0"/>
    <s v="Wells Fargo"/>
    <s v="1Point Rate"/>
    <s v="MTG"/>
    <x v="71"/>
    <n v="4.4906750935354101"/>
  </r>
  <r>
    <x v="0"/>
    <s v="Wells Fargo"/>
    <s v="1Point Rate"/>
    <s v="MTG"/>
    <x v="72"/>
    <n v="4.4906750935354101"/>
  </r>
  <r>
    <x v="0"/>
    <s v="Wells Fargo"/>
    <s v="1Point Rate"/>
    <s v="MTG"/>
    <x v="73"/>
    <n v="4.4447222357449441"/>
  </r>
  <r>
    <x v="0"/>
    <s v="Wells Fargo"/>
    <s v="1Point Rate"/>
    <s v="MTG"/>
    <x v="74"/>
    <n v="4.4447222357449441"/>
  </r>
  <r>
    <x v="0"/>
    <s v="Wells Fargo"/>
    <s v="1Point Rate"/>
    <s v="MTG"/>
    <x v="75"/>
    <n v="4.4447222357449441"/>
  </r>
  <r>
    <x v="0"/>
    <s v="Wells Fargo"/>
    <s v="1Point Rate"/>
    <s v="MTG"/>
    <x v="76"/>
    <n v="4.5531147075387262"/>
  </r>
  <r>
    <x v="0"/>
    <s v="Wells Fargo"/>
    <s v="1Point Rate"/>
    <s v="MTG"/>
    <x v="77"/>
    <n v="4.364885381659108"/>
  </r>
  <r>
    <x v="0"/>
    <s v="Wells Fargo"/>
    <s v="1Point Rate"/>
    <s v="MTG"/>
    <x v="78"/>
    <n v="4.4894479147795909"/>
  </r>
  <r>
    <x v="0"/>
    <s v="Wells Fargo"/>
    <s v="1Point Rate"/>
    <s v="MTG"/>
    <x v="79"/>
    <n v="4.5542256765749203"/>
  </r>
  <r>
    <x v="0"/>
    <s v="Wells Fargo"/>
    <s v="1Point Rate"/>
    <s v="MTG"/>
    <x v="80"/>
    <n v="4.5542256765749203"/>
  </r>
  <r>
    <x v="0"/>
    <s v="Wells Fargo"/>
    <s v="1Point Rate"/>
    <s v="MTG"/>
    <x v="81"/>
    <n v="4.5542256765749203"/>
  </r>
  <r>
    <x v="0"/>
    <s v="Wells Fargo"/>
    <s v="1Point Rate"/>
    <s v="MTG"/>
    <x v="82"/>
    <n v="4.5079973351823694"/>
  </r>
  <r>
    <x v="0"/>
    <s v="Wells Fargo"/>
    <s v="1Point Rate"/>
    <s v="MTG"/>
    <x v="83"/>
    <n v="4.6147854086055808"/>
  </r>
  <r>
    <x v="0"/>
    <s v="Wells Fargo"/>
    <s v="1Point Rate"/>
    <s v="MTG"/>
    <x v="84"/>
    <n v="4.4906750935354101"/>
  </r>
  <r>
    <x v="0"/>
    <s v="Wells Fargo"/>
    <s v="1Point Rate"/>
    <s v="MTG"/>
    <x v="85"/>
    <n v="4.6782163696898609"/>
  </r>
  <r>
    <x v="0"/>
    <s v="Wells Fargo"/>
    <s v="1Point Rate"/>
    <s v="MTG"/>
    <x v="86"/>
    <n v="4.5542256765749203"/>
  </r>
  <r>
    <x v="0"/>
    <s v="Wells Fargo"/>
    <s v="1Point Rate"/>
    <s v="MTG"/>
    <x v="87"/>
    <n v="4.5531147075387262"/>
  </r>
  <r>
    <x v="0"/>
    <s v="Wells Fargo"/>
    <s v="1Point Rate"/>
    <s v="MTG"/>
    <x v="88"/>
    <n v="4.4894479147795909"/>
  </r>
  <r>
    <x v="0"/>
    <s v="Wells Fargo"/>
    <s v="1Point Rate"/>
    <s v="MTG"/>
    <x v="89"/>
    <n v="4.5531147075387262"/>
  </r>
  <r>
    <x v="0"/>
    <s v="Wells Fargo"/>
    <s v="1Point Rate"/>
    <s v="MTG"/>
    <x v="90"/>
    <n v="4.4894479147795909"/>
  </r>
  <r>
    <x v="0"/>
    <s v="Wells Fargo"/>
    <s v="1Point Rate"/>
    <s v="MTG"/>
    <x v="91"/>
    <n v="4.6147854086055808"/>
  </r>
  <r>
    <x v="0"/>
    <s v="Wells Fargo"/>
    <s v="1Point Rate"/>
    <s v="MTG"/>
    <x v="92"/>
    <n v="4.5079973351823694"/>
  </r>
  <r>
    <x v="0"/>
    <s v="Wells Fargo"/>
    <s v="1Point Rate"/>
    <s v="MTG"/>
    <x v="93"/>
    <n v="4.5542256765749203"/>
  </r>
  <r>
    <x v="0"/>
    <s v="Wells Fargo"/>
    <s v="1Point Rate"/>
    <s v="MTG"/>
    <x v="94"/>
    <n v="4.4906750935354101"/>
  </r>
  <r>
    <x v="0"/>
    <s v="Wells Fargo"/>
    <s v="1Point Rate"/>
    <s v="MTG"/>
    <x v="95"/>
    <n v="4.5542256765749203"/>
  </r>
  <r>
    <x v="0"/>
    <s v="Wells Fargo"/>
    <s v="1Point Rate"/>
    <s v="MTG"/>
    <x v="96"/>
    <n v="4.4906750935354101"/>
  </r>
  <r>
    <x v="0"/>
    <s v="Wells Fargo"/>
    <s v="1Point Rate"/>
    <s v="MTG"/>
    <x v="97"/>
    <n v="4.4906750935354101"/>
  </r>
  <r>
    <x v="0"/>
    <s v="Wells Fargo"/>
    <s v="1Point Rate"/>
    <s v="MTG"/>
    <x v="98"/>
    <n v="4.5531147075387262"/>
  </r>
  <r>
    <x v="0"/>
    <s v="Wells Fargo"/>
    <s v="1Point Rate"/>
    <s v="MTG"/>
    <x v="99"/>
    <n v="4.4894479147795909"/>
  </r>
  <r>
    <x v="0"/>
    <s v="Wells Fargo"/>
    <s v="1Point Rate"/>
    <s v="MTG"/>
    <x v="100"/>
    <n v="4.5531147075387262"/>
  </r>
  <r>
    <x v="0"/>
    <s v="Wells Fargo"/>
    <s v="1Point Rate"/>
    <s v="MTG"/>
    <x v="101"/>
    <n v="4.4286731677951829"/>
  </r>
  <r>
    <x v="0"/>
    <s v="Wells Fargo"/>
    <s v="1Point Rate"/>
    <s v="MTG"/>
    <x v="102"/>
    <n v="4.4286731677951829"/>
  </r>
  <r>
    <x v="0"/>
    <s v="Wells Fargo"/>
    <s v="1Point Rate"/>
    <s v="MTG"/>
    <x v="103"/>
    <n v="4.4286731677951829"/>
  </r>
  <r>
    <x v="0"/>
    <s v="Wells Fargo"/>
    <s v="1Point Rate"/>
    <s v="MTG"/>
    <x v="104"/>
    <n v="4.4894479147795909"/>
  </r>
  <r>
    <x v="0"/>
    <s v="Wells Fargo"/>
    <s v="1Point Rate"/>
    <s v="MTG"/>
    <x v="105"/>
    <n v="4.4894479147795909"/>
  </r>
  <r>
    <x v="0"/>
    <s v="Wells Fargo"/>
    <s v="1Point Rate"/>
    <s v="MTG"/>
    <x v="106"/>
    <n v="4.3188244659487021"/>
  </r>
  <r>
    <x v="0"/>
    <s v="Wells Fargo"/>
    <s v="1Point Rate"/>
    <s v="MTG"/>
    <x v="107"/>
    <n v="4.2875744659487021"/>
  </r>
  <r>
    <x v="0"/>
    <s v="Wells Fargo"/>
    <s v="1Point Rate"/>
    <s v="MTG"/>
    <x v="108"/>
    <n v="4.364885381659108"/>
  </r>
  <r>
    <x v="0"/>
    <s v="Wells Fargo"/>
    <s v="1Point Rate"/>
    <s v="MTG"/>
    <x v="109"/>
    <n v="4.4894479147795909"/>
  </r>
  <r>
    <x v="0"/>
    <s v="Wells Fargo"/>
    <s v="1Point Rate"/>
    <s v="MTG"/>
    <x v="110"/>
    <n v="4.4286731677951829"/>
  </r>
  <r>
    <x v="0"/>
    <s v="Wells Fargo"/>
    <s v="1Point Rate"/>
    <s v="MTG"/>
    <x v="111"/>
    <n v="4.364885381659108"/>
  </r>
  <r>
    <x v="0"/>
    <s v="Wells Fargo"/>
    <s v="1Point Rate"/>
    <s v="MTG"/>
    <x v="112"/>
    <n v="4.364885381659108"/>
  </r>
  <r>
    <x v="0"/>
    <s v="Wells Fargo"/>
    <s v="1Point Rate"/>
    <s v="MTG"/>
    <x v="113"/>
    <n v="4.2875744659487021"/>
  </r>
  <r>
    <x v="0"/>
    <s v="Wells Fargo"/>
    <s v="1Point Rate"/>
    <s v="MTG"/>
    <x v="114"/>
    <n v="4.3642403763055508"/>
  </r>
  <r>
    <x v="0"/>
    <s v="Wells Fargo"/>
    <s v="1Point Rate"/>
    <s v="MTG"/>
    <x v="115"/>
    <n v="4.2875744659487021"/>
  </r>
  <r>
    <x v="0"/>
    <s v="Wells Fargo"/>
    <s v="1Point Rate"/>
    <s v="MTG"/>
    <x v="116"/>
    <n v="4.3188244659487021"/>
  </r>
  <r>
    <x v="0"/>
    <s v="Wells Fargo"/>
    <s v="1Point Rate"/>
    <s v="MTG"/>
    <x v="117"/>
    <n v="4.2875744659487021"/>
  </r>
  <r>
    <x v="0"/>
    <s v="Wells Fargo"/>
    <s v="1Point Rate"/>
    <s v="MTG"/>
    <x v="118"/>
    <n v="4.364885381659108"/>
  </r>
  <r>
    <x v="0"/>
    <s v="Wells Fargo"/>
    <s v="1Point Rate"/>
    <s v="MTG"/>
    <x v="119"/>
    <n v="4.2875744659487021"/>
  </r>
  <r>
    <x v="0"/>
    <s v="Wells Fargo"/>
    <s v="1Point Rate"/>
    <s v="MTG"/>
    <x v="120"/>
    <n v="4.3642403763055508"/>
  </r>
  <r>
    <x v="0"/>
    <s v="Wells Fargo"/>
    <s v="1Point Rate"/>
    <s v="MTG"/>
    <x v="121"/>
    <n v="4.3642403763055508"/>
  </r>
  <r>
    <x v="0"/>
    <s v="Wells Fargo"/>
    <s v="1Point Rate"/>
    <s v="MTG"/>
    <x v="122"/>
    <n v="4.1618039804499194"/>
  </r>
  <r>
    <x v="0"/>
    <s v="Wells Fargo"/>
    <s v="1Point Rate"/>
    <s v="MTG"/>
    <x v="123"/>
    <n v="4.4251782413789309"/>
  </r>
  <r>
    <x v="0"/>
    <s v="Wells Fargo"/>
    <s v="1Point Rate"/>
    <s v="MTG"/>
    <x v="124"/>
    <n v="4.2875744659487021"/>
  </r>
  <r>
    <x v="0"/>
    <s v="Wells Fargo"/>
    <s v="1Point Rate"/>
    <s v="MTG"/>
    <x v="125"/>
    <n v="4.3188244659487021"/>
  </r>
  <r>
    <x v="0"/>
    <s v="Wells Fargo"/>
    <s v="1Point Rate"/>
    <s v="MTG"/>
    <x v="126"/>
    <n v="4.3642403763055508"/>
  </r>
  <r>
    <x v="0"/>
    <s v="Wells Fargo"/>
    <s v="1Point Rate"/>
    <s v="MTG"/>
    <x v="127"/>
    <n v="4.4251782413789309"/>
  </r>
  <r>
    <x v="0"/>
    <s v="Wells Fargo"/>
    <s v="1Point Rate"/>
    <s v="MTG"/>
    <x v="128"/>
    <n v="4.4251782413789309"/>
  </r>
  <r>
    <x v="0"/>
    <s v="Wells Fargo"/>
    <s v="1Point Rate"/>
    <s v="MTG"/>
    <x v="129"/>
    <n v="4.2875744659487021"/>
  </r>
  <r>
    <x v="0"/>
    <s v="Wells Fargo"/>
    <s v="1Point Rate"/>
    <s v="MTG"/>
    <x v="130"/>
    <n v="4.4251782413789309"/>
  </r>
  <r>
    <x v="0"/>
    <s v="Wells Fargo"/>
    <s v="1Point Rate"/>
    <s v="MTG"/>
    <x v="131"/>
    <n v="4.3642403763055508"/>
  </r>
  <r>
    <x v="0"/>
    <s v="Wells Fargo"/>
    <s v="1Point Rate"/>
    <s v="MTG"/>
    <x v="132"/>
    <n v="4.2875744659487021"/>
  </r>
  <r>
    <x v="0"/>
    <s v="Wells Fargo"/>
    <s v="1Point Rate"/>
    <s v="MTG"/>
    <x v="133"/>
    <n v="4.4251782413789309"/>
  </r>
  <r>
    <x v="0"/>
    <s v="Wells Fargo"/>
    <s v="1Point Rate"/>
    <s v="MTG"/>
    <x v="134"/>
    <n v="4.3642403763055508"/>
  </r>
  <r>
    <x v="0"/>
    <s v="Wells Fargo"/>
    <s v="1Point Rate"/>
    <s v="MTG"/>
    <x v="135"/>
    <n v="4.3002725972031506"/>
  </r>
  <r>
    <x v="0"/>
    <s v="Wells Fargo"/>
    <s v="1Point Rate"/>
    <s v="MTG"/>
    <x v="136"/>
    <n v="4.3002725972031506"/>
  </r>
  <r>
    <x v="0"/>
    <s v="Wells Fargo"/>
    <s v="1Point Rate"/>
    <s v="MTG"/>
    <x v="137"/>
    <n v="4.3188244659487021"/>
  </r>
  <r>
    <x v="0"/>
    <s v="Wells Fargo"/>
    <s v="1Point Rate"/>
    <s v="MTG"/>
    <x v="138"/>
    <n v="4.3188244659487021"/>
  </r>
  <r>
    <x v="0"/>
    <s v="Wells Fargo"/>
    <s v="1Point Rate"/>
    <s v="MTG"/>
    <x v="139"/>
    <n v="4.3188244659487021"/>
  </r>
  <r>
    <x v="0"/>
    <s v="Wells Fargo"/>
    <s v="1Point Rate"/>
    <s v="MTG"/>
    <x v="140"/>
    <n v="4.1618039804499194"/>
  </r>
  <r>
    <x v="0"/>
    <s v="Wells Fargo"/>
    <s v="1Point Rate"/>
    <s v="MTG"/>
    <x v="141"/>
    <n v="4.1930539804499194"/>
  </r>
  <r>
    <x v="0"/>
    <s v="Wells Fargo"/>
    <s v="1Point Rate"/>
    <s v="MTG"/>
    <x v="142"/>
    <n v="4.1930539804499194"/>
  </r>
  <r>
    <x v="0"/>
    <s v="Wells Fargo"/>
    <s v="1Point Rate"/>
    <s v="MTG"/>
    <x v="143"/>
    <n v="4.1930539804499194"/>
  </r>
  <r>
    <x v="0"/>
    <s v="Wells Fargo"/>
    <s v="1Point Rate"/>
    <s v="MTG"/>
    <x v="144"/>
    <n v="4.1930539804499194"/>
  </r>
  <r>
    <x v="0"/>
    <s v="Wells Fargo"/>
    <s v="1Point Rate"/>
    <s v="MTG"/>
    <x v="145"/>
    <n v="4.3002725972031506"/>
  </r>
  <r>
    <x v="0"/>
    <s v="Wells Fargo"/>
    <s v="1Point Rate"/>
    <s v="MTG"/>
    <x v="146"/>
    <n v="4.4216522874164488"/>
  </r>
  <r>
    <x v="0"/>
    <s v="Wells Fargo"/>
    <s v="1Point Rate"/>
    <s v="MTG"/>
    <x v="147"/>
    <n v="4.2966687844513389"/>
  </r>
  <r>
    <x v="0"/>
    <s v="Wells Fargo"/>
    <s v="1Point Rate"/>
    <s v="MTG"/>
    <x v="148"/>
    <n v="4.256473470140862"/>
  </r>
  <r>
    <x v="0"/>
    <s v="Wells Fargo"/>
    <s v="1Point Rate"/>
    <s v="MTG"/>
    <x v="149"/>
    <n v="4.3576528674279986"/>
  </r>
  <r>
    <x v="0"/>
    <s v="Wells Fargo"/>
    <s v="1Point Rate"/>
    <s v="MTG"/>
    <x v="150"/>
    <n v="4.2323257174829196"/>
  </r>
  <r>
    <x v="0"/>
    <s v="Wells Fargo"/>
    <s v="1Point Rate"/>
    <s v="MTG"/>
    <x v="151"/>
    <n v="4.3576528674279986"/>
  </r>
  <r>
    <x v="0"/>
    <s v="Wells Fargo"/>
    <s v="1Point Rate"/>
    <s v="MTG"/>
    <x v="152"/>
    <n v="4.4187377611835057"/>
  </r>
  <r>
    <x v="0"/>
    <s v="Wells Fargo"/>
    <s v="1Point Rate"/>
    <s v="MTG"/>
    <x v="153"/>
    <n v="4.4187377611835057"/>
  </r>
  <r>
    <x v="0"/>
    <s v="Wells Fargo"/>
    <s v="1Point Rate"/>
    <s v="MTG"/>
    <x v="154"/>
    <n v="4.3576528674279986"/>
  </r>
  <r>
    <x v="0"/>
    <s v="Wells Fargo"/>
    <s v="1Point Rate"/>
    <s v="MTG"/>
    <x v="155"/>
    <n v="4.256473470140862"/>
  </r>
  <r>
    <x v="0"/>
    <s v="Wells Fargo"/>
    <s v="1Point Rate"/>
    <s v="MTG"/>
    <x v="156"/>
    <n v="4.4187377611835057"/>
  </r>
  <r>
    <x v="0"/>
    <s v="Wells Fargo"/>
    <s v="1Point Rate"/>
    <s v="MTG"/>
    <x v="157"/>
    <n v="4.3576528674279986"/>
  </r>
  <r>
    <x v="0"/>
    <s v="Wells Fargo"/>
    <s v="1Point Rate"/>
    <s v="MTG"/>
    <x v="158"/>
    <n v="4.2965145977984394"/>
  </r>
  <r>
    <x v="0"/>
    <s v="Wells Fargo"/>
    <s v="1Point Rate"/>
    <s v="MTG"/>
    <x v="159"/>
    <n v="4.3576528674279986"/>
  </r>
  <r>
    <x v="0"/>
    <s v="Wells Fargo"/>
    <s v="1Point Rate"/>
    <s v="MTG"/>
    <x v="160"/>
    <n v="4.3576528674279986"/>
  </r>
  <r>
    <x v="0"/>
    <s v="Wells Fargo"/>
    <s v="1Point Rate"/>
    <s v="MTG"/>
    <x v="161"/>
    <n v="4.4187377611835057"/>
  </r>
  <r>
    <x v="0"/>
    <s v="Wells Fargo"/>
    <s v="1Point Rate"/>
    <s v="MTG"/>
    <x v="162"/>
    <n v="4.3576528674279986"/>
  </r>
  <r>
    <x v="0"/>
    <s v="Wells Fargo"/>
    <s v="1Point Rate"/>
    <s v="MTG"/>
    <x v="163"/>
    <n v="4.3576528674279986"/>
  </r>
  <r>
    <x v="0"/>
    <s v="Wells Fargo"/>
    <s v="1Point Rate"/>
    <s v="MTG"/>
    <x v="164"/>
    <n v="4.3576528674279986"/>
  </r>
  <r>
    <x v="0"/>
    <s v="Wells Fargo"/>
    <s v="1Point Rate"/>
    <s v="MTG"/>
    <x v="165"/>
    <n v="4.3576528674279986"/>
  </r>
  <r>
    <x v="0"/>
    <s v="Wells Fargo"/>
    <s v="1Point Rate"/>
    <s v="MTG"/>
    <x v="166"/>
    <n v="4.2965145977984394"/>
  </r>
  <r>
    <x v="0"/>
    <s v="Wells Fargo"/>
    <s v="1Point Rate"/>
    <s v="MTG"/>
    <x v="167"/>
    <n v="4.2965145977984394"/>
  </r>
  <r>
    <x v="0"/>
    <s v="Wells Fargo"/>
    <s v="1Point Rate"/>
    <s v="MTG"/>
    <x v="168"/>
    <n v="4.2966687844513389"/>
  </r>
  <r>
    <x v="0"/>
    <s v="Wells Fargo"/>
    <s v="1Point Rate"/>
    <s v="MTG"/>
    <x v="169"/>
    <n v="4.3577019868052416"/>
  </r>
  <r>
    <x v="0"/>
    <s v="Wells Fargo"/>
    <s v="1Point Rate"/>
    <s v="MTG"/>
    <x v="170"/>
    <n v="4.2966687844513389"/>
  </r>
  <r>
    <x v="0"/>
    <s v="Wells Fargo"/>
    <s v="1Point Rate"/>
    <s v="MTG"/>
    <x v="171"/>
    <n v="4.3577019868052416"/>
  </r>
  <r>
    <x v="0"/>
    <s v="Wells Fargo"/>
    <s v="1Point Rate"/>
    <s v="MTG"/>
    <x v="172"/>
    <n v="4.4216522874164488"/>
  </r>
  <r>
    <x v="0"/>
    <s v="Wells Fargo"/>
    <s v="1Point Rate"/>
    <s v="MTG"/>
    <x v="173"/>
    <n v="4.5464025578172089"/>
  </r>
  <r>
    <x v="0"/>
    <s v="Wells Fargo"/>
    <s v="1Point Rate"/>
    <s v="MTG"/>
    <x v="174"/>
    <n v="4.4860360923539417"/>
  </r>
  <r>
    <x v="0"/>
    <s v="Wells Fargo"/>
    <s v="1Point Rate"/>
    <s v="MTG"/>
    <x v="175"/>
    <n v="4.5467951308758243"/>
  </r>
  <r>
    <x v="0"/>
    <s v="Wells Fargo"/>
    <s v="1Point Rate"/>
    <s v="MTG"/>
    <x v="176"/>
    <n v="4.6104446823863938"/>
  </r>
  <r>
    <x v="0"/>
    <s v="Wells Fargo"/>
    <s v="1Point Rate"/>
    <s v="MTG"/>
    <x v="177"/>
    <n v="4.5467951308758243"/>
  </r>
  <r>
    <x v="0"/>
    <s v="Wells Fargo"/>
    <s v="1Point Rate"/>
    <s v="MTG"/>
    <x v="178"/>
    <n v="4.4860360923539417"/>
  </r>
  <r>
    <x v="0"/>
    <s v="Wells Fargo"/>
    <s v="1Point Rate"/>
    <s v="MTG"/>
    <x v="179"/>
    <n v="4.4222656236769913"/>
  </r>
  <r>
    <x v="0"/>
    <s v="Wells Fargo"/>
    <s v="1Point Rate"/>
    <s v="MTG"/>
    <x v="180"/>
    <n v="4.4860360923539417"/>
  </r>
  <r>
    <x v="0"/>
    <s v="Wells Fargo"/>
    <s v="1Point Rate"/>
    <s v="MTG"/>
    <x v="181"/>
    <n v="4.4222656236769913"/>
  </r>
  <r>
    <x v="0"/>
    <s v="Wells Fargo"/>
    <s v="1Point Rate"/>
    <s v="MTG"/>
    <x v="182"/>
    <n v="4.3821353816591078"/>
  </r>
  <r>
    <x v="0"/>
    <s v="Wells Fargo"/>
    <s v="1Point Rate"/>
    <s v="MTG"/>
    <x v="183"/>
    <n v="4.5464025578172089"/>
  </r>
  <r>
    <x v="0"/>
    <s v="Wells Fargo"/>
    <s v="1Point Rate"/>
    <s v="MTG"/>
    <x v="184"/>
    <n v="4.4222656236769913"/>
  </r>
  <r>
    <x v="0"/>
    <s v="Wells Fargo"/>
    <s v="1Point Rate"/>
    <s v="MTG"/>
    <x v="185"/>
    <n v="4.3821353816591078"/>
  </r>
  <r>
    <x v="0"/>
    <s v="Wells Fargo"/>
    <s v="1Point Rate"/>
    <s v="MTG"/>
    <x v="186"/>
    <n v="4.3821353816591078"/>
  </r>
  <r>
    <x v="0"/>
    <s v="Wells Fargo"/>
    <s v="1Point Rate"/>
    <s v="MTG"/>
    <x v="187"/>
    <n v="4.5464025578172089"/>
  </r>
  <r>
    <x v="0"/>
    <s v="Wells Fargo"/>
    <s v="1Point Rate"/>
    <s v="MTG"/>
    <x v="188"/>
    <n v="4.5464025578172089"/>
  </r>
  <r>
    <x v="0"/>
    <s v="Wells Fargo"/>
    <s v="1Point Rate"/>
    <s v="MTG"/>
    <x v="189"/>
    <n v="4.3577019868052416"/>
  </r>
  <r>
    <x v="0"/>
    <s v="Wells Fargo"/>
    <s v="1Point Rate"/>
    <s v="MTG"/>
    <x v="190"/>
    <n v="4.4216522874164488"/>
  </r>
  <r>
    <x v="0"/>
    <s v="Wells Fargo"/>
    <s v="1Point Rate"/>
    <s v="MTG"/>
    <x v="191"/>
    <n v="4.5467951308758243"/>
  </r>
  <r>
    <x v="0"/>
    <s v="Wells Fargo"/>
    <s v="1Point Rate"/>
    <s v="MTG"/>
    <x v="192"/>
    <n v="4.4860360923539417"/>
  </r>
  <r>
    <x v="0"/>
    <s v="Wells Fargo"/>
    <s v="1Point Rate"/>
    <s v="MTG"/>
    <x v="193"/>
    <n v="4.5464025578172089"/>
  </r>
  <r>
    <x v="0"/>
    <s v="Wells Fargo"/>
    <s v="1Point Rate"/>
    <s v="MTG"/>
    <x v="194"/>
    <n v="4.4825742980400598"/>
  </r>
  <r>
    <x v="0"/>
    <s v="Wells Fargo"/>
    <s v="1Point Rate"/>
    <s v="MTG"/>
    <x v="195"/>
    <n v="4.5464025578172089"/>
  </r>
  <r>
    <x v="0"/>
    <s v="Wells Fargo"/>
    <s v="1Point Rate"/>
    <s v="MTG"/>
    <x v="196"/>
    <n v="4.3821353816591078"/>
  </r>
  <r>
    <x v="0"/>
    <s v="Wells Fargo"/>
    <s v="1Point Rate"/>
    <s v="MTG"/>
    <x v="197"/>
    <n v="4.3821353816591078"/>
  </r>
  <r>
    <x v="0"/>
    <s v="Wells Fargo"/>
    <s v="1Point Rate"/>
    <s v="MTG"/>
    <x v="198"/>
    <n v="4.3821353816591078"/>
  </r>
  <r>
    <x v="0"/>
    <s v="Wells Fargo"/>
    <s v="1Point Rate"/>
    <s v="MTG"/>
    <x v="199"/>
    <n v="4.6104446823863938"/>
  </r>
  <r>
    <x v="0"/>
    <s v="Wells Fargo"/>
    <s v="1Point Rate"/>
    <s v="MTG"/>
    <x v="200"/>
    <n v="4.6104446823863938"/>
  </r>
  <r>
    <x v="0"/>
    <s v="Wells Fargo"/>
    <s v="1Point Rate"/>
    <s v="MTG"/>
    <x v="201"/>
    <n v="4.4860360923539417"/>
  </r>
  <r>
    <x v="0"/>
    <s v="Wells Fargo"/>
    <s v="1Point Rate"/>
    <s v="MTG"/>
    <x v="202"/>
    <n v="4.4222656236769913"/>
  </r>
  <r>
    <x v="0"/>
    <s v="Wells Fargo"/>
    <s v="1Point Rate"/>
    <s v="MTG"/>
    <x v="203"/>
    <n v="4.4222656236769913"/>
  </r>
  <r>
    <x v="0"/>
    <s v="Wells Fargo"/>
    <s v="1Point Rate"/>
    <s v="MTG"/>
    <x v="204"/>
    <n v="4.4860360923539417"/>
  </r>
  <r>
    <x v="0"/>
    <s v="Wells Fargo"/>
    <s v="1Point Rate"/>
    <s v="MTG"/>
    <x v="205"/>
    <n v="4.6104446823863938"/>
  </r>
  <r>
    <x v="0"/>
    <s v="Wells Fargo"/>
    <s v="1Point Rate"/>
    <s v="MTG"/>
    <x v="206"/>
    <n v="4.6104446823863938"/>
  </r>
  <r>
    <x v="0"/>
    <s v="Wells Fargo"/>
    <s v="1Point Rate"/>
    <s v="MTG"/>
    <x v="207"/>
    <n v="4.6104446823863938"/>
  </r>
  <r>
    <x v="0"/>
    <s v="Wells Fargo"/>
    <s v="1Point Rate"/>
    <s v="MTG"/>
    <x v="208"/>
    <n v="4.6104446823863938"/>
  </r>
  <r>
    <x v="0"/>
    <s v="Wells Fargo"/>
    <s v="1Point Rate"/>
    <s v="MTG"/>
    <x v="209"/>
    <n v="4.5467951308758243"/>
  </r>
  <r>
    <x v="0"/>
    <s v="Wells Fargo"/>
    <s v="1Point Rate"/>
    <s v="MTG"/>
    <x v="210"/>
    <n v="4.4222656236769913"/>
  </r>
  <r>
    <x v="0"/>
    <s v="Wells Fargo"/>
    <s v="1Point Rate"/>
    <s v="MTG"/>
    <x v="211"/>
    <n v="4.4860360923539417"/>
  </r>
  <r>
    <x v="0"/>
    <s v="Wells Fargo"/>
    <s v="1Point Rate"/>
    <s v="MTG"/>
    <x v="212"/>
    <n v="4.4222656236769913"/>
  </r>
  <r>
    <x v="0"/>
    <s v="Wells Fargo"/>
    <s v="1Point Rate"/>
    <s v="MTG"/>
    <x v="213"/>
    <n v="4.5464025578172089"/>
  </r>
  <r>
    <x v="0"/>
    <s v="Wells Fargo"/>
    <s v="1Point Rate"/>
    <s v="MTG"/>
    <x v="214"/>
    <n v="4.5464025578172089"/>
  </r>
  <r>
    <x v="0"/>
    <s v="Wells Fargo"/>
    <s v="1Point Rate"/>
    <s v="MTG"/>
    <x v="215"/>
    <n v="4.5464025578172089"/>
  </r>
  <r>
    <x v="0"/>
    <s v="Wells Fargo"/>
    <s v="1Point Rate"/>
    <s v="MTG"/>
    <x v="216"/>
    <n v="4.3577019868052416"/>
  </r>
  <r>
    <x v="0"/>
    <s v="Wells Fargo"/>
    <s v="1Point Rate"/>
    <s v="MTG"/>
    <x v="217"/>
    <n v="4.4825742980400598"/>
  </r>
  <r>
    <x v="0"/>
    <s v="Wells Fargo"/>
    <s v="1Point Rate"/>
    <s v="MTG"/>
    <x v="218"/>
    <n v="4.4216522874164488"/>
  </r>
  <r>
    <x v="0"/>
    <s v="Wells Fargo"/>
    <s v="1Point Rate"/>
    <s v="MTG"/>
    <x v="219"/>
    <n v="4.256473470140862"/>
  </r>
  <r>
    <x v="0"/>
    <s v="Wells Fargo"/>
    <s v="1Point Rate"/>
    <s v="MTG"/>
    <x v="220"/>
    <n v="4.2966687844513389"/>
  </r>
  <r>
    <x v="0"/>
    <s v="Wells Fargo"/>
    <s v="1Point Rate"/>
    <s v="MTG"/>
    <x v="221"/>
    <n v="4.4187377611835057"/>
  </r>
  <r>
    <x v="0"/>
    <s v="Wells Fargo"/>
    <s v="1Point Rate"/>
    <s v="MTG"/>
    <x v="222"/>
    <n v="4.4187377611835057"/>
  </r>
  <r>
    <x v="0"/>
    <s v="Wells Fargo"/>
    <s v="1Point Rate"/>
    <s v="MTG"/>
    <x v="223"/>
    <n v="4.2966687844513389"/>
  </r>
  <r>
    <x v="0"/>
    <s v="Wells Fargo"/>
    <s v="1Point Rate"/>
    <s v="MTG"/>
    <x v="224"/>
    <n v="4.4187377611835057"/>
  </r>
  <r>
    <x v="0"/>
    <s v="Wells Fargo"/>
    <s v="1Point Rate"/>
    <s v="MTG"/>
    <x v="225"/>
    <n v="4.4187377611835057"/>
  </r>
  <r>
    <x v="0"/>
    <s v="Wells Fargo"/>
    <s v="1Point Rate"/>
    <s v="MTG"/>
    <x v="226"/>
    <n v="4.4187377611835057"/>
  </r>
  <r>
    <x v="0"/>
    <s v="Wells Fargo"/>
    <s v="1Point Rate"/>
    <s v="MTG"/>
    <x v="227"/>
    <n v="4.3576528674279986"/>
  </r>
  <r>
    <x v="0"/>
    <s v="Wells Fargo"/>
    <s v="1Point Rate"/>
    <s v="MTG"/>
    <x v="228"/>
    <n v="4.2323257174829196"/>
  </r>
  <r>
    <x v="0"/>
    <s v="Wells Fargo"/>
    <s v="1Point Rate"/>
    <s v="MTG"/>
    <x v="229"/>
    <n v="4.2354507174829195"/>
  </r>
  <r>
    <x v="0"/>
    <s v="Wells Fargo"/>
    <s v="1Point Rate"/>
    <s v="MTG"/>
    <x v="230"/>
    <n v="4.2996395977984392"/>
  </r>
  <r>
    <x v="0"/>
    <s v="Wells Fargo"/>
    <s v="1Point Rate"/>
    <s v="MTG"/>
    <x v="231"/>
    <n v="4.2996395977984392"/>
  </r>
  <r>
    <x v="0"/>
    <s v="Wells Fargo"/>
    <s v="1Point Rate"/>
    <s v="MTG"/>
    <x v="232"/>
    <n v="4.2970389788695798"/>
  </r>
  <r>
    <x v="0"/>
    <s v="Wells Fargo"/>
    <s v="1Point Rate"/>
    <s v="MTG"/>
    <x v="233"/>
    <n v="4.2354507174829195"/>
  </r>
  <r>
    <x v="0"/>
    <s v="Wells Fargo"/>
    <s v="1Point Rate"/>
    <s v="MTG"/>
    <x v="234"/>
    <n v="4.2970389788695798"/>
  </r>
  <r>
    <x v="0"/>
    <s v="Wells Fargo"/>
    <s v="1Point Rate"/>
    <s v="MTG"/>
    <x v="235"/>
    <n v="4.0484841786279038"/>
  </r>
  <r>
    <x v="0"/>
    <s v="Wells Fargo"/>
    <s v="1Point Rate"/>
    <s v="MTG"/>
    <x v="236"/>
    <n v="4.1713684277084591"/>
  </r>
  <r>
    <x v="0"/>
    <s v="Wells Fargo"/>
    <s v="1Point Rate"/>
    <s v="MTG"/>
    <x v="237"/>
    <n v="4.0462188588115939"/>
  </r>
  <r>
    <x v="0"/>
    <s v="Wells Fargo"/>
    <s v="1Point Rate"/>
    <s v="MTG"/>
    <x v="238"/>
    <n v="4.2357374552749034"/>
  </r>
  <r>
    <x v="0"/>
    <s v="Wells Fargo"/>
    <s v="1Point Rate"/>
    <s v="MTG"/>
    <x v="239"/>
    <n v="4.2357374552749034"/>
  </r>
  <r>
    <x v="0"/>
    <s v="Wells Fargo"/>
    <s v="1Point Rate"/>
    <s v="MTG"/>
    <x v="240"/>
    <n v="4.2357374552749034"/>
  </r>
  <r>
    <x v="0"/>
    <s v="Wells Fargo"/>
    <s v="1Point Rate"/>
    <s v="MTG"/>
    <x v="241"/>
    <n v="4.2970389788695798"/>
  </r>
  <r>
    <x v="0"/>
    <s v="Wells Fargo"/>
    <s v="1Point Rate"/>
    <s v="MTG"/>
    <x v="242"/>
    <n v="4.2357374552749034"/>
  </r>
  <r>
    <x v="0"/>
    <s v="Wells Fargo"/>
    <s v="1Point Rate"/>
    <s v="MTG"/>
    <x v="243"/>
    <n v="4.2357374552749034"/>
  </r>
  <r>
    <x v="0"/>
    <s v="Wells Fargo"/>
    <s v="1Point Rate"/>
    <s v="MTG"/>
    <x v="244"/>
    <n v="4.2970389788695798"/>
  </r>
  <r>
    <x v="0"/>
    <s v="Wells Fargo"/>
    <s v="1Point Rate"/>
    <s v="MTG"/>
    <x v="245"/>
    <n v="4.1713684277084591"/>
  </r>
  <r>
    <x v="0"/>
    <s v="Wells Fargo"/>
    <s v="1Point Rate"/>
    <s v="MTG"/>
    <x v="246"/>
    <n v="4.1783267377573141"/>
  </r>
  <r>
    <x v="0"/>
    <s v="Wells Fargo"/>
    <s v="1Point Rate"/>
    <s v="MTG"/>
    <x v="247"/>
    <n v="4.1783267377573141"/>
  </r>
  <r>
    <x v="0"/>
    <s v="Wells Fargo"/>
    <s v="1Point Rate"/>
    <s v="MTG"/>
    <x v="248"/>
    <n v="4.5253902680718738"/>
  </r>
  <r>
    <x v="0"/>
    <s v="Wells Fargo"/>
    <s v="1Point Rate"/>
    <s v="MTG"/>
    <x v="249"/>
    <n v="4.1198143018144364"/>
  </r>
  <r>
    <x v="0"/>
    <s v="Wells Fargo"/>
    <s v="1Point Rate"/>
    <s v="MTG"/>
    <x v="250"/>
    <n v="4.1810811341021381"/>
  </r>
  <r>
    <x v="0"/>
    <s v="Wells Fargo"/>
    <s v="1Point Rate"/>
    <s v="MTG"/>
    <x v="251"/>
    <n v="4.1198143018144364"/>
  </r>
  <r>
    <x v="0"/>
    <s v="Wells Fargo"/>
    <s v="1Point Rate"/>
    <s v="MTG"/>
    <x v="252"/>
    <n v="4.2422943194521894"/>
  </r>
  <r>
    <x v="0"/>
    <s v="Wells Fargo"/>
    <s v="1Point Rate"/>
    <s v="MTG"/>
    <x v="253"/>
    <n v="4.1810811341021381"/>
  </r>
  <r>
    <x v="0"/>
    <s v="Wells Fargo"/>
    <s v="1Point Rate"/>
    <s v="MTG"/>
    <x v="254"/>
    <n v="4.2422943194521894"/>
  </r>
  <r>
    <x v="0"/>
    <s v="Wells Fargo"/>
    <s v="1Point Rate"/>
    <s v="MTG"/>
    <x v="255"/>
    <n v="4.2422943194521894"/>
  </r>
  <r>
    <x v="0"/>
    <s v="Wells Fargo"/>
    <s v="1Point Rate"/>
    <s v="MTG"/>
    <x v="256"/>
    <n v="4.3064419961318618"/>
  </r>
  <r>
    <x v="0"/>
    <s v="Wells Fargo"/>
    <s v="1Point Rate"/>
    <s v="MTG"/>
    <x v="257"/>
    <n v="4.168053980449919"/>
  </r>
  <r>
    <x v="0"/>
    <s v="Wells Fargo"/>
    <s v="1Point Rate"/>
    <s v="MTG"/>
    <x v="258"/>
    <n v="4.3064419961318618"/>
  </r>
  <r>
    <x v="0"/>
    <s v="Wells Fargo"/>
    <s v="1Point Rate"/>
    <s v="MTG"/>
    <x v="259"/>
    <n v="4.2454734701408618"/>
  </r>
  <r>
    <x v="0"/>
    <s v="Wells Fargo"/>
    <s v="1Point Rate"/>
    <s v="MTG"/>
    <x v="260"/>
    <n v="4.1810811341021381"/>
  </r>
  <r>
    <x v="0"/>
    <s v="Wells Fargo"/>
    <s v="1Point Rate"/>
    <s v="MTG"/>
    <x v="261"/>
    <n v="4.1198143018144364"/>
  </r>
  <r>
    <x v="0"/>
    <s v="Wells Fargo"/>
    <s v="1Point Rate"/>
    <s v="MTG"/>
    <x v="262"/>
    <n v="4.1810811341021381"/>
  </r>
  <r>
    <x v="0"/>
    <s v="Wells Fargo"/>
    <s v="1Point Rate"/>
    <s v="MTG"/>
    <x v="263"/>
    <n v="4.2422943194521894"/>
  </r>
  <r>
    <x v="0"/>
    <s v="Wells Fargo"/>
    <s v="1Point Rate"/>
    <s v="MTG"/>
    <x v="264"/>
    <n v="4.3064419961318618"/>
  </r>
  <r>
    <x v="0"/>
    <s v="Wells Fargo"/>
    <s v="1Point Rate"/>
    <s v="MTG"/>
    <x v="265"/>
    <n v="4.3064419961318618"/>
  </r>
  <r>
    <x v="0"/>
    <s v="Wells Fargo"/>
    <s v="1Point Rate"/>
    <s v="MTG"/>
    <x v="266"/>
    <n v="4.1198143018144364"/>
  </r>
  <r>
    <x v="0"/>
    <s v="Wells Fargo"/>
    <s v="1Point Rate"/>
    <s v="MTG"/>
    <x v="267"/>
    <n v="4.1198143018144364"/>
  </r>
  <r>
    <x v="0"/>
    <s v="Wells Fargo"/>
    <s v="1Point Rate"/>
    <s v="MTG"/>
    <x v="268"/>
    <n v="4.1198143018144364"/>
  </r>
  <r>
    <x v="0"/>
    <s v="Wells Fargo"/>
    <s v="1Point Rate"/>
    <s v="MTG"/>
    <x v="269"/>
    <n v="4.1169496097871532"/>
  </r>
  <r>
    <x v="0"/>
    <s v="Wells Fargo"/>
    <s v="1Point Rate"/>
    <s v="MTG"/>
    <x v="270"/>
    <n v="4.1169496097871532"/>
  </r>
  <r>
    <x v="0"/>
    <s v="Wells Fargo"/>
    <s v="1Point Rate"/>
    <s v="MTG"/>
    <x v="271"/>
    <n v="4.055518341423701"/>
  </r>
  <r>
    <x v="0"/>
    <s v="Wells Fargo"/>
    <s v="1Point Rate"/>
    <s v="MTG"/>
    <x v="272"/>
    <n v="4.1169496097871532"/>
  </r>
  <r>
    <x v="0"/>
    <s v="Wells Fargo"/>
    <s v="1Point Rate"/>
    <s v="MTG"/>
    <x v="273"/>
    <n v="4.1169496097871532"/>
  </r>
  <r>
    <x v="0"/>
    <s v="Wells Fargo"/>
    <s v="1Point Rate"/>
    <s v="MTG"/>
    <x v="274"/>
    <n v="4.055518341423701"/>
  </r>
  <r>
    <x v="0"/>
    <s v="Wells Fargo"/>
    <s v="1Point Rate"/>
    <s v="MTG"/>
    <x v="275"/>
    <n v="3.5124697352112779"/>
  </r>
  <r>
    <x v="0"/>
    <s v="Wells Fargo"/>
    <s v="1Point Rate"/>
    <s v="MTG"/>
    <x v="276"/>
    <n v="3.5124697352112779"/>
  </r>
  <r>
    <x v="0"/>
    <s v="Wells Fargo"/>
    <s v="1Point Rate"/>
    <s v="MTG"/>
    <x v="277"/>
    <n v="3.5437030685446111"/>
  </r>
  <r>
    <x v="0"/>
    <s v="Wells Fargo"/>
    <s v="1Point Rate"/>
    <s v="MTG"/>
    <x v="278"/>
    <n v="3.5437030685446111"/>
  </r>
  <r>
    <x v="0"/>
    <s v="Wells Fargo"/>
    <s v="1Point Rate"/>
    <s v="MTG"/>
    <x v="279"/>
    <n v="3.5124697352112779"/>
  </r>
  <r>
    <x v="0"/>
    <s v="Wells Fargo"/>
    <s v="1Point Rate"/>
    <s v="MTG"/>
    <x v="280"/>
    <n v="3.5124697352112779"/>
  </r>
  <r>
    <x v="0"/>
    <s v="Wells Fargo"/>
    <s v="1Point Rate"/>
    <s v="MTG"/>
    <x v="281"/>
    <n v="3.5124697352112779"/>
  </r>
  <r>
    <x v="0"/>
    <s v="Wells Fargo"/>
    <s v="1Point Rate"/>
    <s v="MTG"/>
    <x v="282"/>
    <n v="3.5124697352112779"/>
  </r>
  <r>
    <x v="0"/>
    <s v="Wells Fargo"/>
    <s v="1Point Rate"/>
    <s v="MTG"/>
    <x v="283"/>
    <n v="3.6073357406250119"/>
  </r>
  <r>
    <x v="0"/>
    <s v="Wells Fargo"/>
    <s v="1Point Rate"/>
    <s v="MTG"/>
    <x v="284"/>
    <n v="3.6073357406250119"/>
  </r>
  <r>
    <x v="0"/>
    <s v="Wells Fargo"/>
    <s v="1Point Rate"/>
    <s v="MTG"/>
    <x v="285"/>
    <n v="4.2422943194521894"/>
  </r>
  <r>
    <x v="0"/>
    <s v="Wells Fargo"/>
    <s v="1Point Rate"/>
    <s v="MTG"/>
    <x v="286"/>
    <n v="4.2422943194521894"/>
  </r>
  <r>
    <x v="0"/>
    <s v="Wells Fargo"/>
    <s v="1Point Rate"/>
    <s v="MTG"/>
    <x v="287"/>
    <n v="4.2422943194521894"/>
  </r>
  <r>
    <x v="0"/>
    <s v="Wells Fargo"/>
    <s v="1Point Rate"/>
    <s v="MTG"/>
    <x v="288"/>
    <n v="4.1810811341021381"/>
  </r>
  <r>
    <x v="0"/>
    <s v="Wells Fargo"/>
    <s v="1Point Rate"/>
    <s v="MTG"/>
    <x v="289"/>
    <n v="4.1198143018144364"/>
  </r>
  <r>
    <x v="0"/>
    <s v="Wells Fargo"/>
    <s v="1Point Rate"/>
    <s v="MTG"/>
    <x v="290"/>
    <n v="4.055518341423701"/>
  </r>
  <r>
    <x v="0"/>
    <s v="Wells Fargo"/>
    <s v="1Point Rate"/>
    <s v="MTG"/>
    <x v="291"/>
    <n v="4.055518341423701"/>
  </r>
  <r>
    <x v="0"/>
    <s v="Wells Fargo"/>
    <s v="1Point Rate"/>
    <s v="MTG"/>
    <x v="292"/>
    <n v="4.055518341423701"/>
  </r>
  <r>
    <x v="0"/>
    <s v="Wells Fargo"/>
    <s v="1Point Rate"/>
    <s v="MTG"/>
    <x v="293"/>
    <n v="4.053330006698979"/>
  </r>
  <r>
    <x v="0"/>
    <s v="Wells Fargo"/>
    <s v="1Point Rate"/>
    <s v="MTG"/>
    <x v="294"/>
    <n v="3.9910062771736561"/>
  </r>
  <r>
    <x v="0"/>
    <s v="Wells Fargo"/>
    <s v="1Point Rate"/>
    <s v="MTG"/>
    <x v="295"/>
    <n v="3.9910062771736561"/>
  </r>
  <r>
    <x v="0"/>
    <s v="Wells Fargo"/>
    <s v="1Point Rate"/>
    <s v="MTG"/>
    <x v="296"/>
    <n v="3.9910062771736561"/>
  </r>
  <r>
    <x v="0"/>
    <s v="Wells Fargo"/>
    <s v="1Point Rate"/>
    <s v="MTG"/>
    <x v="297"/>
    <n v="4.055518341423701"/>
  </r>
  <r>
    <x v="0"/>
    <s v="Wells Fargo"/>
    <s v="1Point Rate"/>
    <s v="MTG"/>
    <x v="298"/>
    <n v="4.055518341423701"/>
  </r>
  <r>
    <x v="0"/>
    <s v="Wells Fargo"/>
    <s v="1Point Rate"/>
    <s v="MTG"/>
    <x v="299"/>
    <n v="4.055518341423701"/>
  </r>
  <r>
    <x v="0"/>
    <s v="Wells Fargo"/>
    <s v="1Point Rate"/>
    <s v="MTG"/>
    <x v="300"/>
    <n v="4.055518341423701"/>
  </r>
  <r>
    <x v="0"/>
    <s v="Wells Fargo"/>
    <s v="1Point Rate"/>
    <s v="MTG"/>
    <x v="301"/>
    <n v="4.1783267377573141"/>
  </r>
  <r>
    <x v="0"/>
    <s v="Wells Fargo"/>
    <s v="1Point Rate"/>
    <s v="MTG"/>
    <x v="302"/>
    <n v="4.1810811341021381"/>
  </r>
  <r>
    <x v="0"/>
    <s v="Wells Fargo"/>
    <s v="1Point Rate"/>
    <s v="MTG"/>
    <x v="303"/>
    <n v="4.1198143018144364"/>
  </r>
  <r>
    <x v="0"/>
    <s v="Wells Fargo"/>
    <s v="1Point Rate"/>
    <s v="MTG"/>
    <x v="304"/>
    <n v="4.1198143018144364"/>
  </r>
  <r>
    <x v="0"/>
    <s v="Wells Fargo"/>
    <s v="1Point Rate"/>
    <s v="MTG"/>
    <x v="305"/>
    <n v="4.1198143018144364"/>
  </r>
  <r>
    <x v="0"/>
    <s v="Wells Fargo"/>
    <s v="1Point Rate"/>
    <s v="MTG"/>
    <x v="306"/>
    <n v="4.1810811341021381"/>
  </r>
  <r>
    <x v="0"/>
    <s v="Wells Fargo"/>
    <s v="1Point Rate"/>
    <s v="MTG"/>
    <x v="307"/>
    <n v="4.1198143018144364"/>
  </r>
  <r>
    <x v="0"/>
    <s v="Wells Fargo"/>
    <s v="1Point Rate"/>
    <s v="MTG"/>
    <x v="308"/>
    <n v="4.1198143018144364"/>
  </r>
  <r>
    <x v="0"/>
    <s v="Wells Fargo"/>
    <s v="1Point Rate"/>
    <s v="MTG"/>
    <x v="309"/>
    <n v="4.1810811341021381"/>
  </r>
  <r>
    <x v="0"/>
    <s v="Wells Fargo"/>
    <s v="1Point Rate"/>
    <s v="MTG"/>
    <x v="310"/>
    <n v="4.1169496097871532"/>
  </r>
  <r>
    <x v="0"/>
    <s v="Wells Fargo"/>
    <s v="1Point Rate"/>
    <s v="MTG"/>
    <x v="311"/>
    <n v="4.1783267377573141"/>
  </r>
  <r>
    <x v="0"/>
    <s v="Wells Fargo"/>
    <s v="1Point Rate"/>
    <s v="MTG"/>
    <x v="312"/>
    <n v="3.9910062771736561"/>
  </r>
  <r>
    <x v="0"/>
    <s v="Wells Fargo"/>
    <s v="1Point Rate"/>
    <s v="MTG"/>
    <x v="313"/>
    <n v="3.9910062771736561"/>
  </r>
  <r>
    <x v="0"/>
    <s v="Wells Fargo"/>
    <s v="1Point Rate"/>
    <s v="MTG"/>
    <x v="314"/>
    <n v="3.9910062771736561"/>
  </r>
  <r>
    <x v="0"/>
    <s v="Wells Fargo"/>
    <s v="1Point Rate"/>
    <s v="MTG"/>
    <x v="315"/>
    <n v="3.9910062771736561"/>
  </r>
  <r>
    <x v="0"/>
    <s v="Wells Fargo"/>
    <s v="1Point Rate"/>
    <s v="MTG"/>
    <x v="316"/>
    <n v="3.9917344474140624"/>
  </r>
  <r>
    <x v="0"/>
    <s v="Wells Fargo"/>
    <s v="1Point Rate"/>
    <s v="MTG"/>
    <x v="317"/>
    <n v="3.9917344474140624"/>
  </r>
  <r>
    <x v="0"/>
    <s v="Wells Fargo"/>
    <s v="1Point Rate"/>
    <s v="MTG"/>
    <x v="318"/>
    <n v="3.9917344474140624"/>
  </r>
  <r>
    <x v="0"/>
    <s v="Wells Fargo"/>
    <s v="1Point Rate"/>
    <s v="MTG"/>
    <x v="319"/>
    <n v="3.9270410898719863"/>
  </r>
  <r>
    <x v="0"/>
    <s v="Wells Fargo"/>
    <s v="1Point Rate"/>
    <s v="MTG"/>
    <x v="320"/>
    <n v="3.9917344474140624"/>
  </r>
  <r>
    <x v="0"/>
    <s v="Wells Fargo"/>
    <s v="1Point Rate"/>
    <s v="MTG"/>
    <x v="321"/>
    <n v="3.9270410898719863"/>
  </r>
  <r>
    <x v="0"/>
    <s v="Wells Fargo"/>
    <s v="1Point Rate"/>
    <s v="MTG"/>
    <x v="322"/>
    <n v="3.9270410898719863"/>
  </r>
  <r>
    <x v="0"/>
    <s v="Wells Fargo"/>
    <s v="1Point Rate"/>
    <s v="MTG"/>
    <x v="323"/>
    <n v="4.053330006698979"/>
  </r>
  <r>
    <x v="0"/>
    <s v="Wells Fargo"/>
    <s v="1Point Rate"/>
    <s v="MTG"/>
    <x v="324"/>
    <n v="3.9910062771736561"/>
  </r>
  <r>
    <x v="0"/>
    <s v="Wells Fargo"/>
    <s v="1Point Rate"/>
    <s v="MTG"/>
    <x v="325"/>
    <n v="4.055518341423701"/>
  </r>
  <r>
    <x v="0"/>
    <s v="Wells Fargo"/>
    <s v="1Point Rate"/>
    <s v="MTG"/>
    <x v="326"/>
    <n v="4.055518341423701"/>
  </r>
  <r>
    <x v="0"/>
    <s v="Wells Fargo"/>
    <s v="1Point Rate"/>
    <s v="MTG"/>
    <x v="327"/>
    <n v="3.9270410898719863"/>
  </r>
  <r>
    <x v="0"/>
    <s v="Wells Fargo"/>
    <s v="1Point Rate"/>
    <s v="MTG"/>
    <x v="328"/>
    <n v="3.8653304183638437"/>
  </r>
  <r>
    <x v="0"/>
    <s v="Wells Fargo"/>
    <s v="1Point Rate"/>
    <s v="MTG"/>
    <x v="329"/>
    <n v="3.8653304183638437"/>
  </r>
  <r>
    <x v="0"/>
    <s v="Wells Fargo"/>
    <s v="1Point Rate"/>
    <s v="MTG"/>
    <x v="330"/>
    <n v="3.9270410898719863"/>
  </r>
  <r>
    <x v="0"/>
    <s v="Wells Fargo"/>
    <s v="1Point Rate"/>
    <s v="MTG"/>
    <x v="331"/>
    <n v="3.9270410898719863"/>
  </r>
  <r>
    <x v="0"/>
    <s v="Wells Fargo"/>
    <s v="1Point Rate"/>
    <s v="MTG"/>
    <x v="332"/>
    <n v="3.9283386479583648"/>
  </r>
  <r>
    <x v="0"/>
    <s v="Wells Fargo"/>
    <s v="1Point Rate"/>
    <s v="MTG"/>
    <x v="333"/>
    <n v="3.8634641896305983"/>
  </r>
  <r>
    <x v="0"/>
    <s v="Wells Fargo"/>
    <s v="1Point Rate"/>
    <s v="MTG"/>
    <x v="334"/>
    <n v="3.7396570277782288"/>
  </r>
  <r>
    <x v="0"/>
    <s v="Wells Fargo"/>
    <s v="1Point Rate"/>
    <s v="MTG"/>
    <x v="335"/>
    <n v="3.8634641896305983"/>
  </r>
  <r>
    <x v="0"/>
    <s v="Wells Fargo"/>
    <s v="1Point Rate"/>
    <s v="MTG"/>
    <x v="336"/>
    <n v="3.8634641896305983"/>
  </r>
  <r>
    <x v="0"/>
    <s v="Wells Fargo"/>
    <s v="1Point Rate"/>
    <s v="MTG"/>
    <x v="337"/>
    <n v="3.9283386479583648"/>
  </r>
  <r>
    <x v="0"/>
    <s v="Wells Fargo"/>
    <s v="1Point Rate"/>
    <s v="MTG"/>
    <x v="338"/>
    <n v="3.9283386479583648"/>
  </r>
  <r>
    <x v="0"/>
    <s v="Wells Fargo"/>
    <s v="1Point Rate"/>
    <s v="MTG"/>
    <x v="339"/>
    <n v="3.8653304183638437"/>
  </r>
  <r>
    <x v="0"/>
    <s v="Wells Fargo"/>
    <s v="1Point Rate"/>
    <s v="MTG"/>
    <x v="340"/>
    <n v="3.8653304183638437"/>
  </r>
  <r>
    <x v="0"/>
    <s v="Wells Fargo"/>
    <s v="1Point Rate"/>
    <s v="MTG"/>
    <x v="341"/>
    <n v="3.8663304183638441"/>
  </r>
  <r>
    <x v="0"/>
    <s v="Wells Fargo"/>
    <s v="1Point Rate"/>
    <s v="MTG"/>
    <x v="342"/>
    <n v="3.8663304183638441"/>
  </r>
  <r>
    <x v="0"/>
    <s v="Wells Fargo"/>
    <s v="1Point Rate"/>
    <s v="MTG"/>
    <x v="343"/>
    <n v="3.8663304183638441"/>
  </r>
  <r>
    <x v="0"/>
    <s v="Wells Fargo"/>
    <s v="1Point Rate"/>
    <s v="MTG"/>
    <x v="344"/>
    <n v="3.9280410898719866"/>
  </r>
  <r>
    <x v="0"/>
    <s v="Wells Fargo"/>
    <s v="1Point Rate"/>
    <s v="MTG"/>
    <x v="345"/>
    <n v="3.9280410898719866"/>
  </r>
  <r>
    <x v="0"/>
    <s v="Wells Fargo"/>
    <s v="1Point Rate"/>
    <s v="MTG"/>
    <x v="346"/>
    <n v="3.9280410898719866"/>
  </r>
  <r>
    <x v="0"/>
    <s v="Wells Fargo"/>
    <s v="1Point Rate"/>
    <s v="MTG"/>
    <x v="347"/>
    <n v="3.9280410898719866"/>
  </r>
  <r>
    <x v="0"/>
    <s v="Wells Fargo"/>
    <s v="1Point Rate"/>
    <s v="MTG"/>
    <x v="348"/>
    <n v="3.9927344474140627"/>
  </r>
  <r>
    <x v="0"/>
    <s v="Wells Fargo"/>
    <s v="1Point Rate"/>
    <s v="MTG"/>
    <x v="349"/>
    <n v="3.8663304183638441"/>
  </r>
  <r>
    <x v="0"/>
    <s v="Wells Fargo"/>
    <s v="1Point Rate"/>
    <s v="MTG"/>
    <x v="350"/>
    <n v="3.9293386479583652"/>
  </r>
  <r>
    <x v="0"/>
    <s v="Wells Fargo"/>
    <s v="1Point Rate"/>
    <s v="MTG"/>
    <x v="351"/>
    <n v="3.8644641896305987"/>
  </r>
  <r>
    <x v="0"/>
    <s v="Wells Fargo"/>
    <s v="1Point Rate"/>
    <s v="MTG"/>
    <x v="352"/>
    <n v="3.8663304183638441"/>
  </r>
  <r>
    <x v="0"/>
    <s v="Wells Fargo"/>
    <s v="1Point Rate"/>
    <s v="MTG"/>
    <x v="353"/>
    <n v="3.8663304183638441"/>
  </r>
  <r>
    <x v="0"/>
    <s v="Wells Fargo"/>
    <s v="1Point Rate"/>
    <s v="MTG"/>
    <x v="354"/>
    <n v="3.9293386479583652"/>
  </r>
  <r>
    <x v="0"/>
    <s v="Wells Fargo"/>
    <s v="1Point Rate"/>
    <s v="MTG"/>
    <x v="355"/>
    <n v="3.9293386479583652"/>
  </r>
  <r>
    <x v="0"/>
    <s v="Wells Fargo"/>
    <s v="1Point Rate"/>
    <s v="MTG"/>
    <x v="356"/>
    <n v="3.9280410898719866"/>
  </r>
  <r>
    <x v="0"/>
    <s v="Wells Fargo"/>
    <s v="1Point Rate"/>
    <s v="MTG"/>
    <x v="357"/>
    <n v="3.8663304183638441"/>
  </r>
  <r>
    <x v="0"/>
    <s v="Wells Fargo"/>
    <s v="1Point Rate"/>
    <s v="MTG"/>
    <x v="358"/>
    <n v="3.8644641896305987"/>
  </r>
  <r>
    <x v="0"/>
    <s v="Wells Fargo"/>
    <s v="1Point Rate"/>
    <s v="MTG"/>
    <x v="359"/>
    <n v="3.9337136479583643"/>
  </r>
  <r>
    <x v="0"/>
    <s v="Wells Fargo"/>
    <s v="1Point Rate"/>
    <s v="MTG"/>
    <x v="360"/>
    <n v="3.8272557574518813"/>
  </r>
  <r>
    <x v="0"/>
    <s v="Wells Fargo"/>
    <s v="1Point Rate"/>
    <s v="MTG"/>
    <x v="361"/>
    <n v="3.8707054183638441"/>
  </r>
  <r>
    <x v="0"/>
    <s v="Wells Fargo"/>
    <s v="1Point Rate"/>
    <s v="MTG"/>
    <x v="362"/>
    <n v="3.8272557574518813"/>
  </r>
  <r>
    <x v="0"/>
    <s v="Wells Fargo"/>
    <s v="1Point Rate"/>
    <s v="MTG"/>
    <x v="363"/>
    <n v="3.8272557574518813"/>
  </r>
  <r>
    <x v="0"/>
    <s v="Wells Fargo"/>
    <s v="1Point Rate"/>
    <s v="MTG"/>
    <x v="364"/>
    <n v="3.8707054183638441"/>
  </r>
  <r>
    <x v="0"/>
    <s v="Wells Fargo"/>
    <s v="1Point Rate"/>
    <s v="MTG"/>
    <x v="365"/>
    <n v="3.8707054183638441"/>
  </r>
  <r>
    <x v="0"/>
    <s v="Wells Fargo"/>
    <s v="1Point Rate"/>
    <s v="MTG"/>
    <x v="366"/>
    <n v="3.8272557574518813"/>
  </r>
  <r>
    <x v="0"/>
    <s v="Wells Fargo"/>
    <s v="1Point Rate"/>
    <s v="MTG"/>
    <x v="367"/>
    <n v="3.8707054183638441"/>
  </r>
  <r>
    <x v="0"/>
    <s v="Wells Fargo"/>
    <s v="1Point Rate"/>
    <s v="MTG"/>
    <x v="368"/>
    <n v="3.8272557574518813"/>
  </r>
  <r>
    <x v="0"/>
    <s v="Wells Fargo"/>
    <s v="1Point Rate"/>
    <s v="MTG"/>
    <x v="369"/>
    <n v="3.8707054183638441"/>
  </r>
  <r>
    <x v="0"/>
    <s v="Wells Fargo"/>
    <s v="1Point Rate"/>
    <s v="MTG"/>
    <x v="370"/>
    <n v="3.9324160898719867"/>
  </r>
  <r>
    <x v="0"/>
    <s v="Wells Fargo"/>
    <s v="1Point Rate"/>
    <s v="MTG"/>
    <x v="371"/>
    <n v="3.8707054183638441"/>
  </r>
  <r>
    <x v="0"/>
    <s v="Wells Fargo"/>
    <s v="1Point Rate"/>
    <s v="MTG"/>
    <x v="372"/>
    <n v="3.8707054183638441"/>
  </r>
  <r>
    <x v="0"/>
    <s v="Wells Fargo"/>
    <s v="1Point Rate"/>
    <s v="MTG"/>
    <x v="373"/>
    <n v="3.9963812771736564"/>
  </r>
  <r>
    <x v="0"/>
    <s v="Wells Fargo"/>
    <s v="1Point Rate"/>
    <s v="MTG"/>
    <x v="374"/>
    <n v="4.060893341423701"/>
  </r>
  <r>
    <x v="0"/>
    <s v="Wells Fargo"/>
    <s v="1Point Rate"/>
    <s v="MTG"/>
    <x v="375"/>
    <n v="4.0587050066989789"/>
  </r>
  <r>
    <x v="0"/>
    <s v="Wells Fargo"/>
    <s v="1Point Rate"/>
    <s v="MTG"/>
    <x v="376"/>
    <n v="3.9971094474140623"/>
  </r>
  <r>
    <x v="0"/>
    <s v="Wells Fargo"/>
    <s v="1Point Rate"/>
    <s v="MTG"/>
    <x v="377"/>
    <n v="3.9971094474140623"/>
  </r>
  <r>
    <x v="0"/>
    <s v="Wells Fargo"/>
    <s v="1Point Rate"/>
    <s v="MTG"/>
    <x v="378"/>
    <n v="3.9971094474140623"/>
  </r>
  <r>
    <x v="0"/>
    <s v="Wells Fargo"/>
    <s v="1Point Rate"/>
    <s v="MTG"/>
    <x v="379"/>
    <n v="3.9971094474140623"/>
  </r>
  <r>
    <x v="0"/>
    <s v="Wells Fargo"/>
    <s v="1Point Rate"/>
    <s v="MTG"/>
    <x v="380"/>
    <n v="3.9971094474140623"/>
  </r>
  <r>
    <x v="0"/>
    <s v="Wells Fargo"/>
    <s v="1Point Rate"/>
    <s v="MTG"/>
    <x v="381"/>
    <n v="3.9971094474140623"/>
  </r>
  <r>
    <x v="0"/>
    <s v="Wells Fargo"/>
    <s v="1Point Rate"/>
    <s v="MTG"/>
    <x v="382"/>
    <n v="3.8272557574518813"/>
  </r>
  <r>
    <x v="0"/>
    <s v="Wells Fargo"/>
    <s v="1Point Rate"/>
    <s v="MTG"/>
    <x v="383"/>
    <n v="3.8272557574518813"/>
  </r>
  <r>
    <x v="0"/>
    <s v="Wells Fargo"/>
    <s v="1Point Rate"/>
    <s v="MTG"/>
    <x v="384"/>
    <n v="3.8688391896305983"/>
  </r>
  <r>
    <x v="0"/>
    <s v="Wells Fargo"/>
    <s v="1Point Rate"/>
    <s v="MTG"/>
    <x v="385"/>
    <n v="3.8688391896305983"/>
  </r>
  <r>
    <x v="0"/>
    <s v="Wells Fargo"/>
    <s v="1Point Rate"/>
    <s v="MTG"/>
    <x v="386"/>
    <n v="3.8272557574518813"/>
  </r>
  <r>
    <x v="0"/>
    <s v="Wells Fargo"/>
    <s v="1Point Rate"/>
    <s v="MTG"/>
    <x v="387"/>
    <n v="3.8069633569142907"/>
  </r>
  <r>
    <x v="0"/>
    <s v="Wells Fargo"/>
    <s v="1Point Rate"/>
    <s v="MTG"/>
    <x v="388"/>
    <n v="3.8688391896305983"/>
  </r>
  <r>
    <x v="0"/>
    <s v="Wells Fargo"/>
    <s v="1Point Rate"/>
    <s v="MTG"/>
    <x v="389"/>
    <n v="3.8688391896305983"/>
  </r>
  <r>
    <x v="0"/>
    <s v="Wells Fargo"/>
    <s v="1Point Rate"/>
    <s v="MTG"/>
    <x v="390"/>
    <n v="3.8707054183638441"/>
  </r>
  <r>
    <x v="0"/>
    <s v="Wells Fargo"/>
    <s v="1Point Rate"/>
    <s v="MTG"/>
    <x v="391"/>
    <n v="3.8707054183638441"/>
  </r>
  <r>
    <x v="0"/>
    <s v="Wells Fargo"/>
    <s v="1Point Rate"/>
    <s v="MTG"/>
    <x v="392"/>
    <n v="3.9324160898719867"/>
  </r>
  <r>
    <x v="0"/>
    <s v="Wells Fargo"/>
    <s v="1Point Rate"/>
    <s v="MTG"/>
    <x v="393"/>
    <n v="3.9971094474140623"/>
  </r>
  <r>
    <x v="0"/>
    <s v="Wells Fargo"/>
    <s v="1Point Rate"/>
    <s v="MTG"/>
    <x v="394"/>
    <n v="4.0587050066989789"/>
  </r>
  <r>
    <x v="0"/>
    <s v="Wells Fargo"/>
    <s v="1Point Rate"/>
    <s v="MTG"/>
    <x v="395"/>
    <n v="3.9971094474140623"/>
  </r>
  <r>
    <x v="0"/>
    <s v="Wells Fargo"/>
    <s v="1Point Rate"/>
    <s v="MTG"/>
    <x v="396"/>
    <n v="3.9971094474140623"/>
  </r>
  <r>
    <x v="0"/>
    <s v="Wells Fargo"/>
    <s v="1Point Rate"/>
    <s v="MTG"/>
    <x v="397"/>
    <n v="4.0587050066989789"/>
  </r>
  <r>
    <x v="0"/>
    <s v="Wells Fargo"/>
    <s v="1Point Rate"/>
    <s v="MTG"/>
    <x v="398"/>
    <n v="3.9971094474140623"/>
  </r>
  <r>
    <x v="0"/>
    <s v="Wells Fargo"/>
    <s v="1Point Rate"/>
    <s v="MTG"/>
    <x v="399"/>
    <n v="3.9324160898719867"/>
  </r>
  <r>
    <x v="0"/>
    <s v="Wells Fargo"/>
    <s v="1Point Rate"/>
    <s v="MTG"/>
    <x v="400"/>
    <n v="3.9324160898719867"/>
  </r>
  <r>
    <x v="0"/>
    <s v="Wells Fargo"/>
    <s v="1Point Rate"/>
    <s v="MTG"/>
    <x v="401"/>
    <n v="3.9324160898719867"/>
  </r>
  <r>
    <x v="0"/>
    <s v="Wells Fargo"/>
    <s v="1Point Rate"/>
    <s v="MTG"/>
    <x v="402"/>
    <n v="3.8707054183638441"/>
  </r>
  <r>
    <x v="0"/>
    <s v="Wells Fargo"/>
    <s v="1Point Rate"/>
    <s v="MTG"/>
    <x v="403"/>
    <n v="3.9324160898719867"/>
  </r>
  <r>
    <x v="0"/>
    <s v="Wells Fargo"/>
    <s v="1Point Rate"/>
    <s v="MTG"/>
    <x v="404"/>
    <n v="3.9971094474140623"/>
  </r>
  <r>
    <x v="0"/>
    <s v="Wells Fargo"/>
    <s v="1Point Rate"/>
    <s v="MTG"/>
    <x v="405"/>
    <n v="4.060893341423701"/>
  </r>
  <r>
    <x v="0"/>
    <s v="Wells Fargo"/>
    <s v="1Point Rate"/>
    <s v="MTG"/>
    <x v="406"/>
    <n v="4.060893341423701"/>
  </r>
  <r>
    <x v="0"/>
    <s v="Wells Fargo"/>
    <s v="1Point Rate"/>
    <s v="MTG"/>
    <x v="407"/>
    <n v="3.9963812771736564"/>
  </r>
  <r>
    <x v="0"/>
    <s v="Wells Fargo"/>
    <s v="1Point Rate"/>
    <s v="MTG"/>
    <x v="408"/>
    <n v="4.060893341423701"/>
  </r>
  <r>
    <x v="0"/>
    <s v="Wells Fargo"/>
    <s v="1Point Rate"/>
    <s v="MTG"/>
    <x v="409"/>
    <n v="4.0587050066989789"/>
  </r>
  <r>
    <x v="0"/>
    <s v="Wells Fargo"/>
    <s v="1Point Rate"/>
    <s v="MTG"/>
    <x v="410"/>
    <n v="4.060893341423701"/>
  </r>
  <r>
    <x v="0"/>
    <s v="Wells Fargo"/>
    <s v="1Point Rate"/>
    <s v="MTG"/>
    <x v="411"/>
    <n v="3.9324160898719867"/>
  </r>
  <r>
    <x v="0"/>
    <s v="Wells Fargo"/>
    <s v="1Point Rate"/>
    <s v="MTG"/>
    <x v="412"/>
    <n v="3.9963812771736564"/>
  </r>
  <r>
    <x v="0"/>
    <s v="Wells Fargo"/>
    <s v="1Point Rate"/>
    <s v="MTG"/>
    <x v="413"/>
    <n v="3.9963812771736564"/>
  </r>
  <r>
    <x v="0"/>
    <s v="Wells Fargo"/>
    <s v="1Point Rate"/>
    <s v="MTG"/>
    <x v="414"/>
    <n v="4.1734289804499189"/>
  </r>
  <r>
    <x v="0"/>
    <s v="Wells Fargo"/>
    <s v="1Point Rate"/>
    <s v="MTG"/>
    <x v="415"/>
    <n v="4.3118975972031501"/>
  </r>
  <r>
    <x v="0"/>
    <s v="Wells Fargo"/>
    <s v="1Point Rate"/>
    <s v="MTG"/>
    <x v="416"/>
    <n v="4.4991979147795913"/>
  </r>
  <r>
    <x v="0"/>
    <s v="Wells Fargo"/>
    <s v="1Point Rate"/>
    <s v="MTG"/>
    <x v="417"/>
    <n v="4.4384231677951833"/>
  </r>
  <r>
    <x v="0"/>
    <s v="Wells Fargo"/>
    <s v="1Point Rate"/>
    <s v="MTG"/>
    <x v="418"/>
    <n v="4.4384231677951833"/>
  </r>
  <r>
    <x v="0"/>
    <s v="Wells Fargo"/>
    <s v="1Point Rate"/>
    <s v="MTG"/>
    <x v="419"/>
    <n v="4.3746353816591084"/>
  </r>
  <r>
    <x v="0"/>
    <s v="Wells Fargo"/>
    <s v="1Point Rate"/>
    <s v="MTG"/>
    <x v="420"/>
    <n v="4.5004250935354104"/>
  </r>
  <r>
    <x v="0"/>
    <s v="Wells Fargo"/>
    <s v="1Point Rate"/>
    <s v="MTG"/>
    <x v="421"/>
    <n v="4.4544722357449444"/>
  </r>
  <r>
    <x v="0"/>
    <s v="Wells Fargo"/>
    <s v="1Point Rate"/>
    <s v="MTG"/>
    <x v="422"/>
    <n v="4.5628647075387256"/>
  </r>
  <r>
    <x v="0"/>
    <s v="Wells Fargo"/>
    <s v="1Point Rate"/>
    <s v="MTG"/>
    <x v="423"/>
    <n v="4.5489973351823689"/>
  </r>
  <r>
    <x v="0"/>
    <s v="Wells Fargo"/>
    <s v="1Point Rate"/>
    <s v="MTG"/>
    <x v="424"/>
    <n v="4.6879663696898612"/>
  </r>
  <r>
    <x v="0"/>
    <s v="Wells Fargo"/>
    <s v="1Point Rate"/>
    <s v="MTG"/>
    <x v="425"/>
    <n v="4.6245354086055812"/>
  </r>
  <r>
    <x v="0"/>
    <s v="Wells Fargo"/>
    <s v="1Point Rate"/>
    <s v="MTG"/>
    <x v="426"/>
    <n v="4.5639756765749206"/>
  </r>
  <r>
    <x v="0"/>
    <s v="Wells Fargo"/>
    <s v="1Point Rate"/>
    <s v="MTG"/>
    <x v="427"/>
    <n v="4.5639756765749206"/>
  </r>
  <r>
    <x v="0"/>
    <s v="Wells Fargo"/>
    <s v="1Point Rate"/>
    <s v="MTG"/>
    <x v="428"/>
    <n v="4.6260926613935913"/>
  </r>
  <r>
    <x v="0"/>
    <s v="Wells Fargo"/>
    <s v="1Point Rate"/>
    <s v="MTG"/>
    <x v="429"/>
    <n v="4.5639756765749206"/>
  </r>
  <r>
    <x v="0"/>
    <s v="Wells Fargo"/>
    <s v="1Point Rate"/>
    <s v="MTG"/>
    <x v="430"/>
    <n v="4.5489973351823689"/>
  </r>
  <r>
    <x v="0"/>
    <s v="Wells Fargo"/>
    <s v="1Point Rate"/>
    <s v="MTG"/>
    <x v="431"/>
    <n v="4.6245354086055812"/>
  </r>
  <r>
    <x v="0"/>
    <s v="Wells Fargo"/>
    <s v="1Point Rate"/>
    <s v="MTG"/>
    <x v="432"/>
    <n v="4.5639756765749206"/>
  </r>
  <r>
    <x v="0"/>
    <s v="Wells Fargo"/>
    <s v="1Point Rate"/>
    <s v="MTG"/>
    <x v="433"/>
    <n v="4.6245354086055812"/>
  </r>
  <r>
    <x v="0"/>
    <s v="Wells Fargo"/>
    <s v="1Point Rate"/>
    <s v="MTG"/>
    <x v="434"/>
    <n v="4.5628647075387256"/>
  </r>
  <r>
    <x v="0"/>
    <s v="Wells Fargo"/>
    <s v="1Point Rate"/>
    <s v="MTG"/>
    <x v="435"/>
    <n v="4.6245354086055812"/>
  </r>
  <r>
    <x v="0"/>
    <s v="Wells Fargo"/>
    <s v="1Point Rate"/>
    <s v="MTG"/>
    <x v="436"/>
    <n v="4.6879663696898612"/>
  </r>
  <r>
    <x v="0"/>
    <s v="Wells Fargo"/>
    <s v="1Point Rate"/>
    <s v="MTG"/>
    <x v="437"/>
    <n v="4.5489973351823689"/>
  </r>
  <r>
    <x v="0"/>
    <s v="Wells Fargo"/>
    <s v="1Point Rate"/>
    <s v="MTG"/>
    <x v="438"/>
    <n v="4.7089234907517152"/>
  </r>
  <r>
    <x v="0"/>
    <s v="Wells Fargo"/>
    <s v="1Point Rate"/>
    <s v="MTG"/>
    <x v="439"/>
    <n v="4.7089234907517152"/>
  </r>
  <r>
    <x v="0"/>
    <s v="Wells Fargo"/>
    <s v="1Point Rate"/>
    <s v="MTG"/>
    <x v="440"/>
    <n v="4.7089234907517152"/>
  </r>
  <r>
    <x v="0"/>
    <s v="Wells Fargo"/>
    <s v="1Point Rate"/>
    <s v="MTG"/>
    <x v="441"/>
    <n v="4.7089234907517152"/>
  </r>
  <r>
    <x v="0"/>
    <s v="Wells Fargo"/>
    <s v="1Point Rate"/>
    <s v="MTG"/>
    <x v="442"/>
    <n v="4.7089234907517152"/>
  </r>
  <r>
    <x v="0"/>
    <s v="Wells Fargo"/>
    <s v="1Point Rate"/>
    <s v="MTG"/>
    <x v="443"/>
    <n v="4.7089234907517152"/>
  </r>
  <r>
    <x v="0"/>
    <s v="Wells Fargo"/>
    <s v="1Point Rate"/>
    <s v="MTG"/>
    <x v="444"/>
    <n v="4.6776734907517152"/>
  </r>
  <r>
    <x v="0"/>
    <s v="Wells Fargo"/>
    <s v="1Point Rate"/>
    <s v="MTG"/>
    <x v="445"/>
    <n v="4.7089234907517152"/>
  </r>
  <r>
    <x v="0"/>
    <s v="Wells Fargo"/>
    <s v="1Point Rate"/>
    <s v="MTG"/>
    <x v="446"/>
    <n v="4.8158503721710213"/>
  </r>
  <r>
    <x v="0"/>
    <s v="Wells Fargo"/>
    <s v="1Point Rate"/>
    <s v="MTG"/>
    <x v="447"/>
    <n v="4.6894071952244643"/>
  </r>
  <r>
    <x v="0"/>
    <s v="Wells Fargo"/>
    <s v="1Point Rate"/>
    <s v="MTG"/>
    <x v="448"/>
    <n v="4.6260926613935913"/>
  </r>
  <r>
    <x v="0"/>
    <s v="Wells Fargo"/>
    <s v="1Point Rate"/>
    <s v="MTG"/>
    <x v="449"/>
    <n v="4.6894071952244643"/>
  </r>
  <r>
    <x v="0"/>
    <s v="Wells Fargo"/>
    <s v="1Point Rate"/>
    <s v="MTG"/>
    <x v="450"/>
    <n v="4.6260926613935913"/>
  </r>
  <r>
    <x v="0"/>
    <s v="Wells Fargo"/>
    <s v="1Point Rate"/>
    <s v="MTG"/>
    <x v="451"/>
    <n v="4.5639756765749206"/>
  </r>
  <r>
    <x v="0"/>
    <s v="Wells Fargo"/>
    <s v="1Point Rate"/>
    <s v="MTG"/>
    <x v="452"/>
    <n v="4.6245354086055812"/>
  </r>
  <r>
    <x v="0"/>
    <s v="Wells Fargo"/>
    <s v="1Point Rate"/>
    <s v="MTG"/>
    <x v="453"/>
    <n v="4.6879663696898612"/>
  </r>
  <r>
    <x v="0"/>
    <s v="Wells Fargo"/>
    <s v="1Point Rate"/>
    <s v="MTG"/>
    <x v="454"/>
    <n v="4.6245354086055812"/>
  </r>
  <r>
    <x v="0"/>
    <s v="Wells Fargo"/>
    <s v="1Point Rate"/>
    <s v="MTG"/>
    <x v="455"/>
    <n v="4.5639756765749206"/>
  </r>
  <r>
    <x v="0"/>
    <s v="Wells Fargo"/>
    <s v="1Point Rate"/>
    <s v="MTG"/>
    <x v="456"/>
    <n v="4.5004250935354104"/>
  </r>
  <r>
    <x v="0"/>
    <s v="Wells Fargo"/>
    <s v="1Point Rate"/>
    <s v="MTG"/>
    <x v="457"/>
    <n v="4.5802473351823689"/>
  </r>
  <r>
    <x v="0"/>
    <s v="Wells Fargo"/>
    <s v="1Point Rate"/>
    <s v="MTG"/>
    <x v="458"/>
    <n v="4.6245354086055812"/>
  </r>
  <r>
    <x v="0"/>
    <s v="Wells Fargo"/>
    <s v="1Point Rate"/>
    <s v="MTG"/>
    <x v="459"/>
    <n v="4.6879663696898612"/>
  </r>
  <r>
    <x v="0"/>
    <s v="Wells Fargo"/>
    <s v="1Point Rate"/>
    <s v="MTG"/>
    <x v="460"/>
    <n v="4.7526597180255612"/>
  </r>
  <r>
    <x v="0"/>
    <s v="Wells Fargo"/>
    <s v="1Point Rate"/>
    <s v="MTG"/>
    <x v="461"/>
    <n v="4.8158503721710213"/>
  </r>
  <r>
    <x v="0"/>
    <s v="Wells Fargo"/>
    <s v="1Point Rate"/>
    <s v="MTG"/>
    <x v="462"/>
    <n v="4.6260926613935913"/>
  </r>
  <r>
    <x v="0"/>
    <s v="Wells Fargo"/>
    <s v="1Point Rate"/>
    <s v="MTG"/>
    <x v="463"/>
    <n v="4.6260926613935913"/>
  </r>
  <r>
    <x v="0"/>
    <s v="Wells Fargo"/>
    <s v="1Point Rate"/>
    <s v="MTG"/>
    <x v="464"/>
    <n v="4.7526597180255612"/>
  </r>
  <r>
    <x v="0"/>
    <s v="Wells Fargo"/>
    <s v="1Point Rate"/>
    <s v="MTG"/>
    <x v="465"/>
    <n v="4.8158503721710213"/>
  </r>
  <r>
    <x v="0"/>
    <s v="Wells Fargo"/>
    <s v="1Point Rate"/>
    <s v="MTG"/>
    <x v="466"/>
    <n v="4.6894071952244643"/>
  </r>
  <r>
    <x v="0"/>
    <s v="Wells Fargo"/>
    <s v="1Point Rate"/>
    <s v="MTG"/>
    <x v="467"/>
    <n v="4.5802473351823689"/>
  </r>
  <r>
    <x v="0"/>
    <s v="Wells Fargo"/>
    <s v="1Point Rate"/>
    <s v="MTG"/>
    <x v="468"/>
    <n v="4.5802473351823689"/>
  </r>
  <r>
    <x v="0"/>
    <s v="Wells Fargo"/>
    <s v="1Point Rate"/>
    <s v="MTG"/>
    <x v="469"/>
    <n v="4.6260926613935913"/>
  </r>
  <r>
    <x v="0"/>
    <s v="Wells Fargo"/>
    <s v="1Point Rate"/>
    <s v="MTG"/>
    <x v="470"/>
    <n v="4.5489973351823689"/>
  </r>
  <r>
    <x v="0"/>
    <s v="Wells Fargo"/>
    <s v="1Point Rate"/>
    <s v="MTG"/>
    <x v="471"/>
    <n v="4.6879663696898612"/>
  </r>
  <r>
    <x v="0"/>
    <s v="Wells Fargo"/>
    <s v="1Point Rate"/>
    <s v="MTG"/>
    <x v="472"/>
    <n v="4.6879663696898612"/>
  </r>
  <r>
    <x v="0"/>
    <s v="Wells Fargo"/>
    <s v="1Point Rate"/>
    <s v="MTG"/>
    <x v="473"/>
    <n v="4.6879663696898612"/>
  </r>
  <r>
    <x v="0"/>
    <s v="Wells Fargo"/>
    <s v="1Point Rate"/>
    <s v="MTG"/>
    <x v="474"/>
    <n v="4.5639756765749206"/>
  </r>
  <r>
    <x v="0"/>
    <s v="Wells Fargo"/>
    <s v="1Point Rate"/>
    <s v="MTG"/>
    <x v="475"/>
    <n v="4.6879663696898612"/>
  </r>
  <r>
    <x v="0"/>
    <s v="Wells Fargo"/>
    <s v="1Point Rate"/>
    <s v="MTG"/>
    <x v="476"/>
    <n v="4.5639756765749206"/>
  </r>
  <r>
    <x v="0"/>
    <s v="Wells Fargo"/>
    <s v="1Point Rate"/>
    <s v="MTG"/>
    <x v="477"/>
    <n v="4.6879663696898612"/>
  </r>
  <r>
    <x v="0"/>
    <s v="Wells Fargo"/>
    <s v="1Point Rate"/>
    <s v="MTG"/>
    <x v="478"/>
    <n v="4.6879663696898612"/>
  </r>
  <r>
    <x v="0"/>
    <s v="Wells Fargo"/>
    <s v="1Point Rate"/>
    <s v="MTG"/>
    <x v="479"/>
    <n v="4.6245354086055812"/>
  </r>
  <r>
    <x v="0"/>
    <s v="Wells Fargo"/>
    <s v="1Point Rate"/>
    <s v="MTG"/>
    <x v="480"/>
    <n v="4.5628647075387256"/>
  </r>
  <r>
    <x v="0"/>
    <s v="Wells Fargo"/>
    <s v="1Point Rate"/>
    <s v="MTG"/>
    <x v="481"/>
    <n v="4.5639756765749206"/>
  </r>
  <r>
    <x v="0"/>
    <s v="Wells Fargo"/>
    <s v="1Point Rate"/>
    <s v="MTG"/>
    <x v="482"/>
    <n v="4.5639756765749206"/>
  </r>
  <r>
    <x v="0"/>
    <s v="Wells Fargo"/>
    <s v="1Point Rate"/>
    <s v="MTG"/>
    <x v="483"/>
    <n v="4.5628647075387256"/>
  </r>
  <r>
    <x v="0"/>
    <s v="Wells Fargo"/>
    <s v="1Point Rate"/>
    <s v="MTG"/>
    <x v="484"/>
    <n v="4.4384231677951833"/>
  </r>
  <r>
    <x v="0"/>
    <s v="Wells Fargo"/>
    <s v="1Point Rate"/>
    <s v="MTG"/>
    <x v="485"/>
    <n v="4.4384231677951833"/>
  </r>
  <r>
    <x v="0"/>
    <s v="Wells Fargo"/>
    <s v="1Point Rate"/>
    <s v="MTG"/>
    <x v="486"/>
    <n v="4.5628647075387256"/>
  </r>
  <r>
    <x v="0"/>
    <s v="Wells Fargo"/>
    <s v="1Point Rate"/>
    <s v="MTG"/>
    <x v="487"/>
    <n v="4.6245354086055812"/>
  </r>
  <r>
    <x v="0"/>
    <s v="Wells Fargo"/>
    <s v="1Point Rate"/>
    <s v="MTG"/>
    <x v="488"/>
    <n v="4.6245354086055812"/>
  </r>
  <r>
    <x v="0"/>
    <s v="Wells Fargo"/>
    <s v="1Point Rate"/>
    <s v="MTG"/>
    <x v="489"/>
    <n v="4.6879663696898612"/>
  </r>
  <r>
    <x v="0"/>
    <s v="Wells Fargo"/>
    <s v="1Point Rate"/>
    <s v="MTG"/>
    <x v="490"/>
    <n v="4.6879663696898612"/>
  </r>
  <r>
    <x v="0"/>
    <s v="Wells Fargo"/>
    <s v="1Point Rate"/>
    <s v="MTG"/>
    <x v="491"/>
    <n v="4.5489973351823689"/>
  </r>
  <r>
    <x v="0"/>
    <s v="Wells Fargo"/>
    <s v="1Point Rate"/>
    <s v="MTG"/>
    <x v="492"/>
    <n v="4.6260926613935913"/>
  </r>
  <r>
    <x v="0"/>
    <s v="Wells Fargo"/>
    <s v="1Point Rate"/>
    <s v="MTG"/>
    <x v="493"/>
    <n v="4.6894071952244643"/>
  </r>
  <r>
    <x v="0"/>
    <s v="Wells Fargo"/>
    <s v="1Point Rate"/>
    <s v="MTG"/>
    <x v="494"/>
    <n v="4.6894071952244643"/>
  </r>
  <r>
    <x v="0"/>
    <s v="Wells Fargo"/>
    <s v="1Point Rate"/>
    <s v="MTG"/>
    <x v="495"/>
    <n v="4.6894071952244643"/>
  </r>
  <r>
    <x v="0"/>
    <s v="Wells Fargo"/>
    <s v="1Point Rate"/>
    <s v="MTG"/>
    <x v="496"/>
    <n v="4.8158503721710213"/>
  </r>
  <r>
    <x v="0"/>
    <s v="Wells Fargo"/>
    <s v="1Point Rate"/>
    <s v="MTG"/>
    <x v="497"/>
    <n v="4.7526597180255612"/>
  </r>
  <r>
    <x v="0"/>
    <s v="Wells Fargo"/>
    <s v="1Point Rate"/>
    <s v="MTG"/>
    <x v="498"/>
    <n v="4.6879663696898612"/>
  </r>
  <r>
    <x v="0"/>
    <s v="Wells Fargo"/>
    <s v="1Point Rate"/>
    <s v="MTG"/>
    <x v="499"/>
    <n v="4.6879663696898612"/>
  </r>
  <r>
    <x v="0"/>
    <s v="Wells Fargo"/>
    <s v="1Point Rate"/>
    <s v="MTG"/>
    <x v="500"/>
    <n v="4.6879663696898612"/>
  </r>
  <r>
    <x v="0"/>
    <s v="Wells Fargo"/>
    <s v="1Point Rate"/>
    <s v="MTG"/>
    <x v="501"/>
    <n v="4.5004250935354104"/>
  </r>
  <r>
    <x v="0"/>
    <s v="Wells Fargo"/>
    <s v="1Point Rate"/>
    <s v="MTG"/>
    <x v="502"/>
    <n v="4.5004250935354104"/>
  </r>
  <r>
    <x v="0"/>
    <s v="Wells Fargo"/>
    <s v="1Point Rate"/>
    <s v="MTG"/>
    <x v="503"/>
    <n v="4.5004250935354104"/>
  </r>
  <r>
    <x v="0"/>
    <s v="Wells Fargo"/>
    <s v="1Point Rate"/>
    <s v="MTG"/>
    <x v="504"/>
    <n v="4.5639756765749206"/>
  </r>
  <r>
    <x v="0"/>
    <s v="Wells Fargo"/>
    <s v="1Point Rate"/>
    <s v="MTG"/>
    <x v="505"/>
    <n v="4.5004250935354104"/>
  </r>
  <r>
    <x v="0"/>
    <s v="Wells Fargo"/>
    <s v="1Point Rate"/>
    <s v="MTG"/>
    <x v="506"/>
    <n v="4.6245354086055812"/>
  </r>
  <r>
    <x v="0"/>
    <s v="Wells Fargo"/>
    <s v="1Point Rate"/>
    <s v="MTG"/>
    <x v="507"/>
    <n v="4.6245354086055812"/>
  </r>
  <r>
    <x v="0"/>
    <s v="Wells Fargo"/>
    <s v="1Point Rate"/>
    <s v="MTG"/>
    <x v="508"/>
    <n v="4.5639756765749206"/>
  </r>
  <r>
    <x v="0"/>
    <s v="Wells Fargo"/>
    <s v="1Point Rate"/>
    <s v="MTG"/>
    <x v="509"/>
    <n v="4.6245354086055812"/>
  </r>
  <r>
    <x v="0"/>
    <s v="Wells Fargo"/>
    <s v="1Point Rate"/>
    <s v="MTG"/>
    <x v="510"/>
    <n v="4.5004250935354104"/>
  </r>
  <r>
    <x v="0"/>
    <s v="Wells Fargo"/>
    <s v="1Point Rate"/>
    <s v="MTG"/>
    <x v="511"/>
    <n v="4.5628647075387256"/>
  </r>
  <r>
    <x v="0"/>
    <s v="Wells Fargo"/>
    <s v="1Point Rate"/>
    <s v="MTG"/>
    <x v="512"/>
    <n v="4.4544722357449444"/>
  </r>
  <r>
    <x v="0"/>
    <s v="Wells Fargo"/>
    <s v="1Point Rate"/>
    <s v="MTG"/>
    <x v="513"/>
    <n v="4.5628647075387256"/>
  </r>
  <r>
    <x v="0"/>
    <s v="Wells Fargo"/>
    <s v="1Point Rate"/>
    <s v="MTG"/>
    <x v="514"/>
    <n v="4.4991979147795913"/>
  </r>
  <r>
    <x v="0"/>
    <s v="Wells Fargo"/>
    <s v="1Point Rate"/>
    <s v="MTG"/>
    <x v="515"/>
    <n v="4.5004250935354104"/>
  </r>
  <r>
    <x v="0"/>
    <s v="Wells Fargo"/>
    <s v="1Point Rate"/>
    <s v="MTG"/>
    <x v="516"/>
    <n v="4.4232222357449436"/>
  </r>
  <r>
    <x v="0"/>
    <s v="Wells Fargo"/>
    <s v="1Point Rate"/>
    <s v="MTG"/>
    <x v="517"/>
    <n v="4.4991979147795913"/>
  </r>
  <r>
    <x v="0"/>
    <s v="Wells Fargo"/>
    <s v="1Point Rate"/>
    <s v="MTG"/>
    <x v="518"/>
    <n v="4.4384231677951833"/>
  </r>
  <r>
    <x v="0"/>
    <s v="Wells Fargo"/>
    <s v="1Point Rate"/>
    <s v="MTG"/>
    <x v="519"/>
    <n v="4.3746353816591084"/>
  </r>
  <r>
    <x v="0"/>
    <s v="Wells Fargo"/>
    <s v="1Point Rate"/>
    <s v="MTG"/>
    <x v="520"/>
    <n v="4.3285744659487024"/>
  </r>
  <r>
    <x v="0"/>
    <s v="Wells Fargo"/>
    <s v="1Point Rate"/>
    <s v="MTG"/>
    <x v="521"/>
    <n v="4.3285744659487024"/>
  </r>
  <r>
    <x v="0"/>
    <s v="Wells Fargo"/>
    <s v="1Point Rate"/>
    <s v="MTG"/>
    <x v="522"/>
    <n v="4.3746353816591084"/>
  </r>
  <r>
    <x v="0"/>
    <s v="Wells Fargo"/>
    <s v="1Point Rate"/>
    <s v="MTG"/>
    <x v="523"/>
    <n v="4.3746353816591084"/>
  </r>
  <r>
    <x v="0"/>
    <s v="Wells Fargo"/>
    <s v="1Point Rate"/>
    <s v="MTG"/>
    <x v="524"/>
    <n v="4.4991979147795913"/>
  </r>
  <r>
    <x v="0"/>
    <s v="Wells Fargo"/>
    <s v="1Point Rate"/>
    <s v="MTG"/>
    <x v="525"/>
    <n v="4.4991979147795913"/>
  </r>
  <r>
    <x v="0"/>
    <s v="Wells Fargo"/>
    <s v="1Point Rate"/>
    <s v="MTG"/>
    <x v="526"/>
    <n v="4.4544722357449444"/>
  </r>
  <r>
    <x v="0"/>
    <s v="Wells Fargo"/>
    <s v="1Point Rate"/>
    <s v="MTG"/>
    <x v="527"/>
    <n v="4.5628647075387256"/>
  </r>
  <r>
    <x v="0"/>
    <s v="Wells Fargo"/>
    <s v="1Point Rate"/>
    <s v="MTG"/>
    <x v="528"/>
    <n v="4.5628647075387256"/>
  </r>
  <r>
    <x v="0"/>
    <s v="Wells Fargo"/>
    <s v="1Point Rate"/>
    <s v="MTG"/>
    <x v="529"/>
    <n v="4.4991979147795913"/>
  </r>
  <r>
    <x v="0"/>
    <s v="Wells Fargo"/>
    <s v="1Point Rate"/>
    <s v="MTG"/>
    <x v="530"/>
    <n v="4.5628647075387256"/>
  </r>
  <r>
    <x v="0"/>
    <s v="Wells Fargo"/>
    <s v="1Point Rate"/>
    <s v="MTG"/>
    <x v="531"/>
    <n v="4.4384231677951833"/>
  </r>
  <r>
    <x v="0"/>
    <s v="Wells Fargo"/>
    <s v="1Point Rate"/>
    <s v="MTG"/>
    <x v="532"/>
    <n v="4.5628647075387256"/>
  </r>
  <r>
    <x v="0"/>
    <s v="Wells Fargo"/>
    <s v="1Point Rate"/>
    <s v="MTG"/>
    <x v="533"/>
    <n v="4.4991979147795913"/>
  </r>
  <r>
    <x v="0"/>
    <s v="Wells Fargo"/>
    <s v="1Point Rate"/>
    <s v="MTG"/>
    <x v="534"/>
    <n v="4.5628647075387256"/>
  </r>
  <r>
    <x v="0"/>
    <s v="Wells Fargo"/>
    <s v="1Point Rate"/>
    <s v="MTG"/>
    <x v="535"/>
    <n v="4.5628647075387256"/>
  </r>
  <r>
    <x v="0"/>
    <s v="Wells Fargo"/>
    <s v="1Point Rate"/>
    <s v="MTG"/>
    <x v="536"/>
    <n v="4.5628647075387256"/>
  </r>
  <r>
    <x v="0"/>
    <s v="Wells Fargo"/>
    <s v="1Point Rate"/>
    <s v="MTG"/>
    <x v="537"/>
    <n v="4.4544722357449444"/>
  </r>
  <r>
    <x v="0"/>
    <s v="Wells Fargo"/>
    <s v="1Point Rate"/>
    <s v="MTG"/>
    <x v="538"/>
    <n v="4.4991979147795913"/>
  </r>
  <r>
    <x v="0"/>
    <s v="Wells Fargo"/>
    <s v="1Point Rate"/>
    <s v="MTG"/>
    <x v="539"/>
    <n v="4.4991979147795913"/>
  </r>
  <r>
    <x v="0"/>
    <s v="Wells Fargo"/>
    <s v="1Point Rate"/>
    <s v="MTG"/>
    <x v="540"/>
    <n v="4.4349282413789313"/>
  </r>
  <r>
    <x v="0"/>
    <s v="Wells Fargo"/>
    <s v="1Point Rate"/>
    <s v="MTG"/>
    <x v="541"/>
    <n v="4.3739903763055512"/>
  </r>
  <r>
    <x v="0"/>
    <s v="Wells Fargo"/>
    <s v="1Point Rate"/>
    <s v="MTG"/>
    <x v="542"/>
    <n v="4.3285744659487024"/>
  </r>
  <r>
    <x v="0"/>
    <s v="Wells Fargo"/>
    <s v="1Point Rate"/>
    <s v="MTG"/>
    <x v="543"/>
    <n v="4.3746353816591084"/>
  </r>
  <r>
    <x v="0"/>
    <s v="Wells Fargo"/>
    <s v="1Point Rate"/>
    <s v="MTG"/>
    <x v="544"/>
    <n v="4.3746353816591084"/>
  </r>
  <r>
    <x v="0"/>
    <s v="Wells Fargo"/>
    <s v="1Point Rate"/>
    <s v="MTG"/>
    <x v="545"/>
    <n v="4.4384231677951833"/>
  </r>
  <r>
    <x v="0"/>
    <s v="Wells Fargo"/>
    <s v="1Point Rate"/>
    <s v="MTG"/>
    <x v="546"/>
    <n v="4.3746353816591084"/>
  </r>
  <r>
    <x v="0"/>
    <s v="Wells Fargo"/>
    <s v="1Point Rate"/>
    <s v="MTG"/>
    <x v="547"/>
    <n v="4.4349282413789313"/>
  </r>
  <r>
    <x v="0"/>
    <s v="Wells Fargo"/>
    <s v="1Point Rate"/>
    <s v="MTG"/>
    <x v="548"/>
    <n v="4.3739903763055512"/>
  </r>
  <r>
    <x v="0"/>
    <s v="Wells Fargo"/>
    <s v="1Point Rate"/>
    <s v="MTG"/>
    <x v="549"/>
    <n v="4.4349282413789313"/>
  </r>
  <r>
    <x v="0"/>
    <s v="Wells Fargo"/>
    <s v="1Point Rate"/>
    <s v="MTG"/>
    <x v="550"/>
    <n v="4.2028039804499189"/>
  </r>
  <r>
    <x v="0"/>
    <s v="Wells Fargo"/>
    <s v="1Point Rate"/>
    <s v="MTG"/>
    <x v="551"/>
    <n v="4.2028039804499189"/>
  </r>
  <r>
    <x v="0"/>
    <s v="Wells Fargo"/>
    <s v="1Point Rate"/>
    <s v="MTG"/>
    <x v="552"/>
    <n v="4.3099419961318617"/>
  </r>
  <r>
    <x v="0"/>
    <s v="Wells Fargo"/>
    <s v="1Point Rate"/>
    <s v="MTG"/>
    <x v="553"/>
    <n v="4.3099419961318617"/>
  </r>
  <r>
    <x v="0"/>
    <s v="Wells Fargo"/>
    <s v="1Point Rate"/>
    <s v="MTG"/>
    <x v="554"/>
    <n v="4.2028039804499189"/>
  </r>
  <r>
    <x v="0"/>
    <s v="Wells Fargo"/>
    <s v="1Point Rate"/>
    <s v="MTG"/>
    <x v="555"/>
    <n v="4.2489734701408617"/>
  </r>
  <r>
    <x v="0"/>
    <s v="Wells Fargo"/>
    <s v="1Point Rate"/>
    <s v="MTG"/>
    <x v="556"/>
    <n v="4.2489734701408617"/>
  </r>
  <r>
    <x v="0"/>
    <s v="Wells Fargo"/>
    <s v="1Point Rate"/>
    <s v="MTG"/>
    <x v="557"/>
    <n v="4.3100225972031501"/>
  </r>
  <r>
    <x v="0"/>
    <s v="Wells Fargo"/>
    <s v="1Point Rate"/>
    <s v="MTG"/>
    <x v="558"/>
    <n v="4.2028039804499189"/>
  </r>
  <r>
    <x v="0"/>
    <s v="Wells Fargo"/>
    <s v="1Point Rate"/>
    <s v="MTG"/>
    <x v="559"/>
    <n v="4.2489734701408617"/>
  </r>
  <r>
    <x v="0"/>
    <s v="Wells Fargo"/>
    <s v="1Point Rate"/>
    <s v="MTG"/>
    <x v="560"/>
    <n v="4.2489734701408617"/>
  </r>
  <r>
    <x v="0"/>
    <s v="Wells Fargo"/>
    <s v="1Point Rate"/>
    <s v="MTG"/>
    <x v="561"/>
    <n v="4.2489734701408617"/>
  </r>
  <r>
    <x v="0"/>
    <s v="Wells Fargo"/>
    <s v="1Point Rate"/>
    <s v="MTG"/>
    <x v="562"/>
    <n v="4.2489734701408617"/>
  </r>
  <r>
    <x v="0"/>
    <s v="Wells Fargo"/>
    <s v="1Point Rate"/>
    <s v="MTG"/>
    <x v="563"/>
    <n v="4.2489734701408617"/>
  </r>
  <r>
    <x v="0"/>
    <s v="Wells Fargo"/>
    <s v="1Point Rate"/>
    <s v="MTG"/>
    <x v="564"/>
    <n v="4.2489734701408617"/>
  </r>
  <r>
    <x v="0"/>
    <s v="Wells Fargo"/>
    <s v="1Point Rate"/>
    <s v="MTG"/>
    <x v="565"/>
    <n v="4.2028039804499189"/>
  </r>
  <r>
    <x v="0"/>
    <s v="Wells Fargo"/>
    <s v="1Point Rate"/>
    <s v="MTG"/>
    <x v="566"/>
    <n v="4.2028039804499189"/>
  </r>
  <r>
    <x v="0"/>
    <s v="Wells Fargo"/>
    <s v="1Point Rate"/>
    <s v="MTG"/>
    <x v="567"/>
    <n v="4.2489734701408617"/>
  </r>
  <r>
    <x v="0"/>
    <s v="Wells Fargo"/>
    <s v="1Point Rate"/>
    <s v="MTG"/>
    <x v="568"/>
    <n v="4.3100225972031501"/>
  </r>
  <r>
    <x v="0"/>
    <s v="Wells Fargo"/>
    <s v="1Point Rate"/>
    <s v="MTG"/>
    <x v="569"/>
    <n v="4.3739903763055512"/>
  </r>
  <r>
    <x v="0"/>
    <s v="Wells Fargo"/>
    <s v="1Point Rate"/>
    <s v="MTG"/>
    <x v="570"/>
    <n v="4.4349282413789313"/>
  </r>
  <r>
    <x v="0"/>
    <s v="Wells Fargo"/>
    <s v="1Point Rate"/>
    <s v="MTG"/>
    <x v="571"/>
    <n v="4.3748853816591078"/>
  </r>
  <r>
    <x v="0"/>
    <s v="Wells Fargo"/>
    <s v="1Point Rate"/>
    <s v="MTG"/>
    <x v="572"/>
    <n v="4.4994479147795907"/>
  </r>
  <r>
    <x v="0"/>
    <s v="Wells Fargo"/>
    <s v="1Point Rate"/>
    <s v="MTG"/>
    <x v="573"/>
    <n v="4.4994479147795907"/>
  </r>
  <r>
    <x v="0"/>
    <s v="Wells Fargo"/>
    <s v="1Point Rate"/>
    <s v="MTG"/>
    <x v="574"/>
    <n v="4.4994479147795907"/>
  </r>
  <r>
    <x v="0"/>
    <s v="Wells Fargo"/>
    <s v="1Point Rate"/>
    <s v="MTG"/>
    <x v="575"/>
    <n v="4.4994479147795907"/>
  </r>
  <r>
    <x v="0"/>
    <s v="Wells Fargo"/>
    <s v="1Point Rate"/>
    <s v="MTG"/>
    <x v="576"/>
    <n v="4.3748853816591078"/>
  </r>
  <r>
    <x v="0"/>
    <s v="Wells Fargo"/>
    <s v="1Point Rate"/>
    <s v="MTG"/>
    <x v="577"/>
    <n v="4.3748853816591078"/>
  </r>
  <r>
    <x v="0"/>
    <s v="Wells Fargo"/>
    <s v="1Point Rate"/>
    <s v="MTG"/>
    <x v="578"/>
    <n v="4.3742403763055506"/>
  </r>
  <r>
    <x v="0"/>
    <s v="Wells Fargo"/>
    <s v="1Point Rate"/>
    <s v="MTG"/>
    <x v="579"/>
    <n v="4.4351782413789307"/>
  </r>
  <r>
    <x v="0"/>
    <s v="Wells Fargo"/>
    <s v="1Point Rate"/>
    <s v="MTG"/>
    <x v="580"/>
    <n v="4.3742403763055506"/>
  </r>
  <r>
    <x v="0"/>
    <s v="Wells Fargo"/>
    <s v="1Point Rate"/>
    <s v="MTG"/>
    <x v="581"/>
    <n v="4.3742403763055506"/>
  </r>
  <r>
    <x v="0"/>
    <s v="Wells Fargo"/>
    <s v="1Point Rate"/>
    <s v="MTG"/>
    <x v="582"/>
    <n v="4.3742403763055506"/>
  </r>
  <r>
    <x v="0"/>
    <s v="Wells Fargo"/>
    <s v="1Point Rate"/>
    <s v="MTG"/>
    <x v="583"/>
    <n v="4.3742403763055506"/>
  </r>
  <r>
    <x v="0"/>
    <s v="Wells Fargo"/>
    <s v="1Point Rate"/>
    <s v="MTG"/>
    <x v="584"/>
    <n v="4.4351782413789307"/>
  </r>
  <r>
    <x v="0"/>
    <s v="Wells Fargo"/>
    <s v="1Point Rate"/>
    <s v="MTG"/>
    <x v="585"/>
    <n v="4.3748853816591078"/>
  </r>
  <r>
    <x v="0"/>
    <s v="Wells Fargo"/>
    <s v="1Point Rate"/>
    <s v="MTG"/>
    <x v="586"/>
    <n v="4.4351782413789307"/>
  </r>
  <r>
    <x v="0"/>
    <s v="Wells Fargo"/>
    <s v="1Point Rate"/>
    <s v="MTG"/>
    <x v="587"/>
    <n v="4.3748853816591078"/>
  </r>
  <r>
    <x v="0"/>
    <s v="Wells Fargo"/>
    <s v="1Point Rate"/>
    <s v="MTG"/>
    <x v="588"/>
    <n v="4.4351782413789307"/>
  </r>
  <r>
    <x v="0"/>
    <s v="Wells Fargo"/>
    <s v="1Point Rate"/>
    <s v="MTG"/>
    <x v="589"/>
    <n v="4.3288244659487027"/>
  </r>
  <r>
    <x v="0"/>
    <s v="Wells Fargo"/>
    <s v="1Point Rate"/>
    <s v="MTG"/>
    <x v="590"/>
    <n v="4.3742403763055506"/>
  </r>
  <r>
    <x v="0"/>
    <s v="Wells Fargo"/>
    <s v="1Point Rate"/>
    <s v="MTG"/>
    <x v="591"/>
    <n v="4.3102725972031495"/>
  </r>
  <r>
    <x v="0"/>
    <s v="Wells Fargo"/>
    <s v="1Point Rate"/>
    <s v="MTG"/>
    <x v="592"/>
    <n v="4.3742403763055506"/>
  </r>
  <r>
    <x v="0"/>
    <s v="Wells Fargo"/>
    <s v="1Point Rate"/>
    <s v="MTG"/>
    <x v="593"/>
    <n v="4.3742403763055506"/>
  </r>
  <r>
    <x v="0"/>
    <s v="Wells Fargo"/>
    <s v="1Point Rate"/>
    <s v="MTG"/>
    <x v="594"/>
    <n v="4.3742403763055506"/>
  </r>
  <r>
    <x v="0"/>
    <s v="Wells Fargo"/>
    <s v="1Point Rate"/>
    <s v="MTG"/>
    <x v="595"/>
    <n v="4.3102725972031495"/>
  </r>
  <r>
    <x v="0"/>
    <s v="Wells Fargo"/>
    <s v="1Point Rate"/>
    <s v="MTG"/>
    <x v="596"/>
    <n v="4.3102725972031495"/>
  </r>
  <r>
    <x v="0"/>
    <s v="Wells Fargo"/>
    <s v="1Point Rate"/>
    <s v="MTG"/>
    <x v="597"/>
    <n v="4.3102725972031495"/>
  </r>
  <r>
    <x v="0"/>
    <s v="Wells Fargo"/>
    <s v="1Point Rate"/>
    <s v="MTG"/>
    <x v="598"/>
    <n v="4.3742403763055506"/>
  </r>
  <r>
    <x v="0"/>
    <s v="Wells Fargo"/>
    <s v="1Point Rate"/>
    <s v="MTG"/>
    <x v="599"/>
    <n v="4.3742403763055506"/>
  </r>
  <r>
    <x v="0"/>
    <s v="Wells Fargo"/>
    <s v="1Point Rate"/>
    <s v="MTG"/>
    <x v="600"/>
    <n v="4.3742403763055506"/>
  </r>
  <r>
    <x v="0"/>
    <s v="Wells Fargo"/>
    <s v="1Point Rate"/>
    <s v="MTG"/>
    <x v="601"/>
    <n v="4.3102725972031495"/>
  </r>
  <r>
    <x v="0"/>
    <s v="Wells Fargo"/>
    <s v="1Point Rate"/>
    <s v="MTG"/>
    <x v="602"/>
    <n v="4.3102725972031495"/>
  </r>
  <r>
    <x v="0"/>
    <s v="Wells Fargo"/>
    <s v="1Point Rate"/>
    <s v="MTG"/>
    <x v="603"/>
    <n v="4.3102725972031495"/>
  </r>
  <r>
    <x v="0"/>
    <s v="Wells Fargo"/>
    <s v="1Point Rate"/>
    <s v="MTG"/>
    <x v="604"/>
    <n v="4.249223470140862"/>
  </r>
  <r>
    <x v="0"/>
    <s v="Wells Fargo"/>
    <s v="1Point Rate"/>
    <s v="MTG"/>
    <x v="605"/>
    <n v="4.3102725972031495"/>
  </r>
  <r>
    <x v="0"/>
    <s v="Wells Fargo"/>
    <s v="1Point Rate"/>
    <s v="MTG"/>
    <x v="606"/>
    <n v="4.3102725972031495"/>
  </r>
  <r>
    <x v="0"/>
    <s v="Wells Fargo"/>
    <s v="1Point Rate"/>
    <s v="MTG"/>
    <x v="607"/>
    <n v="4.249223470140862"/>
  </r>
  <r>
    <x v="0"/>
    <s v="Wells Fargo"/>
    <s v="1Point Rate"/>
    <s v="MTG"/>
    <x v="608"/>
    <n v="4.310191996131862"/>
  </r>
  <r>
    <x v="0"/>
    <s v="Wells Fargo"/>
    <s v="1Point Rate"/>
    <s v="MTG"/>
    <x v="609"/>
    <n v="4.249223470140862"/>
  </r>
  <r>
    <x v="0"/>
    <s v="Wells Fargo"/>
    <s v="1Point Rate"/>
    <s v="MTG"/>
    <x v="610"/>
    <n v="4.310191996131862"/>
  </r>
  <r>
    <x v="0"/>
    <s v="Wells Fargo"/>
    <s v="1Point Rate"/>
    <s v="MTG"/>
    <x v="611"/>
    <n v="4.310191996131862"/>
  </r>
  <r>
    <x v="0"/>
    <s v="Wells Fargo"/>
    <s v="1Point Rate"/>
    <s v="MTG"/>
    <x v="612"/>
    <n v="4.310191996131862"/>
  </r>
  <r>
    <x v="0"/>
    <s v="Wells Fargo"/>
    <s v="1Point Rate"/>
    <s v="MTG"/>
    <x v="613"/>
    <n v="4.1235643018144366"/>
  </r>
  <r>
    <x v="0"/>
    <s v="Wells Fargo"/>
    <s v="1Point Rate"/>
    <s v="MTG"/>
    <x v="614"/>
    <n v="4.1235643018144366"/>
  </r>
  <r>
    <x v="0"/>
    <s v="Wells Fargo"/>
    <s v="1Point Rate"/>
    <s v="MTG"/>
    <x v="615"/>
    <n v="4.1235643018144366"/>
  </r>
  <r>
    <x v="0"/>
    <s v="Wells Fargo"/>
    <s v="1Point Rate"/>
    <s v="MTG"/>
    <x v="616"/>
    <n v="4.1848311341021383"/>
  </r>
  <r>
    <x v="0"/>
    <s v="Wells Fargo"/>
    <s v="1Point Rate"/>
    <s v="MTG"/>
    <x v="617"/>
    <n v="4.2460443194521895"/>
  </r>
  <r>
    <x v="0"/>
    <s v="Wells Fargo"/>
    <s v="1Point Rate"/>
    <s v="MTG"/>
    <x v="618"/>
    <n v="4.2460443194521895"/>
  </r>
  <r>
    <x v="0"/>
    <s v="Wells Fargo"/>
    <s v="1Point Rate"/>
    <s v="MTG"/>
    <x v="619"/>
    <n v="4.310191996131862"/>
  </r>
  <r>
    <x v="0"/>
    <s v="Wells Fargo"/>
    <s v="1Point Rate"/>
    <s v="MTG"/>
    <x v="620"/>
    <n v="4.2460443194521895"/>
  </r>
  <r>
    <x v="0"/>
    <s v="Wells Fargo"/>
    <s v="1Point Rate"/>
    <s v="MTG"/>
    <x v="621"/>
    <n v="4.310191996131862"/>
  </r>
  <r>
    <x v="0"/>
    <s v="Wells Fargo"/>
    <s v="1Point Rate"/>
    <s v="MTG"/>
    <x v="622"/>
    <n v="4.310191996131862"/>
  </r>
  <r>
    <x v="0"/>
    <s v="Wells Fargo"/>
    <s v="1Point Rate"/>
    <s v="MTG"/>
    <x v="623"/>
    <n v="4.310191996131862"/>
  </r>
  <r>
    <x v="0"/>
    <s v="Wells Fargo"/>
    <s v="1Point Rate"/>
    <s v="MTG"/>
    <x v="624"/>
    <n v="4.249223470140862"/>
  </r>
  <r>
    <x v="0"/>
    <s v="Wells Fargo"/>
    <s v="1Point Rate"/>
    <s v="MTG"/>
    <x v="625"/>
    <n v="4.249223470140862"/>
  </r>
  <r>
    <x v="0"/>
    <s v="Wells Fargo"/>
    <s v="1Point Rate"/>
    <s v="MTG"/>
    <x v="626"/>
    <n v="4.2030539804499192"/>
  </r>
  <r>
    <x v="0"/>
    <s v="Wells Fargo"/>
    <s v="1Point Rate"/>
    <s v="MTG"/>
    <x v="627"/>
    <n v="4.310191996131862"/>
  </r>
  <r>
    <x v="0"/>
    <s v="Wells Fargo"/>
    <s v="1Point Rate"/>
    <s v="MTG"/>
    <x v="628"/>
    <n v="4.249223470140862"/>
  </r>
  <r>
    <x v="0"/>
    <s v="Wells Fargo"/>
    <s v="1Point Rate"/>
    <s v="MTG"/>
    <x v="629"/>
    <n v="4.3102725972031495"/>
  </r>
  <r>
    <x v="0"/>
    <s v="Wells Fargo"/>
    <s v="1Point Rate"/>
    <s v="MTG"/>
    <x v="630"/>
    <n v="4.2030539804499192"/>
  </r>
  <r>
    <x v="0"/>
    <s v="Wells Fargo"/>
    <s v="1Point Rate"/>
    <s v="MTG"/>
    <x v="631"/>
    <n v="4.3102725972031495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1"/>
    <s v="Wells Fargo"/>
    <s v="1Point Rate"/>
    <s v="MTG"/>
    <x v="9"/>
    <n v="3.9717500000000001"/>
  </r>
  <r>
    <x v="1"/>
    <s v="Wells Fargo"/>
    <s v="1Point Rate"/>
    <s v="MTG"/>
    <x v="10"/>
    <n v="3.9717500000000001"/>
  </r>
  <r>
    <x v="1"/>
    <s v="Wells Fargo"/>
    <s v="1Point Rate"/>
    <s v="MTG"/>
    <x v="11"/>
    <n v="3.8759999999999994"/>
  </r>
  <r>
    <x v="1"/>
    <s v="Wells Fargo"/>
    <s v="1Point Rate"/>
    <s v="MTG"/>
    <x v="12"/>
    <n v="3.8441249999999996"/>
  </r>
  <r>
    <x v="1"/>
    <s v="Wells Fargo"/>
    <s v="1Point Rate"/>
    <s v="MTG"/>
    <x v="13"/>
    <n v="3.9077500000000001"/>
  </r>
  <r>
    <x v="1"/>
    <s v="Wells Fargo"/>
    <s v="1Point Rate"/>
    <s v="MTG"/>
    <x v="14"/>
    <n v="3.8759999999999994"/>
  </r>
  <r>
    <x v="1"/>
    <s v="Wells Fargo"/>
    <s v="1Point Rate"/>
    <s v="MTG"/>
    <x v="15"/>
    <n v="3.8441249999999996"/>
  </r>
  <r>
    <x v="1"/>
    <s v="Wells Fargo"/>
    <s v="1Point Rate"/>
    <s v="MTG"/>
    <x v="16"/>
    <n v="3.8441249999999996"/>
  </r>
  <r>
    <x v="1"/>
    <s v="Wells Fargo"/>
    <s v="1Point Rate"/>
    <s v="MTG"/>
    <x v="17"/>
    <n v="3.9077500000000001"/>
  </r>
  <r>
    <x v="1"/>
    <s v="Wells Fargo"/>
    <s v="1Point Rate"/>
    <s v="MTG"/>
    <x v="18"/>
    <n v="3.9077500000000001"/>
  </r>
  <r>
    <x v="1"/>
    <s v="Wells Fargo"/>
    <s v="1Point Rate"/>
    <s v="MTG"/>
    <x v="19"/>
    <n v="3.9077500000000001"/>
  </r>
  <r>
    <x v="1"/>
    <s v="Wells Fargo"/>
    <s v="1Point Rate"/>
    <s v="MTG"/>
    <x v="20"/>
    <n v="3.8759999999999994"/>
  </r>
  <r>
    <x v="1"/>
    <s v="Wells Fargo"/>
    <s v="1Point Rate"/>
    <s v="MTG"/>
    <x v="21"/>
    <n v="3.8123749999999998"/>
  </r>
  <r>
    <x v="1"/>
    <s v="Wells Fargo"/>
    <s v="1Point Rate"/>
    <s v="MTG"/>
    <x v="22"/>
    <n v="3.7805"/>
  </r>
  <r>
    <x v="1"/>
    <s v="Wells Fargo"/>
    <s v="1Point Rate"/>
    <s v="MTG"/>
    <x v="23"/>
    <n v="3.7805"/>
  </r>
  <r>
    <x v="1"/>
    <s v="Wells Fargo"/>
    <s v="1Point Rate"/>
    <s v="MTG"/>
    <x v="24"/>
    <n v="3.964"/>
  </r>
  <r>
    <x v="1"/>
    <s v="Wells Fargo"/>
    <s v="1Point Rate"/>
    <s v="MTG"/>
    <x v="25"/>
    <n v="3.964"/>
  </r>
  <r>
    <x v="1"/>
    <s v="Wells Fargo"/>
    <s v="1Point Rate"/>
    <s v="MTG"/>
    <x v="26"/>
    <n v="4.0271249999999998"/>
  </r>
  <r>
    <x v="1"/>
    <s v="Wells Fargo"/>
    <s v="1Point Rate"/>
    <s v="MTG"/>
    <x v="27"/>
    <n v="3.9634999999999998"/>
  </r>
  <r>
    <x v="1"/>
    <s v="Wells Fargo"/>
    <s v="1Point Rate"/>
    <s v="MTG"/>
    <x v="28"/>
    <n v="4.0271249999999998"/>
  </r>
  <r>
    <x v="1"/>
    <s v="Wells Fargo"/>
    <s v="1Point Rate"/>
    <s v="MTG"/>
    <x v="29"/>
    <n v="4.0271249999999998"/>
  </r>
  <r>
    <x v="1"/>
    <s v="Wells Fargo"/>
    <s v="1Point Rate"/>
    <s v="MTG"/>
    <x v="30"/>
    <n v="3.8995000000000002"/>
  </r>
  <r>
    <x v="1"/>
    <s v="Wells Fargo"/>
    <s v="1Point Rate"/>
    <s v="MTG"/>
    <x v="31"/>
    <n v="3.8995000000000002"/>
  </r>
  <r>
    <x v="1"/>
    <s v="Wells Fargo"/>
    <s v="1Point Rate"/>
    <s v="MTG"/>
    <x v="32"/>
    <n v="3.9634999999999998"/>
  </r>
  <r>
    <x v="1"/>
    <s v="Wells Fargo"/>
    <s v="1Point Rate"/>
    <s v="MTG"/>
    <x v="33"/>
    <n v="3.9634999999999998"/>
  </r>
  <r>
    <x v="1"/>
    <s v="Wells Fargo"/>
    <s v="1Point Rate"/>
    <s v="MTG"/>
    <x v="34"/>
    <n v="3.8995000000000002"/>
  </r>
  <r>
    <x v="1"/>
    <s v="Wells Fargo"/>
    <s v="1Point Rate"/>
    <s v="MTG"/>
    <x v="35"/>
    <n v="3.9634999999999998"/>
  </r>
  <r>
    <x v="1"/>
    <s v="Wells Fargo"/>
    <s v="1Point Rate"/>
    <s v="MTG"/>
    <x v="36"/>
    <n v="4.0271249999999998"/>
  </r>
  <r>
    <x v="1"/>
    <s v="Wells Fargo"/>
    <s v="1Point Rate"/>
    <s v="MTG"/>
    <x v="37"/>
    <n v="4.0271249999999998"/>
  </r>
  <r>
    <x v="1"/>
    <s v="Wells Fargo"/>
    <s v="1Point Rate"/>
    <s v="MTG"/>
    <x v="38"/>
    <n v="3.9953749999999997"/>
  </r>
  <r>
    <x v="1"/>
    <s v="Wells Fargo"/>
    <s v="1Point Rate"/>
    <s v="MTG"/>
    <x v="39"/>
    <n v="4.0271249999999998"/>
  </r>
  <r>
    <x v="1"/>
    <s v="Wells Fargo"/>
    <s v="1Point Rate"/>
    <s v="MTG"/>
    <x v="40"/>
    <n v="3.9321250000000001"/>
  </r>
  <r>
    <x v="1"/>
    <s v="Wells Fargo"/>
    <s v="1Point Rate"/>
    <s v="MTG"/>
    <x v="41"/>
    <n v="4.0274999999999999"/>
  </r>
  <r>
    <x v="1"/>
    <s v="Wells Fargo"/>
    <s v="1Point Rate"/>
    <s v="MTG"/>
    <x v="42"/>
    <n v="3.9957500000000001"/>
  </r>
  <r>
    <x v="1"/>
    <s v="Wells Fargo"/>
    <s v="1Point Rate"/>
    <s v="MTG"/>
    <x v="43"/>
    <n v="3.9957500000000001"/>
  </r>
  <r>
    <x v="1"/>
    <s v="Wells Fargo"/>
    <s v="1Point Rate"/>
    <s v="MTG"/>
    <x v="44"/>
    <n v="4.0593750000000002"/>
  </r>
  <r>
    <x v="1"/>
    <s v="Wells Fargo"/>
    <s v="1Point Rate"/>
    <s v="MTG"/>
    <x v="45"/>
    <n v="4.0911249999999999"/>
  </r>
  <r>
    <x v="1"/>
    <s v="Wells Fargo"/>
    <s v="1Point Rate"/>
    <s v="MTG"/>
    <x v="46"/>
    <n v="4.1547499999999999"/>
  </r>
  <r>
    <x v="1"/>
    <s v="Wells Fargo"/>
    <s v="1Point Rate"/>
    <s v="MTG"/>
    <x v="47"/>
    <n v="4.1547499999999999"/>
  </r>
  <r>
    <x v="1"/>
    <s v="Wells Fargo"/>
    <s v="1Point Rate"/>
    <s v="MTG"/>
    <x v="48"/>
    <n v="4.0274999999999999"/>
  </r>
  <r>
    <x v="1"/>
    <s v="Wells Fargo"/>
    <s v="1Point Rate"/>
    <s v="MTG"/>
    <x v="49"/>
    <n v="4.1229999999999993"/>
  </r>
  <r>
    <x v="1"/>
    <s v="Wells Fargo"/>
    <s v="1Point Rate"/>
    <s v="MTG"/>
    <x v="50"/>
    <n v="4.1229999999999993"/>
  </r>
  <r>
    <x v="1"/>
    <s v="Wells Fargo"/>
    <s v="1Point Rate"/>
    <s v="MTG"/>
    <x v="51"/>
    <n v="4.1547499999999999"/>
  </r>
  <r>
    <x v="1"/>
    <s v="Wells Fargo"/>
    <s v="1Point Rate"/>
    <s v="MTG"/>
    <x v="52"/>
    <n v="4.1547499999999999"/>
  </r>
  <r>
    <x v="1"/>
    <s v="Wells Fargo"/>
    <s v="1Point Rate"/>
    <s v="MTG"/>
    <x v="53"/>
    <n v="4.0593750000000002"/>
  </r>
  <r>
    <x v="1"/>
    <s v="Wells Fargo"/>
    <s v="1Point Rate"/>
    <s v="MTG"/>
    <x v="54"/>
    <n v="4.0911249999999999"/>
  </r>
  <r>
    <x v="1"/>
    <s v="Wells Fargo"/>
    <s v="1Point Rate"/>
    <s v="MTG"/>
    <x v="55"/>
    <n v="4.1547499999999999"/>
  </r>
  <r>
    <x v="1"/>
    <s v="Wells Fargo"/>
    <s v="1Point Rate"/>
    <s v="MTG"/>
    <x v="56"/>
    <n v="4.1547499999999999"/>
  </r>
  <r>
    <x v="1"/>
    <s v="Wells Fargo"/>
    <s v="1Point Rate"/>
    <s v="MTG"/>
    <x v="57"/>
    <n v="4.1547499999999999"/>
  </r>
  <r>
    <x v="1"/>
    <s v="Wells Fargo"/>
    <s v="1Point Rate"/>
    <s v="MTG"/>
    <x v="58"/>
    <n v="4.1547499999999999"/>
  </r>
  <r>
    <x v="1"/>
    <s v="Wells Fargo"/>
    <s v="1Point Rate"/>
    <s v="MTG"/>
    <x v="59"/>
    <n v="4.155125"/>
  </r>
  <r>
    <x v="1"/>
    <s v="Wells Fargo"/>
    <s v="1Point Rate"/>
    <s v="MTG"/>
    <x v="60"/>
    <n v="4.1547499999999999"/>
  </r>
  <r>
    <x v="1"/>
    <s v="Wells Fargo"/>
    <s v="1Point Rate"/>
    <s v="MTG"/>
    <x v="61"/>
    <n v="4.1229999999999993"/>
  </r>
  <r>
    <x v="1"/>
    <s v="Wells Fargo"/>
    <s v="1Point Rate"/>
    <s v="MTG"/>
    <x v="62"/>
    <n v="4.0911249999999999"/>
  </r>
  <r>
    <x v="1"/>
    <s v="Wells Fargo"/>
    <s v="1Point Rate"/>
    <s v="MTG"/>
    <x v="63"/>
    <n v="4.0993750000000002"/>
  </r>
  <r>
    <x v="1"/>
    <s v="Wells Fargo"/>
    <s v="1Point Rate"/>
    <s v="MTG"/>
    <x v="64"/>
    <n v="4.0993750000000002"/>
  </r>
  <r>
    <x v="1"/>
    <s v="Wells Fargo"/>
    <s v="1Point Rate"/>
    <s v="MTG"/>
    <x v="65"/>
    <n v="4.2910000000000004"/>
  </r>
  <r>
    <x v="1"/>
    <s v="Wells Fargo"/>
    <s v="1Point Rate"/>
    <s v="MTG"/>
    <x v="66"/>
    <n v="4.2588749999999997"/>
  </r>
  <r>
    <x v="1"/>
    <s v="Wells Fargo"/>
    <s v="1Point Rate"/>
    <s v="MTG"/>
    <x v="67"/>
    <n v="4.2592500000000006"/>
  </r>
  <r>
    <x v="1"/>
    <s v="Wells Fargo"/>
    <s v="1Point Rate"/>
    <s v="MTG"/>
    <x v="68"/>
    <n v="4.2275"/>
  </r>
  <r>
    <x v="1"/>
    <s v="Wells Fargo"/>
    <s v="1Point Rate"/>
    <s v="MTG"/>
    <x v="69"/>
    <n v="4.1956249999999997"/>
  </r>
  <r>
    <x v="1"/>
    <s v="Wells Fargo"/>
    <s v="1Point Rate"/>
    <s v="MTG"/>
    <x v="70"/>
    <n v="4.2275"/>
  </r>
  <r>
    <x v="1"/>
    <s v="Wells Fargo"/>
    <s v="1Point Rate"/>
    <s v="MTG"/>
    <x v="71"/>
    <n v="4.1956249999999997"/>
  </r>
  <r>
    <x v="1"/>
    <s v="Wells Fargo"/>
    <s v="1Point Rate"/>
    <s v="MTG"/>
    <x v="72"/>
    <n v="4.2906250000000004"/>
  </r>
  <r>
    <x v="1"/>
    <s v="Wells Fargo"/>
    <s v="1Point Rate"/>
    <s v="MTG"/>
    <x v="73"/>
    <n v="4.2906250000000004"/>
  </r>
  <r>
    <x v="1"/>
    <s v="Wells Fargo"/>
    <s v="1Point Rate"/>
    <s v="MTG"/>
    <x v="74"/>
    <n v="4.2275"/>
  </r>
  <r>
    <x v="1"/>
    <s v="Wells Fargo"/>
    <s v="1Point Rate"/>
    <s v="MTG"/>
    <x v="75"/>
    <n v="4.2275"/>
  </r>
  <r>
    <x v="1"/>
    <s v="Wells Fargo"/>
    <s v="1Point Rate"/>
    <s v="MTG"/>
    <x v="76"/>
    <n v="4.2588749999999997"/>
  </r>
  <r>
    <x v="1"/>
    <s v="Wells Fargo"/>
    <s v="1Point Rate"/>
    <s v="MTG"/>
    <x v="77"/>
    <n v="4.2270000000000003"/>
  </r>
  <r>
    <x v="1"/>
    <s v="Wells Fargo"/>
    <s v="1Point Rate"/>
    <s v="MTG"/>
    <x v="78"/>
    <n v="4.2906250000000004"/>
  </r>
  <r>
    <x v="1"/>
    <s v="Wells Fargo"/>
    <s v="1Point Rate"/>
    <s v="MTG"/>
    <x v="79"/>
    <n v="4.3228750000000007"/>
  </r>
  <r>
    <x v="1"/>
    <s v="Wells Fargo"/>
    <s v="1Point Rate"/>
    <s v="MTG"/>
    <x v="80"/>
    <n v="4.2910000000000004"/>
  </r>
  <r>
    <x v="1"/>
    <s v="Wells Fargo"/>
    <s v="1Point Rate"/>
    <s v="MTG"/>
    <x v="81"/>
    <n v="4.2910000000000004"/>
  </r>
  <r>
    <x v="1"/>
    <s v="Wells Fargo"/>
    <s v="1Point Rate"/>
    <s v="MTG"/>
    <x v="82"/>
    <n v="4.3546250000000004"/>
  </r>
  <r>
    <x v="1"/>
    <s v="Wells Fargo"/>
    <s v="1Point Rate"/>
    <s v="MTG"/>
    <x v="83"/>
    <n v="4.2910000000000004"/>
  </r>
  <r>
    <x v="1"/>
    <s v="Wells Fargo"/>
    <s v="1Point Rate"/>
    <s v="MTG"/>
    <x v="84"/>
    <n v="4.2592500000000006"/>
  </r>
  <r>
    <x v="1"/>
    <s v="Wells Fargo"/>
    <s v="1Point Rate"/>
    <s v="MTG"/>
    <x v="85"/>
    <n v="4.3228750000000007"/>
  </r>
  <r>
    <x v="1"/>
    <s v="Wells Fargo"/>
    <s v="1Point Rate"/>
    <s v="MTG"/>
    <x v="86"/>
    <n v="4.2910000000000004"/>
  </r>
  <r>
    <x v="1"/>
    <s v="Wells Fargo"/>
    <s v="1Point Rate"/>
    <s v="MTG"/>
    <x v="87"/>
    <n v="4.2592500000000006"/>
  </r>
  <r>
    <x v="1"/>
    <s v="Wells Fargo"/>
    <s v="1Point Rate"/>
    <s v="MTG"/>
    <x v="88"/>
    <n v="4.2906250000000004"/>
  </r>
  <r>
    <x v="1"/>
    <s v="Wells Fargo"/>
    <s v="1Point Rate"/>
    <s v="MTG"/>
    <x v="89"/>
    <n v="4.2910000000000004"/>
  </r>
  <r>
    <x v="1"/>
    <s v="Wells Fargo"/>
    <s v="1Point Rate"/>
    <s v="MTG"/>
    <x v="90"/>
    <n v="4.2592500000000006"/>
  </r>
  <r>
    <x v="1"/>
    <s v="Wells Fargo"/>
    <s v="1Point Rate"/>
    <s v="MTG"/>
    <x v="91"/>
    <n v="4.3228750000000007"/>
  </r>
  <r>
    <x v="1"/>
    <s v="Wells Fargo"/>
    <s v="1Point Rate"/>
    <s v="MTG"/>
    <x v="92"/>
    <n v="4.3864999999999998"/>
  </r>
  <r>
    <x v="1"/>
    <s v="Wells Fargo"/>
    <s v="1Point Rate"/>
    <s v="MTG"/>
    <x v="93"/>
    <n v="4.2910000000000004"/>
  </r>
  <r>
    <x v="1"/>
    <s v="Wells Fargo"/>
    <s v="1Point Rate"/>
    <s v="MTG"/>
    <x v="94"/>
    <n v="4.2592500000000006"/>
  </r>
  <r>
    <x v="1"/>
    <s v="Wells Fargo"/>
    <s v="1Point Rate"/>
    <s v="MTG"/>
    <x v="95"/>
    <n v="4.2592500000000006"/>
  </r>
  <r>
    <x v="1"/>
    <s v="Wells Fargo"/>
    <s v="1Point Rate"/>
    <s v="MTG"/>
    <x v="96"/>
    <n v="4.2592500000000006"/>
  </r>
  <r>
    <x v="1"/>
    <s v="Wells Fargo"/>
    <s v="1Point Rate"/>
    <s v="MTG"/>
    <x v="97"/>
    <n v="4.2910000000000004"/>
  </r>
  <r>
    <x v="1"/>
    <s v="Wells Fargo"/>
    <s v="1Point Rate"/>
    <s v="MTG"/>
    <x v="98"/>
    <n v="4.2906250000000004"/>
  </r>
  <r>
    <x v="1"/>
    <s v="Wells Fargo"/>
    <s v="1Point Rate"/>
    <s v="MTG"/>
    <x v="99"/>
    <n v="4.2906250000000004"/>
  </r>
  <r>
    <x v="1"/>
    <s v="Wells Fargo"/>
    <s v="1Point Rate"/>
    <s v="MTG"/>
    <x v="100"/>
    <n v="4.2592500000000006"/>
  </r>
  <r>
    <x v="1"/>
    <s v="Wells Fargo"/>
    <s v="1Point Rate"/>
    <s v="MTG"/>
    <x v="101"/>
    <n v="4.2588749999999997"/>
  </r>
  <r>
    <x v="1"/>
    <s v="Wells Fargo"/>
    <s v="1Point Rate"/>
    <s v="MTG"/>
    <x v="102"/>
    <n v="4.2588749999999997"/>
  </r>
  <r>
    <x v="1"/>
    <s v="Wells Fargo"/>
    <s v="1Point Rate"/>
    <s v="MTG"/>
    <x v="103"/>
    <n v="4.2906250000000004"/>
  </r>
  <r>
    <x v="1"/>
    <s v="Wells Fargo"/>
    <s v="1Point Rate"/>
    <s v="MTG"/>
    <x v="104"/>
    <n v="4.2906250000000004"/>
  </r>
  <r>
    <x v="1"/>
    <s v="Wells Fargo"/>
    <s v="1Point Rate"/>
    <s v="MTG"/>
    <x v="105"/>
    <n v="4.2906250000000004"/>
  </r>
  <r>
    <x v="1"/>
    <s v="Wells Fargo"/>
    <s v="1Point Rate"/>
    <s v="MTG"/>
    <x v="106"/>
    <n v="4.1630000000000003"/>
  </r>
  <r>
    <x v="1"/>
    <s v="Wells Fargo"/>
    <s v="1Point Rate"/>
    <s v="MTG"/>
    <x v="107"/>
    <n v="4.1312500000000005"/>
  </r>
  <r>
    <x v="1"/>
    <s v="Wells Fargo"/>
    <s v="1Point Rate"/>
    <s v="MTG"/>
    <x v="108"/>
    <n v="4.2588749999999997"/>
  </r>
  <r>
    <x v="1"/>
    <s v="Wells Fargo"/>
    <s v="1Point Rate"/>
    <s v="MTG"/>
    <x v="109"/>
    <n v="4.2906250000000004"/>
  </r>
  <r>
    <x v="1"/>
    <s v="Wells Fargo"/>
    <s v="1Point Rate"/>
    <s v="MTG"/>
    <x v="110"/>
    <n v="4.2588749999999997"/>
  </r>
  <r>
    <x v="1"/>
    <s v="Wells Fargo"/>
    <s v="1Point Rate"/>
    <s v="MTG"/>
    <x v="111"/>
    <n v="4.2270000000000003"/>
  </r>
  <r>
    <x v="1"/>
    <s v="Wells Fargo"/>
    <s v="1Point Rate"/>
    <s v="MTG"/>
    <x v="112"/>
    <n v="4.2588749999999997"/>
  </r>
  <r>
    <x v="1"/>
    <s v="Wells Fargo"/>
    <s v="1Point Rate"/>
    <s v="MTG"/>
    <x v="113"/>
    <n v="4.1312500000000005"/>
  </r>
  <r>
    <x v="1"/>
    <s v="Wells Fargo"/>
    <s v="1Point Rate"/>
    <s v="MTG"/>
    <x v="114"/>
    <n v="4.0993750000000002"/>
  </r>
  <r>
    <x v="1"/>
    <s v="Wells Fargo"/>
    <s v="1Point Rate"/>
    <s v="MTG"/>
    <x v="115"/>
    <n v="4.0993750000000002"/>
  </r>
  <r>
    <x v="1"/>
    <s v="Wells Fargo"/>
    <s v="1Point Rate"/>
    <s v="MTG"/>
    <x v="116"/>
    <n v="4.1630000000000003"/>
  </r>
  <r>
    <x v="1"/>
    <s v="Wells Fargo"/>
    <s v="1Point Rate"/>
    <s v="MTG"/>
    <x v="117"/>
    <n v="4.2270000000000003"/>
  </r>
  <r>
    <x v="1"/>
    <s v="Wells Fargo"/>
    <s v="1Point Rate"/>
    <s v="MTG"/>
    <x v="118"/>
    <n v="4.2588749999999997"/>
  </r>
  <r>
    <x v="1"/>
    <s v="Wells Fargo"/>
    <s v="1Point Rate"/>
    <s v="MTG"/>
    <x v="119"/>
    <n v="4.1630000000000003"/>
  </r>
  <r>
    <x v="1"/>
    <s v="Wells Fargo"/>
    <s v="1Point Rate"/>
    <s v="MTG"/>
    <x v="120"/>
    <n v="4.1312500000000005"/>
  </r>
  <r>
    <x v="1"/>
    <s v="Wells Fargo"/>
    <s v="1Point Rate"/>
    <s v="MTG"/>
    <x v="121"/>
    <n v="4.0993750000000002"/>
  </r>
  <r>
    <x v="1"/>
    <s v="Wells Fargo"/>
    <s v="1Point Rate"/>
    <s v="MTG"/>
    <x v="122"/>
    <n v="4.0353750000000002"/>
  </r>
  <r>
    <x v="1"/>
    <s v="Wells Fargo"/>
    <s v="1Point Rate"/>
    <s v="MTG"/>
    <x v="123"/>
    <n v="4.1630000000000003"/>
  </r>
  <r>
    <x v="1"/>
    <s v="Wells Fargo"/>
    <s v="1Point Rate"/>
    <s v="MTG"/>
    <x v="124"/>
    <n v="4.2270000000000003"/>
  </r>
  <r>
    <x v="1"/>
    <s v="Wells Fargo"/>
    <s v="1Point Rate"/>
    <s v="MTG"/>
    <x v="125"/>
    <n v="4.2270000000000003"/>
  </r>
  <r>
    <x v="1"/>
    <s v="Wells Fargo"/>
    <s v="1Point Rate"/>
    <s v="MTG"/>
    <x v="126"/>
    <n v="4.1312500000000005"/>
  </r>
  <r>
    <x v="1"/>
    <s v="Wells Fargo"/>
    <s v="1Point Rate"/>
    <s v="MTG"/>
    <x v="127"/>
    <n v="4.1312500000000005"/>
  </r>
  <r>
    <x v="1"/>
    <s v="Wells Fargo"/>
    <s v="1Point Rate"/>
    <s v="MTG"/>
    <x v="128"/>
    <n v="4.1312500000000005"/>
  </r>
  <r>
    <x v="1"/>
    <s v="Wells Fargo"/>
    <s v="1Point Rate"/>
    <s v="MTG"/>
    <x v="129"/>
    <n v="4.2270000000000003"/>
  </r>
  <r>
    <x v="1"/>
    <s v="Wells Fargo"/>
    <s v="1Point Rate"/>
    <s v="MTG"/>
    <x v="130"/>
    <n v="4.1630000000000003"/>
  </r>
  <r>
    <x v="1"/>
    <s v="Wells Fargo"/>
    <s v="1Point Rate"/>
    <s v="MTG"/>
    <x v="131"/>
    <n v="4.1312500000000005"/>
  </r>
  <r>
    <x v="1"/>
    <s v="Wells Fargo"/>
    <s v="1Point Rate"/>
    <s v="MTG"/>
    <x v="132"/>
    <n v="4.1630000000000003"/>
  </r>
  <r>
    <x v="1"/>
    <s v="Wells Fargo"/>
    <s v="1Point Rate"/>
    <s v="MTG"/>
    <x v="133"/>
    <n v="4.1312500000000005"/>
  </r>
  <r>
    <x v="1"/>
    <s v="Wells Fargo"/>
    <s v="1Point Rate"/>
    <s v="MTG"/>
    <x v="134"/>
    <n v="4.0993750000000002"/>
  </r>
  <r>
    <x v="1"/>
    <s v="Wells Fargo"/>
    <s v="1Point Rate"/>
    <s v="MTG"/>
    <x v="135"/>
    <n v="4.0676249999999996"/>
  </r>
  <r>
    <x v="1"/>
    <s v="Wells Fargo"/>
    <s v="1Point Rate"/>
    <s v="MTG"/>
    <x v="136"/>
    <n v="4.0763750000000005"/>
  </r>
  <r>
    <x v="1"/>
    <s v="Wells Fargo"/>
    <s v="1Point Rate"/>
    <s v="MTG"/>
    <x v="137"/>
    <n v="4.2357500000000003"/>
  </r>
  <r>
    <x v="1"/>
    <s v="Wells Fargo"/>
    <s v="1Point Rate"/>
    <s v="MTG"/>
    <x v="138"/>
    <n v="4.2676249999999998"/>
  </r>
  <r>
    <x v="1"/>
    <s v="Wells Fargo"/>
    <s v="1Point Rate"/>
    <s v="MTG"/>
    <x v="139"/>
    <n v="4.1717499999999994"/>
  </r>
  <r>
    <x v="1"/>
    <s v="Wells Fargo"/>
    <s v="1Point Rate"/>
    <s v="MTG"/>
    <x v="140"/>
    <n v="4.0123749999999996"/>
  </r>
  <r>
    <x v="1"/>
    <s v="Wells Fargo"/>
    <s v="1Point Rate"/>
    <s v="MTG"/>
    <x v="141"/>
    <n v="4.0441250000000002"/>
  </r>
  <r>
    <x v="1"/>
    <s v="Wells Fargo"/>
    <s v="1Point Rate"/>
    <s v="MTG"/>
    <x v="142"/>
    <n v="4.0441250000000002"/>
  </r>
  <r>
    <x v="1"/>
    <s v="Wells Fargo"/>
    <s v="1Point Rate"/>
    <s v="MTG"/>
    <x v="143"/>
    <n v="4.0123749999999996"/>
  </r>
  <r>
    <x v="1"/>
    <s v="Wells Fargo"/>
    <s v="1Point Rate"/>
    <s v="MTG"/>
    <x v="144"/>
    <n v="4.0123749999999996"/>
  </r>
  <r>
    <x v="1"/>
    <s v="Wells Fargo"/>
    <s v="1Point Rate"/>
    <s v="MTG"/>
    <x v="145"/>
    <n v="4.0763750000000005"/>
  </r>
  <r>
    <x v="1"/>
    <s v="Wells Fargo"/>
    <s v="1Point Rate"/>
    <s v="MTG"/>
    <x v="146"/>
    <n v="4.1901250000000001"/>
  </r>
  <r>
    <x v="1"/>
    <s v="Wells Fargo"/>
    <s v="1Point Rate"/>
    <s v="MTG"/>
    <x v="147"/>
    <n v="4.1583750000000004"/>
  </r>
  <r>
    <x v="1"/>
    <s v="Wells Fargo"/>
    <s v="1Point Rate"/>
    <s v="MTG"/>
    <x v="148"/>
    <n v="4.126125"/>
  </r>
  <r>
    <x v="1"/>
    <s v="Wells Fargo"/>
    <s v="1Point Rate"/>
    <s v="MTG"/>
    <x v="149"/>
    <n v="4.0625"/>
  </r>
  <r>
    <x v="1"/>
    <s v="Wells Fargo"/>
    <s v="1Point Rate"/>
    <s v="MTG"/>
    <x v="150"/>
    <n v="3.9348750000000003"/>
  </r>
  <r>
    <x v="1"/>
    <s v="Wells Fargo"/>
    <s v="1Point Rate"/>
    <s v="MTG"/>
    <x v="151"/>
    <n v="4.0307500000000003"/>
  </r>
  <r>
    <x v="1"/>
    <s v="Wells Fargo"/>
    <s v="1Point Rate"/>
    <s v="MTG"/>
    <x v="152"/>
    <n v="4.0625"/>
  </r>
  <r>
    <x v="1"/>
    <s v="Wells Fargo"/>
    <s v="1Point Rate"/>
    <s v="MTG"/>
    <x v="153"/>
    <n v="4.0625"/>
  </r>
  <r>
    <x v="1"/>
    <s v="Wells Fargo"/>
    <s v="1Point Rate"/>
    <s v="MTG"/>
    <x v="154"/>
    <n v="4.0307500000000003"/>
  </r>
  <r>
    <x v="1"/>
    <s v="Wells Fargo"/>
    <s v="1Point Rate"/>
    <s v="MTG"/>
    <x v="155"/>
    <n v="4.0943750000000003"/>
  </r>
  <r>
    <x v="1"/>
    <s v="Wells Fargo"/>
    <s v="1Point Rate"/>
    <s v="MTG"/>
    <x v="156"/>
    <n v="4.0307500000000003"/>
  </r>
  <r>
    <x v="1"/>
    <s v="Wells Fargo"/>
    <s v="1Point Rate"/>
    <s v="MTG"/>
    <x v="157"/>
    <n v="3.9984999999999999"/>
  </r>
  <r>
    <x v="1"/>
    <s v="Wells Fargo"/>
    <s v="1Point Rate"/>
    <s v="MTG"/>
    <x v="158"/>
    <n v="3.9984999999999999"/>
  </r>
  <r>
    <x v="1"/>
    <s v="Wells Fargo"/>
    <s v="1Point Rate"/>
    <s v="MTG"/>
    <x v="159"/>
    <n v="3.9667500000000002"/>
  </r>
  <r>
    <x v="1"/>
    <s v="Wells Fargo"/>
    <s v="1Point Rate"/>
    <s v="MTG"/>
    <x v="160"/>
    <n v="3.9984999999999999"/>
  </r>
  <r>
    <x v="1"/>
    <s v="Wells Fargo"/>
    <s v="1Point Rate"/>
    <s v="MTG"/>
    <x v="161"/>
    <n v="4.0307500000000003"/>
  </r>
  <r>
    <x v="1"/>
    <s v="Wells Fargo"/>
    <s v="1Point Rate"/>
    <s v="MTG"/>
    <x v="162"/>
    <n v="4.0307500000000003"/>
  </r>
  <r>
    <x v="1"/>
    <s v="Wells Fargo"/>
    <s v="1Point Rate"/>
    <s v="MTG"/>
    <x v="163"/>
    <n v="3.9984999999999999"/>
  </r>
  <r>
    <x v="1"/>
    <s v="Wells Fargo"/>
    <s v="1Point Rate"/>
    <s v="MTG"/>
    <x v="164"/>
    <n v="3.9984999999999999"/>
  </r>
  <r>
    <x v="1"/>
    <s v="Wells Fargo"/>
    <s v="1Point Rate"/>
    <s v="MTG"/>
    <x v="165"/>
    <n v="3.9988749999999995"/>
  </r>
  <r>
    <x v="1"/>
    <s v="Wells Fargo"/>
    <s v="1Point Rate"/>
    <s v="MTG"/>
    <x v="166"/>
    <n v="3.9984999999999999"/>
  </r>
  <r>
    <x v="1"/>
    <s v="Wells Fargo"/>
    <s v="1Point Rate"/>
    <s v="MTG"/>
    <x v="167"/>
    <n v="3.9984999999999999"/>
  </r>
  <r>
    <x v="1"/>
    <s v="Wells Fargo"/>
    <s v="1Point Rate"/>
    <s v="MTG"/>
    <x v="168"/>
    <n v="4.0943750000000003"/>
  </r>
  <r>
    <x v="1"/>
    <s v="Wells Fargo"/>
    <s v="1Point Rate"/>
    <s v="MTG"/>
    <x v="169"/>
    <n v="4.126125"/>
  </r>
  <r>
    <x v="1"/>
    <s v="Wells Fargo"/>
    <s v="1Point Rate"/>
    <s v="MTG"/>
    <x v="170"/>
    <n v="4.0943750000000003"/>
  </r>
  <r>
    <x v="1"/>
    <s v="Wells Fargo"/>
    <s v="1Point Rate"/>
    <s v="MTG"/>
    <x v="171"/>
    <n v="4.0943750000000003"/>
  </r>
  <r>
    <x v="1"/>
    <s v="Wells Fargo"/>
    <s v="1Point Rate"/>
    <s v="MTG"/>
    <x v="172"/>
    <n v="4.126125"/>
  </r>
  <r>
    <x v="1"/>
    <s v="Wells Fargo"/>
    <s v="1Point Rate"/>
    <s v="MTG"/>
    <x v="173"/>
    <n v="4.1583750000000004"/>
  </r>
  <r>
    <x v="1"/>
    <s v="Wells Fargo"/>
    <s v="1Point Rate"/>
    <s v="MTG"/>
    <x v="174"/>
    <n v="4.2537500000000001"/>
  </r>
  <r>
    <x v="1"/>
    <s v="Wells Fargo"/>
    <s v="1Point Rate"/>
    <s v="MTG"/>
    <x v="175"/>
    <n v="4.2537500000000001"/>
  </r>
  <r>
    <x v="1"/>
    <s v="Wells Fargo"/>
    <s v="1Point Rate"/>
    <s v="MTG"/>
    <x v="176"/>
    <n v="4.3496249999999996"/>
  </r>
  <r>
    <x v="1"/>
    <s v="Wells Fargo"/>
    <s v="1Point Rate"/>
    <s v="MTG"/>
    <x v="177"/>
    <n v="4.3496249999999996"/>
  </r>
  <r>
    <x v="1"/>
    <s v="Wells Fargo"/>
    <s v="1Point Rate"/>
    <s v="MTG"/>
    <x v="178"/>
    <n v="4.2537500000000001"/>
  </r>
  <r>
    <x v="1"/>
    <s v="Wells Fargo"/>
    <s v="1Point Rate"/>
    <s v="MTG"/>
    <x v="179"/>
    <n v="4.2220000000000004"/>
  </r>
  <r>
    <x v="1"/>
    <s v="Wells Fargo"/>
    <s v="1Point Rate"/>
    <s v="MTG"/>
    <x v="180"/>
    <n v="4.2537500000000001"/>
  </r>
  <r>
    <x v="1"/>
    <s v="Wells Fargo"/>
    <s v="1Point Rate"/>
    <s v="MTG"/>
    <x v="181"/>
    <n v="4.2537500000000001"/>
  </r>
  <r>
    <x v="1"/>
    <s v="Wells Fargo"/>
    <s v="1Point Rate"/>
    <s v="MTG"/>
    <x v="182"/>
    <n v="4.2220000000000004"/>
  </r>
  <r>
    <x v="1"/>
    <s v="Wells Fargo"/>
    <s v="1Point Rate"/>
    <s v="MTG"/>
    <x v="183"/>
    <n v="4.2537500000000001"/>
  </r>
  <r>
    <x v="1"/>
    <s v="Wells Fargo"/>
    <s v="1Point Rate"/>
    <s v="MTG"/>
    <x v="184"/>
    <n v="4.3177500000000002"/>
  </r>
  <r>
    <x v="1"/>
    <s v="Wells Fargo"/>
    <s v="1Point Rate"/>
    <s v="MTG"/>
    <x v="185"/>
    <n v="4.3177500000000002"/>
  </r>
  <r>
    <x v="1"/>
    <s v="Wells Fargo"/>
    <s v="1Point Rate"/>
    <s v="MTG"/>
    <x v="186"/>
    <n v="4.3177500000000002"/>
  </r>
  <r>
    <x v="1"/>
    <s v="Wells Fargo"/>
    <s v="1Point Rate"/>
    <s v="MTG"/>
    <x v="187"/>
    <n v="4.2537500000000001"/>
  </r>
  <r>
    <x v="1"/>
    <s v="Wells Fargo"/>
    <s v="1Point Rate"/>
    <s v="MTG"/>
    <x v="188"/>
    <n v="4.2220000000000004"/>
  </r>
  <r>
    <x v="1"/>
    <s v="Wells Fargo"/>
    <s v="1Point Rate"/>
    <s v="MTG"/>
    <x v="189"/>
    <n v="4.1583750000000004"/>
  </r>
  <r>
    <x v="1"/>
    <s v="Wells Fargo"/>
    <s v="1Point Rate"/>
    <s v="MTG"/>
    <x v="190"/>
    <n v="4.1901250000000001"/>
  </r>
  <r>
    <x v="1"/>
    <s v="Wells Fargo"/>
    <s v="1Point Rate"/>
    <s v="MTG"/>
    <x v="191"/>
    <n v="4.3813750000000002"/>
  </r>
  <r>
    <x v="1"/>
    <s v="Wells Fargo"/>
    <s v="1Point Rate"/>
    <s v="MTG"/>
    <x v="192"/>
    <n v="4.3177500000000002"/>
  </r>
  <r>
    <x v="1"/>
    <s v="Wells Fargo"/>
    <s v="1Point Rate"/>
    <s v="MTG"/>
    <x v="193"/>
    <n v="4.1901250000000001"/>
  </r>
  <r>
    <x v="1"/>
    <s v="Wells Fargo"/>
    <s v="1Point Rate"/>
    <s v="MTG"/>
    <x v="194"/>
    <n v="4.1583750000000004"/>
  </r>
  <r>
    <x v="1"/>
    <s v="Wells Fargo"/>
    <s v="1Point Rate"/>
    <s v="MTG"/>
    <x v="195"/>
    <n v="4.1901250000000001"/>
  </r>
  <r>
    <x v="1"/>
    <s v="Wells Fargo"/>
    <s v="1Point Rate"/>
    <s v="MTG"/>
    <x v="196"/>
    <n v="4.1901250000000001"/>
  </r>
  <r>
    <x v="1"/>
    <s v="Wells Fargo"/>
    <s v="1Point Rate"/>
    <s v="MTG"/>
    <x v="197"/>
    <n v="4.1901250000000001"/>
  </r>
  <r>
    <x v="1"/>
    <s v="Wells Fargo"/>
    <s v="1Point Rate"/>
    <s v="MTG"/>
    <x v="198"/>
    <n v="4.2220000000000004"/>
  </r>
  <r>
    <x v="1"/>
    <s v="Wells Fargo"/>
    <s v="1Point Rate"/>
    <s v="MTG"/>
    <x v="199"/>
    <n v="4.3496249999999996"/>
  </r>
  <r>
    <x v="1"/>
    <s v="Wells Fargo"/>
    <s v="1Point Rate"/>
    <s v="MTG"/>
    <x v="200"/>
    <n v="4.3496249999999996"/>
  </r>
  <r>
    <x v="1"/>
    <s v="Wells Fargo"/>
    <s v="1Point Rate"/>
    <s v="MTG"/>
    <x v="201"/>
    <n v="4.2537500000000001"/>
  </r>
  <r>
    <x v="1"/>
    <s v="Wells Fargo"/>
    <s v="1Point Rate"/>
    <s v="MTG"/>
    <x v="202"/>
    <n v="4.2220000000000004"/>
  </r>
  <r>
    <x v="1"/>
    <s v="Wells Fargo"/>
    <s v="1Point Rate"/>
    <s v="MTG"/>
    <x v="203"/>
    <n v="4.1901250000000001"/>
  </r>
  <r>
    <x v="1"/>
    <s v="Wells Fargo"/>
    <s v="1Point Rate"/>
    <s v="MTG"/>
    <x v="204"/>
    <n v="4.2220000000000004"/>
  </r>
  <r>
    <x v="1"/>
    <s v="Wells Fargo"/>
    <s v="1Point Rate"/>
    <s v="MTG"/>
    <x v="205"/>
    <n v="4.3496249999999996"/>
  </r>
  <r>
    <x v="1"/>
    <s v="Wells Fargo"/>
    <s v="1Point Rate"/>
    <s v="MTG"/>
    <x v="206"/>
    <n v="4.3177500000000002"/>
  </r>
  <r>
    <x v="1"/>
    <s v="Wells Fargo"/>
    <s v="1Point Rate"/>
    <s v="MTG"/>
    <x v="207"/>
    <n v="4.3496249999999996"/>
  </r>
  <r>
    <x v="1"/>
    <s v="Wells Fargo"/>
    <s v="1Point Rate"/>
    <s v="MTG"/>
    <x v="208"/>
    <n v="4.3177500000000002"/>
  </r>
  <r>
    <x v="1"/>
    <s v="Wells Fargo"/>
    <s v="1Point Rate"/>
    <s v="MTG"/>
    <x v="209"/>
    <n v="4.3177500000000002"/>
  </r>
  <r>
    <x v="1"/>
    <s v="Wells Fargo"/>
    <s v="1Point Rate"/>
    <s v="MTG"/>
    <x v="210"/>
    <n v="4.2220000000000004"/>
  </r>
  <r>
    <x v="1"/>
    <s v="Wells Fargo"/>
    <s v="1Point Rate"/>
    <s v="MTG"/>
    <x v="211"/>
    <n v="4.2220000000000004"/>
  </r>
  <r>
    <x v="1"/>
    <s v="Wells Fargo"/>
    <s v="1Point Rate"/>
    <s v="MTG"/>
    <x v="212"/>
    <n v="4.2537500000000001"/>
  </r>
  <r>
    <x v="1"/>
    <s v="Wells Fargo"/>
    <s v="1Point Rate"/>
    <s v="MTG"/>
    <x v="213"/>
    <n v="4.1901250000000001"/>
  </r>
  <r>
    <x v="1"/>
    <s v="Wells Fargo"/>
    <s v="1Point Rate"/>
    <s v="MTG"/>
    <x v="214"/>
    <n v="4.1583750000000004"/>
  </r>
  <r>
    <x v="1"/>
    <s v="Wells Fargo"/>
    <s v="1Point Rate"/>
    <s v="MTG"/>
    <x v="215"/>
    <n v="4.1901250000000001"/>
  </r>
  <r>
    <x v="1"/>
    <s v="Wells Fargo"/>
    <s v="1Point Rate"/>
    <s v="MTG"/>
    <x v="216"/>
    <n v="4.126125"/>
  </r>
  <r>
    <x v="1"/>
    <s v="Wells Fargo"/>
    <s v="1Point Rate"/>
    <s v="MTG"/>
    <x v="217"/>
    <n v="4.1901250000000001"/>
  </r>
  <r>
    <x v="1"/>
    <s v="Wells Fargo"/>
    <s v="1Point Rate"/>
    <s v="MTG"/>
    <x v="218"/>
    <n v="4.1901250000000001"/>
  </r>
  <r>
    <x v="1"/>
    <s v="Wells Fargo"/>
    <s v="1Point Rate"/>
    <s v="MTG"/>
    <x v="219"/>
    <n v="4.0943750000000003"/>
  </r>
  <r>
    <x v="1"/>
    <s v="Wells Fargo"/>
    <s v="1Point Rate"/>
    <s v="MTG"/>
    <x v="220"/>
    <n v="4.1583750000000004"/>
  </r>
  <r>
    <x v="1"/>
    <s v="Wells Fargo"/>
    <s v="1Point Rate"/>
    <s v="MTG"/>
    <x v="221"/>
    <n v="4.0943750000000003"/>
  </r>
  <r>
    <x v="1"/>
    <s v="Wells Fargo"/>
    <s v="1Point Rate"/>
    <s v="MTG"/>
    <x v="222"/>
    <n v="4.126125"/>
  </r>
  <r>
    <x v="1"/>
    <s v="Wells Fargo"/>
    <s v="1Point Rate"/>
    <s v="MTG"/>
    <x v="223"/>
    <n v="4.1901250000000001"/>
  </r>
  <r>
    <x v="1"/>
    <s v="Wells Fargo"/>
    <s v="1Point Rate"/>
    <s v="MTG"/>
    <x v="224"/>
    <n v="4.1583750000000004"/>
  </r>
  <r>
    <x v="1"/>
    <s v="Wells Fargo"/>
    <s v="1Point Rate"/>
    <s v="MTG"/>
    <x v="225"/>
    <n v="4.126125"/>
  </r>
  <r>
    <x v="1"/>
    <s v="Wells Fargo"/>
    <s v="1Point Rate"/>
    <s v="MTG"/>
    <x v="226"/>
    <n v="4.1583750000000004"/>
  </r>
  <r>
    <x v="1"/>
    <s v="Wells Fargo"/>
    <s v="1Point Rate"/>
    <s v="MTG"/>
    <x v="227"/>
    <n v="4.126125"/>
  </r>
  <r>
    <x v="1"/>
    <s v="Wells Fargo"/>
    <s v="1Point Rate"/>
    <s v="MTG"/>
    <x v="228"/>
    <n v="4.0625"/>
  </r>
  <r>
    <x v="1"/>
    <s v="Wells Fargo"/>
    <s v="1Point Rate"/>
    <s v="MTG"/>
    <x v="229"/>
    <n v="4.0943750000000003"/>
  </r>
  <r>
    <x v="1"/>
    <s v="Wells Fargo"/>
    <s v="1Point Rate"/>
    <s v="MTG"/>
    <x v="230"/>
    <n v="4.0943750000000003"/>
  </r>
  <r>
    <x v="1"/>
    <s v="Wells Fargo"/>
    <s v="1Point Rate"/>
    <s v="MTG"/>
    <x v="231"/>
    <n v="4.0943750000000003"/>
  </r>
  <r>
    <x v="1"/>
    <s v="Wells Fargo"/>
    <s v="1Point Rate"/>
    <s v="MTG"/>
    <x v="232"/>
    <n v="4.0943750000000003"/>
  </r>
  <r>
    <x v="1"/>
    <s v="Wells Fargo"/>
    <s v="1Point Rate"/>
    <s v="MTG"/>
    <x v="233"/>
    <n v="4.126125"/>
  </r>
  <r>
    <x v="1"/>
    <s v="Wells Fargo"/>
    <s v="1Point Rate"/>
    <s v="MTG"/>
    <x v="234"/>
    <n v="4.0943750000000003"/>
  </r>
  <r>
    <x v="1"/>
    <s v="Wells Fargo"/>
    <s v="1Point Rate"/>
    <s v="MTG"/>
    <x v="235"/>
    <n v="4.0625"/>
  </r>
  <r>
    <x v="1"/>
    <s v="Wells Fargo"/>
    <s v="1Point Rate"/>
    <s v="MTG"/>
    <x v="236"/>
    <n v="4.0943750000000003"/>
  </r>
  <r>
    <x v="1"/>
    <s v="Wells Fargo"/>
    <s v="1Point Rate"/>
    <s v="MTG"/>
    <x v="237"/>
    <n v="4.0307500000000003"/>
  </r>
  <r>
    <x v="1"/>
    <s v="Wells Fargo"/>
    <s v="1Point Rate"/>
    <s v="MTG"/>
    <x v="238"/>
    <n v="4.126125"/>
  </r>
  <r>
    <x v="1"/>
    <s v="Wells Fargo"/>
    <s v="1Point Rate"/>
    <s v="MTG"/>
    <x v="239"/>
    <n v="4.126125"/>
  </r>
  <r>
    <x v="1"/>
    <s v="Wells Fargo"/>
    <s v="1Point Rate"/>
    <s v="MTG"/>
    <x v="240"/>
    <n v="4.126125"/>
  </r>
  <r>
    <x v="1"/>
    <s v="Wells Fargo"/>
    <s v="1Point Rate"/>
    <s v="MTG"/>
    <x v="241"/>
    <n v="4.0943750000000003"/>
  </r>
  <r>
    <x v="1"/>
    <s v="Wells Fargo"/>
    <s v="1Point Rate"/>
    <s v="MTG"/>
    <x v="242"/>
    <n v="4.0943750000000003"/>
  </r>
  <r>
    <x v="1"/>
    <s v="Wells Fargo"/>
    <s v="1Point Rate"/>
    <s v="MTG"/>
    <x v="243"/>
    <n v="4.0943750000000003"/>
  </r>
  <r>
    <x v="1"/>
    <s v="Wells Fargo"/>
    <s v="1Point Rate"/>
    <s v="MTG"/>
    <x v="244"/>
    <n v="4.0943750000000003"/>
  </r>
  <r>
    <x v="1"/>
    <s v="Wells Fargo"/>
    <s v="1Point Rate"/>
    <s v="MTG"/>
    <x v="245"/>
    <n v="4.0625"/>
  </r>
  <r>
    <x v="1"/>
    <s v="Wells Fargo"/>
    <s v="1Point Rate"/>
    <s v="MTG"/>
    <x v="246"/>
    <n v="3.9742500000000001"/>
  </r>
  <r>
    <x v="1"/>
    <s v="Wells Fargo"/>
    <s v="1Point Rate"/>
    <s v="MTG"/>
    <x v="247"/>
    <n v="3.9425000000000003"/>
  </r>
  <r>
    <x v="1"/>
    <s v="Wells Fargo"/>
    <s v="1Point Rate"/>
    <s v="MTG"/>
    <x v="248"/>
    <n v="4.1820000000000004"/>
  </r>
  <r>
    <x v="1"/>
    <s v="Wells Fargo"/>
    <s v="1Point Rate"/>
    <s v="MTG"/>
    <x v="249"/>
    <n v="3.9742500000000001"/>
  </r>
  <r>
    <x v="1"/>
    <s v="Wells Fargo"/>
    <s v="1Point Rate"/>
    <s v="MTG"/>
    <x v="250"/>
    <n v="3.9742500000000001"/>
  </r>
  <r>
    <x v="1"/>
    <s v="Wells Fargo"/>
    <s v="1Point Rate"/>
    <s v="MTG"/>
    <x v="251"/>
    <n v="3.9742500000000001"/>
  </r>
  <r>
    <x v="1"/>
    <s v="Wells Fargo"/>
    <s v="1Point Rate"/>
    <s v="MTG"/>
    <x v="252"/>
    <n v="4.0061249999999999"/>
  </r>
  <r>
    <x v="1"/>
    <s v="Wells Fargo"/>
    <s v="1Point Rate"/>
    <s v="MTG"/>
    <x v="253"/>
    <n v="3.9742500000000001"/>
  </r>
  <r>
    <x v="1"/>
    <s v="Wells Fargo"/>
    <s v="1Point Rate"/>
    <s v="MTG"/>
    <x v="254"/>
    <n v="4.0061249999999999"/>
  </r>
  <r>
    <x v="1"/>
    <s v="Wells Fargo"/>
    <s v="1Point Rate"/>
    <s v="MTG"/>
    <x v="255"/>
    <n v="4.0061249999999999"/>
  </r>
  <r>
    <x v="1"/>
    <s v="Wells Fargo"/>
    <s v="1Point Rate"/>
    <s v="MTG"/>
    <x v="256"/>
    <n v="4.0378749999999997"/>
  </r>
  <r>
    <x v="1"/>
    <s v="Wells Fargo"/>
    <s v="1Point Rate"/>
    <s v="MTG"/>
    <x v="257"/>
    <n v="4.0378749999999997"/>
  </r>
  <r>
    <x v="1"/>
    <s v="Wells Fargo"/>
    <s v="1Point Rate"/>
    <s v="MTG"/>
    <x v="258"/>
    <n v="3.9742500000000001"/>
  </r>
  <r>
    <x v="1"/>
    <s v="Wells Fargo"/>
    <s v="1Point Rate"/>
    <s v="MTG"/>
    <x v="259"/>
    <n v="4.070125"/>
  </r>
  <r>
    <x v="1"/>
    <s v="Wells Fargo"/>
    <s v="1Point Rate"/>
    <s v="MTG"/>
    <x v="260"/>
    <n v="3.91025"/>
  </r>
  <r>
    <x v="1"/>
    <s v="Wells Fargo"/>
    <s v="1Point Rate"/>
    <s v="MTG"/>
    <x v="261"/>
    <n v="3.91025"/>
  </r>
  <r>
    <x v="1"/>
    <s v="Wells Fargo"/>
    <s v="1Point Rate"/>
    <s v="MTG"/>
    <x v="262"/>
    <n v="3.9742500000000001"/>
  </r>
  <r>
    <x v="1"/>
    <s v="Wells Fargo"/>
    <s v="1Point Rate"/>
    <s v="MTG"/>
    <x v="263"/>
    <n v="3.9742500000000001"/>
  </r>
  <r>
    <x v="1"/>
    <s v="Wells Fargo"/>
    <s v="1Point Rate"/>
    <s v="MTG"/>
    <x v="264"/>
    <n v="4.0061249999999999"/>
  </r>
  <r>
    <x v="1"/>
    <s v="Wells Fargo"/>
    <s v="1Point Rate"/>
    <s v="MTG"/>
    <x v="265"/>
    <n v="4.070125"/>
  </r>
  <r>
    <x v="1"/>
    <s v="Wells Fargo"/>
    <s v="1Point Rate"/>
    <s v="MTG"/>
    <x v="266"/>
    <n v="3.9425000000000003"/>
  </r>
  <r>
    <x v="1"/>
    <s v="Wells Fargo"/>
    <s v="1Point Rate"/>
    <s v="MTG"/>
    <x v="267"/>
    <n v="3.9425000000000003"/>
  </r>
  <r>
    <x v="1"/>
    <s v="Wells Fargo"/>
    <s v="1Point Rate"/>
    <s v="MTG"/>
    <x v="268"/>
    <n v="3.9425000000000003"/>
  </r>
  <r>
    <x v="1"/>
    <s v="Wells Fargo"/>
    <s v="1Point Rate"/>
    <s v="MTG"/>
    <x v="269"/>
    <n v="3.8784999999999998"/>
  </r>
  <r>
    <x v="1"/>
    <s v="Wells Fargo"/>
    <s v="1Point Rate"/>
    <s v="MTG"/>
    <x v="270"/>
    <n v="3.8784999999999998"/>
  </r>
  <r>
    <x v="1"/>
    <s v="Wells Fargo"/>
    <s v="1Point Rate"/>
    <s v="MTG"/>
    <x v="271"/>
    <n v="3.8784999999999998"/>
  </r>
  <r>
    <x v="1"/>
    <s v="Wells Fargo"/>
    <s v="1Point Rate"/>
    <s v="MTG"/>
    <x v="272"/>
    <n v="3.91025"/>
  </r>
  <r>
    <x v="1"/>
    <s v="Wells Fargo"/>
    <s v="1Point Rate"/>
    <s v="MTG"/>
    <x v="273"/>
    <n v="3.91025"/>
  </r>
  <r>
    <x v="1"/>
    <s v="Wells Fargo"/>
    <s v="1Point Rate"/>
    <s v="MTG"/>
    <x v="274"/>
    <n v="3.846625"/>
  </r>
  <r>
    <x v="1"/>
    <s v="Wells Fargo"/>
    <s v="1Point Rate"/>
    <s v="MTG"/>
    <x v="275"/>
    <n v="3.846625"/>
  </r>
  <r>
    <x v="1"/>
    <s v="Wells Fargo"/>
    <s v="1Point Rate"/>
    <s v="MTG"/>
    <x v="276"/>
    <n v="3.846625"/>
  </r>
  <r>
    <x v="1"/>
    <s v="Wells Fargo"/>
    <s v="1Point Rate"/>
    <s v="MTG"/>
    <x v="277"/>
    <n v="3.846625"/>
  </r>
  <r>
    <x v="1"/>
    <s v="Wells Fargo"/>
    <s v="1Point Rate"/>
    <s v="MTG"/>
    <x v="278"/>
    <n v="3.846625"/>
  </r>
  <r>
    <x v="1"/>
    <s v="Wells Fargo"/>
    <s v="1Point Rate"/>
    <s v="MTG"/>
    <x v="279"/>
    <n v="3.846625"/>
  </r>
  <r>
    <x v="1"/>
    <s v="Wells Fargo"/>
    <s v="1Point Rate"/>
    <s v="MTG"/>
    <x v="280"/>
    <n v="3.846625"/>
  </r>
  <r>
    <x v="1"/>
    <s v="Wells Fargo"/>
    <s v="1Point Rate"/>
    <s v="MTG"/>
    <x v="281"/>
    <n v="3.846625"/>
  </r>
  <r>
    <x v="1"/>
    <s v="Wells Fargo"/>
    <s v="1Point Rate"/>
    <s v="MTG"/>
    <x v="282"/>
    <n v="3.846625"/>
  </r>
  <r>
    <x v="1"/>
    <s v="Wells Fargo"/>
    <s v="1Point Rate"/>
    <s v="MTG"/>
    <x v="283"/>
    <n v="3.846625"/>
  </r>
  <r>
    <x v="1"/>
    <s v="Wells Fargo"/>
    <s v="1Point Rate"/>
    <s v="MTG"/>
    <x v="284"/>
    <n v="3.846625"/>
  </r>
  <r>
    <x v="1"/>
    <s v="Wells Fargo"/>
    <s v="1Point Rate"/>
    <s v="MTG"/>
    <x v="285"/>
    <n v="3.846625"/>
  </r>
  <r>
    <x v="1"/>
    <s v="Wells Fargo"/>
    <s v="1Point Rate"/>
    <s v="MTG"/>
    <x v="286"/>
    <n v="3.8784999999999998"/>
  </r>
  <r>
    <x v="1"/>
    <s v="Wells Fargo"/>
    <s v="1Point Rate"/>
    <s v="MTG"/>
    <x v="287"/>
    <n v="3.8784999999999998"/>
  </r>
  <r>
    <x v="1"/>
    <s v="Wells Fargo"/>
    <s v="1Point Rate"/>
    <s v="MTG"/>
    <x v="288"/>
    <n v="3.8784999999999998"/>
  </r>
  <r>
    <x v="1"/>
    <s v="Wells Fargo"/>
    <s v="1Point Rate"/>
    <s v="MTG"/>
    <x v="289"/>
    <n v="3.8784999999999998"/>
  </r>
  <r>
    <x v="1"/>
    <s v="Wells Fargo"/>
    <s v="1Point Rate"/>
    <s v="MTG"/>
    <x v="290"/>
    <n v="3.8148749999999993"/>
  </r>
  <r>
    <x v="1"/>
    <s v="Wells Fargo"/>
    <s v="1Point Rate"/>
    <s v="MTG"/>
    <x v="291"/>
    <n v="3.846625"/>
  </r>
  <r>
    <x v="1"/>
    <s v="Wells Fargo"/>
    <s v="1Point Rate"/>
    <s v="MTG"/>
    <x v="292"/>
    <n v="3.846625"/>
  </r>
  <r>
    <x v="1"/>
    <s v="Wells Fargo"/>
    <s v="1Point Rate"/>
    <s v="MTG"/>
    <x v="293"/>
    <n v="3.8148749999999993"/>
  </r>
  <r>
    <x v="1"/>
    <s v="Wells Fargo"/>
    <s v="1Point Rate"/>
    <s v="MTG"/>
    <x v="294"/>
    <n v="3.7829999999999995"/>
  </r>
  <r>
    <x v="1"/>
    <s v="Wells Fargo"/>
    <s v="1Point Rate"/>
    <s v="MTG"/>
    <x v="295"/>
    <n v="4.2052500000000004"/>
  </r>
  <r>
    <x v="1"/>
    <s v="Wells Fargo"/>
    <s v="1Point Rate"/>
    <s v="MTG"/>
    <x v="296"/>
    <n v="3.7829999999999995"/>
  </r>
  <r>
    <x v="1"/>
    <s v="Wells Fargo"/>
    <s v="1Point Rate"/>
    <s v="MTG"/>
    <x v="297"/>
    <n v="3.7829999999999995"/>
  </r>
  <r>
    <x v="1"/>
    <s v="Wells Fargo"/>
    <s v="1Point Rate"/>
    <s v="MTG"/>
    <x v="298"/>
    <n v="3.7829999999999995"/>
  </r>
  <r>
    <x v="1"/>
    <s v="Wells Fargo"/>
    <s v="1Point Rate"/>
    <s v="MTG"/>
    <x v="299"/>
    <n v="3.8148749999999993"/>
  </r>
  <r>
    <x v="1"/>
    <s v="Wells Fargo"/>
    <s v="1Point Rate"/>
    <s v="MTG"/>
    <x v="300"/>
    <n v="3.846625"/>
  </r>
  <r>
    <x v="1"/>
    <s v="Wells Fargo"/>
    <s v="1Point Rate"/>
    <s v="MTG"/>
    <x v="301"/>
    <n v="3.91025"/>
  </r>
  <r>
    <x v="1"/>
    <s v="Wells Fargo"/>
    <s v="1Point Rate"/>
    <s v="MTG"/>
    <x v="302"/>
    <n v="3.9742500000000001"/>
  </r>
  <r>
    <x v="1"/>
    <s v="Wells Fargo"/>
    <s v="1Point Rate"/>
    <s v="MTG"/>
    <x v="303"/>
    <n v="3.9425000000000003"/>
  </r>
  <r>
    <x v="1"/>
    <s v="Wells Fargo"/>
    <s v="1Point Rate"/>
    <s v="MTG"/>
    <x v="304"/>
    <n v="3.9425000000000003"/>
  </r>
  <r>
    <x v="1"/>
    <s v="Wells Fargo"/>
    <s v="1Point Rate"/>
    <s v="MTG"/>
    <x v="305"/>
    <n v="3.9425000000000003"/>
  </r>
  <r>
    <x v="1"/>
    <s v="Wells Fargo"/>
    <s v="1Point Rate"/>
    <s v="MTG"/>
    <x v="306"/>
    <n v="3.9425000000000003"/>
  </r>
  <r>
    <x v="1"/>
    <s v="Wells Fargo"/>
    <s v="1Point Rate"/>
    <s v="MTG"/>
    <x v="307"/>
    <n v="3.9425000000000003"/>
  </r>
  <r>
    <x v="1"/>
    <s v="Wells Fargo"/>
    <s v="1Point Rate"/>
    <s v="MTG"/>
    <x v="308"/>
    <n v="3.9425000000000003"/>
  </r>
  <r>
    <x v="1"/>
    <s v="Wells Fargo"/>
    <s v="1Point Rate"/>
    <s v="MTG"/>
    <x v="309"/>
    <n v="3.9742500000000001"/>
  </r>
  <r>
    <x v="1"/>
    <s v="Wells Fargo"/>
    <s v="1Point Rate"/>
    <s v="MTG"/>
    <x v="310"/>
    <n v="3.91025"/>
  </r>
  <r>
    <x v="1"/>
    <s v="Wells Fargo"/>
    <s v="1Point Rate"/>
    <s v="MTG"/>
    <x v="311"/>
    <n v="3.9742500000000001"/>
  </r>
  <r>
    <x v="1"/>
    <s v="Wells Fargo"/>
    <s v="1Point Rate"/>
    <s v="MTG"/>
    <x v="312"/>
    <n v="3.91025"/>
  </r>
  <r>
    <x v="1"/>
    <s v="Wells Fargo"/>
    <s v="1Point Rate"/>
    <s v="MTG"/>
    <x v="313"/>
    <n v="3.8784999999999998"/>
  </r>
  <r>
    <x v="1"/>
    <s v="Wells Fargo"/>
    <s v="1Point Rate"/>
    <s v="MTG"/>
    <x v="314"/>
    <n v="3.8784999999999998"/>
  </r>
  <r>
    <x v="1"/>
    <s v="Wells Fargo"/>
    <s v="1Point Rate"/>
    <s v="MTG"/>
    <x v="315"/>
    <n v="4.2359999999999998"/>
  </r>
  <r>
    <x v="1"/>
    <s v="Wells Fargo"/>
    <s v="1Point Rate"/>
    <s v="MTG"/>
    <x v="316"/>
    <n v="3.8784999999999998"/>
  </r>
  <r>
    <x v="1"/>
    <s v="Wells Fargo"/>
    <s v="1Point Rate"/>
    <s v="MTG"/>
    <x v="317"/>
    <n v="3.8784999999999998"/>
  </r>
  <r>
    <x v="1"/>
    <s v="Wells Fargo"/>
    <s v="1Point Rate"/>
    <s v="MTG"/>
    <x v="318"/>
    <n v="3.8784999999999998"/>
  </r>
  <r>
    <x v="1"/>
    <s v="Wells Fargo"/>
    <s v="1Point Rate"/>
    <s v="MTG"/>
    <x v="319"/>
    <n v="3.8784999999999998"/>
  </r>
  <r>
    <x v="1"/>
    <s v="Wells Fargo"/>
    <s v="1Point Rate"/>
    <s v="MTG"/>
    <x v="320"/>
    <n v="4.1180000000000003"/>
  </r>
  <r>
    <x v="1"/>
    <s v="Wells Fargo"/>
    <s v="1Point Rate"/>
    <s v="MTG"/>
    <x v="321"/>
    <n v="3.846625"/>
  </r>
  <r>
    <x v="1"/>
    <s v="Wells Fargo"/>
    <s v="1Point Rate"/>
    <s v="MTG"/>
    <x v="322"/>
    <n v="3.846625"/>
  </r>
  <r>
    <x v="1"/>
    <s v="Wells Fargo"/>
    <s v="1Point Rate"/>
    <s v="MTG"/>
    <x v="323"/>
    <n v="3.8784999999999998"/>
  </r>
  <r>
    <x v="1"/>
    <s v="Wells Fargo"/>
    <s v="1Point Rate"/>
    <s v="MTG"/>
    <x v="324"/>
    <n v="3.91025"/>
  </r>
  <r>
    <x v="1"/>
    <s v="Wells Fargo"/>
    <s v="1Point Rate"/>
    <s v="MTG"/>
    <x v="325"/>
    <n v="3.91025"/>
  </r>
  <r>
    <x v="1"/>
    <s v="Wells Fargo"/>
    <s v="1Point Rate"/>
    <s v="MTG"/>
    <x v="326"/>
    <n v="3.91025"/>
  </r>
  <r>
    <x v="1"/>
    <s v="Wells Fargo"/>
    <s v="1Point Rate"/>
    <s v="MTG"/>
    <x v="327"/>
    <n v="3.7826249999999999"/>
  </r>
  <r>
    <x v="1"/>
    <s v="Wells Fargo"/>
    <s v="1Point Rate"/>
    <s v="MTG"/>
    <x v="328"/>
    <n v="3.7508750000000002"/>
  </r>
  <r>
    <x v="1"/>
    <s v="Wells Fargo"/>
    <s v="1Point Rate"/>
    <s v="MTG"/>
    <x v="329"/>
    <n v="3.7508750000000002"/>
  </r>
  <r>
    <x v="1"/>
    <s v="Wells Fargo"/>
    <s v="1Point Rate"/>
    <s v="MTG"/>
    <x v="330"/>
    <n v="3.7826249999999999"/>
  </r>
  <r>
    <x v="1"/>
    <s v="Wells Fargo"/>
    <s v="1Point Rate"/>
    <s v="MTG"/>
    <x v="331"/>
    <n v="3.7826249999999999"/>
  </r>
  <r>
    <x v="1"/>
    <s v="Wells Fargo"/>
    <s v="1Point Rate"/>
    <s v="MTG"/>
    <x v="332"/>
    <n v="3.7190000000000003"/>
  </r>
  <r>
    <x v="1"/>
    <s v="Wells Fargo"/>
    <s v="1Point Rate"/>
    <s v="MTG"/>
    <x v="333"/>
    <n v="3.6550000000000007"/>
  </r>
  <r>
    <x v="1"/>
    <s v="Wells Fargo"/>
    <s v="1Point Rate"/>
    <s v="MTG"/>
    <x v="334"/>
    <n v="3.6232500000000001"/>
  </r>
  <r>
    <x v="1"/>
    <s v="Wells Fargo"/>
    <s v="1Point Rate"/>
    <s v="MTG"/>
    <x v="335"/>
    <n v="3.7190000000000003"/>
  </r>
  <r>
    <x v="1"/>
    <s v="Wells Fargo"/>
    <s v="1Point Rate"/>
    <s v="MTG"/>
    <x v="336"/>
    <n v="3.7190000000000003"/>
  </r>
  <r>
    <x v="1"/>
    <s v="Wells Fargo"/>
    <s v="1Point Rate"/>
    <s v="MTG"/>
    <x v="337"/>
    <n v="3.7508750000000002"/>
  </r>
  <r>
    <x v="1"/>
    <s v="Wells Fargo"/>
    <s v="1Point Rate"/>
    <s v="MTG"/>
    <x v="338"/>
    <n v="3.7190000000000003"/>
  </r>
  <r>
    <x v="1"/>
    <s v="Wells Fargo"/>
    <s v="1Point Rate"/>
    <s v="MTG"/>
    <x v="339"/>
    <n v="3.7508750000000002"/>
  </r>
  <r>
    <x v="1"/>
    <s v="Wells Fargo"/>
    <s v="1Point Rate"/>
    <s v="MTG"/>
    <x v="340"/>
    <n v="3.7508750000000002"/>
  </r>
  <r>
    <x v="1"/>
    <s v="Wells Fargo"/>
    <s v="1Point Rate"/>
    <s v="MTG"/>
    <x v="341"/>
    <n v="3.7518749999999996"/>
  </r>
  <r>
    <x v="1"/>
    <s v="Wells Fargo"/>
    <s v="1Point Rate"/>
    <s v="MTG"/>
    <x v="342"/>
    <n v="3.7518749999999996"/>
  </r>
  <r>
    <x v="1"/>
    <s v="Wells Fargo"/>
    <s v="1Point Rate"/>
    <s v="MTG"/>
    <x v="343"/>
    <n v="3.7199999999999998"/>
  </r>
  <r>
    <x v="1"/>
    <s v="Wells Fargo"/>
    <s v="1Point Rate"/>
    <s v="MTG"/>
    <x v="344"/>
    <n v="3.7518749999999996"/>
  </r>
  <r>
    <x v="1"/>
    <s v="Wells Fargo"/>
    <s v="1Point Rate"/>
    <s v="MTG"/>
    <x v="345"/>
    <n v="3.7836249999999993"/>
  </r>
  <r>
    <x v="1"/>
    <s v="Wells Fargo"/>
    <s v="1Point Rate"/>
    <s v="MTG"/>
    <x v="346"/>
    <n v="3.7836249999999993"/>
  </r>
  <r>
    <x v="1"/>
    <s v="Wells Fargo"/>
    <s v="1Point Rate"/>
    <s v="MTG"/>
    <x v="347"/>
    <n v="3.7836249999999993"/>
  </r>
  <r>
    <x v="1"/>
    <s v="Wells Fargo"/>
    <s v="1Point Rate"/>
    <s v="MTG"/>
    <x v="348"/>
    <n v="3.8794999999999997"/>
  </r>
  <r>
    <x v="1"/>
    <s v="Wells Fargo"/>
    <s v="1Point Rate"/>
    <s v="MTG"/>
    <x v="349"/>
    <n v="3.7518749999999996"/>
  </r>
  <r>
    <x v="1"/>
    <s v="Wells Fargo"/>
    <s v="1Point Rate"/>
    <s v="MTG"/>
    <x v="350"/>
    <n v="3.6560000000000001"/>
  </r>
  <r>
    <x v="1"/>
    <s v="Wells Fargo"/>
    <s v="1Point Rate"/>
    <s v="MTG"/>
    <x v="351"/>
    <n v="3.6242500000000004"/>
  </r>
  <r>
    <x v="1"/>
    <s v="Wells Fargo"/>
    <s v="1Point Rate"/>
    <s v="MTG"/>
    <x v="352"/>
    <n v="3.7199999999999998"/>
  </r>
  <r>
    <x v="1"/>
    <s v="Wells Fargo"/>
    <s v="1Point Rate"/>
    <s v="MTG"/>
    <x v="353"/>
    <n v="3.7199999999999998"/>
  </r>
  <r>
    <x v="1"/>
    <s v="Wells Fargo"/>
    <s v="1Point Rate"/>
    <s v="MTG"/>
    <x v="354"/>
    <n v="3.6560000000000001"/>
  </r>
  <r>
    <x v="1"/>
    <s v="Wells Fargo"/>
    <s v="1Point Rate"/>
    <s v="MTG"/>
    <x v="355"/>
    <n v="3.6242500000000004"/>
  </r>
  <r>
    <x v="1"/>
    <s v="Wells Fargo"/>
    <s v="1Point Rate"/>
    <s v="MTG"/>
    <x v="356"/>
    <n v="3.7199999999999998"/>
  </r>
  <r>
    <x v="1"/>
    <s v="Wells Fargo"/>
    <s v="1Point Rate"/>
    <s v="MTG"/>
    <x v="357"/>
    <n v="3.7199999999999998"/>
  </r>
  <r>
    <x v="1"/>
    <s v="Wells Fargo"/>
    <s v="1Point Rate"/>
    <s v="MTG"/>
    <x v="358"/>
    <n v="3.6242500000000004"/>
  </r>
  <r>
    <x v="1"/>
    <s v="Wells Fargo"/>
    <s v="1Point Rate"/>
    <s v="MTG"/>
    <x v="359"/>
    <n v="3.6242500000000004"/>
  </r>
  <r>
    <x v="1"/>
    <s v="Wells Fargo"/>
    <s v="1Point Rate"/>
    <s v="MTG"/>
    <x v="360"/>
    <n v="3.6560000000000001"/>
  </r>
  <r>
    <x v="1"/>
    <s v="Wells Fargo"/>
    <s v="1Point Rate"/>
    <s v="MTG"/>
    <x v="361"/>
    <n v="3.7518749999999996"/>
  </r>
  <r>
    <x v="1"/>
    <s v="Wells Fargo"/>
    <s v="1Point Rate"/>
    <s v="MTG"/>
    <x v="362"/>
    <n v="3.6560000000000001"/>
  </r>
  <r>
    <x v="1"/>
    <s v="Wells Fargo"/>
    <s v="1Point Rate"/>
    <s v="MTG"/>
    <x v="363"/>
    <n v="3.7199999999999998"/>
  </r>
  <r>
    <x v="1"/>
    <s v="Wells Fargo"/>
    <s v="1Point Rate"/>
    <s v="MTG"/>
    <x v="364"/>
    <n v="3.7518749999999996"/>
  </r>
  <r>
    <x v="1"/>
    <s v="Wells Fargo"/>
    <s v="1Point Rate"/>
    <s v="MTG"/>
    <x v="365"/>
    <n v="3.7199999999999998"/>
  </r>
  <r>
    <x v="1"/>
    <s v="Wells Fargo"/>
    <s v="1Point Rate"/>
    <s v="MTG"/>
    <x v="366"/>
    <n v="3.7199999999999998"/>
  </r>
  <r>
    <x v="1"/>
    <s v="Wells Fargo"/>
    <s v="1Point Rate"/>
    <s v="MTG"/>
    <x v="367"/>
    <n v="3.7518749999999996"/>
  </r>
  <r>
    <x v="1"/>
    <s v="Wells Fargo"/>
    <s v="1Point Rate"/>
    <s v="MTG"/>
    <x v="368"/>
    <n v="3.7199999999999998"/>
  </r>
  <r>
    <x v="1"/>
    <s v="Wells Fargo"/>
    <s v="1Point Rate"/>
    <s v="MTG"/>
    <x v="369"/>
    <n v="3.7518749999999996"/>
  </r>
  <r>
    <x v="1"/>
    <s v="Wells Fargo"/>
    <s v="1Point Rate"/>
    <s v="MTG"/>
    <x v="370"/>
    <n v="3.7199999999999998"/>
  </r>
  <r>
    <x v="1"/>
    <s v="Wells Fargo"/>
    <s v="1Point Rate"/>
    <s v="MTG"/>
    <x v="371"/>
    <n v="3.6242500000000004"/>
  </r>
  <r>
    <x v="1"/>
    <s v="Wells Fargo"/>
    <s v="1Point Rate"/>
    <s v="MTG"/>
    <x v="372"/>
    <n v="3.6560000000000001"/>
  </r>
  <r>
    <x v="1"/>
    <s v="Wells Fargo"/>
    <s v="1Point Rate"/>
    <s v="MTG"/>
    <x v="373"/>
    <n v="3.7836249999999993"/>
  </r>
  <r>
    <x v="1"/>
    <s v="Wells Fargo"/>
    <s v="1Point Rate"/>
    <s v="MTG"/>
    <x v="374"/>
    <n v="3.8794999999999997"/>
  </r>
  <r>
    <x v="1"/>
    <s v="Wells Fargo"/>
    <s v="1Point Rate"/>
    <s v="MTG"/>
    <x v="375"/>
    <n v="3.7518749999999996"/>
  </r>
  <r>
    <x v="1"/>
    <s v="Wells Fargo"/>
    <s v="1Point Rate"/>
    <s v="MTG"/>
    <x v="376"/>
    <n v="3.7199999999999998"/>
  </r>
  <r>
    <x v="1"/>
    <s v="Wells Fargo"/>
    <s v="1Point Rate"/>
    <s v="MTG"/>
    <x v="377"/>
    <n v="3.7199999999999998"/>
  </r>
  <r>
    <x v="1"/>
    <s v="Wells Fargo"/>
    <s v="1Point Rate"/>
    <s v="MTG"/>
    <x v="378"/>
    <n v="3.7518749999999996"/>
  </r>
  <r>
    <x v="1"/>
    <s v="Wells Fargo"/>
    <s v="1Point Rate"/>
    <s v="MTG"/>
    <x v="379"/>
    <n v="3.7518749999999996"/>
  </r>
  <r>
    <x v="1"/>
    <s v="Wells Fargo"/>
    <s v="1Point Rate"/>
    <s v="MTG"/>
    <x v="380"/>
    <n v="3.7518749999999996"/>
  </r>
  <r>
    <x v="1"/>
    <s v="Wells Fargo"/>
    <s v="1Point Rate"/>
    <s v="MTG"/>
    <x v="381"/>
    <n v="3.7518749999999996"/>
  </r>
  <r>
    <x v="1"/>
    <s v="Wells Fargo"/>
    <s v="1Point Rate"/>
    <s v="MTG"/>
    <x v="382"/>
    <n v="3.6560000000000001"/>
  </r>
  <r>
    <x v="1"/>
    <s v="Wells Fargo"/>
    <s v="1Point Rate"/>
    <s v="MTG"/>
    <x v="383"/>
    <n v="3.6242500000000004"/>
  </r>
  <r>
    <x v="1"/>
    <s v="Wells Fargo"/>
    <s v="1Point Rate"/>
    <s v="MTG"/>
    <x v="384"/>
    <n v="3.5606250000000008"/>
  </r>
  <r>
    <x v="1"/>
    <s v="Wells Fargo"/>
    <s v="1Point Rate"/>
    <s v="MTG"/>
    <x v="385"/>
    <n v="3.5606250000000008"/>
  </r>
  <r>
    <x v="1"/>
    <s v="Wells Fargo"/>
    <s v="1Point Rate"/>
    <s v="MTG"/>
    <x v="386"/>
    <n v="3.6242500000000004"/>
  </r>
  <r>
    <x v="1"/>
    <s v="Wells Fargo"/>
    <s v="1Point Rate"/>
    <s v="MTG"/>
    <x v="387"/>
    <n v="3.5923750000000005"/>
  </r>
  <r>
    <x v="1"/>
    <s v="Wells Fargo"/>
    <s v="1Point Rate"/>
    <s v="MTG"/>
    <x v="388"/>
    <n v="3.6242500000000004"/>
  </r>
  <r>
    <x v="1"/>
    <s v="Wells Fargo"/>
    <s v="1Point Rate"/>
    <s v="MTG"/>
    <x v="389"/>
    <n v="3.6242500000000004"/>
  </r>
  <r>
    <x v="1"/>
    <s v="Wells Fargo"/>
    <s v="1Point Rate"/>
    <s v="MTG"/>
    <x v="390"/>
    <n v="3.68825"/>
  </r>
  <r>
    <x v="1"/>
    <s v="Wells Fargo"/>
    <s v="1Point Rate"/>
    <s v="MTG"/>
    <x v="391"/>
    <n v="3.6560000000000001"/>
  </r>
  <r>
    <x v="1"/>
    <s v="Wells Fargo"/>
    <s v="1Point Rate"/>
    <s v="MTG"/>
    <x v="392"/>
    <n v="3.7199999999999998"/>
  </r>
  <r>
    <x v="1"/>
    <s v="Wells Fargo"/>
    <s v="1Point Rate"/>
    <s v="MTG"/>
    <x v="393"/>
    <n v="3.7518749999999996"/>
  </r>
  <r>
    <x v="1"/>
    <s v="Wells Fargo"/>
    <s v="1Point Rate"/>
    <s v="MTG"/>
    <x v="394"/>
    <n v="3.7518749999999996"/>
  </r>
  <r>
    <x v="1"/>
    <s v="Wells Fargo"/>
    <s v="1Point Rate"/>
    <s v="MTG"/>
    <x v="395"/>
    <n v="3.7199999999999998"/>
  </r>
  <r>
    <x v="1"/>
    <s v="Wells Fargo"/>
    <s v="1Point Rate"/>
    <s v="MTG"/>
    <x v="396"/>
    <n v="3.7199999999999998"/>
  </r>
  <r>
    <x v="1"/>
    <s v="Wells Fargo"/>
    <s v="1Point Rate"/>
    <s v="MTG"/>
    <x v="397"/>
    <n v="3.7518749999999996"/>
  </r>
  <r>
    <x v="1"/>
    <s v="Wells Fargo"/>
    <s v="1Point Rate"/>
    <s v="MTG"/>
    <x v="398"/>
    <n v="3.7199999999999998"/>
  </r>
  <r>
    <x v="1"/>
    <s v="Wells Fargo"/>
    <s v="1Point Rate"/>
    <s v="MTG"/>
    <x v="399"/>
    <n v="3.7199999999999998"/>
  </r>
  <r>
    <x v="1"/>
    <s v="Wells Fargo"/>
    <s v="1Point Rate"/>
    <s v="MTG"/>
    <x v="400"/>
    <n v="3.7199999999999998"/>
  </r>
  <r>
    <x v="1"/>
    <s v="Wells Fargo"/>
    <s v="1Point Rate"/>
    <s v="MTG"/>
    <x v="401"/>
    <n v="3.7199999999999998"/>
  </r>
  <r>
    <x v="1"/>
    <s v="Wells Fargo"/>
    <s v="1Point Rate"/>
    <s v="MTG"/>
    <x v="402"/>
    <n v="3.6560000000000001"/>
  </r>
  <r>
    <x v="1"/>
    <s v="Wells Fargo"/>
    <s v="1Point Rate"/>
    <s v="MTG"/>
    <x v="403"/>
    <n v="3.7199999999999998"/>
  </r>
  <r>
    <x v="1"/>
    <s v="Wells Fargo"/>
    <s v="1Point Rate"/>
    <s v="MTG"/>
    <x v="404"/>
    <n v="3.7199999999999998"/>
  </r>
  <r>
    <x v="1"/>
    <s v="Wells Fargo"/>
    <s v="1Point Rate"/>
    <s v="MTG"/>
    <x v="405"/>
    <n v="3.9112500000000003"/>
  </r>
  <r>
    <x v="1"/>
    <s v="Wells Fargo"/>
    <s v="1Point Rate"/>
    <s v="MTG"/>
    <x v="406"/>
    <n v="3.8794999999999997"/>
  </r>
  <r>
    <x v="1"/>
    <s v="Wells Fargo"/>
    <s v="1Point Rate"/>
    <s v="MTG"/>
    <x v="407"/>
    <n v="3.7836249999999993"/>
  </r>
  <r>
    <x v="1"/>
    <s v="Wells Fargo"/>
    <s v="1Point Rate"/>
    <s v="MTG"/>
    <x v="408"/>
    <n v="3.8794999999999997"/>
  </r>
  <r>
    <x v="1"/>
    <s v="Wells Fargo"/>
    <s v="1Point Rate"/>
    <s v="MTG"/>
    <x v="409"/>
    <n v="3.7836249999999993"/>
  </r>
  <r>
    <x v="1"/>
    <s v="Wells Fargo"/>
    <s v="1Point Rate"/>
    <s v="MTG"/>
    <x v="410"/>
    <n v="3.8794999999999997"/>
  </r>
  <r>
    <x v="1"/>
    <s v="Wells Fargo"/>
    <s v="1Point Rate"/>
    <s v="MTG"/>
    <x v="411"/>
    <n v="3.8794999999999997"/>
  </r>
  <r>
    <x v="1"/>
    <s v="Wells Fargo"/>
    <s v="1Point Rate"/>
    <s v="MTG"/>
    <x v="412"/>
    <n v="3.7836249999999993"/>
  </r>
  <r>
    <x v="1"/>
    <s v="Wells Fargo"/>
    <s v="1Point Rate"/>
    <s v="MTG"/>
    <x v="413"/>
    <n v="3.7836249999999993"/>
  </r>
  <r>
    <x v="1"/>
    <s v="Wells Fargo"/>
    <s v="1Point Rate"/>
    <s v="MTG"/>
    <x v="414"/>
    <n v="3.9434999999999998"/>
  </r>
  <r>
    <x v="1"/>
    <s v="Wells Fargo"/>
    <s v="1Point Rate"/>
    <s v="MTG"/>
    <x v="415"/>
    <n v="4.0071250000000003"/>
  </r>
  <r>
    <x v="1"/>
    <s v="Wells Fargo"/>
    <s v="1Point Rate"/>
    <s v="MTG"/>
    <x v="416"/>
    <n v="4.1441249999999998"/>
  </r>
  <r>
    <x v="1"/>
    <s v="Wells Fargo"/>
    <s v="1Point Rate"/>
    <s v="MTG"/>
    <x v="417"/>
    <n v="4.1441249999999998"/>
  </r>
  <r>
    <x v="1"/>
    <s v="Wells Fargo"/>
    <s v="1Point Rate"/>
    <s v="MTG"/>
    <x v="418"/>
    <n v="4.1441249999999998"/>
  </r>
  <r>
    <x v="1"/>
    <s v="Wells Fargo"/>
    <s v="1Point Rate"/>
    <s v="MTG"/>
    <x v="419"/>
    <n v="4.1122499999999995"/>
  </r>
  <r>
    <x v="1"/>
    <s v="Wells Fargo"/>
    <s v="1Point Rate"/>
    <s v="MTG"/>
    <x v="420"/>
    <n v="4.3035000000000005"/>
  </r>
  <r>
    <x v="1"/>
    <s v="Wells Fargo"/>
    <s v="1Point Rate"/>
    <s v="MTG"/>
    <x v="421"/>
    <n v="4.3035000000000005"/>
  </r>
  <r>
    <x v="1"/>
    <s v="Wells Fargo"/>
    <s v="1Point Rate"/>
    <s v="MTG"/>
    <x v="422"/>
    <n v="4.3035000000000005"/>
  </r>
  <r>
    <x v="1"/>
    <s v="Wells Fargo"/>
    <s v="1Point Rate"/>
    <s v="MTG"/>
    <x v="423"/>
    <n v="4.4633750000000001"/>
  </r>
  <r>
    <x v="1"/>
    <s v="Wells Fargo"/>
    <s v="1Point Rate"/>
    <s v="MTG"/>
    <x v="424"/>
    <n v="4.4311250000000006"/>
  </r>
  <r>
    <x v="1"/>
    <s v="Wells Fargo"/>
    <s v="1Point Rate"/>
    <s v="MTG"/>
    <x v="425"/>
    <n v="4.3993750000000009"/>
  </r>
  <r>
    <x v="1"/>
    <s v="Wells Fargo"/>
    <s v="1Point Rate"/>
    <s v="MTG"/>
    <x v="426"/>
    <n v="4.3675000000000006"/>
  </r>
  <r>
    <x v="1"/>
    <s v="Wells Fargo"/>
    <s v="1Point Rate"/>
    <s v="MTG"/>
    <x v="427"/>
    <n v="4.3675000000000006"/>
  </r>
  <r>
    <x v="1"/>
    <s v="Wells Fargo"/>
    <s v="1Point Rate"/>
    <s v="MTG"/>
    <x v="428"/>
    <n v="4.4314999999999998"/>
  </r>
  <r>
    <x v="1"/>
    <s v="Wells Fargo"/>
    <s v="1Point Rate"/>
    <s v="MTG"/>
    <x v="429"/>
    <n v="4.2717499999999999"/>
  </r>
  <r>
    <x v="1"/>
    <s v="Wells Fargo"/>
    <s v="1Point Rate"/>
    <s v="MTG"/>
    <x v="430"/>
    <n v="4.3993750000000009"/>
  </r>
  <r>
    <x v="1"/>
    <s v="Wells Fargo"/>
    <s v="1Point Rate"/>
    <s v="MTG"/>
    <x v="431"/>
    <n v="4.3035000000000005"/>
  </r>
  <r>
    <x v="1"/>
    <s v="Wells Fargo"/>
    <s v="1Point Rate"/>
    <s v="MTG"/>
    <x v="432"/>
    <n v="4.3035000000000005"/>
  </r>
  <r>
    <x v="1"/>
    <s v="Wells Fargo"/>
    <s v="1Point Rate"/>
    <s v="MTG"/>
    <x v="433"/>
    <n v="4.3035000000000005"/>
  </r>
  <r>
    <x v="1"/>
    <s v="Wells Fargo"/>
    <s v="1Point Rate"/>
    <s v="MTG"/>
    <x v="434"/>
    <n v="4.2717499999999999"/>
  </r>
  <r>
    <x v="1"/>
    <s v="Wells Fargo"/>
    <s v="1Point Rate"/>
    <s v="MTG"/>
    <x v="435"/>
    <n v="4.3675000000000006"/>
  </r>
  <r>
    <x v="1"/>
    <s v="Wells Fargo"/>
    <s v="1Point Rate"/>
    <s v="MTG"/>
    <x v="436"/>
    <n v="4.2398749999999996"/>
  </r>
  <r>
    <x v="1"/>
    <s v="Wells Fargo"/>
    <s v="1Point Rate"/>
    <s v="MTG"/>
    <x v="437"/>
    <n v="4.3035000000000005"/>
  </r>
  <r>
    <x v="1"/>
    <s v="Wells Fargo"/>
    <s v="1Point Rate"/>
    <s v="MTG"/>
    <x v="438"/>
    <n v="4.4311250000000006"/>
  </r>
  <r>
    <x v="1"/>
    <s v="Wells Fargo"/>
    <s v="1Point Rate"/>
    <s v="MTG"/>
    <x v="439"/>
    <n v="4.4314999999999998"/>
  </r>
  <r>
    <x v="1"/>
    <s v="Wells Fargo"/>
    <s v="1Point Rate"/>
    <s v="MTG"/>
    <x v="440"/>
    <n v="4.4633750000000001"/>
  </r>
  <r>
    <x v="1"/>
    <s v="Wells Fargo"/>
    <s v="1Point Rate"/>
    <s v="MTG"/>
    <x v="441"/>
    <n v="4.4951249999999998"/>
  </r>
  <r>
    <x v="1"/>
    <s v="Wells Fargo"/>
    <s v="1Point Rate"/>
    <s v="MTG"/>
    <x v="442"/>
    <n v="4.4633750000000001"/>
  </r>
  <r>
    <x v="1"/>
    <s v="Wells Fargo"/>
    <s v="1Point Rate"/>
    <s v="MTG"/>
    <x v="443"/>
    <n v="4.4633750000000001"/>
  </r>
  <r>
    <x v="1"/>
    <s v="Wells Fargo"/>
    <s v="1Point Rate"/>
    <s v="MTG"/>
    <x v="444"/>
    <n v="4.4311250000000006"/>
  </r>
  <r>
    <x v="1"/>
    <s v="Wells Fargo"/>
    <s v="1Point Rate"/>
    <s v="MTG"/>
    <x v="445"/>
    <n v="4.4951249999999998"/>
  </r>
  <r>
    <x v="1"/>
    <s v="Wells Fargo"/>
    <s v="1Point Rate"/>
    <s v="MTG"/>
    <x v="446"/>
    <n v="4.4311250000000006"/>
  </r>
  <r>
    <x v="1"/>
    <s v="Wells Fargo"/>
    <s v="1Point Rate"/>
    <s v="MTG"/>
    <x v="447"/>
    <n v="4.3993750000000009"/>
  </r>
  <r>
    <x v="1"/>
    <s v="Wells Fargo"/>
    <s v="1Point Rate"/>
    <s v="MTG"/>
    <x v="448"/>
    <n v="4.3675000000000006"/>
  </r>
  <r>
    <x v="1"/>
    <s v="Wells Fargo"/>
    <s v="1Point Rate"/>
    <s v="MTG"/>
    <x v="449"/>
    <n v="4.3993750000000009"/>
  </r>
  <r>
    <x v="1"/>
    <s v="Wells Fargo"/>
    <s v="1Point Rate"/>
    <s v="MTG"/>
    <x v="450"/>
    <n v="4.3675000000000006"/>
  </r>
  <r>
    <x v="1"/>
    <s v="Wells Fargo"/>
    <s v="1Point Rate"/>
    <s v="MTG"/>
    <x v="451"/>
    <n v="4.2717499999999999"/>
  </r>
  <r>
    <x v="1"/>
    <s v="Wells Fargo"/>
    <s v="1Point Rate"/>
    <s v="MTG"/>
    <x v="452"/>
    <n v="4.33575"/>
  </r>
  <r>
    <x v="1"/>
    <s v="Wells Fargo"/>
    <s v="1Point Rate"/>
    <s v="MTG"/>
    <x v="453"/>
    <n v="4.4311250000000006"/>
  </r>
  <r>
    <x v="1"/>
    <s v="Wells Fargo"/>
    <s v="1Point Rate"/>
    <s v="MTG"/>
    <x v="454"/>
    <n v="4.3675000000000006"/>
  </r>
  <r>
    <x v="1"/>
    <s v="Wells Fargo"/>
    <s v="1Point Rate"/>
    <s v="MTG"/>
    <x v="455"/>
    <n v="4.4311250000000006"/>
  </r>
  <r>
    <x v="1"/>
    <s v="Wells Fargo"/>
    <s v="1Point Rate"/>
    <s v="MTG"/>
    <x v="456"/>
    <n v="4.3675000000000006"/>
  </r>
  <r>
    <x v="1"/>
    <s v="Wells Fargo"/>
    <s v="1Point Rate"/>
    <s v="MTG"/>
    <x v="457"/>
    <n v="4.4951249999999998"/>
  </r>
  <r>
    <x v="1"/>
    <s v="Wells Fargo"/>
    <s v="1Point Rate"/>
    <s v="MTG"/>
    <x v="458"/>
    <n v="4.4633750000000001"/>
  </r>
  <r>
    <x v="1"/>
    <s v="Wells Fargo"/>
    <s v="1Point Rate"/>
    <s v="MTG"/>
    <x v="459"/>
    <n v="4.4633750000000001"/>
  </r>
  <r>
    <x v="1"/>
    <s v="Wells Fargo"/>
    <s v="1Point Rate"/>
    <s v="MTG"/>
    <x v="460"/>
    <n v="4.4951249999999998"/>
  </r>
  <r>
    <x v="1"/>
    <s v="Wells Fargo"/>
    <s v="1Point Rate"/>
    <s v="MTG"/>
    <x v="461"/>
    <n v="4.5270000000000001"/>
  </r>
  <r>
    <x v="1"/>
    <s v="Wells Fargo"/>
    <s v="1Point Rate"/>
    <s v="MTG"/>
    <x v="462"/>
    <n v="4.4311250000000006"/>
  </r>
  <r>
    <x v="1"/>
    <s v="Wells Fargo"/>
    <s v="1Point Rate"/>
    <s v="MTG"/>
    <x v="463"/>
    <n v="4.4311250000000006"/>
  </r>
  <r>
    <x v="1"/>
    <s v="Wells Fargo"/>
    <s v="1Point Rate"/>
    <s v="MTG"/>
    <x v="464"/>
    <n v="4.4633750000000001"/>
  </r>
  <r>
    <x v="1"/>
    <s v="Wells Fargo"/>
    <s v="1Point Rate"/>
    <s v="MTG"/>
    <x v="465"/>
    <n v="4.4633750000000001"/>
  </r>
  <r>
    <x v="1"/>
    <s v="Wells Fargo"/>
    <s v="1Point Rate"/>
    <s v="MTG"/>
    <x v="466"/>
    <n v="4.4951249999999998"/>
  </r>
  <r>
    <x v="1"/>
    <s v="Wells Fargo"/>
    <s v="1Point Rate"/>
    <s v="MTG"/>
    <x v="467"/>
    <n v="4.4633750000000001"/>
  </r>
  <r>
    <x v="1"/>
    <s v="Wells Fargo"/>
    <s v="1Point Rate"/>
    <s v="MTG"/>
    <x v="468"/>
    <n v="4.4633750000000001"/>
  </r>
  <r>
    <x v="1"/>
    <s v="Wells Fargo"/>
    <s v="1Point Rate"/>
    <s v="MTG"/>
    <x v="469"/>
    <n v="4.4951249999999998"/>
  </r>
  <r>
    <x v="1"/>
    <s v="Wells Fargo"/>
    <s v="1Point Rate"/>
    <s v="MTG"/>
    <x v="470"/>
    <n v="4.4633750000000001"/>
  </r>
  <r>
    <x v="1"/>
    <s v="Wells Fargo"/>
    <s v="1Point Rate"/>
    <s v="MTG"/>
    <x v="471"/>
    <n v="4.4311250000000006"/>
  </r>
  <r>
    <x v="1"/>
    <s v="Wells Fargo"/>
    <s v="1Point Rate"/>
    <s v="MTG"/>
    <x v="472"/>
    <n v="4.4311250000000006"/>
  </r>
  <r>
    <x v="1"/>
    <s v="Wells Fargo"/>
    <s v="1Point Rate"/>
    <s v="MTG"/>
    <x v="473"/>
    <n v="4.4311250000000006"/>
  </r>
  <r>
    <x v="1"/>
    <s v="Wells Fargo"/>
    <s v="1Point Rate"/>
    <s v="MTG"/>
    <x v="474"/>
    <n v="4.3993750000000009"/>
  </r>
  <r>
    <x v="1"/>
    <s v="Wells Fargo"/>
    <s v="1Point Rate"/>
    <s v="MTG"/>
    <x v="475"/>
    <n v="4.4314999999999998"/>
  </r>
  <r>
    <x v="1"/>
    <s v="Wells Fargo"/>
    <s v="1Point Rate"/>
    <s v="MTG"/>
    <x v="476"/>
    <n v="4.4311250000000006"/>
  </r>
  <r>
    <x v="1"/>
    <s v="Wells Fargo"/>
    <s v="1Point Rate"/>
    <s v="MTG"/>
    <x v="477"/>
    <n v="4.4951249999999998"/>
  </r>
  <r>
    <x v="1"/>
    <s v="Wells Fargo"/>
    <s v="1Point Rate"/>
    <s v="MTG"/>
    <x v="478"/>
    <n v="4.4951249999999998"/>
  </r>
  <r>
    <x v="1"/>
    <s v="Wells Fargo"/>
    <s v="1Point Rate"/>
    <s v="MTG"/>
    <x v="479"/>
    <n v="4.4633750000000001"/>
  </r>
  <r>
    <x v="1"/>
    <s v="Wells Fargo"/>
    <s v="1Point Rate"/>
    <s v="MTG"/>
    <x v="480"/>
    <n v="4.3993750000000009"/>
  </r>
  <r>
    <x v="1"/>
    <s v="Wells Fargo"/>
    <s v="1Point Rate"/>
    <s v="MTG"/>
    <x v="481"/>
    <n v="4.4633750000000001"/>
  </r>
  <r>
    <x v="1"/>
    <s v="Wells Fargo"/>
    <s v="1Point Rate"/>
    <s v="MTG"/>
    <x v="482"/>
    <n v="4.4314999999999998"/>
  </r>
  <r>
    <x v="1"/>
    <s v="Wells Fargo"/>
    <s v="1Point Rate"/>
    <s v="MTG"/>
    <x v="483"/>
    <n v="4.3993750000000009"/>
  </r>
  <r>
    <x v="1"/>
    <s v="Wells Fargo"/>
    <s v="1Point Rate"/>
    <s v="MTG"/>
    <x v="484"/>
    <n v="4.3035000000000005"/>
  </r>
  <r>
    <x v="1"/>
    <s v="Wells Fargo"/>
    <s v="1Point Rate"/>
    <s v="MTG"/>
    <x v="485"/>
    <n v="4.3675000000000006"/>
  </r>
  <r>
    <x v="1"/>
    <s v="Wells Fargo"/>
    <s v="1Point Rate"/>
    <s v="MTG"/>
    <x v="486"/>
    <n v="4.4311250000000006"/>
  </r>
  <r>
    <x v="1"/>
    <s v="Wells Fargo"/>
    <s v="1Point Rate"/>
    <s v="MTG"/>
    <x v="487"/>
    <n v="4.4951249999999998"/>
  </r>
  <r>
    <x v="1"/>
    <s v="Wells Fargo"/>
    <s v="1Point Rate"/>
    <s v="MTG"/>
    <x v="488"/>
    <n v="4.4951249999999998"/>
  </r>
  <r>
    <x v="1"/>
    <s v="Wells Fargo"/>
    <s v="1Point Rate"/>
    <s v="MTG"/>
    <x v="489"/>
    <n v="4.5270000000000001"/>
  </r>
  <r>
    <x v="1"/>
    <s v="Wells Fargo"/>
    <s v="1Point Rate"/>
    <s v="MTG"/>
    <x v="490"/>
    <n v="4.5270000000000001"/>
  </r>
  <r>
    <x v="1"/>
    <s v="Wells Fargo"/>
    <s v="1Point Rate"/>
    <s v="MTG"/>
    <x v="491"/>
    <n v="4.5587499999999999"/>
  </r>
  <r>
    <x v="1"/>
    <s v="Wells Fargo"/>
    <s v="1Point Rate"/>
    <s v="MTG"/>
    <x v="492"/>
    <n v="4.6227499999999999"/>
  </r>
  <r>
    <x v="1"/>
    <s v="Wells Fargo"/>
    <s v="1Point Rate"/>
    <s v="MTG"/>
    <x v="493"/>
    <n v="4.6227499999999999"/>
  </r>
  <r>
    <x v="1"/>
    <s v="Wells Fargo"/>
    <s v="1Point Rate"/>
    <s v="MTG"/>
    <x v="494"/>
    <n v="4.686375"/>
  </r>
  <r>
    <x v="1"/>
    <s v="Wells Fargo"/>
    <s v="1Point Rate"/>
    <s v="MTG"/>
    <x v="495"/>
    <n v="4.686375"/>
  </r>
  <r>
    <x v="1"/>
    <s v="Wells Fargo"/>
    <s v="1Point Rate"/>
    <s v="MTG"/>
    <x v="496"/>
    <n v="4.7822499999999994"/>
  </r>
  <r>
    <x v="1"/>
    <s v="Wells Fargo"/>
    <s v="1Point Rate"/>
    <s v="MTG"/>
    <x v="497"/>
    <n v="4.750375"/>
  </r>
  <r>
    <x v="1"/>
    <s v="Wells Fargo"/>
    <s v="1Point Rate"/>
    <s v="MTG"/>
    <x v="498"/>
    <n v="4.5591249999999999"/>
  </r>
  <r>
    <x v="1"/>
    <s v="Wells Fargo"/>
    <s v="1Point Rate"/>
    <s v="MTG"/>
    <x v="499"/>
    <n v="4.5591249999999999"/>
  </r>
  <r>
    <x v="1"/>
    <s v="Wells Fargo"/>
    <s v="1Point Rate"/>
    <s v="MTG"/>
    <x v="500"/>
    <n v="4.5587499999999999"/>
  </r>
  <r>
    <x v="1"/>
    <s v="Wells Fargo"/>
    <s v="1Point Rate"/>
    <s v="MTG"/>
    <x v="501"/>
    <n v="4.5270000000000001"/>
  </r>
  <r>
    <x v="1"/>
    <s v="Wells Fargo"/>
    <s v="1Point Rate"/>
    <s v="MTG"/>
    <x v="502"/>
    <n v="4.4951249999999998"/>
  </r>
  <r>
    <x v="1"/>
    <s v="Wells Fargo"/>
    <s v="1Point Rate"/>
    <s v="MTG"/>
    <x v="503"/>
    <n v="4.4951249999999998"/>
  </r>
  <r>
    <x v="1"/>
    <s v="Wells Fargo"/>
    <s v="1Point Rate"/>
    <s v="MTG"/>
    <x v="504"/>
    <n v="4.5270000000000001"/>
  </r>
  <r>
    <x v="1"/>
    <s v="Wells Fargo"/>
    <s v="1Point Rate"/>
    <s v="MTG"/>
    <x v="505"/>
    <n v="4.4951249999999998"/>
  </r>
  <r>
    <x v="1"/>
    <s v="Wells Fargo"/>
    <s v="1Point Rate"/>
    <s v="MTG"/>
    <x v="506"/>
    <n v="4.5587499999999999"/>
  </r>
  <r>
    <x v="1"/>
    <s v="Wells Fargo"/>
    <s v="1Point Rate"/>
    <s v="MTG"/>
    <x v="507"/>
    <n v="4.5587499999999999"/>
  </r>
  <r>
    <x v="1"/>
    <s v="Wells Fargo"/>
    <s v="1Point Rate"/>
    <s v="MTG"/>
    <x v="508"/>
    <n v="4.5270000000000001"/>
  </r>
  <r>
    <x v="1"/>
    <s v="Wells Fargo"/>
    <s v="1Point Rate"/>
    <s v="MTG"/>
    <x v="509"/>
    <n v="4.5270000000000001"/>
  </r>
  <r>
    <x v="1"/>
    <s v="Wells Fargo"/>
    <s v="1Point Rate"/>
    <s v="MTG"/>
    <x v="510"/>
    <n v="4.4633750000000001"/>
  </r>
  <r>
    <x v="1"/>
    <s v="Wells Fargo"/>
    <s v="1Point Rate"/>
    <s v="MTG"/>
    <x v="511"/>
    <n v="4.4314999999999998"/>
  </r>
  <r>
    <x v="1"/>
    <s v="Wells Fargo"/>
    <s v="1Point Rate"/>
    <s v="MTG"/>
    <x v="512"/>
    <n v="4.4633750000000001"/>
  </r>
  <r>
    <x v="1"/>
    <s v="Wells Fargo"/>
    <s v="1Point Rate"/>
    <s v="MTG"/>
    <x v="513"/>
    <n v="4.4314999999999998"/>
  </r>
  <r>
    <x v="1"/>
    <s v="Wells Fargo"/>
    <s v="1Point Rate"/>
    <s v="MTG"/>
    <x v="514"/>
    <n v="4.4311250000000006"/>
  </r>
  <r>
    <x v="1"/>
    <s v="Wells Fargo"/>
    <s v="1Point Rate"/>
    <s v="MTG"/>
    <x v="515"/>
    <n v="4.4951249999999998"/>
  </r>
  <r>
    <x v="1"/>
    <s v="Wells Fargo"/>
    <s v="1Point Rate"/>
    <s v="MTG"/>
    <x v="516"/>
    <n v="4.4633750000000001"/>
  </r>
  <r>
    <x v="1"/>
    <s v="Wells Fargo"/>
    <s v="1Point Rate"/>
    <s v="MTG"/>
    <x v="517"/>
    <n v="4.4311250000000006"/>
  </r>
  <r>
    <x v="1"/>
    <s v="Wells Fargo"/>
    <s v="1Point Rate"/>
    <s v="MTG"/>
    <x v="518"/>
    <n v="4.3993750000000009"/>
  </r>
  <r>
    <x v="1"/>
    <s v="Wells Fargo"/>
    <s v="1Point Rate"/>
    <s v="MTG"/>
    <x v="519"/>
    <n v="4.4311250000000006"/>
  </r>
  <r>
    <x v="1"/>
    <s v="Wells Fargo"/>
    <s v="1Point Rate"/>
    <s v="MTG"/>
    <x v="520"/>
    <n v="4.5270000000000001"/>
  </r>
  <r>
    <x v="1"/>
    <s v="Wells Fargo"/>
    <s v="1Point Rate"/>
    <s v="MTG"/>
    <x v="521"/>
    <n v="4.5270000000000001"/>
  </r>
  <r>
    <x v="1"/>
    <s v="Wells Fargo"/>
    <s v="1Point Rate"/>
    <s v="MTG"/>
    <x v="522"/>
    <n v="4.5587499999999999"/>
  </r>
  <r>
    <x v="1"/>
    <s v="Wells Fargo"/>
    <s v="1Point Rate"/>
    <s v="MTG"/>
    <x v="523"/>
    <n v="4.5587499999999999"/>
  </r>
  <r>
    <x v="1"/>
    <s v="Wells Fargo"/>
    <s v="1Point Rate"/>
    <s v="MTG"/>
    <x v="524"/>
    <n v="4.6227499999999999"/>
  </r>
  <r>
    <x v="1"/>
    <s v="Wells Fargo"/>
    <s v="1Point Rate"/>
    <s v="MTG"/>
    <x v="525"/>
    <n v="4.6227499999999999"/>
  </r>
  <r>
    <x v="1"/>
    <s v="Wells Fargo"/>
    <s v="1Point Rate"/>
    <s v="MTG"/>
    <x v="526"/>
    <n v="4.6546249999999993"/>
  </r>
  <r>
    <x v="1"/>
    <s v="Wells Fargo"/>
    <s v="1Point Rate"/>
    <s v="MTG"/>
    <x v="527"/>
    <n v="4.6546249999999993"/>
  </r>
  <r>
    <x v="1"/>
    <s v="Wells Fargo"/>
    <s v="1Point Rate"/>
    <s v="MTG"/>
    <x v="528"/>
    <n v="4.6227499999999999"/>
  </r>
  <r>
    <x v="1"/>
    <s v="Wells Fargo"/>
    <s v="1Point Rate"/>
    <s v="MTG"/>
    <x v="529"/>
    <n v="4.5910000000000002"/>
  </r>
  <r>
    <x v="1"/>
    <s v="Wells Fargo"/>
    <s v="1Point Rate"/>
    <s v="MTG"/>
    <x v="530"/>
    <n v="4.6227499999999999"/>
  </r>
  <r>
    <x v="1"/>
    <s v="Wells Fargo"/>
    <s v="1Point Rate"/>
    <s v="MTG"/>
    <x v="531"/>
    <n v="4.5910000000000002"/>
  </r>
  <r>
    <x v="1"/>
    <s v="Wells Fargo"/>
    <s v="1Point Rate"/>
    <s v="MTG"/>
    <x v="532"/>
    <n v="4.6227499999999999"/>
  </r>
  <r>
    <x v="1"/>
    <s v="Wells Fargo"/>
    <s v="1Point Rate"/>
    <s v="MTG"/>
    <x v="533"/>
    <n v="4.5910000000000002"/>
  </r>
  <r>
    <x v="1"/>
    <s v="Wells Fargo"/>
    <s v="1Point Rate"/>
    <s v="MTG"/>
    <x v="534"/>
    <n v="4.5910000000000002"/>
  </r>
  <r>
    <x v="1"/>
    <s v="Wells Fargo"/>
    <s v="1Point Rate"/>
    <s v="MTG"/>
    <x v="535"/>
    <n v="4.6227499999999999"/>
  </r>
  <r>
    <x v="1"/>
    <s v="Wells Fargo"/>
    <s v="1Point Rate"/>
    <s v="MTG"/>
    <x v="536"/>
    <n v="4.6227499999999999"/>
  </r>
  <r>
    <x v="1"/>
    <s v="Wells Fargo"/>
    <s v="1Point Rate"/>
    <s v="MTG"/>
    <x v="537"/>
    <n v="4.6227499999999999"/>
  </r>
  <r>
    <x v="1"/>
    <s v="Wells Fargo"/>
    <s v="1Point Rate"/>
    <s v="MTG"/>
    <x v="538"/>
    <n v="4.6227499999999999"/>
  </r>
  <r>
    <x v="1"/>
    <s v="Wells Fargo"/>
    <s v="1Point Rate"/>
    <s v="MTG"/>
    <x v="539"/>
    <n v="4.6227499999999999"/>
  </r>
  <r>
    <x v="1"/>
    <s v="Wells Fargo"/>
    <s v="1Point Rate"/>
    <s v="MTG"/>
    <x v="540"/>
    <n v="4.5270000000000001"/>
  </r>
  <r>
    <x v="1"/>
    <s v="Wells Fargo"/>
    <s v="1Point Rate"/>
    <s v="MTG"/>
    <x v="541"/>
    <n v="4.5587499999999999"/>
  </r>
  <r>
    <x v="1"/>
    <s v="Wells Fargo"/>
    <s v="1Point Rate"/>
    <s v="MTG"/>
    <x v="542"/>
    <n v="4.5587499999999999"/>
  </r>
  <r>
    <x v="1"/>
    <s v="Wells Fargo"/>
    <s v="1Point Rate"/>
    <s v="MTG"/>
    <x v="543"/>
    <n v="4.5587499999999999"/>
  </r>
  <r>
    <x v="1"/>
    <s v="Wells Fargo"/>
    <s v="1Point Rate"/>
    <s v="MTG"/>
    <x v="544"/>
    <n v="4.5587499999999999"/>
  </r>
  <r>
    <x v="1"/>
    <s v="Wells Fargo"/>
    <s v="1Point Rate"/>
    <s v="MTG"/>
    <x v="545"/>
    <n v="4.5910000000000002"/>
  </r>
  <r>
    <x v="1"/>
    <s v="Wells Fargo"/>
    <s v="1Point Rate"/>
    <s v="MTG"/>
    <x v="546"/>
    <n v="4.5910000000000002"/>
  </r>
  <r>
    <x v="1"/>
    <s v="Wells Fargo"/>
    <s v="1Point Rate"/>
    <s v="MTG"/>
    <x v="547"/>
    <n v="4.5910000000000002"/>
  </r>
  <r>
    <x v="1"/>
    <s v="Wells Fargo"/>
    <s v="1Point Rate"/>
    <s v="MTG"/>
    <x v="548"/>
    <n v="4.5910000000000002"/>
  </r>
  <r>
    <x v="1"/>
    <s v="Wells Fargo"/>
    <s v="1Point Rate"/>
    <s v="MTG"/>
    <x v="549"/>
    <n v="4.5910000000000002"/>
  </r>
  <r>
    <x v="1"/>
    <s v="Wells Fargo"/>
    <s v="1Point Rate"/>
    <s v="MTG"/>
    <x v="550"/>
    <n v="4.5587499999999999"/>
  </r>
  <r>
    <x v="1"/>
    <s v="Wells Fargo"/>
    <s v="1Point Rate"/>
    <s v="MTG"/>
    <x v="551"/>
    <n v="4.5910000000000002"/>
  </r>
  <r>
    <x v="1"/>
    <s v="Wells Fargo"/>
    <s v="1Point Rate"/>
    <s v="MTG"/>
    <x v="552"/>
    <n v="4.5587499999999999"/>
  </r>
  <r>
    <x v="1"/>
    <s v="Wells Fargo"/>
    <s v="1Point Rate"/>
    <s v="MTG"/>
    <x v="553"/>
    <n v="4.5587499999999999"/>
  </r>
  <r>
    <x v="1"/>
    <s v="Wells Fargo"/>
    <s v="1Point Rate"/>
    <s v="MTG"/>
    <x v="554"/>
    <n v="4.5587499999999999"/>
  </r>
  <r>
    <x v="1"/>
    <s v="Wells Fargo"/>
    <s v="1Point Rate"/>
    <s v="MTG"/>
    <x v="555"/>
    <n v="4.5910000000000002"/>
  </r>
  <r>
    <x v="1"/>
    <s v="Wells Fargo"/>
    <s v="1Point Rate"/>
    <s v="MTG"/>
    <x v="556"/>
    <n v="4.5910000000000002"/>
  </r>
  <r>
    <x v="1"/>
    <s v="Wells Fargo"/>
    <s v="1Point Rate"/>
    <s v="MTG"/>
    <x v="557"/>
    <n v="4.6227499999999999"/>
  </r>
  <r>
    <x v="1"/>
    <s v="Wells Fargo"/>
    <s v="1Point Rate"/>
    <s v="MTG"/>
    <x v="558"/>
    <n v="4.5910000000000002"/>
  </r>
  <r>
    <x v="1"/>
    <s v="Wells Fargo"/>
    <s v="1Point Rate"/>
    <s v="MTG"/>
    <x v="559"/>
    <n v="4.6546249999999993"/>
  </r>
  <r>
    <x v="1"/>
    <s v="Wells Fargo"/>
    <s v="1Point Rate"/>
    <s v="MTG"/>
    <x v="560"/>
    <n v="4.6546249999999993"/>
  </r>
  <r>
    <x v="1"/>
    <s v="Wells Fargo"/>
    <s v="1Point Rate"/>
    <s v="MTG"/>
    <x v="561"/>
    <n v="4.686375"/>
  </r>
  <r>
    <x v="1"/>
    <s v="Wells Fargo"/>
    <s v="1Point Rate"/>
    <s v="MTG"/>
    <x v="562"/>
    <n v="4.686375"/>
  </r>
  <r>
    <x v="1"/>
    <s v="Wells Fargo"/>
    <s v="1Point Rate"/>
    <s v="MTG"/>
    <x v="563"/>
    <n v="4.686375"/>
  </r>
  <r>
    <x v="1"/>
    <s v="Wells Fargo"/>
    <s v="1Point Rate"/>
    <s v="MTG"/>
    <x v="564"/>
    <n v="4.686375"/>
  </r>
  <r>
    <x v="1"/>
    <s v="Wells Fargo"/>
    <s v="1Point Rate"/>
    <s v="MTG"/>
    <x v="565"/>
    <n v="4.686375"/>
  </r>
  <r>
    <x v="1"/>
    <s v="Wells Fargo"/>
    <s v="1Point Rate"/>
    <s v="MTG"/>
    <x v="566"/>
    <n v="4.6546249999999993"/>
  </r>
  <r>
    <x v="1"/>
    <s v="Wells Fargo"/>
    <s v="1Point Rate"/>
    <s v="MTG"/>
    <x v="567"/>
    <n v="4.686375"/>
  </r>
  <r>
    <x v="1"/>
    <s v="Wells Fargo"/>
    <s v="1Point Rate"/>
    <s v="MTG"/>
    <x v="568"/>
    <n v="4.6546249999999993"/>
  </r>
  <r>
    <x v="1"/>
    <s v="Wells Fargo"/>
    <s v="1Point Rate"/>
    <s v="MTG"/>
    <x v="569"/>
    <n v="4.686375"/>
  </r>
  <r>
    <x v="1"/>
    <s v="Wells Fargo"/>
    <s v="1Point Rate"/>
    <s v="MTG"/>
    <x v="570"/>
    <n v="4.750375"/>
  </r>
  <r>
    <x v="1"/>
    <s v="Wells Fargo"/>
    <s v="1Point Rate"/>
    <s v="MTG"/>
    <x v="571"/>
    <n v="4.7506250000000003"/>
  </r>
  <r>
    <x v="1"/>
    <s v="Wells Fargo"/>
    <s v="1Point Rate"/>
    <s v="MTG"/>
    <x v="572"/>
    <n v="4.7824999999999998"/>
  </r>
  <r>
    <x v="1"/>
    <s v="Wells Fargo"/>
    <s v="1Point Rate"/>
    <s v="MTG"/>
    <x v="573"/>
    <n v="4.7824999999999998"/>
  </r>
  <r>
    <x v="1"/>
    <s v="Wells Fargo"/>
    <s v="1Point Rate"/>
    <s v="MTG"/>
    <x v="574"/>
    <n v="4.7824999999999998"/>
  </r>
  <r>
    <x v="1"/>
    <s v="Wells Fargo"/>
    <s v="1Point Rate"/>
    <s v="MTG"/>
    <x v="575"/>
    <n v="4.8142499999999995"/>
  </r>
  <r>
    <x v="1"/>
    <s v="Wells Fargo"/>
    <s v="1Point Rate"/>
    <s v="MTG"/>
    <x v="576"/>
    <n v="4.7506250000000003"/>
  </r>
  <r>
    <x v="1"/>
    <s v="Wells Fargo"/>
    <s v="1Point Rate"/>
    <s v="MTG"/>
    <x v="577"/>
    <n v="4.7824999999999998"/>
  </r>
  <r>
    <x v="1"/>
    <s v="Wells Fargo"/>
    <s v="1Point Rate"/>
    <s v="MTG"/>
    <x v="578"/>
    <n v="4.6866249999999994"/>
  </r>
  <r>
    <x v="1"/>
    <s v="Wells Fargo"/>
    <s v="1Point Rate"/>
    <s v="MTG"/>
    <x v="579"/>
    <n v="4.7824999999999998"/>
  </r>
  <r>
    <x v="1"/>
    <s v="Wells Fargo"/>
    <s v="1Point Rate"/>
    <s v="MTG"/>
    <x v="580"/>
    <n v="4.7824999999999998"/>
  </r>
  <r>
    <x v="1"/>
    <s v="Wells Fargo"/>
    <s v="1Point Rate"/>
    <s v="MTG"/>
    <x v="581"/>
    <n v="4.7506250000000003"/>
  </r>
  <r>
    <x v="1"/>
    <s v="Wells Fargo"/>
    <s v="1Point Rate"/>
    <s v="MTG"/>
    <x v="582"/>
    <n v="4.7506250000000003"/>
  </r>
  <r>
    <x v="1"/>
    <s v="Wells Fargo"/>
    <s v="1Point Rate"/>
    <s v="MTG"/>
    <x v="583"/>
    <n v="4.7506250000000003"/>
  </r>
  <r>
    <x v="1"/>
    <s v="Wells Fargo"/>
    <s v="1Point Rate"/>
    <s v="MTG"/>
    <x v="584"/>
    <n v="4.7506250000000003"/>
  </r>
  <r>
    <x v="1"/>
    <s v="Wells Fargo"/>
    <s v="1Point Rate"/>
    <s v="MTG"/>
    <x v="585"/>
    <n v="4.7824999999999998"/>
  </r>
  <r>
    <x v="1"/>
    <s v="Wells Fargo"/>
    <s v="1Point Rate"/>
    <s v="MTG"/>
    <x v="586"/>
    <n v="4.7824999999999998"/>
  </r>
  <r>
    <x v="1"/>
    <s v="Wells Fargo"/>
    <s v="1Point Rate"/>
    <s v="MTG"/>
    <x v="587"/>
    <n v="4.7824999999999998"/>
  </r>
  <r>
    <x v="1"/>
    <s v="Wells Fargo"/>
    <s v="1Point Rate"/>
    <s v="MTG"/>
    <x v="588"/>
    <n v="4.7824999999999998"/>
  </r>
  <r>
    <x v="1"/>
    <s v="Wells Fargo"/>
    <s v="1Point Rate"/>
    <s v="MTG"/>
    <x v="589"/>
    <n v="4.7824999999999998"/>
  </r>
  <r>
    <x v="1"/>
    <s v="Wells Fargo"/>
    <s v="1Point Rate"/>
    <s v="MTG"/>
    <x v="590"/>
    <n v="4.7506250000000003"/>
  </r>
  <r>
    <x v="1"/>
    <s v="Wells Fargo"/>
    <s v="1Point Rate"/>
    <s v="MTG"/>
    <x v="591"/>
    <n v="4.7824999999999998"/>
  </r>
  <r>
    <x v="1"/>
    <s v="Wells Fargo"/>
    <s v="1Point Rate"/>
    <s v="MTG"/>
    <x v="592"/>
    <n v="4.7824999999999998"/>
  </r>
  <r>
    <x v="1"/>
    <s v="Wells Fargo"/>
    <s v="1Point Rate"/>
    <s v="MTG"/>
    <x v="593"/>
    <n v="4.7824999999999998"/>
  </r>
  <r>
    <x v="1"/>
    <s v="Wells Fargo"/>
    <s v="1Point Rate"/>
    <s v="MTG"/>
    <x v="594"/>
    <n v="4.7824999999999998"/>
  </r>
  <r>
    <x v="1"/>
    <s v="Wells Fargo"/>
    <s v="1Point Rate"/>
    <s v="MTG"/>
    <x v="595"/>
    <n v="4.7824999999999998"/>
  </r>
  <r>
    <x v="1"/>
    <s v="Wells Fargo"/>
    <s v="1Point Rate"/>
    <s v="MTG"/>
    <x v="596"/>
    <n v="4.7824999999999998"/>
  </r>
  <r>
    <x v="1"/>
    <s v="Wells Fargo"/>
    <s v="1Point Rate"/>
    <s v="MTG"/>
    <x v="597"/>
    <n v="4.8142499999999995"/>
  </r>
  <r>
    <x v="1"/>
    <s v="Wells Fargo"/>
    <s v="1Point Rate"/>
    <s v="MTG"/>
    <x v="598"/>
    <n v="4.8142499999999995"/>
  </r>
  <r>
    <x v="1"/>
    <s v="Wells Fargo"/>
    <s v="1Point Rate"/>
    <s v="MTG"/>
    <x v="599"/>
    <n v="4.8142499999999995"/>
  </r>
  <r>
    <x v="1"/>
    <s v="Wells Fargo"/>
    <s v="1Point Rate"/>
    <s v="MTG"/>
    <x v="600"/>
    <n v="4.8142499999999995"/>
  </r>
  <r>
    <x v="1"/>
    <s v="Wells Fargo"/>
    <s v="1Point Rate"/>
    <s v="MTG"/>
    <x v="601"/>
    <n v="4.7824999999999998"/>
  </r>
  <r>
    <x v="1"/>
    <s v="Wells Fargo"/>
    <s v="1Point Rate"/>
    <s v="MTG"/>
    <x v="602"/>
    <n v="4.7824999999999998"/>
  </r>
  <r>
    <x v="1"/>
    <s v="Wells Fargo"/>
    <s v="1Point Rate"/>
    <s v="MTG"/>
    <x v="603"/>
    <n v="5.0376250000000002"/>
  </r>
  <r>
    <x v="1"/>
    <s v="Wells Fargo"/>
    <s v="1Point Rate"/>
    <s v="MTG"/>
    <x v="604"/>
    <n v="4.8142499999999995"/>
  </r>
  <r>
    <x v="1"/>
    <s v="Wells Fargo"/>
    <s v="1Point Rate"/>
    <s v="MTG"/>
    <x v="605"/>
    <n v="4.8142499999999995"/>
  </r>
  <r>
    <x v="1"/>
    <s v="Wells Fargo"/>
    <s v="1Point Rate"/>
    <s v="MTG"/>
    <x v="606"/>
    <n v="4.8142499999999995"/>
  </r>
  <r>
    <x v="1"/>
    <s v="Wells Fargo"/>
    <s v="1Point Rate"/>
    <s v="MTG"/>
    <x v="607"/>
    <n v="4.8142499999999995"/>
  </r>
  <r>
    <x v="1"/>
    <s v="Wells Fargo"/>
    <s v="1Point Rate"/>
    <s v="MTG"/>
    <x v="608"/>
    <n v="4.8142499999999995"/>
  </r>
  <r>
    <x v="1"/>
    <s v="Wells Fargo"/>
    <s v="1Point Rate"/>
    <s v="MTG"/>
    <x v="609"/>
    <n v="4.7824999999999998"/>
  </r>
  <r>
    <x v="1"/>
    <s v="Wells Fargo"/>
    <s v="1Point Rate"/>
    <s v="MTG"/>
    <x v="610"/>
    <n v="4.7824999999999998"/>
  </r>
  <r>
    <x v="1"/>
    <s v="Wells Fargo"/>
    <s v="1Point Rate"/>
    <s v="MTG"/>
    <x v="611"/>
    <n v="4.7824999999999998"/>
  </r>
  <r>
    <x v="1"/>
    <s v="Wells Fargo"/>
    <s v="1Point Rate"/>
    <s v="MTG"/>
    <x v="612"/>
    <n v="4.7824999999999998"/>
  </r>
  <r>
    <x v="1"/>
    <s v="Wells Fargo"/>
    <s v="1Point Rate"/>
    <s v="MTG"/>
    <x v="613"/>
    <n v="4.7506250000000003"/>
  </r>
  <r>
    <x v="1"/>
    <s v="Wells Fargo"/>
    <s v="1Point Rate"/>
    <s v="MTG"/>
    <x v="614"/>
    <n v="4.7506250000000003"/>
  </r>
  <r>
    <x v="1"/>
    <s v="Wells Fargo"/>
    <s v="1Point Rate"/>
    <s v="MTG"/>
    <x v="615"/>
    <n v="4.7506250000000003"/>
  </r>
  <r>
    <x v="1"/>
    <s v="Wells Fargo"/>
    <s v="1Point Rate"/>
    <s v="MTG"/>
    <x v="616"/>
    <n v="4.7824999999999998"/>
  </r>
  <r>
    <x v="1"/>
    <s v="Wells Fargo"/>
    <s v="1Point Rate"/>
    <s v="MTG"/>
    <x v="617"/>
    <n v="4.7506250000000003"/>
  </r>
  <r>
    <x v="1"/>
    <s v="Wells Fargo"/>
    <s v="1Point Rate"/>
    <s v="MTG"/>
    <x v="618"/>
    <n v="4.7506250000000003"/>
  </r>
  <r>
    <x v="1"/>
    <s v="Wells Fargo"/>
    <s v="1Point Rate"/>
    <s v="MTG"/>
    <x v="619"/>
    <n v="4.6866249999999994"/>
  </r>
  <r>
    <x v="1"/>
    <s v="Wells Fargo"/>
    <s v="1Point Rate"/>
    <s v="MTG"/>
    <x v="620"/>
    <n v="4.6866249999999994"/>
  </r>
  <r>
    <x v="1"/>
    <s v="Wells Fargo"/>
    <s v="1Point Rate"/>
    <s v="MTG"/>
    <x v="621"/>
    <n v="4.6866249999999994"/>
  </r>
  <r>
    <x v="1"/>
    <s v="Wells Fargo"/>
    <s v="1Point Rate"/>
    <s v="MTG"/>
    <x v="622"/>
    <n v="4.7506250000000003"/>
  </r>
  <r>
    <x v="1"/>
    <s v="Wells Fargo"/>
    <s v="1Point Rate"/>
    <s v="MTG"/>
    <x v="623"/>
    <n v="4.7506250000000003"/>
  </r>
  <r>
    <x v="1"/>
    <s v="Wells Fargo"/>
    <s v="1Point Rate"/>
    <s v="MTG"/>
    <x v="624"/>
    <n v="4.7824999999999998"/>
  </r>
  <r>
    <x v="1"/>
    <s v="Wells Fargo"/>
    <s v="1Point Rate"/>
    <s v="MTG"/>
    <x v="625"/>
    <n v="4.8142499999999995"/>
  </r>
  <r>
    <x v="1"/>
    <s v="Wells Fargo"/>
    <s v="1Point Rate"/>
    <s v="MTG"/>
    <x v="626"/>
    <n v="4.8142499999999995"/>
  </r>
  <r>
    <x v="1"/>
    <s v="Wells Fargo"/>
    <s v="1Point Rate"/>
    <s v="MTG"/>
    <x v="627"/>
    <n v="4.9417500000000008"/>
  </r>
  <r>
    <x v="1"/>
    <s v="Wells Fargo"/>
    <s v="1Point Rate"/>
    <s v="MTG"/>
    <x v="628"/>
    <n v="4.8142499999999995"/>
  </r>
  <r>
    <x v="1"/>
    <s v="Wells Fargo"/>
    <s v="1Point Rate"/>
    <s v="MTG"/>
    <x v="629"/>
    <n v="4.9740000000000002"/>
  </r>
  <r>
    <x v="1"/>
    <s v="Wells Fargo"/>
    <s v="1Point Rate"/>
    <s v="MTG"/>
    <x v="630"/>
    <n v="4.8142499999999995"/>
  </r>
  <r>
    <x v="1"/>
    <s v="Wells Fargo"/>
    <s v="1Point Rate"/>
    <s v="MTG"/>
    <x v="631"/>
    <n v="4.8142499999999995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2"/>
    <s v="Wells Fargo"/>
    <s v="1Point Rate"/>
    <s v="MTG"/>
    <x v="9"/>
    <n v="3.9301000000000004"/>
  </r>
  <r>
    <x v="2"/>
    <s v="Wells Fargo"/>
    <s v="1Point Rate"/>
    <s v="MTG"/>
    <x v="10"/>
    <n v="3.8988500000000004"/>
  </r>
  <r>
    <x v="2"/>
    <s v="Wells Fargo"/>
    <s v="1Point Rate"/>
    <s v="MTG"/>
    <x v="11"/>
    <n v="3.9367503938171491"/>
  </r>
  <r>
    <x v="2"/>
    <s v="Wells Fargo"/>
    <s v="1Point Rate"/>
    <s v="MTG"/>
    <x v="12"/>
    <n v="3.872298391426404"/>
  </r>
  <r>
    <x v="2"/>
    <s v="Wells Fargo"/>
    <s v="1Point Rate"/>
    <s v="MTG"/>
    <x v="13"/>
    <n v="3.9367503938171491"/>
  </r>
  <r>
    <x v="2"/>
    <s v="Wells Fargo"/>
    <s v="1Point Rate"/>
    <s v="MTG"/>
    <x v="14"/>
    <n v="3.872298391426404"/>
  </r>
  <r>
    <x v="2"/>
    <s v="Wells Fargo"/>
    <s v="1Point Rate"/>
    <s v="MTG"/>
    <x v="15"/>
    <n v="3.8107367176633482"/>
  </r>
  <r>
    <x v="2"/>
    <s v="Wells Fargo"/>
    <s v="1Point Rate"/>
    <s v="MTG"/>
    <x v="16"/>
    <n v="3.872298391426404"/>
  </r>
  <r>
    <x v="2"/>
    <s v="Wells Fargo"/>
    <s v="1Point Rate"/>
    <s v="MTG"/>
    <x v="17"/>
    <n v="3.9367503938171491"/>
  </r>
  <r>
    <x v="2"/>
    <s v="Wells Fargo"/>
    <s v="1Point Rate"/>
    <s v="MTG"/>
    <x v="18"/>
    <n v="3.9980925223663326"/>
  </r>
  <r>
    <x v="2"/>
    <s v="Wells Fargo"/>
    <s v="1Point Rate"/>
    <s v="MTG"/>
    <x v="19"/>
    <n v="3.9367503938171491"/>
  </r>
  <r>
    <x v="2"/>
    <s v="Wells Fargo"/>
    <s v="1Point Rate"/>
    <s v="MTG"/>
    <x v="20"/>
    <n v="3.872298391426404"/>
  </r>
  <r>
    <x v="2"/>
    <s v="Wells Fargo"/>
    <s v="1Point Rate"/>
    <s v="MTG"/>
    <x v="21"/>
    <n v="3.7673467858228435"/>
  </r>
  <r>
    <x v="2"/>
    <s v="Wells Fargo"/>
    <s v="1Point Rate"/>
    <s v="MTG"/>
    <x v="22"/>
    <n v="3.7673467858228435"/>
  </r>
  <r>
    <x v="2"/>
    <s v="Wells Fargo"/>
    <s v="1Point Rate"/>
    <s v="MTG"/>
    <x v="23"/>
    <n v="3.7178705124641254"/>
  </r>
  <r>
    <x v="2"/>
    <s v="Wells Fargo"/>
    <s v="1Point Rate"/>
    <s v="MTG"/>
    <x v="24"/>
    <n v="3.8662066882918835"/>
  </r>
  <r>
    <x v="2"/>
    <s v="Wells Fargo"/>
    <s v="1Point Rate"/>
    <s v="MTG"/>
    <x v="25"/>
    <n v="3.8662066882918835"/>
  </r>
  <r>
    <x v="2"/>
    <s v="Wells Fargo"/>
    <s v="1Point Rate"/>
    <s v="MTG"/>
    <x v="26"/>
    <n v="3.804430007719005"/>
  </r>
  <r>
    <x v="2"/>
    <s v="Wells Fargo"/>
    <s v="1Point Rate"/>
    <s v="MTG"/>
    <x v="27"/>
    <n v="3.7609539039308504"/>
  </r>
  <r>
    <x v="2"/>
    <s v="Wells Fargo"/>
    <s v="1Point Rate"/>
    <s v="MTG"/>
    <x v="28"/>
    <n v="3.8662066882918835"/>
  </r>
  <r>
    <x v="2"/>
    <s v="Wells Fargo"/>
    <s v="1Point Rate"/>
    <s v="MTG"/>
    <x v="29"/>
    <n v="3.8662066882918835"/>
  </r>
  <r>
    <x v="2"/>
    <s v="Wells Fargo"/>
    <s v="1Point Rate"/>
    <s v="MTG"/>
    <x v="30"/>
    <n v="3.7113481910264978"/>
  </r>
  <r>
    <x v="2"/>
    <s v="Wells Fargo"/>
    <s v="1Point Rate"/>
    <s v="MTG"/>
    <x v="31"/>
    <n v="3.804430007719005"/>
  </r>
  <r>
    <x v="2"/>
    <s v="Wells Fargo"/>
    <s v="1Point Rate"/>
    <s v="MTG"/>
    <x v="32"/>
    <n v="3.804430007719005"/>
  </r>
  <r>
    <x v="2"/>
    <s v="Wells Fargo"/>
    <s v="1Point Rate"/>
    <s v="MTG"/>
    <x v="33"/>
    <n v="3.8662066882918835"/>
  </r>
  <r>
    <x v="2"/>
    <s v="Wells Fargo"/>
    <s v="1Point Rate"/>
    <s v="MTG"/>
    <x v="34"/>
    <n v="3.804430007719005"/>
  </r>
  <r>
    <x v="2"/>
    <s v="Wells Fargo"/>
    <s v="1Point Rate"/>
    <s v="MTG"/>
    <x v="35"/>
    <n v="3.8662066882918835"/>
  </r>
  <r>
    <x v="2"/>
    <s v="Wells Fargo"/>
    <s v="1Point Rate"/>
    <s v="MTG"/>
    <x v="36"/>
    <n v="3.8375095901912939"/>
  </r>
  <r>
    <x v="2"/>
    <s v="Wells Fargo"/>
    <s v="1Point Rate"/>
    <s v="MTG"/>
    <x v="37"/>
    <n v="3.8869825871584012"/>
  </r>
  <r>
    <x v="2"/>
    <s v="Wells Fargo"/>
    <s v="1Point Rate"/>
    <s v="MTG"/>
    <x v="38"/>
    <n v="3.8375095901912939"/>
  </r>
  <r>
    <x v="2"/>
    <s v="Wells Fargo"/>
    <s v="1Point Rate"/>
    <s v="MTG"/>
    <x v="39"/>
    <n v="3.8375095901912939"/>
  </r>
  <r>
    <x v="2"/>
    <s v="Wells Fargo"/>
    <s v="1Point Rate"/>
    <s v="MTG"/>
    <x v="40"/>
    <n v="3.9303703370483709"/>
  </r>
  <r>
    <x v="2"/>
    <s v="Wells Fargo"/>
    <s v="1Point Rate"/>
    <s v="MTG"/>
    <x v="41"/>
    <n v="4.117698774030444"/>
  </r>
  <r>
    <x v="2"/>
    <s v="Wells Fargo"/>
    <s v="1Point Rate"/>
    <s v="MTG"/>
    <x v="42"/>
    <n v="4.0563620311709938"/>
  </r>
  <r>
    <x v="2"/>
    <s v="Wells Fargo"/>
    <s v="1Point Rate"/>
    <s v="MTG"/>
    <x v="43"/>
    <n v="4.0563620311709938"/>
  </r>
  <r>
    <x v="2"/>
    <s v="Wells Fargo"/>
    <s v="1Point Rate"/>
    <s v="MTG"/>
    <x v="44"/>
    <n v="4.117698774030444"/>
  </r>
  <r>
    <x v="2"/>
    <s v="Wells Fargo"/>
    <s v="1Point Rate"/>
    <s v="MTG"/>
    <x v="45"/>
    <n v="4.0154500000000004"/>
  </r>
  <r>
    <x v="2"/>
    <s v="Wells Fargo"/>
    <s v="1Point Rate"/>
    <s v="MTG"/>
    <x v="46"/>
    <n v="4.0899335699667727"/>
  </r>
  <r>
    <x v="2"/>
    <s v="Wells Fargo"/>
    <s v="1Point Rate"/>
    <s v="MTG"/>
    <x v="47"/>
    <n v="4.1391429031887403"/>
  </r>
  <r>
    <x v="2"/>
    <s v="Wells Fargo"/>
    <s v="1Point Rate"/>
    <s v="MTG"/>
    <x v="48"/>
    <n v="4.117698774030444"/>
  </r>
  <r>
    <x v="2"/>
    <s v="Wells Fargo"/>
    <s v="1Point Rate"/>
    <s v="MTG"/>
    <x v="49"/>
    <n v="4.0899335699667727"/>
  </r>
  <r>
    <x v="2"/>
    <s v="Wells Fargo"/>
    <s v="1Point Rate"/>
    <s v="MTG"/>
    <x v="50"/>
    <n v="4.1823551213488175"/>
  </r>
  <r>
    <x v="2"/>
    <s v="Wells Fargo"/>
    <s v="1Point Rate"/>
    <s v="MTG"/>
    <x v="51"/>
    <n v="4.1823551213488175"/>
  </r>
  <r>
    <x v="2"/>
    <s v="Wells Fargo"/>
    <s v="1Point Rate"/>
    <s v="MTG"/>
    <x v="52"/>
    <n v="4.1823551213488175"/>
  </r>
  <r>
    <x v="2"/>
    <s v="Wells Fargo"/>
    <s v="1Point Rate"/>
    <s v="MTG"/>
    <x v="53"/>
    <n v="4.0154500000000004"/>
  </r>
  <r>
    <x v="2"/>
    <s v="Wells Fargo"/>
    <s v="1Point Rate"/>
    <s v="MTG"/>
    <x v="54"/>
    <n v="4.0154500000000004"/>
  </r>
  <r>
    <x v="2"/>
    <s v="Wells Fargo"/>
    <s v="1Point Rate"/>
    <s v="MTG"/>
    <x v="55"/>
    <n v="4.1391429031887403"/>
  </r>
  <r>
    <x v="2"/>
    <s v="Wells Fargo"/>
    <s v="1Point Rate"/>
    <s v="MTG"/>
    <x v="56"/>
    <n v="4.1078929031887403"/>
  </r>
  <r>
    <x v="2"/>
    <s v="Wells Fargo"/>
    <s v="1Point Rate"/>
    <s v="MTG"/>
    <x v="57"/>
    <n v="4.1078929031887403"/>
  </r>
  <r>
    <x v="2"/>
    <s v="Wells Fargo"/>
    <s v="1Point Rate"/>
    <s v="MTG"/>
    <x v="58"/>
    <n v="3.9529500000000004"/>
  </r>
  <r>
    <x v="2"/>
    <s v="Wells Fargo"/>
    <s v="1Point Rate"/>
    <s v="MTG"/>
    <x v="59"/>
    <n v="3.9842000000000004"/>
  </r>
  <r>
    <x v="2"/>
    <s v="Wells Fargo"/>
    <s v="1Point Rate"/>
    <s v="MTG"/>
    <x v="60"/>
    <n v="3.9529500000000004"/>
  </r>
  <r>
    <x v="2"/>
    <s v="Wells Fargo"/>
    <s v="1Point Rate"/>
    <s v="MTG"/>
    <x v="61"/>
    <n v="4.117698774030444"/>
  </r>
  <r>
    <x v="2"/>
    <s v="Wells Fargo"/>
    <s v="1Point Rate"/>
    <s v="MTG"/>
    <x v="62"/>
    <n v="4.0563620311709938"/>
  </r>
  <r>
    <x v="2"/>
    <s v="Wells Fargo"/>
    <s v="1Point Rate"/>
    <s v="MTG"/>
    <x v="63"/>
    <n v="4.114354497342033"/>
  </r>
  <r>
    <x v="2"/>
    <s v="Wells Fargo"/>
    <s v="1Point Rate"/>
    <s v="MTG"/>
    <x v="64"/>
    <n v="4.114354497342033"/>
  </r>
  <r>
    <x v="2"/>
    <s v="Wells Fargo"/>
    <s v="1Point Rate"/>
    <s v="MTG"/>
    <x v="65"/>
    <n v="4.2717089165741537"/>
  </r>
  <r>
    <x v="2"/>
    <s v="Wells Fargo"/>
    <s v="1Point Rate"/>
    <s v="MTG"/>
    <x v="66"/>
    <n v="4.2404589165741537"/>
  </r>
  <r>
    <x v="2"/>
    <s v="Wells Fargo"/>
    <s v="1Point Rate"/>
    <s v="MTG"/>
    <x v="67"/>
    <n v="4.3147493145490214"/>
  </r>
  <r>
    <x v="2"/>
    <s v="Wells Fargo"/>
    <s v="1Point Rate"/>
    <s v="MTG"/>
    <x v="68"/>
    <n v="4.2717089165741537"/>
  </r>
  <r>
    <x v="2"/>
    <s v="Wells Fargo"/>
    <s v="1Point Rate"/>
    <s v="MTG"/>
    <x v="69"/>
    <n v="4.2717089165741537"/>
  </r>
  <r>
    <x v="2"/>
    <s v="Wells Fargo"/>
    <s v="1Point Rate"/>
    <s v="MTG"/>
    <x v="70"/>
    <n v="4.5041620075276256"/>
  </r>
  <r>
    <x v="2"/>
    <s v="Wells Fargo"/>
    <s v="1Point Rate"/>
    <s v="MTG"/>
    <x v="71"/>
    <n v="4.2717089165741537"/>
  </r>
  <r>
    <x v="2"/>
    <s v="Wells Fargo"/>
    <s v="1Point Rate"/>
    <s v="MTG"/>
    <x v="72"/>
    <n v="4.2404589165741537"/>
  </r>
  <r>
    <x v="2"/>
    <s v="Wells Fargo"/>
    <s v="1Point Rate"/>
    <s v="MTG"/>
    <x v="73"/>
    <n v="4.2033105887459152"/>
  </r>
  <r>
    <x v="2"/>
    <s v="Wells Fargo"/>
    <s v="1Point Rate"/>
    <s v="MTG"/>
    <x v="74"/>
    <n v="4.2033105887459152"/>
  </r>
  <r>
    <x v="2"/>
    <s v="Wells Fargo"/>
    <s v="1Point Rate"/>
    <s v="MTG"/>
    <x v="75"/>
    <n v="4.2033105887459152"/>
  </r>
  <r>
    <x v="2"/>
    <s v="Wells Fargo"/>
    <s v="1Point Rate"/>
    <s v="MTG"/>
    <x v="76"/>
    <n v="4.2496377008409834"/>
  </r>
  <r>
    <x v="2"/>
    <s v="Wells Fargo"/>
    <s v="1Point Rate"/>
    <s v="MTG"/>
    <x v="77"/>
    <n v="4.114354497342033"/>
  </r>
  <r>
    <x v="2"/>
    <s v="Wells Fargo"/>
    <s v="1Point Rate"/>
    <s v="MTG"/>
    <x v="78"/>
    <n v="4.1887316643249344"/>
  </r>
  <r>
    <x v="2"/>
    <s v="Wells Fargo"/>
    <s v="1Point Rate"/>
    <s v="MTG"/>
    <x v="79"/>
    <n v="4.2717089165741537"/>
  </r>
  <r>
    <x v="2"/>
    <s v="Wells Fargo"/>
    <s v="1Point Rate"/>
    <s v="MTG"/>
    <x v="80"/>
    <n v="4.2717089165741537"/>
  </r>
  <r>
    <x v="2"/>
    <s v="Wells Fargo"/>
    <s v="1Point Rate"/>
    <s v="MTG"/>
    <x v="81"/>
    <n v="4.375438847121214"/>
  </r>
  <r>
    <x v="2"/>
    <s v="Wells Fargo"/>
    <s v="1Point Rate"/>
    <s v="MTG"/>
    <x v="82"/>
    <n v="4.3773"/>
  </r>
  <r>
    <x v="2"/>
    <s v="Wells Fargo"/>
    <s v="1Point Rate"/>
    <s v="MTG"/>
    <x v="83"/>
    <n v="4.5041620075276256"/>
  </r>
  <r>
    <x v="2"/>
    <s v="Wells Fargo"/>
    <s v="1Point Rate"/>
    <s v="MTG"/>
    <x v="84"/>
    <n v="4.2717089165741537"/>
  </r>
  <r>
    <x v="2"/>
    <s v="Wells Fargo"/>
    <s v="1Point Rate"/>
    <s v="MTG"/>
    <x v="85"/>
    <n v="4.3773"/>
  </r>
  <r>
    <x v="2"/>
    <s v="Wells Fargo"/>
    <s v="1Point Rate"/>
    <s v="MTG"/>
    <x v="86"/>
    <n v="4.375438847121214"/>
  </r>
  <r>
    <x v="2"/>
    <s v="Wells Fargo"/>
    <s v="1Point Rate"/>
    <s v="MTG"/>
    <x v="87"/>
    <n v="4.2033105887459152"/>
  </r>
  <r>
    <x v="2"/>
    <s v="Wells Fargo"/>
    <s v="1Point Rate"/>
    <s v="MTG"/>
    <x v="88"/>
    <n v="4.1887316643249344"/>
  </r>
  <r>
    <x v="2"/>
    <s v="Wells Fargo"/>
    <s v="1Point Rate"/>
    <s v="MTG"/>
    <x v="89"/>
    <n v="4.2496377008409834"/>
  </r>
  <r>
    <x v="2"/>
    <s v="Wells Fargo"/>
    <s v="1Point Rate"/>
    <s v="MTG"/>
    <x v="90"/>
    <n v="4.2496377008409834"/>
  </r>
  <r>
    <x v="2"/>
    <s v="Wells Fargo"/>
    <s v="1Point Rate"/>
    <s v="MTG"/>
    <x v="91"/>
    <n v="4.4407683440906052"/>
  </r>
  <r>
    <x v="2"/>
    <s v="Wells Fargo"/>
    <s v="1Point Rate"/>
    <s v="MTG"/>
    <x v="92"/>
    <n v="4.5041620075276256"/>
  </r>
  <r>
    <x v="2"/>
    <s v="Wells Fargo"/>
    <s v="1Point Rate"/>
    <s v="MTG"/>
    <x v="93"/>
    <n v="4.3147493145490214"/>
  </r>
  <r>
    <x v="2"/>
    <s v="Wells Fargo"/>
    <s v="1Point Rate"/>
    <s v="MTG"/>
    <x v="94"/>
    <n v="4.2717089165741537"/>
  </r>
  <r>
    <x v="2"/>
    <s v="Wells Fargo"/>
    <s v="1Point Rate"/>
    <s v="MTG"/>
    <x v="95"/>
    <n v="4.3147493145490214"/>
  </r>
  <r>
    <x v="2"/>
    <s v="Wells Fargo"/>
    <s v="1Point Rate"/>
    <s v="MTG"/>
    <x v="96"/>
    <n v="4.2717089165741537"/>
  </r>
  <r>
    <x v="2"/>
    <s v="Wells Fargo"/>
    <s v="1Point Rate"/>
    <s v="MTG"/>
    <x v="97"/>
    <n v="4.2717089165741537"/>
  </r>
  <r>
    <x v="2"/>
    <s v="Wells Fargo"/>
    <s v="1Point Rate"/>
    <s v="MTG"/>
    <x v="98"/>
    <n v="4.2033105887459152"/>
  </r>
  <r>
    <x v="2"/>
    <s v="Wells Fargo"/>
    <s v="1Point Rate"/>
    <s v="MTG"/>
    <x v="99"/>
    <n v="4.2496377008409834"/>
  </r>
  <r>
    <x v="2"/>
    <s v="Wells Fargo"/>
    <s v="1Point Rate"/>
    <s v="MTG"/>
    <x v="100"/>
    <n v="4.2404589165741537"/>
  </r>
  <r>
    <x v="2"/>
    <s v="Wells Fargo"/>
    <s v="1Point Rate"/>
    <s v="MTG"/>
    <x v="101"/>
    <n v="4.1887316643249344"/>
  </r>
  <r>
    <x v="2"/>
    <s v="Wells Fargo"/>
    <s v="1Point Rate"/>
    <s v="MTG"/>
    <x v="102"/>
    <n v="4.145604497342033"/>
  </r>
  <r>
    <x v="2"/>
    <s v="Wells Fargo"/>
    <s v="1Point Rate"/>
    <s v="MTG"/>
    <x v="103"/>
    <n v="4.1887316643249344"/>
  </r>
  <r>
    <x v="2"/>
    <s v="Wells Fargo"/>
    <s v="1Point Rate"/>
    <s v="MTG"/>
    <x v="104"/>
    <n v="4.1887316643249344"/>
  </r>
  <r>
    <x v="2"/>
    <s v="Wells Fargo"/>
    <s v="1Point Rate"/>
    <s v="MTG"/>
    <x v="105"/>
    <n v="4.2496377008409834"/>
  </r>
  <r>
    <x v="2"/>
    <s v="Wells Fargo"/>
    <s v="1Point Rate"/>
    <s v="MTG"/>
    <x v="106"/>
    <n v="4.0771627490827687"/>
  </r>
  <r>
    <x v="2"/>
    <s v="Wells Fargo"/>
    <s v="1Point Rate"/>
    <s v="MTG"/>
    <x v="107"/>
    <n v="4.0771627490827687"/>
  </r>
  <r>
    <x v="2"/>
    <s v="Wells Fargo"/>
    <s v="1Point Rate"/>
    <s v="MTG"/>
    <x v="108"/>
    <n v="4.145604497342033"/>
  </r>
  <r>
    <x v="2"/>
    <s v="Wells Fargo"/>
    <s v="1Point Rate"/>
    <s v="MTG"/>
    <x v="109"/>
    <n v="4.1887316643249344"/>
  </r>
  <r>
    <x v="2"/>
    <s v="Wells Fargo"/>
    <s v="1Point Rate"/>
    <s v="MTG"/>
    <x v="110"/>
    <n v="4.1887316643249344"/>
  </r>
  <r>
    <x v="2"/>
    <s v="Wells Fargo"/>
    <s v="1Point Rate"/>
    <s v="MTG"/>
    <x v="111"/>
    <n v="4.114354497342033"/>
  </r>
  <r>
    <x v="2"/>
    <s v="Wells Fargo"/>
    <s v="1Point Rate"/>
    <s v="MTG"/>
    <x v="112"/>
    <n v="4.145604497342033"/>
  </r>
  <r>
    <x v="2"/>
    <s v="Wells Fargo"/>
    <s v="1Point Rate"/>
    <s v="MTG"/>
    <x v="113"/>
    <n v="4.0251000000000001"/>
  </r>
  <r>
    <x v="2"/>
    <s v="Wells Fargo"/>
    <s v="1Point Rate"/>
    <s v="MTG"/>
    <x v="114"/>
    <n v="4.0627653666023935"/>
  </r>
  <r>
    <x v="2"/>
    <s v="Wells Fargo"/>
    <s v="1Point Rate"/>
    <s v="MTG"/>
    <x v="115"/>
    <n v="4.0251000000000001"/>
  </r>
  <r>
    <x v="2"/>
    <s v="Wells Fargo"/>
    <s v="1Point Rate"/>
    <s v="MTG"/>
    <x v="116"/>
    <n v="4.114354497342033"/>
  </r>
  <r>
    <x v="2"/>
    <s v="Wells Fargo"/>
    <s v="1Point Rate"/>
    <s v="MTG"/>
    <x v="117"/>
    <n v="4.0771627490827687"/>
  </r>
  <r>
    <x v="2"/>
    <s v="Wells Fargo"/>
    <s v="1Point Rate"/>
    <s v="MTG"/>
    <x v="118"/>
    <n v="4.145604497342033"/>
  </r>
  <r>
    <x v="2"/>
    <s v="Wells Fargo"/>
    <s v="1Point Rate"/>
    <s v="MTG"/>
    <x v="119"/>
    <n v="4.0251000000000001"/>
  </r>
  <r>
    <x v="2"/>
    <s v="Wells Fargo"/>
    <s v="1Point Rate"/>
    <s v="MTG"/>
    <x v="120"/>
    <n v="4.123888942161555"/>
  </r>
  <r>
    <x v="2"/>
    <s v="Wells Fargo"/>
    <s v="1Point Rate"/>
    <s v="MTG"/>
    <x v="121"/>
    <n v="4.0627653666023935"/>
  </r>
  <r>
    <x v="2"/>
    <s v="Wells Fargo"/>
    <s v="1Point Rate"/>
    <s v="MTG"/>
    <x v="122"/>
    <n v="3.9480721497042097"/>
  </r>
  <r>
    <x v="2"/>
    <s v="Wells Fargo"/>
    <s v="1Point Rate"/>
    <s v="MTG"/>
    <x v="123"/>
    <n v="4.0251000000000001"/>
  </r>
  <r>
    <x v="2"/>
    <s v="Wells Fargo"/>
    <s v="1Point Rate"/>
    <s v="MTG"/>
    <x v="124"/>
    <n v="4.0251000000000001"/>
  </r>
  <r>
    <x v="2"/>
    <s v="Wells Fargo"/>
    <s v="1Point Rate"/>
    <s v="MTG"/>
    <x v="125"/>
    <n v="4.0771627490827687"/>
  </r>
  <r>
    <x v="2"/>
    <s v="Wells Fargo"/>
    <s v="1Point Rate"/>
    <s v="MTG"/>
    <x v="126"/>
    <n v="4.123888942161555"/>
  </r>
  <r>
    <x v="2"/>
    <s v="Wells Fargo"/>
    <s v="1Point Rate"/>
    <s v="MTG"/>
    <x v="127"/>
    <n v="4.123888942161555"/>
  </r>
  <r>
    <x v="2"/>
    <s v="Wells Fargo"/>
    <s v="1Point Rate"/>
    <s v="MTG"/>
    <x v="128"/>
    <n v="4.123888942161555"/>
  </r>
  <r>
    <x v="2"/>
    <s v="Wells Fargo"/>
    <s v="1Point Rate"/>
    <s v="MTG"/>
    <x v="129"/>
    <n v="4.0771627490827687"/>
  </r>
  <r>
    <x v="2"/>
    <s v="Wells Fargo"/>
    <s v="1Point Rate"/>
    <s v="MTG"/>
    <x v="130"/>
    <n v="4.123888942161555"/>
  </r>
  <r>
    <x v="2"/>
    <s v="Wells Fargo"/>
    <s v="1Point Rate"/>
    <s v="MTG"/>
    <x v="131"/>
    <n v="4.123888942161555"/>
  </r>
  <r>
    <x v="2"/>
    <s v="Wells Fargo"/>
    <s v="1Point Rate"/>
    <s v="MTG"/>
    <x v="132"/>
    <n v="4.0771627490827687"/>
  </r>
  <r>
    <x v="2"/>
    <s v="Wells Fargo"/>
    <s v="1Point Rate"/>
    <s v="MTG"/>
    <x v="133"/>
    <n v="4.123888942161555"/>
  </r>
  <r>
    <x v="2"/>
    <s v="Wells Fargo"/>
    <s v="1Point Rate"/>
    <s v="MTG"/>
    <x v="134"/>
    <n v="4.0627653666023935"/>
  </r>
  <r>
    <x v="2"/>
    <s v="Wells Fargo"/>
    <s v="1Point Rate"/>
    <s v="MTG"/>
    <x v="135"/>
    <n v="4.0195510152855149"/>
  </r>
  <r>
    <x v="2"/>
    <s v="Wells Fargo"/>
    <s v="1Point Rate"/>
    <s v="MTG"/>
    <x v="136"/>
    <n v="4.0627653666023935"/>
  </r>
  <r>
    <x v="2"/>
    <s v="Wells Fargo"/>
    <s v="1Point Rate"/>
    <s v="MTG"/>
    <x v="137"/>
    <n v="4.0771627490827687"/>
  </r>
  <r>
    <x v="2"/>
    <s v="Wells Fargo"/>
    <s v="1Point Rate"/>
    <s v="MTG"/>
    <x v="138"/>
    <n v="4.114354497342033"/>
  </r>
  <r>
    <x v="2"/>
    <s v="Wells Fargo"/>
    <s v="1Point Rate"/>
    <s v="MTG"/>
    <x v="139"/>
    <n v="4.0771627490827687"/>
  </r>
  <r>
    <x v="2"/>
    <s v="Wells Fargo"/>
    <s v="1Point Rate"/>
    <s v="MTG"/>
    <x v="140"/>
    <n v="3.9480721497042097"/>
  </r>
  <r>
    <x v="2"/>
    <s v="Wells Fargo"/>
    <s v="1Point Rate"/>
    <s v="MTG"/>
    <x v="141"/>
    <n v="3.9883010152855149"/>
  </r>
  <r>
    <x v="2"/>
    <s v="Wells Fargo"/>
    <s v="1Point Rate"/>
    <s v="MTG"/>
    <x v="142"/>
    <n v="3.9883010152855149"/>
  </r>
  <r>
    <x v="2"/>
    <s v="Wells Fargo"/>
    <s v="1Point Rate"/>
    <s v="MTG"/>
    <x v="143"/>
    <n v="3.9883010152855149"/>
  </r>
  <r>
    <x v="2"/>
    <s v="Wells Fargo"/>
    <s v="1Point Rate"/>
    <s v="MTG"/>
    <x v="144"/>
    <n v="3.9480721497042097"/>
  </r>
  <r>
    <x v="2"/>
    <s v="Wells Fargo"/>
    <s v="1Point Rate"/>
    <s v="MTG"/>
    <x v="145"/>
    <n v="4.0627653666023935"/>
  </r>
  <r>
    <x v="2"/>
    <s v="Wells Fargo"/>
    <s v="1Point Rate"/>
    <s v="MTG"/>
    <x v="146"/>
    <n v="4.1096088113743745"/>
  </r>
  <r>
    <x v="2"/>
    <s v="Wells Fargo"/>
    <s v="1Point Rate"/>
    <s v="MTG"/>
    <x v="147"/>
    <n v="4.0261842576350091"/>
  </r>
  <r>
    <x v="2"/>
    <s v="Wells Fargo"/>
    <s v="1Point Rate"/>
    <s v="MTG"/>
    <x v="148"/>
    <n v="3.9859585938118238"/>
  </r>
  <r>
    <x v="2"/>
    <s v="Wells Fargo"/>
    <s v="1Point Rate"/>
    <s v="MTG"/>
    <x v="149"/>
    <n v="4.0450184023842457"/>
  </r>
  <r>
    <x v="2"/>
    <s v="Wells Fargo"/>
    <s v="1Point Rate"/>
    <s v="MTG"/>
    <x v="150"/>
    <n v="3.8577993637589048"/>
  </r>
  <r>
    <x v="2"/>
    <s v="Wells Fargo"/>
    <s v="1Point Rate"/>
    <s v="MTG"/>
    <x v="151"/>
    <n v="4.0450184023842457"/>
  </r>
  <r>
    <x v="2"/>
    <s v="Wells Fargo"/>
    <s v="1Point Rate"/>
    <s v="MTG"/>
    <x v="152"/>
    <n v="3.8995000000000002"/>
  </r>
  <r>
    <x v="2"/>
    <s v="Wells Fargo"/>
    <s v="1Point Rate"/>
    <s v="MTG"/>
    <x v="153"/>
    <n v="3.8995000000000002"/>
  </r>
  <r>
    <x v="2"/>
    <s v="Wells Fargo"/>
    <s v="1Point Rate"/>
    <s v="MTG"/>
    <x v="154"/>
    <n v="4.0450184023842457"/>
  </r>
  <r>
    <x v="2"/>
    <s v="Wells Fargo"/>
    <s v="1Point Rate"/>
    <s v="MTG"/>
    <x v="155"/>
    <n v="3.9859585938118238"/>
  </r>
  <r>
    <x v="2"/>
    <s v="Wells Fargo"/>
    <s v="1Point Rate"/>
    <s v="MTG"/>
    <x v="156"/>
    <n v="3.9307500000000002"/>
  </r>
  <r>
    <x v="2"/>
    <s v="Wells Fargo"/>
    <s v="1Point Rate"/>
    <s v="MTG"/>
    <x v="157"/>
    <n v="4.0450184023842457"/>
  </r>
  <r>
    <x v="2"/>
    <s v="Wells Fargo"/>
    <s v="1Point Rate"/>
    <s v="MTG"/>
    <x v="158"/>
    <n v="3.9837031909148659"/>
  </r>
  <r>
    <x v="2"/>
    <s v="Wells Fargo"/>
    <s v="1Point Rate"/>
    <s v="MTG"/>
    <x v="159"/>
    <n v="4.0450184023842457"/>
  </r>
  <r>
    <x v="2"/>
    <s v="Wells Fargo"/>
    <s v="1Point Rate"/>
    <s v="MTG"/>
    <x v="160"/>
    <n v="4.0450184023842457"/>
  </r>
  <r>
    <x v="2"/>
    <s v="Wells Fargo"/>
    <s v="1Point Rate"/>
    <s v="MTG"/>
    <x v="161"/>
    <n v="3.8995000000000002"/>
  </r>
  <r>
    <x v="2"/>
    <s v="Wells Fargo"/>
    <s v="1Point Rate"/>
    <s v="MTG"/>
    <x v="162"/>
    <n v="4.0450184023842457"/>
  </r>
  <r>
    <x v="2"/>
    <s v="Wells Fargo"/>
    <s v="1Point Rate"/>
    <s v="MTG"/>
    <x v="163"/>
    <n v="4.0450184023842457"/>
  </r>
  <r>
    <x v="2"/>
    <s v="Wells Fargo"/>
    <s v="1Point Rate"/>
    <s v="MTG"/>
    <x v="164"/>
    <n v="4.0450184023842457"/>
  </r>
  <r>
    <x v="2"/>
    <s v="Wells Fargo"/>
    <s v="1Point Rate"/>
    <s v="MTG"/>
    <x v="165"/>
    <n v="3.8995000000000002"/>
  </r>
  <r>
    <x v="2"/>
    <s v="Wells Fargo"/>
    <s v="1Point Rate"/>
    <s v="MTG"/>
    <x v="166"/>
    <n v="4.0450184023842457"/>
  </r>
  <r>
    <x v="2"/>
    <s v="Wells Fargo"/>
    <s v="1Point Rate"/>
    <s v="MTG"/>
    <x v="167"/>
    <n v="4.0450184023842457"/>
  </r>
  <r>
    <x v="2"/>
    <s v="Wells Fargo"/>
    <s v="1Point Rate"/>
    <s v="MTG"/>
    <x v="168"/>
    <n v="4.0574342576350091"/>
  </r>
  <r>
    <x v="2"/>
    <s v="Wells Fargo"/>
    <s v="1Point Rate"/>
    <s v="MTG"/>
    <x v="169"/>
    <n v="4.1096088113743745"/>
  </r>
  <r>
    <x v="2"/>
    <s v="Wells Fargo"/>
    <s v="1Point Rate"/>
    <s v="MTG"/>
    <x v="170"/>
    <n v="4.0574342576350091"/>
  </r>
  <r>
    <x v="2"/>
    <s v="Wells Fargo"/>
    <s v="1Point Rate"/>
    <s v="MTG"/>
    <x v="171"/>
    <n v="4.1096088113743745"/>
  </r>
  <r>
    <x v="2"/>
    <s v="Wells Fargo"/>
    <s v="1Point Rate"/>
    <s v="MTG"/>
    <x v="172"/>
    <n v="4.1736875443783283"/>
  </r>
  <r>
    <x v="2"/>
    <s v="Wells Fargo"/>
    <s v="1Point Rate"/>
    <s v="MTG"/>
    <x v="173"/>
    <n v="4.1150044973420323"/>
  </r>
  <r>
    <x v="2"/>
    <s v="Wells Fargo"/>
    <s v="1Point Rate"/>
    <s v="MTG"/>
    <x v="174"/>
    <n v="4.2993060683645599"/>
  </r>
  <r>
    <x v="2"/>
    <s v="Wells Fargo"/>
    <s v="1Point Rate"/>
    <s v="MTG"/>
    <x v="175"/>
    <n v="4.2993060683645599"/>
  </r>
  <r>
    <x v="2"/>
    <s v="Wells Fargo"/>
    <s v="1Point Rate"/>
    <s v="MTG"/>
    <x v="176"/>
    <n v="4.2782551582169841"/>
  </r>
  <r>
    <x v="2"/>
    <s v="Wells Fargo"/>
    <s v="1Point Rate"/>
    <s v="MTG"/>
    <x v="177"/>
    <n v="4.2993060683645599"/>
  </r>
  <r>
    <x v="2"/>
    <s v="Wells Fargo"/>
    <s v="1Point Rate"/>
    <s v="MTG"/>
    <x v="178"/>
    <n v="4.235466264314165"/>
  </r>
  <r>
    <x v="2"/>
    <s v="Wells Fargo"/>
    <s v="1Point Rate"/>
    <s v="MTG"/>
    <x v="179"/>
    <n v="4.1834441354607952"/>
  </r>
  <r>
    <x v="2"/>
    <s v="Wells Fargo"/>
    <s v="1Point Rate"/>
    <s v="MTG"/>
    <x v="180"/>
    <n v="4.235466264314165"/>
  </r>
  <r>
    <x v="2"/>
    <s v="Wells Fargo"/>
    <s v="1Point Rate"/>
    <s v="MTG"/>
    <x v="181"/>
    <n v="4.1834441354607952"/>
  </r>
  <r>
    <x v="2"/>
    <s v="Wells Fargo"/>
    <s v="1Point Rate"/>
    <s v="MTG"/>
    <x v="182"/>
    <n v="4.1521941354607952"/>
  </r>
  <r>
    <x v="2"/>
    <s v="Wells Fargo"/>
    <s v="1Point Rate"/>
    <s v="MTG"/>
    <x v="183"/>
    <n v="4.1521941354607952"/>
  </r>
  <r>
    <x v="2"/>
    <s v="Wells Fargo"/>
    <s v="1Point Rate"/>
    <s v="MTG"/>
    <x v="184"/>
    <n v="4.1946941354607956"/>
  </r>
  <r>
    <x v="2"/>
    <s v="Wells Fargo"/>
    <s v="1Point Rate"/>
    <s v="MTG"/>
    <x v="185"/>
    <n v="4.1634441354607956"/>
  </r>
  <r>
    <x v="2"/>
    <s v="Wells Fargo"/>
    <s v="1Point Rate"/>
    <s v="MTG"/>
    <x v="186"/>
    <n v="4.1634441354607956"/>
  </r>
  <r>
    <x v="2"/>
    <s v="Wells Fargo"/>
    <s v="1Point Rate"/>
    <s v="MTG"/>
    <x v="187"/>
    <n v="4.1634441354607956"/>
  </r>
  <r>
    <x v="2"/>
    <s v="Wells Fargo"/>
    <s v="1Point Rate"/>
    <s v="MTG"/>
    <x v="188"/>
    <n v="4.1634441354607956"/>
  </r>
  <r>
    <x v="2"/>
    <s v="Wells Fargo"/>
    <s v="1Point Rate"/>
    <s v="MTG"/>
    <x v="189"/>
    <n v="4.1208588113743749"/>
  </r>
  <r>
    <x v="2"/>
    <s v="Wells Fargo"/>
    <s v="1Point Rate"/>
    <s v="MTG"/>
    <x v="190"/>
    <n v="4.1849375443783279"/>
  </r>
  <r>
    <x v="2"/>
    <s v="Wells Fargo"/>
    <s v="1Point Rate"/>
    <s v="MTG"/>
    <x v="191"/>
    <n v="4.3105560683645603"/>
  </r>
  <r>
    <x v="2"/>
    <s v="Wells Fargo"/>
    <s v="1Point Rate"/>
    <s v="MTG"/>
    <x v="192"/>
    <n v="4.2467162643141645"/>
  </r>
  <r>
    <x v="2"/>
    <s v="Wells Fargo"/>
    <s v="1Point Rate"/>
    <s v="MTG"/>
    <x v="193"/>
    <n v="4.1321941354607956"/>
  </r>
  <r>
    <x v="2"/>
    <s v="Wells Fargo"/>
    <s v="1Point Rate"/>
    <s v="MTG"/>
    <x v="194"/>
    <n v="4.1321941354607956"/>
  </r>
  <r>
    <x v="2"/>
    <s v="Wells Fargo"/>
    <s v="1Point Rate"/>
    <s v="MTG"/>
    <x v="195"/>
    <n v="4.1321941354607956"/>
  </r>
  <r>
    <x v="2"/>
    <s v="Wells Fargo"/>
    <s v="1Point Rate"/>
    <s v="MTG"/>
    <x v="196"/>
    <n v="4.1634441354607956"/>
  </r>
  <r>
    <x v="2"/>
    <s v="Wells Fargo"/>
    <s v="1Point Rate"/>
    <s v="MTG"/>
    <x v="197"/>
    <n v="4.1634441354607956"/>
  </r>
  <r>
    <x v="2"/>
    <s v="Wells Fargo"/>
    <s v="1Point Rate"/>
    <s v="MTG"/>
    <x v="198"/>
    <n v="4.1321941354607956"/>
  </r>
  <r>
    <x v="2"/>
    <s v="Wells Fargo"/>
    <s v="1Point Rate"/>
    <s v="MTG"/>
    <x v="199"/>
    <n v="4.3105560683645603"/>
  </r>
  <r>
    <x v="2"/>
    <s v="Wells Fargo"/>
    <s v="1Point Rate"/>
    <s v="MTG"/>
    <x v="200"/>
    <n v="4.3105560683645603"/>
  </r>
  <r>
    <x v="2"/>
    <s v="Wells Fargo"/>
    <s v="1Point Rate"/>
    <s v="MTG"/>
    <x v="201"/>
    <n v="4.2467162643141645"/>
  </r>
  <r>
    <x v="2"/>
    <s v="Wells Fargo"/>
    <s v="1Point Rate"/>
    <s v="MTG"/>
    <x v="202"/>
    <n v="4.1634441354607956"/>
  </r>
  <r>
    <x v="2"/>
    <s v="Wells Fargo"/>
    <s v="1Point Rate"/>
    <s v="MTG"/>
    <x v="203"/>
    <n v="4.1634441354607956"/>
  </r>
  <r>
    <x v="2"/>
    <s v="Wells Fargo"/>
    <s v="1Point Rate"/>
    <s v="MTG"/>
    <x v="204"/>
    <n v="4.1946941354607956"/>
  </r>
  <r>
    <x v="2"/>
    <s v="Wells Fargo"/>
    <s v="1Point Rate"/>
    <s v="MTG"/>
    <x v="205"/>
    <n v="4.2582551582169845"/>
  </r>
  <r>
    <x v="2"/>
    <s v="Wells Fargo"/>
    <s v="1Point Rate"/>
    <s v="MTG"/>
    <x v="206"/>
    <n v="4.3105560683645603"/>
  </r>
  <r>
    <x v="2"/>
    <s v="Wells Fargo"/>
    <s v="1Point Rate"/>
    <s v="MTG"/>
    <x v="207"/>
    <n v="4.3105560683645603"/>
  </r>
  <r>
    <x v="2"/>
    <s v="Wells Fargo"/>
    <s v="1Point Rate"/>
    <s v="MTG"/>
    <x v="208"/>
    <n v="4.3105560683645603"/>
  </r>
  <r>
    <x v="2"/>
    <s v="Wells Fargo"/>
    <s v="1Point Rate"/>
    <s v="MTG"/>
    <x v="209"/>
    <n v="4.2467162643141645"/>
  </r>
  <r>
    <x v="2"/>
    <s v="Wells Fargo"/>
    <s v="1Point Rate"/>
    <s v="MTG"/>
    <x v="210"/>
    <n v="4.1634441354607956"/>
  </r>
  <r>
    <x v="2"/>
    <s v="Wells Fargo"/>
    <s v="1Point Rate"/>
    <s v="MTG"/>
    <x v="211"/>
    <n v="4.1946941354607956"/>
  </r>
  <r>
    <x v="2"/>
    <s v="Wells Fargo"/>
    <s v="1Point Rate"/>
    <s v="MTG"/>
    <x v="212"/>
    <n v="4.1634441354607956"/>
  </r>
  <r>
    <x v="2"/>
    <s v="Wells Fargo"/>
    <s v="1Point Rate"/>
    <s v="MTG"/>
    <x v="213"/>
    <n v="4.0741991407434552"/>
  </r>
  <r>
    <x v="2"/>
    <s v="Wells Fargo"/>
    <s v="1Point Rate"/>
    <s v="MTG"/>
    <x v="214"/>
    <n v="4.0741991407434552"/>
  </r>
  <r>
    <x v="2"/>
    <s v="Wells Fargo"/>
    <s v="1Point Rate"/>
    <s v="MTG"/>
    <x v="215"/>
    <n v="4.0741991407434552"/>
  </r>
  <r>
    <x v="2"/>
    <s v="Wells Fargo"/>
    <s v="1Point Rate"/>
    <s v="MTG"/>
    <x v="216"/>
    <n v="4.1208588113743749"/>
  </r>
  <r>
    <x v="2"/>
    <s v="Wells Fargo"/>
    <s v="1Point Rate"/>
    <s v="MTG"/>
    <x v="217"/>
    <n v="4.1849375443783279"/>
  </r>
  <r>
    <x v="2"/>
    <s v="Wells Fargo"/>
    <s v="1Point Rate"/>
    <s v="MTG"/>
    <x v="218"/>
    <n v="4.1208588113743749"/>
  </r>
  <r>
    <x v="2"/>
    <s v="Wells Fargo"/>
    <s v="1Point Rate"/>
    <s v="MTG"/>
    <x v="219"/>
    <n v="4.0061842576350095"/>
  </r>
  <r>
    <x v="2"/>
    <s v="Wells Fargo"/>
    <s v="1Point Rate"/>
    <s v="MTG"/>
    <x v="220"/>
    <n v="4.0686842576350095"/>
  </r>
  <r>
    <x v="2"/>
    <s v="Wells Fargo"/>
    <s v="1Point Rate"/>
    <s v="MTG"/>
    <x v="221"/>
    <n v="4.0061842576350095"/>
  </r>
  <r>
    <x v="2"/>
    <s v="Wells Fargo"/>
    <s v="1Point Rate"/>
    <s v="MTG"/>
    <x v="222"/>
    <n v="4.0061842576350095"/>
  </r>
  <r>
    <x v="2"/>
    <s v="Wells Fargo"/>
    <s v="1Point Rate"/>
    <s v="MTG"/>
    <x v="223"/>
    <n v="4.0374342576350095"/>
  </r>
  <r>
    <x v="2"/>
    <s v="Wells Fargo"/>
    <s v="1Point Rate"/>
    <s v="MTG"/>
    <x v="224"/>
    <n v="4.0061842576350095"/>
  </r>
  <r>
    <x v="2"/>
    <s v="Wells Fargo"/>
    <s v="1Point Rate"/>
    <s v="MTG"/>
    <x v="225"/>
    <n v="4.0061842576350095"/>
  </r>
  <r>
    <x v="2"/>
    <s v="Wells Fargo"/>
    <s v="1Point Rate"/>
    <s v="MTG"/>
    <x v="226"/>
    <n v="4.0061842576350095"/>
  </r>
  <r>
    <x v="2"/>
    <s v="Wells Fargo"/>
    <s v="1Point Rate"/>
    <s v="MTG"/>
    <x v="227"/>
    <n v="4.0562684023842452"/>
  </r>
  <r>
    <x v="2"/>
    <s v="Wells Fargo"/>
    <s v="1Point Rate"/>
    <s v="MTG"/>
    <x v="228"/>
    <n v="3.942625501411162"/>
  </r>
  <r>
    <x v="2"/>
    <s v="Wells Fargo"/>
    <s v="1Point Rate"/>
    <s v="MTG"/>
    <x v="229"/>
    <n v="3.9949531909148654"/>
  </r>
  <r>
    <x v="2"/>
    <s v="Wells Fargo"/>
    <s v="1Point Rate"/>
    <s v="MTG"/>
    <x v="230"/>
    <n v="3.9949531909148654"/>
  </r>
  <r>
    <x v="2"/>
    <s v="Wells Fargo"/>
    <s v="1Point Rate"/>
    <s v="MTG"/>
    <x v="231"/>
    <n v="3.9305838150704977"/>
  </r>
  <r>
    <x v="2"/>
    <s v="Wells Fargo"/>
    <s v="1Point Rate"/>
    <s v="MTG"/>
    <x v="232"/>
    <n v="3.8690493637589043"/>
  </r>
  <r>
    <x v="2"/>
    <s v="Wells Fargo"/>
    <s v="1Point Rate"/>
    <s v="MTG"/>
    <x v="233"/>
    <n v="3.9305838150704977"/>
  </r>
  <r>
    <x v="2"/>
    <s v="Wells Fargo"/>
    <s v="1Point Rate"/>
    <s v="MTG"/>
    <x v="234"/>
    <n v="3.8690493637589043"/>
  </r>
  <r>
    <x v="2"/>
    <s v="Wells Fargo"/>
    <s v="1Point Rate"/>
    <s v="MTG"/>
    <x v="235"/>
    <n v="3.8049519486014862"/>
  </r>
  <r>
    <x v="2"/>
    <s v="Wells Fargo"/>
    <s v="1Point Rate"/>
    <s v="MTG"/>
    <x v="236"/>
    <n v="3.7853178428336713"/>
  </r>
  <r>
    <x v="2"/>
    <s v="Wells Fargo"/>
    <s v="1Point Rate"/>
    <s v="MTG"/>
    <x v="237"/>
    <n v="3.6593112573295756"/>
  </r>
  <r>
    <x v="2"/>
    <s v="Wells Fargo"/>
    <s v="1Point Rate"/>
    <s v="MTG"/>
    <x v="238"/>
    <n v="3.9305838150704977"/>
  </r>
  <r>
    <x v="2"/>
    <s v="Wells Fargo"/>
    <s v="1Point Rate"/>
    <s v="MTG"/>
    <x v="239"/>
    <n v="3.9305838150704977"/>
  </r>
  <r>
    <x v="2"/>
    <s v="Wells Fargo"/>
    <s v="1Point Rate"/>
    <s v="MTG"/>
    <x v="240"/>
    <n v="3.9305838150704977"/>
  </r>
  <r>
    <x v="2"/>
    <s v="Wells Fargo"/>
    <s v="1Point Rate"/>
    <s v="MTG"/>
    <x v="241"/>
    <n v="3.9949531909148654"/>
  </r>
  <r>
    <x v="2"/>
    <s v="Wells Fargo"/>
    <s v="1Point Rate"/>
    <s v="MTG"/>
    <x v="242"/>
    <n v="3.8690493637589043"/>
  </r>
  <r>
    <x v="2"/>
    <s v="Wells Fargo"/>
    <s v="1Point Rate"/>
    <s v="MTG"/>
    <x v="243"/>
    <n v="3.8690493637589043"/>
  </r>
  <r>
    <x v="2"/>
    <s v="Wells Fargo"/>
    <s v="1Point Rate"/>
    <s v="MTG"/>
    <x v="244"/>
    <n v="3.9305838150704977"/>
  </r>
  <r>
    <x v="2"/>
    <s v="Wells Fargo"/>
    <s v="1Point Rate"/>
    <s v="MTG"/>
    <x v="245"/>
    <n v="3.8165678428336713"/>
  </r>
  <r>
    <x v="2"/>
    <s v="Wells Fargo"/>
    <s v="1Point Rate"/>
    <s v="MTG"/>
    <x v="246"/>
    <n v="3.9425781268462465"/>
  </r>
  <r>
    <x v="2"/>
    <s v="Wells Fargo"/>
    <s v="1Point Rate"/>
    <s v="MTG"/>
    <x v="247"/>
    <n v="3.8963500000000004"/>
  </r>
  <r>
    <x v="2"/>
    <s v="Wells Fargo"/>
    <s v="1Point Rate"/>
    <s v="MTG"/>
    <x v="248"/>
    <n v="4.123455121348818"/>
  </r>
  <r>
    <x v="2"/>
    <s v="Wells Fargo"/>
    <s v="1Point Rate"/>
    <s v="MTG"/>
    <x v="249"/>
    <n v="3.9425781268462465"/>
  </r>
  <r>
    <x v="2"/>
    <s v="Wells Fargo"/>
    <s v="1Point Rate"/>
    <s v="MTG"/>
    <x v="250"/>
    <n v="3.9858010152855146"/>
  </r>
  <r>
    <x v="2"/>
    <s v="Wells Fargo"/>
    <s v="1Point Rate"/>
    <s v="MTG"/>
    <x v="251"/>
    <n v="3.9425781268462465"/>
  </r>
  <r>
    <x v="2"/>
    <s v="Wells Fargo"/>
    <s v="1Point Rate"/>
    <s v="MTG"/>
    <x v="252"/>
    <n v="3.9858010152855146"/>
  </r>
  <r>
    <x v="2"/>
    <s v="Wells Fargo"/>
    <s v="1Point Rate"/>
    <s v="MTG"/>
    <x v="253"/>
    <n v="3.9858010152855146"/>
  </r>
  <r>
    <x v="2"/>
    <s v="Wells Fargo"/>
    <s v="1Point Rate"/>
    <s v="MTG"/>
    <x v="254"/>
    <n v="4.0170510152855146"/>
  </r>
  <r>
    <x v="2"/>
    <s v="Wells Fargo"/>
    <s v="1Point Rate"/>
    <s v="MTG"/>
    <x v="255"/>
    <n v="4.0170510152855146"/>
  </r>
  <r>
    <x v="2"/>
    <s v="Wells Fargo"/>
    <s v="1Point Rate"/>
    <s v="MTG"/>
    <x v="256"/>
    <n v="4.0602653666023931"/>
  </r>
  <r>
    <x v="2"/>
    <s v="Wells Fargo"/>
    <s v="1Point Rate"/>
    <s v="MTG"/>
    <x v="257"/>
    <n v="4.0602653666023931"/>
  </r>
  <r>
    <x v="2"/>
    <s v="Wells Fargo"/>
    <s v="1Point Rate"/>
    <s v="MTG"/>
    <x v="258"/>
    <n v="4.0170510152855146"/>
  </r>
  <r>
    <x v="2"/>
    <s v="Wells Fargo"/>
    <s v="1Point Rate"/>
    <s v="MTG"/>
    <x v="259"/>
    <n v="4.1118544973420335"/>
  </r>
  <r>
    <x v="2"/>
    <s v="Wells Fargo"/>
    <s v="1Point Rate"/>
    <s v="MTG"/>
    <x v="260"/>
    <n v="3.9858010152855146"/>
  </r>
  <r>
    <x v="2"/>
    <s v="Wells Fargo"/>
    <s v="1Point Rate"/>
    <s v="MTG"/>
    <x v="261"/>
    <n v="3.9425781268462465"/>
  </r>
  <r>
    <x v="2"/>
    <s v="Wells Fargo"/>
    <s v="1Point Rate"/>
    <s v="MTG"/>
    <x v="262"/>
    <n v="3.9858010152855146"/>
  </r>
  <r>
    <x v="2"/>
    <s v="Wells Fargo"/>
    <s v="1Point Rate"/>
    <s v="MTG"/>
    <x v="263"/>
    <n v="3.9858010152855146"/>
  </r>
  <r>
    <x v="2"/>
    <s v="Wells Fargo"/>
    <s v="1Point Rate"/>
    <s v="MTG"/>
    <x v="264"/>
    <n v="4.0602653666023931"/>
  </r>
  <r>
    <x v="2"/>
    <s v="Wells Fargo"/>
    <s v="1Point Rate"/>
    <s v="MTG"/>
    <x v="265"/>
    <n v="4.0602653666023931"/>
  </r>
  <r>
    <x v="2"/>
    <s v="Wells Fargo"/>
    <s v="1Point Rate"/>
    <s v="MTG"/>
    <x v="266"/>
    <n v="3.9425781268462465"/>
  </r>
  <r>
    <x v="2"/>
    <s v="Wells Fargo"/>
    <s v="1Point Rate"/>
    <s v="MTG"/>
    <x v="267"/>
    <n v="3.9425781268462465"/>
  </r>
  <r>
    <x v="2"/>
    <s v="Wells Fargo"/>
    <s v="1Point Rate"/>
    <s v="MTG"/>
    <x v="268"/>
    <n v="3.9425781268462465"/>
  </r>
  <r>
    <x v="2"/>
    <s v="Wells Fargo"/>
    <s v="1Point Rate"/>
    <s v="MTG"/>
    <x v="269"/>
    <n v="3.8082367176633478"/>
  </r>
  <r>
    <x v="2"/>
    <s v="Wells Fargo"/>
    <s v="1Point Rate"/>
    <s v="MTG"/>
    <x v="270"/>
    <n v="3.8082367176633478"/>
  </r>
  <r>
    <x v="2"/>
    <s v="Wells Fargo"/>
    <s v="1Point Rate"/>
    <s v="MTG"/>
    <x v="271"/>
    <n v="3.7648467858228432"/>
  </r>
  <r>
    <x v="2"/>
    <s v="Wells Fargo"/>
    <s v="1Point Rate"/>
    <s v="MTG"/>
    <x v="272"/>
    <n v="3.8082367176633478"/>
  </r>
  <r>
    <x v="2"/>
    <s v="Wells Fargo"/>
    <s v="1Point Rate"/>
    <s v="MTG"/>
    <x v="273"/>
    <n v="3.8082367176633478"/>
  </r>
  <r>
    <x v="2"/>
    <s v="Wells Fargo"/>
    <s v="1Point Rate"/>
    <s v="MTG"/>
    <x v="274"/>
    <n v="3.8082367176633478"/>
  </r>
  <r>
    <x v="2"/>
    <s v="Wells Fargo"/>
    <s v="1Point Rate"/>
    <s v="MTG"/>
    <x v="275"/>
    <n v="3.4754249293697019"/>
  </r>
  <r>
    <x v="2"/>
    <s v="Wells Fargo"/>
    <s v="1Point Rate"/>
    <s v="MTG"/>
    <x v="276"/>
    <n v="3.3877807246785614"/>
  </r>
  <r>
    <x v="2"/>
    <s v="Wells Fargo"/>
    <s v="1Point Rate"/>
    <s v="MTG"/>
    <x v="277"/>
    <n v="3.3877807246785614"/>
  </r>
  <r>
    <x v="2"/>
    <s v="Wells Fargo"/>
    <s v="1Point Rate"/>
    <s v="MTG"/>
    <x v="278"/>
    <n v="3.5628830358561152"/>
  </r>
  <r>
    <x v="2"/>
    <s v="Wells Fargo"/>
    <s v="1Point Rate"/>
    <s v="MTG"/>
    <x v="279"/>
    <n v="3.4754249293697019"/>
  </r>
  <r>
    <x v="2"/>
    <s v="Wells Fargo"/>
    <s v="1Point Rate"/>
    <s v="MTG"/>
    <x v="280"/>
    <n v="3.4754249293697019"/>
  </r>
  <r>
    <x v="2"/>
    <s v="Wells Fargo"/>
    <s v="1Point Rate"/>
    <s v="MTG"/>
    <x v="281"/>
    <n v="3.3877807246785614"/>
  </r>
  <r>
    <x v="2"/>
    <s v="Wells Fargo"/>
    <s v="1Point Rate"/>
    <s v="MTG"/>
    <x v="282"/>
    <n v="3.4754249293697019"/>
  </r>
  <r>
    <x v="2"/>
    <s v="Wells Fargo"/>
    <s v="1Point Rate"/>
    <s v="MTG"/>
    <x v="283"/>
    <n v="3.5628830358561152"/>
  </r>
  <r>
    <x v="2"/>
    <s v="Wells Fargo"/>
    <s v="1Point Rate"/>
    <s v="MTG"/>
    <x v="284"/>
    <n v="3.5125963302820438"/>
  </r>
  <r>
    <x v="2"/>
    <s v="Wells Fargo"/>
    <s v="1Point Rate"/>
    <s v="MTG"/>
    <x v="285"/>
    <n v="3.6434516592792754"/>
  </r>
  <r>
    <x v="2"/>
    <s v="Wells Fargo"/>
    <s v="1Point Rate"/>
    <s v="MTG"/>
    <x v="286"/>
    <n v="3.6434516592792754"/>
  </r>
  <r>
    <x v="2"/>
    <s v="Wells Fargo"/>
    <s v="1Point Rate"/>
    <s v="MTG"/>
    <x v="287"/>
    <n v="3.6434516592792754"/>
  </r>
  <r>
    <x v="2"/>
    <s v="Wells Fargo"/>
    <s v="1Point Rate"/>
    <s v="MTG"/>
    <x v="288"/>
    <n v="3.6434516592792754"/>
  </r>
  <r>
    <x v="2"/>
    <s v="Wells Fargo"/>
    <s v="1Point Rate"/>
    <s v="MTG"/>
    <x v="289"/>
    <n v="3.6130728647056762"/>
  </r>
  <r>
    <x v="2"/>
    <s v="Wells Fargo"/>
    <s v="1Point Rate"/>
    <s v="MTG"/>
    <x v="290"/>
    <n v="3.7988552900588051"/>
  </r>
  <r>
    <x v="2"/>
    <s v="Wells Fargo"/>
    <s v="1Point Rate"/>
    <s v="MTG"/>
    <x v="291"/>
    <n v="3.7687673669142931"/>
  </r>
  <r>
    <x v="2"/>
    <s v="Wells Fargo"/>
    <s v="1Point Rate"/>
    <s v="MTG"/>
    <x v="292"/>
    <n v="2.2016968532609473"/>
  </r>
  <r>
    <x v="2"/>
    <s v="Wells Fargo"/>
    <s v="1Point Rate"/>
    <s v="MTG"/>
    <x v="293"/>
    <n v="3.7687673669142931"/>
  </r>
  <r>
    <x v="2"/>
    <s v="Wells Fargo"/>
    <s v="1Point Rate"/>
    <s v="MTG"/>
    <x v="294"/>
    <n v="3.7687673669142931"/>
  </r>
  <r>
    <x v="2"/>
    <s v="Wells Fargo"/>
    <s v="1Point Rate"/>
    <s v="MTG"/>
    <x v="295"/>
    <n v="3.7687673669142931"/>
  </r>
  <r>
    <x v="2"/>
    <s v="Wells Fargo"/>
    <s v="1Point Rate"/>
    <s v="MTG"/>
    <x v="296"/>
    <n v="3.7687673669142931"/>
  </r>
  <r>
    <x v="2"/>
    <s v="Wells Fargo"/>
    <s v="1Point Rate"/>
    <s v="MTG"/>
    <x v="297"/>
    <n v="3.7687673669142931"/>
  </r>
  <r>
    <x v="2"/>
    <s v="Wells Fargo"/>
    <s v="1Point Rate"/>
    <s v="MTG"/>
    <x v="298"/>
    <n v="3.7988552900588051"/>
  </r>
  <r>
    <x v="2"/>
    <s v="Wells Fargo"/>
    <s v="1Point Rate"/>
    <s v="MTG"/>
    <x v="299"/>
    <n v="3.7988552900588051"/>
  </r>
  <r>
    <x v="2"/>
    <s v="Wells Fargo"/>
    <s v="1Point Rate"/>
    <s v="MTG"/>
    <x v="300"/>
    <n v="3.7988552900588051"/>
  </r>
  <r>
    <x v="2"/>
    <s v="Wells Fargo"/>
    <s v="1Point Rate"/>
    <s v="MTG"/>
    <x v="301"/>
    <n v="3.6130728647056762"/>
  </r>
  <r>
    <x v="2"/>
    <s v="Wells Fargo"/>
    <s v="1Point Rate"/>
    <s v="MTG"/>
    <x v="302"/>
    <n v="3.6737751526478477"/>
  </r>
  <r>
    <x v="2"/>
    <s v="Wells Fargo"/>
    <s v="1Point Rate"/>
    <s v="MTG"/>
    <x v="303"/>
    <n v="3.6737751526478477"/>
  </r>
  <r>
    <x v="2"/>
    <s v="Wells Fargo"/>
    <s v="1Point Rate"/>
    <s v="MTG"/>
    <x v="304"/>
    <n v="3.6737751526478477"/>
  </r>
  <r>
    <x v="2"/>
    <s v="Wells Fargo"/>
    <s v="1Point Rate"/>
    <s v="MTG"/>
    <x v="305"/>
    <n v="3.4873588109718239"/>
  </r>
  <r>
    <x v="2"/>
    <s v="Wells Fargo"/>
    <s v="1Point Rate"/>
    <s v="MTG"/>
    <x v="306"/>
    <n v="1.8395618066240147"/>
  </r>
  <r>
    <x v="2"/>
    <s v="Wells Fargo"/>
    <s v="1Point Rate"/>
    <s v="MTG"/>
    <x v="307"/>
    <n v="1.8328281869824845"/>
  </r>
  <r>
    <x v="2"/>
    <s v="Wells Fargo"/>
    <s v="1Point Rate"/>
    <s v="MTG"/>
    <x v="308"/>
    <n v="3.9173718975168601"/>
  </r>
  <r>
    <x v="2"/>
    <s v="Wells Fargo"/>
    <s v="1Point Rate"/>
    <s v="MTG"/>
    <x v="309"/>
    <n v="3.7639004570446133"/>
  </r>
  <r>
    <x v="2"/>
    <s v="Wells Fargo"/>
    <s v="1Point Rate"/>
    <s v="MTG"/>
    <x v="310"/>
    <n v="3.9173718975168601"/>
  </r>
  <r>
    <x v="2"/>
    <s v="Wells Fargo"/>
    <s v="1Point Rate"/>
    <s v="MTG"/>
    <x v="311"/>
    <n v="3.7307147733657362"/>
  </r>
  <r>
    <x v="2"/>
    <s v="Wells Fargo"/>
    <s v="1Point Rate"/>
    <s v="MTG"/>
    <x v="312"/>
    <n v="4.0109097302933545"/>
  </r>
  <r>
    <x v="2"/>
    <s v="Wells Fargo"/>
    <s v="1Point Rate"/>
    <s v="MTG"/>
    <x v="313"/>
    <n v="3.7988552900588051"/>
  </r>
  <r>
    <x v="2"/>
    <s v="Wells Fargo"/>
    <s v="1Point Rate"/>
    <s v="MTG"/>
    <x v="314"/>
    <n v="3.7687673669142931"/>
  </r>
  <r>
    <x v="2"/>
    <s v="Wells Fargo"/>
    <s v="1Point Rate"/>
    <s v="MTG"/>
    <x v="315"/>
    <n v="3.7687673669142931"/>
  </r>
  <r>
    <x v="2"/>
    <s v="Wells Fargo"/>
    <s v="1Point Rate"/>
    <s v="MTG"/>
    <x v="316"/>
    <n v="3.7687673669142931"/>
  </r>
  <r>
    <x v="2"/>
    <s v="Wells Fargo"/>
    <s v="1Point Rate"/>
    <s v="MTG"/>
    <x v="317"/>
    <n v="2.2016968532609473"/>
  </r>
  <r>
    <x v="2"/>
    <s v="Wells Fargo"/>
    <s v="1Point Rate"/>
    <s v="MTG"/>
    <x v="318"/>
    <n v="2.1917949840193898"/>
  </r>
  <r>
    <x v="2"/>
    <s v="Wells Fargo"/>
    <s v="1Point Rate"/>
    <s v="MTG"/>
    <x v="319"/>
    <n v="3.9237325198330946"/>
  </r>
  <r>
    <x v="2"/>
    <s v="Wells Fargo"/>
    <s v="1Point Rate"/>
    <s v="MTG"/>
    <x v="320"/>
    <n v="3.7386244965083546"/>
  </r>
  <r>
    <x v="2"/>
    <s v="Wells Fargo"/>
    <s v="1Point Rate"/>
    <s v="MTG"/>
    <x v="321"/>
    <n v="3.893881389244005"/>
  </r>
  <r>
    <x v="2"/>
    <s v="Wells Fargo"/>
    <s v="1Point Rate"/>
    <s v="MTG"/>
    <x v="322"/>
    <n v="3.9237325198330946"/>
  </r>
  <r>
    <x v="2"/>
    <s v="Wells Fargo"/>
    <s v="1Point Rate"/>
    <s v="MTG"/>
    <x v="323"/>
    <n v="3.7386244965083546"/>
  </r>
  <r>
    <x v="2"/>
    <s v="Wells Fargo"/>
    <s v="1Point Rate"/>
    <s v="MTG"/>
    <x v="324"/>
    <n v="3.7687673669142931"/>
  </r>
  <r>
    <x v="2"/>
    <s v="Wells Fargo"/>
    <s v="1Point Rate"/>
    <s v="MTG"/>
    <x v="325"/>
    <n v="3.7687673669142931"/>
  </r>
  <r>
    <x v="2"/>
    <s v="Wells Fargo"/>
    <s v="1Point Rate"/>
    <s v="MTG"/>
    <x v="326"/>
    <n v="3.7687673669142931"/>
  </r>
  <r>
    <x v="2"/>
    <s v="Wells Fargo"/>
    <s v="1Point Rate"/>
    <s v="MTG"/>
    <x v="327"/>
    <n v="3.9237325198330946"/>
  </r>
  <r>
    <x v="2"/>
    <s v="Wells Fargo"/>
    <s v="1Point Rate"/>
    <s v="MTG"/>
    <x v="328"/>
    <n v="3.893881389244005"/>
  </r>
  <r>
    <x v="2"/>
    <s v="Wells Fargo"/>
    <s v="1Point Rate"/>
    <s v="MTG"/>
    <x v="329"/>
    <n v="3.7988552900588051"/>
  </r>
  <r>
    <x v="2"/>
    <s v="Wells Fargo"/>
    <s v="1Point Rate"/>
    <s v="MTG"/>
    <x v="330"/>
    <n v="3.7988552900588051"/>
  </r>
  <r>
    <x v="2"/>
    <s v="Wells Fargo"/>
    <s v="1Point Rate"/>
    <s v="MTG"/>
    <x v="331"/>
    <n v="3.7988552900588051"/>
  </r>
  <r>
    <x v="2"/>
    <s v="Wells Fargo"/>
    <s v="1Point Rate"/>
    <s v="MTG"/>
    <x v="332"/>
    <n v="3.7988552900588051"/>
  </r>
  <r>
    <x v="2"/>
    <s v="Wells Fargo"/>
    <s v="1Point Rate"/>
    <s v="MTG"/>
    <x v="333"/>
    <n v="3.7988552900588051"/>
  </r>
  <r>
    <x v="2"/>
    <s v="Wells Fargo"/>
    <s v="1Point Rate"/>
    <s v="MTG"/>
    <x v="334"/>
    <n v="3.7687673669142931"/>
  </r>
  <r>
    <x v="2"/>
    <s v="Wells Fargo"/>
    <s v="1Point Rate"/>
    <s v="MTG"/>
    <x v="335"/>
    <n v="3.6130728647056762"/>
  </r>
  <r>
    <x v="2"/>
    <s v="Wells Fargo"/>
    <s v="1Point Rate"/>
    <s v="MTG"/>
    <x v="336"/>
    <n v="3.7988552900588051"/>
  </r>
  <r>
    <x v="2"/>
    <s v="Wells Fargo"/>
    <s v="1Point Rate"/>
    <s v="MTG"/>
    <x v="337"/>
    <n v="3.6434516592792754"/>
  </r>
  <r>
    <x v="2"/>
    <s v="Wells Fargo"/>
    <s v="1Point Rate"/>
    <s v="MTG"/>
    <x v="338"/>
    <n v="3.7988552900588051"/>
  </r>
  <r>
    <x v="2"/>
    <s v="Wells Fargo"/>
    <s v="1Point Rate"/>
    <s v="MTG"/>
    <x v="339"/>
    <n v="3.7687673669142931"/>
  </r>
  <r>
    <x v="2"/>
    <s v="Wells Fargo"/>
    <s v="1Point Rate"/>
    <s v="MTG"/>
    <x v="340"/>
    <n v="3.7988552900588051"/>
  </r>
  <r>
    <x v="2"/>
    <s v="Wells Fargo"/>
    <s v="1Point Rate"/>
    <s v="MTG"/>
    <x v="341"/>
    <n v="4.0405568797021081"/>
  </r>
  <r>
    <x v="2"/>
    <s v="Wells Fargo"/>
    <s v="1Point Rate"/>
    <s v="MTG"/>
    <x v="342"/>
    <n v="4.0405568797021081"/>
  </r>
  <r>
    <x v="2"/>
    <s v="Wells Fargo"/>
    <s v="1Point Rate"/>
    <s v="MTG"/>
    <x v="343"/>
    <n v="3.8545613734408839"/>
  </r>
  <r>
    <x v="2"/>
    <s v="Wells Fargo"/>
    <s v="1Point Rate"/>
    <s v="MTG"/>
    <x v="344"/>
    <n v="3.8845010455845062"/>
  </r>
  <r>
    <x v="2"/>
    <s v="Wells Fargo"/>
    <s v="1Point Rate"/>
    <s v="MTG"/>
    <x v="345"/>
    <n v="3.8845010455845062"/>
  </r>
  <r>
    <x v="2"/>
    <s v="Wells Fargo"/>
    <s v="1Point Rate"/>
    <s v="MTG"/>
    <x v="346"/>
    <n v="3.9173718975168601"/>
  </r>
  <r>
    <x v="2"/>
    <s v="Wells Fargo"/>
    <s v="1Point Rate"/>
    <s v="MTG"/>
    <x v="347"/>
    <n v="3.8845010455845062"/>
  </r>
  <r>
    <x v="2"/>
    <s v="Wells Fargo"/>
    <s v="1Point Rate"/>
    <s v="MTG"/>
    <x v="348"/>
    <n v="3.8845010455845062"/>
  </r>
  <r>
    <x v="2"/>
    <s v="Wells Fargo"/>
    <s v="1Point Rate"/>
    <s v="MTG"/>
    <x v="349"/>
    <n v="3.8545613734408839"/>
  </r>
  <r>
    <x v="2"/>
    <s v="Wells Fargo"/>
    <s v="1Point Rate"/>
    <s v="MTG"/>
    <x v="350"/>
    <n v="4.0405568797021081"/>
  </r>
  <r>
    <x v="2"/>
    <s v="Wells Fargo"/>
    <s v="1Point Rate"/>
    <s v="MTG"/>
    <x v="351"/>
    <n v="4.0405568797021081"/>
  </r>
  <r>
    <x v="2"/>
    <s v="Wells Fargo"/>
    <s v="1Point Rate"/>
    <s v="MTG"/>
    <x v="352"/>
    <n v="4.0955161934673852"/>
  </r>
  <r>
    <x v="2"/>
    <s v="Wells Fargo"/>
    <s v="1Point Rate"/>
    <s v="MTG"/>
    <x v="353"/>
    <n v="4.2758036507893049"/>
  </r>
  <r>
    <x v="2"/>
    <s v="Wells Fargo"/>
    <s v="1Point Rate"/>
    <s v="MTG"/>
    <x v="354"/>
    <n v="4.2465844202037246"/>
  </r>
  <r>
    <x v="2"/>
    <s v="Wells Fargo"/>
    <s v="1Point Rate"/>
    <s v="MTG"/>
    <x v="355"/>
    <n v="4.2758036507893049"/>
  </r>
  <r>
    <x v="2"/>
    <s v="Wells Fargo"/>
    <s v="1Point Rate"/>
    <s v="MTG"/>
    <x v="356"/>
    <n v="4.0955161934673852"/>
  </r>
  <r>
    <x v="2"/>
    <s v="Wells Fargo"/>
    <s v="1Point Rate"/>
    <s v="MTG"/>
    <x v="357"/>
    <n v="4.1250188202648603"/>
  </r>
  <r>
    <x v="2"/>
    <s v="Wells Fargo"/>
    <s v="1Point Rate"/>
    <s v="MTG"/>
    <x v="358"/>
    <n v="4.2758036507893049"/>
  </r>
  <r>
    <x v="2"/>
    <s v="Wells Fargo"/>
    <s v="1Point Rate"/>
    <s v="MTG"/>
    <x v="359"/>
    <n v="4.2465844202037246"/>
  </r>
  <r>
    <x v="2"/>
    <s v="Wells Fargo"/>
    <s v="1Point Rate"/>
    <s v="MTG"/>
    <x v="360"/>
    <n v="4.2465844202037246"/>
  </r>
  <r>
    <x v="2"/>
    <s v="Wells Fargo"/>
    <s v="1Point Rate"/>
    <s v="MTG"/>
    <x v="361"/>
    <n v="4.2758036507893049"/>
  </r>
  <r>
    <x v="2"/>
    <s v="Wells Fargo"/>
    <s v="1Point Rate"/>
    <s v="MTG"/>
    <x v="362"/>
    <n v="4.2465844202037246"/>
  </r>
  <r>
    <x v="2"/>
    <s v="Wells Fargo"/>
    <s v="1Point Rate"/>
    <s v="MTG"/>
    <x v="363"/>
    <n v="4.2758036507893049"/>
  </r>
  <r>
    <x v="2"/>
    <s v="Wells Fargo"/>
    <s v="1Point Rate"/>
    <s v="MTG"/>
    <x v="364"/>
    <n v="4.2758036507893049"/>
  </r>
  <r>
    <x v="2"/>
    <s v="Wells Fargo"/>
    <s v="1Point Rate"/>
    <s v="MTG"/>
    <x v="365"/>
    <n v="4.2758036507893049"/>
  </r>
  <r>
    <x v="2"/>
    <s v="Wells Fargo"/>
    <s v="1Point Rate"/>
    <s v="MTG"/>
    <x v="366"/>
    <n v="4.2465844202037246"/>
  </r>
  <r>
    <x v="2"/>
    <s v="Wells Fargo"/>
    <s v="1Point Rate"/>
    <s v="MTG"/>
    <x v="367"/>
    <n v="4.0955161934673852"/>
  </r>
  <r>
    <x v="2"/>
    <s v="Wells Fargo"/>
    <s v="1Point Rate"/>
    <s v="MTG"/>
    <x v="368"/>
    <n v="4.0955161934673852"/>
  </r>
  <r>
    <x v="2"/>
    <s v="Wells Fargo"/>
    <s v="1Point Rate"/>
    <s v="MTG"/>
    <x v="369"/>
    <n v="4.0955161934673852"/>
  </r>
  <r>
    <x v="2"/>
    <s v="Wells Fargo"/>
    <s v="1Point Rate"/>
    <s v="MTG"/>
    <x v="370"/>
    <n v="4.3591256771662081"/>
  </r>
  <r>
    <x v="2"/>
    <s v="Wells Fargo"/>
    <s v="1Point Rate"/>
    <s v="MTG"/>
    <x v="371"/>
    <n v="4.0955161934673852"/>
  </r>
  <r>
    <x v="2"/>
    <s v="Wells Fargo"/>
    <s v="1Point Rate"/>
    <s v="MTG"/>
    <x v="372"/>
    <n v="4.1250188202648603"/>
  </r>
  <r>
    <x v="2"/>
    <s v="Wells Fargo"/>
    <s v="1Point Rate"/>
    <s v="MTG"/>
    <x v="373"/>
    <n v="4.3881514549912373"/>
  </r>
  <r>
    <x v="2"/>
    <s v="Wells Fargo"/>
    <s v="1Point Rate"/>
    <s v="MTG"/>
    <x v="374"/>
    <n v="4.1544680118480333"/>
  </r>
  <r>
    <x v="2"/>
    <s v="Wells Fargo"/>
    <s v="1Point Rate"/>
    <s v="MTG"/>
    <x v="375"/>
    <n v="4.1544680118480333"/>
  </r>
  <r>
    <x v="2"/>
    <s v="Wells Fargo"/>
    <s v="1Point Rate"/>
    <s v="MTG"/>
    <x v="376"/>
    <n v="4.1250188202648603"/>
  </r>
  <r>
    <x v="2"/>
    <s v="Wells Fargo"/>
    <s v="1Point Rate"/>
    <s v="MTG"/>
    <x v="377"/>
    <n v="4.1250188202648603"/>
  </r>
  <r>
    <x v="2"/>
    <s v="Wells Fargo"/>
    <s v="1Point Rate"/>
    <s v="MTG"/>
    <x v="378"/>
    <n v="4.1544680118480333"/>
  </r>
  <r>
    <x v="2"/>
    <s v="Wells Fargo"/>
    <s v="1Point Rate"/>
    <s v="MTG"/>
    <x v="379"/>
    <n v="4.3591256771662081"/>
  </r>
  <r>
    <x v="2"/>
    <s v="Wells Fargo"/>
    <s v="1Point Rate"/>
    <s v="MTG"/>
    <x v="380"/>
    <n v="4.3881514549912373"/>
  </r>
  <r>
    <x v="2"/>
    <s v="Wells Fargo"/>
    <s v="1Point Rate"/>
    <s v="MTG"/>
    <x v="381"/>
    <n v="4.3881514549912373"/>
  </r>
  <r>
    <x v="2"/>
    <s v="Wells Fargo"/>
    <s v="1Point Rate"/>
    <s v="MTG"/>
    <x v="382"/>
    <n v="4.1250188202648603"/>
  </r>
  <r>
    <x v="2"/>
    <s v="Wells Fargo"/>
    <s v="1Point Rate"/>
    <s v="MTG"/>
    <x v="383"/>
    <n v="4.1250188202648603"/>
  </r>
  <r>
    <x v="2"/>
    <s v="Wells Fargo"/>
    <s v="1Point Rate"/>
    <s v="MTG"/>
    <x v="384"/>
    <n v="4.0955161934673852"/>
  </r>
  <r>
    <x v="2"/>
    <s v="Wells Fargo"/>
    <s v="1Point Rate"/>
    <s v="MTG"/>
    <x v="385"/>
    <n v="4.0955161934673852"/>
  </r>
  <r>
    <x v="2"/>
    <s v="Wells Fargo"/>
    <s v="1Point Rate"/>
    <s v="MTG"/>
    <x v="386"/>
    <n v="4.1250188202648603"/>
  </r>
  <r>
    <x v="2"/>
    <s v="Wells Fargo"/>
    <s v="1Point Rate"/>
    <s v="MTG"/>
    <x v="387"/>
    <n v="4.2465844202037246"/>
  </r>
  <r>
    <x v="2"/>
    <s v="Wells Fargo"/>
    <s v="1Point Rate"/>
    <s v="MTG"/>
    <x v="388"/>
    <n v="4.2758036507893049"/>
  </r>
  <r>
    <x v="2"/>
    <s v="Wells Fargo"/>
    <s v="1Point Rate"/>
    <s v="MTG"/>
    <x v="389"/>
    <n v="4.5076596982536596"/>
  </r>
  <r>
    <x v="2"/>
    <s v="Wells Fargo"/>
    <s v="1Point Rate"/>
    <s v="MTG"/>
    <x v="390"/>
    <n v="4.5076596982536596"/>
  </r>
  <r>
    <x v="2"/>
    <s v="Wells Fargo"/>
    <s v="1Point Rate"/>
    <s v="MTG"/>
    <x v="391"/>
    <n v="4.330047365675509"/>
  </r>
  <r>
    <x v="2"/>
    <s v="Wells Fargo"/>
    <s v="1Point Rate"/>
    <s v="MTG"/>
    <x v="392"/>
    <n v="4.330047365675509"/>
  </r>
  <r>
    <x v="2"/>
    <s v="Wells Fargo"/>
    <s v="1Point Rate"/>
    <s v="MTG"/>
    <x v="393"/>
    <n v="4.3591256771662081"/>
  </r>
  <r>
    <x v="2"/>
    <s v="Wells Fargo"/>
    <s v="1Point Rate"/>
    <s v="MTG"/>
    <x v="394"/>
    <n v="4.3591256771662081"/>
  </r>
  <r>
    <x v="2"/>
    <s v="Wells Fargo"/>
    <s v="1Point Rate"/>
    <s v="MTG"/>
    <x v="395"/>
    <n v="4.330047365675509"/>
  </r>
  <r>
    <x v="2"/>
    <s v="Wells Fargo"/>
    <s v="1Point Rate"/>
    <s v="MTG"/>
    <x v="396"/>
    <n v="4.330047365675509"/>
  </r>
  <r>
    <x v="2"/>
    <s v="Wells Fargo"/>
    <s v="1Point Rate"/>
    <s v="MTG"/>
    <x v="397"/>
    <n v="4.330047365675509"/>
  </r>
  <r>
    <x v="2"/>
    <s v="Wells Fargo"/>
    <s v="1Point Rate"/>
    <s v="MTG"/>
    <x v="398"/>
    <n v="4.5076596982536596"/>
  </r>
  <r>
    <x v="2"/>
    <s v="Wells Fargo"/>
    <s v="1Point Rate"/>
    <s v="MTG"/>
    <x v="399"/>
    <n v="4.5076596982536596"/>
  </r>
  <r>
    <x v="2"/>
    <s v="Wells Fargo"/>
    <s v="1Point Rate"/>
    <s v="MTG"/>
    <x v="400"/>
    <n v="4.5076596982536596"/>
  </r>
  <r>
    <x v="2"/>
    <s v="Wells Fargo"/>
    <s v="1Point Rate"/>
    <s v="MTG"/>
    <x v="401"/>
    <n v="4.5076596982536596"/>
  </r>
  <r>
    <x v="2"/>
    <s v="Wells Fargo"/>
    <s v="1Point Rate"/>
    <s v="MTG"/>
    <x v="402"/>
    <n v="4.5076596982536596"/>
  </r>
  <r>
    <x v="2"/>
    <s v="Wells Fargo"/>
    <s v="1Point Rate"/>
    <s v="MTG"/>
    <x v="403"/>
    <n v="4.330047365675509"/>
  </r>
  <r>
    <x v="2"/>
    <s v="Wells Fargo"/>
    <s v="1Point Rate"/>
    <s v="MTG"/>
    <x v="404"/>
    <n v="4.330047365675509"/>
  </r>
  <r>
    <x v="2"/>
    <s v="Wells Fargo"/>
    <s v="1Point Rate"/>
    <s v="MTG"/>
    <x v="405"/>
    <n v="4.3591256771662081"/>
  </r>
  <r>
    <x v="2"/>
    <s v="Wells Fargo"/>
    <s v="1Point Rate"/>
    <s v="MTG"/>
    <x v="406"/>
    <n v="4.3591256771662081"/>
  </r>
  <r>
    <x v="2"/>
    <s v="Wells Fargo"/>
    <s v="1Point Rate"/>
    <s v="MTG"/>
    <x v="407"/>
    <n v="4.330047365675509"/>
  </r>
  <r>
    <x v="2"/>
    <s v="Wells Fargo"/>
    <s v="1Point Rate"/>
    <s v="MTG"/>
    <x v="408"/>
    <n v="4.330047365675509"/>
  </r>
  <r>
    <x v="2"/>
    <s v="Wells Fargo"/>
    <s v="1Point Rate"/>
    <s v="MTG"/>
    <x v="409"/>
    <n v="4.5076596982536596"/>
  </r>
  <r>
    <x v="2"/>
    <s v="Wells Fargo"/>
    <s v="1Point Rate"/>
    <s v="MTG"/>
    <x v="410"/>
    <n v="4.2758036507893049"/>
  </r>
  <r>
    <x v="2"/>
    <s v="Wells Fargo"/>
    <s v="1Point Rate"/>
    <s v="MTG"/>
    <x v="411"/>
    <n v="4.1879865708203257"/>
  </r>
  <r>
    <x v="2"/>
    <s v="Wells Fargo"/>
    <s v="1Point Rate"/>
    <s v="MTG"/>
    <x v="412"/>
    <n v="4.330047365675509"/>
  </r>
  <r>
    <x v="2"/>
    <s v="Wells Fargo"/>
    <s v="1Point Rate"/>
    <s v="MTG"/>
    <x v="413"/>
    <n v="4.330047365675509"/>
  </r>
  <r>
    <x v="2"/>
    <s v="Wells Fargo"/>
    <s v="1Point Rate"/>
    <s v="MTG"/>
    <x v="414"/>
    <n v="3.9735378373143608"/>
  </r>
  <r>
    <x v="2"/>
    <s v="Wells Fargo"/>
    <s v="1Point Rate"/>
    <s v="MTG"/>
    <x v="415"/>
    <n v="4.2684487682780095"/>
  </r>
  <r>
    <x v="2"/>
    <s v="Wells Fargo"/>
    <s v="1Point Rate"/>
    <s v="MTG"/>
    <x v="416"/>
    <n v="4.1515331186906774"/>
  </r>
  <r>
    <x v="2"/>
    <s v="Wells Fargo"/>
    <s v="1Point Rate"/>
    <s v="MTG"/>
    <x v="417"/>
    <n v="4.1515331186906774"/>
  </r>
  <r>
    <x v="2"/>
    <s v="Wells Fargo"/>
    <s v="1Point Rate"/>
    <s v="MTG"/>
    <x v="418"/>
    <n v="4.1515331186906774"/>
  </r>
  <r>
    <x v="2"/>
    <s v="Wells Fargo"/>
    <s v="1Point Rate"/>
    <s v="MTG"/>
    <x v="419"/>
    <n v="4.0925372492460275"/>
  </r>
  <r>
    <x v="2"/>
    <s v="Wells Fargo"/>
    <s v="1Point Rate"/>
    <s v="MTG"/>
    <x v="420"/>
    <n v="4.1515331186906774"/>
  </r>
  <r>
    <x v="2"/>
    <s v="Wells Fargo"/>
    <s v="1Point Rate"/>
    <s v="MTG"/>
    <x v="421"/>
    <n v="4.122061778630858"/>
  </r>
  <r>
    <x v="2"/>
    <s v="Wells Fargo"/>
    <s v="1Point Rate"/>
    <s v="MTG"/>
    <x v="422"/>
    <n v="4.122061778630858"/>
  </r>
  <r>
    <x v="2"/>
    <s v="Wells Fargo"/>
    <s v="1Point Rate"/>
    <s v="MTG"/>
    <x v="423"/>
    <n v="4.1515331186906774"/>
  </r>
  <r>
    <x v="2"/>
    <s v="Wells Fargo"/>
    <s v="1Point Rate"/>
    <s v="MTG"/>
    <x v="424"/>
    <n v="4.1515331186906774"/>
  </r>
  <r>
    <x v="2"/>
    <s v="Wells Fargo"/>
    <s v="1Point Rate"/>
    <s v="MTG"/>
    <x v="425"/>
    <n v="4.1515331186906774"/>
  </r>
  <r>
    <x v="2"/>
    <s v="Wells Fargo"/>
    <s v="1Point Rate"/>
    <s v="MTG"/>
    <x v="426"/>
    <n v="4.1515331186906774"/>
  </r>
  <r>
    <x v="2"/>
    <s v="Wells Fargo"/>
    <s v="1Point Rate"/>
    <s v="MTG"/>
    <x v="427"/>
    <n v="4.1515331186906774"/>
  </r>
  <r>
    <x v="2"/>
    <s v="Wells Fargo"/>
    <s v="1Point Rate"/>
    <s v="MTG"/>
    <x v="428"/>
    <n v="3.9721306698598373"/>
  </r>
  <r>
    <x v="2"/>
    <s v="Wells Fargo"/>
    <s v="1Point Rate"/>
    <s v="MTG"/>
    <x v="429"/>
    <n v="4.1515331186906774"/>
  </r>
  <r>
    <x v="2"/>
    <s v="Wells Fargo"/>
    <s v="1Point Rate"/>
    <s v="MTG"/>
    <x v="430"/>
    <n v="3.9721306698598373"/>
  </r>
  <r>
    <x v="2"/>
    <s v="Wells Fargo"/>
    <s v="1Point Rate"/>
    <s v="MTG"/>
    <x v="431"/>
    <n v="3.9721306698598373"/>
  </r>
  <r>
    <x v="2"/>
    <s v="Wells Fargo"/>
    <s v="1Point Rate"/>
    <s v="MTG"/>
    <x v="432"/>
    <n v="3.9721306698598373"/>
  </r>
  <r>
    <x v="2"/>
    <s v="Wells Fargo"/>
    <s v="1Point Rate"/>
    <s v="MTG"/>
    <x v="433"/>
    <n v="3.9721306698598373"/>
  </r>
  <r>
    <x v="2"/>
    <s v="Wells Fargo"/>
    <s v="1Point Rate"/>
    <s v="MTG"/>
    <x v="434"/>
    <n v="4.0925372492460275"/>
  </r>
  <r>
    <x v="2"/>
    <s v="Wells Fargo"/>
    <s v="1Point Rate"/>
    <s v="MTG"/>
    <x v="435"/>
    <n v="4.122061778630858"/>
  </r>
  <r>
    <x v="2"/>
    <s v="Wells Fargo"/>
    <s v="1Point Rate"/>
    <s v="MTG"/>
    <x v="436"/>
    <n v="4.0018790515936864"/>
  </r>
  <r>
    <x v="2"/>
    <s v="Wells Fargo"/>
    <s v="1Point Rate"/>
    <s v="MTG"/>
    <x v="437"/>
    <n v="4.0018790515936864"/>
  </r>
  <r>
    <x v="2"/>
    <s v="Wells Fargo"/>
    <s v="1Point Rate"/>
    <s v="MTG"/>
    <x v="438"/>
    <n v="3.9770901967365671"/>
  </r>
  <r>
    <x v="2"/>
    <s v="Wells Fargo"/>
    <s v="1Point Rate"/>
    <s v="MTG"/>
    <x v="439"/>
    <n v="3.9770901967365671"/>
  </r>
  <r>
    <x v="2"/>
    <s v="Wells Fargo"/>
    <s v="1Point Rate"/>
    <s v="MTG"/>
    <x v="440"/>
    <n v="4.1548334667180757"/>
  </r>
  <r>
    <x v="2"/>
    <s v="Wells Fargo"/>
    <s v="1Point Rate"/>
    <s v="MTG"/>
    <x v="441"/>
    <n v="4.1548334667180757"/>
  </r>
  <r>
    <x v="2"/>
    <s v="Wells Fargo"/>
    <s v="1Point Rate"/>
    <s v="MTG"/>
    <x v="442"/>
    <n v="4.1548334667180757"/>
  </r>
  <r>
    <x v="2"/>
    <s v="Wells Fargo"/>
    <s v="1Point Rate"/>
    <s v="MTG"/>
    <x v="443"/>
    <n v="4.1548334667180757"/>
  </r>
  <r>
    <x v="2"/>
    <s v="Wells Fargo"/>
    <s v="1Point Rate"/>
    <s v="MTG"/>
    <x v="444"/>
    <n v="4.1548334667180757"/>
  </r>
  <r>
    <x v="2"/>
    <s v="Wells Fargo"/>
    <s v="1Point Rate"/>
    <s v="MTG"/>
    <x v="445"/>
    <n v="4.1548334667180757"/>
  </r>
  <r>
    <x v="2"/>
    <s v="Wells Fargo"/>
    <s v="1Point Rate"/>
    <s v="MTG"/>
    <x v="446"/>
    <n v="4.1224027274886375"/>
  </r>
  <r>
    <x v="2"/>
    <s v="Wells Fargo"/>
    <s v="1Point Rate"/>
    <s v="MTG"/>
    <x v="447"/>
    <n v="3.8846068434615981"/>
  </r>
  <r>
    <x v="2"/>
    <s v="Wells Fargo"/>
    <s v="1Point Rate"/>
    <s v="MTG"/>
    <x v="448"/>
    <n v="3.8846068434615981"/>
  </r>
  <r>
    <x v="2"/>
    <s v="Wells Fargo"/>
    <s v="1Point Rate"/>
    <s v="MTG"/>
    <x v="449"/>
    <n v="4.1224027274886375"/>
  </r>
  <r>
    <x v="2"/>
    <s v="Wells Fargo"/>
    <s v="1Point Rate"/>
    <s v="MTG"/>
    <x v="450"/>
    <n v="4.1224027274886375"/>
  </r>
  <r>
    <x v="2"/>
    <s v="Wells Fargo"/>
    <s v="1Point Rate"/>
    <s v="MTG"/>
    <x v="451"/>
    <n v="4.2701439283478235"/>
  </r>
  <r>
    <x v="2"/>
    <s v="Wells Fargo"/>
    <s v="1Point Rate"/>
    <s v="MTG"/>
    <x v="452"/>
    <n v="3.8546413107553095"/>
  </r>
  <r>
    <x v="2"/>
    <s v="Wells Fargo"/>
    <s v="1Point Rate"/>
    <s v="MTG"/>
    <x v="453"/>
    <n v="4.0928646676615683"/>
  </r>
  <r>
    <x v="2"/>
    <s v="Wells Fargo"/>
    <s v="1Point Rate"/>
    <s v="MTG"/>
    <x v="454"/>
    <n v="4.0928646676615683"/>
  </r>
  <r>
    <x v="2"/>
    <s v="Wells Fargo"/>
    <s v="1Point Rate"/>
    <s v="MTG"/>
    <x v="455"/>
    <n v="4.0928646676615683"/>
  </r>
  <r>
    <x v="2"/>
    <s v="Wells Fargo"/>
    <s v="1Point Rate"/>
    <s v="MTG"/>
    <x v="456"/>
    <n v="4.0928646676615683"/>
  </r>
  <r>
    <x v="2"/>
    <s v="Wells Fargo"/>
    <s v="1Point Rate"/>
    <s v="MTG"/>
    <x v="457"/>
    <n v="4.1224027274886375"/>
  </r>
  <r>
    <x v="2"/>
    <s v="Wells Fargo"/>
    <s v="1Point Rate"/>
    <s v="MTG"/>
    <x v="458"/>
    <n v="4.2701439283478235"/>
  </r>
  <r>
    <x v="2"/>
    <s v="Wells Fargo"/>
    <s v="1Point Rate"/>
    <s v="MTG"/>
    <x v="459"/>
    <n v="4.0928646676615683"/>
  </r>
  <r>
    <x v="2"/>
    <s v="Wells Fargo"/>
    <s v="1Point Rate"/>
    <s v="MTG"/>
    <x v="460"/>
    <n v="4.1548334667180757"/>
  </r>
  <r>
    <x v="2"/>
    <s v="Wells Fargo"/>
    <s v="1Point Rate"/>
    <s v="MTG"/>
    <x v="461"/>
    <n v="4.1548334667180757"/>
  </r>
  <r>
    <x v="2"/>
    <s v="Wells Fargo"/>
    <s v="1Point Rate"/>
    <s v="MTG"/>
    <x v="462"/>
    <n v="4.2701439283478235"/>
  </r>
  <r>
    <x v="2"/>
    <s v="Wells Fargo"/>
    <s v="1Point Rate"/>
    <s v="MTG"/>
    <x v="463"/>
    <n v="4.2701439283478235"/>
  </r>
  <r>
    <x v="2"/>
    <s v="Wells Fargo"/>
    <s v="1Point Rate"/>
    <s v="MTG"/>
    <x v="464"/>
    <n v="4.0928646676615683"/>
  </r>
  <r>
    <x v="2"/>
    <s v="Wells Fargo"/>
    <s v="1Point Rate"/>
    <s v="MTG"/>
    <x v="465"/>
    <n v="4.1224027274886375"/>
  </r>
  <r>
    <x v="2"/>
    <s v="Wells Fargo"/>
    <s v="1Point Rate"/>
    <s v="MTG"/>
    <x v="466"/>
    <n v="4.0928646676615683"/>
  </r>
  <r>
    <x v="2"/>
    <s v="Wells Fargo"/>
    <s v="1Point Rate"/>
    <s v="MTG"/>
    <x v="467"/>
    <n v="4.0928646676615683"/>
  </r>
  <r>
    <x v="2"/>
    <s v="Wells Fargo"/>
    <s v="1Point Rate"/>
    <s v="MTG"/>
    <x v="468"/>
    <n v="4.0928646676615683"/>
  </r>
  <r>
    <x v="2"/>
    <s v="Wells Fargo"/>
    <s v="1Point Rate"/>
    <s v="MTG"/>
    <x v="469"/>
    <n v="4.0928646676615683"/>
  </r>
  <r>
    <x v="2"/>
    <s v="Wells Fargo"/>
    <s v="1Point Rate"/>
    <s v="MTG"/>
    <x v="470"/>
    <n v="4.2701439283478235"/>
  </r>
  <r>
    <x v="2"/>
    <s v="Wells Fargo"/>
    <s v="1Point Rate"/>
    <s v="MTG"/>
    <x v="471"/>
    <n v="4.2701439283478235"/>
  </r>
  <r>
    <x v="2"/>
    <s v="Wells Fargo"/>
    <s v="1Point Rate"/>
    <s v="MTG"/>
    <x v="472"/>
    <n v="4.2701439283478235"/>
  </r>
  <r>
    <x v="2"/>
    <s v="Wells Fargo"/>
    <s v="1Point Rate"/>
    <s v="MTG"/>
    <x v="473"/>
    <n v="4.2379489588927832"/>
  </r>
  <r>
    <x v="2"/>
    <s v="Wells Fargo"/>
    <s v="1Point Rate"/>
    <s v="MTG"/>
    <x v="474"/>
    <n v="4.2086255594627131"/>
  </r>
  <r>
    <x v="2"/>
    <s v="Wells Fargo"/>
    <s v="1Point Rate"/>
    <s v="MTG"/>
    <x v="475"/>
    <n v="4.2701439283478235"/>
  </r>
  <r>
    <x v="2"/>
    <s v="Wells Fargo"/>
    <s v="1Point Rate"/>
    <s v="MTG"/>
    <x v="476"/>
    <n v="4.2701439283478235"/>
  </r>
  <r>
    <x v="2"/>
    <s v="Wells Fargo"/>
    <s v="1Point Rate"/>
    <s v="MTG"/>
    <x v="477"/>
    <n v="4.0928646676615683"/>
  </r>
  <r>
    <x v="2"/>
    <s v="Wells Fargo"/>
    <s v="1Point Rate"/>
    <s v="MTG"/>
    <x v="478"/>
    <n v="4.1224027274886375"/>
  </r>
  <r>
    <x v="2"/>
    <s v="Wells Fargo"/>
    <s v="1Point Rate"/>
    <s v="MTG"/>
    <x v="479"/>
    <n v="4.0928646676615683"/>
  </r>
  <r>
    <x v="2"/>
    <s v="Wells Fargo"/>
    <s v="1Point Rate"/>
    <s v="MTG"/>
    <x v="480"/>
    <n v="4.2701439283478235"/>
  </r>
  <r>
    <x v="2"/>
    <s v="Wells Fargo"/>
    <s v="1Point Rate"/>
    <s v="MTG"/>
    <x v="481"/>
    <n v="4.0928646676615683"/>
  </r>
  <r>
    <x v="2"/>
    <s v="Wells Fargo"/>
    <s v="1Point Rate"/>
    <s v="MTG"/>
    <x v="482"/>
    <n v="4.0928646676615683"/>
  </r>
  <r>
    <x v="2"/>
    <s v="Wells Fargo"/>
    <s v="1Point Rate"/>
    <s v="MTG"/>
    <x v="483"/>
    <n v="4.2701439283478235"/>
  </r>
  <r>
    <x v="2"/>
    <s v="Wells Fargo"/>
    <s v="1Point Rate"/>
    <s v="MTG"/>
    <x v="484"/>
    <n v="4.2379489588927832"/>
  </r>
  <r>
    <x v="2"/>
    <s v="Wells Fargo"/>
    <s v="1Point Rate"/>
    <s v="MTG"/>
    <x v="485"/>
    <n v="4.2379489588927832"/>
  </r>
  <r>
    <x v="2"/>
    <s v="Wells Fargo"/>
    <s v="1Point Rate"/>
    <s v="MTG"/>
    <x v="486"/>
    <n v="4.2701439283478235"/>
  </r>
  <r>
    <x v="2"/>
    <s v="Wells Fargo"/>
    <s v="1Point Rate"/>
    <s v="MTG"/>
    <x v="487"/>
    <n v="4.0928646676615683"/>
  </r>
  <r>
    <x v="2"/>
    <s v="Wells Fargo"/>
    <s v="1Point Rate"/>
    <s v="MTG"/>
    <x v="488"/>
    <n v="4.2701439283478235"/>
  </r>
  <r>
    <x v="2"/>
    <s v="Wells Fargo"/>
    <s v="1Point Rate"/>
    <s v="MTG"/>
    <x v="489"/>
    <n v="4.0928646676615683"/>
  </r>
  <r>
    <x v="2"/>
    <s v="Wells Fargo"/>
    <s v="1Point Rate"/>
    <s v="MTG"/>
    <x v="490"/>
    <n v="4.0928646676615683"/>
  </r>
  <r>
    <x v="2"/>
    <s v="Wells Fargo"/>
    <s v="1Point Rate"/>
    <s v="MTG"/>
    <x v="491"/>
    <n v="4.0928646676615683"/>
  </r>
  <r>
    <x v="2"/>
    <s v="Wells Fargo"/>
    <s v="1Point Rate"/>
    <s v="MTG"/>
    <x v="492"/>
    <n v="4.1224027274886375"/>
  </r>
  <r>
    <x v="2"/>
    <s v="Wells Fargo"/>
    <s v="1Point Rate"/>
    <s v="MTG"/>
    <x v="493"/>
    <n v="4.3568111853435916"/>
  </r>
  <r>
    <x v="2"/>
    <s v="Wells Fargo"/>
    <s v="1Point Rate"/>
    <s v="MTG"/>
    <x v="494"/>
    <n v="4.3858769032637648"/>
  </r>
  <r>
    <x v="2"/>
    <s v="Wells Fargo"/>
    <s v="1Point Rate"/>
    <s v="MTG"/>
    <x v="495"/>
    <n v="4.3858769032637648"/>
  </r>
  <r>
    <x v="2"/>
    <s v="Wells Fargo"/>
    <s v="1Point Rate"/>
    <s v="MTG"/>
    <x v="496"/>
    <n v="4.3858769032637648"/>
  </r>
  <r>
    <x v="2"/>
    <s v="Wells Fargo"/>
    <s v="1Point Rate"/>
    <s v="MTG"/>
    <x v="497"/>
    <n v="4.3858769032637648"/>
  </r>
  <r>
    <x v="2"/>
    <s v="Wells Fargo"/>
    <s v="1Point Rate"/>
    <s v="MTG"/>
    <x v="498"/>
    <n v="4.327693427336941"/>
  </r>
  <r>
    <x v="2"/>
    <s v="Wells Fargo"/>
    <s v="1Point Rate"/>
    <s v="MTG"/>
    <x v="499"/>
    <n v="4.327693427336941"/>
  </r>
  <r>
    <x v="2"/>
    <s v="Wells Fargo"/>
    <s v="1Point Rate"/>
    <s v="MTG"/>
    <x v="500"/>
    <n v="4.327693427336941"/>
  </r>
  <r>
    <x v="2"/>
    <s v="Wells Fargo"/>
    <s v="1Point Rate"/>
    <s v="MTG"/>
    <x v="501"/>
    <n v="4.4995050217246879"/>
  </r>
  <r>
    <x v="2"/>
    <s v="Wells Fargo"/>
    <s v="1Point Rate"/>
    <s v="MTG"/>
    <x v="502"/>
    <n v="4.2701439283478235"/>
  </r>
  <r>
    <x v="2"/>
    <s v="Wells Fargo"/>
    <s v="1Point Rate"/>
    <s v="MTG"/>
    <x v="503"/>
    <n v="4.2701439283478235"/>
  </r>
  <r>
    <x v="2"/>
    <s v="Wells Fargo"/>
    <s v="1Point Rate"/>
    <s v="MTG"/>
    <x v="504"/>
    <n v="4.2701439283478235"/>
  </r>
  <r>
    <x v="2"/>
    <s v="Wells Fargo"/>
    <s v="1Point Rate"/>
    <s v="MTG"/>
    <x v="505"/>
    <n v="4.2379489588927832"/>
  </r>
  <r>
    <x v="2"/>
    <s v="Wells Fargo"/>
    <s v="1Point Rate"/>
    <s v="MTG"/>
    <x v="506"/>
    <n v="4.2701439283478235"/>
  </r>
  <r>
    <x v="2"/>
    <s v="Wells Fargo"/>
    <s v="1Point Rate"/>
    <s v="MTG"/>
    <x v="507"/>
    <n v="4.2701439283478235"/>
  </r>
  <r>
    <x v="2"/>
    <s v="Wells Fargo"/>
    <s v="1Point Rate"/>
    <s v="MTG"/>
    <x v="508"/>
    <n v="4.0928646676615683"/>
  </r>
  <r>
    <x v="2"/>
    <s v="Wells Fargo"/>
    <s v="1Point Rate"/>
    <s v="MTG"/>
    <x v="509"/>
    <n v="4.0928646676615683"/>
  </r>
  <r>
    <x v="2"/>
    <s v="Wells Fargo"/>
    <s v="1Point Rate"/>
    <s v="MTG"/>
    <x v="510"/>
    <n v="4.2701439283478235"/>
  </r>
  <r>
    <x v="2"/>
    <s v="Wells Fargo"/>
    <s v="1Point Rate"/>
    <s v="MTG"/>
    <x v="511"/>
    <n v="4.2379489588927832"/>
  </r>
  <r>
    <x v="2"/>
    <s v="Wells Fargo"/>
    <s v="1Point Rate"/>
    <s v="MTG"/>
    <x v="512"/>
    <n v="4.2701439283478235"/>
  </r>
  <r>
    <x v="2"/>
    <s v="Wells Fargo"/>
    <s v="1Point Rate"/>
    <s v="MTG"/>
    <x v="513"/>
    <n v="4.2379489588927832"/>
  </r>
  <r>
    <x v="2"/>
    <s v="Wells Fargo"/>
    <s v="1Point Rate"/>
    <s v="MTG"/>
    <x v="514"/>
    <n v="4.2379489588927832"/>
  </r>
  <r>
    <x v="2"/>
    <s v="Wells Fargo"/>
    <s v="1Point Rate"/>
    <s v="MTG"/>
    <x v="515"/>
    <n v="4.2701439283478235"/>
  </r>
  <r>
    <x v="2"/>
    <s v="Wells Fargo"/>
    <s v="1Point Rate"/>
    <s v="MTG"/>
    <x v="516"/>
    <n v="4.2379489588927832"/>
  </r>
  <r>
    <x v="2"/>
    <s v="Wells Fargo"/>
    <s v="1Point Rate"/>
    <s v="MTG"/>
    <x v="517"/>
    <n v="4.2086255594627131"/>
  </r>
  <r>
    <x v="2"/>
    <s v="Wells Fargo"/>
    <s v="1Point Rate"/>
    <s v="MTG"/>
    <x v="518"/>
    <n v="4.3854024946351533"/>
  </r>
  <r>
    <x v="2"/>
    <s v="Wells Fargo"/>
    <s v="1Point Rate"/>
    <s v="MTG"/>
    <x v="519"/>
    <n v="4.2086255594627131"/>
  </r>
  <r>
    <x v="2"/>
    <s v="Wells Fargo"/>
    <s v="1Point Rate"/>
    <s v="MTG"/>
    <x v="520"/>
    <n v="4.2086255594627131"/>
  </r>
  <r>
    <x v="2"/>
    <s v="Wells Fargo"/>
    <s v="1Point Rate"/>
    <s v="MTG"/>
    <x v="521"/>
    <n v="4.3854024946351533"/>
  </r>
  <r>
    <x v="2"/>
    <s v="Wells Fargo"/>
    <s v="1Point Rate"/>
    <s v="MTG"/>
    <x v="522"/>
    <n v="4.2086255594627131"/>
  </r>
  <r>
    <x v="2"/>
    <s v="Wells Fargo"/>
    <s v="1Point Rate"/>
    <s v="MTG"/>
    <x v="523"/>
    <n v="4.2086255594627131"/>
  </r>
  <r>
    <x v="2"/>
    <s v="Wells Fargo"/>
    <s v="1Point Rate"/>
    <s v="MTG"/>
    <x v="524"/>
    <n v="4.2701439283478235"/>
  </r>
  <r>
    <x v="2"/>
    <s v="Wells Fargo"/>
    <s v="1Point Rate"/>
    <s v="MTG"/>
    <x v="525"/>
    <n v="4.2701439283478235"/>
  </r>
  <r>
    <x v="2"/>
    <s v="Wells Fargo"/>
    <s v="1Point Rate"/>
    <s v="MTG"/>
    <x v="526"/>
    <n v="4.0928646676615683"/>
  </r>
  <r>
    <x v="2"/>
    <s v="Wells Fargo"/>
    <s v="1Point Rate"/>
    <s v="MTG"/>
    <x v="527"/>
    <n v="4.2701439283478235"/>
  </r>
  <r>
    <x v="2"/>
    <s v="Wells Fargo"/>
    <s v="1Point Rate"/>
    <s v="MTG"/>
    <x v="528"/>
    <n v="4.2701439283478235"/>
  </r>
  <r>
    <x v="2"/>
    <s v="Wells Fargo"/>
    <s v="1Point Rate"/>
    <s v="MTG"/>
    <x v="529"/>
    <n v="4.2701439283478235"/>
  </r>
  <r>
    <x v="2"/>
    <s v="Wells Fargo"/>
    <s v="1Point Rate"/>
    <s v="MTG"/>
    <x v="530"/>
    <n v="4.2701439283478235"/>
  </r>
  <r>
    <x v="2"/>
    <s v="Wells Fargo"/>
    <s v="1Point Rate"/>
    <s v="MTG"/>
    <x v="531"/>
    <n v="4.2701439283478235"/>
  </r>
  <r>
    <x v="2"/>
    <s v="Wells Fargo"/>
    <s v="1Point Rate"/>
    <s v="MTG"/>
    <x v="532"/>
    <n v="4.0928646676615683"/>
  </r>
  <r>
    <x v="2"/>
    <s v="Wells Fargo"/>
    <s v="1Point Rate"/>
    <s v="MTG"/>
    <x v="533"/>
    <n v="4.0928646676615683"/>
  </r>
  <r>
    <x v="2"/>
    <s v="Wells Fargo"/>
    <s v="1Point Rate"/>
    <s v="MTG"/>
    <x v="534"/>
    <n v="4.0928646676615683"/>
  </r>
  <r>
    <x v="2"/>
    <s v="Wells Fargo"/>
    <s v="1Point Rate"/>
    <s v="MTG"/>
    <x v="535"/>
    <n v="4.2701439283478235"/>
  </r>
  <r>
    <x v="2"/>
    <s v="Wells Fargo"/>
    <s v="1Point Rate"/>
    <s v="MTG"/>
    <x v="536"/>
    <n v="4.2701439283478235"/>
  </r>
  <r>
    <x v="2"/>
    <s v="Wells Fargo"/>
    <s v="1Point Rate"/>
    <s v="MTG"/>
    <x v="537"/>
    <n v="4.2379489588927832"/>
  </r>
  <r>
    <x v="2"/>
    <s v="Wells Fargo"/>
    <s v="1Point Rate"/>
    <s v="MTG"/>
    <x v="538"/>
    <n v="4.2086255594627131"/>
  </r>
  <r>
    <x v="2"/>
    <s v="Wells Fargo"/>
    <s v="1Point Rate"/>
    <s v="MTG"/>
    <x v="539"/>
    <n v="4.2379489588927832"/>
  </r>
  <r>
    <x v="2"/>
    <s v="Wells Fargo"/>
    <s v="1Point Rate"/>
    <s v="MTG"/>
    <x v="540"/>
    <n v="4.3854024946351533"/>
  </r>
  <r>
    <x v="2"/>
    <s v="Wells Fargo"/>
    <s v="1Point Rate"/>
    <s v="MTG"/>
    <x v="541"/>
    <n v="4.3854024946351533"/>
  </r>
  <r>
    <x v="2"/>
    <s v="Wells Fargo"/>
    <s v="1Point Rate"/>
    <s v="MTG"/>
    <x v="542"/>
    <n v="4.2086255594627131"/>
  </r>
  <r>
    <x v="2"/>
    <s v="Wells Fargo"/>
    <s v="1Point Rate"/>
    <s v="MTG"/>
    <x v="543"/>
    <n v="4.2086255594627131"/>
  </r>
  <r>
    <x v="2"/>
    <s v="Wells Fargo"/>
    <s v="1Point Rate"/>
    <s v="MTG"/>
    <x v="544"/>
    <n v="4.2086255594627131"/>
  </r>
  <r>
    <x v="2"/>
    <s v="Wells Fargo"/>
    <s v="1Point Rate"/>
    <s v="MTG"/>
    <x v="545"/>
    <n v="4.2379489588927832"/>
  </r>
  <r>
    <x v="2"/>
    <s v="Wells Fargo"/>
    <s v="1Point Rate"/>
    <s v="MTG"/>
    <x v="546"/>
    <n v="4.2086255594627131"/>
  </r>
  <r>
    <x v="2"/>
    <s v="Wells Fargo"/>
    <s v="1Point Rate"/>
    <s v="MTG"/>
    <x v="547"/>
    <n v="4.2086255594627131"/>
  </r>
  <r>
    <x v="2"/>
    <s v="Wells Fargo"/>
    <s v="1Point Rate"/>
    <s v="MTG"/>
    <x v="548"/>
    <n v="4.2086255594627131"/>
  </r>
  <r>
    <x v="2"/>
    <s v="Wells Fargo"/>
    <s v="1Point Rate"/>
    <s v="MTG"/>
    <x v="549"/>
    <n v="4.2379489588927832"/>
  </r>
  <r>
    <x v="2"/>
    <s v="Wells Fargo"/>
    <s v="1Point Rate"/>
    <s v="MTG"/>
    <x v="550"/>
    <n v="4.2086255594627131"/>
  </r>
  <r>
    <x v="2"/>
    <s v="Wells Fargo"/>
    <s v="1Point Rate"/>
    <s v="MTG"/>
    <x v="551"/>
    <n v="4.2086255594627131"/>
  </r>
  <r>
    <x v="2"/>
    <s v="Wells Fargo"/>
    <s v="1Point Rate"/>
    <s v="MTG"/>
    <x v="552"/>
    <n v="4.3854024946351533"/>
  </r>
  <r>
    <x v="2"/>
    <s v="Wells Fargo"/>
    <s v="1Point Rate"/>
    <s v="MTG"/>
    <x v="553"/>
    <n v="4.2086255594627131"/>
  </r>
  <r>
    <x v="2"/>
    <s v="Wells Fargo"/>
    <s v="1Point Rate"/>
    <s v="MTG"/>
    <x v="554"/>
    <n v="4.2086255594627131"/>
  </r>
  <r>
    <x v="2"/>
    <s v="Wells Fargo"/>
    <s v="1Point Rate"/>
    <s v="MTG"/>
    <x v="555"/>
    <n v="4.2379489588927832"/>
  </r>
  <r>
    <x v="2"/>
    <s v="Wells Fargo"/>
    <s v="1Point Rate"/>
    <s v="MTG"/>
    <x v="556"/>
    <n v="4.2379489588927832"/>
  </r>
  <r>
    <x v="2"/>
    <s v="Wells Fargo"/>
    <s v="1Point Rate"/>
    <s v="MTG"/>
    <x v="557"/>
    <n v="4.2379489588927832"/>
  </r>
  <r>
    <x v="2"/>
    <s v="Wells Fargo"/>
    <s v="1Point Rate"/>
    <s v="MTG"/>
    <x v="558"/>
    <n v="4.2086255594627131"/>
  </r>
  <r>
    <x v="2"/>
    <s v="Wells Fargo"/>
    <s v="1Point Rate"/>
    <s v="MTG"/>
    <x v="559"/>
    <n v="4.2379489588927832"/>
  </r>
  <r>
    <x v="2"/>
    <s v="Wells Fargo"/>
    <s v="1Point Rate"/>
    <s v="MTG"/>
    <x v="560"/>
    <n v="4.2086255594627131"/>
  </r>
  <r>
    <x v="2"/>
    <s v="Wells Fargo"/>
    <s v="1Point Rate"/>
    <s v="MTG"/>
    <x v="561"/>
    <n v="4.2086255594627131"/>
  </r>
  <r>
    <x v="2"/>
    <s v="Wells Fargo"/>
    <s v="1Point Rate"/>
    <s v="MTG"/>
    <x v="562"/>
    <n v="4.2379489588927832"/>
  </r>
  <r>
    <x v="2"/>
    <s v="Wells Fargo"/>
    <s v="1Point Rate"/>
    <s v="MTG"/>
    <x v="563"/>
    <n v="4.2379489588927832"/>
  </r>
  <r>
    <x v="2"/>
    <s v="Wells Fargo"/>
    <s v="1Point Rate"/>
    <s v="MTG"/>
    <x v="564"/>
    <n v="4.2379489588927832"/>
  </r>
  <r>
    <x v="2"/>
    <s v="Wells Fargo"/>
    <s v="1Point Rate"/>
    <s v="MTG"/>
    <x v="565"/>
    <n v="4.2379489588927832"/>
  </r>
  <r>
    <x v="2"/>
    <s v="Wells Fargo"/>
    <s v="1Point Rate"/>
    <s v="MTG"/>
    <x v="566"/>
    <n v="4.2379489588927832"/>
  </r>
  <r>
    <x v="2"/>
    <s v="Wells Fargo"/>
    <s v="1Point Rate"/>
    <s v="MTG"/>
    <x v="567"/>
    <n v="4.2701439283478235"/>
  </r>
  <r>
    <x v="2"/>
    <s v="Wells Fargo"/>
    <s v="1Point Rate"/>
    <s v="MTG"/>
    <x v="568"/>
    <n v="4.2701439283478235"/>
  </r>
  <r>
    <x v="2"/>
    <s v="Wells Fargo"/>
    <s v="1Point Rate"/>
    <s v="MTG"/>
    <x v="569"/>
    <n v="4.0928646676615683"/>
  </r>
  <r>
    <x v="2"/>
    <s v="Wells Fargo"/>
    <s v="1Point Rate"/>
    <s v="MTG"/>
    <x v="570"/>
    <n v="4.0928646676615683"/>
  </r>
  <r>
    <x v="2"/>
    <s v="Wells Fargo"/>
    <s v="1Point Rate"/>
    <s v="MTG"/>
    <x v="571"/>
    <n v="4.1224027274886375"/>
  </r>
  <r>
    <x v="2"/>
    <s v="Wells Fargo"/>
    <s v="1Point Rate"/>
    <s v="MTG"/>
    <x v="572"/>
    <n v="4.1548334667180757"/>
  </r>
  <r>
    <x v="2"/>
    <s v="Wells Fargo"/>
    <s v="1Point Rate"/>
    <s v="MTG"/>
    <x v="573"/>
    <n v="4.1548334667180757"/>
  </r>
  <r>
    <x v="2"/>
    <s v="Wells Fargo"/>
    <s v="1Point Rate"/>
    <s v="MTG"/>
    <x v="574"/>
    <n v="4.1548334667180757"/>
  </r>
  <r>
    <x v="2"/>
    <s v="Wells Fargo"/>
    <s v="1Point Rate"/>
    <s v="MTG"/>
    <x v="575"/>
    <n v="4.1548334667180757"/>
  </r>
  <r>
    <x v="2"/>
    <s v="Wells Fargo"/>
    <s v="1Point Rate"/>
    <s v="MTG"/>
    <x v="576"/>
    <n v="4.0928646676615683"/>
  </r>
  <r>
    <x v="2"/>
    <s v="Wells Fargo"/>
    <s v="1Point Rate"/>
    <s v="MTG"/>
    <x v="577"/>
    <n v="4.1224027274886375"/>
  </r>
  <r>
    <x v="2"/>
    <s v="Wells Fargo"/>
    <s v="1Point Rate"/>
    <s v="MTG"/>
    <x v="578"/>
    <n v="4.2379489588927832"/>
  </r>
  <r>
    <x v="2"/>
    <s v="Wells Fargo"/>
    <s v="1Point Rate"/>
    <s v="MTG"/>
    <x v="579"/>
    <n v="4.0928646676615683"/>
  </r>
  <r>
    <x v="2"/>
    <s v="Wells Fargo"/>
    <s v="1Point Rate"/>
    <s v="MTG"/>
    <x v="580"/>
    <n v="4.0928646676615683"/>
  </r>
  <r>
    <x v="2"/>
    <s v="Wells Fargo"/>
    <s v="1Point Rate"/>
    <s v="MTG"/>
    <x v="581"/>
    <n v="4.0928646676615683"/>
  </r>
  <r>
    <x v="2"/>
    <s v="Wells Fargo"/>
    <s v="1Point Rate"/>
    <s v="MTG"/>
    <x v="582"/>
    <n v="4.0928646676615683"/>
  </r>
  <r>
    <x v="2"/>
    <s v="Wells Fargo"/>
    <s v="1Point Rate"/>
    <s v="MTG"/>
    <x v="583"/>
    <n v="4.0928646676615683"/>
  </r>
  <r>
    <x v="2"/>
    <s v="Wells Fargo"/>
    <s v="1Point Rate"/>
    <s v="MTG"/>
    <x v="584"/>
    <n v="4.1224027274886375"/>
  </r>
  <r>
    <x v="2"/>
    <s v="Wells Fargo"/>
    <s v="1Point Rate"/>
    <s v="MTG"/>
    <x v="585"/>
    <n v="4.1224027274886375"/>
  </r>
  <r>
    <x v="2"/>
    <s v="Wells Fargo"/>
    <s v="1Point Rate"/>
    <s v="MTG"/>
    <x v="586"/>
    <n v="4.1224027274886375"/>
  </r>
  <r>
    <x v="2"/>
    <s v="Wells Fargo"/>
    <s v="1Point Rate"/>
    <s v="MTG"/>
    <x v="587"/>
    <n v="4.1224027274886375"/>
  </r>
  <r>
    <x v="2"/>
    <s v="Wells Fargo"/>
    <s v="1Point Rate"/>
    <s v="MTG"/>
    <x v="588"/>
    <n v="4.1224027274886375"/>
  </r>
  <r>
    <x v="2"/>
    <s v="Wells Fargo"/>
    <s v="1Point Rate"/>
    <s v="MTG"/>
    <x v="589"/>
    <n v="4.1224027274886375"/>
  </r>
  <r>
    <x v="2"/>
    <s v="Wells Fargo"/>
    <s v="1Point Rate"/>
    <s v="MTG"/>
    <x v="590"/>
    <n v="4.1224027274886375"/>
  </r>
  <r>
    <x v="2"/>
    <s v="Wells Fargo"/>
    <s v="1Point Rate"/>
    <s v="MTG"/>
    <x v="591"/>
    <n v="4.1224027274886375"/>
  </r>
  <r>
    <x v="2"/>
    <s v="Wells Fargo"/>
    <s v="1Point Rate"/>
    <s v="MTG"/>
    <x v="592"/>
    <n v="4.1224027274886375"/>
  </r>
  <r>
    <x v="2"/>
    <s v="Wells Fargo"/>
    <s v="1Point Rate"/>
    <s v="MTG"/>
    <x v="593"/>
    <n v="4.1224027274886375"/>
  </r>
  <r>
    <x v="2"/>
    <s v="Wells Fargo"/>
    <s v="1Point Rate"/>
    <s v="MTG"/>
    <x v="594"/>
    <n v="4.1224027274886375"/>
  </r>
  <r>
    <x v="2"/>
    <s v="Wells Fargo"/>
    <s v="1Point Rate"/>
    <s v="MTG"/>
    <x v="595"/>
    <n v="4.0928646676615683"/>
  </r>
  <r>
    <x v="2"/>
    <s v="Wells Fargo"/>
    <s v="1Point Rate"/>
    <s v="MTG"/>
    <x v="596"/>
    <n v="4.1224027274886375"/>
  </r>
  <r>
    <x v="2"/>
    <s v="Wells Fargo"/>
    <s v="1Point Rate"/>
    <s v="MTG"/>
    <x v="597"/>
    <n v="4.0928646676615683"/>
  </r>
  <r>
    <x v="2"/>
    <s v="Wells Fargo"/>
    <s v="1Point Rate"/>
    <s v="MTG"/>
    <x v="598"/>
    <n v="4.0928646676615683"/>
  </r>
  <r>
    <x v="2"/>
    <s v="Wells Fargo"/>
    <s v="1Point Rate"/>
    <s v="MTG"/>
    <x v="599"/>
    <n v="4.1224027274886375"/>
  </r>
  <r>
    <x v="2"/>
    <s v="Wells Fargo"/>
    <s v="1Point Rate"/>
    <s v="MTG"/>
    <x v="600"/>
    <n v="4.1224027274886375"/>
  </r>
  <r>
    <x v="2"/>
    <s v="Wells Fargo"/>
    <s v="1Point Rate"/>
    <s v="MTG"/>
    <x v="601"/>
    <n v="4.1224027274886375"/>
  </r>
  <r>
    <x v="2"/>
    <s v="Wells Fargo"/>
    <s v="1Point Rate"/>
    <s v="MTG"/>
    <x v="602"/>
    <n v="4.1224027274886375"/>
  </r>
  <r>
    <x v="2"/>
    <s v="Wells Fargo"/>
    <s v="1Point Rate"/>
    <s v="MTG"/>
    <x v="603"/>
    <n v="4.0928646676615683"/>
  </r>
  <r>
    <x v="2"/>
    <s v="Wells Fargo"/>
    <s v="1Point Rate"/>
    <s v="MTG"/>
    <x v="604"/>
    <n v="4.0928646676615683"/>
  </r>
  <r>
    <x v="2"/>
    <s v="Wells Fargo"/>
    <s v="1Point Rate"/>
    <s v="MTG"/>
    <x v="605"/>
    <n v="4.0928646676615683"/>
  </r>
  <r>
    <x v="2"/>
    <s v="Wells Fargo"/>
    <s v="1Point Rate"/>
    <s v="MTG"/>
    <x v="606"/>
    <n v="4.0928646676615683"/>
  </r>
  <r>
    <x v="2"/>
    <s v="Wells Fargo"/>
    <s v="1Point Rate"/>
    <s v="MTG"/>
    <x v="607"/>
    <n v="4.2701439283478235"/>
  </r>
  <r>
    <x v="2"/>
    <s v="Wells Fargo"/>
    <s v="1Point Rate"/>
    <s v="MTG"/>
    <x v="608"/>
    <n v="4.2379489588927832"/>
  </r>
  <r>
    <x v="2"/>
    <s v="Wells Fargo"/>
    <s v="1Point Rate"/>
    <s v="MTG"/>
    <x v="609"/>
    <n v="4.2701439283478235"/>
  </r>
  <r>
    <x v="2"/>
    <s v="Wells Fargo"/>
    <s v="1Point Rate"/>
    <s v="MTG"/>
    <x v="610"/>
    <n v="4.2701439283478235"/>
  </r>
  <r>
    <x v="2"/>
    <s v="Wells Fargo"/>
    <s v="1Point Rate"/>
    <s v="MTG"/>
    <x v="611"/>
    <n v="4.2379489588927832"/>
  </r>
  <r>
    <x v="2"/>
    <s v="Wells Fargo"/>
    <s v="1Point Rate"/>
    <s v="MTG"/>
    <x v="612"/>
    <n v="4.2379489588927832"/>
  </r>
  <r>
    <x v="2"/>
    <s v="Wells Fargo"/>
    <s v="1Point Rate"/>
    <s v="MTG"/>
    <x v="613"/>
    <n v="4.2379489588927832"/>
  </r>
  <r>
    <x v="2"/>
    <s v="Wells Fargo"/>
    <s v="1Point Rate"/>
    <s v="MTG"/>
    <x v="614"/>
    <n v="4.2379489588927832"/>
  </r>
  <r>
    <x v="2"/>
    <s v="Wells Fargo"/>
    <s v="1Point Rate"/>
    <s v="MTG"/>
    <x v="615"/>
    <n v="4.2379489588927832"/>
  </r>
  <r>
    <x v="2"/>
    <s v="Wells Fargo"/>
    <s v="1Point Rate"/>
    <s v="MTG"/>
    <x v="616"/>
    <n v="4.2701439283478235"/>
  </r>
  <r>
    <x v="2"/>
    <s v="Wells Fargo"/>
    <s v="1Point Rate"/>
    <s v="MTG"/>
    <x v="617"/>
    <n v="4.2701439283478235"/>
  </r>
  <r>
    <x v="2"/>
    <s v="Wells Fargo"/>
    <s v="1Point Rate"/>
    <s v="MTG"/>
    <x v="618"/>
    <n v="4.0928646676615683"/>
  </r>
  <r>
    <x v="2"/>
    <s v="Wells Fargo"/>
    <s v="1Point Rate"/>
    <s v="MTG"/>
    <x v="619"/>
    <n v="4.1224027274886375"/>
  </r>
  <r>
    <x v="2"/>
    <s v="Wells Fargo"/>
    <s v="1Point Rate"/>
    <s v="MTG"/>
    <x v="620"/>
    <n v="4.1224027274886375"/>
  </r>
  <r>
    <x v="2"/>
    <s v="Wells Fargo"/>
    <s v="1Point Rate"/>
    <s v="MTG"/>
    <x v="621"/>
    <n v="4.1548334667180757"/>
  </r>
  <r>
    <x v="2"/>
    <s v="Wells Fargo"/>
    <s v="1Point Rate"/>
    <s v="MTG"/>
    <x v="622"/>
    <n v="4.1224027274886375"/>
  </r>
  <r>
    <x v="2"/>
    <s v="Wells Fargo"/>
    <s v="1Point Rate"/>
    <s v="MTG"/>
    <x v="623"/>
    <n v="4.1224027274886375"/>
  </r>
  <r>
    <x v="2"/>
    <s v="Wells Fargo"/>
    <s v="1Point Rate"/>
    <s v="MTG"/>
    <x v="624"/>
    <n v="3.9770901967365671"/>
  </r>
  <r>
    <x v="2"/>
    <s v="Wells Fargo"/>
    <s v="1Point Rate"/>
    <s v="MTG"/>
    <x v="625"/>
    <n v="3.9770901967365671"/>
  </r>
  <r>
    <x v="2"/>
    <s v="Wells Fargo"/>
    <s v="1Point Rate"/>
    <s v="MTG"/>
    <x v="626"/>
    <n v="3.9770901967365671"/>
  </r>
  <r>
    <x v="2"/>
    <s v="Wells Fargo"/>
    <s v="1Point Rate"/>
    <s v="MTG"/>
    <x v="627"/>
    <n v="4.1224027274886375"/>
  </r>
  <r>
    <x v="2"/>
    <s v="Wells Fargo"/>
    <s v="1Point Rate"/>
    <s v="MTG"/>
    <x v="628"/>
    <n v="4.1548334667180757"/>
  </r>
  <r>
    <x v="2"/>
    <s v="Wells Fargo"/>
    <s v="1Point Rate"/>
    <s v="MTG"/>
    <x v="629"/>
    <n v="4.1548334667180757"/>
  </r>
  <r>
    <x v="2"/>
    <s v="Wells Fargo"/>
    <s v="1Point Rate"/>
    <s v="MTG"/>
    <x v="630"/>
    <n v="4.1548334667180757"/>
  </r>
  <r>
    <x v="2"/>
    <s v="Wells Fargo"/>
    <s v="1Point Rate"/>
    <s v="MTG"/>
    <x v="631"/>
    <n v="3.9770901967365671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  <r>
    <x v="3"/>
    <s v="Wells Fargo"/>
    <s v="1Point Rate"/>
    <s v="MTG"/>
    <x v="9"/>
    <n v="3.8281034376602534"/>
  </r>
  <r>
    <x v="3"/>
    <s v="Wells Fargo"/>
    <s v="1Point Rate"/>
    <s v="MTG"/>
    <x v="10"/>
    <n v="3.7907999999999999"/>
  </r>
  <r>
    <x v="3"/>
    <s v="Wells Fargo"/>
    <s v="1Point Rate"/>
    <s v="MTG"/>
    <x v="11"/>
    <n v="3.7452361066975079"/>
  </r>
  <r>
    <x v="3"/>
    <s v="Wells Fargo"/>
    <s v="1Point Rate"/>
    <s v="MTG"/>
    <x v="12"/>
    <n v="3.701847554934004"/>
  </r>
  <r>
    <x v="3"/>
    <s v="Wells Fargo"/>
    <s v="1Point Rate"/>
    <s v="MTG"/>
    <x v="13"/>
    <n v="3.7452361066975079"/>
  </r>
  <r>
    <x v="3"/>
    <s v="Wells Fargo"/>
    <s v="1Point Rate"/>
    <s v="MTG"/>
    <x v="14"/>
    <n v="3.7452361066975079"/>
  </r>
  <r>
    <x v="3"/>
    <s v="Wells Fargo"/>
    <s v="1Point Rate"/>
    <s v="MTG"/>
    <x v="15"/>
    <n v="3.7907999999999999"/>
  </r>
  <r>
    <x v="3"/>
    <s v="Wells Fargo"/>
    <s v="1Point Rate"/>
    <s v="MTG"/>
    <x v="16"/>
    <n v="3.8281034376602534"/>
  </r>
  <r>
    <x v="3"/>
    <s v="Wells Fargo"/>
    <s v="1Point Rate"/>
    <s v="MTG"/>
    <x v="17"/>
    <n v="3.8714038285041039"/>
  </r>
  <r>
    <x v="3"/>
    <s v="Wells Fargo"/>
    <s v="1Point Rate"/>
    <s v="MTG"/>
    <x v="18"/>
    <n v="3.8714038285041039"/>
  </r>
  <r>
    <x v="3"/>
    <s v="Wells Fargo"/>
    <s v="1Point Rate"/>
    <s v="MTG"/>
    <x v="19"/>
    <n v="3.8714038285041039"/>
  </r>
  <r>
    <x v="3"/>
    <s v="Wells Fargo"/>
    <s v="1Point Rate"/>
    <s v="MTG"/>
    <x v="20"/>
    <n v="3.8714038285041039"/>
  </r>
  <r>
    <x v="3"/>
    <s v="Wells Fargo"/>
    <s v="1Point Rate"/>
    <s v="MTG"/>
    <x v="21"/>
    <n v="3.7907999999999999"/>
  </r>
  <r>
    <x v="3"/>
    <s v="Wells Fargo"/>
    <s v="1Point Rate"/>
    <s v="MTG"/>
    <x v="22"/>
    <n v="3.7907999999999999"/>
  </r>
  <r>
    <x v="3"/>
    <s v="Wells Fargo"/>
    <s v="1Point Rate"/>
    <s v="MTG"/>
    <x v="23"/>
    <n v="3.8038200779030156"/>
  </r>
  <r>
    <x v="3"/>
    <s v="Wells Fargo"/>
    <s v="1Point Rate"/>
    <s v="MTG"/>
    <x v="24"/>
    <n v="3.6708585343811904"/>
  </r>
  <r>
    <x v="3"/>
    <s v="Wells Fargo"/>
    <s v="1Point Rate"/>
    <s v="MTG"/>
    <x v="25"/>
    <n v="3.6708585343811904"/>
  </r>
  <r>
    <x v="3"/>
    <s v="Wells Fargo"/>
    <s v="1Point Rate"/>
    <s v="MTG"/>
    <x v="26"/>
    <n v="3.6708585343811904"/>
  </r>
  <r>
    <x v="3"/>
    <s v="Wells Fargo"/>
    <s v="1Point Rate"/>
    <s v="MTG"/>
    <x v="27"/>
    <n v="3.6708585343811904"/>
  </r>
  <r>
    <x v="3"/>
    <s v="Wells Fargo"/>
    <s v="1Point Rate"/>
    <s v="MTG"/>
    <x v="28"/>
    <n v="3.6708585343811904"/>
  </r>
  <r>
    <x v="3"/>
    <s v="Wells Fargo"/>
    <s v="1Point Rate"/>
    <s v="MTG"/>
    <x v="29"/>
    <n v="3.7143356375412493"/>
  </r>
  <r>
    <x v="3"/>
    <s v="Wells Fargo"/>
    <s v="1Point Rate"/>
    <s v="MTG"/>
    <x v="30"/>
    <n v="3.6334666666666666"/>
  </r>
  <r>
    <x v="3"/>
    <s v="Wells Fargo"/>
    <s v="1Point Rate"/>
    <s v="MTG"/>
    <x v="31"/>
    <n v="3.6334666666666666"/>
  </r>
  <r>
    <x v="3"/>
    <s v="Wells Fargo"/>
    <s v="1Point Rate"/>
    <s v="MTG"/>
    <x v="32"/>
    <n v="3.6334666666666666"/>
  </r>
  <r>
    <x v="3"/>
    <s v="Wells Fargo"/>
    <s v="1Point Rate"/>
    <s v="MTG"/>
    <x v="33"/>
    <n v="3.6334666666666666"/>
  </r>
  <r>
    <x v="3"/>
    <s v="Wells Fargo"/>
    <s v="1Point Rate"/>
    <s v="MTG"/>
    <x v="34"/>
    <n v="3.6334666666666666"/>
  </r>
  <r>
    <x v="3"/>
    <s v="Wells Fargo"/>
    <s v="1Point Rate"/>
    <s v="MTG"/>
    <x v="35"/>
    <n v="3.6334666666666666"/>
  </r>
  <r>
    <x v="3"/>
    <s v="Wells Fargo"/>
    <s v="1Point Rate"/>
    <s v="MTG"/>
    <x v="36"/>
    <n v="3.7597333333333331"/>
  </r>
  <r>
    <x v="3"/>
    <s v="Wells Fargo"/>
    <s v="1Point Rate"/>
    <s v="MTG"/>
    <x v="37"/>
    <n v="3.7597333333333331"/>
  </r>
  <r>
    <x v="3"/>
    <s v="Wells Fargo"/>
    <s v="1Point Rate"/>
    <s v="MTG"/>
    <x v="38"/>
    <n v="3.7143356375412493"/>
  </r>
  <r>
    <x v="3"/>
    <s v="Wells Fargo"/>
    <s v="1Point Rate"/>
    <s v="MTG"/>
    <x v="39"/>
    <n v="3.7143356375412493"/>
  </r>
  <r>
    <x v="3"/>
    <s v="Wells Fargo"/>
    <s v="1Point Rate"/>
    <s v="MTG"/>
    <x v="40"/>
    <n v="3.7143356375412493"/>
  </r>
  <r>
    <x v="3"/>
    <s v="Wells Fargo"/>
    <s v="1Point Rate"/>
    <s v="MTG"/>
    <x v="41"/>
    <n v="3.7970808882673373"/>
  </r>
  <r>
    <x v="3"/>
    <s v="Wells Fargo"/>
    <s v="1Point Rate"/>
    <s v="MTG"/>
    <x v="42"/>
    <n v="3.7970808882673373"/>
  </r>
  <r>
    <x v="3"/>
    <s v="Wells Fargo"/>
    <s v="1Point Rate"/>
    <s v="MTG"/>
    <x v="43"/>
    <n v="3.7970808882673373"/>
  </r>
  <r>
    <x v="3"/>
    <s v="Wells Fargo"/>
    <s v="1Point Rate"/>
    <s v="MTG"/>
    <x v="44"/>
    <n v="3.7970808882673373"/>
  </r>
  <r>
    <x v="3"/>
    <s v="Wells Fargo"/>
    <s v="1Point Rate"/>
    <s v="MTG"/>
    <x v="45"/>
    <n v="3.8404694400308417"/>
  </r>
  <r>
    <x v="3"/>
    <s v="Wells Fargo"/>
    <s v="1Point Rate"/>
    <s v="MTG"/>
    <x v="46"/>
    <n v="3.9020859403395352"/>
  </r>
  <r>
    <x v="3"/>
    <s v="Wells Fargo"/>
    <s v="1Point Rate"/>
    <s v="MTG"/>
    <x v="47"/>
    <n v="3.9020859403395352"/>
  </r>
  <r>
    <x v="3"/>
    <s v="Wells Fargo"/>
    <s v="1Point Rate"/>
    <s v="MTG"/>
    <x v="48"/>
    <n v="3.7970808882673373"/>
  </r>
  <r>
    <x v="3"/>
    <s v="Wells Fargo"/>
    <s v="1Point Rate"/>
    <s v="MTG"/>
    <x v="49"/>
    <n v="3.8860333333333337"/>
  </r>
  <r>
    <x v="3"/>
    <s v="Wells Fargo"/>
    <s v="1Point Rate"/>
    <s v="MTG"/>
    <x v="50"/>
    <n v="3.9233367709935867"/>
  </r>
  <r>
    <x v="3"/>
    <s v="Wells Fargo"/>
    <s v="1Point Rate"/>
    <s v="MTG"/>
    <x v="51"/>
    <n v="3.9233367709935867"/>
  </r>
  <r>
    <x v="3"/>
    <s v="Wells Fargo"/>
    <s v="1Point Rate"/>
    <s v="MTG"/>
    <x v="52"/>
    <n v="3.8860333333333337"/>
  </r>
  <r>
    <x v="3"/>
    <s v="Wells Fargo"/>
    <s v="1Point Rate"/>
    <s v="MTG"/>
    <x v="53"/>
    <n v="3.8404694400308417"/>
  </r>
  <r>
    <x v="3"/>
    <s v="Wells Fargo"/>
    <s v="1Point Rate"/>
    <s v="MTG"/>
    <x v="54"/>
    <n v="3.8404694400308417"/>
  </r>
  <r>
    <x v="3"/>
    <s v="Wells Fargo"/>
    <s v="1Point Rate"/>
    <s v="MTG"/>
    <x v="55"/>
    <n v="3.9041371618374376"/>
  </r>
  <r>
    <x v="3"/>
    <s v="Wells Fargo"/>
    <s v="1Point Rate"/>
    <s v="MTG"/>
    <x v="56"/>
    <n v="3.9041371618374376"/>
  </r>
  <r>
    <x v="3"/>
    <s v="Wells Fargo"/>
    <s v="1Point Rate"/>
    <s v="MTG"/>
    <x v="57"/>
    <n v="3.9041371618374376"/>
  </r>
  <r>
    <x v="3"/>
    <s v="Wells Fargo"/>
    <s v="1Point Rate"/>
    <s v="MTG"/>
    <x v="58"/>
    <n v="3.7749314548968891"/>
  </r>
  <r>
    <x v="3"/>
    <s v="Wells Fargo"/>
    <s v="1Point Rate"/>
    <s v="MTG"/>
    <x v="59"/>
    <n v="3.7749314548968891"/>
  </r>
  <r>
    <x v="3"/>
    <s v="Wells Fargo"/>
    <s v="1Point Rate"/>
    <s v="MTG"/>
    <x v="60"/>
    <n v="3.7749314548968891"/>
  </r>
  <r>
    <x v="3"/>
    <s v="Wells Fargo"/>
    <s v="1Point Rate"/>
    <s v="MTG"/>
    <x v="61"/>
    <n v="3.7761730843118855"/>
  </r>
  <r>
    <x v="3"/>
    <s v="Wells Fargo"/>
    <s v="1Point Rate"/>
    <s v="MTG"/>
    <x v="62"/>
    <n v="3.7761730843118855"/>
  </r>
  <r>
    <x v="3"/>
    <s v="Wells Fargo"/>
    <s v="1Point Rate"/>
    <s v="MTG"/>
    <x v="63"/>
    <n v="4.0557276764206129"/>
  </r>
  <r>
    <x v="3"/>
    <s v="Wells Fargo"/>
    <s v="1Point Rate"/>
    <s v="MTG"/>
    <x v="64"/>
    <n v="4.0557276764206129"/>
  </r>
  <r>
    <x v="3"/>
    <s v="Wells Fargo"/>
    <s v="1Point Rate"/>
    <s v="MTG"/>
    <x v="65"/>
    <n v="4.1817004181546098"/>
  </r>
  <r>
    <x v="3"/>
    <s v="Wells Fargo"/>
    <s v="1Point Rate"/>
    <s v="MTG"/>
    <x v="66"/>
    <n v="4.1237077500397357"/>
  </r>
  <r>
    <x v="3"/>
    <s v="Wells Fargo"/>
    <s v="1Point Rate"/>
    <s v="MTG"/>
    <x v="67"/>
    <n v="4.2186106422383469"/>
  </r>
  <r>
    <x v="3"/>
    <s v="Wells Fargo"/>
    <s v="1Point Rate"/>
    <s v="MTG"/>
    <x v="68"/>
    <n v="4.1873439755716797"/>
  </r>
  <r>
    <x v="3"/>
    <s v="Wells Fargo"/>
    <s v="1Point Rate"/>
    <s v="MTG"/>
    <x v="69"/>
    <n v="4.1873439755716797"/>
  </r>
  <r>
    <x v="3"/>
    <s v="Wells Fargo"/>
    <s v="1Point Rate"/>
    <s v="MTG"/>
    <x v="70"/>
    <n v="4.310586640999877"/>
  </r>
  <r>
    <x v="3"/>
    <s v="Wells Fargo"/>
    <s v="1Point Rate"/>
    <s v="MTG"/>
    <x v="71"/>
    <n v="4.2186106422383469"/>
  </r>
  <r>
    <x v="3"/>
    <s v="Wells Fargo"/>
    <s v="1Point Rate"/>
    <s v="MTG"/>
    <x v="72"/>
    <n v="4.2186106422383469"/>
  </r>
  <r>
    <x v="3"/>
    <s v="Wells Fargo"/>
    <s v="1Point Rate"/>
    <s v="MTG"/>
    <x v="73"/>
    <n v="4.1817004181546098"/>
  </r>
  <r>
    <x v="3"/>
    <s v="Wells Fargo"/>
    <s v="1Point Rate"/>
    <s v="MTG"/>
    <x v="74"/>
    <n v="4.1817004181546098"/>
  </r>
  <r>
    <x v="3"/>
    <s v="Wells Fargo"/>
    <s v="1Point Rate"/>
    <s v="MTG"/>
    <x v="75"/>
    <n v="4.1873439755716797"/>
  </r>
  <r>
    <x v="3"/>
    <s v="Wells Fargo"/>
    <s v="1Point Rate"/>
    <s v="MTG"/>
    <x v="76"/>
    <n v="4.1873439755716797"/>
  </r>
  <r>
    <x v="3"/>
    <s v="Wells Fargo"/>
    <s v="1Point Rate"/>
    <s v="MTG"/>
    <x v="77"/>
    <n v="4.1817004181546098"/>
  </r>
  <r>
    <x v="3"/>
    <s v="Wells Fargo"/>
    <s v="1Point Rate"/>
    <s v="MTG"/>
    <x v="78"/>
    <n v="4.1873439755716797"/>
  </r>
  <r>
    <x v="3"/>
    <s v="Wells Fargo"/>
    <s v="1Point Rate"/>
    <s v="MTG"/>
    <x v="79"/>
    <n v="4.2186106422383469"/>
  </r>
  <r>
    <x v="3"/>
    <s v="Wells Fargo"/>
    <s v="1Point Rate"/>
    <s v="MTG"/>
    <x v="80"/>
    <n v="4.2186106422383469"/>
  </r>
  <r>
    <x v="3"/>
    <s v="Wells Fargo"/>
    <s v="1Point Rate"/>
    <s v="MTG"/>
    <x v="81"/>
    <n v="4.2186106422383469"/>
  </r>
  <r>
    <x v="3"/>
    <s v="Wells Fargo"/>
    <s v="1Point Rate"/>
    <s v="MTG"/>
    <x v="82"/>
    <n v="4.310586640999877"/>
  </r>
  <r>
    <x v="3"/>
    <s v="Wells Fargo"/>
    <s v="1Point Rate"/>
    <s v="MTG"/>
    <x v="83"/>
    <n v="4.2186106422383469"/>
  </r>
  <r>
    <x v="3"/>
    <s v="Wells Fargo"/>
    <s v="1Point Rate"/>
    <s v="MTG"/>
    <x v="84"/>
    <n v="4.1873439755716797"/>
  </r>
  <r>
    <x v="3"/>
    <s v="Wells Fargo"/>
    <s v="1Point Rate"/>
    <s v="MTG"/>
    <x v="85"/>
    <n v="4.2186106422383469"/>
  </r>
  <r>
    <x v="3"/>
    <s v="Wells Fargo"/>
    <s v="1Point Rate"/>
    <s v="MTG"/>
    <x v="86"/>
    <n v="4.2186106422383469"/>
  </r>
  <r>
    <x v="3"/>
    <s v="Wells Fargo"/>
    <s v="1Point Rate"/>
    <s v="MTG"/>
    <x v="87"/>
    <n v="4.1237077500397357"/>
  </r>
  <r>
    <x v="3"/>
    <s v="Wells Fargo"/>
    <s v="1Point Rate"/>
    <s v="MTG"/>
    <x v="88"/>
    <n v="4.0612077500397348"/>
  </r>
  <r>
    <x v="3"/>
    <s v="Wells Fargo"/>
    <s v="1Point Rate"/>
    <s v="MTG"/>
    <x v="89"/>
    <n v="4.092474416706402"/>
  </r>
  <r>
    <x v="3"/>
    <s v="Wells Fargo"/>
    <s v="1Point Rate"/>
    <s v="MTG"/>
    <x v="90"/>
    <n v="4.092474416706402"/>
  </r>
  <r>
    <x v="3"/>
    <s v="Wells Fargo"/>
    <s v="1Point Rate"/>
    <s v="MTG"/>
    <x v="91"/>
    <n v="4.1873439755716797"/>
  </r>
  <r>
    <x v="3"/>
    <s v="Wells Fargo"/>
    <s v="1Point Rate"/>
    <s v="MTG"/>
    <x v="92"/>
    <n v="4.2498439755716797"/>
  </r>
  <r>
    <x v="3"/>
    <s v="Wells Fargo"/>
    <s v="1Point Rate"/>
    <s v="MTG"/>
    <x v="93"/>
    <n v="4.1873439755716797"/>
  </r>
  <r>
    <x v="3"/>
    <s v="Wells Fargo"/>
    <s v="1Point Rate"/>
    <s v="MTG"/>
    <x v="94"/>
    <n v="4.1237077500397357"/>
  </r>
  <r>
    <x v="3"/>
    <s v="Wells Fargo"/>
    <s v="1Point Rate"/>
    <s v="MTG"/>
    <x v="95"/>
    <n v="4.1817004181546098"/>
  </r>
  <r>
    <x v="3"/>
    <s v="Wells Fargo"/>
    <s v="1Point Rate"/>
    <s v="MTG"/>
    <x v="96"/>
    <n v="4.1237077500397357"/>
  </r>
  <r>
    <x v="3"/>
    <s v="Wells Fargo"/>
    <s v="1Point Rate"/>
    <s v="MTG"/>
    <x v="97"/>
    <n v="4.1817004181546098"/>
  </r>
  <r>
    <x v="3"/>
    <s v="Wells Fargo"/>
    <s v="1Point Rate"/>
    <s v="MTG"/>
    <x v="98"/>
    <n v="4.1237077500397357"/>
  </r>
  <r>
    <x v="3"/>
    <s v="Wells Fargo"/>
    <s v="1Point Rate"/>
    <s v="MTG"/>
    <x v="99"/>
    <n v="4.1237077500397357"/>
  </r>
  <r>
    <x v="3"/>
    <s v="Wells Fargo"/>
    <s v="1Point Rate"/>
    <s v="MTG"/>
    <x v="100"/>
    <n v="4.1237077500397357"/>
  </r>
  <r>
    <x v="3"/>
    <s v="Wells Fargo"/>
    <s v="1Point Rate"/>
    <s v="MTG"/>
    <x v="101"/>
    <n v="4.0612077500397348"/>
  </r>
  <r>
    <x v="3"/>
    <s v="Wells Fargo"/>
    <s v="1Point Rate"/>
    <s v="MTG"/>
    <x v="102"/>
    <n v="4.0557276764206129"/>
  </r>
  <r>
    <x v="3"/>
    <s v="Wells Fargo"/>
    <s v="1Point Rate"/>
    <s v="MTG"/>
    <x v="103"/>
    <n v="4.0557276764206129"/>
  </r>
  <r>
    <x v="3"/>
    <s v="Wells Fargo"/>
    <s v="1Point Rate"/>
    <s v="MTG"/>
    <x v="104"/>
    <n v="4.0557276764206129"/>
  </r>
  <r>
    <x v="3"/>
    <s v="Wells Fargo"/>
    <s v="1Point Rate"/>
    <s v="MTG"/>
    <x v="105"/>
    <n v="4.0557276764206129"/>
  </r>
  <r>
    <x v="3"/>
    <s v="Wells Fargo"/>
    <s v="1Point Rate"/>
    <s v="MTG"/>
    <x v="106"/>
    <n v="3.966305483037543"/>
  </r>
  <r>
    <x v="3"/>
    <s v="Wells Fargo"/>
    <s v="1Point Rate"/>
    <s v="MTG"/>
    <x v="107"/>
    <n v="3.966305483037543"/>
  </r>
  <r>
    <x v="3"/>
    <s v="Wells Fargo"/>
    <s v="1Point Rate"/>
    <s v="MTG"/>
    <x v="108"/>
    <n v="3.9975388163708763"/>
  </r>
  <r>
    <x v="3"/>
    <s v="Wells Fargo"/>
    <s v="1Point Rate"/>
    <s v="MTG"/>
    <x v="109"/>
    <n v="4.0557276764206129"/>
  </r>
  <r>
    <x v="3"/>
    <s v="Wells Fargo"/>
    <s v="1Point Rate"/>
    <s v="MTG"/>
    <x v="110"/>
    <n v="4.0557276764206129"/>
  </r>
  <r>
    <x v="3"/>
    <s v="Wells Fargo"/>
    <s v="1Point Rate"/>
    <s v="MTG"/>
    <x v="111"/>
    <n v="3.9975388163708763"/>
  </r>
  <r>
    <x v="3"/>
    <s v="Wells Fargo"/>
    <s v="1Point Rate"/>
    <s v="MTG"/>
    <x v="112"/>
    <n v="3.9975388163708763"/>
  </r>
  <r>
    <x v="3"/>
    <s v="Wells Fargo"/>
    <s v="1Point Rate"/>
    <s v="MTG"/>
    <x v="113"/>
    <n v="3.966305483037543"/>
  </r>
  <r>
    <x v="3"/>
    <s v="Wells Fargo"/>
    <s v="1Point Rate"/>
    <s v="MTG"/>
    <x v="114"/>
    <n v="3.932044793512913"/>
  </r>
  <r>
    <x v="3"/>
    <s v="Wells Fargo"/>
    <s v="1Point Rate"/>
    <s v="MTG"/>
    <x v="115"/>
    <n v="3.966305483037543"/>
  </r>
  <r>
    <x v="3"/>
    <s v="Wells Fargo"/>
    <s v="1Point Rate"/>
    <s v="MTG"/>
    <x v="116"/>
    <n v="3.966305483037543"/>
  </r>
  <r>
    <x v="3"/>
    <s v="Wells Fargo"/>
    <s v="1Point Rate"/>
    <s v="MTG"/>
    <x v="117"/>
    <n v="3.932044793512913"/>
  </r>
  <r>
    <x v="3"/>
    <s v="Wells Fargo"/>
    <s v="1Point Rate"/>
    <s v="MTG"/>
    <x v="118"/>
    <n v="3.932044793512913"/>
  </r>
  <r>
    <x v="3"/>
    <s v="Wells Fargo"/>
    <s v="1Point Rate"/>
    <s v="MTG"/>
    <x v="119"/>
    <n v="3.929789796110164"/>
  </r>
  <r>
    <x v="3"/>
    <s v="Wells Fargo"/>
    <s v="1Point Rate"/>
    <s v="MTG"/>
    <x v="120"/>
    <n v="3.8714038285041039"/>
  </r>
  <r>
    <x v="3"/>
    <s v="Wells Fargo"/>
    <s v="1Point Rate"/>
    <s v="MTG"/>
    <x v="121"/>
    <n v="3.8401704951707707"/>
  </r>
  <r>
    <x v="3"/>
    <s v="Wells Fargo"/>
    <s v="1Point Rate"/>
    <s v="MTG"/>
    <x v="122"/>
    <n v="3.8058878744011344"/>
  </r>
  <r>
    <x v="3"/>
    <s v="Wells Fargo"/>
    <s v="1Point Rate"/>
    <s v="MTG"/>
    <x v="123"/>
    <n v="3.929789796110164"/>
  </r>
  <r>
    <x v="3"/>
    <s v="Wells Fargo"/>
    <s v="1Point Rate"/>
    <s v="MTG"/>
    <x v="124"/>
    <n v="3.932044793512913"/>
  </r>
  <r>
    <x v="3"/>
    <s v="Wells Fargo"/>
    <s v="1Point Rate"/>
    <s v="MTG"/>
    <x v="125"/>
    <n v="3.966305483037543"/>
  </r>
  <r>
    <x v="3"/>
    <s v="Wells Fargo"/>
    <s v="1Point Rate"/>
    <s v="MTG"/>
    <x v="126"/>
    <n v="3.932044793512913"/>
  </r>
  <r>
    <x v="3"/>
    <s v="Wells Fargo"/>
    <s v="1Point Rate"/>
    <s v="MTG"/>
    <x v="127"/>
    <n v="3.966305483037543"/>
  </r>
  <r>
    <x v="3"/>
    <s v="Wells Fargo"/>
    <s v="1Point Rate"/>
    <s v="MTG"/>
    <x v="128"/>
    <n v="3.966305483037543"/>
  </r>
  <r>
    <x v="3"/>
    <s v="Wells Fargo"/>
    <s v="1Point Rate"/>
    <s v="MTG"/>
    <x v="129"/>
    <n v="3.966305483037543"/>
  </r>
  <r>
    <x v="3"/>
    <s v="Wells Fargo"/>
    <s v="1Point Rate"/>
    <s v="MTG"/>
    <x v="130"/>
    <n v="3.966305483037543"/>
  </r>
  <r>
    <x v="3"/>
    <s v="Wells Fargo"/>
    <s v="1Point Rate"/>
    <s v="MTG"/>
    <x v="131"/>
    <n v="3.932044793512913"/>
  </r>
  <r>
    <x v="3"/>
    <s v="Wells Fargo"/>
    <s v="1Point Rate"/>
    <s v="MTG"/>
    <x v="132"/>
    <n v="3.966305483037543"/>
  </r>
  <r>
    <x v="3"/>
    <s v="Wells Fargo"/>
    <s v="1Point Rate"/>
    <s v="MTG"/>
    <x v="133"/>
    <n v="3.9975388163708763"/>
  </r>
  <r>
    <x v="3"/>
    <s v="Wells Fargo"/>
    <s v="1Point Rate"/>
    <s v="MTG"/>
    <x v="134"/>
    <n v="3.966305483037543"/>
  </r>
  <r>
    <x v="3"/>
    <s v="Wells Fargo"/>
    <s v="1Point Rate"/>
    <s v="MTG"/>
    <x v="135"/>
    <n v="3.966305483037543"/>
  </r>
  <r>
    <x v="3"/>
    <s v="Wells Fargo"/>
    <s v="1Point Rate"/>
    <s v="MTG"/>
    <x v="136"/>
    <n v="3.932044793512913"/>
  </r>
  <r>
    <x v="3"/>
    <s v="Wells Fargo"/>
    <s v="1Point Rate"/>
    <s v="MTG"/>
    <x v="137"/>
    <n v="4.0557276764206129"/>
  </r>
  <r>
    <x v="3"/>
    <s v="Wells Fargo"/>
    <s v="1Point Rate"/>
    <s v="MTG"/>
    <x v="138"/>
    <n v="4.0557276764206129"/>
  </r>
  <r>
    <x v="3"/>
    <s v="Wells Fargo"/>
    <s v="1Point Rate"/>
    <s v="MTG"/>
    <x v="139"/>
    <n v="3.966305483037543"/>
  </r>
  <r>
    <x v="3"/>
    <s v="Wells Fargo"/>
    <s v="1Point Rate"/>
    <s v="MTG"/>
    <x v="140"/>
    <n v="3.932044793512913"/>
  </r>
  <r>
    <x v="3"/>
    <s v="Wells Fargo"/>
    <s v="1Point Rate"/>
    <s v="MTG"/>
    <x v="141"/>
    <n v="3.932044793512913"/>
  </r>
  <r>
    <x v="3"/>
    <s v="Wells Fargo"/>
    <s v="1Point Rate"/>
    <s v="MTG"/>
    <x v="142"/>
    <n v="3.932044793512913"/>
  </r>
  <r>
    <x v="3"/>
    <s v="Wells Fargo"/>
    <s v="1Point Rate"/>
    <s v="MTG"/>
    <x v="143"/>
    <n v="3.932044793512913"/>
  </r>
  <r>
    <x v="3"/>
    <s v="Wells Fargo"/>
    <s v="1Point Rate"/>
    <s v="MTG"/>
    <x v="144"/>
    <n v="3.8714038285041039"/>
  </r>
  <r>
    <x v="3"/>
    <s v="Wells Fargo"/>
    <s v="1Point Rate"/>
    <s v="MTG"/>
    <x v="145"/>
    <n v="3.932044793512913"/>
  </r>
  <r>
    <x v="3"/>
    <s v="Wells Fargo"/>
    <s v="1Point Rate"/>
    <s v="MTG"/>
    <x v="146"/>
    <n v="3.9691038719099652"/>
  </r>
  <r>
    <x v="3"/>
    <s v="Wells Fargo"/>
    <s v="1Point Rate"/>
    <s v="MTG"/>
    <x v="147"/>
    <n v="3.836185909281542"/>
  </r>
  <r>
    <x v="3"/>
    <s v="Wells Fargo"/>
    <s v="1Point Rate"/>
    <s v="MTG"/>
    <x v="148"/>
    <n v="3.836185909281542"/>
  </r>
  <r>
    <x v="3"/>
    <s v="Wells Fargo"/>
    <s v="1Point Rate"/>
    <s v="MTG"/>
    <x v="149"/>
    <n v="3.8432439415632444"/>
  </r>
  <r>
    <x v="3"/>
    <s v="Wells Fargo"/>
    <s v="1Point Rate"/>
    <s v="MTG"/>
    <x v="150"/>
    <n v="3.7786134524895099"/>
  </r>
  <r>
    <x v="3"/>
    <s v="Wells Fargo"/>
    <s v="1Point Rate"/>
    <s v="MTG"/>
    <x v="151"/>
    <n v="3.8674525759482088"/>
  </r>
  <r>
    <x v="3"/>
    <s v="Wells Fargo"/>
    <s v="1Point Rate"/>
    <s v="MTG"/>
    <x v="152"/>
    <n v="3.9691038719099652"/>
  </r>
  <r>
    <x v="3"/>
    <s v="Wells Fargo"/>
    <s v="1Point Rate"/>
    <s v="MTG"/>
    <x v="153"/>
    <n v="3.9691038719099652"/>
  </r>
  <r>
    <x v="3"/>
    <s v="Wells Fargo"/>
    <s v="1Point Rate"/>
    <s v="MTG"/>
    <x v="154"/>
    <n v="3.9691038719099652"/>
  </r>
  <r>
    <x v="3"/>
    <s v="Wells Fargo"/>
    <s v="1Point Rate"/>
    <s v="MTG"/>
    <x v="155"/>
    <n v="3.9935656386559404"/>
  </r>
  <r>
    <x v="3"/>
    <s v="Wells Fargo"/>
    <s v="1Point Rate"/>
    <s v="MTG"/>
    <x v="156"/>
    <n v="3.9691038719099652"/>
  </r>
  <r>
    <x v="3"/>
    <s v="Wells Fargo"/>
    <s v="1Point Rate"/>
    <s v="MTG"/>
    <x v="157"/>
    <n v="3.9077289127981323"/>
  </r>
  <r>
    <x v="3"/>
    <s v="Wells Fargo"/>
    <s v="1Point Rate"/>
    <s v="MTG"/>
    <x v="158"/>
    <n v="3.9077289127981323"/>
  </r>
  <r>
    <x v="3"/>
    <s v="Wells Fargo"/>
    <s v="1Point Rate"/>
    <s v="MTG"/>
    <x v="159"/>
    <n v="3.9691038719099652"/>
  </r>
  <r>
    <x v="3"/>
    <s v="Wells Fargo"/>
    <s v="1Point Rate"/>
    <s v="MTG"/>
    <x v="160"/>
    <n v="3.9691038719099652"/>
  </r>
  <r>
    <x v="3"/>
    <s v="Wells Fargo"/>
    <s v="1Point Rate"/>
    <s v="MTG"/>
    <x v="161"/>
    <n v="3.9935656386559404"/>
  </r>
  <r>
    <x v="3"/>
    <s v="Wells Fargo"/>
    <s v="1Point Rate"/>
    <s v="MTG"/>
    <x v="162"/>
    <n v="3.9622989719892732"/>
  </r>
  <r>
    <x v="3"/>
    <s v="Wells Fargo"/>
    <s v="1Point Rate"/>
    <s v="MTG"/>
    <x v="163"/>
    <n v="3.9622989719892732"/>
  </r>
  <r>
    <x v="3"/>
    <s v="Wells Fargo"/>
    <s v="1Point Rate"/>
    <s v="MTG"/>
    <x v="164"/>
    <n v="3.9622989719892732"/>
  </r>
  <r>
    <x v="3"/>
    <s v="Wells Fargo"/>
    <s v="1Point Rate"/>
    <s v="MTG"/>
    <x v="165"/>
    <n v="3.9935656386559404"/>
  </r>
  <r>
    <x v="3"/>
    <s v="Wells Fargo"/>
    <s v="1Point Rate"/>
    <s v="MTG"/>
    <x v="166"/>
    <n v="3.9622989719892732"/>
  </r>
  <r>
    <x v="3"/>
    <s v="Wells Fargo"/>
    <s v="1Point Rate"/>
    <s v="MTG"/>
    <x v="167"/>
    <n v="3.9622989719892732"/>
  </r>
  <r>
    <x v="3"/>
    <s v="Wells Fargo"/>
    <s v="1Point Rate"/>
    <s v="MTG"/>
    <x v="168"/>
    <n v="4.09493246058208"/>
  </r>
  <r>
    <x v="3"/>
    <s v="Wells Fargo"/>
    <s v="1Point Rate"/>
    <s v="MTG"/>
    <x v="169"/>
    <n v="4.0884460824161017"/>
  </r>
  <r>
    <x v="3"/>
    <s v="Wells Fargo"/>
    <s v="1Point Rate"/>
    <s v="MTG"/>
    <x v="170"/>
    <n v="4.09493246058208"/>
  </r>
  <r>
    <x v="3"/>
    <s v="Wells Fargo"/>
    <s v="1Point Rate"/>
    <s v="MTG"/>
    <x v="171"/>
    <n v="3.9935656386559404"/>
  </r>
  <r>
    <x v="3"/>
    <s v="Wells Fargo"/>
    <s v="1Point Rate"/>
    <s v="MTG"/>
    <x v="172"/>
    <n v="4.0337762365220735"/>
  </r>
  <r>
    <x v="3"/>
    <s v="Wells Fargo"/>
    <s v="1Point Rate"/>
    <s v="MTG"/>
    <x v="173"/>
    <n v="4.09493246058208"/>
  </r>
  <r>
    <x v="3"/>
    <s v="Wells Fargo"/>
    <s v="1Point Rate"/>
    <s v="MTG"/>
    <x v="174"/>
    <n v="4.119712749082769"/>
  </r>
  <r>
    <x v="3"/>
    <s v="Wells Fargo"/>
    <s v="1Point Rate"/>
    <s v="MTG"/>
    <x v="175"/>
    <n v="4.1598579134474827"/>
  </r>
  <r>
    <x v="3"/>
    <s v="Wells Fargo"/>
    <s v="1Point Rate"/>
    <s v="MTG"/>
    <x v="176"/>
    <n v="4.1598579134474827"/>
  </r>
  <r>
    <x v="3"/>
    <s v="Wells Fargo"/>
    <s v="1Point Rate"/>
    <s v="MTG"/>
    <x v="177"/>
    <n v="4.1598579134474827"/>
  </r>
  <r>
    <x v="3"/>
    <s v="Wells Fargo"/>
    <s v="1Point Rate"/>
    <s v="MTG"/>
    <x v="178"/>
    <n v="4.0337762365220735"/>
  </r>
  <r>
    <x v="3"/>
    <s v="Wells Fargo"/>
    <s v="1Point Rate"/>
    <s v="MTG"/>
    <x v="179"/>
    <n v="3.9935656386559404"/>
  </r>
  <r>
    <x v="3"/>
    <s v="Wells Fargo"/>
    <s v="1Point Rate"/>
    <s v="MTG"/>
    <x v="180"/>
    <n v="4.0337762365220735"/>
  </r>
  <r>
    <x v="3"/>
    <s v="Wells Fargo"/>
    <s v="1Point Rate"/>
    <s v="MTG"/>
    <x v="181"/>
    <n v="4.0337762365220735"/>
  </r>
  <r>
    <x v="3"/>
    <s v="Wells Fargo"/>
    <s v="1Point Rate"/>
    <s v="MTG"/>
    <x v="182"/>
    <n v="3.9622989719892732"/>
  </r>
  <r>
    <x v="3"/>
    <s v="Wells Fargo"/>
    <s v="1Point Rate"/>
    <s v="MTG"/>
    <x v="183"/>
    <n v="3.9622989719892732"/>
  </r>
  <r>
    <x v="3"/>
    <s v="Wells Fargo"/>
    <s v="1Point Rate"/>
    <s v="MTG"/>
    <x v="184"/>
    <n v="3.965632305322607"/>
  </r>
  <r>
    <x v="3"/>
    <s v="Wells Fargo"/>
    <s v="1Point Rate"/>
    <s v="MTG"/>
    <x v="185"/>
    <n v="3.965632305322607"/>
  </r>
  <r>
    <x v="3"/>
    <s v="Wells Fargo"/>
    <s v="1Point Rate"/>
    <s v="MTG"/>
    <x v="186"/>
    <n v="3.965632305322607"/>
  </r>
  <r>
    <x v="3"/>
    <s v="Wells Fargo"/>
    <s v="1Point Rate"/>
    <s v="MTG"/>
    <x v="187"/>
    <n v="3.965632305322607"/>
  </r>
  <r>
    <x v="3"/>
    <s v="Wells Fargo"/>
    <s v="1Point Rate"/>
    <s v="MTG"/>
    <x v="188"/>
    <n v="3.965632305322607"/>
  </r>
  <r>
    <x v="3"/>
    <s v="Wells Fargo"/>
    <s v="1Point Rate"/>
    <s v="MTG"/>
    <x v="189"/>
    <n v="3.9110622461314657"/>
  </r>
  <r>
    <x v="3"/>
    <s v="Wells Fargo"/>
    <s v="1Point Rate"/>
    <s v="MTG"/>
    <x v="190"/>
    <n v="3.9110622461314657"/>
  </r>
  <r>
    <x v="3"/>
    <s v="Wells Fargo"/>
    <s v="1Point Rate"/>
    <s v="MTG"/>
    <x v="191"/>
    <n v="4.0371095698554074"/>
  </r>
  <r>
    <x v="3"/>
    <s v="Wells Fargo"/>
    <s v="1Point Rate"/>
    <s v="MTG"/>
    <x v="192"/>
    <n v="3.9724372052432981"/>
  </r>
  <r>
    <x v="3"/>
    <s v="Wells Fargo"/>
    <s v="1Point Rate"/>
    <s v="MTG"/>
    <x v="193"/>
    <n v="3.9724372052432981"/>
  </r>
  <r>
    <x v="3"/>
    <s v="Wells Fargo"/>
    <s v="1Point Rate"/>
    <s v="MTG"/>
    <x v="194"/>
    <n v="3.9724372052432981"/>
  </r>
  <r>
    <x v="3"/>
    <s v="Wells Fargo"/>
    <s v="1Point Rate"/>
    <s v="MTG"/>
    <x v="195"/>
    <n v="3.965632305322607"/>
  </r>
  <r>
    <x v="3"/>
    <s v="Wells Fargo"/>
    <s v="1Point Rate"/>
    <s v="MTG"/>
    <x v="196"/>
    <n v="3.965632305322607"/>
  </r>
  <r>
    <x v="3"/>
    <s v="Wells Fargo"/>
    <s v="1Point Rate"/>
    <s v="MTG"/>
    <x v="197"/>
    <n v="3.9724372052432981"/>
  </r>
  <r>
    <x v="3"/>
    <s v="Wells Fargo"/>
    <s v="1Point Rate"/>
    <s v="MTG"/>
    <x v="198"/>
    <n v="3.9724372052432981"/>
  </r>
  <r>
    <x v="3"/>
    <s v="Wells Fargo"/>
    <s v="1Point Rate"/>
    <s v="MTG"/>
    <x v="199"/>
    <n v="4.0371095698554074"/>
  </r>
  <r>
    <x v="3"/>
    <s v="Wells Fargo"/>
    <s v="1Point Rate"/>
    <s v="MTG"/>
    <x v="200"/>
    <n v="4.0371095698554074"/>
  </r>
  <r>
    <x v="3"/>
    <s v="Wells Fargo"/>
    <s v="1Point Rate"/>
    <s v="MTG"/>
    <x v="201"/>
    <n v="4.0371095698554074"/>
  </r>
  <r>
    <x v="3"/>
    <s v="Wells Fargo"/>
    <s v="1Point Rate"/>
    <s v="MTG"/>
    <x v="202"/>
    <n v="3.965632305322607"/>
  </r>
  <r>
    <x v="3"/>
    <s v="Wells Fargo"/>
    <s v="1Point Rate"/>
    <s v="MTG"/>
    <x v="203"/>
    <n v="3.965632305322607"/>
  </r>
  <r>
    <x v="3"/>
    <s v="Wells Fargo"/>
    <s v="1Point Rate"/>
    <s v="MTG"/>
    <x v="204"/>
    <n v="3.965632305322607"/>
  </r>
  <r>
    <x v="3"/>
    <s v="Wells Fargo"/>
    <s v="1Point Rate"/>
    <s v="MTG"/>
    <x v="205"/>
    <n v="4.0371095698554074"/>
  </r>
  <r>
    <x v="3"/>
    <s v="Wells Fargo"/>
    <s v="1Point Rate"/>
    <s v="MTG"/>
    <x v="206"/>
    <n v="4.0371095698554074"/>
  </r>
  <r>
    <x v="3"/>
    <s v="Wells Fargo"/>
    <s v="1Point Rate"/>
    <s v="MTG"/>
    <x v="207"/>
    <n v="3.9968989719892734"/>
  </r>
  <r>
    <x v="3"/>
    <s v="Wells Fargo"/>
    <s v="1Point Rate"/>
    <s v="MTG"/>
    <x v="208"/>
    <n v="3.9968989719892734"/>
  </r>
  <r>
    <x v="3"/>
    <s v="Wells Fargo"/>
    <s v="1Point Rate"/>
    <s v="MTG"/>
    <x v="209"/>
    <n v="4.0371095698554074"/>
  </r>
  <r>
    <x v="3"/>
    <s v="Wells Fargo"/>
    <s v="1Point Rate"/>
    <s v="MTG"/>
    <x v="210"/>
    <n v="3.9968989719892734"/>
  </r>
  <r>
    <x v="3"/>
    <s v="Wells Fargo"/>
    <s v="1Point Rate"/>
    <s v="MTG"/>
    <x v="211"/>
    <n v="3.9968989719892734"/>
  </r>
  <r>
    <x v="3"/>
    <s v="Wells Fargo"/>
    <s v="1Point Rate"/>
    <s v="MTG"/>
    <x v="212"/>
    <n v="3.965632305322607"/>
  </r>
  <r>
    <x v="3"/>
    <s v="Wells Fargo"/>
    <s v="1Point Rate"/>
    <s v="MTG"/>
    <x v="213"/>
    <n v="3.9110622461314657"/>
  </r>
  <r>
    <x v="3"/>
    <s v="Wells Fargo"/>
    <s v="1Point Rate"/>
    <s v="MTG"/>
    <x v="214"/>
    <n v="3.8395192426148759"/>
  </r>
  <r>
    <x v="3"/>
    <s v="Wells Fargo"/>
    <s v="1Point Rate"/>
    <s v="MTG"/>
    <x v="215"/>
    <n v="3.8395192426148759"/>
  </r>
  <r>
    <x v="3"/>
    <s v="Wells Fargo"/>
    <s v="1Point Rate"/>
    <s v="MTG"/>
    <x v="216"/>
    <n v="3.7819467858228437"/>
  </r>
  <r>
    <x v="3"/>
    <s v="Wells Fargo"/>
    <s v="1Point Rate"/>
    <s v="MTG"/>
    <x v="217"/>
    <n v="3.8465772748965774"/>
  </r>
  <r>
    <x v="3"/>
    <s v="Wells Fargo"/>
    <s v="1Point Rate"/>
    <s v="MTG"/>
    <x v="218"/>
    <n v="3.7819467858228437"/>
  </r>
  <r>
    <x v="3"/>
    <s v="Wells Fargo"/>
    <s v="1Point Rate"/>
    <s v="MTG"/>
    <x v="219"/>
    <n v="3.7133735457080617"/>
  </r>
  <r>
    <x v="3"/>
    <s v="Wells Fargo"/>
    <s v="1Point Rate"/>
    <s v="MTG"/>
    <x v="220"/>
    <n v="3.744640212374728"/>
  </r>
  <r>
    <x v="3"/>
    <s v="Wells Fargo"/>
    <s v="1Point Rate"/>
    <s v="MTG"/>
    <x v="221"/>
    <n v="3.7133735457080617"/>
  </r>
  <r>
    <x v="3"/>
    <s v="Wells Fargo"/>
    <s v="1Point Rate"/>
    <s v="MTG"/>
    <x v="222"/>
    <n v="3.7133735457080617"/>
  </r>
  <r>
    <x v="3"/>
    <s v="Wells Fargo"/>
    <s v="1Point Rate"/>
    <s v="MTG"/>
    <x v="223"/>
    <n v="3.7819467858228437"/>
  </r>
  <r>
    <x v="3"/>
    <s v="Wells Fargo"/>
    <s v="1Point Rate"/>
    <s v="MTG"/>
    <x v="224"/>
    <n v="3.744640212374728"/>
  </r>
  <r>
    <x v="3"/>
    <s v="Wells Fargo"/>
    <s v="1Point Rate"/>
    <s v="MTG"/>
    <x v="225"/>
    <n v="3.744640212374728"/>
  </r>
  <r>
    <x v="3"/>
    <s v="Wells Fargo"/>
    <s v="1Point Rate"/>
    <s v="MTG"/>
    <x v="226"/>
    <n v="3.7819467858228437"/>
  </r>
  <r>
    <x v="3"/>
    <s v="Wells Fargo"/>
    <s v="1Point Rate"/>
    <s v="MTG"/>
    <x v="227"/>
    <n v="3.744640212374728"/>
  </r>
  <r>
    <x v="3"/>
    <s v="Wells Fargo"/>
    <s v="1Point Rate"/>
    <s v="MTG"/>
    <x v="228"/>
    <n v="3.7133735457080617"/>
  </r>
  <r>
    <x v="3"/>
    <s v="Wells Fargo"/>
    <s v="1Point Rate"/>
    <s v="MTG"/>
    <x v="229"/>
    <n v="3.7454735457080615"/>
  </r>
  <r>
    <x v="3"/>
    <s v="Wells Fargo"/>
    <s v="1Point Rate"/>
    <s v="MTG"/>
    <x v="230"/>
    <n v="3.7142068790413951"/>
  </r>
  <r>
    <x v="3"/>
    <s v="Wells Fargo"/>
    <s v="1Point Rate"/>
    <s v="MTG"/>
    <x v="231"/>
    <n v="3.7142068790413951"/>
  </r>
  <r>
    <x v="3"/>
    <s v="Wells Fargo"/>
    <s v="1Point Rate"/>
    <s v="MTG"/>
    <x v="232"/>
    <n v="3.7142068790413951"/>
  </r>
  <r>
    <x v="3"/>
    <s v="Wells Fargo"/>
    <s v="1Point Rate"/>
    <s v="MTG"/>
    <x v="233"/>
    <n v="3.7454735457080615"/>
  </r>
  <r>
    <x v="3"/>
    <s v="Wells Fargo"/>
    <s v="1Point Rate"/>
    <s v="MTG"/>
    <x v="234"/>
    <n v="3.7142068790413951"/>
  </r>
  <r>
    <x v="3"/>
    <s v="Wells Fargo"/>
    <s v="1Point Rate"/>
    <s v="MTG"/>
    <x v="235"/>
    <n v="3.7142068790413951"/>
  </r>
  <r>
    <x v="3"/>
    <s v="Wells Fargo"/>
    <s v="1Point Rate"/>
    <s v="MTG"/>
    <x v="236"/>
    <n v="3.7142068790413951"/>
  </r>
  <r>
    <x v="3"/>
    <s v="Wells Fargo"/>
    <s v="1Point Rate"/>
    <s v="MTG"/>
    <x v="237"/>
    <n v="3.7215859582430575"/>
  </r>
  <r>
    <x v="3"/>
    <s v="Wells Fargo"/>
    <s v="1Point Rate"/>
    <s v="MTG"/>
    <x v="238"/>
    <n v="3.8474106082299104"/>
  </r>
  <r>
    <x v="3"/>
    <s v="Wells Fargo"/>
    <s v="1Point Rate"/>
    <s v="MTG"/>
    <x v="239"/>
    <n v="3.8474106082299104"/>
  </r>
  <r>
    <x v="3"/>
    <s v="Wells Fargo"/>
    <s v="1Point Rate"/>
    <s v="MTG"/>
    <x v="240"/>
    <n v="3.8474106082299104"/>
  </r>
  <r>
    <x v="3"/>
    <s v="Wells Fargo"/>
    <s v="1Point Rate"/>
    <s v="MTG"/>
    <x v="241"/>
    <n v="3.8403525759482089"/>
  </r>
  <r>
    <x v="3"/>
    <s v="Wells Fargo"/>
    <s v="1Point Rate"/>
    <s v="MTG"/>
    <x v="242"/>
    <n v="3.8474106082299104"/>
  </r>
  <r>
    <x v="3"/>
    <s v="Wells Fargo"/>
    <s v="1Point Rate"/>
    <s v="MTG"/>
    <x v="243"/>
    <n v="3.8474106082299104"/>
  </r>
  <r>
    <x v="3"/>
    <s v="Wells Fargo"/>
    <s v="1Point Rate"/>
    <s v="MTG"/>
    <x v="244"/>
    <n v="3.8403525759482089"/>
  </r>
  <r>
    <x v="3"/>
    <s v="Wells Fargo"/>
    <s v="1Point Rate"/>
    <s v="MTG"/>
    <x v="245"/>
    <n v="3.7827801191561767"/>
  </r>
  <r>
    <x v="3"/>
    <s v="Wells Fargo"/>
    <s v="1Point Rate"/>
    <s v="MTG"/>
    <x v="246"/>
    <n v="3.8221534112363487"/>
  </r>
  <r>
    <x v="3"/>
    <s v="Wells Fargo"/>
    <s v="1Point Rate"/>
    <s v="MTG"/>
    <x v="247"/>
    <n v="3.8221534112363487"/>
  </r>
  <r>
    <x v="3"/>
    <s v="Wells Fargo"/>
    <s v="1Point Rate"/>
    <s v="MTG"/>
    <x v="248"/>
    <n v="3.9896003554164103"/>
  </r>
  <r>
    <x v="3"/>
    <s v="Wells Fargo"/>
    <s v="1Point Rate"/>
    <s v="MTG"/>
    <x v="249"/>
    <n v="3.8585038285041042"/>
  </r>
  <r>
    <x v="3"/>
    <s v="Wells Fargo"/>
    <s v="1Point Rate"/>
    <s v="MTG"/>
    <x v="250"/>
    <n v="3.8585038285041042"/>
  </r>
  <r>
    <x v="3"/>
    <s v="Wells Fargo"/>
    <s v="1Point Rate"/>
    <s v="MTG"/>
    <x v="251"/>
    <n v="3.8897371618374375"/>
  </r>
  <r>
    <x v="3"/>
    <s v="Wells Fargo"/>
    <s v="1Point Rate"/>
    <s v="MTG"/>
    <x v="252"/>
    <n v="3.9481231294434975"/>
  </r>
  <r>
    <x v="3"/>
    <s v="Wells Fargo"/>
    <s v="1Point Rate"/>
    <s v="MTG"/>
    <x v="253"/>
    <n v="3.8897371618374375"/>
  </r>
  <r>
    <x v="3"/>
    <s v="Wells Fargo"/>
    <s v="1Point Rate"/>
    <s v="MTG"/>
    <x v="254"/>
    <n v="3.9481231294434975"/>
  </r>
  <r>
    <x v="3"/>
    <s v="Wells Fargo"/>
    <s v="1Point Rate"/>
    <s v="MTG"/>
    <x v="255"/>
    <n v="3.9481231294434975"/>
  </r>
  <r>
    <x v="3"/>
    <s v="Wells Fargo"/>
    <s v="1Point Rate"/>
    <s v="MTG"/>
    <x v="256"/>
    <n v="3.8585038285041042"/>
  </r>
  <r>
    <x v="3"/>
    <s v="Wells Fargo"/>
    <s v="1Point Rate"/>
    <s v="MTG"/>
    <x v="257"/>
    <n v="3.9533721497042098"/>
  </r>
  <r>
    <x v="3"/>
    <s v="Wells Fargo"/>
    <s v="1Point Rate"/>
    <s v="MTG"/>
    <x v="258"/>
    <n v="3.9481231294434975"/>
  </r>
  <r>
    <x v="3"/>
    <s v="Wells Fargo"/>
    <s v="1Point Rate"/>
    <s v="MTG"/>
    <x v="259"/>
    <n v="3.9846388163708766"/>
  </r>
  <r>
    <x v="3"/>
    <s v="Wells Fargo"/>
    <s v="1Point Rate"/>
    <s v="MTG"/>
    <x v="260"/>
    <n v="3.8897371618374375"/>
  </r>
  <r>
    <x v="3"/>
    <s v="Wells Fargo"/>
    <s v="1Point Rate"/>
    <s v="MTG"/>
    <x v="261"/>
    <n v="3.8585038285041042"/>
  </r>
  <r>
    <x v="3"/>
    <s v="Wells Fargo"/>
    <s v="1Point Rate"/>
    <s v="MTG"/>
    <x v="262"/>
    <n v="3.8897371618374375"/>
  </r>
  <r>
    <x v="3"/>
    <s v="Wells Fargo"/>
    <s v="1Point Rate"/>
    <s v="MTG"/>
    <x v="263"/>
    <n v="3.8897371618374375"/>
  </r>
  <r>
    <x v="3"/>
    <s v="Wells Fargo"/>
    <s v="1Point Rate"/>
    <s v="MTG"/>
    <x v="264"/>
    <n v="3.8897371618374375"/>
  </r>
  <r>
    <x v="3"/>
    <s v="Wells Fargo"/>
    <s v="1Point Rate"/>
    <s v="MTG"/>
    <x v="265"/>
    <n v="3.8585038285041042"/>
  </r>
  <r>
    <x v="3"/>
    <s v="Wells Fargo"/>
    <s v="1Point Rate"/>
    <s v="MTG"/>
    <x v="266"/>
    <n v="3.8221534112363487"/>
  </r>
  <r>
    <x v="3"/>
    <s v="Wells Fargo"/>
    <s v="1Point Rate"/>
    <s v="MTG"/>
    <x v="267"/>
    <n v="3.8221534112363487"/>
  </r>
  <r>
    <x v="3"/>
    <s v="Wells Fargo"/>
    <s v="1Point Rate"/>
    <s v="MTG"/>
    <x v="268"/>
    <n v="3.8221534112363487"/>
  </r>
  <r>
    <x v="3"/>
    <s v="Wells Fargo"/>
    <s v="1Point Rate"/>
    <s v="MTG"/>
    <x v="269"/>
    <n v="3.7010694400308415"/>
  </r>
  <r>
    <x v="3"/>
    <s v="Wells Fargo"/>
    <s v="1Point Rate"/>
    <s v="MTG"/>
    <x v="270"/>
    <n v="3.7635694400308415"/>
  </r>
  <r>
    <x v="3"/>
    <s v="Wells Fargo"/>
    <s v="1Point Rate"/>
    <s v="MTG"/>
    <x v="271"/>
    <n v="3.7323361066975083"/>
  </r>
  <r>
    <x v="3"/>
    <s v="Wells Fargo"/>
    <s v="1Point Rate"/>
    <s v="MTG"/>
    <x v="272"/>
    <n v="3.7635694400308415"/>
  </r>
  <r>
    <x v="3"/>
    <s v="Wells Fargo"/>
    <s v="1Point Rate"/>
    <s v="MTG"/>
    <x v="273"/>
    <n v="3.7635694400308415"/>
  </r>
  <r>
    <x v="3"/>
    <s v="Wells Fargo"/>
    <s v="1Point Rate"/>
    <s v="MTG"/>
    <x v="274"/>
    <n v="3.7635694400308415"/>
  </r>
  <r>
    <x v="3"/>
    <s v="Wells Fargo"/>
    <s v="1Point Rate"/>
    <s v="MTG"/>
    <x v="275"/>
    <n v="3.7635694400308415"/>
  </r>
  <r>
    <x v="3"/>
    <s v="Wells Fargo"/>
    <s v="1Point Rate"/>
    <s v="MTG"/>
    <x v="276"/>
    <n v="3.7635694400308415"/>
  </r>
  <r>
    <x v="3"/>
    <s v="Wells Fargo"/>
    <s v="1Point Rate"/>
    <s v="MTG"/>
    <x v="277"/>
    <n v="3.7635694400308415"/>
  </r>
  <r>
    <x v="3"/>
    <s v="Wells Fargo"/>
    <s v="1Point Rate"/>
    <s v="MTG"/>
    <x v="278"/>
    <n v="3.7635694400308415"/>
  </r>
  <r>
    <x v="3"/>
    <s v="Wells Fargo"/>
    <s v="1Point Rate"/>
    <s v="MTG"/>
    <x v="279"/>
    <n v="3.7635694400308415"/>
  </r>
  <r>
    <x v="3"/>
    <s v="Wells Fargo"/>
    <s v="1Point Rate"/>
    <s v="MTG"/>
    <x v="280"/>
    <n v="3.7635694400308415"/>
  </r>
  <r>
    <x v="3"/>
    <s v="Wells Fargo"/>
    <s v="1Point Rate"/>
    <s v="MTG"/>
    <x v="281"/>
    <n v="3.7635694400308415"/>
  </r>
  <r>
    <x v="3"/>
    <s v="Wells Fargo"/>
    <s v="1Point Rate"/>
    <s v="MTG"/>
    <x v="282"/>
    <n v="3.7635694400308415"/>
  </r>
  <r>
    <x v="3"/>
    <s v="Wells Fargo"/>
    <s v="1Point Rate"/>
    <s v="MTG"/>
    <x v="283"/>
    <n v="3.7635694400308415"/>
  </r>
  <r>
    <x v="3"/>
    <s v="Wells Fargo"/>
    <s v="1Point Rate"/>
    <s v="MTG"/>
    <x v="284"/>
    <n v="3.7635694400308415"/>
  </r>
  <r>
    <x v="3"/>
    <s v="Wells Fargo"/>
    <s v="1Point Rate"/>
    <s v="MTG"/>
    <x v="285"/>
    <n v="3.6071359947299859"/>
  </r>
  <r>
    <x v="3"/>
    <s v="Wells Fargo"/>
    <s v="1Point Rate"/>
    <s v="MTG"/>
    <x v="286"/>
    <n v="3.6071359947299859"/>
  </r>
  <r>
    <x v="3"/>
    <s v="Wells Fargo"/>
    <s v="1Point Rate"/>
    <s v="MTG"/>
    <x v="287"/>
    <n v="3.6071359947299859"/>
  </r>
  <r>
    <x v="3"/>
    <s v="Wells Fargo"/>
    <s v="1Point Rate"/>
    <s v="MTG"/>
    <x v="288"/>
    <n v="3.5235928402194752"/>
  </r>
  <r>
    <x v="3"/>
    <s v="Wells Fargo"/>
    <s v="1Point Rate"/>
    <s v="MTG"/>
    <x v="289"/>
    <n v="3.5235928402194752"/>
  </r>
  <r>
    <x v="3"/>
    <s v="Wells Fargo"/>
    <s v="1Point Rate"/>
    <s v="MTG"/>
    <x v="290"/>
    <n v="3.4923595068861419"/>
  </r>
  <r>
    <x v="3"/>
    <s v="Wells Fargo"/>
    <s v="1Point Rate"/>
    <s v="MTG"/>
    <x v="291"/>
    <n v="3.4923595068861419"/>
  </r>
  <r>
    <x v="3"/>
    <s v="Wells Fargo"/>
    <s v="1Point Rate"/>
    <s v="MTG"/>
    <x v="292"/>
    <n v="3.4923595068861419"/>
  </r>
  <r>
    <x v="3"/>
    <s v="Wells Fargo"/>
    <s v="1Point Rate"/>
    <s v="MTG"/>
    <x v="293"/>
    <n v="3.4814705304459057"/>
  </r>
  <r>
    <x v="3"/>
    <s v="Wells Fargo"/>
    <s v="1Point Rate"/>
    <s v="MTG"/>
    <x v="294"/>
    <n v="3.4814705304459057"/>
  </r>
  <r>
    <x v="3"/>
    <s v="Wells Fargo"/>
    <s v="1Point Rate"/>
    <s v="MTG"/>
    <x v="295"/>
    <n v="3.4814705304459057"/>
  </r>
  <r>
    <x v="3"/>
    <s v="Wells Fargo"/>
    <s v="1Point Rate"/>
    <s v="MTG"/>
    <x v="296"/>
    <n v="3.4814705304459057"/>
  </r>
  <r>
    <x v="3"/>
    <s v="Wells Fargo"/>
    <s v="1Point Rate"/>
    <s v="MTG"/>
    <x v="297"/>
    <n v="3.3975493725819845"/>
  </r>
  <r>
    <x v="3"/>
    <s v="Wells Fargo"/>
    <s v="1Point Rate"/>
    <s v="MTG"/>
    <x v="298"/>
    <n v="3.3975493725819845"/>
  </r>
  <r>
    <x v="3"/>
    <s v="Wells Fargo"/>
    <s v="1Point Rate"/>
    <s v="MTG"/>
    <x v="299"/>
    <n v="3.3975493725819845"/>
  </r>
  <r>
    <x v="3"/>
    <s v="Wells Fargo"/>
    <s v="1Point Rate"/>
    <s v="MTG"/>
    <x v="300"/>
    <n v="3.4814705304459057"/>
  </r>
  <r>
    <x v="3"/>
    <s v="Wells Fargo"/>
    <s v="1Point Rate"/>
    <s v="MTG"/>
    <x v="301"/>
    <n v="3.4923595068861419"/>
  </r>
  <r>
    <x v="3"/>
    <s v="Wells Fargo"/>
    <s v="1Point Rate"/>
    <s v="MTG"/>
    <x v="302"/>
    <n v="3.6071359947299859"/>
  </r>
  <r>
    <x v="3"/>
    <s v="Wells Fargo"/>
    <s v="1Point Rate"/>
    <s v="MTG"/>
    <x v="303"/>
    <n v="3.6071359947299859"/>
  </r>
  <r>
    <x v="3"/>
    <s v="Wells Fargo"/>
    <s v="1Point Rate"/>
    <s v="MTG"/>
    <x v="304"/>
    <n v="3.6071359947299859"/>
  </r>
  <r>
    <x v="3"/>
    <s v="Wells Fargo"/>
    <s v="1Point Rate"/>
    <s v="MTG"/>
    <x v="305"/>
    <n v="3.6071359947299859"/>
  </r>
  <r>
    <x v="3"/>
    <s v="Wells Fargo"/>
    <s v="1Point Rate"/>
    <s v="MTG"/>
    <x v="306"/>
    <n v="3.618437237264184"/>
  </r>
  <r>
    <x v="3"/>
    <s v="Wells Fargo"/>
    <s v="1Point Rate"/>
    <s v="MTG"/>
    <x v="307"/>
    <n v="3.618437237264184"/>
  </r>
  <r>
    <x v="3"/>
    <s v="Wells Fargo"/>
    <s v="1Point Rate"/>
    <s v="MTG"/>
    <x v="308"/>
    <n v="3.6071359947299859"/>
  </r>
  <r>
    <x v="3"/>
    <s v="Wells Fargo"/>
    <s v="1Point Rate"/>
    <s v="MTG"/>
    <x v="309"/>
    <n v="3.618437237264184"/>
  </r>
  <r>
    <x v="3"/>
    <s v="Wells Fargo"/>
    <s v="1Point Rate"/>
    <s v="MTG"/>
    <x v="310"/>
    <n v="3.5235928402194752"/>
  </r>
  <r>
    <x v="3"/>
    <s v="Wells Fargo"/>
    <s v="1Point Rate"/>
    <s v="MTG"/>
    <x v="311"/>
    <n v="3.6071359947299859"/>
  </r>
  <r>
    <x v="3"/>
    <s v="Wells Fargo"/>
    <s v="1Point Rate"/>
    <s v="MTG"/>
    <x v="312"/>
    <n v="3.4923595068861419"/>
  </r>
  <r>
    <x v="3"/>
    <s v="Wells Fargo"/>
    <s v="1Point Rate"/>
    <s v="MTG"/>
    <x v="313"/>
    <n v="3.4923595068861419"/>
  </r>
  <r>
    <x v="3"/>
    <s v="Wells Fargo"/>
    <s v="1Point Rate"/>
    <s v="MTG"/>
    <x v="314"/>
    <n v="3.4923595068861419"/>
  </r>
  <r>
    <x v="3"/>
    <s v="Wells Fargo"/>
    <s v="1Point Rate"/>
    <s v="MTG"/>
    <x v="315"/>
    <n v="3.4923595068861419"/>
  </r>
  <r>
    <x v="3"/>
    <s v="Wells Fargo"/>
    <s v="1Point Rate"/>
    <s v="MTG"/>
    <x v="316"/>
    <n v="3.4923595068861419"/>
  </r>
  <r>
    <x v="3"/>
    <s v="Wells Fargo"/>
    <s v="1Point Rate"/>
    <s v="MTG"/>
    <x v="317"/>
    <n v="3.4923595068861419"/>
  </r>
  <r>
    <x v="3"/>
    <s v="Wells Fargo"/>
    <s v="1Point Rate"/>
    <s v="MTG"/>
    <x v="318"/>
    <n v="3.4923595068861419"/>
  </r>
  <r>
    <x v="3"/>
    <s v="Wells Fargo"/>
    <s v="1Point Rate"/>
    <s v="MTG"/>
    <x v="319"/>
    <n v="3.4923595068861419"/>
  </r>
  <r>
    <x v="3"/>
    <s v="Wells Fargo"/>
    <s v="1Point Rate"/>
    <s v="MTG"/>
    <x v="320"/>
    <n v="3.6486727389870555"/>
  </r>
  <r>
    <x v="3"/>
    <s v="Wells Fargo"/>
    <s v="1Point Rate"/>
    <s v="MTG"/>
    <x v="321"/>
    <n v="3.4923595068861419"/>
  </r>
  <r>
    <x v="3"/>
    <s v="Wells Fargo"/>
    <s v="1Point Rate"/>
    <s v="MTG"/>
    <x v="322"/>
    <n v="3.4923595068861419"/>
  </r>
  <r>
    <x v="3"/>
    <s v="Wells Fargo"/>
    <s v="1Point Rate"/>
    <s v="MTG"/>
    <x v="323"/>
    <n v="3.5235928402194752"/>
  </r>
  <r>
    <x v="3"/>
    <s v="Wells Fargo"/>
    <s v="1Point Rate"/>
    <s v="MTG"/>
    <x v="324"/>
    <n v="3.5235928402194752"/>
  </r>
  <r>
    <x v="3"/>
    <s v="Wells Fargo"/>
    <s v="1Point Rate"/>
    <s v="MTG"/>
    <x v="325"/>
    <n v="3.6071359947299859"/>
  </r>
  <r>
    <x v="3"/>
    <s v="Wells Fargo"/>
    <s v="1Point Rate"/>
    <s v="MTG"/>
    <x v="326"/>
    <n v="3.6071359947299859"/>
  </r>
  <r>
    <x v="3"/>
    <s v="Wells Fargo"/>
    <s v="1Point Rate"/>
    <s v="MTG"/>
    <x v="327"/>
    <n v="3.4923595068861419"/>
  </r>
  <r>
    <x v="3"/>
    <s v="Wells Fargo"/>
    <s v="1Point Rate"/>
    <s v="MTG"/>
    <x v="328"/>
    <n v="3.4923595068861419"/>
  </r>
  <r>
    <x v="3"/>
    <s v="Wells Fargo"/>
    <s v="1Point Rate"/>
    <s v="MTG"/>
    <x v="329"/>
    <n v="3.4923595068861419"/>
  </r>
  <r>
    <x v="3"/>
    <s v="Wells Fargo"/>
    <s v="1Point Rate"/>
    <s v="MTG"/>
    <x v="330"/>
    <n v="3.4923595068861419"/>
  </r>
  <r>
    <x v="3"/>
    <s v="Wells Fargo"/>
    <s v="1Point Rate"/>
    <s v="MTG"/>
    <x v="331"/>
    <n v="3.4923595068861419"/>
  </r>
  <r>
    <x v="3"/>
    <s v="Wells Fargo"/>
    <s v="1Point Rate"/>
    <s v="MTG"/>
    <x v="332"/>
    <n v="3.4923595068861419"/>
  </r>
  <r>
    <x v="3"/>
    <s v="Wells Fargo"/>
    <s v="1Point Rate"/>
    <s v="MTG"/>
    <x v="333"/>
    <n v="3.4923595068861419"/>
  </r>
  <r>
    <x v="3"/>
    <s v="Wells Fargo"/>
    <s v="1Point Rate"/>
    <s v="MTG"/>
    <x v="334"/>
    <n v="3.4814705304459057"/>
  </r>
  <r>
    <x v="3"/>
    <s v="Wells Fargo"/>
    <s v="1Point Rate"/>
    <s v="MTG"/>
    <x v="335"/>
    <n v="3.5235928402194752"/>
  </r>
  <r>
    <x v="3"/>
    <s v="Wells Fargo"/>
    <s v="1Point Rate"/>
    <s v="MTG"/>
    <x v="336"/>
    <n v="3.5235928402194752"/>
  </r>
  <r>
    <x v="3"/>
    <s v="Wells Fargo"/>
    <s v="1Point Rate"/>
    <s v="MTG"/>
    <x v="337"/>
    <n v="3.6071359947299859"/>
  </r>
  <r>
    <x v="3"/>
    <s v="Wells Fargo"/>
    <s v="1Point Rate"/>
    <s v="MTG"/>
    <x v="338"/>
    <n v="3.5235928402194752"/>
  </r>
  <r>
    <x v="3"/>
    <s v="Wells Fargo"/>
    <s v="1Point Rate"/>
    <s v="MTG"/>
    <x v="339"/>
    <n v="3.6071359947299859"/>
  </r>
  <r>
    <x v="3"/>
    <s v="Wells Fargo"/>
    <s v="1Point Rate"/>
    <s v="MTG"/>
    <x v="340"/>
    <n v="3.618437237264184"/>
  </r>
  <r>
    <x v="3"/>
    <s v="Wells Fargo"/>
    <s v="1Point Rate"/>
    <s v="MTG"/>
    <x v="341"/>
    <n v="3.6187039039308506"/>
  </r>
  <r>
    <x v="3"/>
    <s v="Wells Fargo"/>
    <s v="1Point Rate"/>
    <s v="MTG"/>
    <x v="342"/>
    <n v="3.6187039039308506"/>
  </r>
  <r>
    <x v="3"/>
    <s v="Wells Fargo"/>
    <s v="1Point Rate"/>
    <s v="MTG"/>
    <x v="343"/>
    <n v="3.6187039039308506"/>
  </r>
  <r>
    <x v="3"/>
    <s v="Wells Fargo"/>
    <s v="1Point Rate"/>
    <s v="MTG"/>
    <x v="344"/>
    <n v="3.6499372372641843"/>
  </r>
  <r>
    <x v="3"/>
    <s v="Wells Fargo"/>
    <s v="1Point Rate"/>
    <s v="MTG"/>
    <x v="345"/>
    <n v="3.6499372372641843"/>
  </r>
  <r>
    <x v="3"/>
    <s v="Wells Fargo"/>
    <s v="1Point Rate"/>
    <s v="MTG"/>
    <x v="346"/>
    <n v="3.6187039039308506"/>
  </r>
  <r>
    <x v="3"/>
    <s v="Wells Fargo"/>
    <s v="1Point Rate"/>
    <s v="MTG"/>
    <x v="347"/>
    <n v="3.6187039039308506"/>
  </r>
  <r>
    <x v="3"/>
    <s v="Wells Fargo"/>
    <s v="1Point Rate"/>
    <s v="MTG"/>
    <x v="348"/>
    <n v="3.6187039039308506"/>
  </r>
  <r>
    <x v="3"/>
    <s v="Wells Fargo"/>
    <s v="1Point Rate"/>
    <s v="MTG"/>
    <x v="349"/>
    <n v="3.6074026613966526"/>
  </r>
  <r>
    <x v="3"/>
    <s v="Wells Fargo"/>
    <s v="1Point Rate"/>
    <s v="MTG"/>
    <x v="350"/>
    <n v="3.5238595068861422"/>
  </r>
  <r>
    <x v="3"/>
    <s v="Wells Fargo"/>
    <s v="1Point Rate"/>
    <s v="MTG"/>
    <x v="351"/>
    <n v="3.5238595068861422"/>
  </r>
  <r>
    <x v="3"/>
    <s v="Wells Fargo"/>
    <s v="1Point Rate"/>
    <s v="MTG"/>
    <x v="352"/>
    <n v="3.6074026613966526"/>
  </r>
  <r>
    <x v="3"/>
    <s v="Wells Fargo"/>
    <s v="1Point Rate"/>
    <s v="MTG"/>
    <x v="353"/>
    <n v="3.4926261735528081"/>
  </r>
  <r>
    <x v="3"/>
    <s v="Wells Fargo"/>
    <s v="1Point Rate"/>
    <s v="MTG"/>
    <x v="354"/>
    <n v="3.4817371971125723"/>
  </r>
  <r>
    <x v="3"/>
    <s v="Wells Fargo"/>
    <s v="1Point Rate"/>
    <s v="MTG"/>
    <x v="355"/>
    <n v="3.4817371971125723"/>
  </r>
  <r>
    <x v="3"/>
    <s v="Wells Fargo"/>
    <s v="1Point Rate"/>
    <s v="MTG"/>
    <x v="356"/>
    <n v="3.4926261735528081"/>
  </r>
  <r>
    <x v="3"/>
    <s v="Wells Fargo"/>
    <s v="1Point Rate"/>
    <s v="MTG"/>
    <x v="357"/>
    <n v="3.4926261735528081"/>
  </r>
  <r>
    <x v="3"/>
    <s v="Wells Fargo"/>
    <s v="1Point Rate"/>
    <s v="MTG"/>
    <x v="358"/>
    <n v="3.3665827059153179"/>
  </r>
  <r>
    <x v="3"/>
    <s v="Wells Fargo"/>
    <s v="1Point Rate"/>
    <s v="MTG"/>
    <x v="359"/>
    <n v="3.3665827059153179"/>
  </r>
  <r>
    <x v="3"/>
    <s v="Wells Fargo"/>
    <s v="1Point Rate"/>
    <s v="MTG"/>
    <x v="360"/>
    <n v="3.3665827059153179"/>
  </r>
  <r>
    <x v="3"/>
    <s v="Wells Fargo"/>
    <s v="1Point Rate"/>
    <s v="MTG"/>
    <x v="361"/>
    <n v="3.3978160392486516"/>
  </r>
  <r>
    <x v="3"/>
    <s v="Wells Fargo"/>
    <s v="1Point Rate"/>
    <s v="MTG"/>
    <x v="362"/>
    <n v="3.3665827059153179"/>
  </r>
  <r>
    <x v="3"/>
    <s v="Wells Fargo"/>
    <s v="1Point Rate"/>
    <s v="MTG"/>
    <x v="363"/>
    <n v="3.3665827059153179"/>
  </r>
  <r>
    <x v="3"/>
    <s v="Wells Fargo"/>
    <s v="1Point Rate"/>
    <s v="MTG"/>
    <x v="364"/>
    <n v="3.3560408342652157"/>
  </r>
  <r>
    <x v="3"/>
    <s v="Wells Fargo"/>
    <s v="1Point Rate"/>
    <s v="MTG"/>
    <x v="365"/>
    <n v="3.3560408342652157"/>
  </r>
  <r>
    <x v="3"/>
    <s v="Wells Fargo"/>
    <s v="1Point Rate"/>
    <s v="MTG"/>
    <x v="366"/>
    <n v="3.3560408342652157"/>
  </r>
  <r>
    <x v="3"/>
    <s v="Wells Fargo"/>
    <s v="1Point Rate"/>
    <s v="MTG"/>
    <x v="367"/>
    <n v="3.3665827059153179"/>
  </r>
  <r>
    <x v="3"/>
    <s v="Wells Fargo"/>
    <s v="1Point Rate"/>
    <s v="MTG"/>
    <x v="368"/>
    <n v="3.3560408342652157"/>
  </r>
  <r>
    <x v="3"/>
    <s v="Wells Fargo"/>
    <s v="1Point Rate"/>
    <s v="MTG"/>
    <x v="369"/>
    <n v="3.3560408342652157"/>
  </r>
  <r>
    <x v="3"/>
    <s v="Wells Fargo"/>
    <s v="1Point Rate"/>
    <s v="MTG"/>
    <x v="370"/>
    <n v="3.3665827059153179"/>
  </r>
  <r>
    <x v="3"/>
    <s v="Wells Fargo"/>
    <s v="1Point Rate"/>
    <s v="MTG"/>
    <x v="371"/>
    <n v="3.2717401437093376"/>
  </r>
  <r>
    <x v="3"/>
    <s v="Wells Fargo"/>
    <s v="1Point Rate"/>
    <s v="MTG"/>
    <x v="372"/>
    <n v="3.2717401437093376"/>
  </r>
  <r>
    <x v="3"/>
    <s v="Wells Fargo"/>
    <s v="1Point Rate"/>
    <s v="MTG"/>
    <x v="373"/>
    <n v="3.3665827059153179"/>
  </r>
  <r>
    <x v="3"/>
    <s v="Wells Fargo"/>
    <s v="1Point Rate"/>
    <s v="MTG"/>
    <x v="374"/>
    <n v="3.3665827059153179"/>
  </r>
  <r>
    <x v="3"/>
    <s v="Wells Fargo"/>
    <s v="1Point Rate"/>
    <s v="MTG"/>
    <x v="375"/>
    <n v="3.3665827059153179"/>
  </r>
  <r>
    <x v="3"/>
    <s v="Wells Fargo"/>
    <s v="1Point Rate"/>
    <s v="MTG"/>
    <x v="376"/>
    <n v="3.3665827059153179"/>
  </r>
  <r>
    <x v="3"/>
    <s v="Wells Fargo"/>
    <s v="1Point Rate"/>
    <s v="MTG"/>
    <x v="377"/>
    <n v="3.3560408342652157"/>
  </r>
  <r>
    <x v="3"/>
    <s v="Wells Fargo"/>
    <s v="1Point Rate"/>
    <s v="MTG"/>
    <x v="378"/>
    <n v="3.3560408342652157"/>
  </r>
  <r>
    <x v="3"/>
    <s v="Wells Fargo"/>
    <s v="1Point Rate"/>
    <s v="MTG"/>
    <x v="379"/>
    <n v="3.3560408342652157"/>
  </r>
  <r>
    <x v="3"/>
    <s v="Wells Fargo"/>
    <s v="1Point Rate"/>
    <s v="MTG"/>
    <x v="380"/>
    <n v="3.3560408342652157"/>
  </r>
  <r>
    <x v="3"/>
    <s v="Wells Fargo"/>
    <s v="1Point Rate"/>
    <s v="MTG"/>
    <x v="381"/>
    <n v="3.3560408342652157"/>
  </r>
  <r>
    <x v="3"/>
    <s v="Wells Fargo"/>
    <s v="1Point Rate"/>
    <s v="MTG"/>
    <x v="382"/>
    <n v="3.2717401437093376"/>
  </r>
  <r>
    <x v="3"/>
    <s v="Wells Fargo"/>
    <s v="1Point Rate"/>
    <s v="MTG"/>
    <x v="383"/>
    <n v="3.2717401437093376"/>
  </r>
  <r>
    <x v="3"/>
    <s v="Wells Fargo"/>
    <s v="1Point Rate"/>
    <s v="MTG"/>
    <x v="384"/>
    <n v="3.2405068103760035"/>
  </r>
  <r>
    <x v="3"/>
    <s v="Wells Fargo"/>
    <s v="1Point Rate"/>
    <s v="MTG"/>
    <x v="385"/>
    <n v="3.2405068103760035"/>
  </r>
  <r>
    <x v="3"/>
    <s v="Wells Fargo"/>
    <s v="1Point Rate"/>
    <s v="MTG"/>
    <x v="386"/>
    <n v="3.2717401437093376"/>
  </r>
  <r>
    <x v="3"/>
    <s v="Wells Fargo"/>
    <s v="1Point Rate"/>
    <s v="MTG"/>
    <x v="387"/>
    <n v="3.2405068103760035"/>
  </r>
  <r>
    <x v="3"/>
    <s v="Wells Fargo"/>
    <s v="1Point Rate"/>
    <s v="MTG"/>
    <x v="388"/>
    <n v="3.2717401437093376"/>
  </r>
  <r>
    <x v="3"/>
    <s v="Wells Fargo"/>
    <s v="1Point Rate"/>
    <s v="MTG"/>
    <x v="389"/>
    <n v="3.2717401437093376"/>
  </r>
  <r>
    <x v="3"/>
    <s v="Wells Fargo"/>
    <s v="1Point Rate"/>
    <s v="MTG"/>
    <x v="390"/>
    <n v="3.3560408342652157"/>
  </r>
  <r>
    <x v="3"/>
    <s v="Wells Fargo"/>
    <s v="1Point Rate"/>
    <s v="MTG"/>
    <x v="391"/>
    <n v="3.3665827059153179"/>
  </r>
  <r>
    <x v="3"/>
    <s v="Wells Fargo"/>
    <s v="1Point Rate"/>
    <s v="MTG"/>
    <x v="392"/>
    <n v="3.3665827059153179"/>
  </r>
  <r>
    <x v="3"/>
    <s v="Wells Fargo"/>
    <s v="1Point Rate"/>
    <s v="MTG"/>
    <x v="393"/>
    <n v="3.3978160392486516"/>
  </r>
  <r>
    <x v="3"/>
    <s v="Wells Fargo"/>
    <s v="1Point Rate"/>
    <s v="MTG"/>
    <x v="394"/>
    <n v="3.3978160392486516"/>
  </r>
  <r>
    <x v="3"/>
    <s v="Wells Fargo"/>
    <s v="1Point Rate"/>
    <s v="MTG"/>
    <x v="395"/>
    <n v="3.3665827059153179"/>
  </r>
  <r>
    <x v="3"/>
    <s v="Wells Fargo"/>
    <s v="1Point Rate"/>
    <s v="MTG"/>
    <x v="396"/>
    <n v="3.3978160392486516"/>
  </r>
  <r>
    <x v="3"/>
    <s v="Wells Fargo"/>
    <s v="1Point Rate"/>
    <s v="MTG"/>
    <x v="397"/>
    <n v="3.3978160392486516"/>
  </r>
  <r>
    <x v="3"/>
    <s v="Wells Fargo"/>
    <s v="1Point Rate"/>
    <s v="MTG"/>
    <x v="398"/>
    <n v="3.3665827059153179"/>
  </r>
  <r>
    <x v="3"/>
    <s v="Wells Fargo"/>
    <s v="1Point Rate"/>
    <s v="MTG"/>
    <x v="399"/>
    <n v="3.3665827059153179"/>
  </r>
  <r>
    <x v="3"/>
    <s v="Wells Fargo"/>
    <s v="1Point Rate"/>
    <s v="MTG"/>
    <x v="400"/>
    <n v="3.3665827059153179"/>
  </r>
  <r>
    <x v="3"/>
    <s v="Wells Fargo"/>
    <s v="1Point Rate"/>
    <s v="MTG"/>
    <x v="401"/>
    <n v="3.2717401437093376"/>
  </r>
  <r>
    <x v="3"/>
    <s v="Wells Fargo"/>
    <s v="1Point Rate"/>
    <s v="MTG"/>
    <x v="402"/>
    <n v="3.3665827059153179"/>
  </r>
  <r>
    <x v="3"/>
    <s v="Wells Fargo"/>
    <s v="1Point Rate"/>
    <s v="MTG"/>
    <x v="403"/>
    <n v="3.3978160392486516"/>
  </r>
  <r>
    <x v="3"/>
    <s v="Wells Fargo"/>
    <s v="1Point Rate"/>
    <s v="MTG"/>
    <x v="404"/>
    <n v="3.3978160392486516"/>
  </r>
  <r>
    <x v="3"/>
    <s v="Wells Fargo"/>
    <s v="1Point Rate"/>
    <s v="MTG"/>
    <x v="405"/>
    <n v="3.4817371971125723"/>
  </r>
  <r>
    <x v="3"/>
    <s v="Wells Fargo"/>
    <s v="1Point Rate"/>
    <s v="MTG"/>
    <x v="406"/>
    <n v="3.4817371971125723"/>
  </r>
  <r>
    <x v="3"/>
    <s v="Wells Fargo"/>
    <s v="1Point Rate"/>
    <s v="MTG"/>
    <x v="407"/>
    <n v="3.4817371971125723"/>
  </r>
  <r>
    <x v="3"/>
    <s v="Wells Fargo"/>
    <s v="1Point Rate"/>
    <s v="MTG"/>
    <x v="408"/>
    <n v="3.4817371971125723"/>
  </r>
  <r>
    <x v="3"/>
    <s v="Wells Fargo"/>
    <s v="1Point Rate"/>
    <s v="MTG"/>
    <x v="409"/>
    <n v="3.3978160392486516"/>
  </r>
  <r>
    <x v="3"/>
    <s v="Wells Fargo"/>
    <s v="1Point Rate"/>
    <s v="MTG"/>
    <x v="410"/>
    <n v="3.3978160392486516"/>
  </r>
  <r>
    <x v="3"/>
    <s v="Wells Fargo"/>
    <s v="1Point Rate"/>
    <s v="MTG"/>
    <x v="411"/>
    <n v="3.3978160392486516"/>
  </r>
  <r>
    <x v="3"/>
    <s v="Wells Fargo"/>
    <s v="1Point Rate"/>
    <s v="MTG"/>
    <x v="412"/>
    <n v="3.3978160392486516"/>
  </r>
  <r>
    <x v="3"/>
    <s v="Wells Fargo"/>
    <s v="1Point Rate"/>
    <s v="MTG"/>
    <x v="413"/>
    <n v="3.3978160392486516"/>
  </r>
  <r>
    <x v="3"/>
    <s v="Wells Fargo"/>
    <s v="1Point Rate"/>
    <s v="MTG"/>
    <x v="414"/>
    <n v="3.6074026613966526"/>
  </r>
  <r>
    <x v="3"/>
    <s v="Wells Fargo"/>
    <s v="1Point Rate"/>
    <s v="MTG"/>
    <x v="415"/>
    <n v="3.6187039039308506"/>
  </r>
  <r>
    <x v="3"/>
    <s v="Wells Fargo"/>
    <s v="1Point Rate"/>
    <s v="MTG"/>
    <x v="416"/>
    <n v="3.7310825871584004"/>
  </r>
  <r>
    <x v="3"/>
    <s v="Wells Fargo"/>
    <s v="1Point Rate"/>
    <s v="MTG"/>
    <x v="417"/>
    <n v="3.7310825871584004"/>
  </r>
  <r>
    <x v="3"/>
    <s v="Wells Fargo"/>
    <s v="1Point Rate"/>
    <s v="MTG"/>
    <x v="418"/>
    <n v="3.7310825871584004"/>
  </r>
  <r>
    <x v="3"/>
    <s v="Wells Fargo"/>
    <s v="1Point Rate"/>
    <s v="MTG"/>
    <x v="419"/>
    <n v="3.7310825871584004"/>
  </r>
  <r>
    <x v="3"/>
    <s v="Wells Fargo"/>
    <s v="1Point Rate"/>
    <s v="MTG"/>
    <x v="420"/>
    <n v="3.7310825871584004"/>
  </r>
  <r>
    <x v="3"/>
    <s v="Wells Fargo"/>
    <s v="1Point Rate"/>
    <s v="MTG"/>
    <x v="421"/>
    <n v="3.8451078179729343"/>
  </r>
  <r>
    <x v="3"/>
    <s v="Wells Fargo"/>
    <s v="1Point Rate"/>
    <s v="MTG"/>
    <x v="422"/>
    <n v="3.8451078179729343"/>
  </r>
  <r>
    <x v="3"/>
    <s v="Wells Fargo"/>
    <s v="1Point Rate"/>
    <s v="MTG"/>
    <x v="423"/>
    <n v="3.8883955794647993"/>
  </r>
  <r>
    <x v="3"/>
    <s v="Wells Fargo"/>
    <s v="1Point Rate"/>
    <s v="MTG"/>
    <x v="424"/>
    <n v="3.8571622461314652"/>
  </r>
  <r>
    <x v="3"/>
    <s v="Wells Fargo"/>
    <s v="1Point Rate"/>
    <s v="MTG"/>
    <x v="425"/>
    <n v="3.8451078179729343"/>
  </r>
  <r>
    <x v="3"/>
    <s v="Wells Fargo"/>
    <s v="1Point Rate"/>
    <s v="MTG"/>
    <x v="426"/>
    <n v="3.8451078179729343"/>
  </r>
  <r>
    <x v="3"/>
    <s v="Wells Fargo"/>
    <s v="1Point Rate"/>
    <s v="MTG"/>
    <x v="427"/>
    <n v="3.8451078179729343"/>
  </r>
  <r>
    <x v="3"/>
    <s v="Wells Fargo"/>
    <s v="1Point Rate"/>
    <s v="MTG"/>
    <x v="428"/>
    <n v="3.8883955794647993"/>
  </r>
  <r>
    <x v="3"/>
    <s v="Wells Fargo"/>
    <s v="1Point Rate"/>
    <s v="MTG"/>
    <x v="429"/>
    <n v="3.8571622461314652"/>
  </r>
  <r>
    <x v="3"/>
    <s v="Wells Fargo"/>
    <s v="1Point Rate"/>
    <s v="MTG"/>
    <x v="430"/>
    <n v="3.8883955794647993"/>
  </r>
  <r>
    <x v="3"/>
    <s v="Wells Fargo"/>
    <s v="1Point Rate"/>
    <s v="MTG"/>
    <x v="431"/>
    <n v="3.8883955794647993"/>
  </r>
  <r>
    <x v="3"/>
    <s v="Wells Fargo"/>
    <s v="1Point Rate"/>
    <s v="MTG"/>
    <x v="432"/>
    <n v="3.8571622461314652"/>
  </r>
  <r>
    <x v="3"/>
    <s v="Wells Fargo"/>
    <s v="1Point Rate"/>
    <s v="MTG"/>
    <x v="433"/>
    <n v="3.8883955794647993"/>
  </r>
  <r>
    <x v="3"/>
    <s v="Wells Fargo"/>
    <s v="1Point Rate"/>
    <s v="MTG"/>
    <x v="434"/>
    <n v="3.8883955794647993"/>
  </r>
  <r>
    <x v="3"/>
    <s v="Wells Fargo"/>
    <s v="1Point Rate"/>
    <s v="MTG"/>
    <x v="435"/>
    <n v="3.9832095698554069"/>
  </r>
  <r>
    <x v="3"/>
    <s v="Wells Fargo"/>
    <s v="1Point Rate"/>
    <s v="MTG"/>
    <x v="436"/>
    <n v="3.9708143018144364"/>
  </r>
  <r>
    <x v="3"/>
    <s v="Wells Fargo"/>
    <s v="1Point Rate"/>
    <s v="MTG"/>
    <x v="437"/>
    <n v="3.9708143018144364"/>
  </r>
  <r>
    <x v="3"/>
    <s v="Wells Fargo"/>
    <s v="1Point Rate"/>
    <s v="MTG"/>
    <x v="438"/>
    <n v="4.1092912467808151"/>
  </r>
  <r>
    <x v="3"/>
    <s v="Wells Fargo"/>
    <s v="1Point Rate"/>
    <s v="MTG"/>
    <x v="439"/>
    <n v="4.1092912467808151"/>
  </r>
  <r>
    <x v="3"/>
    <s v="Wells Fargo"/>
    <s v="1Point Rate"/>
    <s v="MTG"/>
    <x v="440"/>
    <n v="4.1092912467808151"/>
  </r>
  <r>
    <x v="3"/>
    <s v="Wells Fargo"/>
    <s v="1Point Rate"/>
    <s v="MTG"/>
    <x v="441"/>
    <n v="4.1092912467808151"/>
  </r>
  <r>
    <x v="3"/>
    <s v="Wells Fargo"/>
    <s v="1Point Rate"/>
    <s v="MTG"/>
    <x v="442"/>
    <n v="4.1092912467808151"/>
  </r>
  <r>
    <x v="3"/>
    <s v="Wells Fargo"/>
    <s v="1Point Rate"/>
    <s v="MTG"/>
    <x v="443"/>
    <n v="4.1092912467808151"/>
  </r>
  <r>
    <x v="3"/>
    <s v="Wells Fargo"/>
    <s v="1Point Rate"/>
    <s v="MTG"/>
    <x v="444"/>
    <n v="4.1092912467808151"/>
  </r>
  <r>
    <x v="3"/>
    <s v="Wells Fargo"/>
    <s v="1Point Rate"/>
    <s v="MTG"/>
    <x v="445"/>
    <n v="4.1405245801141497"/>
  </r>
  <r>
    <x v="3"/>
    <s v="Wells Fargo"/>
    <s v="1Point Rate"/>
    <s v="MTG"/>
    <x v="446"/>
    <n v="4.1092912467808151"/>
  </r>
  <r>
    <x v="3"/>
    <s v="Wells Fargo"/>
    <s v="1Point Rate"/>
    <s v="MTG"/>
    <x v="447"/>
    <n v="4.0964901368075282"/>
  </r>
  <r>
    <x v="3"/>
    <s v="Wells Fargo"/>
    <s v="1Point Rate"/>
    <s v="MTG"/>
    <x v="448"/>
    <n v="4.0144429031887405"/>
  </r>
  <r>
    <x v="3"/>
    <s v="Wells Fargo"/>
    <s v="1Point Rate"/>
    <s v="MTG"/>
    <x v="449"/>
    <n v="4.0964901368075282"/>
  </r>
  <r>
    <x v="3"/>
    <s v="Wells Fargo"/>
    <s v="1Point Rate"/>
    <s v="MTG"/>
    <x v="450"/>
    <n v="4.0144429031887405"/>
  </r>
  <r>
    <x v="3"/>
    <s v="Wells Fargo"/>
    <s v="1Point Rate"/>
    <s v="MTG"/>
    <x v="451"/>
    <n v="3.9708143018144364"/>
  </r>
  <r>
    <x v="3"/>
    <s v="Wells Fargo"/>
    <s v="1Point Rate"/>
    <s v="MTG"/>
    <x v="452"/>
    <n v="3.9832095698554069"/>
  </r>
  <r>
    <x v="3"/>
    <s v="Wells Fargo"/>
    <s v="1Point Rate"/>
    <s v="MTG"/>
    <x v="453"/>
    <n v="3.9832095698554069"/>
  </r>
  <r>
    <x v="3"/>
    <s v="Wells Fargo"/>
    <s v="1Point Rate"/>
    <s v="MTG"/>
    <x v="454"/>
    <n v="3.9832095698554069"/>
  </r>
  <r>
    <x v="3"/>
    <s v="Wells Fargo"/>
    <s v="1Point Rate"/>
    <s v="MTG"/>
    <x v="455"/>
    <n v="3.9708143018144364"/>
  </r>
  <r>
    <x v="3"/>
    <s v="Wells Fargo"/>
    <s v="1Point Rate"/>
    <s v="MTG"/>
    <x v="456"/>
    <n v="3.8883955794647993"/>
  </r>
  <r>
    <x v="3"/>
    <s v="Wells Fargo"/>
    <s v="1Point Rate"/>
    <s v="MTG"/>
    <x v="457"/>
    <n v="3.9708143018144364"/>
  </r>
  <r>
    <x v="3"/>
    <s v="Wells Fargo"/>
    <s v="1Point Rate"/>
    <s v="MTG"/>
    <x v="458"/>
    <n v="3.8883955794647993"/>
  </r>
  <r>
    <x v="3"/>
    <s v="Wells Fargo"/>
    <s v="1Point Rate"/>
    <s v="MTG"/>
    <x v="459"/>
    <n v="3.8883955794647993"/>
  </r>
  <r>
    <x v="3"/>
    <s v="Wells Fargo"/>
    <s v="1Point Rate"/>
    <s v="MTG"/>
    <x v="460"/>
    <n v="3.9832095698554069"/>
  </r>
  <r>
    <x v="3"/>
    <s v="Wells Fargo"/>
    <s v="1Point Rate"/>
    <s v="MTG"/>
    <x v="461"/>
    <n v="3.9832095698554069"/>
  </r>
  <r>
    <x v="3"/>
    <s v="Wells Fargo"/>
    <s v="1Point Rate"/>
    <s v="MTG"/>
    <x v="462"/>
    <n v="3.9708143018144364"/>
  </r>
  <r>
    <x v="3"/>
    <s v="Wells Fargo"/>
    <s v="1Point Rate"/>
    <s v="MTG"/>
    <x v="463"/>
    <n v="3.9708143018144364"/>
  </r>
  <r>
    <x v="3"/>
    <s v="Wells Fargo"/>
    <s v="1Point Rate"/>
    <s v="MTG"/>
    <x v="464"/>
    <n v="3.9832095698554069"/>
  </r>
  <r>
    <x v="3"/>
    <s v="Wells Fargo"/>
    <s v="1Point Rate"/>
    <s v="MTG"/>
    <x v="465"/>
    <n v="4.0144429031887405"/>
  </r>
  <r>
    <x v="3"/>
    <s v="Wells Fargo"/>
    <s v="1Point Rate"/>
    <s v="MTG"/>
    <x v="466"/>
    <n v="4.0144429031887405"/>
  </r>
  <r>
    <x v="3"/>
    <s v="Wells Fargo"/>
    <s v="1Point Rate"/>
    <s v="MTG"/>
    <x v="467"/>
    <n v="3.9832095698554069"/>
  </r>
  <r>
    <x v="3"/>
    <s v="Wells Fargo"/>
    <s v="1Point Rate"/>
    <s v="MTG"/>
    <x v="468"/>
    <n v="3.9832095698554069"/>
  </r>
  <r>
    <x v="3"/>
    <s v="Wells Fargo"/>
    <s v="1Point Rate"/>
    <s v="MTG"/>
    <x v="469"/>
    <n v="4.0144429031887405"/>
  </r>
  <r>
    <x v="3"/>
    <s v="Wells Fargo"/>
    <s v="1Point Rate"/>
    <s v="MTG"/>
    <x v="470"/>
    <n v="3.9708143018144364"/>
  </r>
  <r>
    <x v="3"/>
    <s v="Wells Fargo"/>
    <s v="1Point Rate"/>
    <s v="MTG"/>
    <x v="471"/>
    <n v="3.9708143018144364"/>
  </r>
  <r>
    <x v="3"/>
    <s v="Wells Fargo"/>
    <s v="1Point Rate"/>
    <s v="MTG"/>
    <x v="472"/>
    <n v="3.9708143018144364"/>
  </r>
  <r>
    <x v="3"/>
    <s v="Wells Fargo"/>
    <s v="1Point Rate"/>
    <s v="MTG"/>
    <x v="473"/>
    <n v="3.9708143018144364"/>
  </r>
  <r>
    <x v="3"/>
    <s v="Wells Fargo"/>
    <s v="1Point Rate"/>
    <s v="MTG"/>
    <x v="474"/>
    <n v="3.8883955794647993"/>
  </r>
  <r>
    <x v="3"/>
    <s v="Wells Fargo"/>
    <s v="1Point Rate"/>
    <s v="MTG"/>
    <x v="475"/>
    <n v="3.9708143018144364"/>
  </r>
  <r>
    <x v="3"/>
    <s v="Wells Fargo"/>
    <s v="1Point Rate"/>
    <s v="MTG"/>
    <x v="476"/>
    <n v="3.9708143018144364"/>
  </r>
  <r>
    <x v="3"/>
    <s v="Wells Fargo"/>
    <s v="1Point Rate"/>
    <s v="MTG"/>
    <x v="477"/>
    <n v="3.9832095698554069"/>
  </r>
  <r>
    <x v="3"/>
    <s v="Wells Fargo"/>
    <s v="1Point Rate"/>
    <s v="MTG"/>
    <x v="478"/>
    <n v="4.0144429031887405"/>
  </r>
  <r>
    <x v="3"/>
    <s v="Wells Fargo"/>
    <s v="1Point Rate"/>
    <s v="MTG"/>
    <x v="479"/>
    <n v="3.9832095698554069"/>
  </r>
  <r>
    <x v="3"/>
    <s v="Wells Fargo"/>
    <s v="1Point Rate"/>
    <s v="MTG"/>
    <x v="480"/>
    <n v="3.9708143018144364"/>
  </r>
  <r>
    <x v="3"/>
    <s v="Wells Fargo"/>
    <s v="1Point Rate"/>
    <s v="MTG"/>
    <x v="481"/>
    <n v="3.9832095698554069"/>
  </r>
  <r>
    <x v="3"/>
    <s v="Wells Fargo"/>
    <s v="1Point Rate"/>
    <s v="MTG"/>
    <x v="482"/>
    <n v="3.9708143018144364"/>
  </r>
  <r>
    <x v="3"/>
    <s v="Wells Fargo"/>
    <s v="1Point Rate"/>
    <s v="MTG"/>
    <x v="483"/>
    <n v="3.9708143018144364"/>
  </r>
  <r>
    <x v="3"/>
    <s v="Wells Fargo"/>
    <s v="1Point Rate"/>
    <s v="MTG"/>
    <x v="484"/>
    <n v="3.8571622461314652"/>
  </r>
  <r>
    <x v="3"/>
    <s v="Wells Fargo"/>
    <s v="1Point Rate"/>
    <s v="MTG"/>
    <x v="485"/>
    <n v="3.8571622461314652"/>
  </r>
  <r>
    <x v="3"/>
    <s v="Wells Fargo"/>
    <s v="1Point Rate"/>
    <s v="MTG"/>
    <x v="486"/>
    <n v="3.8883955794647993"/>
  </r>
  <r>
    <x v="3"/>
    <s v="Wells Fargo"/>
    <s v="1Point Rate"/>
    <s v="MTG"/>
    <x v="487"/>
    <n v="3.9832095698554069"/>
  </r>
  <r>
    <x v="3"/>
    <s v="Wells Fargo"/>
    <s v="1Point Rate"/>
    <s v="MTG"/>
    <x v="488"/>
    <n v="3.9832095698554069"/>
  </r>
  <r>
    <x v="3"/>
    <s v="Wells Fargo"/>
    <s v="1Point Rate"/>
    <s v="MTG"/>
    <x v="489"/>
    <n v="3.9832095698554069"/>
  </r>
  <r>
    <x v="3"/>
    <s v="Wells Fargo"/>
    <s v="1Point Rate"/>
    <s v="MTG"/>
    <x v="490"/>
    <n v="3.9832095698554069"/>
  </r>
  <r>
    <x v="3"/>
    <s v="Wells Fargo"/>
    <s v="1Point Rate"/>
    <s v="MTG"/>
    <x v="491"/>
    <n v="3.9832095698554069"/>
  </r>
  <r>
    <x v="3"/>
    <s v="Wells Fargo"/>
    <s v="1Point Rate"/>
    <s v="MTG"/>
    <x v="492"/>
    <n v="4.0144429031887405"/>
  </r>
  <r>
    <x v="3"/>
    <s v="Wells Fargo"/>
    <s v="1Point Rate"/>
    <s v="MTG"/>
    <x v="493"/>
    <n v="4.0964901368075282"/>
  </r>
  <r>
    <x v="3"/>
    <s v="Wells Fargo"/>
    <s v="1Point Rate"/>
    <s v="MTG"/>
    <x v="494"/>
    <n v="4.0964901368075282"/>
  </r>
  <r>
    <x v="3"/>
    <s v="Wells Fargo"/>
    <s v="1Point Rate"/>
    <s v="MTG"/>
    <x v="495"/>
    <n v="4.0964901368075282"/>
  </r>
  <r>
    <x v="3"/>
    <s v="Wells Fargo"/>
    <s v="1Point Rate"/>
    <s v="MTG"/>
    <x v="496"/>
    <n v="4.1092912467808151"/>
  </r>
  <r>
    <x v="3"/>
    <s v="Wells Fargo"/>
    <s v="1Point Rate"/>
    <s v="MTG"/>
    <x v="497"/>
    <n v="4.0964901368075282"/>
  </r>
  <r>
    <x v="3"/>
    <s v="Wells Fargo"/>
    <s v="1Point Rate"/>
    <s v="MTG"/>
    <x v="498"/>
    <n v="3.9832095698554069"/>
  </r>
  <r>
    <x v="3"/>
    <s v="Wells Fargo"/>
    <s v="1Point Rate"/>
    <s v="MTG"/>
    <x v="499"/>
    <n v="3.9832095698554069"/>
  </r>
  <r>
    <x v="3"/>
    <s v="Wells Fargo"/>
    <s v="1Point Rate"/>
    <s v="MTG"/>
    <x v="500"/>
    <n v="3.9832095698554069"/>
  </r>
  <r>
    <x v="3"/>
    <s v="Wells Fargo"/>
    <s v="1Point Rate"/>
    <s v="MTG"/>
    <x v="501"/>
    <n v="3.9708143018144364"/>
  </r>
  <r>
    <x v="3"/>
    <s v="Wells Fargo"/>
    <s v="1Point Rate"/>
    <s v="MTG"/>
    <x v="502"/>
    <n v="3.8883955794647993"/>
  </r>
  <r>
    <x v="3"/>
    <s v="Wells Fargo"/>
    <s v="1Point Rate"/>
    <s v="MTG"/>
    <x v="503"/>
    <n v="3.8883955794647993"/>
  </r>
  <r>
    <x v="3"/>
    <s v="Wells Fargo"/>
    <s v="1Point Rate"/>
    <s v="MTG"/>
    <x v="504"/>
    <n v="3.9708143018144364"/>
  </r>
  <r>
    <x v="3"/>
    <s v="Wells Fargo"/>
    <s v="1Point Rate"/>
    <s v="MTG"/>
    <x v="505"/>
    <n v="3.8883955794647993"/>
  </r>
  <r>
    <x v="3"/>
    <s v="Wells Fargo"/>
    <s v="1Point Rate"/>
    <s v="MTG"/>
    <x v="506"/>
    <n v="3.9708143018144364"/>
  </r>
  <r>
    <x v="3"/>
    <s v="Wells Fargo"/>
    <s v="1Point Rate"/>
    <s v="MTG"/>
    <x v="507"/>
    <n v="3.9708143018144364"/>
  </r>
  <r>
    <x v="3"/>
    <s v="Wells Fargo"/>
    <s v="1Point Rate"/>
    <s v="MTG"/>
    <x v="508"/>
    <n v="3.9708143018144364"/>
  </r>
  <r>
    <x v="3"/>
    <s v="Wells Fargo"/>
    <s v="1Point Rate"/>
    <s v="MTG"/>
    <x v="509"/>
    <n v="3.9708143018144364"/>
  </r>
  <r>
    <x v="3"/>
    <s v="Wells Fargo"/>
    <s v="1Point Rate"/>
    <s v="MTG"/>
    <x v="510"/>
    <n v="3.9708143018144364"/>
  </r>
  <r>
    <x v="3"/>
    <s v="Wells Fargo"/>
    <s v="1Point Rate"/>
    <s v="MTG"/>
    <x v="511"/>
    <n v="3.8571622461314652"/>
  </r>
  <r>
    <x v="3"/>
    <s v="Wells Fargo"/>
    <s v="1Point Rate"/>
    <s v="MTG"/>
    <x v="512"/>
    <n v="3.8883955794647993"/>
  </r>
  <r>
    <x v="3"/>
    <s v="Wells Fargo"/>
    <s v="1Point Rate"/>
    <s v="MTG"/>
    <x v="513"/>
    <n v="3.8571622461314652"/>
  </r>
  <r>
    <x v="3"/>
    <s v="Wells Fargo"/>
    <s v="1Point Rate"/>
    <s v="MTG"/>
    <x v="514"/>
    <n v="3.8571622461314652"/>
  </r>
  <r>
    <x v="3"/>
    <s v="Wells Fargo"/>
    <s v="1Point Rate"/>
    <s v="MTG"/>
    <x v="515"/>
    <n v="3.8883955794647993"/>
  </r>
  <r>
    <x v="3"/>
    <s v="Wells Fargo"/>
    <s v="1Point Rate"/>
    <s v="MTG"/>
    <x v="516"/>
    <n v="3.8571622461314652"/>
  </r>
  <r>
    <x v="3"/>
    <s v="Wells Fargo"/>
    <s v="1Point Rate"/>
    <s v="MTG"/>
    <x v="517"/>
    <n v="3.8451078179729343"/>
  </r>
  <r>
    <x v="3"/>
    <s v="Wells Fargo"/>
    <s v="1Point Rate"/>
    <s v="MTG"/>
    <x v="518"/>
    <n v="3.7623159204917345"/>
  </r>
  <r>
    <x v="3"/>
    <s v="Wells Fargo"/>
    <s v="1Point Rate"/>
    <s v="MTG"/>
    <x v="519"/>
    <n v="3.7623159204917345"/>
  </r>
  <r>
    <x v="3"/>
    <s v="Wells Fargo"/>
    <s v="1Point Rate"/>
    <s v="MTG"/>
    <x v="520"/>
    <n v="3.7310825871584004"/>
  </r>
  <r>
    <x v="3"/>
    <s v="Wells Fargo"/>
    <s v="1Point Rate"/>
    <s v="MTG"/>
    <x v="521"/>
    <n v="3.7310825871584004"/>
  </r>
  <r>
    <x v="3"/>
    <s v="Wells Fargo"/>
    <s v="1Point Rate"/>
    <s v="MTG"/>
    <x v="522"/>
    <n v="3.7623159204917345"/>
  </r>
  <r>
    <x v="3"/>
    <s v="Wells Fargo"/>
    <s v="1Point Rate"/>
    <s v="MTG"/>
    <x v="523"/>
    <n v="3.7623159204917345"/>
  </r>
  <r>
    <x v="3"/>
    <s v="Wells Fargo"/>
    <s v="1Point Rate"/>
    <s v="MTG"/>
    <x v="524"/>
    <n v="3.8451078179729343"/>
  </r>
  <r>
    <x v="3"/>
    <s v="Wells Fargo"/>
    <s v="1Point Rate"/>
    <s v="MTG"/>
    <x v="525"/>
    <n v="3.8571622461314652"/>
  </r>
  <r>
    <x v="3"/>
    <s v="Wells Fargo"/>
    <s v="1Point Rate"/>
    <s v="MTG"/>
    <x v="526"/>
    <n v="3.8883955794647993"/>
  </r>
  <r>
    <x v="3"/>
    <s v="Wells Fargo"/>
    <s v="1Point Rate"/>
    <s v="MTG"/>
    <x v="527"/>
    <n v="3.8571622461314652"/>
  </r>
  <r>
    <x v="3"/>
    <s v="Wells Fargo"/>
    <s v="1Point Rate"/>
    <s v="MTG"/>
    <x v="528"/>
    <n v="3.8571622461314652"/>
  </r>
  <r>
    <x v="3"/>
    <s v="Wells Fargo"/>
    <s v="1Point Rate"/>
    <s v="MTG"/>
    <x v="529"/>
    <n v="3.8571622461314652"/>
  </r>
  <r>
    <x v="3"/>
    <s v="Wells Fargo"/>
    <s v="1Point Rate"/>
    <s v="MTG"/>
    <x v="530"/>
    <n v="3.8571622461314652"/>
  </r>
  <r>
    <x v="3"/>
    <s v="Wells Fargo"/>
    <s v="1Point Rate"/>
    <s v="MTG"/>
    <x v="531"/>
    <n v="3.8571622461314652"/>
  </r>
  <r>
    <x v="3"/>
    <s v="Wells Fargo"/>
    <s v="1Point Rate"/>
    <s v="MTG"/>
    <x v="532"/>
    <n v="3.8883955794647993"/>
  </r>
  <r>
    <x v="3"/>
    <s v="Wells Fargo"/>
    <s v="1Point Rate"/>
    <s v="MTG"/>
    <x v="533"/>
    <n v="3.8883955794647993"/>
  </r>
  <r>
    <x v="3"/>
    <s v="Wells Fargo"/>
    <s v="1Point Rate"/>
    <s v="MTG"/>
    <x v="534"/>
    <n v="3.8883955794647993"/>
  </r>
  <r>
    <x v="3"/>
    <s v="Wells Fargo"/>
    <s v="1Point Rate"/>
    <s v="MTG"/>
    <x v="535"/>
    <n v="3.8883955794647993"/>
  </r>
  <r>
    <x v="3"/>
    <s v="Wells Fargo"/>
    <s v="1Point Rate"/>
    <s v="MTG"/>
    <x v="536"/>
    <n v="3.8883955794647993"/>
  </r>
  <r>
    <x v="3"/>
    <s v="Wells Fargo"/>
    <s v="1Point Rate"/>
    <s v="MTG"/>
    <x v="537"/>
    <n v="3.8571622461314652"/>
  </r>
  <r>
    <x v="3"/>
    <s v="Wells Fargo"/>
    <s v="1Point Rate"/>
    <s v="MTG"/>
    <x v="538"/>
    <n v="3.8451078179729343"/>
  </r>
  <r>
    <x v="3"/>
    <s v="Wells Fargo"/>
    <s v="1Point Rate"/>
    <s v="MTG"/>
    <x v="539"/>
    <n v="3.8451078179729343"/>
  </r>
  <r>
    <x v="3"/>
    <s v="Wells Fargo"/>
    <s v="1Point Rate"/>
    <s v="MTG"/>
    <x v="540"/>
    <n v="3.7310825871584004"/>
  </r>
  <r>
    <x v="3"/>
    <s v="Wells Fargo"/>
    <s v="1Point Rate"/>
    <s v="MTG"/>
    <x v="541"/>
    <n v="3.7310825871584004"/>
  </r>
  <r>
    <x v="3"/>
    <s v="Wells Fargo"/>
    <s v="1Point Rate"/>
    <s v="MTG"/>
    <x v="542"/>
    <n v="3.7623159204917345"/>
  </r>
  <r>
    <x v="3"/>
    <s v="Wells Fargo"/>
    <s v="1Point Rate"/>
    <s v="MTG"/>
    <x v="543"/>
    <n v="3.7623159204917345"/>
  </r>
  <r>
    <x v="3"/>
    <s v="Wells Fargo"/>
    <s v="1Point Rate"/>
    <s v="MTG"/>
    <x v="544"/>
    <n v="3.7623159204917345"/>
  </r>
  <r>
    <x v="3"/>
    <s v="Wells Fargo"/>
    <s v="1Point Rate"/>
    <s v="MTG"/>
    <x v="545"/>
    <n v="3.8451078179729343"/>
  </r>
  <r>
    <x v="3"/>
    <s v="Wells Fargo"/>
    <s v="1Point Rate"/>
    <s v="MTG"/>
    <x v="546"/>
    <n v="3.7623159204917345"/>
  </r>
  <r>
    <x v="3"/>
    <s v="Wells Fargo"/>
    <s v="1Point Rate"/>
    <s v="MTG"/>
    <x v="547"/>
    <n v="3.7623159204917345"/>
  </r>
  <r>
    <x v="3"/>
    <s v="Wells Fargo"/>
    <s v="1Point Rate"/>
    <s v="MTG"/>
    <x v="548"/>
    <n v="3.7623159204917345"/>
  </r>
  <r>
    <x v="3"/>
    <s v="Wells Fargo"/>
    <s v="1Point Rate"/>
    <s v="MTG"/>
    <x v="549"/>
    <n v="4.1746520753994307"/>
  </r>
  <r>
    <x v="3"/>
    <s v="Wells Fargo"/>
    <s v="1Point Rate"/>
    <s v="MTG"/>
    <x v="550"/>
    <n v="4.2571164346307437"/>
  </r>
  <r>
    <x v="3"/>
    <s v="Wells Fargo"/>
    <s v="1Point Rate"/>
    <s v="MTG"/>
    <x v="551"/>
    <n v="4.1481752040431985"/>
  </r>
  <r>
    <x v="3"/>
    <s v="Wells Fargo"/>
    <s v="1Point Rate"/>
    <s v="MTG"/>
    <x v="552"/>
    <n v="4.1481752040431985"/>
  </r>
  <r>
    <x v="3"/>
    <s v="Wells Fargo"/>
    <s v="1Point Rate"/>
    <s v="MTG"/>
    <x v="553"/>
    <n v="4.1481752040431985"/>
  </r>
  <r>
    <x v="3"/>
    <s v="Wells Fargo"/>
    <s v="1Point Rate"/>
    <s v="MTG"/>
    <x v="554"/>
    <n v="4.1746520753994307"/>
  </r>
  <r>
    <x v="3"/>
    <s v="Wells Fargo"/>
    <s v="1Point Rate"/>
    <s v="MTG"/>
    <x v="555"/>
    <n v="4.1746520753994307"/>
  </r>
  <r>
    <x v="3"/>
    <s v="Wells Fargo"/>
    <s v="1Point Rate"/>
    <s v="MTG"/>
    <x v="556"/>
    <n v="4.1746520753994307"/>
  </r>
  <r>
    <x v="3"/>
    <s v="Wells Fargo"/>
    <s v="1Point Rate"/>
    <s v="MTG"/>
    <x v="557"/>
    <n v="4.1746520753994307"/>
  </r>
  <r>
    <x v="3"/>
    <s v="Wells Fargo"/>
    <s v="1Point Rate"/>
    <s v="MTG"/>
    <x v="558"/>
    <n v="4.1481752040431985"/>
  </r>
  <r>
    <x v="3"/>
    <s v="Wells Fargo"/>
    <s v="1Point Rate"/>
    <s v="MTG"/>
    <x v="559"/>
    <n v="4.1746520753994307"/>
  </r>
  <r>
    <x v="3"/>
    <s v="Wells Fargo"/>
    <s v="1Point Rate"/>
    <s v="MTG"/>
    <x v="560"/>
    <n v="4.1746520753994307"/>
  </r>
  <r>
    <x v="3"/>
    <s v="Wells Fargo"/>
    <s v="1Point Rate"/>
    <s v="MTG"/>
    <x v="561"/>
    <n v="4.1746520753994307"/>
  </r>
  <r>
    <x v="3"/>
    <s v="Wells Fargo"/>
    <s v="1Point Rate"/>
    <s v="MTG"/>
    <x v="562"/>
    <n v="4.0688746701783671"/>
  </r>
  <r>
    <x v="3"/>
    <s v="Wells Fargo"/>
    <s v="1Point Rate"/>
    <s v="MTG"/>
    <x v="563"/>
    <n v="4.1746520753994307"/>
  </r>
  <r>
    <x v="3"/>
    <s v="Wells Fargo"/>
    <s v="1Point Rate"/>
    <s v="MTG"/>
    <x v="564"/>
    <n v="4.1746520753994307"/>
  </r>
  <r>
    <x v="3"/>
    <s v="Wells Fargo"/>
    <s v="1Point Rate"/>
    <s v="MTG"/>
    <x v="565"/>
    <n v="4.1481752040431985"/>
  </r>
  <r>
    <x v="3"/>
    <s v="Wells Fargo"/>
    <s v="1Point Rate"/>
    <s v="MTG"/>
    <x v="566"/>
    <n v="4.1746520753994307"/>
  </r>
  <r>
    <x v="3"/>
    <s v="Wells Fargo"/>
    <s v="1Point Rate"/>
    <s v="MTG"/>
    <x v="567"/>
    <n v="4.0688746701783671"/>
  </r>
  <r>
    <x v="3"/>
    <s v="Wells Fargo"/>
    <s v="1Point Rate"/>
    <s v="MTG"/>
    <x v="568"/>
    <n v="4.0688746701783671"/>
  </r>
  <r>
    <x v="3"/>
    <s v="Wells Fargo"/>
    <s v="1Point Rate"/>
    <s v="MTG"/>
    <x v="569"/>
    <n v="4.0984418323544558"/>
  </r>
  <r>
    <x v="3"/>
    <s v="Wells Fargo"/>
    <s v="1Point Rate"/>
    <s v="MTG"/>
    <x v="570"/>
    <n v="4.0984418323544558"/>
  </r>
  <r>
    <x v="3"/>
    <s v="Wells Fargo"/>
    <s v="1Point Rate"/>
    <s v="MTG"/>
    <x v="571"/>
    <n v="4.0984418323544558"/>
  </r>
  <r>
    <x v="3"/>
    <s v="Wells Fargo"/>
    <s v="1Point Rate"/>
    <s v="MTG"/>
    <x v="572"/>
    <n v="3.9929555782460247"/>
  </r>
  <r>
    <x v="3"/>
    <s v="Wells Fargo"/>
    <s v="1Point Rate"/>
    <s v="MTG"/>
    <x v="573"/>
    <n v="3.9929555782460247"/>
  </r>
  <r>
    <x v="3"/>
    <s v="Wells Fargo"/>
    <s v="1Point Rate"/>
    <s v="MTG"/>
    <x v="574"/>
    <n v="3.9929555782460247"/>
  </r>
  <r>
    <x v="3"/>
    <s v="Wells Fargo"/>
    <s v="1Point Rate"/>
    <s v="MTG"/>
    <x v="575"/>
    <n v="3.9929555782460247"/>
  </r>
  <r>
    <x v="3"/>
    <s v="Wells Fargo"/>
    <s v="1Point Rate"/>
    <s v="MTG"/>
    <x v="576"/>
    <n v="4.0984418323544558"/>
  </r>
  <r>
    <x v="3"/>
    <s v="Wells Fargo"/>
    <s v="1Point Rate"/>
    <s v="MTG"/>
    <x v="577"/>
    <n v="4.0984418323544558"/>
  </r>
  <r>
    <x v="3"/>
    <s v="Wells Fargo"/>
    <s v="1Point Rate"/>
    <s v="MTG"/>
    <x v="578"/>
    <n v="3.9929555782460247"/>
  </r>
  <r>
    <x v="3"/>
    <s v="Wells Fargo"/>
    <s v="1Point Rate"/>
    <s v="MTG"/>
    <x v="579"/>
    <n v="4.0688746701783671"/>
  </r>
  <r>
    <x v="3"/>
    <s v="Wells Fargo"/>
    <s v="1Point Rate"/>
    <s v="MTG"/>
    <x v="580"/>
    <n v="4.0688746701783671"/>
  </r>
  <r>
    <x v="3"/>
    <s v="Wells Fargo"/>
    <s v="1Point Rate"/>
    <s v="MTG"/>
    <x v="581"/>
    <n v="4.0688746701783671"/>
  </r>
  <r>
    <x v="3"/>
    <s v="Wells Fargo"/>
    <s v="1Point Rate"/>
    <s v="MTG"/>
    <x v="582"/>
    <n v="4.0688746701783671"/>
  </r>
  <r>
    <x v="3"/>
    <s v="Wells Fargo"/>
    <s v="1Point Rate"/>
    <s v="MTG"/>
    <x v="583"/>
    <n v="4.0688746701783671"/>
  </r>
  <r>
    <x v="3"/>
    <s v="Wells Fargo"/>
    <s v="1Point Rate"/>
    <s v="MTG"/>
    <x v="584"/>
    <n v="4.0688746701783671"/>
  </r>
  <r>
    <x v="3"/>
    <s v="Wells Fargo"/>
    <s v="1Point Rate"/>
    <s v="MTG"/>
    <x v="585"/>
    <n v="4.0984418323544558"/>
  </r>
  <r>
    <x v="3"/>
    <s v="Wells Fargo"/>
    <s v="1Point Rate"/>
    <s v="MTG"/>
    <x v="586"/>
    <n v="4.0688746701783671"/>
  </r>
  <r>
    <x v="3"/>
    <s v="Wells Fargo"/>
    <s v="1Point Rate"/>
    <s v="MTG"/>
    <x v="587"/>
    <n v="4.0688746701783671"/>
  </r>
  <r>
    <x v="3"/>
    <s v="Wells Fargo"/>
    <s v="1Point Rate"/>
    <s v="MTG"/>
    <x v="588"/>
    <n v="4.0688746701783671"/>
  </r>
  <r>
    <x v="3"/>
    <s v="Wells Fargo"/>
    <s v="1Point Rate"/>
    <s v="MTG"/>
    <x v="589"/>
    <n v="4.0688746701783671"/>
  </r>
  <r>
    <x v="3"/>
    <s v="Wells Fargo"/>
    <s v="1Point Rate"/>
    <s v="MTG"/>
    <x v="590"/>
    <n v="4.0688746701783671"/>
  </r>
  <r>
    <x v="3"/>
    <s v="Wells Fargo"/>
    <s v="1Point Rate"/>
    <s v="MTG"/>
    <x v="591"/>
    <n v="4.0688746701783671"/>
  </r>
  <r>
    <x v="3"/>
    <s v="Wells Fargo"/>
    <s v="1Point Rate"/>
    <s v="MTG"/>
    <x v="592"/>
    <n v="4.0688746701783671"/>
  </r>
  <r>
    <x v="3"/>
    <s v="Wells Fargo"/>
    <s v="1Point Rate"/>
    <s v="MTG"/>
    <x v="593"/>
    <n v="4.0688746701783671"/>
  </r>
  <r>
    <x v="3"/>
    <s v="Wells Fargo"/>
    <s v="1Point Rate"/>
    <s v="MTG"/>
    <x v="594"/>
    <n v="4.0688746701783671"/>
  </r>
  <r>
    <x v="3"/>
    <s v="Wells Fargo"/>
    <s v="1Point Rate"/>
    <s v="MTG"/>
    <x v="595"/>
    <n v="4.0688746701783671"/>
  </r>
  <r>
    <x v="3"/>
    <s v="Wells Fargo"/>
    <s v="1Point Rate"/>
    <s v="MTG"/>
    <x v="596"/>
    <n v="4.0688746701783671"/>
  </r>
  <r>
    <x v="3"/>
    <s v="Wells Fargo"/>
    <s v="1Point Rate"/>
    <s v="MTG"/>
    <x v="597"/>
    <n v="4.0688746701783671"/>
  </r>
  <r>
    <x v="3"/>
    <s v="Wells Fargo"/>
    <s v="1Point Rate"/>
    <s v="MTG"/>
    <x v="598"/>
    <n v="4.0688746701783671"/>
  </r>
  <r>
    <x v="3"/>
    <s v="Wells Fargo"/>
    <s v="1Point Rate"/>
    <s v="MTG"/>
    <x v="599"/>
    <n v="4.0688746701783671"/>
  </r>
  <r>
    <x v="3"/>
    <s v="Wells Fargo"/>
    <s v="1Point Rate"/>
    <s v="MTG"/>
    <x v="600"/>
    <n v="4.0688746701783671"/>
  </r>
  <r>
    <x v="3"/>
    <s v="Wells Fargo"/>
    <s v="1Point Rate"/>
    <s v="MTG"/>
    <x v="601"/>
    <n v="4.0688746701783671"/>
  </r>
  <r>
    <x v="3"/>
    <s v="Wells Fargo"/>
    <s v="1Point Rate"/>
    <s v="MTG"/>
    <x v="602"/>
    <n v="4.0688746701783671"/>
  </r>
  <r>
    <x v="3"/>
    <s v="Wells Fargo"/>
    <s v="1Point Rate"/>
    <s v="MTG"/>
    <x v="603"/>
    <n v="4.0688746701783671"/>
  </r>
  <r>
    <x v="3"/>
    <s v="Wells Fargo"/>
    <s v="1Point Rate"/>
    <s v="MTG"/>
    <x v="604"/>
    <n v="4.1746520753994307"/>
  </r>
  <r>
    <x v="3"/>
    <s v="Wells Fargo"/>
    <s v="1Point Rate"/>
    <s v="MTG"/>
    <x v="605"/>
    <n v="4.1746520753994307"/>
  </r>
  <r>
    <x v="3"/>
    <s v="Wells Fargo"/>
    <s v="1Point Rate"/>
    <s v="MTG"/>
    <x v="606"/>
    <n v="4.1481752040431985"/>
  </r>
  <r>
    <x v="3"/>
    <s v="Wells Fargo"/>
    <s v="1Point Rate"/>
    <s v="MTG"/>
    <x v="607"/>
    <n v="4.1746520753994307"/>
  </r>
  <r>
    <x v="3"/>
    <s v="Wells Fargo"/>
    <s v="1Point Rate"/>
    <s v="MTG"/>
    <x v="608"/>
    <n v="4.1481752040431985"/>
  </r>
  <r>
    <x v="3"/>
    <s v="Wells Fargo"/>
    <s v="1Point Rate"/>
    <s v="MTG"/>
    <x v="609"/>
    <n v="4.1481752040431985"/>
  </r>
  <r>
    <x v="3"/>
    <s v="Wells Fargo"/>
    <s v="1Point Rate"/>
    <s v="MTG"/>
    <x v="610"/>
    <n v="4.1481752040431985"/>
  </r>
  <r>
    <x v="3"/>
    <s v="Wells Fargo"/>
    <s v="1Point Rate"/>
    <s v="MTG"/>
    <x v="611"/>
    <n v="4.1481752040431985"/>
  </r>
  <r>
    <x v="3"/>
    <s v="Wells Fargo"/>
    <s v="1Point Rate"/>
    <s v="MTG"/>
    <x v="612"/>
    <n v="4.1481752040431985"/>
  </r>
  <r>
    <x v="3"/>
    <s v="Wells Fargo"/>
    <s v="1Point Rate"/>
    <s v="MTG"/>
    <x v="613"/>
    <n v="4.1481752040431985"/>
  </r>
  <r>
    <x v="3"/>
    <s v="Wells Fargo"/>
    <s v="1Point Rate"/>
    <s v="MTG"/>
    <x v="614"/>
    <n v="4.1481752040431985"/>
  </r>
  <r>
    <x v="3"/>
    <s v="Wells Fargo"/>
    <s v="1Point Rate"/>
    <s v="MTG"/>
    <x v="615"/>
    <n v="4.1481752040431985"/>
  </r>
  <r>
    <x v="3"/>
    <s v="Wells Fargo"/>
    <s v="1Point Rate"/>
    <s v="MTG"/>
    <x v="616"/>
    <n v="4.1481752040431985"/>
  </r>
  <r>
    <x v="3"/>
    <s v="Wells Fargo"/>
    <s v="1Point Rate"/>
    <s v="MTG"/>
    <x v="617"/>
    <n v="4.1746520753994307"/>
  </r>
  <r>
    <x v="3"/>
    <s v="Wells Fargo"/>
    <s v="1Point Rate"/>
    <s v="MTG"/>
    <x v="618"/>
    <n v="4.0688746701783671"/>
  </r>
  <r>
    <x v="3"/>
    <s v="Wells Fargo"/>
    <s v="1Point Rate"/>
    <s v="MTG"/>
    <x v="619"/>
    <n v="4.0688746701783671"/>
  </r>
  <r>
    <x v="3"/>
    <s v="Wells Fargo"/>
    <s v="1Point Rate"/>
    <s v="MTG"/>
    <x v="620"/>
    <n v="4.0688746701783671"/>
  </r>
  <r>
    <x v="3"/>
    <s v="Wells Fargo"/>
    <s v="1Point Rate"/>
    <s v="MTG"/>
    <x v="621"/>
    <n v="4.0984418323544558"/>
  </r>
  <r>
    <x v="3"/>
    <s v="Wells Fargo"/>
    <s v="1Point Rate"/>
    <s v="MTG"/>
    <x v="622"/>
    <n v="4.0984418323544558"/>
  </r>
  <r>
    <x v="3"/>
    <s v="Wells Fargo"/>
    <s v="1Point Rate"/>
    <s v="MTG"/>
    <x v="623"/>
    <n v="4.0984418323544558"/>
  </r>
  <r>
    <x v="3"/>
    <s v="Wells Fargo"/>
    <s v="1Point Rate"/>
    <s v="MTG"/>
    <x v="624"/>
    <n v="3.9929555782460247"/>
  </r>
  <r>
    <x v="3"/>
    <s v="Wells Fargo"/>
    <s v="1Point Rate"/>
    <s v="MTG"/>
    <x v="625"/>
    <n v="3.9929555782460247"/>
  </r>
  <r>
    <x v="3"/>
    <s v="Wells Fargo"/>
    <s v="1Point Rate"/>
    <s v="MTG"/>
    <x v="626"/>
    <n v="3.9929555782460247"/>
  </r>
  <r>
    <x v="3"/>
    <s v="Wells Fargo"/>
    <s v="1Point Rate"/>
    <s v="MTG"/>
    <x v="627"/>
    <n v="4.0984418323544558"/>
  </r>
  <r>
    <x v="3"/>
    <s v="Wells Fargo"/>
    <s v="1Point Rate"/>
    <s v="MTG"/>
    <x v="628"/>
    <n v="3.9929555782460247"/>
  </r>
  <r>
    <x v="3"/>
    <s v="Wells Fargo"/>
    <s v="1Point Rate"/>
    <s v="MTG"/>
    <x v="629"/>
    <n v="3.9929555782460247"/>
  </r>
  <r>
    <x v="3"/>
    <s v="Wells Fargo"/>
    <s v="1Point Rate"/>
    <s v="MTG"/>
    <x v="630"/>
    <n v="3.9929555782460247"/>
  </r>
  <r>
    <x v="3"/>
    <s v="Wells Fargo"/>
    <s v="1Point Rate"/>
    <s v="MTG"/>
    <x v="631"/>
    <n v="3.99295557824602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26">
  <r>
    <s v="30YrConformingConventional"/>
    <s v="Bank of America"/>
    <x v="0"/>
    <s v="MTG"/>
    <x v="0"/>
    <n v="1.4212973282672137"/>
  </r>
  <r>
    <s v="30YrConformingConventional"/>
    <s v="Bank of America"/>
    <x v="0"/>
    <s v="MTG"/>
    <x v="1"/>
    <n v="1.4538805196385804"/>
  </r>
  <r>
    <s v="30YrConformingConventional"/>
    <s v="Bank of America"/>
    <x v="0"/>
    <s v="MTG"/>
    <x v="2"/>
    <n v="1.4595784375698646"/>
  </r>
  <r>
    <s v="30YrConformingConventional"/>
    <s v="Bank of America"/>
    <x v="0"/>
    <s v="MTG"/>
    <x v="3"/>
    <n v="1.4360929633267601"/>
  </r>
  <r>
    <s v="30YrConformingConventional"/>
    <s v="Bank of America"/>
    <x v="0"/>
    <s v="MTG"/>
    <x v="4"/>
    <n v="1.4117383662411456"/>
  </r>
  <r>
    <s v="30YrConformingConventional"/>
    <s v="Bank of America"/>
    <x v="0"/>
    <s v="MTG"/>
    <x v="5"/>
    <n v="1.434637613344325"/>
  </r>
  <r>
    <s v="30YrConformingConventional"/>
    <s v="Bank of America"/>
    <x v="0"/>
    <s v="MTG"/>
    <x v="6"/>
    <n v="1.4414546828382009"/>
  </r>
  <r>
    <s v="30YrConformingConventional"/>
    <s v="Bank of America"/>
    <x v="0"/>
    <s v="MTG"/>
    <x v="7"/>
    <n v="1.3733506898048042"/>
  </r>
  <r>
    <s v="30YrConformingConventional"/>
    <s v="Bank of America"/>
    <x v="0"/>
    <s v="MTG"/>
    <x v="8"/>
    <n v="1.4202216163192376"/>
  </r>
  <r>
    <s v="30YrConformingConventional"/>
    <s v="Bank of America"/>
    <x v="0"/>
    <s v="MTG"/>
    <x v="9"/>
    <n v="1.3453422461391324"/>
  </r>
  <r>
    <s v="30YrConformingConventional"/>
    <s v="Bank of America"/>
    <x v="0"/>
    <s v="MTG"/>
    <x v="10"/>
    <n v="1.3442181458154518"/>
  </r>
  <r>
    <s v="30YrConformingConventional"/>
    <s v="Bank of America"/>
    <x v="0"/>
    <s v="MTG"/>
    <x v="11"/>
    <n v="1.4236043382832138"/>
  </r>
  <r>
    <s v="30YrConformingConventional"/>
    <s v="Bank of America"/>
    <x v="0"/>
    <s v="MTG"/>
    <x v="12"/>
    <n v="1.3566722547216032"/>
  </r>
  <r>
    <s v="30YrConformingConventional"/>
    <s v="Bank of America"/>
    <x v="0"/>
    <s v="MTG"/>
    <x v="13"/>
    <n v="1.3707489922748624"/>
  </r>
  <r>
    <s v="30YrConformingConventional"/>
    <s v="Bank of America"/>
    <x v="0"/>
    <s v="MTG"/>
    <x v="14"/>
    <n v="1.3434433900637273"/>
  </r>
  <r>
    <s v="30YrConformingConventional"/>
    <s v="Bank of America"/>
    <x v="0"/>
    <s v="MTG"/>
    <x v="15"/>
    <n v="1.367305440610632"/>
  </r>
  <r>
    <s v="30YrConformingConventional"/>
    <s v="Bank of America"/>
    <x v="0"/>
    <s v="MTG"/>
    <x v="16"/>
    <n v="1.327862212271417"/>
  </r>
  <r>
    <s v="30YrConformingConventional"/>
    <s v="Bank of America"/>
    <x v="0"/>
    <s v="MTG"/>
    <x v="17"/>
    <n v="1.3969036091673523"/>
  </r>
  <r>
    <s v="30YrConformingConventional"/>
    <s v="Bank of America"/>
    <x v="0"/>
    <s v="MTG"/>
    <x v="18"/>
    <n v="1.4288746403651937"/>
  </r>
  <r>
    <s v="30YrConformingConventional"/>
    <s v="Bank of America"/>
    <x v="0"/>
    <s v="MTG"/>
    <x v="19"/>
    <n v="1.4081051951872599"/>
  </r>
  <r>
    <s v="30YrConformingConventional"/>
    <s v="Bank of America"/>
    <x v="0"/>
    <s v="MTG"/>
    <x v="20"/>
    <n v="1.5496394837349492"/>
  </r>
  <r>
    <s v="30YrConformingConventional"/>
    <s v="Bank of America"/>
    <x v="0"/>
    <s v="MTG"/>
    <x v="21"/>
    <n v="1.5879040246684941"/>
  </r>
  <r>
    <s v="30YrConformingConventional"/>
    <s v="Bank of America"/>
    <x v="0"/>
    <s v="MTG"/>
    <x v="22"/>
    <n v="1.5417664941480935"/>
  </r>
  <r>
    <s v="30YrConformingConventional"/>
    <s v="Bank of America"/>
    <x v="0"/>
    <s v="MTG"/>
    <x v="23"/>
    <n v="1.566853019639814"/>
  </r>
  <r>
    <s v="30YrConformingConventional"/>
    <s v="Bank of America"/>
    <x v="0"/>
    <s v="MTG"/>
    <x v="24"/>
    <n v="1.5972967358474679"/>
  </r>
  <r>
    <s v="30YrConformingConventional"/>
    <s v="Bank of America"/>
    <x v="0"/>
    <s v="MTG"/>
    <x v="25"/>
    <n v="1.6317285692936163"/>
  </r>
  <r>
    <s v="30YrConformingConventional"/>
    <s v="Bank of America"/>
    <x v="0"/>
    <s v="MTG"/>
    <x v="26"/>
    <n v="1.6108923279367977"/>
  </r>
  <r>
    <s v="30YrConformingConventional"/>
    <s v="Bank of America"/>
    <x v="0"/>
    <s v="MTG"/>
    <x v="27"/>
    <n v="1.577689840766002"/>
  </r>
  <r>
    <s v="30YrConformingConventional"/>
    <s v="Bank of America"/>
    <x v="0"/>
    <s v="MTG"/>
    <x v="28"/>
    <n v="1.5696829020466398"/>
  </r>
  <r>
    <s v="30YrConformingConventional"/>
    <s v="Bank of America"/>
    <x v="0"/>
    <s v="MTG"/>
    <x v="29"/>
    <n v="1.5869407909553535"/>
  </r>
  <r>
    <s v="30YrConformingConventional"/>
    <s v="Bank of America"/>
    <x v="0"/>
    <s v="MTG"/>
    <x v="30"/>
    <n v="1.5756034291830356"/>
  </r>
  <r>
    <s v="30YrConformingConventional"/>
    <s v="Bank of America"/>
    <x v="0"/>
    <s v="MTG"/>
    <x v="31"/>
    <n v="1.590711184285585"/>
  </r>
  <r>
    <s v="30YrConformingConventional"/>
    <s v="Bank of America"/>
    <x v="0"/>
    <s v="MTG"/>
    <x v="32"/>
    <n v="1.584783703229552"/>
  </r>
  <r>
    <s v="30YrConformingConventional"/>
    <s v="Bank of America"/>
    <x v="0"/>
    <s v="MTG"/>
    <x v="33"/>
    <n v="1.5581889968587042"/>
  </r>
  <r>
    <s v="30YrConformingConventional"/>
    <s v="Bank of America"/>
    <x v="0"/>
    <s v="MTG"/>
    <x v="34"/>
    <n v="1.5532602364254431"/>
  </r>
  <r>
    <s v="30YrConformingConventional"/>
    <s v="Bank of America"/>
    <x v="0"/>
    <s v="MTG"/>
    <x v="35"/>
    <n v="1.5793431858039257"/>
  </r>
  <r>
    <s v="30YrConformingConventional"/>
    <s v="Bank of America"/>
    <x v="0"/>
    <s v="MTG"/>
    <x v="36"/>
    <n v="1.5353482312671591"/>
  </r>
  <r>
    <s v="30YrConformingConventional"/>
    <s v="Bank of America"/>
    <x v="0"/>
    <s v="MTG"/>
    <x v="37"/>
    <n v="1.5397004736750313"/>
  </r>
  <r>
    <s v="30YrConformingConventional"/>
    <s v="Bank of America"/>
    <x v="0"/>
    <s v="MTG"/>
    <x v="38"/>
    <n v="1.5634899443794636"/>
  </r>
  <r>
    <s v="30YrConformingConventional"/>
    <s v="Bank of America"/>
    <x v="0"/>
    <s v="MTG"/>
    <x v="39"/>
    <n v="1.5493153117300138"/>
  </r>
  <r>
    <s v="30YrConformingConventional"/>
    <s v="Bank of America"/>
    <x v="0"/>
    <s v="MTG"/>
    <x v="40"/>
    <n v="1.5496569772517022"/>
  </r>
  <r>
    <s v="30YrConformingConventional"/>
    <s v="Bank of America"/>
    <x v="0"/>
    <s v="MTG"/>
    <x v="41"/>
    <n v="1.5204617852732729"/>
  </r>
  <r>
    <s v="30YrConformingConventional"/>
    <s v="Bank of America"/>
    <x v="0"/>
    <s v="MTG"/>
    <x v="42"/>
    <n v="1.4752359208075061"/>
  </r>
  <r>
    <s v="30YrConformingConventional"/>
    <s v="Bank of America"/>
    <x v="0"/>
    <s v="MTG"/>
    <x v="43"/>
    <n v="1.4607977497664324"/>
  </r>
  <r>
    <s v="30YrConformingConventional"/>
    <s v="Bank of America"/>
    <x v="0"/>
    <s v="MTG"/>
    <x v="44"/>
    <n v="1.475207853795258"/>
  </r>
  <r>
    <s v="30YrConformingConventional"/>
    <s v="Bank of America"/>
    <x v="0"/>
    <s v="MTG"/>
    <x v="45"/>
    <n v="1.4266403402545991"/>
  </r>
  <r>
    <s v="30YrConformingConventional"/>
    <s v="Bank of America"/>
    <x v="0"/>
    <s v="MTG"/>
    <x v="46"/>
    <n v="1.4325538212829705"/>
  </r>
  <r>
    <s v="30YrConformingConventional"/>
    <s v="Bank of America"/>
    <x v="0"/>
    <s v="MTG"/>
    <x v="47"/>
    <n v="1.4842570423911829"/>
  </r>
  <r>
    <s v="30YrConformingConventional"/>
    <s v="Bank of America"/>
    <x v="0"/>
    <s v="MTG"/>
    <x v="48"/>
    <n v="1.4796482487599225"/>
  </r>
  <r>
    <s v="30YrConformingConventional"/>
    <s v="Bank of America"/>
    <x v="0"/>
    <s v="MTG"/>
    <x v="49"/>
    <n v="1.3442992513367309"/>
  </r>
  <r>
    <s v="30YrConformingConventional"/>
    <s v="Bank of America"/>
    <x v="0"/>
    <s v="MTG"/>
    <x v="50"/>
    <n v="1.3279910966528103"/>
  </r>
  <r>
    <s v="30YrConformingConventional"/>
    <s v="Bank of America"/>
    <x v="0"/>
    <s v="MTG"/>
    <x v="51"/>
    <n v="1.3056715764918907"/>
  </r>
  <r>
    <s v="30YrConformingConventional"/>
    <s v="Bank of America"/>
    <x v="0"/>
    <s v="MTG"/>
    <x v="52"/>
    <n v="1.3573902929718507"/>
  </r>
  <r>
    <s v="30YrConformingConventional"/>
    <s v="Bank of America"/>
    <x v="0"/>
    <s v="MTG"/>
    <x v="53"/>
    <n v="1.4379641427249803"/>
  </r>
  <r>
    <s v="30YrConformingConventional"/>
    <s v="Bank of America"/>
    <x v="0"/>
    <s v="MTG"/>
    <x v="54"/>
    <n v="1.3658173375018536"/>
  </r>
  <r>
    <s v="30YrConformingConventional"/>
    <s v="Bank of America"/>
    <x v="0"/>
    <s v="MTG"/>
    <x v="55"/>
    <n v="1.4304106628608606"/>
  </r>
  <r>
    <s v="30YrConformingConventional"/>
    <s v="Bank of America"/>
    <x v="0"/>
    <s v="MTG"/>
    <x v="56"/>
    <n v="1.4299466031505799"/>
  </r>
  <r>
    <s v="30YrConformingConventional"/>
    <s v="Bank of America"/>
    <x v="0"/>
    <s v="MTG"/>
    <x v="57"/>
    <n v="1.4569078158252984"/>
  </r>
  <r>
    <s v="30YrConformingConventional"/>
    <s v="Bank of America"/>
    <x v="0"/>
    <s v="MTG"/>
    <x v="58"/>
    <n v="1.4632492292194674"/>
  </r>
  <r>
    <s v="30YrConformingConventional"/>
    <s v="Bank of America"/>
    <x v="0"/>
    <s v="MTG"/>
    <x v="59"/>
    <n v="1.5279709851186456"/>
  </r>
  <r>
    <s v="30YrConformingConventional"/>
    <s v="Bank of America"/>
    <x v="0"/>
    <s v="MTG"/>
    <x v="60"/>
    <n v="1.5028807399108037"/>
  </r>
  <r>
    <s v="30YrConformingConventional"/>
    <s v="Bank of America"/>
    <x v="0"/>
    <s v="MTG"/>
    <x v="61"/>
    <n v="1.4492362082934953"/>
  </r>
  <r>
    <s v="30YrConformingConventional"/>
    <s v="Bank of America"/>
    <x v="0"/>
    <s v="MTG"/>
    <x v="62"/>
    <n v="1.3960132397472698"/>
  </r>
  <r>
    <s v="30YrConformingConventional"/>
    <s v="Bank of America"/>
    <x v="0"/>
    <s v="MTG"/>
    <x v="63"/>
    <n v="1.4878260656745013"/>
  </r>
  <r>
    <s v="30YrConformingConventional"/>
    <s v="Bank of America"/>
    <x v="0"/>
    <s v="MTG"/>
    <x v="64"/>
    <n v="1.4138992097684413"/>
  </r>
  <r>
    <s v="30YrConformingConventional"/>
    <s v="Bank of America"/>
    <x v="0"/>
    <s v="MTG"/>
    <x v="65"/>
    <n v="1.4038895886105365"/>
  </r>
  <r>
    <s v="30YrConformingConventional"/>
    <s v="Bank of America"/>
    <x v="0"/>
    <s v="MTG"/>
    <x v="66"/>
    <n v="1.3947325637516592"/>
  </r>
  <r>
    <s v="30YrConformingConventional"/>
    <s v="Bank of America"/>
    <x v="0"/>
    <s v="MTG"/>
    <x v="67"/>
    <n v="1.3883388536850154"/>
  </r>
  <r>
    <s v="30YrConformingConventional"/>
    <s v="Bank of America"/>
    <x v="0"/>
    <s v="MTG"/>
    <x v="68"/>
    <n v="1.4129915036196865"/>
  </r>
  <r>
    <s v="30YrConformingConventional"/>
    <s v="Bank of America"/>
    <x v="0"/>
    <s v="MTG"/>
    <x v="69"/>
    <n v="1.4438055753897185"/>
  </r>
  <r>
    <s v="30YrConformingConventional"/>
    <s v="Bank of America"/>
    <x v="0"/>
    <s v="MTG"/>
    <x v="70"/>
    <n v="1.4416733602801102"/>
  </r>
  <r>
    <s v="30YrConformingConventional"/>
    <s v="Bank of America"/>
    <x v="0"/>
    <s v="MTG"/>
    <x v="71"/>
    <n v="1.4685166448949154"/>
  </r>
  <r>
    <s v="30YrConformingConventional"/>
    <s v="Bank of America"/>
    <x v="0"/>
    <s v="MTG"/>
    <x v="72"/>
    <n v="1.4354149301418599"/>
  </r>
  <r>
    <s v="30YrConformingConventional"/>
    <s v="Bank of America"/>
    <x v="0"/>
    <s v="MTG"/>
    <x v="73"/>
    <n v="1.4453873103770127"/>
  </r>
  <r>
    <s v="30YrConformingConventional"/>
    <s v="Bank of America"/>
    <x v="0"/>
    <s v="MTG"/>
    <x v="74"/>
    <n v="1.4390058429308146"/>
  </r>
  <r>
    <s v="30YrConformingConventional"/>
    <s v="Bank of America"/>
    <x v="0"/>
    <s v="MTG"/>
    <x v="75"/>
    <n v="1.4692437380368819"/>
  </r>
  <r>
    <s v="30YrConformingConventional"/>
    <s v="Bank of America"/>
    <x v="0"/>
    <s v="MTG"/>
    <x v="76"/>
    <n v="1.3996843817032874"/>
  </r>
  <r>
    <s v="30YrConformingConventional"/>
    <s v="Bank of America"/>
    <x v="0"/>
    <s v="MTG"/>
    <x v="77"/>
    <n v="1.4265860519031293"/>
  </r>
  <r>
    <s v="30YrConformingConventional"/>
    <s v="Bank of America"/>
    <x v="0"/>
    <s v="MTG"/>
    <x v="78"/>
    <n v="1.3732244901243731"/>
  </r>
  <r>
    <s v="30YrConformingConventional"/>
    <s v="Bank of America"/>
    <x v="0"/>
    <s v="MTG"/>
    <x v="79"/>
    <n v="1.4051578986780211"/>
  </r>
  <r>
    <s v="30YrConformingConventional"/>
    <s v="Bank of America"/>
    <x v="0"/>
    <s v="MTG"/>
    <x v="80"/>
    <n v="1.3982961709898136"/>
  </r>
  <r>
    <s v="30YrConformingConventional"/>
    <s v="Bank of America"/>
    <x v="0"/>
    <s v="MTG"/>
    <x v="81"/>
    <n v="1.3852138453509022"/>
  </r>
  <r>
    <s v="30YrConformingConventional"/>
    <s v="Bank of America"/>
    <x v="0"/>
    <s v="MTG"/>
    <x v="82"/>
    <n v="1.4030007101246917"/>
  </r>
  <r>
    <s v="30YrConformingConventional"/>
    <s v="Bank of America"/>
    <x v="0"/>
    <s v="MTG"/>
    <x v="83"/>
    <n v="1.4907915899279671"/>
  </r>
  <r>
    <s v="30YrConformingConventional"/>
    <s v="Bank of America"/>
    <x v="0"/>
    <s v="MTG"/>
    <x v="84"/>
    <n v="1.4191644462264212"/>
  </r>
  <r>
    <s v="30YrConformingConventional"/>
    <s v="Bank of America"/>
    <x v="0"/>
    <s v="MTG"/>
    <x v="85"/>
    <n v="1.4705739977736068"/>
  </r>
  <r>
    <s v="30YrConformingConventional"/>
    <s v="Bank of America"/>
    <x v="0"/>
    <s v="MTG"/>
    <x v="86"/>
    <n v="1.4344115256412833"/>
  </r>
  <r>
    <s v="30YrConformingConventional"/>
    <s v="Bank of America"/>
    <x v="0"/>
    <s v="MTG"/>
    <x v="87"/>
    <n v="1.4543697678100846"/>
  </r>
  <r>
    <s v="30YrConformingConventional"/>
    <s v="Bank of America"/>
    <x v="0"/>
    <s v="MTG"/>
    <x v="88"/>
    <n v="1.4886674852774087"/>
  </r>
  <r>
    <s v="30YrConformingConventional"/>
    <s v="Bank of America"/>
    <x v="0"/>
    <s v="MTG"/>
    <x v="89"/>
    <n v="1.5654865618600153"/>
  </r>
  <r>
    <s v="30YrConformingConventional"/>
    <s v="Bank of America"/>
    <x v="0"/>
    <s v="MTG"/>
    <x v="90"/>
    <n v="1.4926391523791853"/>
  </r>
  <r>
    <s v="30YrConformingConventional"/>
    <s v="Bank of America"/>
    <x v="0"/>
    <s v="MTG"/>
    <x v="91"/>
    <n v="1.4491633035923392"/>
  </r>
  <r>
    <s v="30YrConformingConventional"/>
    <s v="Bank of America"/>
    <x v="0"/>
    <s v="MTG"/>
    <x v="92"/>
    <n v="1.4984384715417181"/>
  </r>
  <r>
    <s v="30YrConformingConventional"/>
    <s v="Bank of America"/>
    <x v="0"/>
    <s v="MTG"/>
    <x v="93"/>
    <n v="1.4391155694354067"/>
  </r>
  <r>
    <s v="30YrConformingConventional"/>
    <s v="Bank of America"/>
    <x v="0"/>
    <s v="MTG"/>
    <x v="94"/>
    <n v="1.4820339969784169"/>
  </r>
  <r>
    <s v="30YrConformingConventional"/>
    <s v="Bank of America"/>
    <x v="0"/>
    <s v="MTG"/>
    <x v="95"/>
    <n v="1.4137621493606665"/>
  </r>
  <r>
    <s v="30YrConformingConventional"/>
    <s v="Bank of America"/>
    <x v="0"/>
    <s v="MTG"/>
    <x v="96"/>
    <n v="1.3953089089250075"/>
  </r>
  <r>
    <s v="30YrConformingConventional"/>
    <s v="Bank of America"/>
    <x v="0"/>
    <s v="MTG"/>
    <x v="97"/>
    <n v="1.3759052576474176"/>
  </r>
  <r>
    <s v="30YrConformingConventional"/>
    <s v="Bank of America"/>
    <x v="0"/>
    <s v="MTG"/>
    <x v="98"/>
    <n v="1.4286340196471383"/>
  </r>
  <r>
    <s v="30YrConformingConventional"/>
    <s v="Bank of America"/>
    <x v="0"/>
    <s v="MTG"/>
    <x v="99"/>
    <n v="1.4539211920399711"/>
  </r>
  <r>
    <s v="30YrConformingConventional"/>
    <s v="Bank of America"/>
    <x v="0"/>
    <s v="MTG"/>
    <x v="100"/>
    <n v="1.4507515913062277"/>
  </r>
  <r>
    <s v="30YrConformingConventional"/>
    <s v="Bank of America"/>
    <x v="0"/>
    <s v="MTG"/>
    <x v="101"/>
    <n v="1.4115999979508493"/>
  </r>
  <r>
    <s v="30YrConformingConventional"/>
    <s v="Bank of America"/>
    <x v="0"/>
    <s v="MTG"/>
    <x v="102"/>
    <n v="1.4638126045131872"/>
  </r>
  <r>
    <s v="30YrConformingConventional"/>
    <s v="Bank of America"/>
    <x v="0"/>
    <s v="MTG"/>
    <x v="103"/>
    <n v="1.4793540082698529"/>
  </r>
  <r>
    <s v="30YrConformingConventional"/>
    <s v="Bank of America"/>
    <x v="0"/>
    <s v="MTG"/>
    <x v="104"/>
    <n v="1.4657398986657422"/>
  </r>
  <r>
    <s v="30YrConformingConventional"/>
    <s v="Bank of America"/>
    <x v="0"/>
    <s v="MTG"/>
    <x v="105"/>
    <n v="1.4954131871900374"/>
  </r>
  <r>
    <s v="30YrConformingConventional"/>
    <s v="Bank of America"/>
    <x v="0"/>
    <s v="MTG"/>
    <x v="106"/>
    <n v="1.4584339847358858"/>
  </r>
  <r>
    <s v="30YrConformingConventional"/>
    <s v="Bank of America"/>
    <x v="0"/>
    <s v="MTG"/>
    <x v="107"/>
    <n v="1.4996119210214647"/>
  </r>
  <r>
    <s v="30YrConformingConventional"/>
    <s v="Bank of America"/>
    <x v="0"/>
    <s v="MTG"/>
    <x v="108"/>
    <n v="1.4553497586985888"/>
  </r>
  <r>
    <s v="30YrConformingConventional"/>
    <s v="Bank of America"/>
    <x v="0"/>
    <s v="MTG"/>
    <x v="109"/>
    <n v="1.4924937777913119"/>
  </r>
  <r>
    <s v="30YrConformingConventional"/>
    <s v="Bank of America"/>
    <x v="0"/>
    <s v="MTG"/>
    <x v="110"/>
    <n v="1.5409787619072055"/>
  </r>
  <r>
    <s v="30YrConformingConventional"/>
    <s v="Bank of America"/>
    <x v="0"/>
    <s v="MTG"/>
    <x v="111"/>
    <n v="1.4242454553585564"/>
  </r>
  <r>
    <s v="30YrConformingConventional"/>
    <s v="Bank of America"/>
    <x v="0"/>
    <s v="MTG"/>
    <x v="112"/>
    <n v="1.4422068354014699"/>
  </r>
  <r>
    <s v="30YrConformingConventional"/>
    <s v="Bank of America"/>
    <x v="0"/>
    <s v="MTG"/>
    <x v="113"/>
    <n v="1.475763394548218"/>
  </r>
  <r>
    <s v="30YrConformingConventional"/>
    <s v="Bank of America"/>
    <x v="0"/>
    <s v="MTG"/>
    <x v="114"/>
    <n v="1.5207406211857697"/>
  </r>
  <r>
    <s v="30YrConformingConventional"/>
    <s v="Bank of America"/>
    <x v="0"/>
    <s v="MTG"/>
    <x v="115"/>
    <n v="1.4207564955570056"/>
  </r>
  <r>
    <s v="30YrConformingConventional"/>
    <s v="Bank of America"/>
    <x v="0"/>
    <s v="MTG"/>
    <x v="116"/>
    <n v="1.4697198242720515"/>
  </r>
  <r>
    <s v="30YrConformingConventional"/>
    <s v="Bank of America"/>
    <x v="0"/>
    <s v="MTG"/>
    <x v="117"/>
    <n v="1.3828494386195826"/>
  </r>
  <r>
    <s v="30YrConformingConventional"/>
    <s v="Bank of America"/>
    <x v="0"/>
    <s v="MTG"/>
    <x v="118"/>
    <n v="1.4026468698808754"/>
  </r>
  <r>
    <s v="30YrConformingConventional"/>
    <s v="Bank of America"/>
    <x v="0"/>
    <s v="MTG"/>
    <x v="119"/>
    <n v="1.4840567348768356"/>
  </r>
  <r>
    <s v="30YrConformingConventional"/>
    <s v="Bank of America"/>
    <x v="0"/>
    <s v="MTG"/>
    <x v="120"/>
    <n v="1.4803415500365495"/>
  </r>
  <r>
    <s v="30YrConformingConventional"/>
    <s v="Bank of America"/>
    <x v="0"/>
    <s v="MTG"/>
    <x v="121"/>
    <n v="1.4619667710336273"/>
  </r>
  <r>
    <s v="30YrConformingConventional"/>
    <s v="Bank of America"/>
    <x v="0"/>
    <s v="MTG"/>
    <x v="122"/>
    <n v="1.4441024028992371"/>
  </r>
  <r>
    <s v="30YrConformingConventional"/>
    <s v="Bank of America"/>
    <x v="0"/>
    <s v="MTG"/>
    <x v="123"/>
    <n v="1.3854486805980459"/>
  </r>
  <r>
    <s v="30YrConformingConventional"/>
    <s v="Bank of America"/>
    <x v="0"/>
    <s v="MTG"/>
    <x v="124"/>
    <n v="1.448796898887305"/>
  </r>
  <r>
    <s v="30YrConformingConventional"/>
    <s v="Bank of America"/>
    <x v="0"/>
    <s v="MTG"/>
    <x v="125"/>
    <n v="1.3574387392851748"/>
  </r>
  <r>
    <s v="30YrConformingConventional"/>
    <s v="Bank of America"/>
    <x v="0"/>
    <s v="MTG"/>
    <x v="126"/>
    <n v="1.3001260815676443"/>
  </r>
  <r>
    <s v="30YrConformingConventional"/>
    <s v="Bank of America"/>
    <x v="0"/>
    <s v="MTG"/>
    <x v="127"/>
    <n v="1.2728859371774863"/>
  </r>
  <r>
    <s v="30YrConformingConventional"/>
    <s v="Bank of America"/>
    <x v="0"/>
    <s v="MTG"/>
    <x v="128"/>
    <n v="1.3387309334062565"/>
  </r>
  <r>
    <s v="30YrConformingConventional"/>
    <s v="Bank of America"/>
    <x v="0"/>
    <s v="MTG"/>
    <x v="129"/>
    <n v="1.3622609419325045"/>
  </r>
  <r>
    <s v="30YrConformingConventional"/>
    <s v="Bank of America"/>
    <x v="0"/>
    <s v="MTG"/>
    <x v="130"/>
    <n v="1.2847074197368942"/>
  </r>
  <r>
    <s v="30YrConformingConventional"/>
    <s v="Bank of America"/>
    <x v="0"/>
    <s v="MTG"/>
    <x v="131"/>
    <n v="1.2873782909063218"/>
  </r>
  <r>
    <s v="30YrConformingConventional"/>
    <s v="Bank of America"/>
    <x v="0"/>
    <s v="MTG"/>
    <x v="132"/>
    <n v="1.332778406326687"/>
  </r>
  <r>
    <s v="30YrConformingConventional"/>
    <s v="Bank of America"/>
    <x v="0"/>
    <s v="MTG"/>
    <x v="133"/>
    <n v="1.3661602264056314"/>
  </r>
  <r>
    <s v="30YrConformingConventional"/>
    <s v="Bank of America"/>
    <x v="0"/>
    <s v="MTG"/>
    <x v="134"/>
    <n v="1.3156879105427466"/>
  </r>
  <r>
    <s v="30YrConformingConventional"/>
    <s v="Bank of America"/>
    <x v="0"/>
    <s v="MTG"/>
    <x v="135"/>
    <n v="1.312420128892424"/>
  </r>
  <r>
    <s v="30YrConformingConventional"/>
    <s v="Bank of America"/>
    <x v="0"/>
    <s v="MTG"/>
    <x v="136"/>
    <n v="1.3140103288442069"/>
  </r>
  <r>
    <s v="30YrConformingConventional"/>
    <s v="Bank of America"/>
    <x v="0"/>
    <s v="MTG"/>
    <x v="137"/>
    <n v="1.2747735586093445"/>
  </r>
  <r>
    <s v="30YrConformingConventional"/>
    <s v="Bank of America"/>
    <x v="0"/>
    <s v="MTG"/>
    <x v="138"/>
    <n v="1.3139105099584703"/>
  </r>
  <r>
    <s v="30YrConformingConventional"/>
    <s v="Bank of America"/>
    <x v="0"/>
    <s v="MTG"/>
    <x v="139"/>
    <n v="1.4035341473032745"/>
  </r>
  <r>
    <s v="30YrConformingConventional"/>
    <s v="Bank of America"/>
    <x v="0"/>
    <s v="MTG"/>
    <x v="140"/>
    <n v="1.3722839803112994"/>
  </r>
  <r>
    <s v="30YrConformingConventional"/>
    <s v="Bank of America"/>
    <x v="0"/>
    <s v="MTG"/>
    <x v="141"/>
    <n v="1.2395033309711323"/>
  </r>
  <r>
    <s v="30YrConformingConventional"/>
    <s v="Bank of America"/>
    <x v="0"/>
    <s v="MTG"/>
    <x v="142"/>
    <n v="1.3155504680383168"/>
  </r>
  <r>
    <s v="30YrConformingConventional"/>
    <s v="Bank of America"/>
    <x v="0"/>
    <s v="MTG"/>
    <x v="143"/>
    <n v="1.2956025091022043"/>
  </r>
  <r>
    <s v="30YrConformingConventional"/>
    <s v="Bank of America"/>
    <x v="0"/>
    <s v="MTG"/>
    <x v="144"/>
    <n v="1.3578488590270117"/>
  </r>
  <r>
    <s v="30YrConformingConventional"/>
    <s v="Bank of America"/>
    <x v="0"/>
    <s v="MTG"/>
    <x v="145"/>
    <n v="1.2968270004531244"/>
  </r>
  <r>
    <s v="30YrConformingConventional"/>
    <s v="Bank of America"/>
    <x v="0"/>
    <s v="MTG"/>
    <x v="146"/>
    <n v="1.332120845205089"/>
  </r>
  <r>
    <s v="30YrConformingConventional"/>
    <s v="Bank of America"/>
    <x v="0"/>
    <s v="MTG"/>
    <x v="147"/>
    <n v="1.3595903078987455"/>
  </r>
  <r>
    <s v="30YrConformingConventional"/>
    <s v="Bank of America"/>
    <x v="0"/>
    <s v="MTG"/>
    <x v="148"/>
    <n v="1.4330851950302532"/>
  </r>
  <r>
    <s v="30YrConformingConventional"/>
    <s v="Bank of America"/>
    <x v="0"/>
    <s v="MTG"/>
    <x v="149"/>
    <n v="1.3889926070549525"/>
  </r>
  <r>
    <s v="30YrConformingConventional"/>
    <s v="Bank of America"/>
    <x v="0"/>
    <s v="MTG"/>
    <x v="150"/>
    <n v="1.3964971422107575"/>
  </r>
  <r>
    <s v="30YrConformingConventional"/>
    <s v="Bank of America"/>
    <x v="0"/>
    <s v="MTG"/>
    <x v="151"/>
    <n v="1.3408983657768756"/>
  </r>
  <r>
    <s v="30YrConformingConventional"/>
    <s v="Bank of America"/>
    <x v="0"/>
    <s v="MTG"/>
    <x v="152"/>
    <n v="1.4103707481359429"/>
  </r>
  <r>
    <s v="30YrConformingConventional"/>
    <s v="Bank of America"/>
    <x v="0"/>
    <s v="MTG"/>
    <x v="153"/>
    <n v="1.4002441529039789"/>
  </r>
  <r>
    <s v="30YrConformingConventional"/>
    <s v="Bank of America"/>
    <x v="0"/>
    <s v="MTG"/>
    <x v="154"/>
    <n v="1.3613641164442489"/>
  </r>
  <r>
    <s v="30YrConformingConventional"/>
    <s v="Bank of America"/>
    <x v="0"/>
    <s v="MTG"/>
    <x v="155"/>
    <n v="1.3802524763818536"/>
  </r>
  <r>
    <s v="30YrConformingConventional"/>
    <s v="Bank of America"/>
    <x v="0"/>
    <s v="MTG"/>
    <x v="156"/>
    <n v="1.3782028940314224"/>
  </r>
  <r>
    <s v="30YrConformingConventional"/>
    <s v="Bank of America"/>
    <x v="0"/>
    <s v="MTG"/>
    <x v="157"/>
    <n v="1.4298295988433976"/>
  </r>
  <r>
    <s v="30YrConformingConventional"/>
    <s v="Bank of America"/>
    <x v="0"/>
    <s v="MTG"/>
    <x v="158"/>
    <n v="1.3927347126509542"/>
  </r>
  <r>
    <s v="30YrConformingConventional"/>
    <s v="Bank of America"/>
    <x v="0"/>
    <s v="MTG"/>
    <x v="159"/>
    <n v="1.395609198165257"/>
  </r>
  <r>
    <s v="30YrConformingConventional"/>
    <s v="Bank of America"/>
    <x v="0"/>
    <s v="MTG"/>
    <x v="160"/>
    <n v="1.376163360559933"/>
  </r>
  <r>
    <s v="30YrConformingConventional"/>
    <s v="Bank of America"/>
    <x v="0"/>
    <s v="MTG"/>
    <x v="161"/>
    <n v="1.3472911506102117"/>
  </r>
  <r>
    <s v="30YrConformingConventional"/>
    <s v="Bank of America"/>
    <x v="0"/>
    <s v="MTG"/>
    <x v="162"/>
    <n v="1.3578238436092127"/>
  </r>
  <r>
    <s v="30YrConformingConventional"/>
    <s v="Bank of America"/>
    <x v="0"/>
    <s v="MTG"/>
    <x v="163"/>
    <n v="1.3585112845578"/>
  </r>
  <r>
    <s v="30YrConformingConventional"/>
    <s v="Bank of America"/>
    <x v="0"/>
    <s v="MTG"/>
    <x v="164"/>
    <n v="1.3046001769379201"/>
  </r>
  <r>
    <s v="30YrConformingConventional"/>
    <s v="Bank of America"/>
    <x v="0"/>
    <s v="MTG"/>
    <x v="165"/>
    <n v="1.3495982144193372"/>
  </r>
  <r>
    <s v="30YrConformingConventional"/>
    <s v="Bank of America"/>
    <x v="0"/>
    <s v="MTG"/>
    <x v="166"/>
    <n v="1.3607718590449187"/>
  </r>
  <r>
    <s v="30YrConformingConventional"/>
    <s v="Bank of America"/>
    <x v="0"/>
    <s v="MTG"/>
    <x v="167"/>
    <n v="1.2859837783491517"/>
  </r>
  <r>
    <s v="30YrConformingConventional"/>
    <s v="Bank of America"/>
    <x v="0"/>
    <s v="MTG"/>
    <x v="168"/>
    <n v="1.338402149183749"/>
  </r>
  <r>
    <s v="30YrConformingConventional"/>
    <s v="Bank of America"/>
    <x v="0"/>
    <s v="MTG"/>
    <x v="169"/>
    <n v="1.3876333431635488"/>
  </r>
  <r>
    <s v="30YrConformingConventional"/>
    <s v="Bank of America"/>
    <x v="0"/>
    <s v="MTG"/>
    <x v="170"/>
    <n v="1.3200126005365818"/>
  </r>
  <r>
    <s v="30YrConformingConventional"/>
    <s v="Bank of America"/>
    <x v="0"/>
    <s v="MTG"/>
    <x v="171"/>
    <n v="1.2838195828831593"/>
  </r>
  <r>
    <s v="30YrConformingConventional"/>
    <s v="Bank of America"/>
    <x v="0"/>
    <s v="MTG"/>
    <x v="172"/>
    <n v="1.2144095998366391"/>
  </r>
  <r>
    <s v="30YrConformingConventional"/>
    <s v="Bank of America"/>
    <x v="0"/>
    <s v="MTG"/>
    <x v="173"/>
    <n v="1.2685302920283061"/>
  </r>
  <r>
    <s v="30YrConformingConventional"/>
    <s v="Bank of America"/>
    <x v="0"/>
    <s v="MTG"/>
    <x v="174"/>
    <n v="1.2796117428609644"/>
  </r>
  <r>
    <s v="30YrConformingConventional"/>
    <s v="Bank of America"/>
    <x v="0"/>
    <s v="MTG"/>
    <x v="175"/>
    <n v="1.243718896185414"/>
  </r>
  <r>
    <s v="30YrConformingConventional"/>
    <s v="Bank of America"/>
    <x v="0"/>
    <s v="MTG"/>
    <x v="176"/>
    <n v="1.2737200580350896"/>
  </r>
  <r>
    <s v="30YrConformingConventional"/>
    <s v="Bank of America"/>
    <x v="0"/>
    <s v="MTG"/>
    <x v="177"/>
    <n v="1.2387148275746545"/>
  </r>
  <r>
    <s v="30YrConformingConventional"/>
    <s v="Bank of America"/>
    <x v="0"/>
    <s v="MTG"/>
    <x v="178"/>
    <n v="1.3007759831202927"/>
  </r>
  <r>
    <s v="30YrConformingConventional"/>
    <s v="Bank of America"/>
    <x v="0"/>
    <s v="MTG"/>
    <x v="179"/>
    <n v="1.2902283665898202"/>
  </r>
  <r>
    <s v="30YrConformingConventional"/>
    <s v="Bank of America"/>
    <x v="0"/>
    <s v="MTG"/>
    <x v="180"/>
    <n v="1.2976660142700527"/>
  </r>
  <r>
    <s v="30YrConformingConventional"/>
    <s v="Bank of America"/>
    <x v="0"/>
    <s v="MTG"/>
    <x v="181"/>
    <n v="1.2896888670291515"/>
  </r>
  <r>
    <s v="30YrConformingConventional"/>
    <s v="Bank of America"/>
    <x v="0"/>
    <s v="MTG"/>
    <x v="182"/>
    <n v="1.2711406737535242"/>
  </r>
  <r>
    <s v="30YrConformingConventional"/>
    <s v="Bank of America"/>
    <x v="0"/>
    <s v="MTG"/>
    <x v="183"/>
    <n v="1.2470687736583035"/>
  </r>
  <r>
    <s v="30YrConformingConventional"/>
    <s v="Bank of America"/>
    <x v="0"/>
    <s v="MTG"/>
    <x v="184"/>
    <n v="1.2993141214438293"/>
  </r>
  <r>
    <s v="30YrConformingConventional"/>
    <s v="Bank of America"/>
    <x v="0"/>
    <s v="MTG"/>
    <x v="185"/>
    <n v="1.2962965180486514"/>
  </r>
  <r>
    <s v="30YrConformingConventional"/>
    <s v="Bank of America"/>
    <x v="0"/>
    <s v="MTG"/>
    <x v="186"/>
    <n v="1.3369176777890444"/>
  </r>
  <r>
    <s v="30YrConformingConventional"/>
    <s v="Bank of America"/>
    <x v="0"/>
    <s v="MTG"/>
    <x v="187"/>
    <n v="1.3353542598518544"/>
  </r>
  <r>
    <s v="30YrConformingConventional"/>
    <s v="Bank of America"/>
    <x v="0"/>
    <s v="MTG"/>
    <x v="188"/>
    <n v="1.3536082166189871"/>
  </r>
  <r>
    <s v="30YrConformingConventional"/>
    <s v="Bank of America"/>
    <x v="0"/>
    <s v="MTG"/>
    <x v="189"/>
    <n v="1.3800343860879603"/>
  </r>
  <r>
    <s v="30YrConformingConventional"/>
    <s v="Bank of America"/>
    <x v="0"/>
    <s v="MTG"/>
    <x v="190"/>
    <n v="1.328920802747664"/>
  </r>
  <r>
    <s v="30YrConformingConventional"/>
    <s v="Bank of America"/>
    <x v="0"/>
    <s v="MTG"/>
    <x v="191"/>
    <n v="1.272574432591125"/>
  </r>
  <r>
    <s v="30YrConformingConventional"/>
    <s v="Bank of America"/>
    <x v="0"/>
    <s v="MTG"/>
    <x v="192"/>
    <n v="1.2660653405282909"/>
  </r>
  <r>
    <s v="30YrConformingConventional"/>
    <s v="Bank of America"/>
    <x v="0"/>
    <s v="MTG"/>
    <x v="193"/>
    <n v="1.3570180295719645"/>
  </r>
  <r>
    <s v="30YrConformingConventional"/>
    <s v="Bank of America"/>
    <x v="0"/>
    <s v="MTG"/>
    <x v="194"/>
    <n v="1.2734836008092065"/>
  </r>
  <r>
    <s v="30YrConformingConventional"/>
    <s v="Bank of America"/>
    <x v="0"/>
    <s v="MTG"/>
    <x v="195"/>
    <n v="1.3075282124049146"/>
  </r>
  <r>
    <s v="30YrConformingConventional"/>
    <s v="Bank of America"/>
    <x v="0"/>
    <s v="MTG"/>
    <x v="196"/>
    <n v="1.2743103380172947"/>
  </r>
  <r>
    <s v="30YrConformingConventional"/>
    <s v="Bank of America"/>
    <x v="0"/>
    <s v="MTG"/>
    <x v="197"/>
    <n v="1.3677663287902744"/>
  </r>
  <r>
    <s v="30YrConformingConventional"/>
    <s v="Bank of America"/>
    <x v="0"/>
    <s v="MTG"/>
    <x v="198"/>
    <n v="1.3254780800427091"/>
  </r>
  <r>
    <s v="30YrConformingConventional"/>
    <s v="Bank of America"/>
    <x v="0"/>
    <s v="MTG"/>
    <x v="199"/>
    <n v="1.4044868536168289"/>
  </r>
  <r>
    <s v="30YrConformingConventional"/>
    <s v="Bank of America"/>
    <x v="0"/>
    <s v="MTG"/>
    <x v="200"/>
    <n v="1.3544437066204464"/>
  </r>
  <r>
    <s v="30YrConformingConventional"/>
    <s v="Bank of America"/>
    <x v="0"/>
    <s v="MTG"/>
    <x v="201"/>
    <n v="1.3156388603539744"/>
  </r>
  <r>
    <s v="30YrConformingConventional"/>
    <s v="Bank of America"/>
    <x v="0"/>
    <s v="MTG"/>
    <x v="202"/>
    <n v="1.3385508778243123"/>
  </r>
  <r>
    <s v="30YrConformingConventional"/>
    <s v="Bank of America"/>
    <x v="0"/>
    <s v="MTG"/>
    <x v="203"/>
    <n v="1.2870112907839844"/>
  </r>
  <r>
    <s v="30YrConformingConventional"/>
    <s v="Bank of America"/>
    <x v="0"/>
    <s v="MTG"/>
    <x v="204"/>
    <n v="1.2537269593602123"/>
  </r>
  <r>
    <s v="30YrConformingConventional"/>
    <s v="Bank of America"/>
    <x v="0"/>
    <s v="MTG"/>
    <x v="205"/>
    <n v="1.3251860611656945"/>
  </r>
  <r>
    <s v="30YrConformingConventional"/>
    <s v="Bank of America"/>
    <x v="0"/>
    <s v="MTG"/>
    <x v="206"/>
    <n v="1.3373072731047437"/>
  </r>
  <r>
    <s v="30YrConformingConventional"/>
    <s v="Bank of America"/>
    <x v="0"/>
    <s v="MTG"/>
    <x v="207"/>
    <n v="1.3764650898479416"/>
  </r>
  <r>
    <s v="30YrConformingConventional"/>
    <s v="Bank of America"/>
    <x v="0"/>
    <s v="MTG"/>
    <x v="208"/>
    <n v="1.3045849823916156"/>
  </r>
  <r>
    <s v="30YrConformingConventional"/>
    <s v="Bank of America"/>
    <x v="0"/>
    <s v="MTG"/>
    <x v="209"/>
    <n v="1.3045849823916156"/>
  </r>
  <r>
    <s v="30YrConformingConventional"/>
    <s v="Bank of America"/>
    <x v="0"/>
    <s v="MTG"/>
    <x v="210"/>
    <n v="1.3536726877957803"/>
  </r>
  <r>
    <s v="30YrConformingConventional"/>
    <s v="Bank of America"/>
    <x v="0"/>
    <s v="MTG"/>
    <x v="211"/>
    <n v="1.3134640334251244"/>
  </r>
  <r>
    <s v="30YrConformingConventional"/>
    <s v="Bank of America"/>
    <x v="0"/>
    <s v="MTG"/>
    <x v="212"/>
    <n v="1.3143558607289445"/>
  </r>
  <r>
    <s v="30YrConformingConventional"/>
    <s v="Bank of America"/>
    <x v="0"/>
    <s v="MTG"/>
    <x v="213"/>
    <n v="1.3705958396256928"/>
  </r>
  <r>
    <s v="30YrConformingConventional"/>
    <s v="Bank of America"/>
    <x v="0"/>
    <s v="MTG"/>
    <x v="214"/>
    <n v="1.3423201379171987"/>
  </r>
  <r>
    <s v="30YrConformingConventional"/>
    <s v="Bank of America"/>
    <x v="0"/>
    <s v="MTG"/>
    <x v="215"/>
    <n v="1.3863813589102647"/>
  </r>
  <r>
    <s v="30YrConformingConventional"/>
    <s v="Bank of America"/>
    <x v="0"/>
    <s v="MTG"/>
    <x v="216"/>
    <n v="1.3886290832632"/>
  </r>
  <r>
    <s v="30YrConformingConventional"/>
    <s v="Bank of America"/>
    <x v="0"/>
    <s v="MTG"/>
    <x v="217"/>
    <n v="1.3854108228953741"/>
  </r>
  <r>
    <s v="30YrConformingConventional"/>
    <s v="Bank of America"/>
    <x v="0"/>
    <s v="MTG"/>
    <x v="218"/>
    <n v="1.4473345312009749"/>
  </r>
  <r>
    <s v="30YrConformingConventional"/>
    <s v="Bank of America"/>
    <x v="0"/>
    <s v="MTG"/>
    <x v="219"/>
    <n v="1.4080731740635712"/>
  </r>
  <r>
    <s v="30YrConformingConventional"/>
    <s v="Bank of America"/>
    <x v="0"/>
    <s v="MTG"/>
    <x v="220"/>
    <n v="1.4494934492133089"/>
  </r>
  <r>
    <s v="30YrConformingConventional"/>
    <s v="Bank of America"/>
    <x v="0"/>
    <s v="MTG"/>
    <x v="221"/>
    <n v="1.3836634107198553"/>
  </r>
  <r>
    <s v="30YrConformingConventional"/>
    <s v="Bank of America"/>
    <x v="0"/>
    <s v="MTG"/>
    <x v="222"/>
    <n v="1.4597632425587055"/>
  </r>
  <r>
    <s v="30YrConformingConventional"/>
    <s v="Bank of America"/>
    <x v="0"/>
    <s v="MTG"/>
    <x v="223"/>
    <n v="1.3715115359863181"/>
  </r>
  <r>
    <s v="30YrConformingConventional"/>
    <s v="Bank of America"/>
    <x v="0"/>
    <s v="MTG"/>
    <x v="224"/>
    <n v="1.4305891441309952"/>
  </r>
  <r>
    <s v="30YrConformingConventional"/>
    <s v="Bank of America"/>
    <x v="0"/>
    <s v="MTG"/>
    <x v="225"/>
    <n v="1.4253647034813144"/>
  </r>
  <r>
    <s v="30YrConformingConventional"/>
    <s v="Bank of America"/>
    <x v="0"/>
    <s v="MTG"/>
    <x v="226"/>
    <n v="1.471013855491812"/>
  </r>
  <r>
    <s v="30YrConformingConventional"/>
    <s v="Bank of America"/>
    <x v="0"/>
    <s v="MTG"/>
    <x v="227"/>
    <n v="1.4669569286560922"/>
  </r>
  <r>
    <s v="30YrConformingConventional"/>
    <s v="Bank of America"/>
    <x v="0"/>
    <s v="MTG"/>
    <x v="228"/>
    <n v="1.4622451459210546"/>
  </r>
  <r>
    <s v="30YrConformingConventional"/>
    <s v="Bank of America"/>
    <x v="0"/>
    <s v="MTG"/>
    <x v="229"/>
    <n v="1.5080867553428343"/>
  </r>
  <r>
    <s v="30YrConformingConventional"/>
    <s v="Bank of America"/>
    <x v="0"/>
    <s v="MTG"/>
    <x v="230"/>
    <n v="1.4856058780086481"/>
  </r>
  <r>
    <s v="30YrConformingConventional"/>
    <s v="Bank of America"/>
    <x v="0"/>
    <s v="MTG"/>
    <x v="231"/>
    <n v="1.4881669876185573"/>
  </r>
  <r>
    <s v="30YrConformingConventional"/>
    <s v="Bank of America"/>
    <x v="0"/>
    <s v="MTG"/>
    <x v="232"/>
    <n v="1.4844511566695289"/>
  </r>
  <r>
    <s v="30YrConformingConventional"/>
    <s v="Bank of America"/>
    <x v="0"/>
    <s v="MTG"/>
    <x v="233"/>
    <n v="1.4593132797314694"/>
  </r>
  <r>
    <s v="30YrConformingConventional"/>
    <s v="Bank of America"/>
    <x v="0"/>
    <s v="MTG"/>
    <x v="234"/>
    <n v="1.4833063792512247"/>
  </r>
  <r>
    <s v="30YrConformingConventional"/>
    <s v="Bank of America"/>
    <x v="0"/>
    <s v="MTG"/>
    <x v="235"/>
    <n v="1.5307222939364187"/>
  </r>
  <r>
    <s v="30YrConformingConventional"/>
    <s v="Bank of America"/>
    <x v="0"/>
    <s v="MTG"/>
    <x v="236"/>
    <n v="1.4663986791732093"/>
  </r>
  <r>
    <s v="30YrConformingConventional"/>
    <s v="Bank of America"/>
    <x v="0"/>
    <s v="MTG"/>
    <x v="237"/>
    <n v="1.5670778745226186"/>
  </r>
  <r>
    <s v="30YrConformingConventional"/>
    <s v="Bank of America"/>
    <x v="0"/>
    <s v="MTG"/>
    <x v="238"/>
    <n v="1.4826266007004181"/>
  </r>
  <r>
    <s v="30YrConformingConventional"/>
    <s v="Bank of America"/>
    <x v="0"/>
    <s v="MTG"/>
    <x v="239"/>
    <n v="1.5082899486235064"/>
  </r>
  <r>
    <s v="30YrConformingConventional"/>
    <s v="Bank of America"/>
    <x v="0"/>
    <s v="MTG"/>
    <x v="240"/>
    <n v="1.5107696079958746"/>
  </r>
  <r>
    <s v="30YrConformingConventional"/>
    <s v="Bank of America"/>
    <x v="0"/>
    <s v="MTG"/>
    <x v="241"/>
    <n v="1.4695752342540649"/>
  </r>
  <r>
    <s v="30YrConformingConventional"/>
    <s v="Bank of America"/>
    <x v="0"/>
    <s v="MTG"/>
    <x v="242"/>
    <n v="1.4989708890486599"/>
  </r>
  <r>
    <s v="30YrConformingConventional"/>
    <s v="Bank of America"/>
    <x v="0"/>
    <s v="MTG"/>
    <x v="243"/>
    <n v="1.4805018075070322"/>
  </r>
  <r>
    <s v="30YrConformingConventional"/>
    <s v="Bank of America"/>
    <x v="0"/>
    <s v="MTG"/>
    <x v="244"/>
    <n v="1.5218460027428402"/>
  </r>
  <r>
    <s v="30YrConformingConventional"/>
    <s v="Bank of America"/>
    <x v="0"/>
    <s v="MTG"/>
    <x v="245"/>
    <n v="1.5845594022269118"/>
  </r>
  <r>
    <s v="30YrConformingConventional"/>
    <s v="Bank of America"/>
    <x v="0"/>
    <s v="MTG"/>
    <x v="246"/>
    <n v="1.5845594022269118"/>
  </r>
  <r>
    <s v="30YrConformingConventional"/>
    <s v="Bank of America"/>
    <x v="0"/>
    <s v="MTG"/>
    <x v="247"/>
    <n v="1.5496680293192999"/>
  </r>
  <r>
    <s v="30YrConformingConventional"/>
    <s v="Bank of America"/>
    <x v="0"/>
    <s v="MTG"/>
    <x v="248"/>
    <n v="1.5140420222004687"/>
  </r>
  <r>
    <s v="30YrConformingConventional"/>
    <s v="Bank of America"/>
    <x v="0"/>
    <s v="MTG"/>
    <x v="249"/>
    <n v="1.5603594113879973"/>
  </r>
  <r>
    <s v="30YrConformingConventional"/>
    <s v="Bank of America"/>
    <x v="0"/>
    <s v="MTG"/>
    <x v="250"/>
    <n v="1.4894444139530072"/>
  </r>
  <r>
    <s v="30YrConformingConventional"/>
    <s v="Bank of America"/>
    <x v="0"/>
    <s v="MTG"/>
    <x v="251"/>
    <n v="1.539046812530189"/>
  </r>
  <r>
    <s v="30YrConformingConventional"/>
    <s v="Bank of America"/>
    <x v="0"/>
    <s v="MTG"/>
    <x v="252"/>
    <n v="1.4511063235471535"/>
  </r>
  <r>
    <s v="30YrConformingConventional"/>
    <s v="Bank of America"/>
    <x v="0"/>
    <s v="MTG"/>
    <x v="253"/>
    <n v="1.4005987476300945"/>
  </r>
  <r>
    <s v="30YrConformingConventional"/>
    <s v="Bank of America"/>
    <x v="0"/>
    <s v="MTG"/>
    <x v="254"/>
    <n v="1.405039217318909"/>
  </r>
  <r>
    <s v="30YrConformingConventional"/>
    <s v="Bank of America"/>
    <x v="0"/>
    <s v="MTG"/>
    <x v="255"/>
    <n v="1.4558893048686676"/>
  </r>
  <r>
    <s v="30YrConformingConventional"/>
    <s v="Bank of America"/>
    <x v="0"/>
    <s v="MTG"/>
    <x v="256"/>
    <n v="1.4238625532189746"/>
  </r>
  <r>
    <s v="30YrConformingConventional"/>
    <s v="Bank of America"/>
    <x v="0"/>
    <s v="MTG"/>
    <x v="257"/>
    <n v="1.4351311718134727"/>
  </r>
  <r>
    <s v="30YrConformingConventional"/>
    <s v="Bank of America"/>
    <x v="0"/>
    <s v="MTG"/>
    <x v="258"/>
    <n v="1.3435693944615392"/>
  </r>
  <r>
    <s v="30YrConformingConventional"/>
    <s v="Bank of America"/>
    <x v="0"/>
    <s v="MTG"/>
    <x v="259"/>
    <n v="1.440135567074629"/>
  </r>
  <r>
    <s v="30YrConformingConventional"/>
    <s v="Bank of America"/>
    <x v="0"/>
    <s v="MTG"/>
    <x v="260"/>
    <n v="1.4067545083459043"/>
  </r>
  <r>
    <s v="30YrConformingConventional"/>
    <s v="Bank of America"/>
    <x v="0"/>
    <s v="MTG"/>
    <x v="261"/>
    <n v="1.4331249501437542"/>
  </r>
  <r>
    <s v="30YrConformingConventional"/>
    <s v="Bank of America"/>
    <x v="0"/>
    <s v="MTG"/>
    <x v="262"/>
    <n v="1.4103010958119686"/>
  </r>
  <r>
    <s v="30YrConformingConventional"/>
    <s v="Bank of America"/>
    <x v="0"/>
    <s v="MTG"/>
    <x v="263"/>
    <n v="1.4285711164153245"/>
  </r>
  <r>
    <s v="30YrConformingConventional"/>
    <s v="Bank of America"/>
    <x v="0"/>
    <s v="MTG"/>
    <x v="264"/>
    <n v="1.3936495922877847"/>
  </r>
  <r>
    <s v="30YrConformingConventional"/>
    <s v="Bank of America"/>
    <x v="0"/>
    <s v="MTG"/>
    <x v="265"/>
    <n v="1.4020581515661119"/>
  </r>
  <r>
    <s v="30YrConformingConventional"/>
    <s v="Bank of America"/>
    <x v="0"/>
    <s v="MTG"/>
    <x v="266"/>
    <n v="1.4809328736481171"/>
  </r>
  <r>
    <s v="30YrConformingConventional"/>
    <s v="Bank of America"/>
    <x v="0"/>
    <s v="MTG"/>
    <x v="267"/>
    <n v="1.4809328736481171"/>
  </r>
  <r>
    <s v="30YrConformingConventional"/>
    <s v="Bank of America"/>
    <x v="0"/>
    <s v="MTG"/>
    <x v="268"/>
    <n v="1.3885338529667841"/>
  </r>
  <r>
    <s v="30YrConformingConventional"/>
    <s v="Bank of America"/>
    <x v="0"/>
    <s v="MTG"/>
    <x v="269"/>
    <n v="1.4673543164159186"/>
  </r>
  <r>
    <s v="30YrConformingConventional"/>
    <s v="Bank of America"/>
    <x v="0"/>
    <s v="MTG"/>
    <x v="270"/>
    <n v="1.404702204037845"/>
  </r>
  <r>
    <s v="30YrConformingConventional"/>
    <s v="Bank of America"/>
    <x v="0"/>
    <s v="MTG"/>
    <x v="271"/>
    <n v="1.4492287202308778"/>
  </r>
  <r>
    <s v="30YrConformingConventional"/>
    <s v="Bank of America"/>
    <x v="0"/>
    <s v="MTG"/>
    <x v="272"/>
    <n v="1.3551743260605955"/>
  </r>
  <r>
    <s v="30YrConformingConventional"/>
    <s v="Bank of America"/>
    <x v="0"/>
    <s v="MTG"/>
    <x v="273"/>
    <n v="1.3424214657310072"/>
  </r>
  <r>
    <s v="30YrConformingConventional"/>
    <s v="Bank of America"/>
    <x v="0"/>
    <s v="MTG"/>
    <x v="274"/>
    <n v="1.3431812578846163"/>
  </r>
  <r>
    <s v="30YrConformingConventional"/>
    <s v="Bank of America"/>
    <x v="0"/>
    <s v="MTG"/>
    <x v="275"/>
    <n v="1.3429627572200822"/>
  </r>
  <r>
    <s v="30YrConformingConventional"/>
    <s v="Bank of America"/>
    <x v="0"/>
    <s v="MTG"/>
    <x v="276"/>
    <n v="1.3878434059662719"/>
  </r>
  <r>
    <s v="30YrConformingConventional"/>
    <s v="Bank of America"/>
    <x v="0"/>
    <s v="MTG"/>
    <x v="277"/>
    <n v="1.3872248942323724"/>
  </r>
  <r>
    <s v="30YrConformingConventional"/>
    <s v="Bank of America"/>
    <x v="0"/>
    <s v="MTG"/>
    <x v="278"/>
    <n v="1.3634373744537027"/>
  </r>
  <r>
    <s v="30YrConformingConventional"/>
    <s v="Bank of America"/>
    <x v="0"/>
    <s v="MTG"/>
    <x v="279"/>
    <n v="1.2994713795969517"/>
  </r>
  <r>
    <s v="30YrConformingConventional"/>
    <s v="Bank of America"/>
    <x v="0"/>
    <s v="MTG"/>
    <x v="280"/>
    <n v="1.3485281295871521"/>
  </r>
  <r>
    <s v="30YrConformingConventional"/>
    <s v="Bank of America"/>
    <x v="0"/>
    <s v="MTG"/>
    <x v="281"/>
    <n v="1.3385636094095752"/>
  </r>
  <r>
    <s v="30YrConformingConventional"/>
    <s v="Bank of America"/>
    <x v="0"/>
    <s v="MTG"/>
    <x v="282"/>
    <n v="1.3253222200114065"/>
  </r>
  <r>
    <s v="30YrConformingConventional"/>
    <s v="Bank of America"/>
    <x v="0"/>
    <s v="MTG"/>
    <x v="283"/>
    <n v="1.2523310184820995"/>
  </r>
  <r>
    <s v="30YrConformingConventional"/>
    <s v="Bank of America"/>
    <x v="0"/>
    <s v="MTG"/>
    <x v="284"/>
    <n v="1.2267274159474995"/>
  </r>
  <r>
    <s v="30YrConformingConventional"/>
    <s v="Bank of America"/>
    <x v="0"/>
    <s v="MTG"/>
    <x v="285"/>
    <n v="1.1755063467445623"/>
  </r>
  <r>
    <s v="30YrConformingConventional"/>
    <s v="Bank of America"/>
    <x v="0"/>
    <s v="MTG"/>
    <x v="286"/>
    <n v="1.3127680705105271"/>
  </r>
  <r>
    <s v="30YrConformingConventional"/>
    <s v="Bank of America"/>
    <x v="0"/>
    <s v="MTG"/>
    <x v="287"/>
    <n v="1.3071637805509635"/>
  </r>
  <r>
    <s v="30YrConformingConventional"/>
    <s v="Bank of America"/>
    <x v="0"/>
    <s v="MTG"/>
    <x v="288"/>
    <n v="1.2947029480615637"/>
  </r>
  <r>
    <s v="30YrConformingConventional"/>
    <s v="Bank of America"/>
    <x v="0"/>
    <s v="MTG"/>
    <x v="289"/>
    <n v="1.2740960101150518"/>
  </r>
  <r>
    <s v="30YrConformingConventional"/>
    <s v="Bank of America"/>
    <x v="0"/>
    <s v="MTG"/>
    <x v="290"/>
    <n v="1.3291943107809321"/>
  </r>
  <r>
    <s v="30YrConformingConventional"/>
    <s v="Bank of America"/>
    <x v="0"/>
    <s v="MTG"/>
    <x v="291"/>
    <n v="1.3649888949349689"/>
  </r>
  <r>
    <s v="30YrConformingConventional"/>
    <s v="Bank of America"/>
    <x v="0"/>
    <s v="MTG"/>
    <x v="292"/>
    <n v="1.3259445369953358"/>
  </r>
  <r>
    <s v="30YrConformingConventional"/>
    <s v="Bank of America"/>
    <x v="0"/>
    <s v="MTG"/>
    <x v="293"/>
    <n v="1.3259445369953358"/>
  </r>
  <r>
    <s v="30YrConformingConventional"/>
    <s v="Bank of America"/>
    <x v="0"/>
    <s v="MTG"/>
    <x v="294"/>
    <n v="1.3998265547689877"/>
  </r>
  <r>
    <s v="30YrConformingConventional"/>
    <s v="Bank of America"/>
    <x v="0"/>
    <s v="MTG"/>
    <x v="295"/>
    <n v="1.3084872084614618"/>
  </r>
  <r>
    <s v="30YrConformingConventional"/>
    <s v="Bank of America"/>
    <x v="0"/>
    <s v="MTG"/>
    <x v="296"/>
    <n v="1.421861058506533"/>
  </r>
  <r>
    <s v="30YrConformingConventional"/>
    <s v="Bank of America"/>
    <x v="0"/>
    <s v="MTG"/>
    <x v="297"/>
    <n v="1.496662428726274"/>
  </r>
  <r>
    <s v="30YrConformingConventional"/>
    <s v="Bank of America"/>
    <x v="0"/>
    <s v="MTG"/>
    <x v="298"/>
    <n v="1.4803547487976791"/>
  </r>
  <r>
    <s v="30YrConformingConventional"/>
    <s v="Bank of America"/>
    <x v="0"/>
    <s v="MTG"/>
    <x v="299"/>
    <n v="1.5517458707157288"/>
  </r>
  <r>
    <s v="30YrConformingConventional"/>
    <s v="Bank of America"/>
    <x v="0"/>
    <s v="MTG"/>
    <x v="300"/>
    <n v="1.5354534558529385"/>
  </r>
  <r>
    <s v="30YrConformingConventional"/>
    <s v="Bank of America"/>
    <x v="0"/>
    <s v="MTG"/>
    <x v="301"/>
    <n v="1.5500794402021603"/>
  </r>
  <r>
    <s v="30YrConformingConventional"/>
    <s v="Bank of America"/>
    <x v="0"/>
    <s v="MTG"/>
    <x v="302"/>
    <n v="1.5864653060966885"/>
  </r>
  <r>
    <s v="30YrConformingConventional"/>
    <s v="Bank of America"/>
    <x v="0"/>
    <s v="MTG"/>
    <x v="303"/>
    <n v="1.5545206246598096"/>
  </r>
  <r>
    <s v="30YrConformingConventional"/>
    <s v="Bank of America"/>
    <x v="0"/>
    <s v="MTG"/>
    <x v="304"/>
    <n v="1.5014321552077756"/>
  </r>
  <r>
    <s v="30YrConformingConventional"/>
    <s v="Bank of America"/>
    <x v="0"/>
    <s v="MTG"/>
    <x v="305"/>
    <n v="1.4377845112750622"/>
  </r>
  <r>
    <s v="30YrConformingConventional"/>
    <s v="Bank of America"/>
    <x v="0"/>
    <s v="MTG"/>
    <x v="306"/>
    <n v="1.5523275899207993"/>
  </r>
  <r>
    <s v="30YrConformingConventional"/>
    <s v="Bank of America"/>
    <x v="0"/>
    <s v="MTG"/>
    <x v="307"/>
    <n v="1.5369215471158584"/>
  </r>
  <r>
    <s v="30YrConformingConventional"/>
    <s v="Bank of America"/>
    <x v="0"/>
    <s v="MTG"/>
    <x v="308"/>
    <n v="1.5410937848861888"/>
  </r>
  <r>
    <s v="30YrConformingConventional"/>
    <s v="Bank of America"/>
    <x v="0"/>
    <s v="MTG"/>
    <x v="309"/>
    <n v="1.5450829469171443"/>
  </r>
  <r>
    <s v="30YrConformingConventional"/>
    <s v="Bank of America"/>
    <x v="0"/>
    <s v="MTG"/>
    <x v="310"/>
    <n v="1.5386975180679781"/>
  </r>
  <r>
    <s v="30YrConformingConventional"/>
    <s v="Bank of America"/>
    <x v="0"/>
    <s v="MTG"/>
    <x v="311"/>
    <n v="1.6257424386638932"/>
  </r>
  <r>
    <s v="30YrConformingConventional"/>
    <s v="Bank of America"/>
    <x v="0"/>
    <s v="MTG"/>
    <x v="312"/>
    <n v="1.6106140813638945"/>
  </r>
  <r>
    <s v="30YrConformingConventional"/>
    <s v="Bank of America"/>
    <x v="0"/>
    <s v="MTG"/>
    <x v="313"/>
    <n v="1.6835106093648107"/>
  </r>
  <r>
    <s v="30YrConformingConventional"/>
    <s v="Bank of America"/>
    <x v="0"/>
    <s v="MTG"/>
    <x v="314"/>
    <n v="1.6129291388135749"/>
  </r>
  <r>
    <s v="30YrConformingConventional"/>
    <s v="Bank of America"/>
    <x v="0"/>
    <s v="MTG"/>
    <x v="315"/>
    <n v="1.6913018935952402"/>
  </r>
  <r>
    <s v="30YrConformingConventional"/>
    <s v="Bank of America"/>
    <x v="0"/>
    <s v="MTG"/>
    <x v="316"/>
    <n v="1.5392021123893669"/>
  </r>
  <r>
    <s v="30YrConformingConventional"/>
    <s v="Bank of America"/>
    <x v="0"/>
    <s v="MTG"/>
    <x v="317"/>
    <n v="1.52843487805263"/>
  </r>
  <r>
    <s v="30YrConformingConventional"/>
    <s v="Bank of America"/>
    <x v="0"/>
    <s v="MTG"/>
    <x v="318"/>
    <n v="1.5319083724123168"/>
  </r>
  <r>
    <s v="30YrConformingConventional"/>
    <s v="Bank of America"/>
    <x v="0"/>
    <s v="MTG"/>
    <x v="319"/>
    <n v="1.5368344411203299"/>
  </r>
  <r>
    <s v="30YrConformingConventional"/>
    <s v="Bank of America"/>
    <x v="0"/>
    <s v="MTG"/>
    <x v="320"/>
    <n v="1.5664402176437153"/>
  </r>
  <r>
    <s v="30YrConformingConventional"/>
    <s v="Bank of America"/>
    <x v="0"/>
    <s v="MTG"/>
    <x v="321"/>
    <n v="1.5589437372765884"/>
  </r>
  <r>
    <s v="30YrConformingConventional"/>
    <s v="Bank of America"/>
    <x v="0"/>
    <s v="MTG"/>
    <x v="322"/>
    <n v="1.5061542813141167"/>
  </r>
  <r>
    <s v="30YrConformingConventional"/>
    <s v="Bank of America"/>
    <x v="0"/>
    <s v="MTG"/>
    <x v="323"/>
    <n v="1.5213666760109477"/>
  </r>
  <r>
    <s v="30YrConformingConventional"/>
    <s v="Bank of America"/>
    <x v="0"/>
    <s v="MTG"/>
    <x v="324"/>
    <n v="1.5535554237797486"/>
  </r>
  <r>
    <s v="30YrConformingConventional"/>
    <s v="Bank of America"/>
    <x v="0"/>
    <s v="MTG"/>
    <x v="325"/>
    <n v="1.5307331996212554"/>
  </r>
  <r>
    <s v="30YrConformingConventional"/>
    <s v="Bank of America"/>
    <x v="0"/>
    <s v="MTG"/>
    <x v="326"/>
    <n v="1.4534253019135512"/>
  </r>
  <r>
    <s v="30YrConformingConventional"/>
    <s v="Bank of America"/>
    <x v="0"/>
    <s v="MTG"/>
    <x v="327"/>
    <n v="1.5302818760122499"/>
  </r>
  <r>
    <s v="30YrConformingConventional"/>
    <s v="Bank of America"/>
    <x v="0"/>
    <s v="MTG"/>
    <x v="328"/>
    <n v="1.530102742850354"/>
  </r>
  <r>
    <s v="30YrConformingConventional"/>
    <s v="Bank of America"/>
    <x v="0"/>
    <s v="MTG"/>
    <x v="329"/>
    <n v="1.5586899994785477"/>
  </r>
  <r>
    <s v="30YrConformingConventional"/>
    <s v="Bank of America"/>
    <x v="0"/>
    <s v="MTG"/>
    <x v="330"/>
    <n v="1.5569900272444519"/>
  </r>
  <r>
    <s v="30YrConformingConventional"/>
    <s v="Bank of America"/>
    <x v="0"/>
    <s v="MTG"/>
    <x v="331"/>
    <n v="1.4442398944599182"/>
  </r>
  <r>
    <s v="30YrConformingConventional"/>
    <s v="Bank of America"/>
    <x v="0"/>
    <s v="MTG"/>
    <x v="332"/>
    <n v="1.5987905522417443"/>
  </r>
  <r>
    <s v="30YrConformingConventional"/>
    <s v="Bank of America"/>
    <x v="0"/>
    <s v="MTG"/>
    <x v="333"/>
    <n v="1.6130515573249626"/>
  </r>
  <r>
    <s v="30YrConformingConventional"/>
    <s v="Bank of America"/>
    <x v="0"/>
    <s v="MTG"/>
    <x v="334"/>
    <n v="1.6339352165174921"/>
  </r>
  <r>
    <s v="30YrConformingConventional"/>
    <s v="Bank of America"/>
    <x v="0"/>
    <s v="MTG"/>
    <x v="335"/>
    <n v="1.6909166060421101"/>
  </r>
  <r>
    <s v="30YrConformingConventional"/>
    <s v="Bank of America"/>
    <x v="0"/>
    <s v="MTG"/>
    <x v="336"/>
    <n v="1.5977918483138307"/>
  </r>
  <r>
    <s v="30YrConformingConventional"/>
    <s v="Bank of America"/>
    <x v="0"/>
    <s v="MTG"/>
    <x v="337"/>
    <n v="1.6539364543666619"/>
  </r>
  <r>
    <s v="30YrConformingConventional"/>
    <s v="Bank of America"/>
    <x v="0"/>
    <s v="MTG"/>
    <x v="338"/>
    <n v="1.5936767051639413"/>
  </r>
  <r>
    <s v="30YrConformingConventional"/>
    <s v="Bank of America"/>
    <x v="0"/>
    <s v="MTG"/>
    <x v="339"/>
    <n v="1.5627779918341616"/>
  </r>
  <r>
    <s v="30YrConformingConventional"/>
    <s v="Bank of America"/>
    <x v="0"/>
    <s v="MTG"/>
    <x v="340"/>
    <n v="1.5627779918341616"/>
  </r>
  <r>
    <s v="30YrConformingConventional"/>
    <s v="Bank of America"/>
    <x v="0"/>
    <s v="MTG"/>
    <x v="341"/>
    <n v="1.539610034826467"/>
  </r>
  <r>
    <s v="30YrConformingConventional"/>
    <s v="Bank of America"/>
    <x v="0"/>
    <s v="MTG"/>
    <x v="342"/>
    <n v="1.5309919814107193"/>
  </r>
  <r>
    <s v="30YrConformingConventional"/>
    <s v="Bank of America"/>
    <x v="0"/>
    <s v="MTG"/>
    <x v="343"/>
    <n v="1.5535032420085142"/>
  </r>
  <r>
    <s v="30YrConformingConventional"/>
    <s v="Bank of America"/>
    <x v="0"/>
    <s v="MTG"/>
    <x v="344"/>
    <n v="1.5832988606107039"/>
  </r>
  <r>
    <s v="30YrConformingConventional"/>
    <s v="Bank of America"/>
    <x v="0"/>
    <s v="MTG"/>
    <x v="345"/>
    <n v="1.5357701007014244"/>
  </r>
  <r>
    <s v="30YrConformingConventional"/>
    <s v="Bank of America"/>
    <x v="0"/>
    <s v="MTG"/>
    <x v="346"/>
    <n v="1.4918857844531488"/>
  </r>
  <r>
    <s v="30YrConformingConventional"/>
    <s v="Bank of America"/>
    <x v="0"/>
    <s v="MTG"/>
    <x v="347"/>
    <n v="1.5355973444710223"/>
  </r>
  <r>
    <s v="30YrConformingConventional"/>
    <s v="Bank of America"/>
    <x v="0"/>
    <s v="MTG"/>
    <x v="348"/>
    <n v="1.5297905654851871"/>
  </r>
  <r>
    <s v="30YrConformingConventional"/>
    <s v="Bank of America"/>
    <x v="0"/>
    <s v="MTG"/>
    <x v="349"/>
    <n v="1.5337348556195278"/>
  </r>
  <r>
    <s v="30YrConformingConventional"/>
    <s v="Bank of America"/>
    <x v="0"/>
    <s v="MTG"/>
    <x v="350"/>
    <n v="1.4502078324494707"/>
  </r>
  <r>
    <s v="30YrConformingConventional"/>
    <s v="Bank of America"/>
    <x v="0"/>
    <s v="MTG"/>
    <x v="351"/>
    <n v="1.4037489616363141"/>
  </r>
  <r>
    <s v="30YrConformingConventional"/>
    <s v="Bank of America"/>
    <x v="0"/>
    <s v="MTG"/>
    <x v="352"/>
    <n v="1.4132246040305205"/>
  </r>
  <r>
    <s v="30YrConformingConventional"/>
    <s v="Bank of America"/>
    <x v="0"/>
    <s v="MTG"/>
    <x v="353"/>
    <n v="1.4750260650217955"/>
  </r>
  <r>
    <s v="30YrConformingConventional"/>
    <s v="Bank of America"/>
    <x v="0"/>
    <s v="MTG"/>
    <x v="354"/>
    <n v="1.4980761052428162"/>
  </r>
  <r>
    <s v="30YrConformingConventional"/>
    <s v="Bank of America"/>
    <x v="0"/>
    <s v="MTG"/>
    <x v="355"/>
    <n v="1.511571508869112"/>
  </r>
  <r>
    <s v="30YrConformingConventional"/>
    <s v="Bank of America"/>
    <x v="0"/>
    <s v="MTG"/>
    <x v="356"/>
    <n v="1.4599862712946006"/>
  </r>
  <r>
    <s v="30YrConformingConventional"/>
    <s v="Bank of America"/>
    <x v="0"/>
    <s v="MTG"/>
    <x v="357"/>
    <n v="1.5000598452230542"/>
  </r>
  <r>
    <s v="30YrConformingConventional"/>
    <s v="Bank of America"/>
    <x v="0"/>
    <s v="MTG"/>
    <x v="358"/>
    <n v="1.4087465815437707"/>
  </r>
  <r>
    <s v="30YrConformingConventional"/>
    <s v="Bank of America"/>
    <x v="0"/>
    <s v="MTG"/>
    <x v="359"/>
    <n v="1.4087681998135915"/>
  </r>
  <r>
    <s v="30YrConformingConventional"/>
    <s v="Bank of America"/>
    <x v="0"/>
    <s v="MTG"/>
    <x v="360"/>
    <n v="1.3522995964466815"/>
  </r>
  <r>
    <s v="30YrConformingConventional"/>
    <s v="Bank of America"/>
    <x v="0"/>
    <s v="MTG"/>
    <x v="361"/>
    <n v="1.4053064916448095"/>
  </r>
  <r>
    <s v="30YrConformingConventional"/>
    <s v="Bank of America"/>
    <x v="0"/>
    <s v="MTG"/>
    <x v="362"/>
    <n v="1.431187204758996"/>
  </r>
  <r>
    <s v="30YrConformingConventional"/>
    <s v="Bank of America"/>
    <x v="0"/>
    <s v="MTG"/>
    <x v="363"/>
    <n v="1.401831224650071"/>
  </r>
  <r>
    <s v="30YrConformingConventional"/>
    <s v="Bank of America"/>
    <x v="0"/>
    <s v="MTG"/>
    <x v="364"/>
    <n v="1.401831224650071"/>
  </r>
  <r>
    <s v="30YrConformingConventional"/>
    <s v="Bank of America"/>
    <x v="0"/>
    <s v="MTG"/>
    <x v="365"/>
    <n v="1.401831224650071"/>
  </r>
  <r>
    <s v="30YrConformingConventional"/>
    <s v="Bank of America"/>
    <x v="0"/>
    <s v="MTG"/>
    <x v="366"/>
    <n v="1.3992478187813913"/>
  </r>
  <r>
    <s v="30YrConformingConventional"/>
    <s v="Bank of America"/>
    <x v="0"/>
    <s v="MTG"/>
    <x v="367"/>
    <n v="1.406645542251159"/>
  </r>
  <r>
    <s v="30YrConformingConventional"/>
    <s v="Bank of America"/>
    <x v="0"/>
    <s v="MTG"/>
    <x v="368"/>
    <n v="1.4007059860569704"/>
  </r>
  <r>
    <s v="30YrConformingConventional"/>
    <s v="Bank of America"/>
    <x v="0"/>
    <s v="MTG"/>
    <x v="369"/>
    <n v="1.4071602814203232"/>
  </r>
  <r>
    <s v="30YrConformingConventional"/>
    <s v="Bank of America"/>
    <x v="0"/>
    <s v="MTG"/>
    <x v="370"/>
    <n v="1.3939993263095574"/>
  </r>
  <r>
    <s v="30YrConformingConventional"/>
    <s v="Bank of America"/>
    <x v="0"/>
    <s v="MTG"/>
    <x v="371"/>
    <n v="1.4266814658410218"/>
  </r>
  <r>
    <s v="30YrConformingConventional"/>
    <s v="Bank of America"/>
    <x v="0"/>
    <s v="MTG"/>
    <x v="372"/>
    <n v="1.4320528710381419"/>
  </r>
  <r>
    <s v="30YrConformingConventional"/>
    <s v="Bank of America"/>
    <x v="0"/>
    <s v="MTG"/>
    <x v="373"/>
    <n v="1.3984763516486851"/>
  </r>
  <r>
    <s v="30YrConformingConventional"/>
    <s v="Bank of America"/>
    <x v="0"/>
    <s v="MTG"/>
    <x v="374"/>
    <n v="1.3984763516486851"/>
  </r>
  <r>
    <s v="30YrConformingConventional"/>
    <s v="Bank of America"/>
    <x v="0"/>
    <s v="MTG"/>
    <x v="375"/>
    <n v="1.3984763516486851"/>
  </r>
  <r>
    <s v="30YrConformingConventional"/>
    <s v="Bank of America"/>
    <x v="0"/>
    <s v="MTG"/>
    <x v="376"/>
    <n v="1.4468743615952917"/>
  </r>
  <r>
    <s v="30YrConformingConventional"/>
    <s v="Bank of America"/>
    <x v="0"/>
    <s v="MTG"/>
    <x v="377"/>
    <n v="1.4130705494535527"/>
  </r>
  <r>
    <s v="30YrConformingConventional"/>
    <s v="Bank of America"/>
    <x v="0"/>
    <s v="MTG"/>
    <x v="378"/>
    <n v="1.4258903423664513"/>
  </r>
  <r>
    <s v="30YrConformingConventional"/>
    <s v="Bank of America"/>
    <x v="0"/>
    <s v="MTG"/>
    <x v="379"/>
    <n v="1.4572756699627605"/>
  </r>
  <r>
    <s v="30YrConformingConventional"/>
    <s v="Bank of America"/>
    <x v="0"/>
    <s v="MTG"/>
    <x v="380"/>
    <n v="1.4572756699627605"/>
  </r>
  <r>
    <s v="30YrConformingConventional"/>
    <s v="Bank of America"/>
    <x v="0"/>
    <s v="MTG"/>
    <x v="381"/>
    <n v="1.4572756699627605"/>
  </r>
  <r>
    <s v="30YrConformingConventional"/>
    <s v="Bank of America"/>
    <x v="0"/>
    <s v="MTG"/>
    <x v="382"/>
    <n v="1.3809385607436306"/>
  </r>
  <r>
    <s v="30YrConformingConventional"/>
    <s v="Bank of America"/>
    <x v="0"/>
    <s v="MTG"/>
    <x v="383"/>
    <n v="1.3690419305849646"/>
  </r>
  <r>
    <s v="30YrConformingConventional"/>
    <s v="Bank of America"/>
    <x v="0"/>
    <s v="MTG"/>
    <x v="384"/>
    <n v="1.3690419305849646"/>
  </r>
  <r>
    <s v="30YrConformingConventional"/>
    <s v="Bank of America"/>
    <x v="0"/>
    <s v="MTG"/>
    <x v="385"/>
    <n v="1.4426898843760445"/>
  </r>
  <r>
    <s v="30YrConformingConventional"/>
    <s v="Bank of America"/>
    <x v="0"/>
    <s v="MTG"/>
    <x v="386"/>
    <n v="1.3646432644973936"/>
  </r>
  <r>
    <s v="30YrConformingConventional"/>
    <s v="Bank of America"/>
    <x v="0"/>
    <s v="MTG"/>
    <x v="387"/>
    <n v="1.4163386302787968"/>
  </r>
  <r>
    <s v="30YrConformingConventional"/>
    <s v="Bank of America"/>
    <x v="0"/>
    <s v="MTG"/>
    <x v="388"/>
    <n v="1.3865492256638337"/>
  </r>
  <r>
    <s v="30YrConformingConventional"/>
    <s v="Bank of America"/>
    <x v="0"/>
    <s v="MTG"/>
    <x v="389"/>
    <n v="1.3498341414231501"/>
  </r>
  <r>
    <s v="30YrConformingConventional"/>
    <s v="Bank of America"/>
    <x v="0"/>
    <s v="MTG"/>
    <x v="390"/>
    <n v="1.3129517027178592"/>
  </r>
  <r>
    <s v="30YrConformingConventional"/>
    <s v="Bank of America"/>
    <x v="0"/>
    <s v="MTG"/>
    <x v="391"/>
    <n v="1.321750251373137"/>
  </r>
  <r>
    <s v="30YrConformingConventional"/>
    <s v="Bank of America"/>
    <x v="0"/>
    <s v="MTG"/>
    <x v="392"/>
    <n v="1.3332301026690929"/>
  </r>
  <r>
    <s v="30YrConformingConventional"/>
    <s v="Bank of America"/>
    <x v="0"/>
    <s v="MTG"/>
    <x v="393"/>
    <n v="1.357470050379703"/>
  </r>
  <r>
    <s v="30YrConformingConventional"/>
    <s v="Bank of America"/>
    <x v="0"/>
    <s v="MTG"/>
    <x v="394"/>
    <n v="1.4021688240480428"/>
  </r>
  <r>
    <s v="30YrConformingConventional"/>
    <s v="Bank of America"/>
    <x v="0"/>
    <s v="MTG"/>
    <x v="395"/>
    <n v="1.3921194316968439"/>
  </r>
  <r>
    <s v="30YrConformingConventional"/>
    <s v="Bank of America"/>
    <x v="0"/>
    <s v="MTG"/>
    <x v="396"/>
    <n v="1.4666364207635267"/>
  </r>
  <r>
    <s v="30YrConformingConventional"/>
    <s v="Bank of America"/>
    <x v="0"/>
    <s v="MTG"/>
    <x v="397"/>
    <n v="1.4496758222465587"/>
  </r>
  <r>
    <s v="30YrConformingConventional"/>
    <s v="Bank of America"/>
    <x v="0"/>
    <s v="MTG"/>
    <x v="398"/>
    <n v="1.4604779456261776"/>
  </r>
  <r>
    <s v="30YrConformingConventional"/>
    <s v="Bank of America"/>
    <x v="0"/>
    <s v="MTG"/>
    <x v="399"/>
    <n v="1.3826636282242259"/>
  </r>
  <r>
    <s v="30YrConformingConventional"/>
    <s v="Bank of America"/>
    <x v="0"/>
    <s v="MTG"/>
    <x v="400"/>
    <n v="1.4000390347207188"/>
  </r>
  <r>
    <s v="30YrConformingConventional"/>
    <s v="Bank of America"/>
    <x v="0"/>
    <s v="MTG"/>
    <x v="401"/>
    <n v="1.3000576873243532"/>
  </r>
  <r>
    <s v="30YrConformingConventional"/>
    <s v="Bank of America"/>
    <x v="0"/>
    <s v="MTG"/>
    <x v="402"/>
    <n v="1.2897972841706289"/>
  </r>
  <r>
    <s v="30YrConformingConventional"/>
    <s v="Bank of America"/>
    <x v="0"/>
    <s v="MTG"/>
    <x v="403"/>
    <n v="1.2703376507170288"/>
  </r>
  <r>
    <s v="30YrConformingConventional"/>
    <s v="Bank of America"/>
    <x v="0"/>
    <s v="MTG"/>
    <x v="404"/>
    <n v="1.2603961929156495"/>
  </r>
  <r>
    <s v="30YrConformingConventional"/>
    <s v="Bank of America"/>
    <x v="0"/>
    <s v="MTG"/>
    <x v="405"/>
    <n v="1.3760699897254018"/>
  </r>
  <r>
    <s v="30YrConformingConventional"/>
    <s v="Bank of America"/>
    <x v="0"/>
    <s v="MTG"/>
    <x v="406"/>
    <n v="1.3676957310896225"/>
  </r>
  <r>
    <s v="30YrConformingConventional"/>
    <s v="Bank of America"/>
    <x v="0"/>
    <s v="MTG"/>
    <x v="407"/>
    <n v="1.3737331391318557"/>
  </r>
  <r>
    <s v="30YrConformingConventional"/>
    <s v="Bank of America"/>
    <x v="0"/>
    <s v="MTG"/>
    <x v="408"/>
    <n v="1.3043927607093979"/>
  </r>
  <r>
    <s v="30YrConformingConventional"/>
    <s v="Bank of America"/>
    <x v="0"/>
    <s v="MTG"/>
    <x v="409"/>
    <n v="1.3749376948958094"/>
  </r>
  <r>
    <s v="30YrConformingConventional"/>
    <s v="Bank of America"/>
    <x v="0"/>
    <s v="MTG"/>
    <x v="410"/>
    <n v="1.3390204751442263"/>
  </r>
  <r>
    <s v="30YrConformingConventional"/>
    <s v="Bank of America"/>
    <x v="0"/>
    <s v="MTG"/>
    <x v="411"/>
    <n v="1.3766351669747969"/>
  </r>
  <r>
    <s v="30YrConformingConventional"/>
    <s v="Bank of America"/>
    <x v="0"/>
    <s v="MTG"/>
    <x v="412"/>
    <n v="1.3300448549685782"/>
  </r>
  <r>
    <s v="30YrConformingConventional"/>
    <s v="Bank of America"/>
    <x v="0"/>
    <s v="MTG"/>
    <x v="413"/>
    <n v="1.4009164053974121"/>
  </r>
  <r>
    <s v="30YrConformingConventional"/>
    <s v="Bank of America"/>
    <x v="0"/>
    <s v="MTG"/>
    <x v="414"/>
    <n v="1.3170300272502364"/>
  </r>
  <r>
    <s v="30YrConformingConventional"/>
    <s v="Bank of America"/>
    <x v="0"/>
    <s v="MTG"/>
    <x v="415"/>
    <n v="1.4044474359654484"/>
  </r>
  <r>
    <s v="30YrConformingConventional"/>
    <s v="Bank of America"/>
    <x v="0"/>
    <s v="MTG"/>
    <x v="416"/>
    <n v="1.3563520113644405"/>
  </r>
  <r>
    <s v="30YrConformingConventional"/>
    <s v="Bank of America"/>
    <x v="0"/>
    <s v="MTG"/>
    <x v="417"/>
    <n v="1.3166837681228876"/>
  </r>
  <r>
    <s v="30YrConformingConventional"/>
    <s v="Bank of America"/>
    <x v="0"/>
    <s v="MTG"/>
    <x v="418"/>
    <n v="1.3514362207980646"/>
  </r>
  <r>
    <s v="30YrConformingConventional"/>
    <s v="Bank of America"/>
    <x v="0"/>
    <s v="MTG"/>
    <x v="419"/>
    <n v="1.366899802246738"/>
  </r>
  <r>
    <s v="30YrConformingConventional"/>
    <s v="Bank of America"/>
    <x v="0"/>
    <s v="MTG"/>
    <x v="420"/>
    <n v="1.2779025828318782"/>
  </r>
  <r>
    <s v="30YrConformingConventional"/>
    <s v="Bank of America"/>
    <x v="0"/>
    <s v="MTG"/>
    <x v="421"/>
    <n v="1.2892912501352178"/>
  </r>
  <r>
    <s v="30YrConformingConventional"/>
    <s v="Bank of America"/>
    <x v="0"/>
    <s v="MTG"/>
    <x v="422"/>
    <n v="1.2990684266349271"/>
  </r>
  <r>
    <s v="30YrConformingConventional"/>
    <s v="Bank of America"/>
    <x v="0"/>
    <s v="MTG"/>
    <x v="423"/>
    <n v="1.3556397728819423"/>
  </r>
  <r>
    <s v="30YrConformingConventional"/>
    <s v="Bank of America"/>
    <x v="0"/>
    <s v="MTG"/>
    <x v="424"/>
    <n v="1.2577800726141282"/>
  </r>
  <r>
    <s v="30YrConformingConventional"/>
    <s v="Bank of America"/>
    <x v="0"/>
    <s v="MTG"/>
    <x v="425"/>
    <n v="1.2320106455622477"/>
  </r>
  <r>
    <s v="30YrConformingConventional"/>
    <s v="Bank of America"/>
    <x v="0"/>
    <s v="MTG"/>
    <x v="426"/>
    <n v="1.2579774891879953"/>
  </r>
  <r>
    <s v="30YrConformingConventional"/>
    <s v="Bank of America"/>
    <x v="0"/>
    <s v="MTG"/>
    <x v="427"/>
    <n v="1.2990629152051725"/>
  </r>
  <r>
    <s v="30YrConformingConventional"/>
    <s v="Bank of America"/>
    <x v="0"/>
    <s v="MTG"/>
    <x v="428"/>
    <n v="1.2919277825357405"/>
  </r>
  <r>
    <s v="30YrConformingConventional"/>
    <s v="Bank of America"/>
    <x v="0"/>
    <s v="MTG"/>
    <x v="429"/>
    <n v="1.3225382240363963"/>
  </r>
  <r>
    <s v="30YrConformingConventional"/>
    <s v="Bank of America"/>
    <x v="0"/>
    <s v="MTG"/>
    <x v="430"/>
    <n v="1.3771780020663107"/>
  </r>
  <r>
    <s v="30YrConformingConventional"/>
    <s v="Bank of America"/>
    <x v="0"/>
    <s v="MTG"/>
    <x v="431"/>
    <n v="1.2565097550388902"/>
  </r>
  <r>
    <s v="30YrConformingConventional"/>
    <s v="Bank of America"/>
    <x v="0"/>
    <s v="MTG"/>
    <x v="432"/>
    <n v="1.2869016531242954"/>
  </r>
  <r>
    <s v="30YrConformingConventional"/>
    <s v="Bank of America"/>
    <x v="0"/>
    <s v="MTG"/>
    <x v="433"/>
    <n v="1.2879680359204122"/>
  </r>
  <r>
    <s v="30YrConformingConventional"/>
    <s v="Bank of America"/>
    <x v="0"/>
    <s v="MTG"/>
    <x v="434"/>
    <n v="1.5824478752958191"/>
  </r>
  <r>
    <s v="30YrConformingConventional"/>
    <s v="Bank of America"/>
    <x v="0"/>
    <s v="MTG"/>
    <x v="435"/>
    <n v="1.3881843901371225"/>
  </r>
  <r>
    <s v="30YrConformingConventional"/>
    <s v="Bank of America"/>
    <x v="0"/>
    <s v="MTG"/>
    <x v="436"/>
    <n v="1.3423360842545966"/>
  </r>
  <r>
    <s v="30YrConformingConventional"/>
    <s v="Bank of America"/>
    <x v="0"/>
    <s v="MTG"/>
    <x v="437"/>
    <n v="1.4000349595889843"/>
  </r>
  <r>
    <s v="30YrConformingConventional"/>
    <s v="Bank of America"/>
    <x v="0"/>
    <s v="MTG"/>
    <x v="438"/>
    <n v="1.3620047443221681"/>
  </r>
  <r>
    <s v="30YrConformingConventional"/>
    <s v="Bank of America"/>
    <x v="0"/>
    <s v="MTG"/>
    <x v="439"/>
    <n v="1.4353293484402045"/>
  </r>
  <r>
    <s v="30YrConformingConventional"/>
    <s v="Bank of America"/>
    <x v="0"/>
    <s v="MTG"/>
    <x v="440"/>
    <n v="1.3824188098573733"/>
  </r>
  <r>
    <s v="30YrConformingConventional"/>
    <s v="Bank of America"/>
    <x v="0"/>
    <s v="MTG"/>
    <x v="441"/>
    <n v="1.3196450406209637"/>
  </r>
  <r>
    <s v="30YrConformingConventional"/>
    <s v="Bank of America"/>
    <x v="0"/>
    <s v="MTG"/>
    <x v="442"/>
    <n v="1.3683364727399026"/>
  </r>
  <r>
    <s v="30YrConformingConventional"/>
    <s v="Bank of America"/>
    <x v="0"/>
    <s v="MTG"/>
    <x v="443"/>
    <n v="1.370915517618686"/>
  </r>
  <r>
    <s v="30YrConformingConventional"/>
    <s v="Bank of America"/>
    <x v="0"/>
    <s v="MTG"/>
    <x v="444"/>
    <n v="1.4757478253014475"/>
  </r>
  <r>
    <s v="30YrConformingConventional"/>
    <s v="Bank of America"/>
    <x v="0"/>
    <s v="MTG"/>
    <x v="445"/>
    <n v="1.3979429522616504"/>
  </r>
  <r>
    <s v="30YrConformingConventional"/>
    <s v="Bank of America"/>
    <x v="0"/>
    <s v="MTG"/>
    <x v="446"/>
    <n v="1.4279447442446962"/>
  </r>
  <r>
    <s v="30YrConformingConventional"/>
    <s v="Bank of America"/>
    <x v="0"/>
    <s v="MTG"/>
    <x v="447"/>
    <n v="1.5194843294056521"/>
  </r>
  <r>
    <s v="30YrConformingConventional"/>
    <s v="Bank of America"/>
    <x v="0"/>
    <s v="MTG"/>
    <x v="448"/>
    <n v="1.3158417091699668"/>
  </r>
  <r>
    <s v="30YrConformingConventional"/>
    <s v="Bank of America"/>
    <x v="0"/>
    <s v="MTG"/>
    <x v="449"/>
    <n v="1.3644765169176745"/>
  </r>
  <r>
    <s v="30YrConformingConventional"/>
    <s v="Bank of America"/>
    <x v="0"/>
    <s v="MTG"/>
    <x v="450"/>
    <n v="1.4643869751051863"/>
  </r>
  <r>
    <s v="30YrConformingConventional"/>
    <s v="Bank of America"/>
    <x v="0"/>
    <s v="MTG"/>
    <x v="451"/>
    <n v="1.4668086823046489"/>
  </r>
  <r>
    <s v="30YrConformingConventional"/>
    <s v="Bank of America"/>
    <x v="0"/>
    <s v="MTG"/>
    <x v="452"/>
    <n v="1.4184868665842767"/>
  </r>
  <r>
    <s v="30YrConformingConventional"/>
    <s v="Bank of America"/>
    <x v="0"/>
    <s v="MTG"/>
    <x v="453"/>
    <n v="1.4668284452399045"/>
  </r>
  <r>
    <s v="30YrConformingConventional"/>
    <s v="Bank of America"/>
    <x v="0"/>
    <s v="MTG"/>
    <x v="454"/>
    <n v="1.4650084398118859"/>
  </r>
  <r>
    <s v="30YrConformingConventional"/>
    <s v="Bank of America"/>
    <x v="0"/>
    <s v="MTG"/>
    <x v="455"/>
    <n v="1.4694333014599956"/>
  </r>
  <r>
    <s v="30YrConformingConventional"/>
    <s v="Bank of America"/>
    <x v="0"/>
    <s v="MTG"/>
    <x v="456"/>
    <n v="1.4428585783904082"/>
  </r>
  <r>
    <s v="30YrConformingConventional"/>
    <s v="Bank of America"/>
    <x v="0"/>
    <s v="MTG"/>
    <x v="457"/>
    <n v="1.5082143391409675"/>
  </r>
  <r>
    <s v="30YrConformingConventional"/>
    <s v="Bank of America"/>
    <x v="0"/>
    <s v="MTG"/>
    <x v="458"/>
    <n v="1.5327325526044315"/>
  </r>
  <r>
    <s v="30YrConformingConventional"/>
    <s v="Bank of America"/>
    <x v="0"/>
    <s v="MTG"/>
    <x v="459"/>
    <n v="1.4641722822710617"/>
  </r>
  <r>
    <s v="30YrConformingConventional"/>
    <s v="Bank of America"/>
    <x v="0"/>
    <s v="MTG"/>
    <x v="460"/>
    <n v="1.4701290253534263"/>
  </r>
  <r>
    <s v="30YrConformingConventional"/>
    <s v="Bank of America"/>
    <x v="0"/>
    <s v="MTG"/>
    <x v="461"/>
    <n v="1.39751249244281"/>
  </r>
  <r>
    <s v="30YrConformingConventional"/>
    <s v="Bank of America"/>
    <x v="0"/>
    <s v="MTG"/>
    <x v="462"/>
    <n v="1.3573978053845996"/>
  </r>
  <r>
    <s v="30YrConformingConventional"/>
    <s v="Bank of America"/>
    <x v="0"/>
    <s v="MTG"/>
    <x v="463"/>
    <n v="1.3372256157033684"/>
  </r>
  <r>
    <s v="30YrConformingConventional"/>
    <s v="Bank of America"/>
    <x v="0"/>
    <s v="MTG"/>
    <x v="464"/>
    <n v="1.3372335645530076"/>
  </r>
  <r>
    <s v="30YrConformingConventional"/>
    <s v="Bank of America"/>
    <x v="0"/>
    <s v="MTG"/>
    <x v="465"/>
    <n v="1.5003642833910562"/>
  </r>
  <r>
    <s v="30YrConformingConventional"/>
    <s v="Bank of America"/>
    <x v="0"/>
    <s v="MTG"/>
    <x v="466"/>
    <n v="1.5033690980052965"/>
  </r>
  <r>
    <s v="30YrConformingConventional"/>
    <s v="Bank of America"/>
    <x v="0"/>
    <s v="MTG"/>
    <x v="467"/>
    <n v="1.491831752916345"/>
  </r>
  <r>
    <s v="30YrConformingConventional"/>
    <s v="Bank of America"/>
    <x v="0"/>
    <s v="MTG"/>
    <x v="468"/>
    <n v="1.4699371157430399"/>
  </r>
  <r>
    <s v="30YrConformingConventional"/>
    <s v="Bank of America"/>
    <x v="0"/>
    <s v="MTG"/>
    <x v="469"/>
    <n v="1.5803635881977949"/>
  </r>
  <r>
    <s v="30YrConformingConventional"/>
    <s v="Bank of America"/>
    <x v="0"/>
    <s v="MTG"/>
    <x v="470"/>
    <n v="1.4782622776718288"/>
  </r>
  <r>
    <s v="30YrConformingConventional"/>
    <s v="Bank of America"/>
    <x v="0"/>
    <s v="MTG"/>
    <x v="471"/>
    <n v="1.4362607996317289"/>
  </r>
  <r>
    <s v="30YrConformingConventional"/>
    <s v="Bank of America"/>
    <x v="0"/>
    <s v="MTG"/>
    <x v="472"/>
    <n v="1.5600906711402482"/>
  </r>
  <r>
    <s v="30YrConformingConventional"/>
    <s v="Bank of America"/>
    <x v="0"/>
    <s v="MTG"/>
    <x v="473"/>
    <n v="1.6477619560961081"/>
  </r>
  <r>
    <s v="30YrConformingConventional"/>
    <s v="Bank of America"/>
    <x v="0"/>
    <s v="MTG"/>
    <x v="474"/>
    <n v="1.6157505211981769"/>
  </r>
  <r>
    <s v="30YrConformingConventional"/>
    <s v="Bank of America"/>
    <x v="0"/>
    <s v="MTG"/>
    <x v="475"/>
    <n v="1.5808442616224536"/>
  </r>
  <r>
    <s v="30YrConformingConventional"/>
    <s v="Bank of America"/>
    <x v="0"/>
    <s v="MTG"/>
    <x v="476"/>
    <n v="1.5565240131214049"/>
  </r>
  <r>
    <s v="30YrConformingConventional"/>
    <s v="Bank of America"/>
    <x v="0"/>
    <s v="MTG"/>
    <x v="477"/>
    <n v="1.675426691299168"/>
  </r>
  <r>
    <s v="30YrConformingConventional"/>
    <s v="Bank of America"/>
    <x v="0"/>
    <s v="MTG"/>
    <x v="478"/>
    <n v="1.6405661020240783"/>
  </r>
  <r>
    <s v="30YrConformingConventional"/>
    <s v="Bank of America"/>
    <x v="0"/>
    <s v="MTG"/>
    <x v="479"/>
    <n v="1.627402901528608"/>
  </r>
  <r>
    <s v="30YrConformingConventional"/>
    <s v="Bank of America"/>
    <x v="0"/>
    <s v="MTG"/>
    <x v="480"/>
    <n v="1.7088815038952063"/>
  </r>
  <r>
    <s v="30YrConformingConventional"/>
    <s v="Bank of America"/>
    <x v="0"/>
    <s v="MTG"/>
    <x v="481"/>
    <n v="1.6166612512169338"/>
  </r>
  <r>
    <s v="30YrConformingConventional"/>
    <s v="Bank of America"/>
    <x v="0"/>
    <s v="MTG"/>
    <x v="482"/>
    <n v="1.6391133594787146"/>
  </r>
  <r>
    <s v="30YrConformingConventional"/>
    <s v="Bank of America"/>
    <x v="0"/>
    <s v="MTG"/>
    <x v="483"/>
    <n v="1.5724005583008662"/>
  </r>
  <r>
    <s v="30YrConformingConventional"/>
    <s v="Bank of America"/>
    <x v="0"/>
    <s v="MTG"/>
    <x v="484"/>
    <n v="1.6546653903688626"/>
  </r>
  <r>
    <s v="30YrConformingConventional"/>
    <s v="Bank of America"/>
    <x v="0"/>
    <s v="MTG"/>
    <x v="485"/>
    <n v="1.5296663212596953"/>
  </r>
  <r>
    <s v="30YrConformingConventional"/>
    <s v="Bank of America"/>
    <x v="0"/>
    <s v="MTG"/>
    <x v="486"/>
    <n v="1.5466842909494218"/>
  </r>
  <r>
    <s v="30YrConformingConventional"/>
    <s v="Bank of America"/>
    <x v="0"/>
    <s v="MTG"/>
    <x v="487"/>
    <n v="1.4957765937274012"/>
  </r>
  <r>
    <s v="30YrConformingConventional"/>
    <s v="Bank of America"/>
    <x v="0"/>
    <s v="MTG"/>
    <x v="488"/>
    <n v="1.5181274608901154"/>
  </r>
  <r>
    <s v="30YrConformingConventional"/>
    <s v="Bank of America"/>
    <x v="0"/>
    <s v="MTG"/>
    <x v="489"/>
    <n v="1.5704343249663042"/>
  </r>
  <r>
    <s v="30YrConformingConventional"/>
    <s v="Bank of America"/>
    <x v="0"/>
    <s v="MTG"/>
    <x v="490"/>
    <n v="1.5131547274617316"/>
  </r>
  <r>
    <s v="30YrConformingConventional"/>
    <s v="Bank of America"/>
    <x v="0"/>
    <s v="MTG"/>
    <x v="491"/>
    <n v="1.3999251196442464"/>
  </r>
  <r>
    <s v="30YrConformingConventional"/>
    <s v="Bank of America"/>
    <x v="0"/>
    <s v="MTG"/>
    <x v="492"/>
    <n v="1.4121765925473928"/>
  </r>
  <r>
    <s v="30YrConformingConventional"/>
    <s v="Bank of America"/>
    <x v="0"/>
    <s v="MTG"/>
    <x v="493"/>
    <n v="1.4606296528041998"/>
  </r>
  <r>
    <s v="30YrConformingConventional"/>
    <s v="Bank of America"/>
    <x v="0"/>
    <s v="MTG"/>
    <x v="494"/>
    <n v="1.3480286198091822"/>
  </r>
  <r>
    <s v="30YrConformingConventional"/>
    <s v="Bank of America"/>
    <x v="0"/>
    <s v="MTG"/>
    <x v="495"/>
    <n v="1.3695323199297238"/>
  </r>
  <r>
    <s v="30YrConformingConventional"/>
    <s v="Bank of America"/>
    <x v="0"/>
    <s v="MTG"/>
    <x v="496"/>
    <n v="1.3082097105328854"/>
  </r>
  <r>
    <s v="30YrConformingConventional"/>
    <s v="Bank of America"/>
    <x v="0"/>
    <s v="MTG"/>
    <x v="497"/>
    <n v="1.29514596655613"/>
  </r>
  <r>
    <s v="30YrConformingConventional"/>
    <s v="Bank of America"/>
    <x v="0"/>
    <s v="MTG"/>
    <x v="498"/>
    <n v="1.3572184600929762"/>
  </r>
  <r>
    <s v="30YrConformingConventional"/>
    <s v="Bank of America"/>
    <x v="0"/>
    <s v="MTG"/>
    <x v="499"/>
    <n v="1.3067951594597407"/>
  </r>
  <r>
    <s v="30YrConformingConventional"/>
    <s v="Bank of America"/>
    <x v="0"/>
    <s v="MTG"/>
    <x v="500"/>
    <n v="1.250066217934622"/>
  </r>
  <r>
    <s v="30YrConformingConventional"/>
    <s v="Bank of America"/>
    <x v="0"/>
    <s v="MTG"/>
    <x v="501"/>
    <n v="1.3042550474370029"/>
  </r>
  <r>
    <s v="30YrConformingConventional"/>
    <s v="Bank of America"/>
    <x v="0"/>
    <s v="MTG"/>
    <x v="502"/>
    <n v="1.4444841969796625"/>
  </r>
  <r>
    <s v="30YrConformingConventional"/>
    <s v="Bank of America"/>
    <x v="0"/>
    <s v="MTG"/>
    <x v="503"/>
    <n v="1.3950958872641417"/>
  </r>
  <r>
    <s v="30YrConformingConventional"/>
    <s v="Bank of America"/>
    <x v="0"/>
    <s v="MTG"/>
    <x v="504"/>
    <n v="1.4476493296255908"/>
  </r>
  <r>
    <s v="30YrConformingConventional"/>
    <s v="Bank of America"/>
    <x v="0"/>
    <s v="MTG"/>
    <x v="505"/>
    <n v="1.4060783640597243"/>
  </r>
  <r>
    <s v="30YrConformingConventional"/>
    <s v="Bank of America"/>
    <x v="0"/>
    <s v="MTG"/>
    <x v="506"/>
    <n v="1.4089320125728715"/>
  </r>
  <r>
    <s v="30YrConformingConventional"/>
    <s v="Bank of America"/>
    <x v="0"/>
    <s v="MTG"/>
    <x v="507"/>
    <n v="1.4087772051479068"/>
  </r>
  <r>
    <s v="30YrConformingConventional"/>
    <s v="Bank of America"/>
    <x v="0"/>
    <s v="MTG"/>
    <x v="508"/>
    <n v="1.4720887214127205"/>
  </r>
  <r>
    <s v="30YrConformingConventional"/>
    <s v="Bank of America"/>
    <x v="0"/>
    <s v="MTG"/>
    <x v="509"/>
    <n v="1.4836646997444767"/>
  </r>
  <r>
    <s v="30YrConformingConventional"/>
    <s v="Bank of America"/>
    <x v="0"/>
    <s v="MTG"/>
    <x v="510"/>
    <n v="1.3377099167117545"/>
  </r>
  <r>
    <s v="30YrConformingConventional"/>
    <s v="Bank of America"/>
    <x v="0"/>
    <s v="MTG"/>
    <x v="511"/>
    <n v="1.4354741054779359"/>
  </r>
  <r>
    <s v="30YrConformingConventional"/>
    <s v="Bank of America"/>
    <x v="0"/>
    <s v="MTG"/>
    <x v="512"/>
    <n v="1.4393292591290372"/>
  </r>
  <r>
    <s v="30YrConformingConventional"/>
    <s v="Bank of America"/>
    <x v="0"/>
    <s v="MTG"/>
    <x v="513"/>
    <n v="1.4203376320181476"/>
  </r>
  <r>
    <s v="30YrConformingConventional"/>
    <s v="Bank of America"/>
    <x v="0"/>
    <s v="MTG"/>
    <x v="514"/>
    <n v="1.3338730459808019"/>
  </r>
  <r>
    <s v="30YrConformingConventional"/>
    <s v="Bank of America"/>
    <x v="0"/>
    <s v="MTG"/>
    <x v="515"/>
    <n v="1.3186079656491489"/>
  </r>
  <r>
    <s v="30YrConformingConventional"/>
    <s v="Bank of America"/>
    <x v="0"/>
    <s v="MTG"/>
    <x v="516"/>
    <n v="1.2961958161352025"/>
  </r>
  <r>
    <s v="30YrConformingConventional"/>
    <s v="Bank of America"/>
    <x v="0"/>
    <s v="MTG"/>
    <x v="517"/>
    <n v="1.198689795005317"/>
  </r>
  <r>
    <s v="30YrConformingConventional"/>
    <s v="Bank of America"/>
    <x v="0"/>
    <s v="MTG"/>
    <x v="518"/>
    <n v="1.1798515351649304"/>
  </r>
  <r>
    <s v="30YrConformingConventional"/>
    <s v="Bank of America"/>
    <x v="0"/>
    <s v="MTG"/>
    <x v="519"/>
    <n v="1.2000417529318734"/>
  </r>
  <r>
    <s v="30YrConformingConventional"/>
    <s v="Bank of America"/>
    <x v="0"/>
    <s v="MTG"/>
    <x v="520"/>
    <n v="1.1994707334075836"/>
  </r>
  <r>
    <s v="30YrConformingConventional"/>
    <s v="Bank of America"/>
    <x v="0"/>
    <s v="MTG"/>
    <x v="521"/>
    <n v="1.2242376896144407"/>
  </r>
  <r>
    <s v="30YrConformingConventional"/>
    <s v="Bank of America"/>
    <x v="0"/>
    <s v="MTG"/>
    <x v="522"/>
    <n v="1.3649838181592142"/>
  </r>
  <r>
    <s v="30YrConformingConventional"/>
    <s v="Bank of America"/>
    <x v="0"/>
    <s v="MTG"/>
    <x v="523"/>
    <n v="1.3172970205466266"/>
  </r>
  <r>
    <s v="30YrConformingConventional"/>
    <s v="Bank of America"/>
    <x v="0"/>
    <s v="MTG"/>
    <x v="524"/>
    <n v="1.3260666364242231"/>
  </r>
  <r>
    <s v="30YrConformingConventional"/>
    <s v="Bank of America"/>
    <x v="0"/>
    <s v="MTG"/>
    <x v="525"/>
    <n v="1.2783393903388507"/>
  </r>
  <r>
    <s v="30YrConformingConventional"/>
    <s v="Bank of America"/>
    <x v="0"/>
    <s v="MTG"/>
    <x v="526"/>
    <n v="1.270137833599299"/>
  </r>
  <r>
    <s v="30YrConformingConventional"/>
    <s v="Bank of America"/>
    <x v="0"/>
    <s v="MTG"/>
    <x v="527"/>
    <n v="1.2273877901021732"/>
  </r>
  <r>
    <s v="30YrConformingConventional"/>
    <s v="Bank of America"/>
    <x v="0"/>
    <s v="MTG"/>
    <x v="528"/>
    <n v="1.3044265947956613"/>
  </r>
  <r>
    <s v="30YrConformingConventional"/>
    <s v="Bank of America"/>
    <x v="0"/>
    <s v="MTG"/>
    <x v="529"/>
    <n v="1.2390955423824992"/>
  </r>
  <r>
    <s v="30YrConformingConventional"/>
    <s v="Bank of America"/>
    <x v="0"/>
    <s v="MTG"/>
    <x v="530"/>
    <n v="1.2788495774635189"/>
  </r>
  <r>
    <s v="30YrConformingConventional"/>
    <s v="Bank of America"/>
    <x v="0"/>
    <s v="MTG"/>
    <x v="531"/>
    <n v="1.3140547369717044"/>
  </r>
  <r>
    <s v="30YrConformingConventional"/>
    <s v="Bank of America"/>
    <x v="0"/>
    <s v="MTG"/>
    <x v="532"/>
    <n v="1.3350813843791349"/>
  </r>
  <r>
    <s v="30YrConformingConventional"/>
    <s v="Bank of America"/>
    <x v="0"/>
    <s v="MTG"/>
    <x v="533"/>
    <n v="1.2641202873879147"/>
  </r>
  <r>
    <s v="30YrConformingConventional"/>
    <s v="Bank of America"/>
    <x v="0"/>
    <s v="MTG"/>
    <x v="534"/>
    <n v="1.2719526417096247"/>
  </r>
  <r>
    <s v="30YrConformingConventional"/>
    <s v="Bank of America"/>
    <x v="0"/>
    <s v="MTG"/>
    <x v="535"/>
    <n v="1.2498326021651927"/>
  </r>
  <r>
    <s v="30YrConformingConventional"/>
    <s v="Bank of America"/>
    <x v="0"/>
    <s v="MTG"/>
    <x v="536"/>
    <n v="1.2343501574622469"/>
  </r>
  <r>
    <s v="30YrConformingConventional"/>
    <s v="Bank of America"/>
    <x v="0"/>
    <s v="MTG"/>
    <x v="537"/>
    <n v="1.1756221628853678"/>
  </r>
  <r>
    <s v="30YrConformingConventional"/>
    <s v="Bank of America"/>
    <x v="0"/>
    <s v="MTG"/>
    <x v="538"/>
    <n v="1.2408619033453472"/>
  </r>
  <r>
    <s v="30YrConformingConventional"/>
    <s v="Bank of America"/>
    <x v="0"/>
    <s v="MTG"/>
    <x v="539"/>
    <n v="1.2343358651929017"/>
  </r>
  <r>
    <s v="30YrConformingConventional"/>
    <s v="Bank of America"/>
    <x v="0"/>
    <s v="MTG"/>
    <x v="540"/>
    <n v="1.328024012171825"/>
  </r>
  <r>
    <s v="30YrConformingConventional"/>
    <s v="Bank of America"/>
    <x v="0"/>
    <s v="MTG"/>
    <x v="541"/>
    <n v="1.275120576977979"/>
  </r>
  <r>
    <s v="30YrConformingConventional"/>
    <s v="Bank of America"/>
    <x v="0"/>
    <s v="MTG"/>
    <x v="542"/>
    <n v="1.3403502642394955"/>
  </r>
  <r>
    <s v="30YrConformingConventional"/>
    <s v="Bank of America"/>
    <x v="0"/>
    <s v="MTG"/>
    <x v="543"/>
    <n v="1.2748197376825567"/>
  </r>
  <r>
    <s v="30YrConformingConventional"/>
    <s v="Bank of America"/>
    <x v="0"/>
    <s v="MTG"/>
    <x v="544"/>
    <n v="1.2956838910209414"/>
  </r>
  <r>
    <s v="30YrConformingConventional"/>
    <s v="Bank of America"/>
    <x v="0"/>
    <s v="MTG"/>
    <x v="545"/>
    <n v="1.2751571738159502"/>
  </r>
  <r>
    <s v="30YrConformingConventional"/>
    <s v="Bank of America"/>
    <x v="0"/>
    <s v="MTG"/>
    <x v="546"/>
    <n v="1.1617773092189592"/>
  </r>
  <r>
    <s v="30YrConformingConventional"/>
    <s v="Bank of America"/>
    <x v="0"/>
    <s v="MTG"/>
    <x v="547"/>
    <n v="1.1465166961607722"/>
  </r>
  <r>
    <s v="30YrConformingConventional"/>
    <s v="Bank of America"/>
    <x v="0"/>
    <s v="MTG"/>
    <x v="548"/>
    <n v="1.1499947656923026"/>
  </r>
  <r>
    <s v="30YrConformingConventional"/>
    <s v="Bank of America"/>
    <x v="0"/>
    <s v="MTG"/>
    <x v="549"/>
    <n v="1.1980147965654164"/>
  </r>
  <r>
    <s v="30YrConformingConventional"/>
    <s v="Bank of America"/>
    <x v="0"/>
    <s v="MTG"/>
    <x v="550"/>
    <n v="1.2207385466150207"/>
  </r>
  <r>
    <s v="30YrConformingConventional"/>
    <s v="Bank of America"/>
    <x v="0"/>
    <s v="MTG"/>
    <x v="551"/>
    <n v="1.2262819733849579"/>
  </r>
  <r>
    <s v="30YrConformingConventional"/>
    <s v="Bank of America"/>
    <x v="0"/>
    <s v="MTG"/>
    <x v="552"/>
    <n v="1.288869194613709"/>
  </r>
  <r>
    <s v="30YrConformingConventional"/>
    <s v="Bank of America"/>
    <x v="0"/>
    <s v="MTG"/>
    <x v="553"/>
    <n v="1.2125112682388437"/>
  </r>
  <r>
    <s v="30YrConformingConventional"/>
    <s v="Bank of America"/>
    <x v="0"/>
    <s v="MTG"/>
    <x v="554"/>
    <n v="1.196084469041784"/>
  </r>
  <r>
    <s v="30YrConformingConventional"/>
    <s v="Bank of America"/>
    <x v="0"/>
    <s v="MTG"/>
    <x v="555"/>
    <n v="1.1995849889305195"/>
  </r>
  <r>
    <s v="30YrConformingConventional"/>
    <s v="Bank of America"/>
    <x v="0"/>
    <s v="MTG"/>
    <x v="556"/>
    <n v="1.1615328421105926"/>
  </r>
  <r>
    <s v="30YrConformingConventional"/>
    <s v="Bank of America"/>
    <x v="0"/>
    <s v="MTG"/>
    <x v="557"/>
    <n v="1.2118105481394641"/>
  </r>
  <r>
    <s v="30YrConformingConventional"/>
    <s v="Bank of America"/>
    <x v="0"/>
    <s v="MTG"/>
    <x v="558"/>
    <n v="1.1900221101394242"/>
  </r>
  <r>
    <s v="30YrConformingConventional"/>
    <s v="Bank of America"/>
    <x v="0"/>
    <s v="MTG"/>
    <x v="559"/>
    <n v="1.2759529340412146"/>
  </r>
  <r>
    <s v="30YrConformingConventional"/>
    <s v="Bank of America"/>
    <x v="0"/>
    <s v="MTG"/>
    <x v="560"/>
    <n v="1.3090303408648991"/>
  </r>
  <r>
    <s v="30YrConformingConventional"/>
    <s v="Bank of America"/>
    <x v="0"/>
    <s v="MTG"/>
    <x v="561"/>
    <n v="1.2760648084383437"/>
  </r>
  <r>
    <s v="30YrConformingConventional"/>
    <s v="Bank of America"/>
    <x v="0"/>
    <s v="MTG"/>
    <x v="562"/>
    <n v="1.293096117910328"/>
  </r>
  <r>
    <s v="30YrConformingConventional"/>
    <s v="Bank of America"/>
    <x v="0"/>
    <s v="MTG"/>
    <x v="563"/>
    <n v="1.3010389843425487"/>
  </r>
  <r>
    <s v="30YrConformingConventional"/>
    <s v="Bank of America"/>
    <x v="0"/>
    <s v="MTG"/>
    <x v="564"/>
    <n v="1.2421471525242755"/>
  </r>
  <r>
    <s v="30YrConformingConventional"/>
    <s v="Bank of America"/>
    <x v="0"/>
    <s v="MTG"/>
    <x v="565"/>
    <n v="1.2164767657020674"/>
  </r>
  <r>
    <s v="30YrConformingConventional"/>
    <s v="Bank of America"/>
    <x v="0"/>
    <s v="MTG"/>
    <x v="566"/>
    <n v="1.1999747512491141"/>
  </r>
  <r>
    <s v="30YrConformingConventional"/>
    <s v="Bank of America"/>
    <x v="0"/>
    <s v="MTG"/>
    <x v="567"/>
    <n v="1.1805020685064671"/>
  </r>
  <r>
    <s v="30YrConformingConventional"/>
    <s v="Bank of America"/>
    <x v="0"/>
    <s v="MTG"/>
    <x v="568"/>
    <n v="1.1569583675630193"/>
  </r>
  <r>
    <s v="30YrConformingConventional"/>
    <s v="Bank of America"/>
    <x v="0"/>
    <s v="MTG"/>
    <x v="569"/>
    <n v="1.192167450382384"/>
  </r>
  <r>
    <s v="30YrConformingConventional"/>
    <s v="Bank of America"/>
    <x v="0"/>
    <s v="MTG"/>
    <x v="570"/>
    <n v="1.1760676856338137"/>
  </r>
  <r>
    <s v="30YrConformingConventional"/>
    <s v="Bank of America"/>
    <x v="0"/>
    <s v="MTG"/>
    <x v="571"/>
    <n v="1.185246758274807"/>
  </r>
  <r>
    <s v="30YrConformingConventional"/>
    <s v="Bank of America"/>
    <x v="0"/>
    <s v="MTG"/>
    <x v="572"/>
    <n v="1.2075545772914937"/>
  </r>
  <r>
    <s v="30YrConformingConventional"/>
    <s v="Bank of America"/>
    <x v="0"/>
    <s v="MTG"/>
    <x v="573"/>
    <n v="1.229743612939866"/>
  </r>
  <r>
    <s v="30YrConformingConventional"/>
    <s v="Bank of America"/>
    <x v="0"/>
    <s v="MTG"/>
    <x v="574"/>
    <n v="1.2726383676814945"/>
  </r>
  <r>
    <s v="30YrConformingConventional"/>
    <s v="Bank of America"/>
    <x v="0"/>
    <s v="MTG"/>
    <x v="575"/>
    <n v="1.255905248983336"/>
  </r>
  <r>
    <s v="30YrConformingConventional"/>
    <s v="Bank of America"/>
    <x v="0"/>
    <s v="MTG"/>
    <x v="576"/>
    <n v="1.2214281283035935"/>
  </r>
  <r>
    <s v="30YrConformingConventional"/>
    <s v="Bank of America"/>
    <x v="0"/>
    <s v="MTG"/>
    <x v="577"/>
    <n v="1.2522931766629719"/>
  </r>
  <r>
    <s v="30YrConformingConventional"/>
    <s v="Bank of America"/>
    <x v="0"/>
    <s v="MTG"/>
    <x v="578"/>
    <n v="1.2319288010269918"/>
  </r>
  <r>
    <s v="30YrConformingConventional"/>
    <s v="Bank of America"/>
    <x v="0"/>
    <s v="MTG"/>
    <x v="579"/>
    <n v="1.2073394971163478"/>
  </r>
  <r>
    <s v="30YrConformingConventional"/>
    <s v="Bank of America"/>
    <x v="0"/>
    <s v="MTG"/>
    <x v="580"/>
    <n v="1.2387515884530342"/>
  </r>
  <r>
    <s v="30YrConformingConventional"/>
    <s v="Bank of America"/>
    <x v="0"/>
    <s v="MTG"/>
    <x v="581"/>
    <n v="1.2049713418378516"/>
  </r>
  <r>
    <s v="30YrConformingConventional"/>
    <s v="Bank of America"/>
    <x v="0"/>
    <s v="MTG"/>
    <x v="582"/>
    <n v="1.1271129508062399"/>
  </r>
  <r>
    <s v="30YrConformingConventional"/>
    <s v="Bank of America"/>
    <x v="0"/>
    <s v="MTG"/>
    <x v="583"/>
    <n v="1.1699179224694483"/>
  </r>
  <r>
    <s v="30YrConformingConventional"/>
    <s v="Bank of America"/>
    <x v="0"/>
    <s v="MTG"/>
    <x v="584"/>
    <n v="1.1925092568833178"/>
  </r>
  <r>
    <s v="30YrConformingConventional"/>
    <s v="Bank of America"/>
    <x v="0"/>
    <s v="MTG"/>
    <x v="585"/>
    <n v="1.1657364137885846"/>
  </r>
  <r>
    <s v="30YrConformingConventional"/>
    <s v="Bank of America"/>
    <x v="0"/>
    <s v="MTG"/>
    <x v="586"/>
    <n v="1.2308894859033459"/>
  </r>
  <r>
    <s v="30YrConformingConventional"/>
    <s v="Bank of America"/>
    <x v="0"/>
    <s v="MTG"/>
    <x v="587"/>
    <n v="1.2026112774903446"/>
  </r>
  <r>
    <s v="30YrConformingConventional"/>
    <s v="Bank of America"/>
    <x v="0"/>
    <s v="MTG"/>
    <x v="588"/>
    <n v="1.2021074340013433"/>
  </r>
  <r>
    <s v="30YrConformingConventional"/>
    <s v="Bank of America"/>
    <x v="0"/>
    <s v="MTG"/>
    <x v="589"/>
    <n v="1.1893954078742268"/>
  </r>
  <r>
    <s v="30YrConformingConventional"/>
    <s v="Bank of America"/>
    <x v="0"/>
    <s v="MTG"/>
    <x v="590"/>
    <n v="1.1868759033304317"/>
  </r>
  <r>
    <s v="30YrConformingConventional"/>
    <s v="Bank of America"/>
    <x v="0"/>
    <s v="MTG"/>
    <x v="591"/>
    <n v="1.2144767276016748"/>
  </r>
  <r>
    <s v="30YrConformingConventional"/>
    <s v="Bank of America"/>
    <x v="0"/>
    <s v="MTG"/>
    <x v="592"/>
    <n v="1.2438808528610186"/>
  </r>
  <r>
    <s v="30YrConformingConventional"/>
    <s v="Bank of America"/>
    <x v="0"/>
    <s v="MTG"/>
    <x v="593"/>
    <n v="1.2302329760756421"/>
  </r>
  <r>
    <s v="30YrConformingConventional"/>
    <s v="Bank of America"/>
    <x v="0"/>
    <s v="MTG"/>
    <x v="594"/>
    <n v="1.1679713708306518"/>
  </r>
  <r>
    <s v="30YrConformingConventional"/>
    <s v="Bank of America"/>
    <x v="0"/>
    <s v="MTG"/>
    <x v="595"/>
    <n v="1.1928579304440572"/>
  </r>
  <r>
    <s v="30YrConformingConventional"/>
    <s v="Bank of America"/>
    <x v="0"/>
    <s v="MTG"/>
    <x v="596"/>
    <n v="1.1511360305840741"/>
  </r>
  <r>
    <s v="30YrConformingConventional"/>
    <s v="Bank of America"/>
    <x v="0"/>
    <s v="MTG"/>
    <x v="597"/>
    <n v="1.2502030074541353"/>
  </r>
  <r>
    <s v="30YrConformingConventional"/>
    <s v="Bank of America"/>
    <x v="0"/>
    <s v="MTG"/>
    <x v="598"/>
    <n v="1.1794634178543535"/>
  </r>
  <r>
    <s v="30YrConformingConventional"/>
    <s v="Bank of America"/>
    <x v="0"/>
    <s v="MTG"/>
    <x v="599"/>
    <n v="1.2492365704296258"/>
  </r>
  <r>
    <s v="30YrConformingConventional"/>
    <s v="Bank of America"/>
    <x v="0"/>
    <s v="MTG"/>
    <x v="600"/>
    <n v="1.2674022911424478"/>
  </r>
  <r>
    <s v="30YrConformingConventional"/>
    <s v="Bank of America"/>
    <x v="0"/>
    <s v="MTG"/>
    <x v="601"/>
    <n v="1.2417512091488299"/>
  </r>
  <r>
    <s v="30YrConformingConventional"/>
    <s v="Bank of America"/>
    <x v="0"/>
    <s v="MTG"/>
    <x v="602"/>
    <n v="1.2136588870442981"/>
  </r>
  <r>
    <s v="30YrConformingConventional"/>
    <s v="Bank of America"/>
    <x v="0"/>
    <s v="MTG"/>
    <x v="603"/>
    <n v="1.2100539817434766"/>
  </r>
  <r>
    <s v="30YrConformingConventional"/>
    <s v="Bank of America"/>
    <x v="0"/>
    <s v="MTG"/>
    <x v="604"/>
    <n v="1.1821410892237167"/>
  </r>
  <r>
    <s v="30YrConformingConventional"/>
    <s v="Bank of America"/>
    <x v="0"/>
    <s v="MTG"/>
    <x v="605"/>
    <n v="1.2012827856475985"/>
  </r>
  <r>
    <s v="30YrConformingConventional"/>
    <s v="Bank of America"/>
    <x v="0"/>
    <s v="MTG"/>
    <x v="606"/>
    <n v="1.1669483712051516"/>
  </r>
  <r>
    <s v="30YrConformingConventional"/>
    <s v="Bank of America"/>
    <x v="0"/>
    <s v="MTG"/>
    <x v="607"/>
    <n v="1.1808576127171746"/>
  </r>
  <r>
    <s v="30YrConformingConventional"/>
    <s v="Bank of America"/>
    <x v="0"/>
    <s v="MTG"/>
    <x v="608"/>
    <n v="1.201811041341988"/>
  </r>
  <r>
    <s v="30YrConformingConventional"/>
    <s v="Bank of America"/>
    <x v="0"/>
    <s v="MTG"/>
    <x v="609"/>
    <n v="1.2207484339035477"/>
  </r>
  <r>
    <s v="30YrConformingConventional"/>
    <s v="Bank of America"/>
    <x v="0"/>
    <s v="MTG"/>
    <x v="610"/>
    <n v="1.1849880184214012"/>
  </r>
  <r>
    <s v="30YrConformingConventional"/>
    <s v="Bank of America"/>
    <x v="0"/>
    <s v="MTG"/>
    <x v="611"/>
    <n v="1.1798982421953854"/>
  </r>
  <r>
    <s v="30YrConformingConventional"/>
    <s v="Bank of America"/>
    <x v="0"/>
    <s v="MTG"/>
    <x v="612"/>
    <n v="1.2257859634352768"/>
  </r>
  <r>
    <s v="30YrConformingConventional"/>
    <s v="Bank of America"/>
    <x v="0"/>
    <s v="MTG"/>
    <x v="613"/>
    <n v="1.2207110777677295"/>
  </r>
  <r>
    <s v="30YrConformingConventional"/>
    <s v="Bank of America"/>
    <x v="0"/>
    <s v="MTG"/>
    <x v="614"/>
    <n v="1.1990239385741313"/>
  </r>
  <r>
    <s v="30YrConformingConventional"/>
    <s v="Bank of America"/>
    <x v="0"/>
    <s v="MTG"/>
    <x v="615"/>
    <n v="1.201504537764247"/>
  </r>
  <r>
    <s v="30YrConformingConventional"/>
    <s v="Bank of America"/>
    <x v="0"/>
    <s v="MTG"/>
    <x v="616"/>
    <n v="1.2260657260059846"/>
  </r>
  <r>
    <s v="30YrConformingConventional"/>
    <s v="Bank of America"/>
    <x v="0"/>
    <s v="MTG"/>
    <x v="617"/>
    <n v="1.2121990520709245"/>
  </r>
  <r>
    <s v="30YrConformingConventional"/>
    <s v="Bank of America"/>
    <x v="0"/>
    <s v="MTG"/>
    <x v="618"/>
    <n v="1.2389230204002046"/>
  </r>
  <r>
    <s v="30YrConformingConventional"/>
    <s v="Bank of America"/>
    <x v="0"/>
    <s v="MTG"/>
    <x v="619"/>
    <n v="1.1523395659764752"/>
  </r>
  <r>
    <s v="30YrConformingConventional"/>
    <s v="Bank of America"/>
    <x v="0"/>
    <s v="MTG"/>
    <x v="620"/>
    <n v="1.1675657498559349"/>
  </r>
  <r>
    <s v="30YrConformingConventional"/>
    <s v="Bank of America"/>
    <x v="0"/>
    <s v="MTG"/>
    <x v="621"/>
    <n v="1.1998350939585112"/>
  </r>
  <r>
    <s v="30YrConformingConventional"/>
    <s v="Bank of America"/>
    <x v="0"/>
    <s v="MTG"/>
    <x v="622"/>
    <n v="1.2128599141699479"/>
  </r>
  <r>
    <s v="30YrConformingConventional"/>
    <s v="Bank of America"/>
    <x v="0"/>
    <s v="MTG"/>
    <x v="623"/>
    <n v="1.2067244800820505"/>
  </r>
  <r>
    <s v="30YrConformingConventional"/>
    <s v="Bank of America"/>
    <x v="0"/>
    <s v="MTG"/>
    <x v="624"/>
    <n v="1.2886517029491604"/>
  </r>
  <r>
    <s v="30YrConformingConventional"/>
    <s v="Bank of America"/>
    <x v="0"/>
    <s v="MTG"/>
    <x v="625"/>
    <n v="1.1995294933465745"/>
  </r>
  <r>
    <s v="30YrConformingConventional"/>
    <s v="Bank of America"/>
    <x v="0"/>
    <s v="MTG"/>
    <x v="626"/>
    <n v="1.2468981308501919"/>
  </r>
  <r>
    <s v="30YrConformingConventional"/>
    <s v="Bank of America"/>
    <x v="0"/>
    <s v="MTG"/>
    <x v="627"/>
    <n v="1.2372468313498284"/>
  </r>
  <r>
    <s v="30YrConformingConventional"/>
    <s v="Bank of America"/>
    <x v="0"/>
    <s v="MTG"/>
    <x v="628"/>
    <n v="1.2150016967938386"/>
  </r>
  <r>
    <s v="30YrConformingConventional"/>
    <s v="Bank of America"/>
    <x v="0"/>
    <s v="MTG"/>
    <x v="629"/>
    <n v="1.2322096481190918"/>
  </r>
  <r>
    <s v="30YrConformingConventional"/>
    <s v="Bank of America"/>
    <x v="0"/>
    <s v="MTG"/>
    <x v="630"/>
    <n v="1.2079160764979071"/>
  </r>
  <r>
    <s v="30YrConformingConventional"/>
    <s v="Bank of America"/>
    <x v="0"/>
    <s v="MTG"/>
    <x v="631"/>
    <n v="1.2295087644849334"/>
  </r>
  <r>
    <s v="30YrConformingConventional"/>
    <s v="Bank of America"/>
    <x v="0"/>
    <s v="MTG"/>
    <x v="632"/>
    <n v="1.2240443410986634"/>
  </r>
  <r>
    <s v="30YrConformingConventional"/>
    <s v="Bank of America"/>
    <x v="0"/>
    <s v="MTG"/>
    <x v="633"/>
    <n v="1.205593123804463"/>
  </r>
  <r>
    <s v="30YrConformingConventional"/>
    <s v="Bank of America"/>
    <x v="0"/>
    <s v="MTG"/>
    <x v="634"/>
    <n v="1.186300705522729"/>
  </r>
  <r>
    <s v="30YrConformingConventional"/>
    <s v="Bank of America"/>
    <x v="0"/>
    <s v="MTG"/>
    <x v="635"/>
    <n v="1.1979808327654873"/>
  </r>
  <r>
    <s v="30YrConformingConventional"/>
    <s v="Bank of America"/>
    <x v="0"/>
    <s v="MTG"/>
    <x v="636"/>
    <n v="1.2202361955839884"/>
  </r>
  <r>
    <s v="30YrConformingConventional"/>
    <s v="Bank of America"/>
    <x v="0"/>
    <s v="MTG"/>
    <x v="637"/>
    <n v="1.2167963394841017"/>
  </r>
  <r>
    <s v="30YrConformingConventional"/>
    <s v="Bank of America"/>
    <x v="0"/>
    <s v="MTG"/>
    <x v="638"/>
    <n v="1.253868588468487"/>
  </r>
  <r>
    <s v="30YrConformingConventional"/>
    <s v="Bank of America"/>
    <x v="0"/>
    <s v="MTG"/>
    <x v="639"/>
    <n v="1.2324785003299117"/>
  </r>
  <r>
    <s v="30YrConformingConventional"/>
    <s v="Bank of America"/>
    <x v="0"/>
    <s v="MTG"/>
    <x v="640"/>
    <n v="1.2111552121090163"/>
  </r>
  <r>
    <s v="30YrConformingConventional"/>
    <s v="Bank of America"/>
    <x v="0"/>
    <s v="MTG"/>
    <x v="641"/>
    <n v="1.2520304192182503"/>
  </r>
  <r>
    <s v="30YrConformingConventional"/>
    <s v="Bank of America"/>
    <x v="0"/>
    <s v="MTG"/>
    <x v="642"/>
    <n v="1.1876722827307316"/>
  </r>
  <r>
    <s v="30YrConformingConventional"/>
    <s v="Bank of America"/>
    <x v="0"/>
    <s v="MTG"/>
    <x v="643"/>
    <n v="1.2243690850472895"/>
  </r>
  <r>
    <s v="30YrConformingConventional"/>
    <s v="Chase"/>
    <x v="0"/>
    <s v="MTG"/>
    <x v="0"/>
    <n v="1.3201681510401224"/>
  </r>
  <r>
    <s v="30YrConformingConventional"/>
    <s v="Chase"/>
    <x v="0"/>
    <s v="MTG"/>
    <x v="1"/>
    <n v="1.3006860975554306"/>
  </r>
  <r>
    <s v="30YrConformingConventional"/>
    <s v="Chase"/>
    <x v="0"/>
    <s v="MTG"/>
    <x v="2"/>
    <n v="1.2145602915852296"/>
  </r>
  <r>
    <s v="30YrConformingConventional"/>
    <s v="Chase"/>
    <x v="0"/>
    <s v="MTG"/>
    <x v="3"/>
    <n v="1.09980485566"/>
  </r>
  <r>
    <s v="30YrConformingConventional"/>
    <s v="Chase"/>
    <x v="0"/>
    <s v="MTG"/>
    <x v="4"/>
    <n v="1.0964918123855762"/>
  </r>
  <r>
    <s v="30YrConformingConventional"/>
    <s v="Chase"/>
    <x v="0"/>
    <s v="MTG"/>
    <x v="5"/>
    <n v="1.122598007927214"/>
  </r>
  <r>
    <s v="30YrConformingConventional"/>
    <s v="Chase"/>
    <x v="0"/>
    <s v="MTG"/>
    <x v="6"/>
    <n v="1.1411130414158539"/>
  </r>
  <r>
    <s v="30YrConformingConventional"/>
    <s v="Chase"/>
    <x v="0"/>
    <s v="MTG"/>
    <x v="7"/>
    <n v="1.0587143334773157"/>
  </r>
  <r>
    <s v="30YrConformingConventional"/>
    <s v="Chase"/>
    <x v="0"/>
    <s v="MTG"/>
    <x v="8"/>
    <n v="1.1038366846652226"/>
  </r>
  <r>
    <s v="30YrConformingConventional"/>
    <s v="Chase"/>
    <x v="0"/>
    <s v="MTG"/>
    <x v="9"/>
    <n v="1.1119619050322371"/>
  </r>
  <r>
    <s v="30YrConformingConventional"/>
    <s v="Chase"/>
    <x v="0"/>
    <s v="MTG"/>
    <x v="10"/>
    <n v="1.1395014245030624"/>
  </r>
  <r>
    <s v="30YrConformingConventional"/>
    <s v="Chase"/>
    <x v="0"/>
    <s v="MTG"/>
    <x v="11"/>
    <n v="1.1496922636127707"/>
  </r>
  <r>
    <s v="30YrConformingConventional"/>
    <s v="Chase"/>
    <x v="0"/>
    <s v="MTG"/>
    <x v="12"/>
    <n v="1.1030360980347382"/>
  </r>
  <r>
    <s v="30YrConformingConventional"/>
    <s v="Chase"/>
    <x v="0"/>
    <s v="MTG"/>
    <x v="13"/>
    <n v="1.1707682281644907"/>
  </r>
  <r>
    <s v="30YrConformingConventional"/>
    <s v="Chase"/>
    <x v="0"/>
    <s v="MTG"/>
    <x v="14"/>
    <n v="1.1850316887165302"/>
  </r>
  <r>
    <s v="30YrConformingConventional"/>
    <s v="Chase"/>
    <x v="0"/>
    <s v="MTG"/>
    <x v="15"/>
    <n v="1.2026483193152928"/>
  </r>
  <r>
    <s v="30YrConformingConventional"/>
    <s v="Chase"/>
    <x v="0"/>
    <s v="MTG"/>
    <x v="16"/>
    <n v="1.1484232657506983"/>
  </r>
  <r>
    <s v="30YrConformingConventional"/>
    <s v="Chase"/>
    <x v="0"/>
    <s v="MTG"/>
    <x v="17"/>
    <n v="1.153463821632825"/>
  </r>
  <r>
    <s v="30YrConformingConventional"/>
    <s v="Chase"/>
    <x v="0"/>
    <s v="MTG"/>
    <x v="18"/>
    <n v="1.1790501974316359"/>
  </r>
  <r>
    <s v="30YrConformingConventional"/>
    <s v="Chase"/>
    <x v="0"/>
    <s v="MTG"/>
    <x v="19"/>
    <n v="1.1519197362649205"/>
  </r>
  <r>
    <s v="30YrConformingConventional"/>
    <s v="Chase"/>
    <x v="0"/>
    <s v="MTG"/>
    <x v="20"/>
    <n v="1.1515575005170779"/>
  </r>
  <r>
    <s v="30YrConformingConventional"/>
    <s v="Chase"/>
    <x v="0"/>
    <s v="MTG"/>
    <x v="21"/>
    <n v="1.1500643528161443"/>
  </r>
  <r>
    <s v="30YrConformingConventional"/>
    <s v="Chase"/>
    <x v="0"/>
    <s v="MTG"/>
    <x v="22"/>
    <n v="1.128202301407712"/>
  </r>
  <r>
    <s v="30YrConformingConventional"/>
    <s v="Chase"/>
    <x v="0"/>
    <s v="MTG"/>
    <x v="23"/>
    <n v="1.1584417066706245"/>
  </r>
  <r>
    <s v="30YrConformingConventional"/>
    <s v="Chase"/>
    <x v="0"/>
    <s v="MTG"/>
    <x v="24"/>
    <n v="1.1786755580554982"/>
  </r>
  <r>
    <s v="30YrConformingConventional"/>
    <s v="Chase"/>
    <x v="0"/>
    <s v="MTG"/>
    <x v="25"/>
    <n v="1.2137587078296703"/>
  </r>
  <r>
    <s v="30YrConformingConventional"/>
    <s v="Chase"/>
    <x v="0"/>
    <s v="MTG"/>
    <x v="26"/>
    <n v="1.1921735232104831"/>
  </r>
  <r>
    <s v="30YrConformingConventional"/>
    <s v="Chase"/>
    <x v="0"/>
    <s v="MTG"/>
    <x v="27"/>
    <n v="1.164934383367918"/>
  </r>
  <r>
    <s v="30YrConformingConventional"/>
    <s v="Chase"/>
    <x v="0"/>
    <s v="MTG"/>
    <x v="28"/>
    <n v="1.1451004723297626"/>
  </r>
  <r>
    <s v="30YrConformingConventional"/>
    <s v="Chase"/>
    <x v="0"/>
    <s v="MTG"/>
    <x v="29"/>
    <n v="1.2012007162912803"/>
  </r>
  <r>
    <s v="30YrConformingConventional"/>
    <s v="Chase"/>
    <x v="0"/>
    <s v="MTG"/>
    <x v="30"/>
    <n v="1.182626202146932"/>
  </r>
  <r>
    <s v="30YrConformingConventional"/>
    <s v="Chase"/>
    <x v="0"/>
    <s v="MTG"/>
    <x v="31"/>
    <n v="1.2278990772262279"/>
  </r>
  <r>
    <s v="30YrConformingConventional"/>
    <s v="Chase"/>
    <x v="0"/>
    <s v="MTG"/>
    <x v="32"/>
    <n v="1.2366897199972682"/>
  </r>
  <r>
    <s v="30YrConformingConventional"/>
    <s v="Chase"/>
    <x v="0"/>
    <s v="MTG"/>
    <x v="33"/>
    <n v="1.245472241338248"/>
  </r>
  <r>
    <s v="30YrConformingConventional"/>
    <s v="Chase"/>
    <x v="0"/>
    <s v="MTG"/>
    <x v="34"/>
    <n v="1.1808957523380619"/>
  </r>
  <r>
    <s v="30YrConformingConventional"/>
    <s v="Chase"/>
    <x v="0"/>
    <s v="MTG"/>
    <x v="35"/>
    <n v="1.1569638893232519"/>
  </r>
  <r>
    <s v="30YrConformingConventional"/>
    <s v="Chase"/>
    <x v="0"/>
    <s v="MTG"/>
    <x v="36"/>
    <n v="1.1372662480492881"/>
  </r>
  <r>
    <s v="30YrConformingConventional"/>
    <s v="Chase"/>
    <x v="0"/>
    <s v="MTG"/>
    <x v="37"/>
    <n v="1.18625358517885"/>
  </r>
  <r>
    <s v="30YrConformingConventional"/>
    <s v="Chase"/>
    <x v="0"/>
    <s v="MTG"/>
    <x v="38"/>
    <n v="1.2129819489389504"/>
  </r>
  <r>
    <s v="30YrConformingConventional"/>
    <s v="Chase"/>
    <x v="0"/>
    <s v="MTG"/>
    <x v="39"/>
    <n v="1.1687611844429833"/>
  </r>
  <r>
    <s v="30YrConformingConventional"/>
    <s v="Chase"/>
    <x v="0"/>
    <s v="MTG"/>
    <x v="40"/>
    <n v="1.14339971207764"/>
  </r>
  <r>
    <s v="30YrConformingConventional"/>
    <s v="Chase"/>
    <x v="0"/>
    <s v="MTG"/>
    <x v="41"/>
    <n v="1.1595099583305548"/>
  </r>
  <r>
    <s v="30YrConformingConventional"/>
    <s v="Chase"/>
    <x v="0"/>
    <s v="MTG"/>
    <x v="42"/>
    <n v="1.1873277108407725"/>
  </r>
  <r>
    <s v="30YrConformingConventional"/>
    <s v="Chase"/>
    <x v="0"/>
    <s v="MTG"/>
    <x v="43"/>
    <n v="1.1289325267435621"/>
  </r>
  <r>
    <s v="30YrConformingConventional"/>
    <s v="Chase"/>
    <x v="0"/>
    <s v="MTG"/>
    <x v="44"/>
    <n v="1.1272723391193236"/>
  </r>
  <r>
    <s v="30YrConformingConventional"/>
    <s v="Chase"/>
    <x v="0"/>
    <s v="MTG"/>
    <x v="45"/>
    <n v="1.1854171415668284"/>
  </r>
  <r>
    <s v="30YrConformingConventional"/>
    <s v="Chase"/>
    <x v="0"/>
    <s v="MTG"/>
    <x v="46"/>
    <n v="1.1417604200449385"/>
  </r>
  <r>
    <s v="30YrConformingConventional"/>
    <s v="Chase"/>
    <x v="0"/>
    <s v="MTG"/>
    <x v="47"/>
    <n v="1.1666592303356988"/>
  </r>
  <r>
    <s v="30YrConformingConventional"/>
    <s v="Chase"/>
    <x v="0"/>
    <s v="MTG"/>
    <x v="48"/>
    <n v="1.1260310636068873"/>
  </r>
  <r>
    <s v="30YrConformingConventional"/>
    <s v="Chase"/>
    <x v="0"/>
    <s v="MTG"/>
    <x v="49"/>
    <n v="1.0787377454870266"/>
  </r>
  <r>
    <s v="30YrConformingConventional"/>
    <s v="Chase"/>
    <x v="0"/>
    <s v="MTG"/>
    <x v="50"/>
    <n v="1.0921474532674187"/>
  </r>
  <r>
    <s v="30YrConformingConventional"/>
    <s v="Chase"/>
    <x v="0"/>
    <s v="MTG"/>
    <x v="51"/>
    <n v="1.1024563517281987"/>
  </r>
  <r>
    <s v="30YrConformingConventional"/>
    <s v="Chase"/>
    <x v="0"/>
    <s v="MTG"/>
    <x v="52"/>
    <n v="1.1232313177685398"/>
  </r>
  <r>
    <s v="30YrConformingConventional"/>
    <s v="Chase"/>
    <x v="0"/>
    <s v="MTG"/>
    <x v="53"/>
    <n v="1.2021204993395886"/>
  </r>
  <r>
    <s v="30YrConformingConventional"/>
    <s v="Chase"/>
    <x v="0"/>
    <s v="MTG"/>
    <x v="54"/>
    <n v="1.1090394051208565"/>
  </r>
  <r>
    <s v="30YrConformingConventional"/>
    <s v="Chase"/>
    <x v="0"/>
    <s v="MTG"/>
    <x v="55"/>
    <n v="1.1721816785436447"/>
  </r>
  <r>
    <s v="30YrConformingConventional"/>
    <s v="Chase"/>
    <x v="0"/>
    <s v="MTG"/>
    <x v="56"/>
    <n v="1.1833677074112747"/>
  </r>
  <r>
    <s v="30YrConformingConventional"/>
    <s v="Chase"/>
    <x v="0"/>
    <s v="MTG"/>
    <x v="57"/>
    <n v="1.1387432923308964"/>
  </r>
  <r>
    <s v="30YrConformingConventional"/>
    <s v="Chase"/>
    <x v="0"/>
    <s v="MTG"/>
    <x v="58"/>
    <n v="1.2021090180919645"/>
  </r>
  <r>
    <s v="30YrConformingConventional"/>
    <s v="Chase"/>
    <x v="0"/>
    <s v="MTG"/>
    <x v="59"/>
    <n v="1.1783667597662388"/>
  </r>
  <r>
    <s v="30YrConformingConventional"/>
    <s v="Chase"/>
    <x v="0"/>
    <s v="MTG"/>
    <x v="60"/>
    <n v="1.1199017857261857"/>
  </r>
  <r>
    <s v="30YrConformingConventional"/>
    <s v="Chase"/>
    <x v="0"/>
    <s v="MTG"/>
    <x v="61"/>
    <n v="1.1246011040016359"/>
  </r>
  <r>
    <s v="30YrConformingConventional"/>
    <s v="Chase"/>
    <x v="0"/>
    <s v="MTG"/>
    <x v="62"/>
    <n v="1.1235798144236075"/>
  </r>
  <r>
    <s v="30YrConformingConventional"/>
    <s v="Chase"/>
    <x v="0"/>
    <s v="MTG"/>
    <x v="63"/>
    <n v="1.1411289268595988"/>
  </r>
  <r>
    <s v="30YrConformingConventional"/>
    <s v="Chase"/>
    <x v="0"/>
    <s v="MTG"/>
    <x v="64"/>
    <n v="1.0672020709535386"/>
  </r>
  <r>
    <s v="30YrConformingConventional"/>
    <s v="Chase"/>
    <x v="0"/>
    <s v="MTG"/>
    <x v="65"/>
    <n v="1.0504553887351207"/>
  </r>
  <r>
    <s v="30YrConformingConventional"/>
    <s v="Chase"/>
    <x v="0"/>
    <s v="MTG"/>
    <x v="66"/>
    <n v="1.0991949566938706"/>
  </r>
  <r>
    <s v="30YrConformingConventional"/>
    <s v="Chase"/>
    <x v="0"/>
    <s v="MTG"/>
    <x v="67"/>
    <n v="1.03545423184833"/>
  </r>
  <r>
    <s v="30YrConformingConventional"/>
    <s v="Chase"/>
    <x v="0"/>
    <s v="MTG"/>
    <x v="68"/>
    <n v="1.0396417487717906"/>
  </r>
  <r>
    <s v="30YrConformingConventional"/>
    <s v="Chase"/>
    <x v="0"/>
    <s v="MTG"/>
    <x v="69"/>
    <n v="1.0868444145393132"/>
  </r>
  <r>
    <s v="30YrConformingConventional"/>
    <s v="Chase"/>
    <x v="0"/>
    <s v="MTG"/>
    <x v="70"/>
    <n v="1.1029204924566245"/>
  </r>
  <r>
    <s v="30YrConformingConventional"/>
    <s v="Chase"/>
    <x v="0"/>
    <s v="MTG"/>
    <x v="71"/>
    <n v="1.1106403455520191"/>
  </r>
  <r>
    <s v="30YrConformingConventional"/>
    <s v="Chase"/>
    <x v="0"/>
    <s v="MTG"/>
    <x v="72"/>
    <n v="1.1242038661903935"/>
  </r>
  <r>
    <s v="30YrConformingConventional"/>
    <s v="Chase"/>
    <x v="0"/>
    <s v="MTG"/>
    <x v="73"/>
    <n v="1.0695195851191126"/>
  </r>
  <r>
    <s v="30YrConformingConventional"/>
    <s v="Chase"/>
    <x v="0"/>
    <s v="MTG"/>
    <x v="74"/>
    <n v="1.1006278008126524"/>
  </r>
  <r>
    <s v="30YrConformingConventional"/>
    <s v="Chase"/>
    <x v="0"/>
    <s v="MTG"/>
    <x v="75"/>
    <n v="1.1222065668344823"/>
  </r>
  <r>
    <s v="30YrConformingConventional"/>
    <s v="Chase"/>
    <x v="0"/>
    <s v="MTG"/>
    <x v="76"/>
    <n v="1.0780679075857009"/>
  </r>
  <r>
    <s v="30YrConformingConventional"/>
    <s v="Chase"/>
    <x v="0"/>
    <s v="MTG"/>
    <x v="77"/>
    <n v="1.0805349596090708"/>
  </r>
  <r>
    <s v="30YrConformingConventional"/>
    <s v="Chase"/>
    <x v="0"/>
    <s v="MTG"/>
    <x v="78"/>
    <n v="1.110598770041469"/>
  </r>
  <r>
    <s v="30YrConformingConventional"/>
    <s v="Chase"/>
    <x v="0"/>
    <s v="MTG"/>
    <x v="79"/>
    <n v="1.0320886358803201"/>
  </r>
  <r>
    <s v="30YrConformingConventional"/>
    <s v="Chase"/>
    <x v="0"/>
    <s v="MTG"/>
    <x v="80"/>
    <n v="1.124883383738843"/>
  </r>
  <r>
    <s v="30YrConformingConventional"/>
    <s v="Chase"/>
    <x v="0"/>
    <s v="MTG"/>
    <x v="81"/>
    <n v="1.100251686609413"/>
  </r>
  <r>
    <s v="30YrConformingConventional"/>
    <s v="Chase"/>
    <x v="0"/>
    <s v="MTG"/>
    <x v="82"/>
    <n v="0.9841181693674137"/>
  </r>
  <r>
    <s v="30YrConformingConventional"/>
    <s v="Chase"/>
    <x v="0"/>
    <s v="MTG"/>
    <x v="83"/>
    <n v="1.06880623699189"/>
  </r>
  <r>
    <s v="30YrConformingConventional"/>
    <s v="Chase"/>
    <x v="0"/>
    <s v="MTG"/>
    <x v="84"/>
    <n v="1.0807127136680399"/>
  </r>
  <r>
    <s v="30YrConformingConventional"/>
    <s v="Chase"/>
    <x v="0"/>
    <s v="MTG"/>
    <x v="85"/>
    <n v="1.0236217114382038"/>
  </r>
  <r>
    <s v="30YrConformingConventional"/>
    <s v="Chase"/>
    <x v="0"/>
    <s v="MTG"/>
    <x v="86"/>
    <n v="1.0831985963852633"/>
  </r>
  <r>
    <s v="30YrConformingConventional"/>
    <s v="Chase"/>
    <x v="0"/>
    <s v="MTG"/>
    <x v="87"/>
    <n v="1.1134053714828922"/>
  </r>
  <r>
    <s v="30YrConformingConventional"/>
    <s v="Chase"/>
    <x v="0"/>
    <s v="MTG"/>
    <x v="88"/>
    <n v="1.0825091444054298"/>
  </r>
  <r>
    <s v="30YrConformingConventional"/>
    <s v="Chase"/>
    <x v="0"/>
    <s v="MTG"/>
    <x v="89"/>
    <n v="1.083606967260841"/>
  </r>
  <r>
    <s v="30YrConformingConventional"/>
    <s v="Chase"/>
    <x v="0"/>
    <s v="MTG"/>
    <x v="90"/>
    <n v="1.010759557780011"/>
  </r>
  <r>
    <s v="30YrConformingConventional"/>
    <s v="Chase"/>
    <x v="0"/>
    <s v="MTG"/>
    <x v="91"/>
    <n v="1.0398411621313595"/>
  </r>
  <r>
    <s v="30YrConformingConventional"/>
    <s v="Chase"/>
    <x v="0"/>
    <s v="MTG"/>
    <x v="92"/>
    <n v="1.0423068026676641"/>
  </r>
  <r>
    <s v="30YrConformingConventional"/>
    <s v="Chase"/>
    <x v="0"/>
    <s v="MTG"/>
    <x v="93"/>
    <n v="1.0786491057373591"/>
  </r>
  <r>
    <s v="30YrConformingConventional"/>
    <s v="Chase"/>
    <x v="0"/>
    <s v="MTG"/>
    <x v="94"/>
    <n v="1.0891799655927026"/>
  </r>
  <r>
    <s v="30YrConformingConventional"/>
    <s v="Chase"/>
    <x v="0"/>
    <s v="MTG"/>
    <x v="95"/>
    <n v="1.0606327250559704"/>
  </r>
  <r>
    <s v="30YrConformingConventional"/>
    <s v="Chase"/>
    <x v="0"/>
    <s v="MTG"/>
    <x v="96"/>
    <n v="1.0118874123115511"/>
  </r>
  <r>
    <s v="30YrConformingConventional"/>
    <s v="Chase"/>
    <x v="0"/>
    <s v="MTG"/>
    <x v="97"/>
    <n v="1.02209245388055"/>
  </r>
  <r>
    <s v="30YrConformingConventional"/>
    <s v="Chase"/>
    <x v="0"/>
    <s v="MTG"/>
    <x v="98"/>
    <n v="1.05136246705567"/>
  </r>
  <r>
    <s v="30YrConformingConventional"/>
    <s v="Chase"/>
    <x v="0"/>
    <s v="MTG"/>
    <x v="99"/>
    <n v="1.0959063610201645"/>
  </r>
  <r>
    <s v="30YrConformingConventional"/>
    <s v="Chase"/>
    <x v="0"/>
    <s v="MTG"/>
    <x v="100"/>
    <n v="1.1216542765386541"/>
  </r>
  <r>
    <s v="30YrConformingConventional"/>
    <s v="Chase"/>
    <x v="0"/>
    <s v="MTG"/>
    <x v="101"/>
    <n v="1.0848226045065246"/>
  </r>
  <r>
    <s v="30YrConformingConventional"/>
    <s v="Chase"/>
    <x v="0"/>
    <s v="MTG"/>
    <x v="102"/>
    <n v="1.0841836356510286"/>
  </r>
  <r>
    <s v="30YrConformingConventional"/>
    <s v="Chase"/>
    <x v="0"/>
    <s v="MTG"/>
    <x v="103"/>
    <n v="1.1236026633522043"/>
  </r>
  <r>
    <s v="30YrConformingConventional"/>
    <s v="Chase"/>
    <x v="0"/>
    <s v="MTG"/>
    <x v="104"/>
    <n v="1.0984133460250745"/>
  </r>
  <r>
    <s v="30YrConformingConventional"/>
    <s v="Chase"/>
    <x v="0"/>
    <s v="MTG"/>
    <x v="105"/>
    <n v="1.0991844871188046"/>
  </r>
  <r>
    <s v="30YrConformingConventional"/>
    <s v="Chase"/>
    <x v="0"/>
    <s v="MTG"/>
    <x v="106"/>
    <n v="1.0534402187716043"/>
  </r>
  <r>
    <s v="30YrConformingConventional"/>
    <s v="Chase"/>
    <x v="0"/>
    <s v="MTG"/>
    <x v="107"/>
    <n v="1.082989461372704"/>
  </r>
  <r>
    <s v="30YrConformingConventional"/>
    <s v="Chase"/>
    <x v="0"/>
    <s v="MTG"/>
    <x v="108"/>
    <n v="1.009691633061184"/>
  </r>
  <r>
    <s v="30YrConformingConventional"/>
    <s v="Chase"/>
    <x v="0"/>
    <s v="MTG"/>
    <x v="109"/>
    <n v="1.0847185494418345"/>
  </r>
  <r>
    <s v="30YrConformingConventional"/>
    <s v="Chase"/>
    <x v="0"/>
    <s v="MTG"/>
    <x v="110"/>
    <n v="1.0891007670212787"/>
  </r>
  <r>
    <s v="30YrConformingConventional"/>
    <s v="Chase"/>
    <x v="0"/>
    <s v="MTG"/>
    <x v="111"/>
    <n v="1.0752174326660462"/>
  </r>
  <r>
    <s v="30YrConformingConventional"/>
    <s v="Chase"/>
    <x v="0"/>
    <s v="MTG"/>
    <x v="112"/>
    <n v="1.053136827768909"/>
  </r>
  <r>
    <s v="30YrConformingConventional"/>
    <s v="Chase"/>
    <x v="0"/>
    <s v="MTG"/>
    <x v="113"/>
    <n v="1.0794965655224138"/>
  </r>
  <r>
    <s v="30YrConformingConventional"/>
    <s v="Chase"/>
    <x v="0"/>
    <s v="MTG"/>
    <x v="114"/>
    <n v="1.0497955084503372"/>
  </r>
  <r>
    <s v="30YrConformingConventional"/>
    <s v="Chase"/>
    <x v="0"/>
    <s v="MTG"/>
    <x v="115"/>
    <n v="1.0571706690180465"/>
  </r>
  <r>
    <s v="30YrConformingConventional"/>
    <s v="Chase"/>
    <x v="0"/>
    <s v="MTG"/>
    <x v="116"/>
    <n v="1.0661538505845485"/>
  </r>
  <r>
    <s v="30YrConformingConventional"/>
    <s v="Chase"/>
    <x v="0"/>
    <s v="MTG"/>
    <x v="117"/>
    <n v="1.0926936661259188"/>
  </r>
  <r>
    <s v="30YrConformingConventional"/>
    <s v="Chase"/>
    <x v="0"/>
    <s v="MTG"/>
    <x v="118"/>
    <n v="1.1014073244279283"/>
  </r>
  <r>
    <s v="30YrConformingConventional"/>
    <s v="Chase"/>
    <x v="0"/>
    <s v="MTG"/>
    <x v="119"/>
    <n v="1.0462533810387376"/>
  </r>
  <r>
    <s v="30YrConformingConventional"/>
    <s v="Chase"/>
    <x v="0"/>
    <s v="MTG"/>
    <x v="120"/>
    <n v="1.0762713772350674"/>
  </r>
  <r>
    <s v="30YrConformingConventional"/>
    <s v="Chase"/>
    <x v="0"/>
    <s v="MTG"/>
    <x v="121"/>
    <n v="1.1008620450413127"/>
  </r>
  <r>
    <s v="30YrConformingConventional"/>
    <s v="Chase"/>
    <x v="0"/>
    <s v="MTG"/>
    <x v="122"/>
    <n v="1.0224515238070231"/>
  </r>
  <r>
    <s v="30YrConformingConventional"/>
    <s v="Chase"/>
    <x v="0"/>
    <s v="MTG"/>
    <x v="123"/>
    <n v="1.0578914480575556"/>
  </r>
  <r>
    <s v="30YrConformingConventional"/>
    <s v="Chase"/>
    <x v="0"/>
    <s v="MTG"/>
    <x v="124"/>
    <n v="1.0869250897682363"/>
  </r>
  <r>
    <s v="30YrConformingConventional"/>
    <s v="Chase"/>
    <x v="0"/>
    <s v="MTG"/>
    <x v="125"/>
    <n v="1.119891467204279"/>
  </r>
  <r>
    <s v="30YrConformingConventional"/>
    <s v="Chase"/>
    <x v="0"/>
    <s v="MTG"/>
    <x v="126"/>
    <n v="1.0528868902628454"/>
  </r>
  <r>
    <s v="30YrConformingConventional"/>
    <s v="Chase"/>
    <x v="0"/>
    <s v="MTG"/>
    <x v="127"/>
    <n v="1.0315212789850057"/>
  </r>
  <r>
    <s v="30YrConformingConventional"/>
    <s v="Chase"/>
    <x v="0"/>
    <s v="MTG"/>
    <x v="128"/>
    <n v="1.056288352934506"/>
  </r>
  <r>
    <s v="30YrConformingConventional"/>
    <s v="Chase"/>
    <x v="0"/>
    <s v="MTG"/>
    <x v="129"/>
    <n v="1.0628261913244663"/>
  </r>
  <r>
    <s v="30YrConformingConventional"/>
    <s v="Chase"/>
    <x v="0"/>
    <s v="MTG"/>
    <x v="130"/>
    <n v="1.0609788954392658"/>
  </r>
  <r>
    <s v="30YrConformingConventional"/>
    <s v="Chase"/>
    <x v="0"/>
    <s v="MTG"/>
    <x v="131"/>
    <n v="1.0573643295691275"/>
  </r>
  <r>
    <s v="30YrConformingConventional"/>
    <s v="Chase"/>
    <x v="0"/>
    <s v="MTG"/>
    <x v="132"/>
    <n v="1.109874475711339"/>
  </r>
  <r>
    <s v="30YrConformingConventional"/>
    <s v="Chase"/>
    <x v="0"/>
    <s v="MTG"/>
    <x v="133"/>
    <n v="1.1256858462767485"/>
  </r>
  <r>
    <s v="30YrConformingConventional"/>
    <s v="Chase"/>
    <x v="0"/>
    <s v="MTG"/>
    <x v="134"/>
    <n v="1.0034157677120774"/>
  </r>
  <r>
    <s v="30YrConformingConventional"/>
    <s v="Chase"/>
    <x v="0"/>
    <s v="MTG"/>
    <x v="135"/>
    <n v="1.0206741739058272"/>
  </r>
  <r>
    <s v="30YrConformingConventional"/>
    <s v="Chase"/>
    <x v="0"/>
    <s v="MTG"/>
    <x v="136"/>
    <n v="1.057963251901626"/>
  </r>
  <r>
    <s v="30YrConformingConventional"/>
    <s v="Chase"/>
    <x v="0"/>
    <s v="MTG"/>
    <x v="137"/>
    <n v="1.0698547051501484"/>
  </r>
  <r>
    <s v="30YrConformingConventional"/>
    <s v="Chase"/>
    <x v="0"/>
    <s v="MTG"/>
    <x v="138"/>
    <n v="1.1009678727640544"/>
  </r>
  <r>
    <s v="30YrConformingConventional"/>
    <s v="Chase"/>
    <x v="0"/>
    <s v="MTG"/>
    <x v="139"/>
    <n v="1.0407224945874525"/>
  </r>
  <r>
    <s v="30YrConformingConventional"/>
    <s v="Chase"/>
    <x v="0"/>
    <s v="MTG"/>
    <x v="140"/>
    <n v="1.0362452418587755"/>
  </r>
  <r>
    <s v="30YrConformingConventional"/>
    <s v="Chase"/>
    <x v="0"/>
    <s v="MTG"/>
    <x v="141"/>
    <n v="1.0204776737094423"/>
  </r>
  <r>
    <s v="30YrConformingConventional"/>
    <s v="Chase"/>
    <x v="0"/>
    <s v="MTG"/>
    <x v="142"/>
    <n v="1.0759072121841924"/>
  </r>
  <r>
    <s v="30YrConformingConventional"/>
    <s v="Chase"/>
    <x v="0"/>
    <s v="MTG"/>
    <x v="143"/>
    <n v="1.0319678254748648"/>
  </r>
  <r>
    <s v="30YrConformingConventional"/>
    <s v="Chase"/>
    <x v="0"/>
    <s v="MTG"/>
    <x v="144"/>
    <n v="1.034193373212295"/>
  </r>
  <r>
    <s v="30YrConformingConventional"/>
    <s v="Chase"/>
    <x v="0"/>
    <s v="MTG"/>
    <x v="145"/>
    <n v="1.070197700400594"/>
  </r>
  <r>
    <s v="30YrConformingConventional"/>
    <s v="Chase"/>
    <x v="0"/>
    <s v="MTG"/>
    <x v="146"/>
    <n v="1.0807076202557324"/>
  </r>
  <r>
    <s v="30YrConformingConventional"/>
    <s v="Chase"/>
    <x v="0"/>
    <s v="MTG"/>
    <x v="147"/>
    <n v="1.0930113004870352"/>
  </r>
  <r>
    <s v="30YrConformingConventional"/>
    <s v="Chase"/>
    <x v="0"/>
    <s v="MTG"/>
    <x v="148"/>
    <n v="1.0406423605593402"/>
  </r>
  <r>
    <s v="30YrConformingConventional"/>
    <s v="Chase"/>
    <x v="0"/>
    <s v="MTG"/>
    <x v="149"/>
    <n v="1.0340848078308029"/>
  </r>
  <r>
    <s v="30YrConformingConventional"/>
    <s v="Chase"/>
    <x v="0"/>
    <s v="MTG"/>
    <x v="150"/>
    <n v="0.98646357301566778"/>
  </r>
  <r>
    <s v="30YrConformingConventional"/>
    <s v="Chase"/>
    <x v="0"/>
    <s v="MTG"/>
    <x v="151"/>
    <n v="1.0391714382397179"/>
  </r>
  <r>
    <s v="30YrConformingConventional"/>
    <s v="Chase"/>
    <x v="0"/>
    <s v="MTG"/>
    <x v="152"/>
    <n v="1.0554629489117933"/>
  </r>
  <r>
    <s v="30YrConformingConventional"/>
    <s v="Chase"/>
    <x v="0"/>
    <s v="MTG"/>
    <x v="153"/>
    <n v="1.0423922774307233"/>
  </r>
  <r>
    <s v="30YrConformingConventional"/>
    <s v="Chase"/>
    <x v="0"/>
    <s v="MTG"/>
    <x v="154"/>
    <n v="1.0276717947012202"/>
  </r>
  <r>
    <s v="30YrConformingConventional"/>
    <s v="Chase"/>
    <x v="0"/>
    <s v="MTG"/>
    <x v="155"/>
    <n v="1.1187749177383621"/>
  </r>
  <r>
    <s v="30YrConformingConventional"/>
    <s v="Chase"/>
    <x v="0"/>
    <s v="MTG"/>
    <x v="156"/>
    <n v="1.0833335036768956"/>
  </r>
  <r>
    <s v="30YrConformingConventional"/>
    <s v="Chase"/>
    <x v="0"/>
    <s v="MTG"/>
    <x v="157"/>
    <n v="1.1043914521501732"/>
  </r>
  <r>
    <s v="30YrConformingConventional"/>
    <s v="Chase"/>
    <x v="0"/>
    <s v="MTG"/>
    <x v="158"/>
    <n v="1.0820511121264931"/>
  </r>
  <r>
    <s v="30YrConformingConventional"/>
    <s v="Chase"/>
    <x v="0"/>
    <s v="MTG"/>
    <x v="159"/>
    <n v="1.0791198270748981"/>
  </r>
  <r>
    <s v="30YrConformingConventional"/>
    <s v="Chase"/>
    <x v="0"/>
    <s v="MTG"/>
    <x v="160"/>
    <n v="1.10733900700999"/>
  </r>
  <r>
    <s v="30YrConformingConventional"/>
    <s v="Chase"/>
    <x v="0"/>
    <s v="MTG"/>
    <x v="161"/>
    <n v="1.0696061705324202"/>
  </r>
  <r>
    <s v="30YrConformingConventional"/>
    <s v="Chase"/>
    <x v="0"/>
    <s v="MTG"/>
    <x v="162"/>
    <n v="1.0978648600144802"/>
  </r>
  <r>
    <s v="30YrConformingConventional"/>
    <s v="Chase"/>
    <x v="0"/>
    <s v="MTG"/>
    <x v="163"/>
    <n v="1.1251769013962403"/>
  </r>
  <r>
    <s v="30YrConformingConventional"/>
    <s v="Chase"/>
    <x v="0"/>
    <s v="MTG"/>
    <x v="164"/>
    <n v="1.0712657937763603"/>
  </r>
  <r>
    <s v="30YrConformingConventional"/>
    <s v="Chase"/>
    <x v="0"/>
    <s v="MTG"/>
    <x v="165"/>
    <n v="1.0866835802732404"/>
  </r>
  <r>
    <s v="30YrConformingConventional"/>
    <s v="Chase"/>
    <x v="0"/>
    <s v="MTG"/>
    <x v="166"/>
    <n v="1.0885117257946226"/>
  </r>
  <r>
    <s v="30YrConformingConventional"/>
    <s v="Chase"/>
    <x v="0"/>
    <s v="MTG"/>
    <x v="167"/>
    <n v="1.0467291214957302"/>
  </r>
  <r>
    <s v="30YrConformingConventional"/>
    <s v="Chase"/>
    <x v="0"/>
    <s v="MTG"/>
    <x v="168"/>
    <n v="0.9964904566794559"/>
  </r>
  <r>
    <s v="30YrConformingConventional"/>
    <s v="Chase"/>
    <x v="0"/>
    <s v="MTG"/>
    <x v="169"/>
    <n v="1.0909243312621324"/>
  </r>
  <r>
    <s v="30YrConformingConventional"/>
    <s v="Chase"/>
    <x v="0"/>
    <s v="MTG"/>
    <x v="170"/>
    <n v="1.0702956130149426"/>
  </r>
  <r>
    <s v="30YrConformingConventional"/>
    <s v="Chase"/>
    <x v="0"/>
    <s v="MTG"/>
    <x v="171"/>
    <n v="1.0079574446424944"/>
  </r>
  <r>
    <s v="30YrConformingConventional"/>
    <s v="Chase"/>
    <x v="0"/>
    <s v="MTG"/>
    <x v="172"/>
    <n v="1.0020757233933677"/>
  </r>
  <r>
    <s v="30YrConformingConventional"/>
    <s v="Chase"/>
    <x v="0"/>
    <s v="MTG"/>
    <x v="173"/>
    <n v="1.0271656338358255"/>
  </r>
  <r>
    <s v="30YrConformingConventional"/>
    <s v="Chase"/>
    <x v="0"/>
    <s v="MTG"/>
    <x v="174"/>
    <n v="1.015739202945859"/>
  </r>
  <r>
    <s v="30YrConformingConventional"/>
    <s v="Chase"/>
    <x v="0"/>
    <s v="MTG"/>
    <x v="175"/>
    <n v="1.0541586348790044"/>
  </r>
  <r>
    <s v="30YrConformingConventional"/>
    <s v="Chase"/>
    <x v="0"/>
    <s v="MTG"/>
    <x v="176"/>
    <n v="1.0695419304404443"/>
  </r>
  <r>
    <s v="30YrConformingConventional"/>
    <s v="Chase"/>
    <x v="0"/>
    <s v="MTG"/>
    <x v="177"/>
    <n v="1.0520796930475245"/>
  </r>
  <r>
    <s v="30YrConformingConventional"/>
    <s v="Chase"/>
    <x v="0"/>
    <s v="MTG"/>
    <x v="178"/>
    <n v="1.0904096572331747"/>
  </r>
  <r>
    <s v="30YrConformingConventional"/>
    <s v="Chase"/>
    <x v="0"/>
    <s v="MTG"/>
    <x v="179"/>
    <n v="1.0648306693390386"/>
  </r>
  <r>
    <s v="30YrConformingConventional"/>
    <s v="Chase"/>
    <x v="0"/>
    <s v="MTG"/>
    <x v="180"/>
    <n v="1.0781168177494285"/>
  </r>
  <r>
    <s v="30YrConformingConventional"/>
    <s v="Chase"/>
    <x v="0"/>
    <s v="MTG"/>
    <x v="181"/>
    <n v="1.0818429055219685"/>
  </r>
  <r>
    <s v="30YrConformingConventional"/>
    <s v="Chase"/>
    <x v="0"/>
    <s v="MTG"/>
    <x v="182"/>
    <n v="1.0716931602865889"/>
  </r>
  <r>
    <s v="30YrConformingConventional"/>
    <s v="Chase"/>
    <x v="0"/>
    <s v="MTG"/>
    <x v="183"/>
    <n v="1.0505556572993691"/>
  </r>
  <r>
    <s v="30YrConformingConventional"/>
    <s v="Chase"/>
    <x v="0"/>
    <s v="MTG"/>
    <x v="184"/>
    <n v="1.1152543712396248"/>
  </r>
  <r>
    <s v="30YrConformingConventional"/>
    <s v="Chase"/>
    <x v="0"/>
    <s v="MTG"/>
    <x v="185"/>
    <n v="1.0558221379197688"/>
  </r>
  <r>
    <s v="30YrConformingConventional"/>
    <s v="Chase"/>
    <x v="0"/>
    <s v="MTG"/>
    <x v="186"/>
    <n v="1.0910665761684382"/>
  </r>
  <r>
    <s v="30YrConformingConventional"/>
    <s v="Chase"/>
    <x v="0"/>
    <s v="MTG"/>
    <x v="187"/>
    <n v="1.0982657903298283"/>
  </r>
  <r>
    <s v="30YrConformingConventional"/>
    <s v="Chase"/>
    <x v="0"/>
    <s v="MTG"/>
    <x v="188"/>
    <n v="1.1135983511412983"/>
  </r>
  <r>
    <s v="30YrConformingConventional"/>
    <s v="Chase"/>
    <x v="0"/>
    <s v="MTG"/>
    <x v="189"/>
    <n v="1.1337073492354985"/>
  </r>
  <r>
    <s v="30YrConformingConventional"/>
    <s v="Chase"/>
    <x v="0"/>
    <s v="MTG"/>
    <x v="190"/>
    <n v="1.0494089721728754"/>
  </r>
  <r>
    <s v="30YrConformingConventional"/>
    <s v="Chase"/>
    <x v="0"/>
    <s v="MTG"/>
    <x v="191"/>
    <n v="1.0391993670193747"/>
  </r>
  <r>
    <s v="30YrConformingConventional"/>
    <s v="Chase"/>
    <x v="0"/>
    <s v="MTG"/>
    <x v="192"/>
    <n v="1.0969918504511147"/>
  </r>
  <r>
    <s v="30YrConformingConventional"/>
    <s v="Chase"/>
    <x v="0"/>
    <s v="MTG"/>
    <x v="193"/>
    <n v="1.1437313448721744"/>
  </r>
  <r>
    <s v="30YrConformingConventional"/>
    <s v="Chase"/>
    <x v="0"/>
    <s v="MTG"/>
    <x v="194"/>
    <n v="1.0237920370338864"/>
  </r>
  <r>
    <s v="30YrConformingConventional"/>
    <s v="Chase"/>
    <x v="0"/>
    <s v="MTG"/>
    <x v="195"/>
    <n v="1.0699809403240188"/>
  </r>
  <r>
    <s v="30YrConformingConventional"/>
    <s v="Chase"/>
    <x v="0"/>
    <s v="MTG"/>
    <x v="196"/>
    <n v="1.0309093696685387"/>
  </r>
  <r>
    <s v="30YrConformingConventional"/>
    <s v="Chase"/>
    <x v="0"/>
    <s v="MTG"/>
    <x v="197"/>
    <n v="1.0980494406465486"/>
  </r>
  <r>
    <s v="30YrConformingConventional"/>
    <s v="Chase"/>
    <x v="0"/>
    <s v="MTG"/>
    <x v="198"/>
    <n v="1.0653738508151083"/>
  </r>
  <r>
    <s v="30YrConformingConventional"/>
    <s v="Chase"/>
    <x v="0"/>
    <s v="MTG"/>
    <x v="199"/>
    <n v="1.0349978919639711"/>
  </r>
  <r>
    <s v="30YrConformingConventional"/>
    <s v="Chase"/>
    <x v="0"/>
    <s v="MTG"/>
    <x v="200"/>
    <n v="1.0586540391730501"/>
  </r>
  <r>
    <s v="30YrConformingConventional"/>
    <s v="Chase"/>
    <x v="0"/>
    <s v="MTG"/>
    <x v="201"/>
    <n v="1.0688980839161513"/>
  </r>
  <r>
    <s v="30YrConformingConventional"/>
    <s v="Chase"/>
    <x v="0"/>
    <s v="MTG"/>
    <x v="202"/>
    <n v="1.0956201350163781"/>
  </r>
  <r>
    <s v="30YrConformingConventional"/>
    <s v="Chase"/>
    <x v="0"/>
    <s v="MTG"/>
    <x v="203"/>
    <n v="1.0879482133374581"/>
  </r>
  <r>
    <s v="30YrConformingConventional"/>
    <s v="Chase"/>
    <x v="0"/>
    <s v="MTG"/>
    <x v="204"/>
    <n v="1.0758703141671342"/>
  </r>
  <r>
    <s v="30YrConformingConventional"/>
    <s v="Chase"/>
    <x v="0"/>
    <s v="MTG"/>
    <x v="205"/>
    <n v="1.0497530287677797"/>
  </r>
  <r>
    <s v="30YrConformingConventional"/>
    <s v="Chase"/>
    <x v="0"/>
    <s v="MTG"/>
    <x v="206"/>
    <n v="1.0972931539022603"/>
  </r>
  <r>
    <s v="30YrConformingConventional"/>
    <s v="Chase"/>
    <x v="0"/>
    <s v="MTG"/>
    <x v="207"/>
    <n v="1.0893966078739599"/>
  </r>
  <r>
    <s v="30YrConformingConventional"/>
    <s v="Chase"/>
    <x v="0"/>
    <s v="MTG"/>
    <x v="208"/>
    <n v="1.03497276341456"/>
  </r>
  <r>
    <s v="30YrConformingConventional"/>
    <s v="Chase"/>
    <x v="0"/>
    <s v="MTG"/>
    <x v="209"/>
    <n v="1.03497276341456"/>
  </r>
  <r>
    <s v="30YrConformingConventional"/>
    <s v="Chase"/>
    <x v="0"/>
    <s v="MTG"/>
    <x v="210"/>
    <n v="1.0573629552190809"/>
  </r>
  <r>
    <s v="30YrConformingConventional"/>
    <s v="Chase"/>
    <x v="0"/>
    <s v="MTG"/>
    <x v="211"/>
    <n v="1.1001773487253346"/>
  </r>
  <r>
    <s v="30YrConformingConventional"/>
    <s v="Chase"/>
    <x v="0"/>
    <s v="MTG"/>
    <x v="212"/>
    <n v="1.0984927547126548"/>
  </r>
  <r>
    <s v="30YrConformingConventional"/>
    <s v="Chase"/>
    <x v="0"/>
    <s v="MTG"/>
    <x v="213"/>
    <n v="1.1276650968177586"/>
  </r>
  <r>
    <s v="30YrConformingConventional"/>
    <s v="Chase"/>
    <x v="0"/>
    <s v="MTG"/>
    <x v="214"/>
    <n v="1.0867686360165461"/>
  </r>
  <r>
    <s v="30YrConformingConventional"/>
    <s v="Chase"/>
    <x v="0"/>
    <s v="MTG"/>
    <x v="215"/>
    <n v="1.1132625280971964"/>
  </r>
  <r>
    <s v="30YrConformingConventional"/>
    <s v="Chase"/>
    <x v="0"/>
    <s v="MTG"/>
    <x v="216"/>
    <n v="1.0711141137448741"/>
  </r>
  <r>
    <s v="30YrConformingConventional"/>
    <s v="Chase"/>
    <x v="0"/>
    <s v="MTG"/>
    <x v="217"/>
    <n v="1.1256742603309715"/>
  </r>
  <r>
    <s v="30YrConformingConventional"/>
    <s v="Chase"/>
    <x v="0"/>
    <s v="MTG"/>
    <x v="218"/>
    <n v="1.1561541814869041"/>
  </r>
  <r>
    <s v="30YrConformingConventional"/>
    <s v="Chase"/>
    <x v="0"/>
    <s v="MTG"/>
    <x v="219"/>
    <n v="1.1432695767015839"/>
  </r>
  <r>
    <s v="30YrConformingConventional"/>
    <s v="Chase"/>
    <x v="0"/>
    <s v="MTG"/>
    <x v="220"/>
    <n v="1.0929717173047016"/>
  </r>
  <r>
    <s v="30YrConformingConventional"/>
    <s v="Chase"/>
    <x v="0"/>
    <s v="MTG"/>
    <x v="221"/>
    <n v="1.1469639552045423"/>
  </r>
  <r>
    <s v="30YrConformingConventional"/>
    <s v="Chase"/>
    <x v="0"/>
    <s v="MTG"/>
    <x v="222"/>
    <n v="1.165467299106145"/>
  </r>
  <r>
    <s v="30YrConformingConventional"/>
    <s v="Chase"/>
    <x v="0"/>
    <s v="MTG"/>
    <x v="223"/>
    <n v="1.1726669679850574"/>
  </r>
  <r>
    <s v="30YrConformingConventional"/>
    <s v="Chase"/>
    <x v="0"/>
    <s v="MTG"/>
    <x v="224"/>
    <n v="1.1476479449839376"/>
  </r>
  <r>
    <s v="30YrConformingConventional"/>
    <s v="Chase"/>
    <x v="0"/>
    <s v="MTG"/>
    <x v="225"/>
    <n v="1.1651294925025324"/>
  </r>
  <r>
    <s v="30YrConformingConventional"/>
    <s v="Chase"/>
    <x v="0"/>
    <s v="MTG"/>
    <x v="226"/>
    <n v="1.1737796028533749"/>
  </r>
  <r>
    <s v="30YrConformingConventional"/>
    <s v="Chase"/>
    <x v="0"/>
    <s v="MTG"/>
    <x v="227"/>
    <n v="1.1697226760176551"/>
  </r>
  <r>
    <s v="30YrConformingConventional"/>
    <s v="Chase"/>
    <x v="0"/>
    <s v="MTG"/>
    <x v="228"/>
    <n v="1.1356887470905803"/>
  </r>
  <r>
    <s v="30YrConformingConventional"/>
    <s v="Chase"/>
    <x v="0"/>
    <s v="MTG"/>
    <x v="229"/>
    <n v="1.1650581385705781"/>
  </r>
  <r>
    <s v="30YrConformingConventional"/>
    <s v="Chase"/>
    <x v="0"/>
    <s v="MTG"/>
    <x v="230"/>
    <n v="1.1043179041025981"/>
  </r>
  <r>
    <s v="30YrConformingConventional"/>
    <s v="Chase"/>
    <x v="0"/>
    <s v="MTG"/>
    <x v="231"/>
    <n v="1.195303848560288"/>
  </r>
  <r>
    <s v="30YrConformingConventional"/>
    <s v="Chase"/>
    <x v="0"/>
    <s v="MTG"/>
    <x v="232"/>
    <n v="1.1974998460932178"/>
  </r>
  <r>
    <s v="30YrConformingConventional"/>
    <s v="Chase"/>
    <x v="0"/>
    <s v="MTG"/>
    <x v="233"/>
    <n v="1.0965743570676978"/>
  </r>
  <r>
    <s v="30YrConformingConventional"/>
    <s v="Chase"/>
    <x v="0"/>
    <s v="MTG"/>
    <x v="234"/>
    <n v="1.1390064735353245"/>
  </r>
  <r>
    <s v="30YrConformingConventional"/>
    <s v="Chase"/>
    <x v="0"/>
    <s v="MTG"/>
    <x v="235"/>
    <n v="1.1554846029530448"/>
  </r>
  <r>
    <s v="30YrConformingConventional"/>
    <s v="Chase"/>
    <x v="0"/>
    <s v="MTG"/>
    <x v="236"/>
    <n v="1.1487432205019334"/>
  </r>
  <r>
    <s v="30YrConformingConventional"/>
    <s v="Chase"/>
    <x v="0"/>
    <s v="MTG"/>
    <x v="237"/>
    <n v="1.204693507886218"/>
  </r>
  <r>
    <s v="30YrConformingConventional"/>
    <s v="Chase"/>
    <x v="0"/>
    <s v="MTG"/>
    <x v="238"/>
    <n v="1.1626887289739798"/>
  </r>
  <r>
    <s v="30YrConformingConventional"/>
    <s v="Chase"/>
    <x v="0"/>
    <s v="MTG"/>
    <x v="239"/>
    <n v="1.0673555571406728"/>
  </r>
  <r>
    <s v="30YrConformingConventional"/>
    <s v="Chase"/>
    <x v="0"/>
    <s v="MTG"/>
    <x v="240"/>
    <n v="1.1539520156768075"/>
  </r>
  <r>
    <s v="30YrConformingConventional"/>
    <s v="Chase"/>
    <x v="0"/>
    <s v="MTG"/>
    <x v="241"/>
    <n v="1.1127576419349978"/>
  </r>
  <r>
    <s v="30YrConformingConventional"/>
    <s v="Chase"/>
    <x v="0"/>
    <s v="MTG"/>
    <x v="242"/>
    <n v="1.1717916759041775"/>
  </r>
  <r>
    <s v="30YrConformingConventional"/>
    <s v="Chase"/>
    <x v="0"/>
    <s v="MTG"/>
    <x v="243"/>
    <n v="1.1418577916030577"/>
  </r>
  <r>
    <s v="30YrConformingConventional"/>
    <s v="Chase"/>
    <x v="0"/>
    <s v="MTG"/>
    <x v="244"/>
    <n v="1.1327942367030379"/>
  </r>
  <r>
    <s v="30YrConformingConventional"/>
    <s v="Chase"/>
    <x v="0"/>
    <s v="MTG"/>
    <x v="245"/>
    <n v="1.1501611814590746"/>
  </r>
  <r>
    <s v="30YrConformingConventional"/>
    <s v="Chase"/>
    <x v="0"/>
    <s v="MTG"/>
    <x v="246"/>
    <n v="1.1501611814590746"/>
  </r>
  <r>
    <s v="30YrConformingConventional"/>
    <s v="Chase"/>
    <x v="0"/>
    <s v="MTG"/>
    <x v="247"/>
    <n v="1.1294860575128729"/>
  </r>
  <r>
    <s v="30YrConformingConventional"/>
    <s v="Chase"/>
    <x v="0"/>
    <s v="MTG"/>
    <x v="248"/>
    <n v="1.1632098000119198"/>
  </r>
  <r>
    <s v="30YrConformingConventional"/>
    <s v="Chase"/>
    <x v="0"/>
    <s v="MTG"/>
    <x v="249"/>
    <n v="1.1291519868127"/>
  </r>
  <r>
    <s v="30YrConformingConventional"/>
    <s v="Chase"/>
    <x v="0"/>
    <s v="MTG"/>
    <x v="250"/>
    <n v="1.1031095535582995"/>
  </r>
  <r>
    <s v="30YrConformingConventional"/>
    <s v="Chase"/>
    <x v="0"/>
    <s v="MTG"/>
    <x v="251"/>
    <n v="1.0819342645385497"/>
  </r>
  <r>
    <s v="30YrConformingConventional"/>
    <s v="Chase"/>
    <x v="0"/>
    <s v="MTG"/>
    <x v="252"/>
    <n v="1.1452985096947046"/>
  </r>
  <r>
    <s v="30YrConformingConventional"/>
    <s v="Chase"/>
    <x v="0"/>
    <s v="MTG"/>
    <x v="253"/>
    <n v="1.0734772274428099"/>
  </r>
  <r>
    <s v="30YrConformingConventional"/>
    <s v="Chase"/>
    <x v="0"/>
    <s v="MTG"/>
    <x v="254"/>
    <n v="1.102781518107889"/>
  </r>
  <r>
    <s v="30YrConformingConventional"/>
    <s v="Chase"/>
    <x v="0"/>
    <s v="MTG"/>
    <x v="255"/>
    <n v="1.1175054484595845"/>
  </r>
  <r>
    <s v="30YrConformingConventional"/>
    <s v="Chase"/>
    <x v="0"/>
    <s v="MTG"/>
    <x v="256"/>
    <n v="1.1132765796288584"/>
  </r>
  <r>
    <s v="30YrConformingConventional"/>
    <s v="Chase"/>
    <x v="0"/>
    <s v="MTG"/>
    <x v="257"/>
    <n v="1.1038925167043583"/>
  </r>
  <r>
    <s v="30YrConformingConventional"/>
    <s v="Chase"/>
    <x v="0"/>
    <s v="MTG"/>
    <x v="258"/>
    <n v="1.071406888145588"/>
  </r>
  <r>
    <s v="30YrConformingConventional"/>
    <s v="Chase"/>
    <x v="0"/>
    <s v="MTG"/>
    <x v="259"/>
    <n v="1.0822836916013732"/>
  </r>
  <r>
    <s v="30YrConformingConventional"/>
    <s v="Chase"/>
    <x v="0"/>
    <s v="MTG"/>
    <x v="260"/>
    <n v="1.0637258915736481"/>
  </r>
  <r>
    <s v="30YrConformingConventional"/>
    <s v="Chase"/>
    <x v="0"/>
    <s v="MTG"/>
    <x v="261"/>
    <n v="1.1135870429965131"/>
  </r>
  <r>
    <s v="30YrConformingConventional"/>
    <s v="Chase"/>
    <x v="0"/>
    <s v="MTG"/>
    <x v="262"/>
    <n v="1.0985656070168845"/>
  </r>
  <r>
    <s v="30YrConformingConventional"/>
    <s v="Chase"/>
    <x v="0"/>
    <s v="MTG"/>
    <x v="263"/>
    <n v="1.1049866241159743"/>
  </r>
  <r>
    <s v="30YrConformingConventional"/>
    <s v="Chase"/>
    <x v="0"/>
    <s v="MTG"/>
    <x v="264"/>
    <n v="1.0825170272663993"/>
  </r>
  <r>
    <s v="30YrConformingConventional"/>
    <s v="Chase"/>
    <x v="0"/>
    <s v="MTG"/>
    <x v="265"/>
    <n v="1.0944246665761481"/>
  </r>
  <r>
    <s v="30YrConformingConventional"/>
    <s v="Chase"/>
    <x v="0"/>
    <s v="MTG"/>
    <x v="266"/>
    <n v="1.1466483127256129"/>
  </r>
  <r>
    <s v="30YrConformingConventional"/>
    <s v="Chase"/>
    <x v="0"/>
    <s v="MTG"/>
    <x v="267"/>
    <n v="1.1466483127256129"/>
  </r>
  <r>
    <s v="30YrConformingConventional"/>
    <s v="Chase"/>
    <x v="0"/>
    <s v="MTG"/>
    <x v="268"/>
    <n v="1.1340377116418034"/>
  </r>
  <r>
    <s v="30YrConformingConventional"/>
    <s v="Chase"/>
    <x v="0"/>
    <s v="MTG"/>
    <x v="269"/>
    <n v="1.2006436348505196"/>
  </r>
  <r>
    <s v="30YrConformingConventional"/>
    <s v="Chase"/>
    <x v="0"/>
    <s v="MTG"/>
    <x v="270"/>
    <n v="1.0956440195352115"/>
  </r>
  <r>
    <s v="30YrConformingConventional"/>
    <s v="Chase"/>
    <x v="0"/>
    <s v="MTG"/>
    <x v="271"/>
    <n v="1.1803473736778651"/>
  </r>
  <r>
    <s v="30YrConformingConventional"/>
    <s v="Chase"/>
    <x v="0"/>
    <s v="MTG"/>
    <x v="272"/>
    <n v="1.1210936494456198"/>
  </r>
  <r>
    <s v="30YrConformingConventional"/>
    <s v="Chase"/>
    <x v="0"/>
    <s v="MTG"/>
    <x v="273"/>
    <n v="1.0989313991876983"/>
  </r>
  <r>
    <s v="30YrConformingConventional"/>
    <s v="Chase"/>
    <x v="0"/>
    <s v="MTG"/>
    <x v="274"/>
    <n v="1.1022159081018317"/>
  </r>
  <r>
    <s v="30YrConformingConventional"/>
    <s v="Chase"/>
    <x v="0"/>
    <s v="MTG"/>
    <x v="275"/>
    <n v="1.1054668741760483"/>
  </r>
  <r>
    <s v="30YrConformingConventional"/>
    <s v="Chase"/>
    <x v="0"/>
    <s v="MTG"/>
    <x v="276"/>
    <n v="1.1533454232746685"/>
  </r>
  <r>
    <s v="30YrConformingConventional"/>
    <s v="Chase"/>
    <x v="0"/>
    <s v="MTG"/>
    <x v="277"/>
    <n v="1.1497290111883385"/>
  </r>
  <r>
    <s v="30YrConformingConventional"/>
    <s v="Chase"/>
    <x v="0"/>
    <s v="MTG"/>
    <x v="278"/>
    <n v="1.1164670498938218"/>
  </r>
  <r>
    <s v="30YrConformingConventional"/>
    <s v="Chase"/>
    <x v="0"/>
    <s v="MTG"/>
    <x v="279"/>
    <n v="1.037029937267643"/>
  </r>
  <r>
    <s v="30YrConformingConventional"/>
    <s v="Chase"/>
    <x v="0"/>
    <s v="MTG"/>
    <x v="280"/>
    <n v="1.0805573979707421"/>
  </r>
  <r>
    <s v="30YrConformingConventional"/>
    <s v="Chase"/>
    <x v="0"/>
    <s v="MTG"/>
    <x v="281"/>
    <n v="1.1130625635595983"/>
  </r>
  <r>
    <s v="30YrConformingConventional"/>
    <s v="Chase"/>
    <x v="0"/>
    <s v="MTG"/>
    <x v="282"/>
    <n v="1.0843568702286219"/>
  </r>
  <r>
    <s v="30YrConformingConventional"/>
    <s v="Chase"/>
    <x v="0"/>
    <s v="MTG"/>
    <x v="283"/>
    <n v="1.1080212984452185"/>
  </r>
  <r>
    <s v="30YrConformingConventional"/>
    <s v="Chase"/>
    <x v="0"/>
    <s v="MTG"/>
    <x v="284"/>
    <n v="1.0824176959106184"/>
  </r>
  <r>
    <s v="30YrConformingConventional"/>
    <s v="Chase"/>
    <x v="0"/>
    <s v="MTG"/>
    <x v="285"/>
    <n v="1.0638025538925515"/>
  </r>
  <r>
    <s v="30YrConformingConventional"/>
    <s v="Chase"/>
    <x v="0"/>
    <s v="MTG"/>
    <x v="286"/>
    <n v="1.0796331232662648"/>
  </r>
  <r>
    <s v="30YrConformingConventional"/>
    <s v="Chase"/>
    <x v="0"/>
    <s v="MTG"/>
    <x v="287"/>
    <n v="1.0317992821507478"/>
  </r>
  <r>
    <s v="30YrConformingConventional"/>
    <s v="Chase"/>
    <x v="0"/>
    <s v="MTG"/>
    <x v="288"/>
    <n v="0.99498322897669034"/>
  </r>
  <r>
    <s v="30YrConformingConventional"/>
    <s v="Chase"/>
    <x v="0"/>
    <s v="MTG"/>
    <x v="289"/>
    <n v="1.0106576548794477"/>
  </r>
  <r>
    <s v="30YrConformingConventional"/>
    <s v="Chase"/>
    <x v="0"/>
    <s v="MTG"/>
    <x v="290"/>
    <n v="1.0900962920679051"/>
  </r>
  <r>
    <s v="30YrConformingConventional"/>
    <s v="Chase"/>
    <x v="0"/>
    <s v="MTG"/>
    <x v="291"/>
    <n v="1.0742161875798801"/>
  </r>
  <r>
    <s v="30YrConformingConventional"/>
    <s v="Chase"/>
    <x v="0"/>
    <s v="MTG"/>
    <x v="292"/>
    <n v="1.0918638603803603"/>
  </r>
  <r>
    <s v="30YrConformingConventional"/>
    <s v="Chase"/>
    <x v="0"/>
    <s v="MTG"/>
    <x v="293"/>
    <n v="1.0918638603803603"/>
  </r>
  <r>
    <s v="30YrConformingConventional"/>
    <s v="Chase"/>
    <x v="0"/>
    <s v="MTG"/>
    <x v="294"/>
    <n v="1.0146475668306232"/>
  </r>
  <r>
    <s v="30YrConformingConventional"/>
    <s v="Chase"/>
    <x v="0"/>
    <s v="MTG"/>
    <x v="295"/>
    <n v="1.0100288699706335"/>
  </r>
  <r>
    <s v="30YrConformingConventional"/>
    <s v="Chase"/>
    <x v="0"/>
    <s v="MTG"/>
    <x v="296"/>
    <n v="1.0761953616622724"/>
  </r>
  <r>
    <s v="30YrConformingConventional"/>
    <s v="Chase"/>
    <x v="0"/>
    <s v="MTG"/>
    <x v="297"/>
    <n v="1.0776281863832331"/>
  </r>
  <r>
    <s v="30YrConformingConventional"/>
    <s v="Chase"/>
    <x v="0"/>
    <s v="MTG"/>
    <x v="298"/>
    <n v="1.0918669300851032"/>
  </r>
  <r>
    <s v="30YrConformingConventional"/>
    <s v="Chase"/>
    <x v="0"/>
    <s v="MTG"/>
    <x v="299"/>
    <n v="1.0439668488149534"/>
  </r>
  <r>
    <s v="30YrConformingConventional"/>
    <s v="Chase"/>
    <x v="0"/>
    <s v="MTG"/>
    <x v="300"/>
    <n v="1.0484194461339433"/>
  </r>
  <r>
    <s v="30YrConformingConventional"/>
    <s v="Chase"/>
    <x v="0"/>
    <s v="MTG"/>
    <x v="301"/>
    <n v="1.0668656379541821"/>
  </r>
  <r>
    <s v="30YrConformingConventional"/>
    <s v="Chase"/>
    <x v="0"/>
    <s v="MTG"/>
    <x v="302"/>
    <n v="1.1091738910703315"/>
  </r>
  <r>
    <s v="30YrConformingConventional"/>
    <s v="Chase"/>
    <x v="0"/>
    <s v="MTG"/>
    <x v="303"/>
    <n v="1.068346421431092"/>
  </r>
  <r>
    <s v="30YrConformingConventional"/>
    <s v="Chase"/>
    <x v="0"/>
    <s v="MTG"/>
    <x v="304"/>
    <n v="1.0753933408547787"/>
  </r>
  <r>
    <s v="30YrConformingConventional"/>
    <s v="Chase"/>
    <x v="0"/>
    <s v="MTG"/>
    <x v="305"/>
    <n v="1.0603181847861693"/>
  </r>
  <r>
    <s v="30YrConformingConventional"/>
    <s v="Chase"/>
    <x v="0"/>
    <s v="MTG"/>
    <x v="306"/>
    <n v="1.0779775335627715"/>
  </r>
  <r>
    <s v="30YrConformingConventional"/>
    <s v="Chase"/>
    <x v="0"/>
    <s v="MTG"/>
    <x v="307"/>
    <n v="1.1056104518476446"/>
  </r>
  <r>
    <s v="30YrConformingConventional"/>
    <s v="Chase"/>
    <x v="0"/>
    <s v="MTG"/>
    <x v="308"/>
    <n v="1.0794449354127076"/>
  </r>
  <r>
    <s v="30YrConformingConventional"/>
    <s v="Chase"/>
    <x v="0"/>
    <s v="MTG"/>
    <x v="309"/>
    <n v="1.0628091652084275"/>
  </r>
  <r>
    <s v="30YrConformingConventional"/>
    <s v="Chase"/>
    <x v="0"/>
    <s v="MTG"/>
    <x v="310"/>
    <n v="1.0740045074258193"/>
  </r>
  <r>
    <s v="30YrConformingConventional"/>
    <s v="Chase"/>
    <x v="0"/>
    <s v="MTG"/>
    <x v="311"/>
    <n v="1.1199130643847195"/>
  </r>
  <r>
    <s v="30YrConformingConventional"/>
    <s v="Chase"/>
    <x v="0"/>
    <s v="MTG"/>
    <x v="312"/>
    <n v="1.1175160998672349"/>
  </r>
  <r>
    <s v="30YrConformingConventional"/>
    <s v="Chase"/>
    <x v="0"/>
    <s v="MTG"/>
    <x v="313"/>
    <n v="1.1278673145921099"/>
  </r>
  <r>
    <s v="30YrConformingConventional"/>
    <s v="Chase"/>
    <x v="0"/>
    <s v="MTG"/>
    <x v="314"/>
    <n v="1.0806729666363077"/>
  </r>
  <r>
    <s v="30YrConformingConventional"/>
    <s v="Chase"/>
    <x v="0"/>
    <s v="MTG"/>
    <x v="315"/>
    <n v="1.1249481083701551"/>
  </r>
  <r>
    <s v="30YrConformingConventional"/>
    <s v="Chase"/>
    <x v="0"/>
    <s v="MTG"/>
    <x v="316"/>
    <n v="1.1250271165308985"/>
  </r>
  <r>
    <s v="30YrConformingConventional"/>
    <s v="Chase"/>
    <x v="0"/>
    <s v="MTG"/>
    <x v="317"/>
    <n v="1.083754411915032"/>
  </r>
  <r>
    <s v="30YrConformingConventional"/>
    <s v="Chase"/>
    <x v="0"/>
    <s v="MTG"/>
    <x v="318"/>
    <n v="1.0537730207546232"/>
  </r>
  <r>
    <s v="30YrConformingConventional"/>
    <s v="Chase"/>
    <x v="0"/>
    <s v="MTG"/>
    <x v="319"/>
    <n v="1.0616663681083134"/>
  </r>
  <r>
    <s v="30YrConformingConventional"/>
    <s v="Chase"/>
    <x v="0"/>
    <s v="MTG"/>
    <x v="320"/>
    <n v="1.1088175656374428"/>
  </r>
  <r>
    <s v="30YrConformingConventional"/>
    <s v="Chase"/>
    <x v="0"/>
    <s v="MTG"/>
    <x v="321"/>
    <n v="1.1250571977900727"/>
  </r>
  <r>
    <s v="30YrConformingConventional"/>
    <s v="Chase"/>
    <x v="0"/>
    <s v="MTG"/>
    <x v="322"/>
    <n v="1.1049865778372299"/>
  </r>
  <r>
    <s v="30YrConformingConventional"/>
    <s v="Chase"/>
    <x v="0"/>
    <s v="MTG"/>
    <x v="323"/>
    <n v="1.0627899063840867"/>
  </r>
  <r>
    <s v="30YrConformingConventional"/>
    <s v="Chase"/>
    <x v="0"/>
    <s v="MTG"/>
    <x v="324"/>
    <n v="1.1137011358651399"/>
  </r>
  <r>
    <s v="30YrConformingConventional"/>
    <s v="Chase"/>
    <x v="0"/>
    <s v="MTG"/>
    <x v="325"/>
    <n v="1.0989538824408365"/>
  </r>
  <r>
    <s v="30YrConformingConventional"/>
    <s v="Chase"/>
    <x v="0"/>
    <s v="MTG"/>
    <x v="326"/>
    <n v="1.0514717940233866"/>
  </r>
  <r>
    <s v="30YrConformingConventional"/>
    <s v="Chase"/>
    <x v="0"/>
    <s v="MTG"/>
    <x v="327"/>
    <n v="1.0912665696551127"/>
  </r>
  <r>
    <s v="30YrConformingConventional"/>
    <s v="Chase"/>
    <x v="0"/>
    <s v="MTG"/>
    <x v="328"/>
    <n v="1.0468444332822937"/>
  </r>
  <r>
    <s v="30YrConformingConventional"/>
    <s v="Chase"/>
    <x v="0"/>
    <s v="MTG"/>
    <x v="329"/>
    <n v="1.0822118009296819"/>
  </r>
  <r>
    <s v="30YrConformingConventional"/>
    <s v="Chase"/>
    <x v="0"/>
    <s v="MTG"/>
    <x v="330"/>
    <n v="1.0932683439955886"/>
  </r>
  <r>
    <s v="30YrConformingConventional"/>
    <s v="Chase"/>
    <x v="0"/>
    <s v="MTG"/>
    <x v="331"/>
    <n v="1.0774964392437876"/>
  </r>
  <r>
    <s v="30YrConformingConventional"/>
    <s v="Chase"/>
    <x v="0"/>
    <s v="MTG"/>
    <x v="332"/>
    <n v="1.1794802542112803"/>
  </r>
  <r>
    <s v="30YrConformingConventional"/>
    <s v="Chase"/>
    <x v="0"/>
    <s v="MTG"/>
    <x v="333"/>
    <n v="1.1460330843509483"/>
  </r>
  <r>
    <s v="30YrConformingConventional"/>
    <s v="Chase"/>
    <x v="0"/>
    <s v="MTG"/>
    <x v="334"/>
    <n v="1.1826800023165103"/>
  </r>
  <r>
    <s v="30YrConformingConventional"/>
    <s v="Chase"/>
    <x v="0"/>
    <s v="MTG"/>
    <x v="335"/>
    <n v="1.2217466027100103"/>
  </r>
  <r>
    <s v="30YrConformingConventional"/>
    <s v="Chase"/>
    <x v="0"/>
    <s v="MTG"/>
    <x v="336"/>
    <n v="1.1984554692510612"/>
  </r>
  <r>
    <s v="30YrConformingConventional"/>
    <s v="Chase"/>
    <x v="0"/>
    <s v="MTG"/>
    <x v="337"/>
    <n v="1.2478728512891959"/>
  </r>
  <r>
    <s v="30YrConformingConventional"/>
    <s v="Chase"/>
    <x v="0"/>
    <s v="MTG"/>
    <x v="338"/>
    <n v="1.1438931609857304"/>
  </r>
  <r>
    <s v="30YrConformingConventional"/>
    <s v="Chase"/>
    <x v="0"/>
    <s v="MTG"/>
    <x v="339"/>
    <n v="1.1747607717142161"/>
  </r>
  <r>
    <s v="30YrConformingConventional"/>
    <s v="Chase"/>
    <x v="0"/>
    <s v="MTG"/>
    <x v="340"/>
    <n v="1.1747607717142161"/>
  </r>
  <r>
    <s v="30YrConformingConventional"/>
    <s v="Chase"/>
    <x v="0"/>
    <s v="MTG"/>
    <x v="341"/>
    <n v="1.1576126189903266"/>
  </r>
  <r>
    <s v="30YrConformingConventional"/>
    <s v="Chase"/>
    <x v="0"/>
    <s v="MTG"/>
    <x v="342"/>
    <n v="1.1346576404554412"/>
  </r>
  <r>
    <s v="30YrConformingConventional"/>
    <s v="Chase"/>
    <x v="0"/>
    <s v="MTG"/>
    <x v="343"/>
    <n v="1.160442446128888"/>
  </r>
  <r>
    <s v="30YrConformingConventional"/>
    <s v="Chase"/>
    <x v="0"/>
    <s v="MTG"/>
    <x v="344"/>
    <n v="1.15596010491687"/>
  </r>
  <r>
    <s v="30YrConformingConventional"/>
    <s v="Chase"/>
    <x v="0"/>
    <s v="MTG"/>
    <x v="345"/>
    <n v="1.0794977431249908"/>
  </r>
  <r>
    <s v="30YrConformingConventional"/>
    <s v="Chase"/>
    <x v="0"/>
    <s v="MTG"/>
    <x v="346"/>
    <n v="1.1142492773710642"/>
  </r>
  <r>
    <s v="30YrConformingConventional"/>
    <s v="Chase"/>
    <x v="0"/>
    <s v="MTG"/>
    <x v="347"/>
    <n v="1.1102219567386711"/>
  </r>
  <r>
    <s v="30YrConformingConventional"/>
    <s v="Chase"/>
    <x v="0"/>
    <s v="MTG"/>
    <x v="348"/>
    <n v="1.1224549015727403"/>
  </r>
  <r>
    <s v="30YrConformingConventional"/>
    <s v="Chase"/>
    <x v="0"/>
    <s v="MTG"/>
    <x v="349"/>
    <n v="1.1490185477786075"/>
  </r>
  <r>
    <s v="30YrConformingConventional"/>
    <s v="Chase"/>
    <x v="0"/>
    <s v="MTG"/>
    <x v="350"/>
    <n v="1.1275163545347275"/>
  </r>
  <r>
    <s v="30YrConformingConventional"/>
    <s v="Chase"/>
    <x v="0"/>
    <s v="MTG"/>
    <x v="351"/>
    <n v="1.0864989420722899"/>
  </r>
  <r>
    <s v="30YrConformingConventional"/>
    <s v="Chase"/>
    <x v="0"/>
    <s v="MTG"/>
    <x v="352"/>
    <n v="1.1391654747505469"/>
  </r>
  <r>
    <s v="30YrConformingConventional"/>
    <s v="Chase"/>
    <x v="0"/>
    <s v="MTG"/>
    <x v="353"/>
    <n v="1.22253160331532"/>
  </r>
  <r>
    <s v="30YrConformingConventional"/>
    <s v="Chase"/>
    <x v="0"/>
    <s v="MTG"/>
    <x v="354"/>
    <n v="1.1783893744342675"/>
  </r>
  <r>
    <s v="30YrConformingConventional"/>
    <s v="Chase"/>
    <x v="0"/>
    <s v="MTG"/>
    <x v="355"/>
    <n v="1.1726498867445381"/>
  </r>
  <r>
    <s v="30YrConformingConventional"/>
    <s v="Chase"/>
    <x v="0"/>
    <s v="MTG"/>
    <x v="356"/>
    <n v="1.1482002606324884"/>
  </r>
  <r>
    <s v="30YrConformingConventional"/>
    <s v="Chase"/>
    <x v="0"/>
    <s v="MTG"/>
    <x v="357"/>
    <n v="1.1407091852838405"/>
  </r>
  <r>
    <s v="30YrConformingConventional"/>
    <s v="Chase"/>
    <x v="0"/>
    <s v="MTG"/>
    <x v="358"/>
    <n v="1.1337037111507802"/>
  </r>
  <r>
    <s v="30YrConformingConventional"/>
    <s v="Chase"/>
    <x v="0"/>
    <s v="MTG"/>
    <x v="359"/>
    <n v="1.1420353482023411"/>
  </r>
  <r>
    <s v="30YrConformingConventional"/>
    <s v="Chase"/>
    <x v="0"/>
    <s v="MTG"/>
    <x v="360"/>
    <n v="1.0764920948208412"/>
  </r>
  <r>
    <s v="30YrConformingConventional"/>
    <s v="Chase"/>
    <x v="0"/>
    <s v="MTG"/>
    <x v="361"/>
    <n v="1.1001047754676905"/>
  </r>
  <r>
    <s v="30YrConformingConventional"/>
    <s v="Chase"/>
    <x v="0"/>
    <s v="MTG"/>
    <x v="362"/>
    <n v="1.1073354793658983"/>
  </r>
  <r>
    <s v="30YrConformingConventional"/>
    <s v="Chase"/>
    <x v="0"/>
    <s v="MTG"/>
    <x v="363"/>
    <n v="1.1134192426116161"/>
  </r>
  <r>
    <s v="30YrConformingConventional"/>
    <s v="Chase"/>
    <x v="0"/>
    <s v="MTG"/>
    <x v="364"/>
    <n v="1.1134192426116161"/>
  </r>
  <r>
    <s v="30YrConformingConventional"/>
    <s v="Chase"/>
    <x v="0"/>
    <s v="MTG"/>
    <x v="365"/>
    <n v="1.1134192426116161"/>
  </r>
  <r>
    <s v="30YrConformingConventional"/>
    <s v="Chase"/>
    <x v="0"/>
    <s v="MTG"/>
    <x v="366"/>
    <n v="1.096516814140748"/>
  </r>
  <r>
    <s v="30YrConformingConventional"/>
    <s v="Chase"/>
    <x v="0"/>
    <s v="MTG"/>
    <x v="367"/>
    <n v="1.0795077839054212"/>
  </r>
  <r>
    <s v="30YrConformingConventional"/>
    <s v="Chase"/>
    <x v="0"/>
    <s v="MTG"/>
    <x v="368"/>
    <n v="1.1196269899735403"/>
  </r>
  <r>
    <s v="30YrConformingConventional"/>
    <s v="Chase"/>
    <x v="0"/>
    <s v="MTG"/>
    <x v="369"/>
    <n v="1.1165102507157483"/>
  </r>
  <r>
    <s v="30YrConformingConventional"/>
    <s v="Chase"/>
    <x v="0"/>
    <s v="MTG"/>
    <x v="370"/>
    <n v="1.0641180100263183"/>
  </r>
  <r>
    <s v="30YrConformingConventional"/>
    <s v="Chase"/>
    <x v="0"/>
    <s v="MTG"/>
    <x v="371"/>
    <n v="1.11846685829513"/>
  </r>
  <r>
    <s v="30YrConformingConventional"/>
    <s v="Chase"/>
    <x v="0"/>
    <s v="MTG"/>
    <x v="372"/>
    <n v="1.0931312489135683"/>
  </r>
  <r>
    <s v="30YrConformingConventional"/>
    <s v="Chase"/>
    <x v="0"/>
    <s v="MTG"/>
    <x v="373"/>
    <n v="1.0897081313744081"/>
  </r>
  <r>
    <s v="30YrConformingConventional"/>
    <s v="Chase"/>
    <x v="0"/>
    <s v="MTG"/>
    <x v="374"/>
    <n v="1.0897081313744081"/>
  </r>
  <r>
    <s v="30YrConformingConventional"/>
    <s v="Chase"/>
    <x v="0"/>
    <s v="MTG"/>
    <x v="375"/>
    <n v="1.0897081313744081"/>
  </r>
  <r>
    <s v="30YrConformingConventional"/>
    <s v="Chase"/>
    <x v="0"/>
    <s v="MTG"/>
    <x v="376"/>
    <n v="1.1055538116441905"/>
  </r>
  <r>
    <s v="30YrConformingConventional"/>
    <s v="Chase"/>
    <x v="0"/>
    <s v="MTG"/>
    <x v="377"/>
    <n v="1.0711365797189083"/>
  </r>
  <r>
    <s v="30YrConformingConventional"/>
    <s v="Chase"/>
    <x v="0"/>
    <s v="MTG"/>
    <x v="378"/>
    <n v="1.1026194320411002"/>
  </r>
  <r>
    <s v="30YrConformingConventional"/>
    <s v="Chase"/>
    <x v="0"/>
    <s v="MTG"/>
    <x v="379"/>
    <n v="1.08891727087594"/>
  </r>
  <r>
    <s v="30YrConformingConventional"/>
    <s v="Chase"/>
    <x v="0"/>
    <s v="MTG"/>
    <x v="380"/>
    <n v="1.08891727087594"/>
  </r>
  <r>
    <s v="30YrConformingConventional"/>
    <s v="Chase"/>
    <x v="0"/>
    <s v="MTG"/>
    <x v="381"/>
    <n v="1.08891727087594"/>
  </r>
  <r>
    <s v="30YrConformingConventional"/>
    <s v="Chase"/>
    <x v="0"/>
    <s v="MTG"/>
    <x v="382"/>
    <n v="1.1237419098930539"/>
  </r>
  <r>
    <s v="30YrConformingConventional"/>
    <s v="Chase"/>
    <x v="0"/>
    <s v="MTG"/>
    <x v="383"/>
    <n v="1.0846704469712636"/>
  </r>
  <r>
    <s v="30YrConformingConventional"/>
    <s v="Chase"/>
    <x v="0"/>
    <s v="MTG"/>
    <x v="384"/>
    <n v="1.0846704469712636"/>
  </r>
  <r>
    <s v="30YrConformingConventional"/>
    <s v="Chase"/>
    <x v="0"/>
    <s v="MTG"/>
    <x v="385"/>
    <n v="1.1212107289698299"/>
  </r>
  <r>
    <s v="30YrConformingConventional"/>
    <s v="Chase"/>
    <x v="0"/>
    <s v="MTG"/>
    <x v="386"/>
    <n v="1.0545304140737364"/>
  </r>
  <r>
    <s v="30YrConformingConventional"/>
    <s v="Chase"/>
    <x v="0"/>
    <s v="MTG"/>
    <x v="387"/>
    <n v="1.0852304543630467"/>
  </r>
  <r>
    <s v="30YrConformingConventional"/>
    <s v="Chase"/>
    <x v="0"/>
    <s v="MTG"/>
    <x v="388"/>
    <n v="1.0458406437092573"/>
  </r>
  <r>
    <s v="30YrConformingConventional"/>
    <s v="Chase"/>
    <x v="0"/>
    <s v="MTG"/>
    <x v="389"/>
    <n v="1.0451792806122573"/>
  </r>
  <r>
    <s v="30YrConformingConventional"/>
    <s v="Chase"/>
    <x v="0"/>
    <s v="MTG"/>
    <x v="390"/>
    <n v="1.0293642573802775"/>
  </r>
  <r>
    <s v="30YrConformingConventional"/>
    <s v="Chase"/>
    <x v="0"/>
    <s v="MTG"/>
    <x v="391"/>
    <n v="1.0627365600968768"/>
  </r>
  <r>
    <s v="30YrConformingConventional"/>
    <s v="Chase"/>
    <x v="0"/>
    <s v="MTG"/>
    <x v="392"/>
    <n v="1.0832501928305167"/>
  </r>
  <r>
    <s v="30YrConformingConventional"/>
    <s v="Chase"/>
    <x v="0"/>
    <s v="MTG"/>
    <x v="393"/>
    <n v="1.1074901405411268"/>
  </r>
  <r>
    <s v="30YrConformingConventional"/>
    <s v="Chase"/>
    <x v="0"/>
    <s v="MTG"/>
    <x v="394"/>
    <n v="1.0843488668870183"/>
  </r>
  <r>
    <s v="30YrConformingConventional"/>
    <s v="Chase"/>
    <x v="0"/>
    <s v="MTG"/>
    <x v="395"/>
    <n v="1.0873032653466885"/>
  </r>
  <r>
    <s v="30YrConformingConventional"/>
    <s v="Chase"/>
    <x v="0"/>
    <s v="MTG"/>
    <x v="396"/>
    <n v="1.1346454452883414"/>
  </r>
  <r>
    <s v="30YrConformingConventional"/>
    <s v="Chase"/>
    <x v="0"/>
    <s v="MTG"/>
    <x v="397"/>
    <n v="1.1514012053440839"/>
  </r>
  <r>
    <s v="30YrConformingConventional"/>
    <s v="Chase"/>
    <x v="0"/>
    <s v="MTG"/>
    <x v="398"/>
    <n v="1.0919694963497886"/>
  </r>
  <r>
    <s v="30YrConformingConventional"/>
    <s v="Chase"/>
    <x v="0"/>
    <s v="MTG"/>
    <x v="399"/>
    <n v="1.1239330023850136"/>
  </r>
  <r>
    <s v="30YrConformingConventional"/>
    <s v="Chase"/>
    <x v="0"/>
    <s v="MTG"/>
    <x v="400"/>
    <n v="1.1096346938575739"/>
  </r>
  <r>
    <s v="30YrConformingConventional"/>
    <s v="Chase"/>
    <x v="0"/>
    <s v="MTG"/>
    <x v="401"/>
    <n v="1.098867837763061"/>
  </r>
  <r>
    <s v="30YrConformingConventional"/>
    <s v="Chase"/>
    <x v="0"/>
    <s v="MTG"/>
    <x v="402"/>
    <n v="1.0154294588052579"/>
  </r>
  <r>
    <s v="30YrConformingConventional"/>
    <s v="Chase"/>
    <x v="0"/>
    <s v="MTG"/>
    <x v="403"/>
    <n v="0.9959698253516579"/>
  </r>
  <r>
    <s v="30YrConformingConventional"/>
    <s v="Chase"/>
    <x v="0"/>
    <s v="MTG"/>
    <x v="404"/>
    <n v="1.0197593871967805"/>
  </r>
  <r>
    <s v="30YrConformingConventional"/>
    <s v="Chase"/>
    <x v="0"/>
    <s v="MTG"/>
    <x v="405"/>
    <n v="1.0263601653900074"/>
  </r>
  <r>
    <s v="30YrConformingConventional"/>
    <s v="Chase"/>
    <x v="0"/>
    <s v="MTG"/>
    <x v="406"/>
    <n v="1.0395852648610167"/>
  </r>
  <r>
    <s v="30YrConformingConventional"/>
    <s v="Chase"/>
    <x v="0"/>
    <s v="MTG"/>
    <x v="407"/>
    <n v="1.0432134251107676"/>
  </r>
  <r>
    <s v="30YrConformingConventional"/>
    <s v="Chase"/>
    <x v="0"/>
    <s v="MTG"/>
    <x v="408"/>
    <n v="0.99673044091928742"/>
  </r>
  <r>
    <s v="30YrConformingConventional"/>
    <s v="Chase"/>
    <x v="0"/>
    <s v="MTG"/>
    <x v="409"/>
    <n v="1.0774207673016498"/>
  </r>
  <r>
    <s v="30YrConformingConventional"/>
    <s v="Chase"/>
    <x v="0"/>
    <s v="MTG"/>
    <x v="410"/>
    <n v="1.0649613458642664"/>
  </r>
  <r>
    <s v="30YrConformingConventional"/>
    <s v="Chase"/>
    <x v="0"/>
    <s v="MTG"/>
    <x v="411"/>
    <n v="1.1001135648727498"/>
  </r>
  <r>
    <s v="30YrConformingConventional"/>
    <s v="Chase"/>
    <x v="0"/>
    <s v="MTG"/>
    <x v="412"/>
    <n v="1.0722086307612364"/>
  </r>
  <r>
    <s v="30YrConformingConventional"/>
    <s v="Chase"/>
    <x v="0"/>
    <s v="MTG"/>
    <x v="413"/>
    <n v="1.0818023125929368"/>
  </r>
  <r>
    <s v="30YrConformingConventional"/>
    <s v="Chase"/>
    <x v="0"/>
    <s v="MTG"/>
    <x v="414"/>
    <n v="1.0346193161617876"/>
  </r>
  <r>
    <s v="30YrConformingConventional"/>
    <s v="Chase"/>
    <x v="0"/>
    <s v="MTG"/>
    <x v="415"/>
    <n v="1.0979406220724397"/>
  </r>
  <r>
    <s v="30YrConformingConventional"/>
    <s v="Chase"/>
    <x v="0"/>
    <s v="MTG"/>
    <x v="416"/>
    <n v="1.1084931615159233"/>
  </r>
  <r>
    <s v="30YrConformingConventional"/>
    <s v="Chase"/>
    <x v="0"/>
    <s v="MTG"/>
    <x v="417"/>
    <n v="1.0017208628304419"/>
  </r>
  <r>
    <s v="30YrConformingConventional"/>
    <s v="Chase"/>
    <x v="0"/>
    <s v="MTG"/>
    <x v="418"/>
    <n v="1.0290097680838033"/>
  </r>
  <r>
    <s v="30YrConformingConventional"/>
    <s v="Chase"/>
    <x v="0"/>
    <s v="MTG"/>
    <x v="419"/>
    <n v="0.99802186203282217"/>
  </r>
  <r>
    <s v="30YrConformingConventional"/>
    <s v="Chase"/>
    <x v="0"/>
    <s v="MTG"/>
    <x v="420"/>
    <n v="1.0325301181684434"/>
  </r>
  <r>
    <s v="30YrConformingConventional"/>
    <s v="Chase"/>
    <x v="0"/>
    <s v="MTG"/>
    <x v="421"/>
    <n v="1.0073626861510521"/>
  </r>
  <r>
    <s v="30YrConformingConventional"/>
    <s v="Chase"/>
    <x v="0"/>
    <s v="MTG"/>
    <x v="422"/>
    <n v="1.0296558142471233"/>
  </r>
  <r>
    <s v="30YrConformingConventional"/>
    <s v="Chase"/>
    <x v="0"/>
    <s v="MTG"/>
    <x v="423"/>
    <n v="1.0451930671642633"/>
  </r>
  <r>
    <s v="30YrConformingConventional"/>
    <s v="Chase"/>
    <x v="0"/>
    <s v="MTG"/>
    <x v="424"/>
    <n v="0.98788025956727221"/>
  </r>
  <r>
    <s v="30YrConformingConventional"/>
    <s v="Chase"/>
    <x v="0"/>
    <s v="MTG"/>
    <x v="425"/>
    <n v="1.013001408786363"/>
  </r>
  <r>
    <s v="30YrConformingConventional"/>
    <s v="Chase"/>
    <x v="0"/>
    <s v="MTG"/>
    <x v="426"/>
    <n v="0.93102382186482158"/>
  </r>
  <r>
    <s v="30YrConformingConventional"/>
    <s v="Chase"/>
    <x v="0"/>
    <s v="MTG"/>
    <x v="427"/>
    <n v="0.99215212201111302"/>
  </r>
  <r>
    <s v="30YrConformingConventional"/>
    <s v="Chase"/>
    <x v="0"/>
    <s v="MTG"/>
    <x v="428"/>
    <n v="0.98428800579627751"/>
  </r>
  <r>
    <s v="30YrConformingConventional"/>
    <s v="Chase"/>
    <x v="0"/>
    <s v="MTG"/>
    <x v="429"/>
    <n v="1.0925907855002723"/>
  </r>
  <r>
    <s v="30YrConformingConventional"/>
    <s v="Chase"/>
    <x v="0"/>
    <s v="MTG"/>
    <x v="430"/>
    <n v="1.0180845870952873"/>
  </r>
  <r>
    <s v="30YrConformingConventional"/>
    <s v="Chase"/>
    <x v="0"/>
    <s v="MTG"/>
    <x v="431"/>
    <n v="1.0110129635372838"/>
  </r>
  <r>
    <s v="30YrConformingConventional"/>
    <s v="Chase"/>
    <x v="0"/>
    <s v="MTG"/>
    <x v="432"/>
    <n v="1.0619387161731446"/>
  </r>
  <r>
    <s v="30YrConformingConventional"/>
    <s v="Chase"/>
    <x v="0"/>
    <s v="MTG"/>
    <x v="433"/>
    <n v="0.98782896692780964"/>
  </r>
  <r>
    <s v="30YrConformingConventional"/>
    <s v="Chase"/>
    <x v="0"/>
    <s v="MTG"/>
    <x v="434"/>
    <n v="1.0047459196822199"/>
  </r>
  <r>
    <s v="30YrConformingConventional"/>
    <s v="Chase"/>
    <x v="0"/>
    <s v="MTG"/>
    <x v="435"/>
    <n v="1.1056143194848593"/>
  </r>
  <r>
    <s v="30YrConformingConventional"/>
    <s v="Chase"/>
    <x v="0"/>
    <s v="MTG"/>
    <x v="436"/>
    <n v="1.0447914703016501"/>
  </r>
  <r>
    <s v="30YrConformingConventional"/>
    <s v="Chase"/>
    <x v="0"/>
    <s v="MTG"/>
    <x v="437"/>
    <n v="1.1015976453571008"/>
  </r>
  <r>
    <s v="30YrConformingConventional"/>
    <s v="Chase"/>
    <x v="0"/>
    <s v="MTG"/>
    <x v="438"/>
    <n v="1.0595419340631911"/>
  </r>
  <r>
    <s v="30YrConformingConventional"/>
    <s v="Chase"/>
    <x v="0"/>
    <s v="MTG"/>
    <x v="439"/>
    <n v="1.0648666813524703"/>
  </r>
  <r>
    <s v="30YrConformingConventional"/>
    <s v="Chase"/>
    <x v="0"/>
    <s v="MTG"/>
    <x v="440"/>
    <n v="1.0503908585148838"/>
  </r>
  <r>
    <s v="30YrConformingConventional"/>
    <s v="Chase"/>
    <x v="0"/>
    <s v="MTG"/>
    <x v="441"/>
    <n v="1.0739616915847701"/>
  </r>
  <r>
    <s v="30YrConformingConventional"/>
    <s v="Chase"/>
    <x v="0"/>
    <s v="MTG"/>
    <x v="442"/>
    <n v="1.0736866095526396"/>
  </r>
  <r>
    <s v="30YrConformingConventional"/>
    <s v="Chase"/>
    <x v="0"/>
    <s v="MTG"/>
    <x v="443"/>
    <n v="1.0409256902381303"/>
  </r>
  <r>
    <s v="30YrConformingConventional"/>
    <s v="Chase"/>
    <x v="0"/>
    <s v="MTG"/>
    <x v="444"/>
    <n v="1.0960589317115903"/>
  </r>
  <r>
    <s v="30YrConformingConventional"/>
    <s v="Chase"/>
    <x v="0"/>
    <s v="MTG"/>
    <x v="445"/>
    <n v="1.1000879775249199"/>
  </r>
  <r>
    <s v="30YrConformingConventional"/>
    <s v="Chase"/>
    <x v="0"/>
    <s v="MTG"/>
    <x v="446"/>
    <n v="0.98200458410523106"/>
  </r>
  <r>
    <s v="30YrConformingConventional"/>
    <s v="Chase"/>
    <x v="0"/>
    <s v="MTG"/>
    <x v="447"/>
    <n v="1.0688454564159746"/>
  </r>
  <r>
    <s v="30YrConformingConventional"/>
    <s v="Chase"/>
    <x v="0"/>
    <s v="MTG"/>
    <x v="448"/>
    <n v="0.99515749829287992"/>
  </r>
  <r>
    <s v="30YrConformingConventional"/>
    <s v="Chase"/>
    <x v="0"/>
    <s v="MTG"/>
    <x v="449"/>
    <n v="1.0008895993119402"/>
  </r>
  <r>
    <s v="30YrConformingConventional"/>
    <s v="Chase"/>
    <x v="0"/>
    <s v="MTG"/>
    <x v="450"/>
    <n v="1.0399861597508053"/>
  </r>
  <r>
    <s v="30YrConformingConventional"/>
    <s v="Chase"/>
    <x v="0"/>
    <s v="MTG"/>
    <x v="451"/>
    <n v="0.98242728531913737"/>
  </r>
  <r>
    <s v="30YrConformingConventional"/>
    <s v="Chase"/>
    <x v="0"/>
    <s v="MTG"/>
    <x v="452"/>
    <n v="1.0388500004098424"/>
  </r>
  <r>
    <s v="30YrConformingConventional"/>
    <s v="Chase"/>
    <x v="0"/>
    <s v="MTG"/>
    <x v="453"/>
    <n v="1.0240105021356625"/>
  </r>
  <r>
    <s v="30YrConformingConventional"/>
    <s v="Chase"/>
    <x v="0"/>
    <s v="MTG"/>
    <x v="454"/>
    <n v="1.0540281126411373"/>
  </r>
  <r>
    <s v="30YrConformingConventional"/>
    <s v="Chase"/>
    <x v="0"/>
    <s v="MTG"/>
    <x v="455"/>
    <n v="1.0579176398533923"/>
  </r>
  <r>
    <s v="30YrConformingConventional"/>
    <s v="Chase"/>
    <x v="0"/>
    <s v="MTG"/>
    <x v="456"/>
    <n v="1.0248508715811746"/>
  </r>
  <r>
    <s v="30YrConformingConventional"/>
    <s v="Chase"/>
    <x v="0"/>
    <s v="MTG"/>
    <x v="457"/>
    <n v="1.0403656029829373"/>
  </r>
  <r>
    <s v="30YrConformingConventional"/>
    <s v="Chase"/>
    <x v="0"/>
    <s v="MTG"/>
    <x v="458"/>
    <n v="1.0427077361206072"/>
  </r>
  <r>
    <s v="30YrConformingConventional"/>
    <s v="Chase"/>
    <x v="0"/>
    <s v="MTG"/>
    <x v="459"/>
    <n v="1.0309530705895138"/>
  </r>
  <r>
    <s v="30YrConformingConventional"/>
    <s v="Chase"/>
    <x v="0"/>
    <s v="MTG"/>
    <x v="460"/>
    <n v="1.1241493348290346"/>
  </r>
  <r>
    <s v="30YrConformingConventional"/>
    <s v="Chase"/>
    <x v="0"/>
    <s v="MTG"/>
    <x v="461"/>
    <n v="1.0649154552522337"/>
  </r>
  <r>
    <s v="30YrConformingConventional"/>
    <s v="Chase"/>
    <x v="0"/>
    <s v="MTG"/>
    <x v="462"/>
    <n v="1.0805803208827853"/>
  </r>
  <r>
    <s v="30YrConformingConventional"/>
    <s v="Chase"/>
    <x v="0"/>
    <s v="MTG"/>
    <x v="463"/>
    <n v="1.0502075297398625"/>
  </r>
  <r>
    <s v="30YrConformingConventional"/>
    <s v="Chase"/>
    <x v="0"/>
    <s v="MTG"/>
    <x v="464"/>
    <n v="1.0541678227380298"/>
  </r>
  <r>
    <s v="30YrConformingConventional"/>
    <s v="Chase"/>
    <x v="0"/>
    <s v="MTG"/>
    <x v="465"/>
    <n v="1.0486758135726506"/>
  </r>
  <r>
    <s v="30YrConformingConventional"/>
    <s v="Chase"/>
    <x v="0"/>
    <s v="MTG"/>
    <x v="466"/>
    <n v="1.0516806281868907"/>
  </r>
  <r>
    <s v="30YrConformingConventional"/>
    <s v="Chase"/>
    <x v="0"/>
    <s v="MTG"/>
    <x v="467"/>
    <n v="1.0422332566388728"/>
  </r>
  <r>
    <s v="30YrConformingConventional"/>
    <s v="Chase"/>
    <x v="0"/>
    <s v="MTG"/>
    <x v="468"/>
    <n v="1.013705478252501"/>
  </r>
  <r>
    <s v="30YrConformingConventional"/>
    <s v="Chase"/>
    <x v="0"/>
    <s v="MTG"/>
    <x v="469"/>
    <n v="1.0131420154561126"/>
  </r>
  <r>
    <s v="30YrConformingConventional"/>
    <s v="Chase"/>
    <x v="0"/>
    <s v="MTG"/>
    <x v="470"/>
    <n v="1.0574813461902228"/>
  </r>
  <r>
    <s v="30YrConformingConventional"/>
    <s v="Chase"/>
    <x v="0"/>
    <s v="MTG"/>
    <x v="471"/>
    <n v="1.0018233324099308"/>
  </r>
  <r>
    <s v="30YrConformingConventional"/>
    <s v="Chase"/>
    <x v="0"/>
    <s v="MTG"/>
    <x v="472"/>
    <n v="1.0326107241848903"/>
  </r>
  <r>
    <s v="30YrConformingConventional"/>
    <s v="Chase"/>
    <x v="0"/>
    <s v="MTG"/>
    <x v="473"/>
    <n v="1.0674185607297166"/>
  </r>
  <r>
    <s v="30YrConformingConventional"/>
    <s v="Chase"/>
    <x v="0"/>
    <s v="MTG"/>
    <x v="474"/>
    <n v="1.1057127071361548"/>
  </r>
  <r>
    <s v="30YrConformingConventional"/>
    <s v="Chase"/>
    <x v="0"/>
    <s v="MTG"/>
    <x v="475"/>
    <n v="1.0361666616253449"/>
  </r>
  <r>
    <s v="30YrConformingConventional"/>
    <s v="Chase"/>
    <x v="0"/>
    <s v="MTG"/>
    <x v="476"/>
    <n v="1.0186904539920167"/>
  </r>
  <r>
    <s v="30YrConformingConventional"/>
    <s v="Chase"/>
    <x v="0"/>
    <s v="MTG"/>
    <x v="477"/>
    <n v="1.0622162909724744"/>
  </r>
  <r>
    <s v="30YrConformingConventional"/>
    <s v="Chase"/>
    <x v="0"/>
    <s v="MTG"/>
    <x v="478"/>
    <n v="1.0602227066576868"/>
  </r>
  <r>
    <s v="30YrConformingConventional"/>
    <s v="Chase"/>
    <x v="0"/>
    <s v="MTG"/>
    <x v="479"/>
    <n v="1.0668835757179571"/>
  </r>
  <r>
    <s v="30YrConformingConventional"/>
    <s v="Chase"/>
    <x v="0"/>
    <s v="MTG"/>
    <x v="480"/>
    <n v="1.0861394296920068"/>
  </r>
  <r>
    <s v="30YrConformingConventional"/>
    <s v="Chase"/>
    <x v="0"/>
    <s v="MTG"/>
    <x v="481"/>
    <n v="1.0618103965055068"/>
  </r>
  <r>
    <s v="30YrConformingConventional"/>
    <s v="Chase"/>
    <x v="0"/>
    <s v="MTG"/>
    <x v="482"/>
    <n v="1.075760540298347"/>
  </r>
  <r>
    <s v="30YrConformingConventional"/>
    <s v="Chase"/>
    <x v="0"/>
    <s v="MTG"/>
    <x v="483"/>
    <n v="1.0572844827191772"/>
  </r>
  <r>
    <s v="30YrConformingConventional"/>
    <s v="Chase"/>
    <x v="0"/>
    <s v="MTG"/>
    <x v="484"/>
    <n v="1.1253471679149265"/>
  </r>
  <r>
    <s v="30YrConformingConventional"/>
    <s v="Chase"/>
    <x v="0"/>
    <s v="MTG"/>
    <x v="485"/>
    <n v="1.1395370428212568"/>
  </r>
  <r>
    <s v="30YrConformingConventional"/>
    <s v="Chase"/>
    <x v="0"/>
    <s v="MTG"/>
    <x v="486"/>
    <n v="1.1895318305976967"/>
  </r>
  <r>
    <s v="30YrConformingConventional"/>
    <s v="Chase"/>
    <x v="0"/>
    <s v="MTG"/>
    <x v="487"/>
    <n v="1.1242899848281169"/>
  </r>
  <r>
    <s v="30YrConformingConventional"/>
    <s v="Chase"/>
    <x v="0"/>
    <s v="MTG"/>
    <x v="488"/>
    <n v="1.0732054078175748"/>
  </r>
  <r>
    <s v="30YrConformingConventional"/>
    <s v="Chase"/>
    <x v="0"/>
    <s v="MTG"/>
    <x v="489"/>
    <n v="1.0747196811954769"/>
  </r>
  <r>
    <s v="30YrConformingConventional"/>
    <s v="Chase"/>
    <x v="0"/>
    <s v="MTG"/>
    <x v="490"/>
    <n v="1.0345155491287672"/>
  </r>
  <r>
    <s v="30YrConformingConventional"/>
    <s v="Chase"/>
    <x v="0"/>
    <s v="MTG"/>
    <x v="491"/>
    <n v="1.0212524369134037"/>
  </r>
  <r>
    <s v="30YrConformingConventional"/>
    <s v="Chase"/>
    <x v="0"/>
    <s v="MTG"/>
    <x v="492"/>
    <n v="0.98349351025733067"/>
  </r>
  <r>
    <s v="30YrConformingConventional"/>
    <s v="Chase"/>
    <x v="0"/>
    <s v="MTG"/>
    <x v="493"/>
    <n v="1.0629697585629552"/>
  </r>
  <r>
    <s v="30YrConformingConventional"/>
    <s v="Chase"/>
    <x v="0"/>
    <s v="MTG"/>
    <x v="494"/>
    <n v="1.0042375006402198"/>
  </r>
  <r>
    <s v="30YrConformingConventional"/>
    <s v="Chase"/>
    <x v="0"/>
    <s v="MTG"/>
    <x v="495"/>
    <n v="1.0048453588236705"/>
  </r>
  <r>
    <s v="30YrConformingConventional"/>
    <s v="Chase"/>
    <x v="0"/>
    <s v="MTG"/>
    <x v="496"/>
    <n v="1.0148116723705007"/>
  </r>
  <r>
    <s v="30YrConformingConventional"/>
    <s v="Chase"/>
    <x v="0"/>
    <s v="MTG"/>
    <x v="497"/>
    <n v="0.95231911281055126"/>
  </r>
  <r>
    <s v="30YrConformingConventional"/>
    <s v="Chase"/>
    <x v="0"/>
    <s v="MTG"/>
    <x v="498"/>
    <n v="1.0214406659248105"/>
  </r>
  <r>
    <s v="30YrConformingConventional"/>
    <s v="Chase"/>
    <x v="0"/>
    <s v="MTG"/>
    <x v="499"/>
    <n v="1.0122974074683204"/>
  </r>
  <r>
    <s v="30YrConformingConventional"/>
    <s v="Chase"/>
    <x v="0"/>
    <s v="MTG"/>
    <x v="500"/>
    <n v="0.98444192470232006"/>
  </r>
  <r>
    <s v="30YrConformingConventional"/>
    <s v="Chase"/>
    <x v="0"/>
    <s v="MTG"/>
    <x v="501"/>
    <n v="0.98669512250070046"/>
  </r>
  <r>
    <s v="30YrConformingConventional"/>
    <s v="Chase"/>
    <x v="0"/>
    <s v="MTG"/>
    <x v="502"/>
    <n v="0.99384532398998493"/>
  </r>
  <r>
    <s v="30YrConformingConventional"/>
    <s v="Chase"/>
    <x v="0"/>
    <s v="MTG"/>
    <x v="503"/>
    <n v="0.94323136182077394"/>
  </r>
  <r>
    <s v="30YrConformingConventional"/>
    <s v="Chase"/>
    <x v="0"/>
    <s v="MTG"/>
    <x v="504"/>
    <n v="0.99828993218931406"/>
  </r>
  <r>
    <s v="30YrConformingConventional"/>
    <s v="Chase"/>
    <x v="0"/>
    <s v="MTG"/>
    <x v="505"/>
    <n v="0.93964350118558437"/>
  </r>
  <r>
    <s v="30YrConformingConventional"/>
    <s v="Chase"/>
    <x v="0"/>
    <s v="MTG"/>
    <x v="506"/>
    <n v="0.99225587287517725"/>
  </r>
  <r>
    <s v="30YrConformingConventional"/>
    <s v="Chase"/>
    <x v="0"/>
    <s v="MTG"/>
    <x v="507"/>
    <n v="0.95846608636730724"/>
  </r>
  <r>
    <s v="30YrConformingConventional"/>
    <s v="Chase"/>
    <x v="0"/>
    <s v="MTG"/>
    <x v="508"/>
    <n v="1.0234104717383397"/>
  </r>
  <r>
    <s v="30YrConformingConventional"/>
    <s v="Chase"/>
    <x v="0"/>
    <s v="MTG"/>
    <x v="509"/>
    <n v="1.0348120981247044"/>
  </r>
  <r>
    <s v="30YrConformingConventional"/>
    <s v="Chase"/>
    <x v="0"/>
    <s v="MTG"/>
    <x v="510"/>
    <n v="0.99058108060743677"/>
  </r>
  <r>
    <s v="30YrConformingConventional"/>
    <s v="Chase"/>
    <x v="0"/>
    <s v="MTG"/>
    <x v="511"/>
    <n v="0.94928458212680389"/>
  </r>
  <r>
    <s v="30YrConformingConventional"/>
    <s v="Chase"/>
    <x v="0"/>
    <s v="MTG"/>
    <x v="512"/>
    <n v="0.97029320430959409"/>
  </r>
  <r>
    <s v="30YrConformingConventional"/>
    <s v="Chase"/>
    <x v="0"/>
    <s v="MTG"/>
    <x v="513"/>
    <n v="0.95570690805449054"/>
  </r>
  <r>
    <s v="30YrConformingConventional"/>
    <s v="Chase"/>
    <x v="0"/>
    <s v="MTG"/>
    <x v="514"/>
    <n v="0.98885673361693083"/>
  </r>
  <r>
    <s v="30YrConformingConventional"/>
    <s v="Chase"/>
    <x v="0"/>
    <s v="MTG"/>
    <x v="515"/>
    <n v="0.93303759941360254"/>
  </r>
  <r>
    <s v="30YrConformingConventional"/>
    <s v="Chase"/>
    <x v="0"/>
    <s v="MTG"/>
    <x v="516"/>
    <n v="0.96910073952033016"/>
  </r>
  <r>
    <s v="30YrConformingConventional"/>
    <s v="Chase"/>
    <x v="0"/>
    <s v="MTG"/>
    <x v="517"/>
    <n v="0.96958083473136225"/>
  </r>
  <r>
    <s v="30YrConformingConventional"/>
    <s v="Chase"/>
    <x v="0"/>
    <s v="MTG"/>
    <x v="518"/>
    <n v="0.97810447282390967"/>
  </r>
  <r>
    <s v="30YrConformingConventional"/>
    <s v="Chase"/>
    <x v="0"/>
    <s v="MTG"/>
    <x v="519"/>
    <n v="1.0157725883808497"/>
  </r>
  <r>
    <s v="30YrConformingConventional"/>
    <s v="Chase"/>
    <x v="0"/>
    <s v="MTG"/>
    <x v="520"/>
    <n v="0.9594566142051002"/>
  </r>
  <r>
    <s v="30YrConformingConventional"/>
    <s v="Chase"/>
    <x v="0"/>
    <s v="MTG"/>
    <x v="521"/>
    <n v="0.97840378678749063"/>
  </r>
  <r>
    <s v="30YrConformingConventional"/>
    <s v="Chase"/>
    <x v="0"/>
    <s v="MTG"/>
    <x v="522"/>
    <n v="0.96998229482250098"/>
  </r>
  <r>
    <s v="30YrConformingConventional"/>
    <s v="Chase"/>
    <x v="0"/>
    <s v="MTG"/>
    <x v="523"/>
    <n v="0.9786499289819065"/>
  </r>
  <r>
    <s v="30YrConformingConventional"/>
    <s v="Chase"/>
    <x v="0"/>
    <s v="MTG"/>
    <x v="524"/>
    <n v="0.9938075707588846"/>
  </r>
  <r>
    <s v="30YrConformingConventional"/>
    <s v="Chase"/>
    <x v="0"/>
    <s v="MTG"/>
    <x v="525"/>
    <n v="1.0129073281836849"/>
  </r>
  <r>
    <s v="30YrConformingConventional"/>
    <s v="Chase"/>
    <x v="0"/>
    <s v="MTG"/>
    <x v="526"/>
    <n v="0.94183343980294087"/>
  </r>
  <r>
    <s v="30YrConformingConventional"/>
    <s v="Chase"/>
    <x v="0"/>
    <s v="MTG"/>
    <x v="527"/>
    <n v="0.94855595531547077"/>
  </r>
  <r>
    <s v="30YrConformingConventional"/>
    <s v="Chase"/>
    <x v="0"/>
    <s v="MTG"/>
    <x v="528"/>
    <n v="1.0265346361770966"/>
  </r>
  <r>
    <s v="30YrConformingConventional"/>
    <s v="Chase"/>
    <x v="0"/>
    <s v="MTG"/>
    <x v="529"/>
    <n v="0.9601250941714663"/>
  </r>
  <r>
    <s v="30YrConformingConventional"/>
    <s v="Chase"/>
    <x v="0"/>
    <s v="MTG"/>
    <x v="530"/>
    <n v="0.96071749650751725"/>
  </r>
  <r>
    <s v="30YrConformingConventional"/>
    <s v="Chase"/>
    <x v="0"/>
    <s v="MTG"/>
    <x v="531"/>
    <n v="0.98404879973051151"/>
  </r>
  <r>
    <s v="30YrConformingConventional"/>
    <s v="Chase"/>
    <x v="0"/>
    <s v="MTG"/>
    <x v="532"/>
    <n v="1.0132801343971227"/>
  </r>
  <r>
    <s v="30YrConformingConventional"/>
    <s v="Chase"/>
    <x v="0"/>
    <s v="MTG"/>
    <x v="533"/>
    <n v="0.98924022133007261"/>
  </r>
  <r>
    <s v="30YrConformingConventional"/>
    <s v="Chase"/>
    <x v="0"/>
    <s v="MTG"/>
    <x v="534"/>
    <n v="0.94796270412173744"/>
  </r>
  <r>
    <s v="30YrConformingConventional"/>
    <s v="Chase"/>
    <x v="0"/>
    <s v="MTG"/>
    <x v="535"/>
    <n v="0.95515277142878763"/>
  </r>
  <r>
    <s v="30YrConformingConventional"/>
    <s v="Chase"/>
    <x v="0"/>
    <s v="MTG"/>
    <x v="536"/>
    <n v="0.98172836438258637"/>
  </r>
  <r>
    <s v="30YrConformingConventional"/>
    <s v="Chase"/>
    <x v="0"/>
    <s v="MTG"/>
    <x v="537"/>
    <n v="0.91128465632356637"/>
  </r>
  <r>
    <s v="30YrConformingConventional"/>
    <s v="Chase"/>
    <x v="0"/>
    <s v="MTG"/>
    <x v="538"/>
    <n v="1.0038150818737464"/>
  </r>
  <r>
    <s v="30YrConformingConventional"/>
    <s v="Chase"/>
    <x v="0"/>
    <s v="MTG"/>
    <x v="539"/>
    <n v="0.99683035354247229"/>
  </r>
  <r>
    <s v="30YrConformingConventional"/>
    <s v="Chase"/>
    <x v="0"/>
    <s v="MTG"/>
    <x v="540"/>
    <n v="1.0145958314159824"/>
  </r>
  <r>
    <s v="30YrConformingConventional"/>
    <s v="Chase"/>
    <x v="0"/>
    <s v="MTG"/>
    <x v="541"/>
    <n v="0.91089228910485387"/>
  </r>
  <r>
    <s v="30YrConformingConventional"/>
    <s v="Chase"/>
    <x v="0"/>
    <s v="MTG"/>
    <x v="542"/>
    <n v="1.0094511686433023"/>
  </r>
  <r>
    <s v="30YrConformingConventional"/>
    <s v="Chase"/>
    <x v="0"/>
    <s v="MTG"/>
    <x v="543"/>
    <n v="0.95202833486733651"/>
  </r>
  <r>
    <s v="30YrConformingConventional"/>
    <s v="Chase"/>
    <x v="0"/>
    <s v="MTG"/>
    <x v="544"/>
    <n v="0.98028301370717619"/>
  </r>
  <r>
    <s v="30YrConformingConventional"/>
    <s v="Chase"/>
    <x v="0"/>
    <s v="MTG"/>
    <x v="545"/>
    <n v="0.95590328795911239"/>
  </r>
  <r>
    <s v="30YrConformingConventional"/>
    <s v="Chase"/>
    <x v="0"/>
    <s v="MTG"/>
    <x v="546"/>
    <n v="0.93891253826107224"/>
  </r>
  <r>
    <s v="30YrConformingConventional"/>
    <s v="Chase"/>
    <x v="0"/>
    <s v="MTG"/>
    <x v="547"/>
    <n v="0.92700603364101597"/>
  </r>
  <r>
    <s v="30YrConformingConventional"/>
    <s v="Chase"/>
    <x v="0"/>
    <s v="MTG"/>
    <x v="548"/>
    <n v="0.93048410317254637"/>
  </r>
  <r>
    <s v="30YrConformingConventional"/>
    <s v="Chase"/>
    <x v="0"/>
    <s v="MTG"/>
    <x v="549"/>
    <n v="0.98100996373286231"/>
  </r>
  <r>
    <s v="30YrConformingConventional"/>
    <s v="Chase"/>
    <x v="0"/>
    <s v="MTG"/>
    <x v="550"/>
    <n v="0.94469364729824656"/>
  </r>
  <r>
    <s v="30YrConformingConventional"/>
    <s v="Chase"/>
    <x v="0"/>
    <s v="MTG"/>
    <x v="551"/>
    <n v="0.96194446682315649"/>
  </r>
  <r>
    <s v="30YrConformingConventional"/>
    <s v="Chase"/>
    <x v="0"/>
    <s v="MTG"/>
    <x v="552"/>
    <n v="1.0105628152382775"/>
  </r>
  <r>
    <s v="30YrConformingConventional"/>
    <s v="Chase"/>
    <x v="0"/>
    <s v="MTG"/>
    <x v="553"/>
    <n v="0.91475052028541159"/>
  </r>
  <r>
    <s v="30YrConformingConventional"/>
    <s v="Chase"/>
    <x v="0"/>
    <s v="MTG"/>
    <x v="554"/>
    <n v="0.96112145175385255"/>
  </r>
  <r>
    <s v="30YrConformingConventional"/>
    <s v="Chase"/>
    <x v="0"/>
    <s v="MTG"/>
    <x v="555"/>
    <n v="0.95579446526801237"/>
  </r>
  <r>
    <s v="30YrConformingConventional"/>
    <s v="Chase"/>
    <x v="0"/>
    <s v="MTG"/>
    <x v="556"/>
    <n v="0.93245745249080259"/>
  </r>
  <r>
    <s v="30YrConformingConventional"/>
    <s v="Chase"/>
    <x v="0"/>
    <s v="MTG"/>
    <x v="557"/>
    <n v="0.9533180001542827"/>
  </r>
  <r>
    <s v="30YrConformingConventional"/>
    <s v="Chase"/>
    <x v="0"/>
    <s v="MTG"/>
    <x v="558"/>
    <n v="0.97272827603718248"/>
  </r>
  <r>
    <s v="30YrConformingConventional"/>
    <s v="Chase"/>
    <x v="0"/>
    <s v="MTG"/>
    <x v="559"/>
    <n v="1.0010728679833725"/>
  </r>
  <r>
    <s v="30YrConformingConventional"/>
    <s v="Chase"/>
    <x v="0"/>
    <s v="MTG"/>
    <x v="560"/>
    <n v="1.0153063396217927"/>
  </r>
  <r>
    <s v="30YrConformingConventional"/>
    <s v="Chase"/>
    <x v="0"/>
    <s v="MTG"/>
    <x v="561"/>
    <n v="0.98944193816562287"/>
  </r>
  <r>
    <s v="30YrConformingConventional"/>
    <s v="Chase"/>
    <x v="0"/>
    <s v="MTG"/>
    <x v="562"/>
    <n v="0.94175664891645028"/>
  </r>
  <r>
    <s v="30YrConformingConventional"/>
    <s v="Chase"/>
    <x v="0"/>
    <s v="MTG"/>
    <x v="563"/>
    <n v="1.0249212925729925"/>
  </r>
  <r>
    <s v="30YrConformingConventional"/>
    <s v="Chase"/>
    <x v="0"/>
    <s v="MTG"/>
    <x v="564"/>
    <n v="1.0610687689345726"/>
  </r>
  <r>
    <s v="30YrConformingConventional"/>
    <s v="Chase"/>
    <x v="0"/>
    <s v="MTG"/>
    <x v="565"/>
    <n v="1.0375310786957324"/>
  </r>
  <r>
    <s v="30YrConformingConventional"/>
    <s v="Chase"/>
    <x v="0"/>
    <s v="MTG"/>
    <x v="566"/>
    <n v="1.0298912715803525"/>
  </r>
  <r>
    <s v="30YrConformingConventional"/>
    <s v="Chase"/>
    <x v="0"/>
    <s v="MTG"/>
    <x v="567"/>
    <n v="0.91758743436037016"/>
  </r>
  <r>
    <s v="30YrConformingConventional"/>
    <s v="Chase"/>
    <x v="0"/>
    <s v="MTG"/>
    <x v="568"/>
    <n v="0.93294410899122171"/>
  </r>
  <r>
    <s v="30YrConformingConventional"/>
    <s v="Chase"/>
    <x v="0"/>
    <s v="MTG"/>
    <x v="569"/>
    <n v="0.93566422217400169"/>
  </r>
  <r>
    <s v="30YrConformingConventional"/>
    <s v="Chase"/>
    <x v="0"/>
    <s v="MTG"/>
    <x v="570"/>
    <n v="0.93729784021121809"/>
  </r>
  <r>
    <s v="30YrConformingConventional"/>
    <s v="Chase"/>
    <x v="0"/>
    <s v="MTG"/>
    <x v="571"/>
    <n v="0.90492826902701318"/>
  </r>
  <r>
    <s v="30YrConformingConventional"/>
    <s v="Chase"/>
    <x v="0"/>
    <s v="MTG"/>
    <x v="572"/>
    <n v="0.94545813224549036"/>
  </r>
  <r>
    <s v="30YrConformingConventional"/>
    <s v="Chase"/>
    <x v="0"/>
    <s v="MTG"/>
    <x v="573"/>
    <n v="0.91961020314324027"/>
  </r>
  <r>
    <s v="30YrConformingConventional"/>
    <s v="Chase"/>
    <x v="0"/>
    <s v="MTG"/>
    <x v="574"/>
    <n v="0.95955825582141052"/>
  </r>
  <r>
    <s v="30YrConformingConventional"/>
    <s v="Chase"/>
    <x v="0"/>
    <s v="MTG"/>
    <x v="575"/>
    <n v="0.91572570734019287"/>
  </r>
  <r>
    <s v="30YrConformingConventional"/>
    <s v="Chase"/>
    <x v="0"/>
    <s v="MTG"/>
    <x v="576"/>
    <n v="0.91746992178663311"/>
  </r>
  <r>
    <s v="30YrConformingConventional"/>
    <s v="Chase"/>
    <x v="0"/>
    <s v="MTG"/>
    <x v="577"/>
    <n v="0.92390569932636335"/>
  </r>
  <r>
    <s v="30YrConformingConventional"/>
    <s v="Chase"/>
    <x v="0"/>
    <s v="MTG"/>
    <x v="578"/>
    <n v="0.93397497945049801"/>
  </r>
  <r>
    <s v="30YrConformingConventional"/>
    <s v="Chase"/>
    <x v="0"/>
    <s v="MTG"/>
    <x v="579"/>
    <n v="0.91194748226964062"/>
  </r>
  <r>
    <s v="30YrConformingConventional"/>
    <s v="Chase"/>
    <x v="0"/>
    <s v="MTG"/>
    <x v="580"/>
    <n v="0.93510531171338185"/>
  </r>
  <r>
    <s v="30YrConformingConventional"/>
    <s v="Chase"/>
    <x v="0"/>
    <s v="MTG"/>
    <x v="581"/>
    <n v="0.92537480241981496"/>
  </r>
  <r>
    <s v="30YrConformingConventional"/>
    <s v="Chase"/>
    <x v="0"/>
    <s v="MTG"/>
    <x v="582"/>
    <n v="0.91571304632488237"/>
  </r>
  <r>
    <s v="30YrConformingConventional"/>
    <s v="Chase"/>
    <x v="0"/>
    <s v="MTG"/>
    <x v="583"/>
    <n v="0.86446683333588281"/>
  </r>
  <r>
    <s v="30YrConformingConventional"/>
    <s v="Chase"/>
    <x v="0"/>
    <s v="MTG"/>
    <x v="584"/>
    <n v="0.91474860150599391"/>
  </r>
  <r>
    <s v="30YrConformingConventional"/>
    <s v="Chase"/>
    <x v="0"/>
    <s v="MTG"/>
    <x v="585"/>
    <n v="0.86284659179398371"/>
  </r>
  <r>
    <s v="30YrConformingConventional"/>
    <s v="Chase"/>
    <x v="0"/>
    <s v="MTG"/>
    <x v="586"/>
    <n v="0.88708194950794417"/>
  </r>
  <r>
    <s v="30YrConformingConventional"/>
    <s v="Chase"/>
    <x v="0"/>
    <s v="MTG"/>
    <x v="587"/>
    <n v="0.89972145549574378"/>
  </r>
  <r>
    <s v="30YrConformingConventional"/>
    <s v="Chase"/>
    <x v="0"/>
    <s v="MTG"/>
    <x v="588"/>
    <n v="0.9541115891197417"/>
  </r>
  <r>
    <s v="30YrConformingConventional"/>
    <s v="Chase"/>
    <x v="0"/>
    <s v="MTG"/>
    <x v="589"/>
    <n v="0.93552816099492164"/>
  </r>
  <r>
    <s v="30YrConformingConventional"/>
    <s v="Chase"/>
    <x v="0"/>
    <s v="MTG"/>
    <x v="590"/>
    <n v="0.88964165069199475"/>
  </r>
  <r>
    <s v="30YrConformingConventional"/>
    <s v="Chase"/>
    <x v="0"/>
    <s v="MTG"/>
    <x v="591"/>
    <n v="0.93372421606049238"/>
  </r>
  <r>
    <s v="30YrConformingConventional"/>
    <s v="Chase"/>
    <x v="0"/>
    <s v="MTG"/>
    <x v="592"/>
    <n v="0.93489859853675483"/>
  </r>
  <r>
    <s v="30YrConformingConventional"/>
    <s v="Chase"/>
    <x v="0"/>
    <s v="MTG"/>
    <x v="593"/>
    <n v="0.93299872343720514"/>
  </r>
  <r>
    <s v="30YrConformingConventional"/>
    <s v="Chase"/>
    <x v="0"/>
    <s v="MTG"/>
    <x v="594"/>
    <n v="0.9329546012586718"/>
  </r>
  <r>
    <s v="30YrConformingConventional"/>
    <s v="Chase"/>
    <x v="0"/>
    <s v="MTG"/>
    <x v="595"/>
    <n v="0.85857336952155294"/>
  </r>
  <r>
    <s v="30YrConformingConventional"/>
    <s v="Chase"/>
    <x v="0"/>
    <s v="MTG"/>
    <x v="596"/>
    <n v="0.82038673553830044"/>
  </r>
  <r>
    <s v="30YrConformingConventional"/>
    <s v="Chase"/>
    <x v="0"/>
    <s v="MTG"/>
    <x v="597"/>
    <n v="0.9353498917794949"/>
  </r>
  <r>
    <s v="30YrConformingConventional"/>
    <s v="Chase"/>
    <x v="0"/>
    <s v="MTG"/>
    <x v="598"/>
    <n v="0.84871412280858005"/>
  </r>
  <r>
    <s v="30YrConformingConventional"/>
    <s v="Chase"/>
    <x v="0"/>
    <s v="MTG"/>
    <x v="599"/>
    <n v="0.90151564045570165"/>
  </r>
  <r>
    <s v="30YrConformingConventional"/>
    <s v="Chase"/>
    <x v="0"/>
    <s v="MTG"/>
    <x v="600"/>
    <n v="0.86616492425104008"/>
  </r>
  <r>
    <s v="30YrConformingConventional"/>
    <s v="Chase"/>
    <x v="0"/>
    <s v="MTG"/>
    <x v="601"/>
    <n v="0.90217440772848057"/>
  </r>
  <r>
    <s v="30YrConformingConventional"/>
    <s v="Chase"/>
    <x v="0"/>
    <s v="MTG"/>
    <x v="602"/>
    <n v="0.86464081525361269"/>
  </r>
  <r>
    <s v="30YrConformingConventional"/>
    <s v="Chase"/>
    <x v="0"/>
    <s v="MTG"/>
    <x v="603"/>
    <n v="0.92360569833772477"/>
  </r>
  <r>
    <s v="30YrConformingConventional"/>
    <s v="Chase"/>
    <x v="0"/>
    <s v="MTG"/>
    <x v="604"/>
    <n v="0.86555409119901294"/>
  </r>
  <r>
    <s v="30YrConformingConventional"/>
    <s v="Chase"/>
    <x v="0"/>
    <s v="MTG"/>
    <x v="605"/>
    <n v="0.90884062749437067"/>
  </r>
  <r>
    <s v="30YrConformingConventional"/>
    <s v="Chase"/>
    <x v="0"/>
    <s v="MTG"/>
    <x v="606"/>
    <n v="0.85921725928084292"/>
  </r>
  <r>
    <s v="30YrConformingConventional"/>
    <s v="Chase"/>
    <x v="0"/>
    <s v="MTG"/>
    <x v="607"/>
    <n v="0.92772102284751501"/>
  </r>
  <r>
    <s v="30YrConformingConventional"/>
    <s v="Chase"/>
    <x v="0"/>
    <s v="MTG"/>
    <x v="608"/>
    <n v="0.90671376438364315"/>
  </r>
  <r>
    <s v="30YrConformingConventional"/>
    <s v="Chase"/>
    <x v="0"/>
    <s v="MTG"/>
    <x v="609"/>
    <n v="0.92574878387954795"/>
  </r>
  <r>
    <s v="30YrConformingConventional"/>
    <s v="Chase"/>
    <x v="0"/>
    <s v="MTG"/>
    <x v="610"/>
    <n v="0.91364077671558797"/>
  </r>
  <r>
    <s v="30YrConformingConventional"/>
    <s v="Chase"/>
    <x v="0"/>
    <s v="MTG"/>
    <x v="611"/>
    <n v="0.90303358084784024"/>
  </r>
  <r>
    <s v="30YrConformingConventional"/>
    <s v="Chase"/>
    <x v="0"/>
    <s v="MTG"/>
    <x v="612"/>
    <n v="0.93924509725709027"/>
  </r>
  <r>
    <s v="30YrConformingConventional"/>
    <s v="Chase"/>
    <x v="0"/>
    <s v="MTG"/>
    <x v="613"/>
    <n v="0.93366214025707339"/>
  </r>
  <r>
    <s v="30YrConformingConventional"/>
    <s v="Chase"/>
    <x v="0"/>
    <s v="MTG"/>
    <x v="614"/>
    <n v="0.92767669686831811"/>
  </r>
  <r>
    <s v="30YrConformingConventional"/>
    <s v="Chase"/>
    <x v="0"/>
    <s v="MTG"/>
    <x v="615"/>
    <n v="0.90854377177163292"/>
  </r>
  <r>
    <s v="30YrConformingConventional"/>
    <s v="Chase"/>
    <x v="0"/>
    <s v="MTG"/>
    <x v="616"/>
    <n v="0.9450283538796681"/>
  </r>
  <r>
    <s v="30YrConformingConventional"/>
    <s v="Chase"/>
    <x v="0"/>
    <s v="MTG"/>
    <x v="617"/>
    <n v="0.93116167994460808"/>
  </r>
  <r>
    <s v="30YrConformingConventional"/>
    <s v="Chase"/>
    <x v="0"/>
    <s v="MTG"/>
    <x v="618"/>
    <n v="0.957885648273888"/>
  </r>
  <r>
    <s v="30YrConformingConventional"/>
    <s v="Chase"/>
    <x v="0"/>
    <s v="MTG"/>
    <x v="619"/>
    <n v="0.93692155954204948"/>
  </r>
  <r>
    <s v="30YrConformingConventional"/>
    <s v="Chase"/>
    <x v="0"/>
    <s v="MTG"/>
    <x v="620"/>
    <n v="0.88877121498013956"/>
  </r>
  <r>
    <s v="30YrConformingConventional"/>
    <s v="Chase"/>
    <x v="0"/>
    <s v="MTG"/>
    <x v="621"/>
    <n v="0.90669859653999441"/>
  </r>
  <r>
    <s v="30YrConformingConventional"/>
    <s v="Chase"/>
    <x v="0"/>
    <s v="MTG"/>
    <x v="622"/>
    <n v="0.93159202639176464"/>
  </r>
  <r>
    <s v="30YrConformingConventional"/>
    <s v="Chase"/>
    <x v="0"/>
    <s v="MTG"/>
    <x v="623"/>
    <n v="0.86855497897707978"/>
  </r>
  <r>
    <s v="30YrConformingConventional"/>
    <s v="Chase"/>
    <x v="0"/>
    <s v="MTG"/>
    <x v="624"/>
    <n v="0.95048220184418963"/>
  </r>
  <r>
    <s v="30YrConformingConventional"/>
    <s v="Chase"/>
    <x v="0"/>
    <s v="MTG"/>
    <x v="625"/>
    <n v="0.87560762763498123"/>
  </r>
  <r>
    <s v="30YrConformingConventional"/>
    <s v="Chase"/>
    <x v="0"/>
    <s v="MTG"/>
    <x v="626"/>
    <n v="0.92000512564134151"/>
  </r>
  <r>
    <s v="30YrConformingConventional"/>
    <s v="Chase"/>
    <x v="0"/>
    <s v="MTG"/>
    <x v="627"/>
    <n v="0.91723533403729773"/>
  </r>
  <r>
    <s v="30YrConformingConventional"/>
    <s v="Chase"/>
    <x v="0"/>
    <s v="MTG"/>
    <x v="628"/>
    <n v="0.88572489311012947"/>
  </r>
  <r>
    <s v="30YrConformingConventional"/>
    <s v="Chase"/>
    <x v="0"/>
    <s v="MTG"/>
    <x v="629"/>
    <n v="0.89168359653008444"/>
  </r>
  <r>
    <s v="30YrConformingConventional"/>
    <s v="Chase"/>
    <x v="0"/>
    <s v="MTG"/>
    <x v="630"/>
    <n v="0.87626523340473406"/>
  </r>
  <r>
    <s v="30YrConformingConventional"/>
    <s v="Chase"/>
    <x v="0"/>
    <s v="MTG"/>
    <x v="631"/>
    <n v="0.90736862163168885"/>
  </r>
  <r>
    <s v="30YrConformingConventional"/>
    <s v="Chase"/>
    <x v="0"/>
    <s v="MTG"/>
    <x v="632"/>
    <n v="0.9019041982454189"/>
  </r>
  <r>
    <s v="30YrConformingConventional"/>
    <s v="Chase"/>
    <x v="0"/>
    <s v="MTG"/>
    <x v="633"/>
    <n v="0.90682026534234794"/>
  </r>
  <r>
    <s v="30YrConformingConventional"/>
    <s v="Chase"/>
    <x v="0"/>
    <s v="MTG"/>
    <x v="634"/>
    <n v="0.90812346720283288"/>
  </r>
  <r>
    <s v="30YrConformingConventional"/>
    <s v="Chase"/>
    <x v="0"/>
    <s v="MTG"/>
    <x v="635"/>
    <n v="0.87254268607226304"/>
  </r>
  <r>
    <s v="30YrConformingConventional"/>
    <s v="Chase"/>
    <x v="0"/>
    <s v="MTG"/>
    <x v="636"/>
    <n v="0.87416377519920307"/>
  </r>
  <r>
    <s v="30YrConformingConventional"/>
    <s v="Chase"/>
    <x v="0"/>
    <s v="MTG"/>
    <x v="637"/>
    <n v="0.88840886214749326"/>
  </r>
  <r>
    <s v="30YrConformingConventional"/>
    <s v="Chase"/>
    <x v="0"/>
    <s v="MTG"/>
    <x v="638"/>
    <n v="0.92843044177526279"/>
  </r>
  <r>
    <s v="30YrConformingConventional"/>
    <s v="Chase"/>
    <x v="0"/>
    <s v="MTG"/>
    <x v="639"/>
    <n v="0.9248450153399479"/>
  </r>
  <r>
    <s v="30YrConformingConventional"/>
    <s v="Chase"/>
    <x v="0"/>
    <s v="MTG"/>
    <x v="640"/>
    <n v="0.85919201407576307"/>
  </r>
  <r>
    <s v="30YrConformingConventional"/>
    <s v="Chase"/>
    <x v="0"/>
    <s v="MTG"/>
    <x v="641"/>
    <n v="0.90363083092137031"/>
  </r>
  <r>
    <s v="30YrConformingConventional"/>
    <s v="Chase"/>
    <x v="0"/>
    <s v="MTG"/>
    <x v="642"/>
    <n v="0.8894235200130749"/>
  </r>
  <r>
    <s v="30YrConformingConventional"/>
    <s v="Chase"/>
    <x v="0"/>
    <s v="MTG"/>
    <x v="643"/>
    <n v="0.88479228362694018"/>
  </r>
  <r>
    <s v="30YrConformingConventional"/>
    <s v="Quicken"/>
    <x v="0"/>
    <s v="MTG"/>
    <x v="0"/>
    <n v="1.4380197325194559"/>
  </r>
  <r>
    <s v="30YrConformingConventional"/>
    <s v="Quicken"/>
    <x v="0"/>
    <s v="MTG"/>
    <x v="1"/>
    <n v="1.4480315377515394"/>
  </r>
  <r>
    <s v="30YrConformingConventional"/>
    <s v="Quicken"/>
    <x v="0"/>
    <s v="MTG"/>
    <x v="2"/>
    <n v="1.4566536855283092"/>
  </r>
  <r>
    <s v="30YrConformingConventional"/>
    <s v="Quicken"/>
    <x v="0"/>
    <s v="MTG"/>
    <x v="3"/>
    <n v="1.4264489588822669"/>
  </r>
  <r>
    <s v="30YrConformingConventional"/>
    <s v="Quicken"/>
    <x v="0"/>
    <s v="MTG"/>
    <x v="4"/>
    <n v="1.4952818872147542"/>
  </r>
  <r>
    <s v="30YrConformingConventional"/>
    <s v="Quicken"/>
    <x v="0"/>
    <s v="MTG"/>
    <x v="5"/>
    <n v="1.4900890106520488"/>
  </r>
  <r>
    <s v="30YrConformingConventional"/>
    <s v="Quicken"/>
    <x v="0"/>
    <s v="MTG"/>
    <x v="6"/>
    <n v="1.4765235270090056"/>
  </r>
  <r>
    <s v="30YrConformingConventional"/>
    <s v="Quicken"/>
    <x v="0"/>
    <s v="MTG"/>
    <x v="7"/>
    <n v="1.458400562294766"/>
  </r>
  <r>
    <s v="30YrConformingConventional"/>
    <s v="Quicken"/>
    <x v="0"/>
    <s v="MTG"/>
    <x v="8"/>
    <n v="1.4728530811846257"/>
  </r>
  <r>
    <s v="30YrConformingConventional"/>
    <s v="Quicken"/>
    <x v="0"/>
    <s v="MTG"/>
    <x v="9"/>
    <n v="1.4480384086770592"/>
  </r>
  <r>
    <s v="30YrConformingConventional"/>
    <s v="Quicken"/>
    <x v="0"/>
    <s v="MTG"/>
    <x v="10"/>
    <n v="1.4763786632440858"/>
  </r>
  <r>
    <s v="30YrConformingConventional"/>
    <s v="Quicken"/>
    <x v="0"/>
    <s v="MTG"/>
    <x v="11"/>
    <n v="1.4236442001834584"/>
  </r>
  <r>
    <s v="30YrConformingConventional"/>
    <s v="Quicken"/>
    <x v="0"/>
    <s v="MTG"/>
    <x v="12"/>
    <n v="1.4069365395175983"/>
  </r>
  <r>
    <s v="30YrConformingConventional"/>
    <s v="Quicken"/>
    <x v="0"/>
    <s v="MTG"/>
    <x v="13"/>
    <n v="1.4771625368674803"/>
  </r>
  <r>
    <s v="30YrConformingConventional"/>
    <s v="Quicken"/>
    <x v="0"/>
    <s v="MTG"/>
    <x v="14"/>
    <n v="1.4589836252872179"/>
  </r>
  <r>
    <s v="30YrConformingConventional"/>
    <s v="Quicken"/>
    <x v="0"/>
    <s v="MTG"/>
    <x v="15"/>
    <n v="1.4741399466234748"/>
  </r>
  <r>
    <s v="30YrConformingConventional"/>
    <s v="Quicken"/>
    <x v="0"/>
    <s v="MTG"/>
    <x v="16"/>
    <n v="1.4523237072335584"/>
  </r>
  <r>
    <s v="30YrConformingConventional"/>
    <s v="Quicken"/>
    <x v="0"/>
    <s v="MTG"/>
    <x v="17"/>
    <n v="1.4909513151017189"/>
  </r>
  <r>
    <s v="30YrConformingConventional"/>
    <s v="Quicken"/>
    <x v="0"/>
    <s v="MTG"/>
    <x v="18"/>
    <n v="1.4848898228908918"/>
  </r>
  <r>
    <s v="30YrConformingConventional"/>
    <s v="Quicken"/>
    <x v="0"/>
    <s v="MTG"/>
    <x v="19"/>
    <n v="1.4877516387472818"/>
  </r>
  <r>
    <s v="30YrConformingConventional"/>
    <s v="Quicken"/>
    <x v="0"/>
    <s v="MTG"/>
    <x v="20"/>
    <n v="1.48790031413224"/>
  </r>
  <r>
    <s v="30YrConformingConventional"/>
    <s v="Quicken"/>
    <x v="0"/>
    <s v="MTG"/>
    <x v="21"/>
    <n v="1.4551138540801207"/>
  </r>
  <r>
    <s v="30YrConformingConventional"/>
    <s v="Quicken"/>
    <x v="0"/>
    <s v="MTG"/>
    <x v="22"/>
    <n v="1.4030969614698008"/>
  </r>
  <r>
    <s v="30YrConformingConventional"/>
    <s v="Quicken"/>
    <x v="0"/>
    <s v="MTG"/>
    <x v="23"/>
    <n v="1.5264927540743496"/>
  </r>
  <r>
    <s v="30YrConformingConventional"/>
    <s v="Quicken"/>
    <x v="0"/>
    <s v="MTG"/>
    <x v="24"/>
    <n v="1.4834640718696397"/>
  </r>
  <r>
    <s v="30YrConformingConventional"/>
    <s v="Quicken"/>
    <x v="0"/>
    <s v="MTG"/>
    <x v="25"/>
    <n v="1.4877106444003581"/>
  </r>
  <r>
    <s v="30YrConformingConventional"/>
    <s v="Quicken"/>
    <x v="0"/>
    <s v="MTG"/>
    <x v="26"/>
    <n v="1.4636651505186651"/>
  </r>
  <r>
    <s v="30YrConformingConventional"/>
    <s v="Quicken"/>
    <x v="0"/>
    <s v="MTG"/>
    <x v="27"/>
    <n v="1.4688348248507781"/>
  </r>
  <r>
    <s v="30YrConformingConventional"/>
    <s v="Quicken"/>
    <x v="0"/>
    <s v="MTG"/>
    <x v="28"/>
    <n v="1.4794738390900448"/>
  </r>
  <r>
    <s v="30YrConformingConventional"/>
    <s v="Quicken"/>
    <x v="0"/>
    <s v="MTG"/>
    <x v="29"/>
    <n v="1.4426462117529448"/>
  </r>
  <r>
    <s v="30YrConformingConventional"/>
    <s v="Quicken"/>
    <x v="0"/>
    <s v="MTG"/>
    <x v="30"/>
    <n v="1.4880251513383613"/>
  </r>
  <r>
    <s v="30YrConformingConventional"/>
    <s v="Quicken"/>
    <x v="0"/>
    <s v="MTG"/>
    <x v="31"/>
    <n v="1.5001903340299612"/>
  </r>
  <r>
    <s v="30YrConformingConventional"/>
    <s v="Quicken"/>
    <x v="0"/>
    <s v="MTG"/>
    <x v="32"/>
    <n v="1.5089809768010016"/>
  </r>
  <r>
    <s v="30YrConformingConventional"/>
    <s v="Quicken"/>
    <x v="0"/>
    <s v="MTG"/>
    <x v="33"/>
    <n v="1.5177634981419812"/>
  </r>
  <r>
    <s v="30YrConformingConventional"/>
    <s v="Quicken"/>
    <x v="0"/>
    <s v="MTG"/>
    <x v="34"/>
    <n v="1.4862947015294912"/>
  </r>
  <r>
    <s v="30YrConformingConventional"/>
    <s v="Quicken"/>
    <x v="0"/>
    <s v="MTG"/>
    <x v="35"/>
    <n v="1.4948600955250895"/>
  </r>
  <r>
    <s v="30YrConformingConventional"/>
    <s v="Quicken"/>
    <x v="0"/>
    <s v="MTG"/>
    <x v="36"/>
    <n v="1.4715419878752252"/>
  </r>
  <r>
    <s v="30YrConformingConventional"/>
    <s v="Quicken"/>
    <x v="0"/>
    <s v="MTG"/>
    <x v="37"/>
    <n v="1.4276990806405148"/>
  </r>
  <r>
    <s v="30YrConformingConventional"/>
    <s v="Quicken"/>
    <x v="0"/>
    <s v="MTG"/>
    <x v="38"/>
    <n v="1.4544274444006151"/>
  </r>
  <r>
    <s v="30YrConformingConventional"/>
    <s v="Quicken"/>
    <x v="0"/>
    <s v="MTG"/>
    <x v="39"/>
    <n v="1.4106457790517211"/>
  </r>
  <r>
    <s v="30YrConformingConventional"/>
    <s v="Quicken"/>
    <x v="0"/>
    <s v="MTG"/>
    <x v="40"/>
    <n v="1.4173516486483277"/>
  </r>
  <r>
    <s v="30YrConformingConventional"/>
    <s v="Quicken"/>
    <x v="0"/>
    <s v="MTG"/>
    <x v="41"/>
    <n v="1.5254738009914262"/>
  </r>
  <r>
    <s v="30YrConformingConventional"/>
    <s v="Quicken"/>
    <x v="0"/>
    <s v="MTG"/>
    <x v="42"/>
    <n v="1.524204949581796"/>
  </r>
  <r>
    <s v="30YrConformingConventional"/>
    <s v="Quicken"/>
    <x v="0"/>
    <s v="MTG"/>
    <x v="43"/>
    <n v="1.4365404683160585"/>
  </r>
  <r>
    <s v="30YrConformingConventional"/>
    <s v="Quicken"/>
    <x v="0"/>
    <s v="MTG"/>
    <x v="44"/>
    <n v="1.4305392548903291"/>
  </r>
  <r>
    <s v="30YrConformingConventional"/>
    <s v="Quicken"/>
    <x v="0"/>
    <s v="MTG"/>
    <x v="45"/>
    <n v="1.4607908720241185"/>
  </r>
  <r>
    <s v="30YrConformingConventional"/>
    <s v="Quicken"/>
    <x v="0"/>
    <s v="MTG"/>
    <x v="46"/>
    <n v="1.3762246496753616"/>
  </r>
  <r>
    <s v="30YrConformingConventional"/>
    <s v="Quicken"/>
    <x v="0"/>
    <s v="MTG"/>
    <x v="47"/>
    <n v="1.4629404881689234"/>
  </r>
  <r>
    <s v="30YrConformingConventional"/>
    <s v="Quicken"/>
    <x v="0"/>
    <s v="MTG"/>
    <x v="48"/>
    <n v="1.462111979295476"/>
  </r>
  <r>
    <s v="30YrConformingConventional"/>
    <s v="Quicken"/>
    <x v="0"/>
    <s v="MTG"/>
    <x v="49"/>
    <n v="1.4047368657845636"/>
  </r>
  <r>
    <s v="30YrConformingConventional"/>
    <s v="Quicken"/>
    <x v="0"/>
    <s v="MTG"/>
    <x v="50"/>
    <n v="1.4204762246717666"/>
  </r>
  <r>
    <s v="30YrConformingConventional"/>
    <s v="Quicken"/>
    <x v="0"/>
    <s v="MTG"/>
    <x v="51"/>
    <n v="1.3661091909397234"/>
  </r>
  <r>
    <s v="30YrConformingConventional"/>
    <s v="Quicken"/>
    <x v="0"/>
    <s v="MTG"/>
    <x v="52"/>
    <n v="1.4498754209908069"/>
  </r>
  <r>
    <s v="30YrConformingConventional"/>
    <s v="Quicken"/>
    <x v="0"/>
    <s v="MTG"/>
    <x v="53"/>
    <n v="1.5101226484185784"/>
  </r>
  <r>
    <s v="30YrConformingConventional"/>
    <s v="Quicken"/>
    <x v="0"/>
    <s v="MTG"/>
    <x v="54"/>
    <n v="1.4758689309019548"/>
  </r>
  <r>
    <s v="30YrConformingConventional"/>
    <s v="Quicken"/>
    <x v="0"/>
    <s v="MTG"/>
    <x v="55"/>
    <n v="1.4353176144054771"/>
  </r>
  <r>
    <s v="30YrConformingConventional"/>
    <s v="Quicken"/>
    <x v="0"/>
    <s v="MTG"/>
    <x v="56"/>
    <n v="1.4144561297019835"/>
  </r>
  <r>
    <s v="30YrConformingConventional"/>
    <s v="Quicken"/>
    <x v="0"/>
    <s v="MTG"/>
    <x v="57"/>
    <n v="1.4647424126284332"/>
  </r>
  <r>
    <s v="30YrConformingConventional"/>
    <s v="Quicken"/>
    <x v="0"/>
    <s v="MTG"/>
    <x v="58"/>
    <n v="1.4740278458662346"/>
  </r>
  <r>
    <s v="30YrConformingConventional"/>
    <s v="Quicken"/>
    <x v="0"/>
    <s v="MTG"/>
    <x v="59"/>
    <n v="1.5474389721311044"/>
  </r>
  <r>
    <s v="30YrConformingConventional"/>
    <s v="Quicken"/>
    <x v="0"/>
    <s v="MTG"/>
    <x v="60"/>
    <n v="1.4903728139659185"/>
  </r>
  <r>
    <s v="30YrConformingConventional"/>
    <s v="Quicken"/>
    <x v="0"/>
    <s v="MTG"/>
    <x v="61"/>
    <n v="1.4950721322413687"/>
  </r>
  <r>
    <s v="30YrConformingConventional"/>
    <s v="Quicken"/>
    <x v="0"/>
    <s v="MTG"/>
    <x v="62"/>
    <n v="1.4917998878905758"/>
  </r>
  <r>
    <s v="30YrConformingConventional"/>
    <s v="Quicken"/>
    <x v="0"/>
    <s v="MTG"/>
    <x v="63"/>
    <n v="1.5304654078377482"/>
  </r>
  <r>
    <s v="30YrConformingConventional"/>
    <s v="Quicken"/>
    <x v="0"/>
    <s v="MTG"/>
    <x v="64"/>
    <n v="1.456538551931688"/>
  </r>
  <r>
    <s v="30YrConformingConventional"/>
    <s v="Quicken"/>
    <x v="0"/>
    <s v="MTG"/>
    <x v="65"/>
    <n v="1.4471775794060073"/>
  </r>
  <r>
    <s v="30YrConformingConventional"/>
    <s v="Quicken"/>
    <x v="0"/>
    <s v="MTG"/>
    <x v="66"/>
    <n v="1.4843967805660399"/>
  </r>
  <r>
    <s v="30YrConformingConventional"/>
    <s v="Quicken"/>
    <x v="0"/>
    <s v="MTG"/>
    <x v="67"/>
    <n v="1.4548494506448555"/>
  </r>
  <r>
    <s v="30YrConformingConventional"/>
    <s v="Quicken"/>
    <x v="0"/>
    <s v="MTG"/>
    <x v="68"/>
    <n v="1.4881603042196454"/>
  </r>
  <r>
    <s v="30YrConformingConventional"/>
    <s v="Quicken"/>
    <x v="0"/>
    <s v="MTG"/>
    <x v="69"/>
    <n v="1.4440887961320856"/>
  </r>
  <r>
    <s v="30YrConformingConventional"/>
    <s v="Quicken"/>
    <x v="0"/>
    <s v="MTG"/>
    <x v="70"/>
    <n v="1.4075287501712803"/>
  </r>
  <r>
    <s v="30YrConformingConventional"/>
    <s v="Quicken"/>
    <x v="0"/>
    <s v="MTG"/>
    <x v="71"/>
    <n v="1.4972730625516655"/>
  </r>
  <r>
    <s v="30YrConformingConventional"/>
    <s v="Quicken"/>
    <x v="0"/>
    <s v="MTG"/>
    <x v="72"/>
    <n v="1.4498207626518271"/>
  </r>
  <r>
    <s v="30YrConformingConventional"/>
    <s v="Quicken"/>
    <x v="0"/>
    <s v="MTG"/>
    <x v="73"/>
    <n v="1.4252231382307401"/>
  </r>
  <r>
    <s v="30YrConformingConventional"/>
    <s v="Quicken"/>
    <x v="0"/>
    <s v="MTG"/>
    <x v="74"/>
    <n v="1.4880206003686269"/>
  </r>
  <r>
    <s v="30YrConformingConventional"/>
    <s v="Quicken"/>
    <x v="0"/>
    <s v="MTG"/>
    <x v="75"/>
    <n v="1.5095993663904568"/>
  </r>
  <r>
    <s v="30YrConformingConventional"/>
    <s v="Quicken"/>
    <x v="0"/>
    <s v="MTG"/>
    <x v="76"/>
    <n v="1.4663819561525822"/>
  </r>
  <r>
    <s v="30YrConformingConventional"/>
    <s v="Quicken"/>
    <x v="0"/>
    <s v="MTG"/>
    <x v="77"/>
    <n v="1.467421874783301"/>
  </r>
  <r>
    <s v="30YrConformingConventional"/>
    <s v="Quicken"/>
    <x v="0"/>
    <s v="MTG"/>
    <x v="78"/>
    <n v="1.4021636048641268"/>
  </r>
  <r>
    <s v="30YrConformingConventional"/>
    <s v="Quicken"/>
    <x v="0"/>
    <s v="MTG"/>
    <x v="79"/>
    <n v="1.3996874898998775"/>
  </r>
  <r>
    <s v="30YrConformingConventional"/>
    <s v="Quicken"/>
    <x v="0"/>
    <s v="MTG"/>
    <x v="80"/>
    <n v="1.430331400554647"/>
  </r>
  <r>
    <s v="30YrConformingConventional"/>
    <s v="Quicken"/>
    <x v="0"/>
    <s v="MTG"/>
    <x v="81"/>
    <n v="1.4056997034252172"/>
  </r>
  <r>
    <s v="30YrConformingConventional"/>
    <s v="Quicken"/>
    <x v="0"/>
    <s v="MTG"/>
    <x v="82"/>
    <n v="1.3826046317307703"/>
  </r>
  <r>
    <s v="30YrConformingConventional"/>
    <s v="Quicken"/>
    <x v="0"/>
    <s v="MTG"/>
    <x v="83"/>
    <n v="1.4364050910114474"/>
  </r>
  <r>
    <s v="30YrConformingConventional"/>
    <s v="Quicken"/>
    <x v="0"/>
    <s v="MTG"/>
    <x v="84"/>
    <n v="1.4483115676875973"/>
  </r>
  <r>
    <s v="30YrConformingConventional"/>
    <s v="Quicken"/>
    <x v="0"/>
    <s v="MTG"/>
    <x v="85"/>
    <n v="1.4221081738015604"/>
  </r>
  <r>
    <s v="30YrConformingConventional"/>
    <s v="Quicken"/>
    <x v="0"/>
    <s v="MTG"/>
    <x v="86"/>
    <n v="1.3886466132010673"/>
  </r>
  <r>
    <s v="30YrConformingConventional"/>
    <s v="Quicken"/>
    <x v="0"/>
    <s v="MTG"/>
    <x v="87"/>
    <n v="1.5324256561702054"/>
  </r>
  <r>
    <s v="30YrConformingConventional"/>
    <s v="Quicken"/>
    <x v="0"/>
    <s v="MTG"/>
    <x v="88"/>
    <n v="1.5033319569337917"/>
  </r>
  <r>
    <s v="30YrConformingConventional"/>
    <s v="Quicken"/>
    <x v="0"/>
    <s v="MTG"/>
    <x v="89"/>
    <n v="1.5626154943854269"/>
  </r>
  <r>
    <s v="30YrConformingConventional"/>
    <s v="Quicken"/>
    <x v="0"/>
    <s v="MTG"/>
    <x v="90"/>
    <n v="1.5758798084377967"/>
  </r>
  <r>
    <s v="30YrConformingConventional"/>
    <s v="Quicken"/>
    <x v="0"/>
    <s v="MTG"/>
    <x v="91"/>
    <n v="1.4924131272430072"/>
  </r>
  <r>
    <s v="30YrConformingConventional"/>
    <s v="Quicken"/>
    <x v="0"/>
    <s v="MTG"/>
    <x v="92"/>
    <n v="1.4792233270269517"/>
  </r>
  <r>
    <s v="30YrConformingConventional"/>
    <s v="Quicken"/>
    <x v="0"/>
    <s v="MTG"/>
    <x v="93"/>
    <n v="1.4566586050220325"/>
  </r>
  <r>
    <s v="30YrConformingConventional"/>
    <s v="Quicken"/>
    <x v="0"/>
    <s v="MTG"/>
    <x v="94"/>
    <n v="1.5483643137247298"/>
  </r>
  <r>
    <s v="30YrConformingConventional"/>
    <s v="Quicken"/>
    <x v="0"/>
    <s v="MTG"/>
    <x v="95"/>
    <n v="1.4947782656127222"/>
  </r>
  <r>
    <s v="30YrConformingConventional"/>
    <s v="Quicken"/>
    <x v="0"/>
    <s v="MTG"/>
    <x v="96"/>
    <n v="1.4736088385134953"/>
  </r>
  <r>
    <s v="30YrConformingConventional"/>
    <s v="Quicken"/>
    <x v="0"/>
    <s v="MTG"/>
    <x v="97"/>
    <n v="1.5318206661209262"/>
  </r>
  <r>
    <s v="30YrConformingConventional"/>
    <s v="Quicken"/>
    <x v="0"/>
    <s v="MTG"/>
    <x v="98"/>
    <n v="1.5897431671584479"/>
  </r>
  <r>
    <s v="30YrConformingConventional"/>
    <s v="Quicken"/>
    <x v="0"/>
    <s v="MTG"/>
    <x v="99"/>
    <n v="1.5862801648354699"/>
  </r>
  <r>
    <s v="30YrConformingConventional"/>
    <s v="Quicken"/>
    <x v="0"/>
    <s v="MTG"/>
    <x v="100"/>
    <n v="1.6406557497822147"/>
  </r>
  <r>
    <s v="30YrConformingConventional"/>
    <s v="Quicken"/>
    <x v="0"/>
    <s v="MTG"/>
    <x v="101"/>
    <n v="1.530075174887463"/>
  </r>
  <r>
    <s v="30YrConformingConventional"/>
    <s v="Quicken"/>
    <x v="0"/>
    <s v="MTG"/>
    <x v="102"/>
    <n v="1.5622258993268487"/>
  </r>
  <r>
    <s v="30YrConformingConventional"/>
    <s v="Quicken"/>
    <x v="0"/>
    <s v="MTG"/>
    <x v="103"/>
    <n v="1.5659764368811495"/>
  </r>
  <r>
    <s v="30YrConformingConventional"/>
    <s v="Quicken"/>
    <x v="0"/>
    <s v="MTG"/>
    <x v="104"/>
    <n v="1.5379078120626815"/>
  </r>
  <r>
    <s v="30YrConformingConventional"/>
    <s v="Quicken"/>
    <x v="0"/>
    <s v="MTG"/>
    <x v="105"/>
    <n v="1.5674490622056676"/>
  </r>
  <r>
    <s v="30YrConformingConventional"/>
    <s v="Quicken"/>
    <x v="0"/>
    <s v="MTG"/>
    <x v="106"/>
    <n v="1.5832555958430223"/>
  </r>
  <r>
    <s v="30YrConformingConventional"/>
    <s v="Quicken"/>
    <x v="0"/>
    <s v="MTG"/>
    <x v="107"/>
    <n v="1.5694674483282143"/>
  </r>
  <r>
    <s v="30YrConformingConventional"/>
    <s v="Quicken"/>
    <x v="0"/>
    <s v="MTG"/>
    <x v="108"/>
    <n v="1.4961696200166943"/>
  </r>
  <r>
    <s v="30YrConformingConventional"/>
    <s v="Quicken"/>
    <x v="0"/>
    <s v="MTG"/>
    <x v="109"/>
    <n v="1.50116015970054"/>
  </r>
  <r>
    <s v="30YrConformingConventional"/>
    <s v="Quicken"/>
    <x v="0"/>
    <s v="MTG"/>
    <x v="110"/>
    <n v="1.5381067942008002"/>
  </r>
  <r>
    <s v="30YrConformingConventional"/>
    <s v="Quicken"/>
    <x v="0"/>
    <s v="MTG"/>
    <x v="111"/>
    <n v="1.5867989608319952"/>
  </r>
  <r>
    <s v="30YrConformingConventional"/>
    <s v="Quicken"/>
    <x v="0"/>
    <s v="MTG"/>
    <x v="112"/>
    <n v="1.5263484054436036"/>
  </r>
  <r>
    <s v="30YrConformingConventional"/>
    <s v="Quicken"/>
    <x v="0"/>
    <s v="MTG"/>
    <x v="113"/>
    <n v="1.5138169190748885"/>
  </r>
  <r>
    <s v="30YrConformingConventional"/>
    <s v="Quicken"/>
    <x v="0"/>
    <s v="MTG"/>
    <x v="114"/>
    <n v="1.5256729721524496"/>
  </r>
  <r>
    <s v="30YrConformingConventional"/>
    <s v="Quicken"/>
    <x v="0"/>
    <s v="MTG"/>
    <x v="115"/>
    <n v="1.4559144262989019"/>
  </r>
  <r>
    <s v="30YrConformingConventional"/>
    <s v="Quicken"/>
    <x v="0"/>
    <s v="MTG"/>
    <x v="116"/>
    <n v="1.4960357389686323"/>
  </r>
  <r>
    <s v="30YrConformingConventional"/>
    <s v="Quicken"/>
    <x v="0"/>
    <s v="MTG"/>
    <x v="117"/>
    <n v="1.6004859486082403"/>
  </r>
  <r>
    <s v="30YrConformingConventional"/>
    <s v="Quicken"/>
    <x v="0"/>
    <s v="MTG"/>
    <x v="118"/>
    <n v="1.6053321986226832"/>
  </r>
  <r>
    <s v="30YrConformingConventional"/>
    <s v="Quicken"/>
    <x v="0"/>
    <s v="MTG"/>
    <x v="119"/>
    <n v="1.6088783459839722"/>
  </r>
  <r>
    <s v="30YrConformingConventional"/>
    <s v="Quicken"/>
    <x v="0"/>
    <s v="MTG"/>
    <x v="120"/>
    <n v="1.6129364462859768"/>
  </r>
  <r>
    <s v="30YrConformingConventional"/>
    <s v="Quicken"/>
    <x v="0"/>
    <s v="MTG"/>
    <x v="121"/>
    <n v="1.6036155245444501"/>
  </r>
  <r>
    <s v="30YrConformingConventional"/>
    <s v="Quicken"/>
    <x v="0"/>
    <s v="MTG"/>
    <x v="122"/>
    <n v="1.5463958364041586"/>
  </r>
  <r>
    <s v="30YrConformingConventional"/>
    <s v="Quicken"/>
    <x v="0"/>
    <s v="MTG"/>
    <x v="123"/>
    <n v="1.5444561912014796"/>
  </r>
  <r>
    <s v="30YrConformingConventional"/>
    <s v="Quicken"/>
    <x v="0"/>
    <s v="MTG"/>
    <x v="124"/>
    <n v="1.5696483810938424"/>
  </r>
  <r>
    <s v="30YrConformingConventional"/>
    <s v="Quicken"/>
    <x v="0"/>
    <s v="MTG"/>
    <x v="125"/>
    <n v="1.5988716159090279"/>
  </r>
  <r>
    <s v="30YrConformingConventional"/>
    <s v="Quicken"/>
    <x v="0"/>
    <s v="MTG"/>
    <x v="126"/>
    <n v="1.5394851350453029"/>
  </r>
  <r>
    <s v="30YrConformingConventional"/>
    <s v="Quicken"/>
    <x v="0"/>
    <s v="MTG"/>
    <x v="127"/>
    <n v="1.5643166815713219"/>
  </r>
  <r>
    <s v="30YrConformingConventional"/>
    <s v="Quicken"/>
    <x v="0"/>
    <s v="MTG"/>
    <x v="128"/>
    <n v="1.5544230883033849"/>
  </r>
  <r>
    <s v="30YrConformingConventional"/>
    <s v="Quicken"/>
    <x v="0"/>
    <s v="MTG"/>
    <x v="129"/>
    <n v="1.5570989307087846"/>
  </r>
  <r>
    <s v="30YrConformingConventional"/>
    <s v="Quicken"/>
    <x v="0"/>
    <s v="MTG"/>
    <x v="130"/>
    <n v="1.5533296629840925"/>
  </r>
  <r>
    <s v="30YrConformingConventional"/>
    <s v="Quicken"/>
    <x v="0"/>
    <s v="MTG"/>
    <x v="131"/>
    <n v="1.5535296140184649"/>
  </r>
  <r>
    <s v="30YrConformingConventional"/>
    <s v="Quicken"/>
    <x v="0"/>
    <s v="MTG"/>
    <x v="132"/>
    <n v="1.5571021012936688"/>
  </r>
  <r>
    <s v="30YrConformingConventional"/>
    <s v="Quicken"/>
    <x v="0"/>
    <s v="MTG"/>
    <x v="133"/>
    <n v="1.5063208864614437"/>
  </r>
  <r>
    <s v="30YrConformingConventional"/>
    <s v="Quicken"/>
    <x v="0"/>
    <s v="MTG"/>
    <x v="134"/>
    <n v="1.5053360090075938"/>
  </r>
  <r>
    <s v="30YrConformingConventional"/>
    <s v="Quicken"/>
    <x v="0"/>
    <s v="MTG"/>
    <x v="135"/>
    <n v="1.5196980580876915"/>
  </r>
  <r>
    <s v="30YrConformingConventional"/>
    <s v="Quicken"/>
    <x v="0"/>
    <s v="MTG"/>
    <x v="136"/>
    <n v="1.518465411891015"/>
  </r>
  <r>
    <s v="30YrConformingConventional"/>
    <s v="Quicken"/>
    <x v="0"/>
    <s v="MTG"/>
    <x v="137"/>
    <n v="1.4642154198381139"/>
  </r>
  <r>
    <s v="30YrConformingConventional"/>
    <s v="Quicken"/>
    <x v="0"/>
    <s v="MTG"/>
    <x v="138"/>
    <n v="1.5202928794831194"/>
  </r>
  <r>
    <s v="30YrConformingConventional"/>
    <s v="Quicken"/>
    <x v="0"/>
    <s v="MTG"/>
    <x v="139"/>
    <n v="1.5752650274788345"/>
  </r>
  <r>
    <s v="30YrConformingConventional"/>
    <s v="Quicken"/>
    <x v="0"/>
    <s v="MTG"/>
    <x v="140"/>
    <n v="1.6394046015192107"/>
  </r>
  <r>
    <s v="30YrConformingConventional"/>
    <s v="Quicken"/>
    <x v="0"/>
    <s v="MTG"/>
    <x v="141"/>
    <n v="1.5463465675954722"/>
  </r>
  <r>
    <s v="30YrConformingConventional"/>
    <s v="Quicken"/>
    <x v="0"/>
    <s v="MTG"/>
    <x v="142"/>
    <n v="1.6364660197752334"/>
  </r>
  <r>
    <s v="30YrConformingConventional"/>
    <s v="Quicken"/>
    <x v="0"/>
    <s v="MTG"/>
    <x v="143"/>
    <n v="1.5877477107979443"/>
  </r>
  <r>
    <s v="30YrConformingConventional"/>
    <s v="Quicken"/>
    <x v="0"/>
    <s v="MTG"/>
    <x v="144"/>
    <n v="1.5262399020456543"/>
  </r>
  <r>
    <s v="30YrConformingConventional"/>
    <s v="Quicken"/>
    <x v="0"/>
    <s v="MTG"/>
    <x v="145"/>
    <n v="1.5884929234855298"/>
  </r>
  <r>
    <s v="30YrConformingConventional"/>
    <s v="Quicken"/>
    <x v="0"/>
    <s v="MTG"/>
    <x v="146"/>
    <n v="1.6268344009366407"/>
  </r>
  <r>
    <s v="30YrConformingConventional"/>
    <s v="Quicken"/>
    <x v="0"/>
    <s v="MTG"/>
    <x v="147"/>
    <n v="1.541459706240867"/>
  </r>
  <r>
    <s v="30YrConformingConventional"/>
    <s v="Quicken"/>
    <x v="0"/>
    <s v="MTG"/>
    <x v="148"/>
    <n v="1.514126672131227"/>
  </r>
  <r>
    <s v="30YrConformingConventional"/>
    <s v="Quicken"/>
    <x v="0"/>
    <s v="MTG"/>
    <x v="149"/>
    <n v="1.4410869371845925"/>
  </r>
  <r>
    <s v="30YrConformingConventional"/>
    <s v="Quicken"/>
    <x v="0"/>
    <s v="MTG"/>
    <x v="150"/>
    <n v="1.4554891746166569"/>
  </r>
  <r>
    <s v="30YrConformingConventional"/>
    <s v="Quicken"/>
    <x v="0"/>
    <s v="MTG"/>
    <x v="151"/>
    <n v="1.4695291518239186"/>
  </r>
  <r>
    <s v="30YrConformingConventional"/>
    <s v="Quicken"/>
    <x v="0"/>
    <s v="MTG"/>
    <x v="152"/>
    <n v="1.5122630148957799"/>
  </r>
  <r>
    <s v="30YrConformingConventional"/>
    <s v="Quicken"/>
    <x v="0"/>
    <s v="MTG"/>
    <x v="153"/>
    <n v="1.4962672480040489"/>
  </r>
  <r>
    <s v="30YrConformingConventional"/>
    <s v="Quicken"/>
    <x v="0"/>
    <s v="MTG"/>
    <x v="154"/>
    <n v="1.4515006334280287"/>
  </r>
  <r>
    <s v="30YrConformingConventional"/>
    <s v="Quicken"/>
    <x v="0"/>
    <s v="MTG"/>
    <x v="155"/>
    <n v="1.5082134749238463"/>
  </r>
  <r>
    <s v="30YrConformingConventional"/>
    <s v="Quicken"/>
    <x v="0"/>
    <s v="MTG"/>
    <x v="156"/>
    <n v="1.4625367288352016"/>
  </r>
  <r>
    <s v="30YrConformingConventional"/>
    <s v="Quicken"/>
    <x v="0"/>
    <s v="MTG"/>
    <x v="157"/>
    <n v="1.4790904801177798"/>
  </r>
  <r>
    <s v="30YrConformingConventional"/>
    <s v="Quicken"/>
    <x v="0"/>
    <s v="MTG"/>
    <x v="158"/>
    <n v="1.4538103358457659"/>
  </r>
  <r>
    <s v="30YrConformingConventional"/>
    <s v="Quicken"/>
    <x v="0"/>
    <s v="MTG"/>
    <x v="159"/>
    <n v="1.4801557729994834"/>
  </r>
  <r>
    <s v="30YrConformingConventional"/>
    <s v="Quicken"/>
    <x v="0"/>
    <s v="MTG"/>
    <x v="160"/>
    <n v="1.5516325196127514"/>
  </r>
  <r>
    <s v="30YrConformingConventional"/>
    <s v="Quicken"/>
    <x v="0"/>
    <s v="MTG"/>
    <x v="161"/>
    <n v="1.543090482104307"/>
  </r>
  <r>
    <s v="30YrConformingConventional"/>
    <s v="Quicken"/>
    <x v="0"/>
    <s v="MTG"/>
    <x v="162"/>
    <n v="1.5363139398199277"/>
  </r>
  <r>
    <s v="30YrConformingConventional"/>
    <s v="Quicken"/>
    <x v="0"/>
    <s v="MTG"/>
    <x v="163"/>
    <n v="1.5607029799600651"/>
  </r>
  <r>
    <s v="30YrConformingConventional"/>
    <s v="Quicken"/>
    <x v="0"/>
    <s v="MTG"/>
    <x v="164"/>
    <n v="1.5067918723401852"/>
  </r>
  <r>
    <s v="30YrConformingConventional"/>
    <s v="Quicken"/>
    <x v="0"/>
    <s v="MTG"/>
    <x v="165"/>
    <n v="1.5426596828174381"/>
  </r>
  <r>
    <s v="30YrConformingConventional"/>
    <s v="Quicken"/>
    <x v="0"/>
    <s v="MTG"/>
    <x v="166"/>
    <n v="1.507244661917901"/>
  </r>
  <r>
    <s v="30YrConformingConventional"/>
    <s v="Quicken"/>
    <x v="0"/>
    <s v="MTG"/>
    <x v="167"/>
    <n v="1.528960489886048"/>
  </r>
  <r>
    <s v="30YrConformingConventional"/>
    <s v="Quicken"/>
    <x v="0"/>
    <s v="MTG"/>
    <x v="168"/>
    <n v="1.5098516598071106"/>
  </r>
  <r>
    <s v="30YrConformingConventional"/>
    <s v="Quicken"/>
    <x v="0"/>
    <s v="MTG"/>
    <x v="169"/>
    <n v="1.5385715585404351"/>
  </r>
  <r>
    <s v="30YrConformingConventional"/>
    <s v="Quicken"/>
    <x v="0"/>
    <s v="MTG"/>
    <x v="170"/>
    <n v="1.5121313142182173"/>
  </r>
  <r>
    <s v="30YrConformingConventional"/>
    <s v="Quicken"/>
    <x v="0"/>
    <s v="MTG"/>
    <x v="171"/>
    <n v="1.5050153014438916"/>
  </r>
  <r>
    <s v="30YrConformingConventional"/>
    <s v="Quicken"/>
    <x v="0"/>
    <s v="MTG"/>
    <x v="172"/>
    <n v="1.4982410078427051"/>
  </r>
  <r>
    <s v="30YrConformingConventional"/>
    <s v="Quicken"/>
    <x v="0"/>
    <s v="MTG"/>
    <x v="173"/>
    <n v="1.4818704427738609"/>
  </r>
  <r>
    <s v="30YrConformingConventional"/>
    <s v="Quicken"/>
    <x v="0"/>
    <s v="MTG"/>
    <x v="174"/>
    <n v="1.5004858734417919"/>
  </r>
  <r>
    <s v="30YrConformingConventional"/>
    <s v="Quicken"/>
    <x v="0"/>
    <s v="MTG"/>
    <x v="175"/>
    <n v="1.461946985701984"/>
  </r>
  <r>
    <s v="30YrConformingConventional"/>
    <s v="Quicken"/>
    <x v="0"/>
    <s v="MTG"/>
    <x v="176"/>
    <n v="1.4744448377414441"/>
  </r>
  <r>
    <s v="30YrConformingConventional"/>
    <s v="Quicken"/>
    <x v="0"/>
    <s v="MTG"/>
    <x v="177"/>
    <n v="1.4512101770937029"/>
  </r>
  <r>
    <s v="30YrConformingConventional"/>
    <s v="Quicken"/>
    <x v="0"/>
    <s v="MTG"/>
    <x v="178"/>
    <n v="1.4897716986106646"/>
  </r>
  <r>
    <s v="30YrConformingConventional"/>
    <s v="Quicken"/>
    <x v="0"/>
    <s v="MTG"/>
    <x v="179"/>
    <n v="1.4562981147005198"/>
  </r>
  <r>
    <s v="30YrConformingConventional"/>
    <s v="Quicken"/>
    <x v="0"/>
    <s v="MTG"/>
    <x v="180"/>
    <n v="1.5849149853228051"/>
  </r>
  <r>
    <s v="30YrConformingConventional"/>
    <s v="Quicken"/>
    <x v="0"/>
    <s v="MTG"/>
    <x v="181"/>
    <n v="1.5541278583321352"/>
  </r>
  <r>
    <s v="30YrConformingConventional"/>
    <s v="Quicken"/>
    <x v="0"/>
    <s v="MTG"/>
    <x v="182"/>
    <n v="1.5420196837121618"/>
  </r>
  <r>
    <s v="30YrConformingConventional"/>
    <s v="Quicken"/>
    <x v="0"/>
    <s v="MTG"/>
    <x v="183"/>
    <n v="1.5179966138420906"/>
  </r>
  <r>
    <s v="30YrConformingConventional"/>
    <s v="Quicken"/>
    <x v="0"/>
    <s v="MTG"/>
    <x v="184"/>
    <n v="1.5405726796054369"/>
  </r>
  <r>
    <s v="30YrConformingConventional"/>
    <s v="Quicken"/>
    <x v="0"/>
    <s v="MTG"/>
    <x v="185"/>
    <n v="1.4885962672337021"/>
  </r>
  <r>
    <s v="30YrConformingConventional"/>
    <s v="Quicken"/>
    <x v="0"/>
    <s v="MTG"/>
    <x v="186"/>
    <n v="1.4912122868606721"/>
  </r>
  <r>
    <s v="30YrConformingConventional"/>
    <s v="Quicken"/>
    <x v="0"/>
    <s v="MTG"/>
    <x v="187"/>
    <n v="1.4984115010220622"/>
  </r>
  <r>
    <s v="30YrConformingConventional"/>
    <s v="Quicken"/>
    <x v="0"/>
    <s v="MTG"/>
    <x v="188"/>
    <n v="1.4819011158162858"/>
  </r>
  <r>
    <s v="30YrConformingConventional"/>
    <s v="Quicken"/>
    <x v="0"/>
    <s v="MTG"/>
    <x v="189"/>
    <n v="1.5114851993998251"/>
  </r>
  <r>
    <s v="30YrConformingConventional"/>
    <s v="Quicken"/>
    <x v="0"/>
    <s v="MTG"/>
    <x v="190"/>
    <n v="1.5215365662646596"/>
  </r>
  <r>
    <s v="30YrConformingConventional"/>
    <s v="Quicken"/>
    <x v="0"/>
    <s v="MTG"/>
    <x v="191"/>
    <n v="1.4988382658422779"/>
  </r>
  <r>
    <s v="30YrConformingConventional"/>
    <s v="Quicken"/>
    <x v="0"/>
    <s v="MTG"/>
    <x v="192"/>
    <n v="1.5568540315302071"/>
  </r>
  <r>
    <s v="30YrConformingConventional"/>
    <s v="Quicken"/>
    <x v="0"/>
    <s v="MTG"/>
    <x v="193"/>
    <n v="1.5430933862496645"/>
  </r>
  <r>
    <s v="30YrConformingConventional"/>
    <s v="Quicken"/>
    <x v="0"/>
    <s v="MTG"/>
    <x v="194"/>
    <n v="1.5180647764182047"/>
  </r>
  <r>
    <s v="30YrConformingConventional"/>
    <s v="Quicken"/>
    <x v="0"/>
    <s v="MTG"/>
    <x v="195"/>
    <n v="1.5633735530652657"/>
  </r>
  <r>
    <s v="30YrConformingConventional"/>
    <s v="Quicken"/>
    <x v="0"/>
    <s v="MTG"/>
    <x v="196"/>
    <n v="1.5243019824097856"/>
  </r>
  <r>
    <s v="30YrConformingConventional"/>
    <s v="Quicken"/>
    <x v="0"/>
    <s v="MTG"/>
    <x v="197"/>
    <n v="1.5308235699604822"/>
  </r>
  <r>
    <s v="30YrConformingConventional"/>
    <s v="Quicken"/>
    <x v="0"/>
    <s v="MTG"/>
    <x v="198"/>
    <n v="1.557800448815017"/>
  </r>
  <r>
    <s v="30YrConformingConventional"/>
    <s v="Quicken"/>
    <x v="0"/>
    <s v="MTG"/>
    <x v="199"/>
    <n v="1.5571195230255301"/>
  </r>
  <r>
    <s v="30YrConformingConventional"/>
    <s v="Quicken"/>
    <x v="0"/>
    <s v="MTG"/>
    <x v="200"/>
    <n v="1.5195619155708981"/>
  </r>
  <r>
    <s v="30YrConformingConventional"/>
    <s v="Quicken"/>
    <x v="0"/>
    <s v="MTG"/>
    <x v="201"/>
    <n v="1.5277478818839125"/>
  </r>
  <r>
    <s v="30YrConformingConventional"/>
    <s v="Quicken"/>
    <x v="0"/>
    <s v="MTG"/>
    <x v="202"/>
    <n v="1.5563843291359254"/>
  </r>
  <r>
    <s v="30YrConformingConventional"/>
    <s v="Quicken"/>
    <x v="0"/>
    <s v="MTG"/>
    <x v="203"/>
    <n v="1.5198746716357643"/>
  </r>
  <r>
    <s v="30YrConformingConventional"/>
    <s v="Quicken"/>
    <x v="0"/>
    <s v="MTG"/>
    <x v="204"/>
    <n v="1.5040700913658653"/>
  </r>
  <r>
    <s v="30YrConformingConventional"/>
    <s v="Quicken"/>
    <x v="0"/>
    <s v="MTG"/>
    <x v="205"/>
    <n v="1.5106609051656277"/>
  </r>
  <r>
    <s v="30YrConformingConventional"/>
    <s v="Quicken"/>
    <x v="0"/>
    <s v="MTG"/>
    <x v="206"/>
    <n v="1.5256922663386276"/>
  </r>
  <r>
    <s v="30YrConformingConventional"/>
    <s v="Quicken"/>
    <x v="0"/>
    <s v="MTG"/>
    <x v="207"/>
    <n v="1.5186377129951325"/>
  </r>
  <r>
    <s v="30YrConformingConventional"/>
    <s v="Quicken"/>
    <x v="0"/>
    <s v="MTG"/>
    <x v="208"/>
    <n v="1.4642138685357327"/>
  </r>
  <r>
    <s v="30YrConformingConventional"/>
    <s v="Quicken"/>
    <x v="0"/>
    <s v="MTG"/>
    <x v="209"/>
    <n v="1.4642138685357327"/>
  </r>
  <r>
    <s v="30YrConformingConventional"/>
    <s v="Quicken"/>
    <x v="0"/>
    <s v="MTG"/>
    <x v="210"/>
    <n v="1.5481028067197069"/>
  </r>
  <r>
    <s v="30YrConformingConventional"/>
    <s v="Quicken"/>
    <x v="0"/>
    <s v="MTG"/>
    <x v="211"/>
    <n v="1.4677586424967521"/>
  </r>
  <r>
    <s v="30YrConformingConventional"/>
    <s v="Quicken"/>
    <x v="0"/>
    <s v="MTG"/>
    <x v="212"/>
    <n v="1.4978547960901447"/>
  </r>
  <r>
    <s v="30YrConformingConventional"/>
    <s v="Quicken"/>
    <x v="0"/>
    <s v="MTG"/>
    <x v="213"/>
    <n v="1.4959678614927461"/>
  </r>
  <r>
    <s v="30YrConformingConventional"/>
    <s v="Quicken"/>
    <x v="0"/>
    <s v="MTG"/>
    <x v="214"/>
    <n v="1.5579636337634866"/>
  </r>
  <r>
    <s v="30YrConformingConventional"/>
    <s v="Quicken"/>
    <x v="0"/>
    <s v="MTG"/>
    <x v="215"/>
    <n v="1.5844575258441369"/>
  </r>
  <r>
    <s v="30YrConformingConventional"/>
    <s v="Quicken"/>
    <x v="0"/>
    <s v="MTG"/>
    <x v="216"/>
    <n v="1.5402616823217599"/>
  </r>
  <r>
    <s v="30YrConformingConventional"/>
    <s v="Quicken"/>
    <x v="0"/>
    <s v="MTG"/>
    <x v="217"/>
    <n v="1.534704246059617"/>
  </r>
  <r>
    <s v="30YrConformingConventional"/>
    <s v="Quicken"/>
    <x v="0"/>
    <s v="MTG"/>
    <x v="218"/>
    <n v="1.5003201460334237"/>
  </r>
  <r>
    <s v="30YrConformingConventional"/>
    <s v="Quicken"/>
    <x v="0"/>
    <s v="MTG"/>
    <x v="219"/>
    <n v="1.5194988875535922"/>
  </r>
  <r>
    <s v="30YrConformingConventional"/>
    <s v="Quicken"/>
    <x v="0"/>
    <s v="MTG"/>
    <x v="220"/>
    <n v="1.5305507524427708"/>
  </r>
  <r>
    <s v="30YrConformingConventional"/>
    <s v="Quicken"/>
    <x v="0"/>
    <s v="MTG"/>
    <x v="221"/>
    <n v="1.556799176982802"/>
  </r>
  <r>
    <s v="30YrConformingConventional"/>
    <s v="Quicken"/>
    <x v="0"/>
    <s v="MTG"/>
    <x v="222"/>
    <n v="1.5088128461008894"/>
  </r>
  <r>
    <s v="30YrConformingConventional"/>
    <s v="Quicken"/>
    <x v="0"/>
    <s v="MTG"/>
    <x v="223"/>
    <n v="1.4560253753403627"/>
  </r>
  <r>
    <s v="30YrConformingConventional"/>
    <s v="Quicken"/>
    <x v="0"/>
    <s v="MTG"/>
    <x v="224"/>
    <n v="1.5246234974042736"/>
  </r>
  <r>
    <s v="30YrConformingConventional"/>
    <s v="Quicken"/>
    <x v="0"/>
    <s v="MTG"/>
    <x v="225"/>
    <n v="1.5428958076334109"/>
  </r>
  <r>
    <s v="30YrConformingConventional"/>
    <s v="Quicken"/>
    <x v="0"/>
    <s v="MTG"/>
    <x v="226"/>
    <n v="1.5493069674556876"/>
  </r>
  <r>
    <s v="30YrConformingConventional"/>
    <s v="Quicken"/>
    <x v="0"/>
    <s v="MTG"/>
    <x v="227"/>
    <n v="1.5452500406199678"/>
  </r>
  <r>
    <s v="30YrConformingConventional"/>
    <s v="Quicken"/>
    <x v="0"/>
    <s v="MTG"/>
    <x v="228"/>
    <n v="1.5126447445978526"/>
  </r>
  <r>
    <s v="30YrConformingConventional"/>
    <s v="Quicken"/>
    <x v="0"/>
    <s v="MTG"/>
    <x v="229"/>
    <n v="1.5396595396038395"/>
  </r>
  <r>
    <s v="30YrConformingConventional"/>
    <s v="Quicken"/>
    <x v="0"/>
    <s v="MTG"/>
    <x v="230"/>
    <n v="1.4789193051358598"/>
  </r>
  <r>
    <s v="30YrConformingConventional"/>
    <s v="Quicken"/>
    <x v="0"/>
    <s v="MTG"/>
    <x v="231"/>
    <n v="1.5699052495935495"/>
  </r>
  <r>
    <s v="30YrConformingConventional"/>
    <s v="Quicken"/>
    <x v="0"/>
    <s v="MTG"/>
    <x v="232"/>
    <n v="1.6023290451458849"/>
  </r>
  <r>
    <s v="30YrConformingConventional"/>
    <s v="Quicken"/>
    <x v="0"/>
    <s v="MTG"/>
    <x v="233"/>
    <n v="1.5655999586686868"/>
  </r>
  <r>
    <s v="30YrConformingConventional"/>
    <s v="Quicken"/>
    <x v="0"/>
    <s v="MTG"/>
    <x v="234"/>
    <n v="1.6070982061775752"/>
  </r>
  <r>
    <s v="30YrConformingConventional"/>
    <s v="Quicken"/>
    <x v="0"/>
    <s v="MTG"/>
    <x v="235"/>
    <n v="1.625360913117694"/>
  </r>
  <r>
    <s v="30YrConformingConventional"/>
    <s v="Quicken"/>
    <x v="0"/>
    <s v="MTG"/>
    <x v="236"/>
    <n v="1.5564805228220826"/>
  </r>
  <r>
    <s v="30YrConformingConventional"/>
    <s v="Quicken"/>
    <x v="0"/>
    <s v="MTG"/>
    <x v="237"/>
    <n v="1.6086670185292171"/>
  </r>
  <r>
    <s v="30YrConformingConventional"/>
    <s v="Quicken"/>
    <x v="0"/>
    <s v="MTG"/>
    <x v="238"/>
    <n v="1.6619808172122967"/>
  </r>
  <r>
    <s v="30YrConformingConventional"/>
    <s v="Quicken"/>
    <x v="0"/>
    <s v="MTG"/>
    <x v="239"/>
    <n v="1.5054704133353025"/>
  </r>
  <r>
    <s v="30YrConformingConventional"/>
    <s v="Quicken"/>
    <x v="0"/>
    <s v="MTG"/>
    <x v="240"/>
    <n v="1.6229776172777968"/>
  </r>
  <r>
    <s v="30YrConformingConventional"/>
    <s v="Quicken"/>
    <x v="0"/>
    <s v="MTG"/>
    <x v="241"/>
    <n v="1.5817832435359871"/>
  </r>
  <r>
    <s v="30YrConformingConventional"/>
    <s v="Quicken"/>
    <x v="0"/>
    <s v="MTG"/>
    <x v="242"/>
    <n v="1.6428887105467396"/>
  </r>
  <r>
    <s v="30YrConformingConventional"/>
    <s v="Quicken"/>
    <x v="0"/>
    <s v="MTG"/>
    <x v="243"/>
    <n v="1.6107382439559039"/>
  </r>
  <r>
    <s v="30YrConformingConventional"/>
    <s v="Quicken"/>
    <x v="0"/>
    <s v="MTG"/>
    <x v="244"/>
    <n v="1.6016746890558839"/>
  </r>
  <r>
    <s v="30YrConformingConventional"/>
    <s v="Quicken"/>
    <x v="0"/>
    <s v="MTG"/>
    <x v="245"/>
    <n v="1.6817551162896152"/>
  </r>
  <r>
    <s v="30YrConformingConventional"/>
    <s v="Quicken"/>
    <x v="0"/>
    <s v="MTG"/>
    <x v="246"/>
    <n v="1.6817551162896152"/>
  </r>
  <r>
    <s v="30YrConformingConventional"/>
    <s v="Quicken"/>
    <x v="0"/>
    <s v="MTG"/>
    <x v="247"/>
    <n v="1.5971890824610468"/>
  </r>
  <r>
    <s v="30YrConformingConventional"/>
    <s v="Quicken"/>
    <x v="0"/>
    <s v="MTG"/>
    <x v="248"/>
    <n v="1.6292114893400469"/>
  </r>
  <r>
    <s v="30YrConformingConventional"/>
    <s v="Quicken"/>
    <x v="0"/>
    <s v="MTG"/>
    <x v="249"/>
    <n v="1.6283496629552738"/>
  </r>
  <r>
    <s v="30YrConformingConventional"/>
    <s v="Quicken"/>
    <x v="0"/>
    <s v="MTG"/>
    <x v="250"/>
    <n v="1.6014104739474049"/>
  </r>
  <r>
    <s v="30YrConformingConventional"/>
    <s v="Quicken"/>
    <x v="0"/>
    <s v="MTG"/>
    <x v="251"/>
    <n v="1.5823104882944325"/>
  </r>
  <r>
    <s v="30YrConformingConventional"/>
    <s v="Quicken"/>
    <x v="0"/>
    <s v="MTG"/>
    <x v="252"/>
    <n v="1.6154655457037328"/>
  </r>
  <r>
    <s v="30YrConformingConventional"/>
    <s v="Quicken"/>
    <x v="0"/>
    <s v="MTG"/>
    <x v="253"/>
    <n v="1.5415503498125098"/>
  </r>
  <r>
    <s v="30YrConformingConventional"/>
    <s v="Quicken"/>
    <x v="0"/>
    <s v="MTG"/>
    <x v="254"/>
    <n v="1.5690924781130093"/>
  </r>
  <r>
    <s v="30YrConformingConventional"/>
    <s v="Quicken"/>
    <x v="0"/>
    <s v="MTG"/>
    <x v="255"/>
    <n v="1.5876724844686128"/>
  </r>
  <r>
    <s v="30YrConformingConventional"/>
    <s v="Quicken"/>
    <x v="0"/>
    <s v="MTG"/>
    <x v="256"/>
    <n v="1.5494923467389097"/>
  </r>
  <r>
    <s v="30YrConformingConventional"/>
    <s v="Quicken"/>
    <x v="0"/>
    <s v="MTG"/>
    <x v="257"/>
    <n v="1.6044086038469412"/>
  </r>
  <r>
    <s v="30YrConformingConventional"/>
    <s v="Quicken"/>
    <x v="0"/>
    <s v="MTG"/>
    <x v="258"/>
    <n v="1.5719229752881709"/>
  </r>
  <r>
    <s v="30YrConformingConventional"/>
    <s v="Quicken"/>
    <x v="0"/>
    <s v="MTG"/>
    <x v="259"/>
    <n v="1.5829029660201936"/>
  </r>
  <r>
    <s v="30YrConformingConventional"/>
    <s v="Quicken"/>
    <x v="0"/>
    <s v="MTG"/>
    <x v="260"/>
    <n v="1.5321234762912677"/>
  </r>
  <r>
    <s v="30YrConformingConventional"/>
    <s v="Quicken"/>
    <x v="0"/>
    <s v="MTG"/>
    <x v="261"/>
    <n v="1.5820822546484778"/>
  </r>
  <r>
    <s v="30YrConformingConventional"/>
    <s v="Quicken"/>
    <x v="0"/>
    <s v="MTG"/>
    <x v="262"/>
    <n v="1.5687326430259128"/>
  </r>
  <r>
    <s v="30YrConformingConventional"/>
    <s v="Quicken"/>
    <x v="0"/>
    <s v="MTG"/>
    <x v="263"/>
    <n v="1.5751536601250025"/>
  </r>
  <r>
    <s v="30YrConformingConventional"/>
    <s v="Quicken"/>
    <x v="0"/>
    <s v="MTG"/>
    <x v="264"/>
    <n v="1.5488279872715196"/>
  </r>
  <r>
    <s v="30YrConformingConventional"/>
    <s v="Quicken"/>
    <x v="0"/>
    <s v="MTG"/>
    <x v="265"/>
    <n v="1.562822251293768"/>
  </r>
  <r>
    <s v="30YrConformingConventional"/>
    <s v="Quicken"/>
    <x v="0"/>
    <s v="MTG"/>
    <x v="266"/>
    <n v="1.6472620268025409"/>
  </r>
  <r>
    <s v="30YrConformingConventional"/>
    <s v="Quicken"/>
    <x v="0"/>
    <s v="MTG"/>
    <x v="267"/>
    <n v="1.6472620268025409"/>
  </r>
  <r>
    <s v="30YrConformingConventional"/>
    <s v="Quicken"/>
    <x v="0"/>
    <s v="MTG"/>
    <x v="268"/>
    <n v="1.5703511056861998"/>
  </r>
  <r>
    <s v="30YrConformingConventional"/>
    <s v="Quicken"/>
    <x v="0"/>
    <s v="MTG"/>
    <x v="269"/>
    <n v="1.573850402132364"/>
  </r>
  <r>
    <s v="30YrConformingConventional"/>
    <s v="Quicken"/>
    <x v="0"/>
    <s v="MTG"/>
    <x v="270"/>
    <n v="1.5624909648852638"/>
  </r>
  <r>
    <s v="30YrConformingConventional"/>
    <s v="Quicken"/>
    <x v="0"/>
    <s v="MTG"/>
    <x v="271"/>
    <n v="1.6159420808334439"/>
  </r>
  <r>
    <s v="30YrConformingConventional"/>
    <s v="Quicken"/>
    <x v="0"/>
    <s v="MTG"/>
    <x v="272"/>
    <n v="1.5553843838783468"/>
  </r>
  <r>
    <s v="30YrConformingConventional"/>
    <s v="Quicken"/>
    <x v="0"/>
    <s v="MTG"/>
    <x v="273"/>
    <n v="1.5340060283605226"/>
  </r>
  <r>
    <s v="30YrConformingConventional"/>
    <s v="Quicken"/>
    <x v="0"/>
    <s v="MTG"/>
    <x v="274"/>
    <n v="1.5381547448962734"/>
  </r>
  <r>
    <s v="30YrConformingConventional"/>
    <s v="Quicken"/>
    <x v="0"/>
    <s v="MTG"/>
    <x v="275"/>
    <n v="1.5405415033488725"/>
  </r>
  <r>
    <s v="30YrConformingConventional"/>
    <s v="Quicken"/>
    <x v="0"/>
    <s v="MTG"/>
    <x v="276"/>
    <n v="1.5884200524474927"/>
  </r>
  <r>
    <s v="30YrConformingConventional"/>
    <s v="Quicken"/>
    <x v="0"/>
    <s v="MTG"/>
    <x v="277"/>
    <n v="1.5848036403611627"/>
  </r>
  <r>
    <s v="30YrConformingConventional"/>
    <s v="Quicken"/>
    <x v="0"/>
    <s v="MTG"/>
    <x v="278"/>
    <n v="1.5850144279914526"/>
  </r>
  <r>
    <s v="30YrConformingConventional"/>
    <s v="Quicken"/>
    <x v="0"/>
    <s v="MTG"/>
    <x v="279"/>
    <n v="1.5034563809365034"/>
  </r>
  <r>
    <s v="30YrConformingConventional"/>
    <s v="Quicken"/>
    <x v="0"/>
    <s v="MTG"/>
    <x v="280"/>
    <n v="1.5491047760683729"/>
  </r>
  <r>
    <s v="30YrConformingConventional"/>
    <s v="Quicken"/>
    <x v="0"/>
    <s v="MTG"/>
    <x v="281"/>
    <n v="1.5777253614859668"/>
  </r>
  <r>
    <s v="30YrConformingConventional"/>
    <s v="Quicken"/>
    <x v="0"/>
    <s v="MTG"/>
    <x v="282"/>
    <n v="1.5529042483262527"/>
  </r>
  <r>
    <s v="30YrConformingConventional"/>
    <s v="Quicken"/>
    <x v="0"/>
    <s v="MTG"/>
    <x v="283"/>
    <n v="1.5726840963715869"/>
  </r>
  <r>
    <s v="30YrConformingConventional"/>
    <s v="Quicken"/>
    <x v="0"/>
    <s v="MTG"/>
    <x v="284"/>
    <n v="1.5795660627485868"/>
  </r>
  <r>
    <s v="30YrConformingConventional"/>
    <s v="Quicken"/>
    <x v="0"/>
    <s v="MTG"/>
    <x v="285"/>
    <n v="1.5621393258890897"/>
  </r>
  <r>
    <s v="30YrConformingConventional"/>
    <s v="Quicken"/>
    <x v="0"/>
    <s v="MTG"/>
    <x v="286"/>
    <n v="1.5790207584545124"/>
  </r>
  <r>
    <s v="30YrConformingConventional"/>
    <s v="Quicken"/>
    <x v="0"/>
    <s v="MTG"/>
    <x v="287"/>
    <n v="1.5321695611500799"/>
  </r>
  <r>
    <s v="30YrConformingConventional"/>
    <s v="Quicken"/>
    <x v="0"/>
    <s v="MTG"/>
    <x v="288"/>
    <n v="1.5256707317657499"/>
  </r>
  <r>
    <s v="30YrConformingConventional"/>
    <s v="Quicken"/>
    <x v="0"/>
    <s v="MTG"/>
    <x v="289"/>
    <n v="1.5433310352649627"/>
  </r>
  <r>
    <s v="30YrConformingConventional"/>
    <s v="Quicken"/>
    <x v="0"/>
    <s v="MTG"/>
    <x v="290"/>
    <n v="1.5894839272561527"/>
  </r>
  <r>
    <s v="30YrConformingConventional"/>
    <s v="Quicken"/>
    <x v="0"/>
    <s v="MTG"/>
    <x v="291"/>
    <n v="1.6049036903689398"/>
  </r>
  <r>
    <s v="30YrConformingConventional"/>
    <s v="Quicken"/>
    <x v="0"/>
    <s v="MTG"/>
    <x v="292"/>
    <n v="1.620479930127847"/>
  </r>
  <r>
    <s v="30YrConformingConventional"/>
    <s v="Quicken"/>
    <x v="0"/>
    <s v="MTG"/>
    <x v="293"/>
    <n v="1.620479930127847"/>
  </r>
  <r>
    <s v="30YrConformingConventional"/>
    <s v="Quicken"/>
    <x v="0"/>
    <s v="MTG"/>
    <x v="294"/>
    <n v="1.5757562894678168"/>
  </r>
  <r>
    <s v="30YrConformingConventional"/>
    <s v="Quicken"/>
    <x v="0"/>
    <s v="MTG"/>
    <x v="295"/>
    <n v="1.5386520236962271"/>
  </r>
  <r>
    <s v="30YrConformingConventional"/>
    <s v="Quicken"/>
    <x v="0"/>
    <s v="MTG"/>
    <x v="296"/>
    <n v="1.5743309085134474"/>
  </r>
  <r>
    <s v="30YrConformingConventional"/>
    <s v="Quicken"/>
    <x v="0"/>
    <s v="MTG"/>
    <x v="297"/>
    <n v="1.5442866532093327"/>
  </r>
  <r>
    <s v="30YrConformingConventional"/>
    <s v="Quicken"/>
    <x v="0"/>
    <s v="MTG"/>
    <x v="298"/>
    <n v="1.5585253969112027"/>
  </r>
  <r>
    <s v="30YrConformingConventional"/>
    <s v="Quicken"/>
    <x v="0"/>
    <s v="MTG"/>
    <x v="299"/>
    <n v="1.572590002540547"/>
  </r>
  <r>
    <s v="30YrConformingConventional"/>
    <s v="Quicken"/>
    <x v="0"/>
    <s v="MTG"/>
    <x v="300"/>
    <n v="1.577042599859537"/>
  </r>
  <r>
    <s v="30YrConformingConventional"/>
    <s v="Quicken"/>
    <x v="0"/>
    <s v="MTG"/>
    <x v="301"/>
    <n v="1.5650011848053571"/>
  </r>
  <r>
    <s v="30YrConformingConventional"/>
    <s v="Quicken"/>
    <x v="0"/>
    <s v="MTG"/>
    <x v="302"/>
    <n v="1.601396062048311"/>
  </r>
  <r>
    <s v="30YrConformingConventional"/>
    <s v="Quicken"/>
    <x v="0"/>
    <s v="MTG"/>
    <x v="303"/>
    <n v="1.5368937995287226"/>
  </r>
  <r>
    <s v="30YrConformingConventional"/>
    <s v="Quicken"/>
    <x v="0"/>
    <s v="MTG"/>
    <x v="304"/>
    <n v="1.4766480953417891"/>
  </r>
  <r>
    <s v="30YrConformingConventional"/>
    <s v="Quicken"/>
    <x v="0"/>
    <s v="MTG"/>
    <x v="305"/>
    <n v="1.4644801077111365"/>
  </r>
  <r>
    <s v="30YrConformingConventional"/>
    <s v="Quicken"/>
    <x v="0"/>
    <s v="MTG"/>
    <x v="306"/>
    <n v="1.4799175372029769"/>
  </r>
  <r>
    <s v="30YrConformingConventional"/>
    <s v="Quicken"/>
    <x v="0"/>
    <s v="MTG"/>
    <x v="307"/>
    <n v="1.4467100485398323"/>
  </r>
  <r>
    <s v="30YrConformingConventional"/>
    <s v="Quicken"/>
    <x v="0"/>
    <s v="MTG"/>
    <x v="308"/>
    <n v="1.4538302773021625"/>
  </r>
  <r>
    <s v="30YrConformingConventional"/>
    <s v="Quicken"/>
    <x v="0"/>
    <s v="MTG"/>
    <x v="309"/>
    <n v="1.4371945070978824"/>
  </r>
  <r>
    <s v="30YrConformingConventional"/>
    <s v="Quicken"/>
    <x v="0"/>
    <s v="MTG"/>
    <x v="310"/>
    <n v="1.4456808614391865"/>
  </r>
  <r>
    <s v="30YrConformingConventional"/>
    <s v="Quicken"/>
    <x v="0"/>
    <s v="MTG"/>
    <x v="311"/>
    <n v="1.4620012496445425"/>
  </r>
  <r>
    <s v="30YrConformingConventional"/>
    <s v="Quicken"/>
    <x v="0"/>
    <s v="MTG"/>
    <x v="312"/>
    <n v="1.4869821873866012"/>
  </r>
  <r>
    <s v="30YrConformingConventional"/>
    <s v="Quicken"/>
    <x v="0"/>
    <s v="MTG"/>
    <x v="313"/>
    <n v="1.4983219906791114"/>
  </r>
  <r>
    <s v="30YrConformingConventional"/>
    <s v="Quicken"/>
    <x v="0"/>
    <s v="MTG"/>
    <x v="314"/>
    <n v="1.4538416312115019"/>
  </r>
  <r>
    <s v="30YrConformingConventional"/>
    <s v="Quicken"/>
    <x v="0"/>
    <s v="MTG"/>
    <x v="315"/>
    <n v="1.4944141958895214"/>
  </r>
  <r>
    <s v="30YrConformingConventional"/>
    <s v="Quicken"/>
    <x v="0"/>
    <s v="MTG"/>
    <x v="316"/>
    <n v="1.4965863752924076"/>
  </r>
  <r>
    <s v="30YrConformingConventional"/>
    <s v="Quicken"/>
    <x v="0"/>
    <s v="MTG"/>
    <x v="317"/>
    <n v="1.518481915326849"/>
  </r>
  <r>
    <s v="30YrConformingConventional"/>
    <s v="Quicken"/>
    <x v="0"/>
    <s v="MTG"/>
    <x v="318"/>
    <n v="1.5189881310408591"/>
  </r>
  <r>
    <s v="30YrConformingConventional"/>
    <s v="Quicken"/>
    <x v="0"/>
    <s v="MTG"/>
    <x v="319"/>
    <n v="1.526881478394549"/>
  </r>
  <r>
    <s v="30YrConformingConventional"/>
    <s v="Quicken"/>
    <x v="0"/>
    <s v="MTG"/>
    <x v="320"/>
    <n v="1.479233628602072"/>
  </r>
  <r>
    <s v="30YrConformingConventional"/>
    <s v="Quicken"/>
    <x v="0"/>
    <s v="MTG"/>
    <x v="321"/>
    <n v="1.4954732607547019"/>
  </r>
  <r>
    <s v="30YrConformingConventional"/>
    <s v="Quicken"/>
    <x v="0"/>
    <s v="MTG"/>
    <x v="322"/>
    <n v="1.5058820342219721"/>
  </r>
  <r>
    <s v="30YrConformingConventional"/>
    <s v="Quicken"/>
    <x v="0"/>
    <s v="MTG"/>
    <x v="323"/>
    <n v="1.4674682858410664"/>
  </r>
  <r>
    <s v="30YrConformingConventional"/>
    <s v="Quicken"/>
    <x v="0"/>
    <s v="MTG"/>
    <x v="324"/>
    <n v="1.5145965922498821"/>
  </r>
  <r>
    <s v="30YrConformingConventional"/>
    <s v="Quicken"/>
    <x v="0"/>
    <s v="MTG"/>
    <x v="325"/>
    <n v="1.5036322618978162"/>
  </r>
  <r>
    <s v="30YrConformingConventional"/>
    <s v="Quicken"/>
    <x v="0"/>
    <s v="MTG"/>
    <x v="326"/>
    <n v="1.4859584987297221"/>
  </r>
  <r>
    <s v="30YrConformingConventional"/>
    <s v="Quicken"/>
    <x v="0"/>
    <s v="MTG"/>
    <x v="327"/>
    <n v="1.5241051617953989"/>
  </r>
  <r>
    <s v="30YrConformingConventional"/>
    <s v="Quicken"/>
    <x v="0"/>
    <s v="MTG"/>
    <x v="328"/>
    <n v="1.5120595435685293"/>
  </r>
  <r>
    <s v="30YrConformingConventional"/>
    <s v="Quicken"/>
    <x v="0"/>
    <s v="MTG"/>
    <x v="329"/>
    <n v="1.5169393043414989"/>
  </r>
  <r>
    <s v="30YrConformingConventional"/>
    <s v="Quicken"/>
    <x v="0"/>
    <s v="MTG"/>
    <x v="330"/>
    <n v="1.527126295854152"/>
  </r>
  <r>
    <s v="30YrConformingConventional"/>
    <s v="Quicken"/>
    <x v="0"/>
    <s v="MTG"/>
    <x v="331"/>
    <n v="1.5127705502316864"/>
  </r>
  <r>
    <s v="30YrConformingConventional"/>
    <s v="Quicken"/>
    <x v="0"/>
    <s v="MTG"/>
    <x v="332"/>
    <n v="1.6748488513116788"/>
  </r>
  <r>
    <s v="30YrConformingConventional"/>
    <s v="Quicken"/>
    <x v="0"/>
    <s v="MTG"/>
    <x v="333"/>
    <n v="1.6393237500658637"/>
  </r>
  <r>
    <s v="30YrConformingConventional"/>
    <s v="Quicken"/>
    <x v="0"/>
    <s v="MTG"/>
    <x v="334"/>
    <n v="1.6154024080020726"/>
  </r>
  <r>
    <s v="30YrConformingConventional"/>
    <s v="Quicken"/>
    <x v="0"/>
    <s v="MTG"/>
    <x v="335"/>
    <n v="1.6544690083955724"/>
  </r>
  <r>
    <s v="30YrConformingConventional"/>
    <s v="Quicken"/>
    <x v="0"/>
    <s v="MTG"/>
    <x v="336"/>
    <n v="1.6621558549125726"/>
  </r>
  <r>
    <s v="30YrConformingConventional"/>
    <s v="Quicken"/>
    <x v="0"/>
    <s v="MTG"/>
    <x v="337"/>
    <n v="1.7124165250115633"/>
  </r>
  <r>
    <s v="30YrConformingConventional"/>
    <s v="Quicken"/>
    <x v="0"/>
    <s v="MTG"/>
    <x v="338"/>
    <n v="1.6732127893184636"/>
  </r>
  <r>
    <s v="30YrConformingConventional"/>
    <s v="Quicken"/>
    <x v="0"/>
    <s v="MTG"/>
    <x v="339"/>
    <n v="1.6692198566422722"/>
  </r>
  <r>
    <s v="30YrConformingConventional"/>
    <s v="Quicken"/>
    <x v="0"/>
    <s v="MTG"/>
    <x v="340"/>
    <n v="1.6692198566422722"/>
  </r>
  <r>
    <s v="30YrConformingConventional"/>
    <s v="Quicken"/>
    <x v="0"/>
    <s v="MTG"/>
    <x v="341"/>
    <n v="1.6520717039183828"/>
  </r>
  <r>
    <s v="30YrConformingConventional"/>
    <s v="Quicken"/>
    <x v="0"/>
    <s v="MTG"/>
    <x v="342"/>
    <n v="1.6610042175317887"/>
  </r>
  <r>
    <s v="30YrConformingConventional"/>
    <s v="Quicken"/>
    <x v="0"/>
    <s v="MTG"/>
    <x v="343"/>
    <n v="1.6865180578079686"/>
  </r>
  <r>
    <s v="30YrConformingConventional"/>
    <s v="Quicken"/>
    <x v="0"/>
    <s v="MTG"/>
    <x v="344"/>
    <n v="1.651693854940592"/>
  </r>
  <r>
    <s v="30YrConformingConventional"/>
    <s v="Quicken"/>
    <x v="0"/>
    <s v="MTG"/>
    <x v="345"/>
    <n v="1.6062094731246619"/>
  </r>
  <r>
    <s v="30YrConformingConventional"/>
    <s v="Quicken"/>
    <x v="0"/>
    <s v="MTG"/>
    <x v="346"/>
    <n v="1.6102582693336323"/>
  </r>
  <r>
    <s v="30YrConformingConventional"/>
    <s v="Quicken"/>
    <x v="0"/>
    <s v="MTG"/>
    <x v="347"/>
    <n v="1.6369336867383419"/>
  </r>
  <r>
    <s v="30YrConformingConventional"/>
    <s v="Quicken"/>
    <x v="0"/>
    <s v="MTG"/>
    <x v="348"/>
    <n v="1.5883803263471064"/>
  </r>
  <r>
    <s v="30YrConformingConventional"/>
    <s v="Quicken"/>
    <x v="0"/>
    <s v="MTG"/>
    <x v="349"/>
    <n v="1.6141009840158622"/>
  </r>
  <r>
    <s v="30YrConformingConventional"/>
    <s v="Quicken"/>
    <x v="0"/>
    <s v="MTG"/>
    <x v="350"/>
    <n v="1.5925987907719823"/>
  </r>
  <r>
    <s v="30YrConformingConventional"/>
    <s v="Quicken"/>
    <x v="0"/>
    <s v="MTG"/>
    <x v="351"/>
    <n v="1.5822326920960119"/>
  </r>
  <r>
    <s v="30YrConformingConventional"/>
    <s v="Quicken"/>
    <x v="0"/>
    <s v="MTG"/>
    <x v="352"/>
    <n v="1.5736521794568823"/>
  </r>
  <r>
    <s v="30YrConformingConventional"/>
    <s v="Quicken"/>
    <x v="0"/>
    <s v="MTG"/>
    <x v="353"/>
    <n v="1.6561540931502177"/>
  </r>
  <r>
    <s v="30YrConformingConventional"/>
    <s v="Quicken"/>
    <x v="0"/>
    <s v="MTG"/>
    <x v="354"/>
    <n v="1.6136634854221663"/>
  </r>
  <r>
    <s v="30YrConformingConventional"/>
    <s v="Quicken"/>
    <x v="0"/>
    <s v="MTG"/>
    <x v="355"/>
    <n v="1.6360793070087822"/>
  </r>
  <r>
    <s v="30YrConformingConventional"/>
    <s v="Quicken"/>
    <x v="0"/>
    <s v="MTG"/>
    <x v="356"/>
    <n v="1.6116296808967325"/>
  </r>
  <r>
    <s v="30YrConformingConventional"/>
    <s v="Quicken"/>
    <x v="0"/>
    <s v="MTG"/>
    <x v="357"/>
    <n v="1.6066346100582065"/>
  </r>
  <r>
    <s v="30YrConformingConventional"/>
    <s v="Quicken"/>
    <x v="0"/>
    <s v="MTG"/>
    <x v="358"/>
    <n v="1.6290723082511787"/>
  </r>
  <r>
    <s v="30YrConformingConventional"/>
    <s v="Quicken"/>
    <x v="0"/>
    <s v="MTG"/>
    <x v="359"/>
    <n v="1.6057357338638525"/>
  </r>
  <r>
    <s v="30YrConformingConventional"/>
    <s v="Quicken"/>
    <x v="0"/>
    <s v="MTG"/>
    <x v="360"/>
    <n v="1.5730368757965767"/>
  </r>
  <r>
    <s v="30YrConformingConventional"/>
    <s v="Quicken"/>
    <x v="0"/>
    <s v="MTG"/>
    <x v="361"/>
    <n v="1.5660302002420565"/>
  </r>
  <r>
    <s v="30YrConformingConventional"/>
    <s v="Quicken"/>
    <x v="0"/>
    <s v="MTG"/>
    <x v="362"/>
    <n v="1.6039679187189464"/>
  </r>
  <r>
    <s v="30YrConformingConventional"/>
    <s v="Quicken"/>
    <x v="0"/>
    <s v="MTG"/>
    <x v="363"/>
    <n v="1.6407227228538965"/>
  </r>
  <r>
    <s v="30YrConformingConventional"/>
    <s v="Quicken"/>
    <x v="0"/>
    <s v="MTG"/>
    <x v="364"/>
    <n v="1.6407227228538965"/>
  </r>
  <r>
    <s v="30YrConformingConventional"/>
    <s v="Quicken"/>
    <x v="0"/>
    <s v="MTG"/>
    <x v="365"/>
    <n v="1.6407227228538965"/>
  </r>
  <r>
    <s v="30YrConformingConventional"/>
    <s v="Quicken"/>
    <x v="0"/>
    <s v="MTG"/>
    <x v="366"/>
    <n v="1.5927906297192165"/>
  </r>
  <r>
    <s v="30YrConformingConventional"/>
    <s v="Quicken"/>
    <x v="0"/>
    <s v="MTG"/>
    <x v="367"/>
    <n v="1.5760525648811567"/>
  </r>
  <r>
    <s v="30YrConformingConventional"/>
    <s v="Quicken"/>
    <x v="0"/>
    <s v="MTG"/>
    <x v="368"/>
    <n v="1.6149955870739388"/>
  </r>
  <r>
    <s v="30YrConformingConventional"/>
    <s v="Quicken"/>
    <x v="0"/>
    <s v="MTG"/>
    <x v="369"/>
    <n v="1.6127840662942168"/>
  </r>
  <r>
    <s v="30YrConformingConventional"/>
    <s v="Quicken"/>
    <x v="0"/>
    <s v="MTG"/>
    <x v="370"/>
    <n v="1.5603918256047868"/>
  </r>
  <r>
    <s v="30YrConformingConventional"/>
    <s v="Quicken"/>
    <x v="0"/>
    <s v="MTG"/>
    <x v="371"/>
    <n v="1.5840336592949165"/>
  </r>
  <r>
    <s v="30YrConformingConventional"/>
    <s v="Quicken"/>
    <x v="0"/>
    <s v="MTG"/>
    <x v="372"/>
    <n v="1.5894050644920368"/>
  </r>
  <r>
    <s v="30YrConformingConventional"/>
    <s v="Quicken"/>
    <x v="0"/>
    <s v="MTG"/>
    <x v="373"/>
    <n v="1.5531375516386523"/>
  </r>
  <r>
    <s v="30YrConformingConventional"/>
    <s v="Quicken"/>
    <x v="0"/>
    <s v="MTG"/>
    <x v="374"/>
    <n v="1.5531375516386523"/>
  </r>
  <r>
    <s v="30YrConformingConventional"/>
    <s v="Quicken"/>
    <x v="0"/>
    <s v="MTG"/>
    <x v="375"/>
    <n v="1.5531375516386523"/>
  </r>
  <r>
    <s v="30YrConformingConventional"/>
    <s v="Quicken"/>
    <x v="0"/>
    <s v="MTG"/>
    <x v="376"/>
    <n v="1.571120612643977"/>
  </r>
  <r>
    <s v="30YrConformingConventional"/>
    <s v="Quicken"/>
    <x v="0"/>
    <s v="MTG"/>
    <x v="377"/>
    <n v="1.5345659999831525"/>
  </r>
  <r>
    <s v="30YrConformingConventional"/>
    <s v="Quicken"/>
    <x v="0"/>
    <s v="MTG"/>
    <x v="378"/>
    <n v="1.5353418377266626"/>
  </r>
  <r>
    <s v="30YrConformingConventional"/>
    <s v="Quicken"/>
    <x v="0"/>
    <s v="MTG"/>
    <x v="379"/>
    <n v="1.5544840718757267"/>
  </r>
  <r>
    <s v="30YrConformingConventional"/>
    <s v="Quicken"/>
    <x v="0"/>
    <s v="MTG"/>
    <x v="380"/>
    <n v="1.5544840718757267"/>
  </r>
  <r>
    <s v="30YrConformingConventional"/>
    <s v="Quicken"/>
    <x v="0"/>
    <s v="MTG"/>
    <x v="381"/>
    <n v="1.5544840718757267"/>
  </r>
  <r>
    <s v="30YrConformingConventional"/>
    <s v="Quicken"/>
    <x v="0"/>
    <s v="MTG"/>
    <x v="382"/>
    <n v="1.493854494789999"/>
  </r>
  <r>
    <s v="30YrConformingConventional"/>
    <s v="Quicken"/>
    <x v="0"/>
    <s v="MTG"/>
    <x v="383"/>
    <n v="1.4877526833899832"/>
  </r>
  <r>
    <s v="30YrConformingConventional"/>
    <s v="Quicken"/>
    <x v="0"/>
    <s v="MTG"/>
    <x v="384"/>
    <n v="1.4877526833899832"/>
  </r>
  <r>
    <s v="30YrConformingConventional"/>
    <s v="Quicken"/>
    <x v="0"/>
    <s v="MTG"/>
    <x v="385"/>
    <n v="1.4922978601052164"/>
  </r>
  <r>
    <s v="30YrConformingConventional"/>
    <s v="Quicken"/>
    <x v="0"/>
    <s v="MTG"/>
    <x v="386"/>
    <n v="1.489017118780072"/>
  </r>
  <r>
    <s v="30YrConformingConventional"/>
    <s v="Quicken"/>
    <x v="0"/>
    <s v="MTG"/>
    <x v="387"/>
    <n v="1.5197171590693823"/>
  </r>
  <r>
    <s v="30YrConformingConventional"/>
    <s v="Quicken"/>
    <x v="0"/>
    <s v="MTG"/>
    <x v="388"/>
    <n v="1.4811147546971561"/>
  </r>
  <r>
    <s v="30YrConformingConventional"/>
    <s v="Quicken"/>
    <x v="0"/>
    <s v="MTG"/>
    <x v="389"/>
    <n v="1.4804533916001561"/>
  </r>
  <r>
    <s v="30YrConformingConventional"/>
    <s v="Quicken"/>
    <x v="0"/>
    <s v="MTG"/>
    <x v="390"/>
    <n v="1.4646383683681763"/>
  </r>
  <r>
    <s v="30YrConformingConventional"/>
    <s v="Quicken"/>
    <x v="0"/>
    <s v="MTG"/>
    <x v="391"/>
    <n v="1.4972232648032122"/>
  </r>
  <r>
    <s v="30YrConformingConventional"/>
    <s v="Quicken"/>
    <x v="0"/>
    <s v="MTG"/>
    <x v="392"/>
    <n v="1.4879285722874964"/>
  </r>
  <r>
    <s v="30YrConformingConventional"/>
    <s v="Quicken"/>
    <x v="0"/>
    <s v="MTG"/>
    <x v="393"/>
    <n v="1.5121685199981065"/>
  </r>
  <r>
    <s v="30YrConformingConventional"/>
    <s v="Quicken"/>
    <x v="0"/>
    <s v="MTG"/>
    <x v="394"/>
    <n v="1.5178628759455737"/>
  </r>
  <r>
    <s v="30YrConformingConventional"/>
    <s v="Quicken"/>
    <x v="0"/>
    <s v="MTG"/>
    <x v="395"/>
    <n v="1.5186104570722188"/>
  </r>
  <r>
    <s v="30YrConformingConventional"/>
    <s v="Quicken"/>
    <x v="0"/>
    <s v="MTG"/>
    <x v="396"/>
    <n v="1.5054312329501118"/>
  </r>
  <r>
    <s v="30YrConformingConventional"/>
    <s v="Quicken"/>
    <x v="0"/>
    <s v="MTG"/>
    <x v="397"/>
    <n v="1.521513790241029"/>
  </r>
  <r>
    <s v="30YrConformingConventional"/>
    <s v="Quicken"/>
    <x v="0"/>
    <s v="MTG"/>
    <x v="398"/>
    <n v="1.5562463395970936"/>
  </r>
  <r>
    <s v="30YrConformingConventional"/>
    <s v="Quicken"/>
    <x v="0"/>
    <s v="MTG"/>
    <x v="399"/>
    <n v="1.4940455872819585"/>
  </r>
  <r>
    <s v="30YrConformingConventional"/>
    <s v="Quicken"/>
    <x v="0"/>
    <s v="MTG"/>
    <x v="400"/>
    <n v="1.5127169302762935"/>
  </r>
  <r>
    <s v="30YrConformingConventional"/>
    <s v="Quicken"/>
    <x v="0"/>
    <s v="MTG"/>
    <x v="401"/>
    <n v="1.5012185892686922"/>
  </r>
  <r>
    <s v="30YrConformingConventional"/>
    <s v="Quicken"/>
    <x v="0"/>
    <s v="MTG"/>
    <x v="402"/>
    <n v="1.5120618981583061"/>
  </r>
  <r>
    <s v="30YrConformingConventional"/>
    <s v="Quicken"/>
    <x v="0"/>
    <s v="MTG"/>
    <x v="403"/>
    <n v="1.4926022647047059"/>
  </r>
  <r>
    <s v="30YrConformingConventional"/>
    <s v="Quicken"/>
    <x v="0"/>
    <s v="MTG"/>
    <x v="404"/>
    <n v="1.4856848119711465"/>
  </r>
  <r>
    <s v="30YrConformingConventional"/>
    <s v="Quicken"/>
    <x v="0"/>
    <s v="MTG"/>
    <x v="405"/>
    <n v="1.5241696350774177"/>
  </r>
  <r>
    <s v="30YrConformingConventional"/>
    <s v="Quicken"/>
    <x v="0"/>
    <s v="MTG"/>
    <x v="406"/>
    <n v="1.4740719695673521"/>
  </r>
  <r>
    <s v="30YrConformingConventional"/>
    <s v="Quicken"/>
    <x v="0"/>
    <s v="MTG"/>
    <x v="407"/>
    <n v="1.4784875360986665"/>
  </r>
  <r>
    <s v="30YrConformingConventional"/>
    <s v="Quicken"/>
    <x v="0"/>
    <s v="MTG"/>
    <x v="408"/>
    <n v="1.4320045519071862"/>
  </r>
  <r>
    <s v="30YrConformingConventional"/>
    <s v="Quicken"/>
    <x v="0"/>
    <s v="MTG"/>
    <x v="409"/>
    <n v="1.478316223686392"/>
  </r>
  <r>
    <s v="30YrConformingConventional"/>
    <s v="Quicken"/>
    <x v="0"/>
    <s v="MTG"/>
    <x v="410"/>
    <n v="1.499448050570602"/>
  </r>
  <r>
    <s v="30YrConformingConventional"/>
    <s v="Quicken"/>
    <x v="0"/>
    <s v="MTG"/>
    <x v="411"/>
    <n v="1.4712006960081361"/>
  </r>
  <r>
    <s v="30YrConformingConventional"/>
    <s v="Quicken"/>
    <x v="0"/>
    <s v="MTG"/>
    <x v="412"/>
    <n v="1.4440355872087716"/>
  </r>
  <r>
    <s v="30YrConformingConventional"/>
    <s v="Quicken"/>
    <x v="0"/>
    <s v="MTG"/>
    <x v="413"/>
    <n v="1.453629269040472"/>
  </r>
  <r>
    <s v="30YrConformingConventional"/>
    <s v="Quicken"/>
    <x v="0"/>
    <s v="MTG"/>
    <x v="414"/>
    <n v="1.4993365994757188"/>
  </r>
  <r>
    <s v="30YrConformingConventional"/>
    <s v="Quicken"/>
    <x v="0"/>
    <s v="MTG"/>
    <x v="415"/>
    <n v="1.4690277532078262"/>
  </r>
  <r>
    <s v="30YrConformingConventional"/>
    <s v="Quicken"/>
    <x v="0"/>
    <s v="MTG"/>
    <x v="416"/>
    <n v="1.4491008992311964"/>
  </r>
  <r>
    <s v="30YrConformingConventional"/>
    <s v="Quicken"/>
    <x v="0"/>
    <s v="MTG"/>
    <x v="417"/>
    <n v="1.4677832864535074"/>
  </r>
  <r>
    <s v="30YrConformingConventional"/>
    <s v="Quicken"/>
    <x v="0"/>
    <s v="MTG"/>
    <x v="418"/>
    <n v="1.4645293826445378"/>
  </r>
  <r>
    <s v="30YrConformingConventional"/>
    <s v="Quicken"/>
    <x v="0"/>
    <s v="MTG"/>
    <x v="419"/>
    <n v="1.4640842856558878"/>
  </r>
  <r>
    <s v="30YrConformingConventional"/>
    <s v="Quicken"/>
    <x v="0"/>
    <s v="MTG"/>
    <x v="420"/>
    <n v="1.5303484258262321"/>
  </r>
  <r>
    <s v="30YrConformingConventional"/>
    <s v="Quicken"/>
    <x v="0"/>
    <s v="MTG"/>
    <x v="421"/>
    <n v="1.4734251097741176"/>
  </r>
  <r>
    <s v="30YrConformingConventional"/>
    <s v="Quicken"/>
    <x v="0"/>
    <s v="MTG"/>
    <x v="422"/>
    <n v="1.4948709245333591"/>
  </r>
  <r>
    <s v="30YrConformingConventional"/>
    <s v="Quicken"/>
    <x v="0"/>
    <s v="MTG"/>
    <x v="423"/>
    <n v="1.4807126817249976"/>
  </r>
  <r>
    <s v="30YrConformingConventional"/>
    <s v="Quicken"/>
    <x v="0"/>
    <s v="MTG"/>
    <x v="424"/>
    <n v="1.4539426831903377"/>
  </r>
  <r>
    <s v="30YrConformingConventional"/>
    <s v="Quicken"/>
    <x v="0"/>
    <s v="MTG"/>
    <x v="425"/>
    <n v="1.478443198298202"/>
  </r>
  <r>
    <s v="30YrConformingConventional"/>
    <s v="Quicken"/>
    <x v="0"/>
    <s v="MTG"/>
    <x v="426"/>
    <n v="1.4293605938613598"/>
  </r>
  <r>
    <s v="30YrConformingConventional"/>
    <s v="Quicken"/>
    <x v="0"/>
    <s v="MTG"/>
    <x v="427"/>
    <n v="1.3668511499787195"/>
  </r>
  <r>
    <s v="30YrConformingConventional"/>
    <s v="Quicken"/>
    <x v="0"/>
    <s v="MTG"/>
    <x v="428"/>
    <n v="1.3612635582166137"/>
  </r>
  <r>
    <s v="30YrConformingConventional"/>
    <s v="Quicken"/>
    <x v="0"/>
    <s v="MTG"/>
    <x v="429"/>
    <n v="1.490553100318506"/>
  </r>
  <r>
    <s v="30YrConformingConventional"/>
    <s v="Quicken"/>
    <x v="0"/>
    <s v="MTG"/>
    <x v="430"/>
    <n v="1.5113142119116358"/>
  </r>
  <r>
    <s v="30YrConformingConventional"/>
    <s v="Quicken"/>
    <x v="0"/>
    <s v="MTG"/>
    <x v="431"/>
    <n v="1.4482796673474549"/>
  </r>
  <r>
    <s v="30YrConformingConventional"/>
    <s v="Quicken"/>
    <x v="0"/>
    <s v="MTG"/>
    <x v="432"/>
    <n v="1.3976770639273157"/>
  </r>
  <r>
    <s v="30YrConformingConventional"/>
    <s v="Quicken"/>
    <x v="0"/>
    <s v="MTG"/>
    <x v="433"/>
    <n v="1.4824178685486937"/>
  </r>
  <r>
    <s v="30YrConformingConventional"/>
    <s v="Quicken"/>
    <x v="0"/>
    <s v="MTG"/>
    <x v="434"/>
    <n v="1.4993348213031041"/>
  </r>
  <r>
    <s v="30YrConformingConventional"/>
    <s v="Quicken"/>
    <x v="0"/>
    <s v="MTG"/>
    <x v="435"/>
    <n v="1.4435694289105641"/>
  </r>
  <r>
    <s v="30YrConformingConventional"/>
    <s v="Quicken"/>
    <x v="0"/>
    <s v="MTG"/>
    <x v="436"/>
    <n v="1.4725692740288274"/>
  </r>
  <r>
    <s v="30YrConformingConventional"/>
    <s v="Quicken"/>
    <x v="0"/>
    <s v="MTG"/>
    <x v="437"/>
    <n v="1.5443671184064183"/>
  </r>
  <r>
    <s v="30YrConformingConventional"/>
    <s v="Quicken"/>
    <x v="0"/>
    <s v="MTG"/>
    <x v="438"/>
    <n v="1.581882408026047"/>
  </r>
  <r>
    <s v="30YrConformingConventional"/>
    <s v="Quicken"/>
    <x v="0"/>
    <s v="MTG"/>
    <x v="439"/>
    <n v="1.4329889363434243"/>
  </r>
  <r>
    <s v="30YrConformingConventional"/>
    <s v="Quicken"/>
    <x v="0"/>
    <s v="MTG"/>
    <x v="440"/>
    <n v="1.3999996972866178"/>
  </r>
  <r>
    <s v="30YrConformingConventional"/>
    <s v="Quicken"/>
    <x v="0"/>
    <s v="MTG"/>
    <x v="441"/>
    <n v="1.5445254459051749"/>
  </r>
  <r>
    <s v="30YrConformingConventional"/>
    <s v="Quicken"/>
    <x v="0"/>
    <s v="MTG"/>
    <x v="442"/>
    <n v="1.4523673783886575"/>
  </r>
  <r>
    <s v="30YrConformingConventional"/>
    <s v="Quicken"/>
    <x v="0"/>
    <s v="MTG"/>
    <x v="443"/>
    <n v="1.5011487073929168"/>
  </r>
  <r>
    <s v="30YrConformingConventional"/>
    <s v="Quicken"/>
    <x v="0"/>
    <s v="MTG"/>
    <x v="444"/>
    <n v="1.5562819488663768"/>
  </r>
  <r>
    <s v="30YrConformingConventional"/>
    <s v="Quicken"/>
    <x v="0"/>
    <s v="MTG"/>
    <x v="445"/>
    <n v="1.5278657812520973"/>
  </r>
  <r>
    <s v="30YrConformingConventional"/>
    <s v="Quicken"/>
    <x v="0"/>
    <s v="MTG"/>
    <x v="446"/>
    <n v="1.4422276012600175"/>
  </r>
  <r>
    <s v="30YrConformingConventional"/>
    <s v="Quicken"/>
    <x v="0"/>
    <s v="MTG"/>
    <x v="447"/>
    <n v="1.4461181856995144"/>
  </r>
  <r>
    <s v="30YrConformingConventional"/>
    <s v="Quicken"/>
    <x v="0"/>
    <s v="MTG"/>
    <x v="448"/>
    <n v="1.4341951498471548"/>
  </r>
  <r>
    <s v="30YrConformingConventional"/>
    <s v="Quicken"/>
    <x v="0"/>
    <s v="MTG"/>
    <x v="449"/>
    <n v="1.378524625793625"/>
  </r>
  <r>
    <s v="30YrConformingConventional"/>
    <s v="Quicken"/>
    <x v="0"/>
    <s v="MTG"/>
    <x v="450"/>
    <n v="1.4509294507715105"/>
  </r>
  <r>
    <s v="30YrConformingConventional"/>
    <s v="Quicken"/>
    <x v="0"/>
    <s v="MTG"/>
    <x v="451"/>
    <n v="1.4254607494027411"/>
  </r>
  <r>
    <s v="30YrConformingConventional"/>
    <s v="Quicken"/>
    <x v="0"/>
    <s v="MTG"/>
    <x v="452"/>
    <n v="1.4824187989293012"/>
  </r>
  <r>
    <s v="30YrConformingConventional"/>
    <s v="Quicken"/>
    <x v="0"/>
    <s v="MTG"/>
    <x v="453"/>
    <n v="1.467579300655121"/>
  </r>
  <r>
    <s v="30YrConformingConventional"/>
    <s v="Quicken"/>
    <x v="0"/>
    <s v="MTG"/>
    <x v="454"/>
    <n v="1.497061576724741"/>
  </r>
  <r>
    <s v="30YrConformingConventional"/>
    <s v="Quicken"/>
    <x v="0"/>
    <s v="MTG"/>
    <x v="455"/>
    <n v="1.501486438372851"/>
  </r>
  <r>
    <s v="30YrConformingConventional"/>
    <s v="Quicken"/>
    <x v="0"/>
    <s v="MTG"/>
    <x v="456"/>
    <n v="1.466675665870705"/>
  </r>
  <r>
    <s v="30YrConformingConventional"/>
    <s v="Quicken"/>
    <x v="0"/>
    <s v="MTG"/>
    <x v="457"/>
    <n v="1.449507139533885"/>
  </r>
  <r>
    <s v="30YrConformingConventional"/>
    <s v="Quicken"/>
    <x v="0"/>
    <s v="MTG"/>
    <x v="458"/>
    <n v="1.5138123113068254"/>
  </r>
  <r>
    <s v="30YrConformingConventional"/>
    <s v="Quicken"/>
    <x v="0"/>
    <s v="MTG"/>
    <x v="459"/>
    <n v="1.5666560695277449"/>
  </r>
  <r>
    <s v="30YrConformingConventional"/>
    <s v="Quicken"/>
    <x v="0"/>
    <s v="MTG"/>
    <x v="460"/>
    <n v="1.6271593415608145"/>
  </r>
  <r>
    <s v="30YrConformingConventional"/>
    <s v="Quicken"/>
    <x v="0"/>
    <s v="MTG"/>
    <x v="461"/>
    <n v="1.6006184541904649"/>
  </r>
  <r>
    <s v="30YrConformingConventional"/>
    <s v="Quicken"/>
    <x v="0"/>
    <s v="MTG"/>
    <x v="462"/>
    <n v="1.5835903276145653"/>
  </r>
  <r>
    <s v="30YrConformingConventional"/>
    <s v="Quicken"/>
    <x v="0"/>
    <s v="MTG"/>
    <x v="463"/>
    <n v="1.6769784640278749"/>
  </r>
  <r>
    <s v="30YrConformingConventional"/>
    <s v="Quicken"/>
    <x v="0"/>
    <s v="MTG"/>
    <x v="464"/>
    <n v="1.6189427517405448"/>
  </r>
  <r>
    <s v="30YrConformingConventional"/>
    <s v="Quicken"/>
    <x v="0"/>
    <s v="MTG"/>
    <x v="465"/>
    <n v="1.6458959560027748"/>
  </r>
  <r>
    <s v="30YrConformingConventional"/>
    <s v="Quicken"/>
    <x v="0"/>
    <s v="MTG"/>
    <x v="466"/>
    <n v="1.6489007706170149"/>
  </r>
  <r>
    <s v="30YrConformingConventional"/>
    <s v="Quicken"/>
    <x v="0"/>
    <s v="MTG"/>
    <x v="467"/>
    <n v="1.6690041909268851"/>
  </r>
  <r>
    <s v="30YrConformingConventional"/>
    <s v="Quicken"/>
    <x v="0"/>
    <s v="MTG"/>
    <x v="468"/>
    <n v="1.6730430774906948"/>
  </r>
  <r>
    <s v="30YrConformingConventional"/>
    <s v="Quicken"/>
    <x v="0"/>
    <s v="MTG"/>
    <x v="469"/>
    <n v="1.6399129497441249"/>
  </r>
  <r>
    <s v="30YrConformingConventional"/>
    <s v="Quicken"/>
    <x v="0"/>
    <s v="MTG"/>
    <x v="470"/>
    <n v="1.6842522804782352"/>
  </r>
  <r>
    <s v="30YrConformingConventional"/>
    <s v="Quicken"/>
    <x v="0"/>
    <s v="MTG"/>
    <x v="471"/>
    <n v="1.433321061767785"/>
  </r>
  <r>
    <s v="30YrConformingConventional"/>
    <s v="Quicken"/>
    <x v="0"/>
    <s v="MTG"/>
    <x v="472"/>
    <n v="1.3702606150425449"/>
  </r>
  <r>
    <s v="30YrConformingConventional"/>
    <s v="Quicken"/>
    <x v="0"/>
    <s v="MTG"/>
    <x v="473"/>
    <n v="1.3728007228436645"/>
  </r>
  <r>
    <s v="30YrConformingConventional"/>
    <s v="Quicken"/>
    <x v="0"/>
    <s v="MTG"/>
    <x v="474"/>
    <n v="1.4430003007956647"/>
  </r>
  <r>
    <s v="30YrConformingConventional"/>
    <s v="Quicken"/>
    <x v="0"/>
    <s v="MTG"/>
    <x v="475"/>
    <n v="1.3734542552848548"/>
  </r>
  <r>
    <s v="30YrConformingConventional"/>
    <s v="Quicken"/>
    <x v="0"/>
    <s v="MTG"/>
    <x v="476"/>
    <n v="1.3240726161059646"/>
  </r>
  <r>
    <s v="30YrConformingConventional"/>
    <s v="Quicken"/>
    <x v="0"/>
    <s v="MTG"/>
    <x v="477"/>
    <n v="1.3383186721897347"/>
  </r>
  <r>
    <s v="30YrConformingConventional"/>
    <s v="Quicken"/>
    <x v="0"/>
    <s v="MTG"/>
    <x v="478"/>
    <n v="1.3656048687716347"/>
  </r>
  <r>
    <s v="30YrConformingConventional"/>
    <s v="Quicken"/>
    <x v="0"/>
    <s v="MTG"/>
    <x v="479"/>
    <n v="1.372265737831905"/>
  </r>
  <r>
    <s v="30YrConformingConventional"/>
    <s v="Quicken"/>
    <x v="0"/>
    <s v="MTG"/>
    <x v="480"/>
    <n v="1.3915215918059547"/>
  </r>
  <r>
    <s v="30YrConformingConventional"/>
    <s v="Quicken"/>
    <x v="0"/>
    <s v="MTG"/>
    <x v="481"/>
    <n v="1.3671925586194547"/>
  </r>
  <r>
    <s v="30YrConformingConventional"/>
    <s v="Quicken"/>
    <x v="0"/>
    <s v="MTG"/>
    <x v="482"/>
    <n v="1.4211278380363248"/>
  </r>
  <r>
    <s v="30YrConformingConventional"/>
    <s v="Quicken"/>
    <x v="0"/>
    <s v="MTG"/>
    <x v="483"/>
    <n v="1.402651780457155"/>
  </r>
  <r>
    <s v="30YrConformingConventional"/>
    <s v="Quicken"/>
    <x v="0"/>
    <s v="MTG"/>
    <x v="484"/>
    <n v="1.4707144656529045"/>
  </r>
  <r>
    <s v="30YrConformingConventional"/>
    <s v="Quicken"/>
    <x v="0"/>
    <s v="MTG"/>
    <x v="485"/>
    <n v="1.4849043405592348"/>
  </r>
  <r>
    <s v="30YrConformingConventional"/>
    <s v="Quicken"/>
    <x v="0"/>
    <s v="MTG"/>
    <x v="486"/>
    <n v="1.5061857364031082"/>
  </r>
  <r>
    <s v="30YrConformingConventional"/>
    <s v="Quicken"/>
    <x v="0"/>
    <s v="MTG"/>
    <x v="487"/>
    <n v="1.4409438906335281"/>
  </r>
  <r>
    <s v="30YrConformingConventional"/>
    <s v="Quicken"/>
    <x v="0"/>
    <s v="MTG"/>
    <x v="488"/>
    <n v="1.421764745168548"/>
  </r>
  <r>
    <s v="30YrConformingConventional"/>
    <s v="Quicken"/>
    <x v="0"/>
    <s v="MTG"/>
    <x v="489"/>
    <n v="1.3913735870008881"/>
  </r>
  <r>
    <s v="30YrConformingConventional"/>
    <s v="Quicken"/>
    <x v="0"/>
    <s v="MTG"/>
    <x v="490"/>
    <n v="1.3511694549341784"/>
  </r>
  <r>
    <s v="30YrConformingConventional"/>
    <s v="Quicken"/>
    <x v="0"/>
    <s v="MTG"/>
    <x v="491"/>
    <n v="1.4025047664708281"/>
  </r>
  <r>
    <s v="30YrConformingConventional"/>
    <s v="Quicken"/>
    <x v="0"/>
    <s v="MTG"/>
    <x v="492"/>
    <n v="1.4262629833066482"/>
  </r>
  <r>
    <s v="30YrConformingConventional"/>
    <s v="Quicken"/>
    <x v="0"/>
    <s v="MTG"/>
    <x v="493"/>
    <n v="1.4115290959139284"/>
  </r>
  <r>
    <s v="30YrConformingConventional"/>
    <s v="Quicken"/>
    <x v="0"/>
    <s v="MTG"/>
    <x v="494"/>
    <n v="1.414561760261928"/>
  </r>
  <r>
    <s v="30YrConformingConventional"/>
    <s v="Quicken"/>
    <x v="0"/>
    <s v="MTG"/>
    <x v="495"/>
    <n v="1.447614831872988"/>
  </r>
  <r>
    <s v="30YrConformingConventional"/>
    <s v="Quicken"/>
    <x v="0"/>
    <s v="MTG"/>
    <x v="496"/>
    <n v="1.519698602227888"/>
  </r>
  <r>
    <s v="30YrConformingConventional"/>
    <s v="Quicken"/>
    <x v="0"/>
    <s v="MTG"/>
    <x v="497"/>
    <n v="1.4572060426679383"/>
  </r>
  <r>
    <s v="30YrConformingConventional"/>
    <s v="Quicken"/>
    <x v="0"/>
    <s v="MTG"/>
    <x v="498"/>
    <n v="1.4642101389741282"/>
  </r>
  <r>
    <s v="30YrConformingConventional"/>
    <s v="Quicken"/>
    <x v="0"/>
    <s v="MTG"/>
    <x v="499"/>
    <n v="1.3612190420174384"/>
  </r>
  <r>
    <s v="30YrConformingConventional"/>
    <s v="Quicken"/>
    <x v="0"/>
    <s v="MTG"/>
    <x v="500"/>
    <n v="1.3333635592514381"/>
  </r>
  <r>
    <s v="30YrConformingConventional"/>
    <s v="Quicken"/>
    <x v="0"/>
    <s v="MTG"/>
    <x v="501"/>
    <n v="1.3356167570498185"/>
  </r>
  <r>
    <s v="30YrConformingConventional"/>
    <s v="Quicken"/>
    <x v="0"/>
    <s v="MTG"/>
    <x v="502"/>
    <n v="1.3424046613409581"/>
  </r>
  <r>
    <s v="30YrConformingConventional"/>
    <s v="Quicken"/>
    <x v="0"/>
    <s v="MTG"/>
    <x v="503"/>
    <n v="1.3244836913781983"/>
  </r>
  <r>
    <s v="30YrConformingConventional"/>
    <s v="Quicken"/>
    <x v="0"/>
    <s v="MTG"/>
    <x v="504"/>
    <n v="1.2856640570980375"/>
  </r>
  <r>
    <s v="30YrConformingConventional"/>
    <s v="Quicken"/>
    <x v="0"/>
    <s v="MTG"/>
    <x v="505"/>
    <n v="1.227017626094308"/>
  </r>
  <r>
    <s v="30YrConformingConventional"/>
    <s v="Quicken"/>
    <x v="0"/>
    <s v="MTG"/>
    <x v="506"/>
    <n v="1.2469467400453182"/>
  </r>
  <r>
    <s v="30YrConformingConventional"/>
    <s v="Quicken"/>
    <x v="0"/>
    <s v="MTG"/>
    <x v="507"/>
    <n v="1.2131569535374482"/>
  </r>
  <r>
    <s v="30YrConformingConventional"/>
    <s v="Quicken"/>
    <x v="0"/>
    <s v="MTG"/>
    <x v="508"/>
    <n v="1.2168922954116985"/>
  </r>
  <r>
    <s v="30YrConformingConventional"/>
    <s v="Quicken"/>
    <x v="0"/>
    <s v="MTG"/>
    <x v="509"/>
    <n v="1.322186223033428"/>
  </r>
  <r>
    <s v="30YrConformingConventional"/>
    <s v="Quicken"/>
    <x v="0"/>
    <s v="MTG"/>
    <x v="510"/>
    <n v="1.3072349864128481"/>
  </r>
  <r>
    <s v="30YrConformingConventional"/>
    <s v="Quicken"/>
    <x v="0"/>
    <s v="MTG"/>
    <x v="511"/>
    <n v="1.4776018722176196"/>
  </r>
  <r>
    <s v="30YrConformingConventional"/>
    <s v="Quicken"/>
    <x v="0"/>
    <s v="MTG"/>
    <x v="512"/>
    <n v="1.4986104944004097"/>
  </r>
  <r>
    <s v="30YrConformingConventional"/>
    <s v="Quicken"/>
    <x v="0"/>
    <s v="MTG"/>
    <x v="513"/>
    <n v="1.5455413416371995"/>
  </r>
  <r>
    <s v="30YrConformingConventional"/>
    <s v="Quicken"/>
    <x v="0"/>
    <s v="MTG"/>
    <x v="514"/>
    <n v="1.5786911671996398"/>
  </r>
  <r>
    <s v="30YrConformingConventional"/>
    <s v="Quicken"/>
    <x v="0"/>
    <s v="MTG"/>
    <x v="515"/>
    <n v="1.5524228248541994"/>
  </r>
  <r>
    <s v="30YrConformingConventional"/>
    <s v="Quicken"/>
    <x v="0"/>
    <s v="MTG"/>
    <x v="516"/>
    <n v="1.4118702125696478"/>
  </r>
  <r>
    <s v="30YrConformingConventional"/>
    <s v="Quicken"/>
    <x v="0"/>
    <s v="MTG"/>
    <x v="517"/>
    <n v="1.4419010996385677"/>
  </r>
  <r>
    <s v="30YrConformingConventional"/>
    <s v="Quicken"/>
    <x v="0"/>
    <s v="MTG"/>
    <x v="518"/>
    <n v="1.4058822765510868"/>
  </r>
  <r>
    <s v="30YrConformingConventional"/>
    <s v="Quicken"/>
    <x v="0"/>
    <s v="MTG"/>
    <x v="519"/>
    <n v="1.4863363427012548"/>
  </r>
  <r>
    <s v="30YrConformingConventional"/>
    <s v="Quicken"/>
    <x v="0"/>
    <s v="MTG"/>
    <x v="520"/>
    <n v="1.4309394791869843"/>
  </r>
  <r>
    <s v="30YrConformingConventional"/>
    <s v="Quicken"/>
    <x v="0"/>
    <s v="MTG"/>
    <x v="521"/>
    <n v="1.4498866517693747"/>
  </r>
  <r>
    <s v="30YrConformingConventional"/>
    <s v="Quicken"/>
    <x v="0"/>
    <s v="MTG"/>
    <x v="522"/>
    <n v="1.5035826166124546"/>
  </r>
  <r>
    <s v="30YrConformingConventional"/>
    <s v="Quicken"/>
    <x v="0"/>
    <s v="MTG"/>
    <x v="523"/>
    <n v="1.4076133432741247"/>
  </r>
  <r>
    <s v="30YrConformingConventional"/>
    <s v="Quicken"/>
    <x v="0"/>
    <s v="MTG"/>
    <x v="524"/>
    <n v="1.3931696121363746"/>
  </r>
  <r>
    <s v="30YrConformingConventional"/>
    <s v="Quicken"/>
    <x v="0"/>
    <s v="MTG"/>
    <x v="525"/>
    <n v="1.4122693695611748"/>
  </r>
  <r>
    <s v="30YrConformingConventional"/>
    <s v="Quicken"/>
    <x v="0"/>
    <s v="MTG"/>
    <x v="526"/>
    <n v="1.464173913765797"/>
  </r>
  <r>
    <s v="30YrConformingConventional"/>
    <s v="Quicken"/>
    <x v="0"/>
    <s v="MTG"/>
    <x v="527"/>
    <n v="1.4708964292783269"/>
  </r>
  <r>
    <s v="30YrConformingConventional"/>
    <s v="Quicken"/>
    <x v="0"/>
    <s v="MTG"/>
    <x v="528"/>
    <n v="1.4554980504693147"/>
  </r>
  <r>
    <s v="30YrConformingConventional"/>
    <s v="Quicken"/>
    <x v="0"/>
    <s v="MTG"/>
    <x v="529"/>
    <n v="1.4543978335557846"/>
  </r>
  <r>
    <s v="30YrConformingConventional"/>
    <s v="Quicken"/>
    <x v="0"/>
    <s v="MTG"/>
    <x v="530"/>
    <n v="1.4539471213238657"/>
  </r>
  <r>
    <s v="30YrConformingConventional"/>
    <s v="Quicken"/>
    <x v="0"/>
    <s v="MTG"/>
    <x v="531"/>
    <n v="1.4452690321246657"/>
  </r>
  <r>
    <s v="30YrConformingConventional"/>
    <s v="Quicken"/>
    <x v="0"/>
    <s v="MTG"/>
    <x v="532"/>
    <n v="1.4521308249420872"/>
  </r>
  <r>
    <s v="30YrConformingConventional"/>
    <s v="Quicken"/>
    <x v="0"/>
    <s v="MTG"/>
    <x v="533"/>
    <n v="1.4280909118750371"/>
  </r>
  <r>
    <s v="30YrConformingConventional"/>
    <s v="Quicken"/>
    <x v="0"/>
    <s v="MTG"/>
    <x v="534"/>
    <n v="1.4730352749553324"/>
  </r>
  <r>
    <s v="30YrConformingConventional"/>
    <s v="Quicken"/>
    <x v="0"/>
    <s v="MTG"/>
    <x v="535"/>
    <n v="1.4483823962451361"/>
  </r>
  <r>
    <s v="30YrConformingConventional"/>
    <s v="Quicken"/>
    <x v="0"/>
    <s v="MTG"/>
    <x v="536"/>
    <n v="1.4760011037669045"/>
  </r>
  <r>
    <s v="30YrConformingConventional"/>
    <s v="Quicken"/>
    <x v="0"/>
    <s v="MTG"/>
    <x v="537"/>
    <n v="1.4055573957078844"/>
  </r>
  <r>
    <s v="30YrConformingConventional"/>
    <s v="Quicken"/>
    <x v="0"/>
    <s v="MTG"/>
    <x v="538"/>
    <n v="1.524879258329797"/>
  </r>
  <r>
    <s v="30YrConformingConventional"/>
    <s v="Quicken"/>
    <x v="0"/>
    <s v="MTG"/>
    <x v="539"/>
    <n v="1.4584163619840247"/>
  </r>
  <r>
    <s v="30YrConformingConventional"/>
    <s v="Quicken"/>
    <x v="0"/>
    <s v="MTG"/>
    <x v="540"/>
    <n v="1.4761818398575346"/>
  </r>
  <r>
    <s v="30YrConformingConventional"/>
    <s v="Quicken"/>
    <x v="0"/>
    <s v="MTG"/>
    <x v="541"/>
    <n v="1.4349360196707046"/>
  </r>
  <r>
    <s v="30YrConformingConventional"/>
    <s v="Quicken"/>
    <x v="0"/>
    <s v="MTG"/>
    <x v="542"/>
    <n v="1.4710371770848545"/>
  </r>
  <r>
    <s v="30YrConformingConventional"/>
    <s v="Quicken"/>
    <x v="0"/>
    <s v="MTG"/>
    <x v="543"/>
    <n v="1.4463010742516547"/>
  </r>
  <r>
    <s v="30YrConformingConventional"/>
    <s v="Quicken"/>
    <x v="0"/>
    <s v="MTG"/>
    <x v="544"/>
    <n v="1.5013471901632269"/>
  </r>
  <r>
    <s v="30YrConformingConventional"/>
    <s v="Quicken"/>
    <x v="0"/>
    <s v="MTG"/>
    <x v="545"/>
    <n v="1.5095900585644972"/>
  </r>
  <r>
    <s v="30YrConformingConventional"/>
    <s v="Quicken"/>
    <x v="0"/>
    <s v="MTG"/>
    <x v="546"/>
    <n v="1.4004985467026245"/>
  </r>
  <r>
    <s v="30YrConformingConventional"/>
    <s v="Quicken"/>
    <x v="0"/>
    <s v="MTG"/>
    <x v="547"/>
    <n v="1.3876881408161936"/>
  </r>
  <r>
    <s v="30YrConformingConventional"/>
    <s v="Quicken"/>
    <x v="0"/>
    <s v="MTG"/>
    <x v="548"/>
    <n v="1.3911662103477238"/>
  </r>
  <r>
    <s v="30YrConformingConventional"/>
    <s v="Quicken"/>
    <x v="0"/>
    <s v="MTG"/>
    <x v="549"/>
    <n v="1.474314665057374"/>
  </r>
  <r>
    <s v="30YrConformingConventional"/>
    <s v="Quicken"/>
    <x v="0"/>
    <s v="MTG"/>
    <x v="550"/>
    <n v="1.4389663866825646"/>
  </r>
  <r>
    <s v="30YrConformingConventional"/>
    <s v="Quicken"/>
    <x v="0"/>
    <s v="MTG"/>
    <x v="551"/>
    <n v="1.4562172062074747"/>
  </r>
  <r>
    <s v="30YrConformingConventional"/>
    <s v="Quicken"/>
    <x v="0"/>
    <s v="MTG"/>
    <x v="552"/>
    <n v="1.5125199716889799"/>
  </r>
  <r>
    <s v="30YrConformingConventional"/>
    <s v="Quicken"/>
    <x v="0"/>
    <s v="MTG"/>
    <x v="553"/>
    <n v="1.4163989414958771"/>
  </r>
  <r>
    <s v="30YrConformingConventional"/>
    <s v="Quicken"/>
    <x v="0"/>
    <s v="MTG"/>
    <x v="554"/>
    <n v="1.4290090558319652"/>
  </r>
  <r>
    <s v="30YrConformingConventional"/>
    <s v="Quicken"/>
    <x v="0"/>
    <s v="MTG"/>
    <x v="555"/>
    <n v="1.4555629341128398"/>
  </r>
  <r>
    <s v="30YrConformingConventional"/>
    <s v="Quicken"/>
    <x v="0"/>
    <s v="MTG"/>
    <x v="556"/>
    <n v="1.4003450565689153"/>
  </r>
  <r>
    <s v="30YrConformingConventional"/>
    <s v="Quicken"/>
    <x v="0"/>
    <s v="MTG"/>
    <x v="557"/>
    <n v="1.4530864689991101"/>
  </r>
  <r>
    <s v="30YrConformingConventional"/>
    <s v="Quicken"/>
    <x v="0"/>
    <s v="MTG"/>
    <x v="558"/>
    <n v="1.4406158801152951"/>
  </r>
  <r>
    <s v="30YrConformingConventional"/>
    <s v="Quicken"/>
    <x v="0"/>
    <s v="MTG"/>
    <x v="559"/>
    <n v="1.4689604720614851"/>
  </r>
  <r>
    <s v="30YrConformingConventional"/>
    <s v="Quicken"/>
    <x v="0"/>
    <s v="MTG"/>
    <x v="560"/>
    <n v="1.4541570301667572"/>
  </r>
  <r>
    <s v="30YrConformingConventional"/>
    <s v="Quicken"/>
    <x v="0"/>
    <s v="MTG"/>
    <x v="561"/>
    <n v="1.4573295422437356"/>
  </r>
  <r>
    <s v="30YrConformingConventional"/>
    <s v="Quicken"/>
    <x v="0"/>
    <s v="MTG"/>
    <x v="562"/>
    <n v="1.4123297914887534"/>
  </r>
  <r>
    <s v="30YrConformingConventional"/>
    <s v="Quicken"/>
    <x v="0"/>
    <s v="MTG"/>
    <x v="563"/>
    <n v="1.463771983117957"/>
  </r>
  <r>
    <s v="30YrConformingConventional"/>
    <s v="Quicken"/>
    <x v="0"/>
    <s v="MTG"/>
    <x v="564"/>
    <n v="1.4358500734071411"/>
  </r>
  <r>
    <s v="30YrConformingConventional"/>
    <s v="Quicken"/>
    <x v="0"/>
    <s v="MTG"/>
    <x v="565"/>
    <n v="1.4123179435101934"/>
  </r>
  <r>
    <s v="30YrConformingConventional"/>
    <s v="Quicken"/>
    <x v="0"/>
    <s v="MTG"/>
    <x v="566"/>
    <n v="1.436741482700302"/>
  </r>
  <r>
    <s v="30YrConformingConventional"/>
    <s v="Quicken"/>
    <x v="0"/>
    <s v="MTG"/>
    <x v="567"/>
    <n v="1.452224402663177"/>
  </r>
  <r>
    <s v="30YrConformingConventional"/>
    <s v="Quicken"/>
    <x v="0"/>
    <s v="MTG"/>
    <x v="568"/>
    <n v="1.4636294437348354"/>
  </r>
  <r>
    <s v="30YrConformingConventional"/>
    <s v="Quicken"/>
    <x v="0"/>
    <s v="MTG"/>
    <x v="569"/>
    <n v="1.4663495569176153"/>
  </r>
  <r>
    <s v="30YrConformingConventional"/>
    <s v="Quicken"/>
    <x v="0"/>
    <s v="MTG"/>
    <x v="570"/>
    <n v="1.4378194876956933"/>
  </r>
  <r>
    <s v="30YrConformingConventional"/>
    <s v="Quicken"/>
    <x v="0"/>
    <s v="MTG"/>
    <x v="571"/>
    <n v="1.4376108897513222"/>
  </r>
  <r>
    <s v="30YrConformingConventional"/>
    <s v="Quicken"/>
    <x v="0"/>
    <s v="MTG"/>
    <x v="572"/>
    <n v="1.4480946211232821"/>
  </r>
  <r>
    <s v="30YrConformingConventional"/>
    <s v="Quicken"/>
    <x v="0"/>
    <s v="MTG"/>
    <x v="573"/>
    <n v="1.4542471714460472"/>
  </r>
  <r>
    <s v="30YrConformingConventional"/>
    <s v="Quicken"/>
    <x v="0"/>
    <s v="MTG"/>
    <x v="574"/>
    <n v="1.4941952241242173"/>
  </r>
  <r>
    <s v="30YrConformingConventional"/>
    <s v="Quicken"/>
    <x v="0"/>
    <s v="MTG"/>
    <x v="575"/>
    <n v="1.4484083280645019"/>
  </r>
  <r>
    <s v="30YrConformingConventional"/>
    <s v="Quicken"/>
    <x v="0"/>
    <s v="MTG"/>
    <x v="576"/>
    <n v="1.4501525425109421"/>
  </r>
  <r>
    <s v="30YrConformingConventional"/>
    <s v="Quicken"/>
    <x v="0"/>
    <s v="MTG"/>
    <x v="577"/>
    <n v="1.4565883200506724"/>
  </r>
  <r>
    <s v="30YrConformingConventional"/>
    <s v="Quicken"/>
    <x v="0"/>
    <s v="MTG"/>
    <x v="578"/>
    <n v="1.4344966269349735"/>
  </r>
  <r>
    <s v="30YrConformingConventional"/>
    <s v="Quicken"/>
    <x v="0"/>
    <s v="MTG"/>
    <x v="579"/>
    <n v="1.4145839711474324"/>
  </r>
  <r>
    <s v="30YrConformingConventional"/>
    <s v="Quicken"/>
    <x v="0"/>
    <s v="MTG"/>
    <x v="580"/>
    <n v="1.4047532534988323"/>
  </r>
  <r>
    <s v="30YrConformingConventional"/>
    <s v="Quicken"/>
    <x v="0"/>
    <s v="MTG"/>
    <x v="581"/>
    <n v="1.4580078338193498"/>
  </r>
  <r>
    <s v="30YrConformingConventional"/>
    <s v="Quicken"/>
    <x v="0"/>
    <s v="MTG"/>
    <x v="582"/>
    <n v="1.3836006504029952"/>
  </r>
  <r>
    <s v="30YrConformingConventional"/>
    <s v="Quicken"/>
    <x v="0"/>
    <s v="MTG"/>
    <x v="583"/>
    <n v="1.3555077705463561"/>
  </r>
  <r>
    <s v="30YrConformingConventional"/>
    <s v="Quicken"/>
    <x v="0"/>
    <s v="MTG"/>
    <x v="584"/>
    <n v="1.4387923320718445"/>
  </r>
  <r>
    <s v="30YrConformingConventional"/>
    <s v="Quicken"/>
    <x v="0"/>
    <s v="MTG"/>
    <x v="585"/>
    <n v="1.4186090152427937"/>
  </r>
  <r>
    <s v="30YrConformingConventional"/>
    <s v="Quicken"/>
    <x v="0"/>
    <s v="MTG"/>
    <x v="586"/>
    <n v="1.4111256800737948"/>
  </r>
  <r>
    <s v="30YrConformingConventional"/>
    <s v="Quicken"/>
    <x v="0"/>
    <s v="MTG"/>
    <x v="587"/>
    <n v="1.4237651860615943"/>
  </r>
  <r>
    <s v="30YrConformingConventional"/>
    <s v="Quicken"/>
    <x v="0"/>
    <s v="MTG"/>
    <x v="588"/>
    <n v="1.4240593531482499"/>
  </r>
  <r>
    <s v="30YrConformingConventional"/>
    <s v="Quicken"/>
    <x v="0"/>
    <s v="MTG"/>
    <x v="589"/>
    <n v="1.3967483933890759"/>
  </r>
  <r>
    <s v="30YrConformingConventional"/>
    <s v="Quicken"/>
    <x v="0"/>
    <s v="MTG"/>
    <x v="590"/>
    <n v="1.4222746820915295"/>
  </r>
  <r>
    <s v="30YrConformingConventional"/>
    <s v="Quicken"/>
    <x v="0"/>
    <s v="MTG"/>
    <x v="591"/>
    <n v="1.4247651532709658"/>
  </r>
  <r>
    <s v="30YrConformingConventional"/>
    <s v="Quicken"/>
    <x v="0"/>
    <s v="MTG"/>
    <x v="592"/>
    <n v="1.4356507651695751"/>
  </r>
  <r>
    <s v="30YrConformingConventional"/>
    <s v="Quicken"/>
    <x v="0"/>
    <s v="MTG"/>
    <x v="593"/>
    <n v="1.4337508900700253"/>
  </r>
  <r>
    <s v="30YrConformingConventional"/>
    <s v="Quicken"/>
    <x v="0"/>
    <s v="MTG"/>
    <x v="594"/>
    <n v="1.4346030224691373"/>
  </r>
  <r>
    <s v="30YrConformingConventional"/>
    <s v="Quicken"/>
    <x v="0"/>
    <s v="MTG"/>
    <x v="595"/>
    <n v="1.4232564696708769"/>
  </r>
  <r>
    <s v="30YrConformingConventional"/>
    <s v="Quicken"/>
    <x v="0"/>
    <s v="MTG"/>
    <x v="596"/>
    <n v="1.3840606173742553"/>
  </r>
  <r>
    <s v="30YrConformingConventional"/>
    <s v="Quicken"/>
    <x v="0"/>
    <s v="MTG"/>
    <x v="597"/>
    <n v="1.4070651448791671"/>
  </r>
  <r>
    <s v="30YrConformingConventional"/>
    <s v="Quicken"/>
    <x v="0"/>
    <s v="MTG"/>
    <x v="598"/>
    <n v="1.4442688694112495"/>
  </r>
  <r>
    <s v="30YrConformingConventional"/>
    <s v="Quicken"/>
    <x v="0"/>
    <s v="MTG"/>
    <x v="599"/>
    <n v="1.4640818399660298"/>
  </r>
  <r>
    <s v="30YrConformingConventional"/>
    <s v="Quicken"/>
    <x v="0"/>
    <s v="MTG"/>
    <x v="600"/>
    <n v="1.4298388060869951"/>
  </r>
  <r>
    <s v="30YrConformingConventional"/>
    <s v="Quicken"/>
    <x v="0"/>
    <s v="MTG"/>
    <x v="601"/>
    <n v="1.4048108966062722"/>
  </r>
  <r>
    <s v="30YrConformingConventional"/>
    <s v="Quicken"/>
    <x v="0"/>
    <s v="MTG"/>
    <x v="602"/>
    <n v="1.3973234359779219"/>
  </r>
  <r>
    <s v="30YrConformingConventional"/>
    <s v="Quicken"/>
    <x v="0"/>
    <s v="MTG"/>
    <x v="603"/>
    <n v="1.3940862581375932"/>
  </r>
  <r>
    <s v="30YrConformingConventional"/>
    <s v="Quicken"/>
    <x v="0"/>
    <s v="MTG"/>
    <x v="604"/>
    <n v="1.3982367119233219"/>
  </r>
  <r>
    <s v="30YrConformingConventional"/>
    <s v="Quicken"/>
    <x v="0"/>
    <s v="MTG"/>
    <x v="605"/>
    <n v="1.4114771163721624"/>
  </r>
  <r>
    <s v="30YrConformingConventional"/>
    <s v="Quicken"/>
    <x v="0"/>
    <s v="MTG"/>
    <x v="606"/>
    <n v="1.3918998800051521"/>
  </r>
  <r>
    <s v="30YrConformingConventional"/>
    <s v="Quicken"/>
    <x v="0"/>
    <s v="MTG"/>
    <x v="607"/>
    <n v="1.3660775198805277"/>
  </r>
  <r>
    <s v="30YrConformingConventional"/>
    <s v="Quicken"/>
    <x v="0"/>
    <s v="MTG"/>
    <x v="608"/>
    <n v="1.4073274784605712"/>
  </r>
  <r>
    <s v="30YrConformingConventional"/>
    <s v="Quicken"/>
    <x v="0"/>
    <s v="MTG"/>
    <x v="609"/>
    <n v="1.4262648710221308"/>
  </r>
  <r>
    <s v="30YrConformingConventional"/>
    <s v="Quicken"/>
    <x v="0"/>
    <s v="MTG"/>
    <x v="610"/>
    <n v="1.414156863858171"/>
  </r>
  <r>
    <s v="30YrConformingConventional"/>
    <s v="Quicken"/>
    <x v="0"/>
    <s v="MTG"/>
    <x v="611"/>
    <n v="1.3736067234201434"/>
  </r>
  <r>
    <s v="30YrConformingConventional"/>
    <s v="Quicken"/>
    <x v="0"/>
    <s v="MTG"/>
    <x v="612"/>
    <n v="1.4098182398293932"/>
  </r>
  <r>
    <s v="30YrConformingConventional"/>
    <s v="Quicken"/>
    <x v="0"/>
    <s v="MTG"/>
    <x v="613"/>
    <n v="1.4663311885002239"/>
  </r>
  <r>
    <s v="30YrConformingConventional"/>
    <s v="Quicken"/>
    <x v="0"/>
    <s v="MTG"/>
    <x v="614"/>
    <n v="1.3960742815859377"/>
  </r>
  <r>
    <s v="30YrConformingConventional"/>
    <s v="Quicken"/>
    <x v="0"/>
    <s v="MTG"/>
    <x v="615"/>
    <n v="1.4091574858485607"/>
  </r>
  <r>
    <s v="30YrConformingConventional"/>
    <s v="Quicken"/>
    <x v="0"/>
    <s v="MTG"/>
    <x v="616"/>
    <n v="1.4455444410222511"/>
  </r>
  <r>
    <s v="30YrConformingConventional"/>
    <s v="Quicken"/>
    <x v="0"/>
    <s v="MTG"/>
    <x v="617"/>
    <n v="1.431677767087191"/>
  </r>
  <r>
    <s v="30YrConformingConventional"/>
    <s v="Quicken"/>
    <x v="0"/>
    <s v="MTG"/>
    <x v="618"/>
    <n v="1.4262832329915078"/>
  </r>
  <r>
    <s v="30YrConformingConventional"/>
    <s v="Quicken"/>
    <x v="0"/>
    <s v="MTG"/>
    <x v="619"/>
    <n v="1.4354143371547379"/>
  </r>
  <r>
    <s v="30YrConformingConventional"/>
    <s v="Quicken"/>
    <x v="0"/>
    <s v="MTG"/>
    <x v="620"/>
    <n v="1.3568443373498396"/>
  </r>
  <r>
    <s v="30YrConformingConventional"/>
    <s v="Quicken"/>
    <x v="0"/>
    <s v="MTG"/>
    <x v="621"/>
    <n v="1.4061768972396294"/>
  </r>
  <r>
    <s v="30YrConformingConventional"/>
    <s v="Quicken"/>
    <x v="0"/>
    <s v="MTG"/>
    <x v="622"/>
    <n v="1.4310703270913998"/>
  </r>
  <r>
    <s v="30YrConformingConventional"/>
    <s v="Quicken"/>
    <x v="0"/>
    <s v="MTG"/>
    <x v="623"/>
    <n v="1.4245777591706124"/>
  </r>
  <r>
    <s v="30YrConformingConventional"/>
    <s v="Quicken"/>
    <x v="0"/>
    <s v="MTG"/>
    <x v="624"/>
    <n v="1.4743116367648288"/>
  </r>
  <r>
    <s v="30YrConformingConventional"/>
    <s v="Quicken"/>
    <x v="0"/>
    <s v="MTG"/>
    <x v="625"/>
    <n v="1.3953696462649525"/>
  </r>
  <r>
    <s v="30YrConformingConventional"/>
    <s v="Quicken"/>
    <x v="0"/>
    <s v="MTG"/>
    <x v="626"/>
    <n v="1.4397671442713127"/>
  </r>
  <r>
    <s v="30YrConformingConventional"/>
    <s v="Quicken"/>
    <x v="0"/>
    <s v="MTG"/>
    <x v="627"/>
    <n v="1.4390308596700627"/>
  </r>
  <r>
    <s v="30YrConformingConventional"/>
    <s v="Quicken"/>
    <x v="0"/>
    <s v="MTG"/>
    <x v="628"/>
    <n v="1.4095543280307685"/>
  </r>
  <r>
    <s v="30YrConformingConventional"/>
    <s v="Quicken"/>
    <x v="0"/>
    <s v="MTG"/>
    <x v="629"/>
    <n v="1.446708896486961"/>
  </r>
  <r>
    <s v="30YrConformingConventional"/>
    <s v="Quicken"/>
    <x v="0"/>
    <s v="MTG"/>
    <x v="630"/>
    <n v="1.4020788258514119"/>
  </r>
  <r>
    <s v="30YrConformingConventional"/>
    <s v="Quicken"/>
    <x v="0"/>
    <s v="MTG"/>
    <x v="631"/>
    <n v="1.4292265808940507"/>
  </r>
  <r>
    <s v="30YrConformingConventional"/>
    <s v="Quicken"/>
    <x v="0"/>
    <s v="MTG"/>
    <x v="632"/>
    <n v="1.4237621575077808"/>
  </r>
  <r>
    <s v="30YrConformingConventional"/>
    <s v="Quicken"/>
    <x v="0"/>
    <s v="MTG"/>
    <x v="633"/>
    <n v="1.4306555790335906"/>
  </r>
  <r>
    <s v="30YrConformingConventional"/>
    <s v="Quicken"/>
    <x v="0"/>
    <s v="MTG"/>
    <x v="634"/>
    <n v="1.4320564078284206"/>
  </r>
  <r>
    <s v="30YrConformingConventional"/>
    <s v="Quicken"/>
    <x v="0"/>
    <s v="MTG"/>
    <x v="635"/>
    <n v="1.364403079373901"/>
  </r>
  <r>
    <s v="30YrConformingConventional"/>
    <s v="Quicken"/>
    <x v="0"/>
    <s v="MTG"/>
    <x v="636"/>
    <n v="1.3980967158247908"/>
  </r>
  <r>
    <s v="30YrConformingConventional"/>
    <s v="Quicken"/>
    <x v="0"/>
    <s v="MTG"/>
    <x v="637"/>
    <n v="1.412341802773081"/>
  </r>
  <r>
    <s v="30YrConformingConventional"/>
    <s v="Quicken"/>
    <x v="0"/>
    <s v="MTG"/>
    <x v="638"/>
    <n v="1.4523633824008504"/>
  </r>
  <r>
    <s v="30YrConformingConventional"/>
    <s v="Quicken"/>
    <x v="0"/>
    <s v="MTG"/>
    <x v="639"/>
    <n v="1.4166077817072409"/>
  </r>
  <r>
    <s v="30YrConformingConventional"/>
    <s v="Quicken"/>
    <x v="0"/>
    <s v="MTG"/>
    <x v="640"/>
    <n v="1.3831249547013509"/>
  </r>
  <r>
    <s v="30YrConformingConventional"/>
    <s v="Quicken"/>
    <x v="0"/>
    <s v="MTG"/>
    <x v="641"/>
    <n v="1.3975290116719885"/>
  </r>
  <r>
    <s v="30YrConformingConventional"/>
    <s v="Quicken"/>
    <x v="0"/>
    <s v="MTG"/>
    <x v="642"/>
    <n v="1.3832177460197108"/>
  </r>
  <r>
    <s v="30YrConformingConventional"/>
    <s v="Quicken"/>
    <x v="0"/>
    <s v="MTG"/>
    <x v="643"/>
    <n v="1.3786904643775584"/>
  </r>
  <r>
    <s v="30YrConformingConventional"/>
    <s v="Wells Fargo"/>
    <x v="0"/>
    <s v="MTG"/>
    <x v="0"/>
    <n v="1.3276040404206293"/>
  </r>
  <r>
    <s v="30YrConformingConventional"/>
    <s v="Wells Fargo"/>
    <x v="0"/>
    <s v="MTG"/>
    <x v="1"/>
    <n v="1.3376202576964793"/>
  </r>
  <r>
    <s v="30YrConformingConventional"/>
    <s v="Wells Fargo"/>
    <x v="0"/>
    <s v="MTG"/>
    <x v="2"/>
    <n v="1.3462424054732489"/>
  </r>
  <r>
    <s v="30YrConformingConventional"/>
    <s v="Wells Fargo"/>
    <x v="0"/>
    <s v="MTG"/>
    <x v="3"/>
    <n v="1.4339233654036512"/>
  </r>
  <r>
    <s v="30YrConformingConventional"/>
    <s v="Wells Fargo"/>
    <x v="0"/>
    <s v="MTG"/>
    <x v="4"/>
    <n v="1.3980450736732202"/>
  </r>
  <r>
    <s v="30YrConformingConventional"/>
    <s v="Wells Fargo"/>
    <x v="0"/>
    <s v="MTG"/>
    <x v="5"/>
    <n v="1.3467036436431594"/>
  </r>
  <r>
    <s v="30YrConformingConventional"/>
    <s v="Wells Fargo"/>
    <x v="0"/>
    <s v="MTG"/>
    <x v="6"/>
    <n v="1.3652186771317991"/>
  </r>
  <r>
    <s v="30YrConformingConventional"/>
    <s v="Wells Fargo"/>
    <x v="0"/>
    <s v="MTG"/>
    <x v="7"/>
    <n v="1.4863728858778815"/>
  </r>
  <r>
    <s v="30YrConformingConventional"/>
    <s v="Wells Fargo"/>
    <x v="0"/>
    <s v="MTG"/>
    <x v="8"/>
    <n v="1.3615482313074194"/>
  </r>
  <r>
    <s v="30YrConformingConventional"/>
    <s v="Wells Fargo"/>
    <x v="0"/>
    <s v="MTG"/>
    <x v="9"/>
    <n v="1.3376271286219992"/>
  </r>
  <r>
    <s v="30YrConformingConventional"/>
    <s v="Wells Fargo"/>
    <x v="0"/>
    <s v="MTG"/>
    <x v="10"/>
    <n v="1.334712971145259"/>
  </r>
  <r>
    <s v="30YrConformingConventional"/>
    <s v="Wells Fargo"/>
    <x v="0"/>
    <s v="MTG"/>
    <x v="11"/>
    <n v="1.481982231006719"/>
  </r>
  <r>
    <s v="30YrConformingConventional"/>
    <s v="Wells Fargo"/>
    <x v="0"/>
    <s v="MTG"/>
    <x v="12"/>
    <n v="1.4040077380531564"/>
  </r>
  <r>
    <s v="30YrConformingConventional"/>
    <s v="Wells Fargo"/>
    <x v="0"/>
    <s v="MTG"/>
    <x v="13"/>
    <n v="1.503058195558439"/>
  </r>
  <r>
    <s v="30YrConformingConventional"/>
    <s v="Wells Fargo"/>
    <x v="0"/>
    <s v="MTG"/>
    <x v="14"/>
    <n v="1.456054823822776"/>
  </r>
  <r>
    <s v="30YrConformingConventional"/>
    <s v="Wells Fargo"/>
    <x v="0"/>
    <s v="MTG"/>
    <x v="15"/>
    <n v="1.4574390170989944"/>
  </r>
  <r>
    <s v="30YrConformingConventional"/>
    <s v="Wells Fargo"/>
    <x v="0"/>
    <s v="MTG"/>
    <x v="16"/>
    <n v="1.4493949057691164"/>
  </r>
  <r>
    <s v="30YrConformingConventional"/>
    <s v="Wells Fargo"/>
    <x v="0"/>
    <s v="MTG"/>
    <x v="17"/>
    <n v="1.4840452591736897"/>
  </r>
  <r>
    <s v="30YrConformingConventional"/>
    <s v="Wells Fargo"/>
    <x v="0"/>
    <s v="MTG"/>
    <x v="18"/>
    <n v="1.5425610731525299"/>
  </r>
  <r>
    <s v="30YrConformingConventional"/>
    <s v="Wells Fargo"/>
    <x v="0"/>
    <s v="MTG"/>
    <x v="19"/>
    <n v="1.4842097036588688"/>
  </r>
  <r>
    <s v="30YrConformingConventional"/>
    <s v="Wells Fargo"/>
    <x v="0"/>
    <s v="MTG"/>
    <x v="20"/>
    <n v="1.4525291405354961"/>
  </r>
  <r>
    <s v="30YrConformingConventional"/>
    <s v="Wells Fargo"/>
    <x v="0"/>
    <s v="MTG"/>
    <x v="21"/>
    <n v="1.5728109623670243"/>
  </r>
  <r>
    <s v="30YrConformingConventional"/>
    <s v="Wells Fargo"/>
    <x v="0"/>
    <s v="MTG"/>
    <x v="22"/>
    <n v="1.5207940697567046"/>
  </r>
  <r>
    <s v="30YrConformingConventional"/>
    <s v="Wells Fargo"/>
    <x v="0"/>
    <s v="MTG"/>
    <x v="23"/>
    <n v="1.4583799198878908"/>
  </r>
  <r>
    <s v="30YrConformingConventional"/>
    <s v="Wells Fargo"/>
    <x v="0"/>
    <s v="MTG"/>
    <x v="24"/>
    <n v="1.4796471980739163"/>
  </r>
  <r>
    <s v="30YrConformingConventional"/>
    <s v="Wells Fargo"/>
    <x v="0"/>
    <s v="MTG"/>
    <x v="25"/>
    <n v="1.4847818429359161"/>
  </r>
  <r>
    <s v="30YrConformingConventional"/>
    <s v="Wells Fargo"/>
    <x v="0"/>
    <s v="MTG"/>
    <x v="26"/>
    <n v="1.4469642209941846"/>
  </r>
  <r>
    <s v="30YrConformingConventional"/>
    <s v="Wells Fargo"/>
    <x v="0"/>
    <s v="MTG"/>
    <x v="27"/>
    <n v="1.5244184593292145"/>
  </r>
  <r>
    <s v="30YrConformingConventional"/>
    <s v="Wells Fargo"/>
    <x v="0"/>
    <s v="MTG"/>
    <x v="28"/>
    <n v="1.3998911701134642"/>
  </r>
  <r>
    <s v="30YrConformingConventional"/>
    <s v="Wells Fargo"/>
    <x v="0"/>
    <s v="MTG"/>
    <x v="29"/>
    <n v="1.4259452822284646"/>
  </r>
  <r>
    <s v="30YrConformingConventional"/>
    <s v="Wells Fargo"/>
    <x v="0"/>
    <s v="MTG"/>
    <x v="30"/>
    <n v="1.513840842525763"/>
  </r>
  <r>
    <s v="30YrConformingConventional"/>
    <s v="Wells Fargo"/>
    <x v="0"/>
    <s v="MTG"/>
    <x v="31"/>
    <n v="1.5873831531875244"/>
  </r>
  <r>
    <s v="30YrConformingConventional"/>
    <s v="Wells Fargo"/>
    <x v="0"/>
    <s v="MTG"/>
    <x v="32"/>
    <n v="1.5961737959585647"/>
  </r>
  <r>
    <s v="30YrConformingConventional"/>
    <s v="Wells Fargo"/>
    <x v="0"/>
    <s v="MTG"/>
    <x v="33"/>
    <n v="1.5001653121876044"/>
  </r>
  <r>
    <s v="30YrConformingConventional"/>
    <s v="Wells Fargo"/>
    <x v="0"/>
    <s v="MTG"/>
    <x v="34"/>
    <n v="1.5734875206870544"/>
  </r>
  <r>
    <s v="30YrConformingConventional"/>
    <s v="Wells Fargo"/>
    <x v="0"/>
    <s v="MTG"/>
    <x v="35"/>
    <n v="1.4447646525603046"/>
  </r>
  <r>
    <s v="30YrConformingConventional"/>
    <s v="Wells Fargo"/>
    <x v="0"/>
    <s v="MTG"/>
    <x v="36"/>
    <n v="1.438237888067706"/>
  </r>
  <r>
    <s v="30YrConformingConventional"/>
    <s v="Wells Fargo"/>
    <x v="0"/>
    <s v="MTG"/>
    <x v="37"/>
    <n v="1.4572767202850958"/>
  </r>
  <r>
    <s v="30YrConformingConventional"/>
    <s v="Wells Fargo"/>
    <x v="0"/>
    <s v="MTG"/>
    <x v="38"/>
    <n v="1.4840050840451962"/>
  </r>
  <r>
    <s v="30YrConformingConventional"/>
    <s v="Wells Fargo"/>
    <x v="0"/>
    <s v="MTG"/>
    <x v="39"/>
    <n v="1.4698304513957463"/>
  </r>
  <r>
    <s v="30YrConformingConventional"/>
    <s v="Wells Fargo"/>
    <x v="0"/>
    <s v="MTG"/>
    <x v="40"/>
    <n v="1.4756896794715886"/>
  </r>
  <r>
    <s v="30YrConformingConventional"/>
    <s v="Wells Fargo"/>
    <x v="0"/>
    <s v="MTG"/>
    <x v="41"/>
    <n v="1.4150581088925993"/>
  </r>
  <r>
    <s v="30YrConformingConventional"/>
    <s v="Wells Fargo"/>
    <x v="0"/>
    <s v="MTG"/>
    <x v="42"/>
    <n v="1.3825392574829694"/>
  </r>
  <r>
    <s v="30YrConformingConventional"/>
    <s v="Wells Fargo"/>
    <x v="0"/>
    <s v="MTG"/>
    <x v="43"/>
    <n v="1.324144073385759"/>
  </r>
  <r>
    <s v="30YrConformingConventional"/>
    <s v="Wells Fargo"/>
    <x v="0"/>
    <s v="MTG"/>
    <x v="44"/>
    <n v="1.3201279748352688"/>
  </r>
  <r>
    <s v="30YrConformingConventional"/>
    <s v="Wells Fargo"/>
    <x v="0"/>
    <s v="MTG"/>
    <x v="45"/>
    <n v="1.3635749947061719"/>
  </r>
  <r>
    <s v="30YrConformingConventional"/>
    <s v="Wells Fargo"/>
    <x v="0"/>
    <s v="MTG"/>
    <x v="46"/>
    <n v="1.4449351793489711"/>
  </r>
  <r>
    <s v="30YrConformingConventional"/>
    <s v="Wells Fargo"/>
    <x v="0"/>
    <s v="MTG"/>
    <x v="47"/>
    <n v="1.5634002733348114"/>
  </r>
  <r>
    <s v="30YrConformingConventional"/>
    <s v="Wells Fargo"/>
    <x v="0"/>
    <s v="MTG"/>
    <x v="48"/>
    <n v="1.3516962871966491"/>
  </r>
  <r>
    <s v="30YrConformingConventional"/>
    <s v="Wells Fargo"/>
    <x v="0"/>
    <s v="MTG"/>
    <x v="49"/>
    <n v="1.4442587858770715"/>
  </r>
  <r>
    <s v="30YrConformingConventional"/>
    <s v="Wells Fargo"/>
    <x v="0"/>
    <s v="MTG"/>
    <x v="50"/>
    <n v="1.3200347208363019"/>
  </r>
  <r>
    <s v="30YrConformingConventional"/>
    <s v="Wells Fargo"/>
    <x v="0"/>
    <s v="MTG"/>
    <x v="51"/>
    <n v="1.3289652006753823"/>
  </r>
  <r>
    <s v="30YrConformingConventional"/>
    <s v="Wells Fargo"/>
    <x v="0"/>
    <s v="MTG"/>
    <x v="52"/>
    <n v="1.3806839171553422"/>
  </r>
  <r>
    <s v="30YrConformingConventional"/>
    <s v="Wells Fargo"/>
    <x v="0"/>
    <s v="MTG"/>
    <x v="53"/>
    <n v="1.4739558981629202"/>
  </r>
  <r>
    <s v="30YrConformingConventional"/>
    <s v="Wells Fargo"/>
    <x v="0"/>
    <s v="MTG"/>
    <x v="54"/>
    <n v="1.3495435393462121"/>
  </r>
  <r>
    <s v="30YrConformingConventional"/>
    <s v="Wells Fargo"/>
    <x v="0"/>
    <s v="MTG"/>
    <x v="55"/>
    <n v="1.5037298860002415"/>
  </r>
  <r>
    <s v="30YrConformingConventional"/>
    <s v="Wells Fargo"/>
    <x v="0"/>
    <s v="MTG"/>
    <x v="56"/>
    <n v="1.5149159148678715"/>
  </r>
  <r>
    <s v="30YrConformingConventional"/>
    <s v="Wells Fargo"/>
    <x v="0"/>
    <s v="MTG"/>
    <x v="57"/>
    <n v="1.5652021977943211"/>
  </r>
  <r>
    <s v="30YrConformingConventional"/>
    <s v="Wells Fargo"/>
    <x v="0"/>
    <s v="MTG"/>
    <x v="58"/>
    <n v="1.4727193604751811"/>
  </r>
  <r>
    <s v="30YrConformingConventional"/>
    <s v="Wells Fargo"/>
    <x v="0"/>
    <s v="MTG"/>
    <x v="59"/>
    <n v="1.5141699376919713"/>
  </r>
  <r>
    <s v="30YrConformingConventional"/>
    <s v="Wells Fargo"/>
    <x v="0"/>
    <s v="MTG"/>
    <x v="60"/>
    <n v="1.4542060637102603"/>
  </r>
  <r>
    <s v="30YrConformingConventional"/>
    <s v="Wells Fargo"/>
    <x v="0"/>
    <s v="MTG"/>
    <x v="61"/>
    <n v="1.4589053819857103"/>
  </r>
  <r>
    <s v="30YrConformingConventional"/>
    <s v="Wells Fargo"/>
    <x v="0"/>
    <s v="MTG"/>
    <x v="62"/>
    <n v="1.4266645277043122"/>
  </r>
  <r>
    <s v="30YrConformingConventional"/>
    <s v="Wells Fargo"/>
    <x v="0"/>
    <s v="MTG"/>
    <x v="63"/>
    <n v="1.400266194428482"/>
  </r>
  <r>
    <s v="30YrConformingConventional"/>
    <s v="Wells Fargo"/>
    <x v="0"/>
    <s v="MTG"/>
    <x v="64"/>
    <n v="1.3263393385224218"/>
  </r>
  <r>
    <s v="30YrConformingConventional"/>
    <s v="Wells Fargo"/>
    <x v="0"/>
    <s v="MTG"/>
    <x v="65"/>
    <n v="1.370307804171194"/>
  </r>
  <r>
    <s v="30YrConformingConventional"/>
    <s v="Wells Fargo"/>
    <x v="0"/>
    <s v="MTG"/>
    <x v="66"/>
    <n v="1.527439843923726"/>
  </r>
  <r>
    <s v="30YrConformingConventional"/>
    <s v="Wells Fargo"/>
    <x v="0"/>
    <s v="MTG"/>
    <x v="67"/>
    <n v="1.4356867514630505"/>
  </r>
  <r>
    <s v="30YrConformingConventional"/>
    <s v="Wells Fargo"/>
    <x v="0"/>
    <s v="MTG"/>
    <x v="68"/>
    <n v="1.4054470219983302"/>
  </r>
  <r>
    <s v="30YrConformingConventional"/>
    <s v="Wells Fargo"/>
    <x v="0"/>
    <s v="MTG"/>
    <x v="69"/>
    <n v="1.3613755139107702"/>
  </r>
  <r>
    <s v="30YrConformingConventional"/>
    <s v="Wells Fargo"/>
    <x v="0"/>
    <s v="MTG"/>
    <x v="70"/>
    <n v="1.5008716936970208"/>
  </r>
  <r>
    <s v="30YrConformingConventional"/>
    <s v="Wells Fargo"/>
    <x v="0"/>
    <s v="MTG"/>
    <x v="71"/>
    <n v="1.4145597803303502"/>
  </r>
  <r>
    <s v="30YrConformingConventional"/>
    <s v="Wells Fargo"/>
    <x v="0"/>
    <s v="MTG"/>
    <x v="72"/>
    <n v="1.3987349655618504"/>
  </r>
  <r>
    <s v="30YrConformingConventional"/>
    <s v="Wells Fargo"/>
    <x v="0"/>
    <s v="MTG"/>
    <x v="73"/>
    <n v="1.3598737297946442"/>
  </r>
  <r>
    <s v="30YrConformingConventional"/>
    <s v="Wells Fargo"/>
    <x v="0"/>
    <s v="MTG"/>
    <x v="74"/>
    <n v="1.390981945488184"/>
  </r>
  <r>
    <s v="30YrConformingConventional"/>
    <s v="Wells Fargo"/>
    <x v="0"/>
    <s v="MTG"/>
    <x v="75"/>
    <n v="1.4125607115100141"/>
  </r>
  <r>
    <s v="30YrConformingConventional"/>
    <s v="Wells Fargo"/>
    <x v="0"/>
    <s v="MTG"/>
    <x v="76"/>
    <n v="1.5063127948155564"/>
  </r>
  <r>
    <s v="30YrConformingConventional"/>
    <s v="Wells Fargo"/>
    <x v="0"/>
    <s v="MTG"/>
    <x v="77"/>
    <n v="1.3826679777673778"/>
  </r>
  <r>
    <s v="30YrConformingConventional"/>
    <s v="Wells Fargo"/>
    <x v="0"/>
    <s v="MTG"/>
    <x v="78"/>
    <n v="1.4132910260639806"/>
  </r>
  <r>
    <s v="30YrConformingConventional"/>
    <s v="Wells Fargo"/>
    <x v="0"/>
    <s v="MTG"/>
    <x v="79"/>
    <n v="1.4323211554950404"/>
  </r>
  <r>
    <s v="30YrConformingConventional"/>
    <s v="Wells Fargo"/>
    <x v="0"/>
    <s v="MTG"/>
    <x v="80"/>
    <n v="1.4629650661498101"/>
  </r>
  <r>
    <s v="30YrConformingConventional"/>
    <s v="Wells Fargo"/>
    <x v="0"/>
    <s v="MTG"/>
    <x v="81"/>
    <n v="1.4383333690203801"/>
  </r>
  <r>
    <s v="30YrConformingConventional"/>
    <s v="Wells Fargo"/>
    <x v="0"/>
    <s v="MTG"/>
    <x v="82"/>
    <n v="1.3057285407490189"/>
  </r>
  <r>
    <s v="30YrConformingConventional"/>
    <s v="Wells Fargo"/>
    <x v="0"/>
    <s v="MTG"/>
    <x v="83"/>
    <n v="1.5295984886372711"/>
  </r>
  <r>
    <s v="30YrConformingConventional"/>
    <s v="Wells Fargo"/>
    <x v="0"/>
    <s v="MTG"/>
    <x v="84"/>
    <n v="1.4173946502432502"/>
  </r>
  <r>
    <s v="30YrConformingConventional"/>
    <s v="Wells Fargo"/>
    <x v="0"/>
    <s v="MTG"/>
    <x v="85"/>
    <n v="1.5154511173273009"/>
  </r>
  <r>
    <s v="30YrConformingConventional"/>
    <s v="Wells Fargo"/>
    <x v="0"/>
    <s v="MTG"/>
    <x v="86"/>
    <n v="1.4212802787962304"/>
  </r>
  <r>
    <s v="30YrConformingConventional"/>
    <s v="Wells Fargo"/>
    <x v="0"/>
    <s v="MTG"/>
    <x v="87"/>
    <n v="1.5121519879522058"/>
  </r>
  <r>
    <s v="30YrConformingConventional"/>
    <s v="Wells Fargo"/>
    <x v="0"/>
    <s v="MTG"/>
    <x v="88"/>
    <n v="1.4795960028376309"/>
  </r>
  <r>
    <s v="30YrConformingConventional"/>
    <s v="Wells Fargo"/>
    <x v="0"/>
    <s v="MTG"/>
    <x v="89"/>
    <n v="1.573969311298766"/>
  </r>
  <r>
    <s v="30YrConformingConventional"/>
    <s v="Wells Fargo"/>
    <x v="0"/>
    <s v="MTG"/>
    <x v="90"/>
    <n v="1.4374551090588008"/>
  </r>
  <r>
    <s v="30YrConformingConventional"/>
    <s v="Wells Fargo"/>
    <x v="0"/>
    <s v="MTG"/>
    <x v="91"/>
    <n v="1.4678709119798614"/>
  </r>
  <r>
    <s v="30YrConformingConventional"/>
    <s v="Wells Fargo"/>
    <x v="0"/>
    <s v="MTG"/>
    <x v="92"/>
    <n v="1.3639171740492693"/>
  </r>
  <r>
    <s v="30YrConformingConventional"/>
    <s v="Wells Fargo"/>
    <x v="0"/>
    <s v="MTG"/>
    <x v="93"/>
    <n v="1.4461191235552002"/>
  </r>
  <r>
    <s v="30YrConformingConventional"/>
    <s v="Wells Fargo"/>
    <x v="0"/>
    <s v="MTG"/>
    <x v="94"/>
    <n v="1.4254869680587003"/>
  </r>
  <r>
    <s v="30YrConformingConventional"/>
    <s v="Wells Fargo"/>
    <x v="0"/>
    <s v="MTG"/>
    <x v="95"/>
    <n v="1.4899885813220202"/>
  </r>
  <r>
    <s v="30YrConformingConventional"/>
    <s v="Wells Fargo"/>
    <x v="0"/>
    <s v="MTG"/>
    <x v="96"/>
    <n v="1.4398101423461602"/>
  </r>
  <r>
    <s v="30YrConformingConventional"/>
    <s v="Wells Fargo"/>
    <x v="0"/>
    <s v="MTG"/>
    <x v="97"/>
    <n v="1.4204064910685703"/>
  </r>
  <r>
    <s v="30YrConformingConventional"/>
    <s v="Wells Fargo"/>
    <x v="0"/>
    <s v="MTG"/>
    <x v="98"/>
    <n v="1.5121161182470062"/>
  </r>
  <r>
    <s v="30YrConformingConventional"/>
    <s v="Wells Fargo"/>
    <x v="0"/>
    <s v="MTG"/>
    <x v="99"/>
    <n v="1.462175640413621"/>
  </r>
  <r>
    <s v="30YrConformingConventional"/>
    <s v="Wells Fargo"/>
    <x v="0"/>
    <s v="MTG"/>
    <x v="100"/>
    <n v="1.5515903486912459"/>
  </r>
  <r>
    <s v="30YrConformingConventional"/>
    <s v="Wells Fargo"/>
    <x v="0"/>
    <s v="MTG"/>
    <x v="101"/>
    <n v="1.4198657383793729"/>
  </r>
  <r>
    <s v="30YrConformingConventional"/>
    <s v="Wells Fargo"/>
    <x v="0"/>
    <s v="MTG"/>
    <x v="102"/>
    <n v="1.4517911864446933"/>
  </r>
  <r>
    <s v="30YrConformingConventional"/>
    <s v="Wells Fargo"/>
    <x v="0"/>
    <s v="MTG"/>
    <x v="103"/>
    <n v="1.4586457972250528"/>
  </r>
  <r>
    <s v="30YrConformingConventional"/>
    <s v="Wells Fargo"/>
    <x v="0"/>
    <s v="MTG"/>
    <x v="104"/>
    <n v="1.4942312268823306"/>
  </r>
  <r>
    <s v="30YrConformingConventional"/>
    <s v="Wells Fargo"/>
    <x v="0"/>
    <s v="MTG"/>
    <x v="105"/>
    <n v="1.4950023679760609"/>
  </r>
  <r>
    <s v="30YrConformingConventional"/>
    <s v="Wells Fargo"/>
    <x v="0"/>
    <s v="MTG"/>
    <x v="106"/>
    <n v="1.4033163399863324"/>
  </r>
  <r>
    <s v="30YrConformingConventional"/>
    <s v="Wells Fargo"/>
    <x v="0"/>
    <s v="MTG"/>
    <x v="107"/>
    <n v="1.4016155825874324"/>
  </r>
  <r>
    <s v="30YrConformingConventional"/>
    <s v="Wells Fargo"/>
    <x v="0"/>
    <s v="MTG"/>
    <x v="108"/>
    <n v="1.4056286699863183"/>
  </r>
  <r>
    <s v="30YrConformingConventional"/>
    <s v="Wells Fargo"/>
    <x v="0"/>
    <s v="MTG"/>
    <x v="109"/>
    <n v="1.4805364302990909"/>
  </r>
  <r>
    <s v="30YrConformingConventional"/>
    <s v="Wells Fargo"/>
    <x v="0"/>
    <s v="MTG"/>
    <x v="110"/>
    <n v="1.4567083178149431"/>
  </r>
  <r>
    <s v="30YrConformingConventional"/>
    <s v="Wells Fargo"/>
    <x v="0"/>
    <s v="MTG"/>
    <x v="111"/>
    <n v="1.441383478409648"/>
  </r>
  <r>
    <s v="30YrConformingConventional"/>
    <s v="Wells Fargo"/>
    <x v="0"/>
    <s v="MTG"/>
    <x v="112"/>
    <n v="1.3895850110481982"/>
  </r>
  <r>
    <s v="30YrConformingConventional"/>
    <s v="Wells Fargo"/>
    <x v="0"/>
    <s v="MTG"/>
    <x v="113"/>
    <n v="1.3981226867371421"/>
  </r>
  <r>
    <s v="30YrConformingConventional"/>
    <s v="Wells Fargo"/>
    <x v="0"/>
    <s v="MTG"/>
    <x v="114"/>
    <n v="1.4778971278957311"/>
  </r>
  <r>
    <s v="30YrConformingConventional"/>
    <s v="Wells Fargo"/>
    <x v="0"/>
    <s v="MTG"/>
    <x v="115"/>
    <n v="1.3460257990512421"/>
  </r>
  <r>
    <s v="30YrConformingConventional"/>
    <s v="Wells Fargo"/>
    <x v="0"/>
    <s v="MTG"/>
    <x v="116"/>
    <n v="1.3565411181534319"/>
  </r>
  <r>
    <s v="30YrConformingConventional"/>
    <s v="Wells Fargo"/>
    <x v="0"/>
    <s v="MTG"/>
    <x v="117"/>
    <n v="1.351830933694802"/>
  </r>
  <r>
    <s v="30YrConformingConventional"/>
    <s v="Wells Fargo"/>
    <x v="0"/>
    <s v="MTG"/>
    <x v="118"/>
    <n v="1.4052270890855181"/>
  </r>
  <r>
    <s v="30YrConformingConventional"/>
    <s v="Wells Fargo"/>
    <x v="0"/>
    <s v="MTG"/>
    <x v="119"/>
    <n v="1.3976890901272823"/>
  </r>
  <r>
    <s v="30YrConformingConventional"/>
    <s v="Wells Fargo"/>
    <x v="0"/>
    <s v="MTG"/>
    <x v="120"/>
    <n v="1.5043729966804611"/>
  </r>
  <r>
    <s v="30YrConformingConventional"/>
    <s v="Wells Fargo"/>
    <x v="0"/>
    <s v="MTG"/>
    <x v="121"/>
    <n v="1.5297599875391414"/>
  </r>
  <r>
    <s v="30YrConformingConventional"/>
    <s v="Wells Fargo"/>
    <x v="0"/>
    <s v="MTG"/>
    <x v="122"/>
    <n v="1.3717604693952692"/>
  </r>
  <r>
    <s v="30YrConformingConventional"/>
    <s v="Wells Fargo"/>
    <x v="0"/>
    <s v="MTG"/>
    <x v="123"/>
    <n v="1.5171013702174112"/>
  </r>
  <r>
    <s v="30YrConformingConventional"/>
    <s v="Wells Fargo"/>
    <x v="0"/>
    <s v="MTG"/>
    <x v="124"/>
    <n v="1.3757802198014319"/>
  </r>
  <r>
    <s v="30YrConformingConventional"/>
    <s v="Wells Fargo"/>
    <x v="0"/>
    <s v="MTG"/>
    <x v="125"/>
    <n v="1.4102787347731622"/>
  </r>
  <r>
    <s v="30YrConformingConventional"/>
    <s v="Wells Fargo"/>
    <x v="0"/>
    <s v="MTG"/>
    <x v="126"/>
    <n v="1.4511589473493207"/>
  </r>
  <r>
    <s v="30YrConformingConventional"/>
    <s v="Wells Fargo"/>
    <x v="0"/>
    <s v="MTG"/>
    <x v="127"/>
    <n v="1.4907312011448612"/>
  </r>
  <r>
    <s v="30YrConformingConventional"/>
    <s v="Wells Fargo"/>
    <x v="0"/>
    <s v="MTG"/>
    <x v="128"/>
    <n v="1.5154982750943613"/>
  </r>
  <r>
    <s v="30YrConformingConventional"/>
    <s v="Wells Fargo"/>
    <x v="0"/>
    <s v="MTG"/>
    <x v="129"/>
    <n v="1.3516813213576622"/>
  </r>
  <r>
    <s v="30YrConformingConventional"/>
    <s v="Wells Fargo"/>
    <x v="0"/>
    <s v="MTG"/>
    <x v="130"/>
    <n v="1.5201888175991212"/>
  </r>
  <r>
    <s v="30YrConformingConventional"/>
    <s v="Wells Fargo"/>
    <x v="0"/>
    <s v="MTG"/>
    <x v="131"/>
    <n v="1.4854659490145212"/>
  </r>
  <r>
    <s v="30YrConformingConventional"/>
    <s v="Wells Fargo"/>
    <x v="0"/>
    <s v="MTG"/>
    <x v="132"/>
    <n v="1.3690117432802222"/>
  </r>
  <r>
    <s v="30YrConformingConventional"/>
    <s v="Wells Fargo"/>
    <x v="0"/>
    <s v="MTG"/>
    <x v="133"/>
    <n v="1.522426889275861"/>
  </r>
  <r>
    <s v="30YrConformingConventional"/>
    <s v="Wells Fargo"/>
    <x v="0"/>
    <s v="MTG"/>
    <x v="134"/>
    <n v="1.4315173871574711"/>
  </r>
  <r>
    <s v="30YrConformingConventional"/>
    <s v="Wells Fargo"/>
    <x v="0"/>
    <s v="MTG"/>
    <x v="135"/>
    <n v="1.3848080142488199"/>
  </r>
  <r>
    <s v="30YrConformingConventional"/>
    <s v="Wells Fargo"/>
    <x v="0"/>
    <s v="MTG"/>
    <x v="136"/>
    <n v="1.3922675298857004"/>
  </r>
  <r>
    <s v="30YrConformingConventional"/>
    <s v="Wells Fargo"/>
    <x v="0"/>
    <s v="MTG"/>
    <x v="137"/>
    <n v="1.3276135540973319"/>
  </r>
  <r>
    <s v="30YrConformingConventional"/>
    <s v="Wells Fargo"/>
    <x v="0"/>
    <s v="MTG"/>
    <x v="138"/>
    <n v="1.3261623047904219"/>
  </r>
  <r>
    <s v="30YrConformingConventional"/>
    <s v="Wells Fargo"/>
    <x v="0"/>
    <s v="MTG"/>
    <x v="139"/>
    <n v="1.4242045267284322"/>
  </r>
  <r>
    <s v="30YrConformingConventional"/>
    <s v="Wells Fargo"/>
    <x v="0"/>
    <s v="MTG"/>
    <x v="140"/>
    <n v="1.3255157785773992"/>
  </r>
  <r>
    <s v="30YrConformingConventional"/>
    <s v="Wells Fargo"/>
    <x v="0"/>
    <s v="MTG"/>
    <x v="141"/>
    <n v="1.2781892203516392"/>
  </r>
  <r>
    <s v="30YrConformingConventional"/>
    <s v="Wells Fargo"/>
    <x v="0"/>
    <s v="MTG"/>
    <x v="142"/>
    <n v="1.3336187588263893"/>
  </r>
  <r>
    <s v="30YrConformingConventional"/>
    <s v="Wells Fargo"/>
    <x v="0"/>
    <s v="MTG"/>
    <x v="143"/>
    <n v="1.3195589240134591"/>
  </r>
  <r>
    <s v="30YrConformingConventional"/>
    <s v="Wells Fargo"/>
    <x v="0"/>
    <s v="MTG"/>
    <x v="144"/>
    <n v="1.3217844717508891"/>
  </r>
  <r>
    <s v="30YrConformingConventional"/>
    <s v="Wells Fargo"/>
    <x v="0"/>
    <s v="MTG"/>
    <x v="145"/>
    <n v="1.4015219528697702"/>
  </r>
  <r>
    <s v="30YrConformingConventional"/>
    <s v="Wells Fargo"/>
    <x v="0"/>
    <s v="MTG"/>
    <x v="146"/>
    <n v="1.5670174738644591"/>
  </r>
  <r>
    <s v="30YrConformingConventional"/>
    <s v="Wells Fargo"/>
    <x v="0"/>
    <s v="MTG"/>
    <x v="147"/>
    <n v="1.4842172030270488"/>
  </r>
  <r>
    <s v="30YrConformingConventional"/>
    <s v="Wells Fargo"/>
    <x v="0"/>
    <s v="MTG"/>
    <x v="148"/>
    <n v="1.4545746639920119"/>
  </r>
  <r>
    <s v="30YrConformingConventional"/>
    <s v="Wells Fargo"/>
    <x v="0"/>
    <s v="MTG"/>
    <x v="149"/>
    <n v="1.5792426403971289"/>
  </r>
  <r>
    <s v="30YrConformingConventional"/>
    <s v="Wells Fargo"/>
    <x v="0"/>
    <s v="MTG"/>
    <x v="150"/>
    <n v="1.5026922623118697"/>
  </r>
  <r>
    <s v="30YrConformingConventional"/>
    <s v="Wells Fargo"/>
    <x v="0"/>
    <s v="MTG"/>
    <x v="151"/>
    <n v="1.5842316438716988"/>
  </r>
  <r>
    <s v="30YrConformingConventional"/>
    <s v="Wells Fargo"/>
    <x v="0"/>
    <s v="MTG"/>
    <x v="152"/>
    <n v="1.6617056752336257"/>
  </r>
  <r>
    <s v="30YrConformingConventional"/>
    <s v="Wells Fargo"/>
    <x v="0"/>
    <s v="MTG"/>
    <x v="153"/>
    <n v="1.6486350037525557"/>
  </r>
  <r>
    <s v="30YrConformingConventional"/>
    <s v="Wells Fargo"/>
    <x v="0"/>
    <s v="MTG"/>
    <x v="154"/>
    <n v="1.5427834954210289"/>
  </r>
  <r>
    <s v="30YrConformingConventional"/>
    <s v="Wells Fargo"/>
    <x v="0"/>
    <s v="MTG"/>
    <x v="155"/>
    <n v="1.4399059540715016"/>
  </r>
  <r>
    <s v="30YrConformingConventional"/>
    <s v="Wells Fargo"/>
    <x v="0"/>
    <s v="MTG"/>
    <x v="156"/>
    <n v="1.6295378211291054"/>
  </r>
  <r>
    <s v="30YrConformingConventional"/>
    <s v="Wells Fargo"/>
    <x v="0"/>
    <s v="MTG"/>
    <x v="157"/>
    <n v="1.6495492847164992"/>
  </r>
  <r>
    <s v="30YrConformingConventional"/>
    <s v="Wells Fargo"/>
    <x v="0"/>
    <s v="MTG"/>
    <x v="158"/>
    <n v="1.5660706750632591"/>
  </r>
  <r>
    <s v="30YrConformingConventional"/>
    <s v="Wells Fargo"/>
    <x v="0"/>
    <s v="MTG"/>
    <x v="159"/>
    <n v="1.6241800327068789"/>
  </r>
  <r>
    <s v="30YrConformingConventional"/>
    <s v="Wells Fargo"/>
    <x v="0"/>
    <s v="MTG"/>
    <x v="160"/>
    <n v="1.6224507077297987"/>
  </r>
  <r>
    <s v="30YrConformingConventional"/>
    <s v="Wells Fargo"/>
    <x v="0"/>
    <s v="MTG"/>
    <x v="161"/>
    <n v="1.6458027650077354"/>
  </r>
  <r>
    <s v="30YrConformingConventional"/>
    <s v="Wells Fargo"/>
    <x v="0"/>
    <s v="MTG"/>
    <x v="162"/>
    <n v="1.612976560734289"/>
  </r>
  <r>
    <s v="30YrConformingConventional"/>
    <s v="Wells Fargo"/>
    <x v="0"/>
    <s v="MTG"/>
    <x v="163"/>
    <n v="1.6402886021160488"/>
  </r>
  <r>
    <s v="30YrConformingConventional"/>
    <s v="Wells Fargo"/>
    <x v="0"/>
    <s v="MTG"/>
    <x v="164"/>
    <n v="1.586377494496169"/>
  </r>
  <r>
    <s v="30YrConformingConventional"/>
    <s v="Wells Fargo"/>
    <x v="0"/>
    <s v="MTG"/>
    <x v="165"/>
    <n v="1.6017952809930489"/>
  </r>
  <r>
    <s v="30YrConformingConventional"/>
    <s v="Wells Fargo"/>
    <x v="0"/>
    <s v="MTG"/>
    <x v="166"/>
    <n v="1.5725312887313887"/>
  </r>
  <r>
    <s v="30YrConformingConventional"/>
    <s v="Wells Fargo"/>
    <x v="0"/>
    <s v="MTG"/>
    <x v="167"/>
    <n v="1.500702552585979"/>
  </r>
  <r>
    <s v="30YrConformingConventional"/>
    <s v="Wells Fargo"/>
    <x v="0"/>
    <s v="MTG"/>
    <x v="168"/>
    <n v="1.4206257973994989"/>
  </r>
  <r>
    <s v="30YrConformingConventional"/>
    <s v="Wells Fargo"/>
    <x v="0"/>
    <s v="MTG"/>
    <x v="169"/>
    <n v="1.5132838842596517"/>
  </r>
  <r>
    <s v="30YrConformingConventional"/>
    <s v="Wells Fargo"/>
    <x v="0"/>
    <s v="MTG"/>
    <x v="170"/>
    <n v="1.4316219636585588"/>
  </r>
  <r>
    <s v="30YrConformingConventional"/>
    <s v="Wells Fargo"/>
    <x v="0"/>
    <s v="MTG"/>
    <x v="171"/>
    <n v="1.4594036015598615"/>
  </r>
  <r>
    <s v="30YrConformingConventional"/>
    <s v="Wells Fargo"/>
    <x v="0"/>
    <s v="MTG"/>
    <x v="172"/>
    <n v="1.4875892539496596"/>
  </r>
  <r>
    <s v="30YrConformingConventional"/>
    <s v="Wells Fargo"/>
    <x v="0"/>
    <s v="MTG"/>
    <x v="173"/>
    <n v="1.6075998724339589"/>
  </r>
  <r>
    <s v="30YrConformingConventional"/>
    <s v="Wells Fargo"/>
    <x v="0"/>
    <s v="MTG"/>
    <x v="174"/>
    <n v="1.4733380969199814"/>
  </r>
  <r>
    <s v="30YrConformingConventional"/>
    <s v="Wells Fargo"/>
    <x v="0"/>
    <s v="MTG"/>
    <x v="175"/>
    <n v="1.5073237318324939"/>
  </r>
  <r>
    <s v="30YrConformingConventional"/>
    <s v="Wells Fargo"/>
    <x v="0"/>
    <s v="MTG"/>
    <x v="176"/>
    <n v="1.586356578904504"/>
  </r>
  <r>
    <s v="30YrConformingConventional"/>
    <s v="Wells Fargo"/>
    <x v="0"/>
    <s v="MTG"/>
    <x v="177"/>
    <n v="1.505244790001014"/>
  </r>
  <r>
    <s v="30YrConformingConventional"/>
    <s v="Wells Fargo"/>
    <x v="0"/>
    <s v="MTG"/>
    <x v="178"/>
    <n v="1.4828157156647814"/>
  </r>
  <r>
    <s v="30YrConformingConventional"/>
    <s v="Wells Fargo"/>
    <x v="0"/>
    <s v="MTG"/>
    <x v="179"/>
    <n v="1.4260306760145118"/>
  </r>
  <r>
    <s v="30YrConformingConventional"/>
    <s v="Wells Fargo"/>
    <x v="0"/>
    <s v="MTG"/>
    <x v="180"/>
    <n v="1.5030872931018513"/>
  </r>
  <r>
    <s v="30YrConformingConventional"/>
    <s v="Wells Fargo"/>
    <x v="0"/>
    <s v="MTG"/>
    <x v="181"/>
    <n v="1.4430429121974415"/>
  </r>
  <r>
    <s v="30YrConformingConventional"/>
    <s v="Wells Fargo"/>
    <x v="0"/>
    <s v="MTG"/>
    <x v="182"/>
    <n v="1.425391343565878"/>
  </r>
  <r>
    <s v="30YrConformingConventional"/>
    <s v="Wells Fargo"/>
    <x v="0"/>
    <s v="MTG"/>
    <x v="183"/>
    <n v="1.5685210167367594"/>
  </r>
  <r>
    <s v="30YrConformingConventional"/>
    <s v="Wells Fargo"/>
    <x v="0"/>
    <s v="MTG"/>
    <x v="184"/>
    <n v="1.4438899609942817"/>
  </r>
  <r>
    <s v="30YrConformingConventional"/>
    <s v="Wells Fargo"/>
    <x v="0"/>
    <s v="MTG"/>
    <x v="185"/>
    <n v="1.4095203211990579"/>
  </r>
  <r>
    <s v="30YrConformingConventional"/>
    <s v="Wells Fargo"/>
    <x v="0"/>
    <s v="MTG"/>
    <x v="186"/>
    <n v="1.4121363408260277"/>
  </r>
  <r>
    <s v="30YrConformingConventional"/>
    <s v="Wells Fargo"/>
    <x v="0"/>
    <s v="MTG"/>
    <x v="187"/>
    <n v="1.583602731145519"/>
  </r>
  <r>
    <s v="30YrConformingConventional"/>
    <s v="Wells Fargo"/>
    <x v="0"/>
    <s v="MTG"/>
    <x v="188"/>
    <n v="1.598935291956989"/>
  </r>
  <r>
    <s v="30YrConformingConventional"/>
    <s v="Wells Fargo"/>
    <x v="0"/>
    <s v="MTG"/>
    <x v="189"/>
    <n v="1.4629721376609215"/>
  </r>
  <r>
    <s v="30YrConformingConventional"/>
    <s v="Wells Fargo"/>
    <x v="0"/>
    <s v="MTG"/>
    <x v="190"/>
    <n v="1.5050929403702489"/>
  </r>
  <r>
    <s v="30YrConformingConventional"/>
    <s v="Wells Fargo"/>
    <x v="0"/>
    <s v="MTG"/>
    <x v="191"/>
    <n v="1.4923644639728642"/>
  </r>
  <r>
    <s v="30YrConformingConventional"/>
    <s v="Wells Fargo"/>
    <x v="0"/>
    <s v="MTG"/>
    <x v="192"/>
    <n v="1.4893979088827214"/>
  </r>
  <r>
    <s v="30YrConformingConventional"/>
    <s v="Wells Fargo"/>
    <x v="0"/>
    <s v="MTG"/>
    <x v="193"/>
    <n v="1.5965038687670492"/>
  </r>
  <r>
    <s v="30YrConformingConventional"/>
    <s v="Wells Fargo"/>
    <x v="0"/>
    <s v="MTG"/>
    <x v="194"/>
    <n v="1.5076469991584396"/>
  </r>
  <r>
    <s v="30YrConformingConventional"/>
    <s v="Wells Fargo"/>
    <x v="0"/>
    <s v="MTG"/>
    <x v="195"/>
    <n v="1.5879462997614093"/>
  </r>
  <r>
    <s v="30YrConformingConventional"/>
    <s v="Wells Fargo"/>
    <x v="0"/>
    <s v="MTG"/>
    <x v="196"/>
    <n v="1.3846075529478279"/>
  </r>
  <r>
    <s v="30YrConformingConventional"/>
    <s v="Wells Fargo"/>
    <x v="0"/>
    <s v="MTG"/>
    <x v="197"/>
    <n v="1.4517476239258378"/>
  </r>
  <r>
    <s v="30YrConformingConventional"/>
    <s v="Wells Fargo"/>
    <x v="0"/>
    <s v="MTG"/>
    <x v="198"/>
    <n v="1.3864436154726978"/>
  </r>
  <r>
    <s v="30YrConformingConventional"/>
    <s v="Wells Fargo"/>
    <x v="0"/>
    <s v="MTG"/>
    <x v="199"/>
    <n v="1.5826902108495644"/>
  </r>
  <r>
    <s v="30YrConformingConventional"/>
    <s v="Wells Fargo"/>
    <x v="0"/>
    <s v="MTG"/>
    <x v="200"/>
    <n v="1.5767376652120544"/>
  </r>
  <r>
    <s v="30YrConformingConventional"/>
    <s v="Wells Fargo"/>
    <x v="0"/>
    <s v="MTG"/>
    <x v="201"/>
    <n v="1.4921818127692914"/>
  </r>
  <r>
    <s v="30YrConformingConventional"/>
    <s v="Wells Fargo"/>
    <x v="0"/>
    <s v="MTG"/>
    <x v="202"/>
    <n v="1.4568201416918514"/>
  </r>
  <r>
    <s v="30YrConformingConventional"/>
    <s v="Wells Fargo"/>
    <x v="0"/>
    <s v="MTG"/>
    <x v="203"/>
    <n v="1.4491482200129313"/>
  </r>
  <r>
    <s v="30YrConformingConventional"/>
    <s v="Wells Fargo"/>
    <x v="0"/>
    <s v="MTG"/>
    <x v="204"/>
    <n v="1.4682763725987411"/>
  </r>
  <r>
    <s v="30YrConformingConventional"/>
    <s v="Wells Fargo"/>
    <x v="0"/>
    <s v="MTG"/>
    <x v="205"/>
    <n v="1.5678366548067841"/>
  </r>
  <r>
    <s v="30YrConformingConventional"/>
    <s v="Wells Fargo"/>
    <x v="0"/>
    <s v="MTG"/>
    <x v="206"/>
    <n v="1.5828680159797839"/>
  </r>
  <r>
    <s v="30YrConformingConventional"/>
    <s v="Wells Fargo"/>
    <x v="0"/>
    <s v="MTG"/>
    <x v="207"/>
    <n v="1.6074802339129644"/>
  </r>
  <r>
    <s v="30YrConformingConventional"/>
    <s v="Wells Fargo"/>
    <x v="0"/>
    <s v="MTG"/>
    <x v="208"/>
    <n v="1.5530563894535645"/>
  </r>
  <r>
    <s v="30YrConformingConventional"/>
    <s v="Wells Fargo"/>
    <x v="0"/>
    <s v="MTG"/>
    <x v="209"/>
    <n v="1.5530563894535645"/>
  </r>
  <r>
    <s v="30YrConformingConventional"/>
    <s v="Wells Fargo"/>
    <x v="0"/>
    <s v="MTG"/>
    <x v="210"/>
    <n v="1.5414057225941038"/>
  </r>
  <r>
    <s v="30YrConformingConventional"/>
    <s v="Wells Fargo"/>
    <x v="0"/>
    <s v="MTG"/>
    <x v="211"/>
    <n v="1.4288129384799915"/>
  </r>
  <r>
    <s v="30YrConformingConventional"/>
    <s v="Wells Fargo"/>
    <x v="0"/>
    <s v="MTG"/>
    <x v="212"/>
    <n v="1.4908988131442615"/>
  </r>
  <r>
    <s v="30YrConformingConventional"/>
    <s v="Wells Fargo"/>
    <x v="0"/>
    <s v="MTG"/>
    <x v="213"/>
    <n v="1.4888651034932316"/>
  </r>
  <r>
    <s v="30YrConformingConventional"/>
    <s v="Wells Fargo"/>
    <x v="0"/>
    <s v="MTG"/>
    <x v="214"/>
    <n v="1.634451857918249"/>
  </r>
  <r>
    <s v="30YrConformingConventional"/>
    <s v="Wells Fargo"/>
    <x v="0"/>
    <s v="MTG"/>
    <x v="215"/>
    <n v="1.6609457499988993"/>
  </r>
  <r>
    <s v="30YrConformingConventional"/>
    <s v="Wells Fargo"/>
    <x v="0"/>
    <s v="MTG"/>
    <x v="216"/>
    <n v="1.6485683268281093"/>
  </r>
  <r>
    <s v="30YrConformingConventional"/>
    <s v="Wells Fargo"/>
    <x v="0"/>
    <s v="MTG"/>
    <x v="217"/>
    <n v="1.5152280978538615"/>
  </r>
  <r>
    <s v="30YrConformingConventional"/>
    <s v="Wells Fargo"/>
    <x v="0"/>
    <s v="MTG"/>
    <x v="218"/>
    <n v="1.6697801347929899"/>
  </r>
  <r>
    <s v="30YrConformingConventional"/>
    <s v="Wells Fargo"/>
    <x v="0"/>
    <s v="MTG"/>
    <x v="219"/>
    <n v="1.5959735193840592"/>
  </r>
  <r>
    <s v="30YrConformingConventional"/>
    <s v="Wells Fargo"/>
    <x v="0"/>
    <s v="MTG"/>
    <x v="220"/>
    <n v="1.4739154736450317"/>
  </r>
  <r>
    <s v="30YrConformingConventional"/>
    <s v="Wells Fargo"/>
    <x v="0"/>
    <s v="MTG"/>
    <x v="221"/>
    <n v="1.5082903058481585"/>
  </r>
  <r>
    <s v="30YrConformingConventional"/>
    <s v="Wells Fargo"/>
    <x v="0"/>
    <s v="MTG"/>
    <x v="222"/>
    <n v="1.6787421783783254"/>
  </r>
  <r>
    <s v="30YrConformingConventional"/>
    <s v="Wells Fargo"/>
    <x v="0"/>
    <s v="MTG"/>
    <x v="223"/>
    <n v="1.6552659723084056"/>
  </r>
  <r>
    <s v="30YrConformingConventional"/>
    <s v="Wells Fargo"/>
    <x v="0"/>
    <s v="MTG"/>
    <x v="224"/>
    <n v="1.5081779725751188"/>
  </r>
  <r>
    <s v="30YrConformingConventional"/>
    <s v="Wells Fargo"/>
    <x v="0"/>
    <s v="MTG"/>
    <x v="225"/>
    <n v="1.6485248198783153"/>
  </r>
  <r>
    <s v="30YrConformingConventional"/>
    <s v="Wells Fargo"/>
    <x v="0"/>
    <s v="MTG"/>
    <x v="226"/>
    <n v="1.6870544821255555"/>
  </r>
  <r>
    <s v="30YrConformingConventional"/>
    <s v="Wells Fargo"/>
    <x v="0"/>
    <s v="MTG"/>
    <x v="227"/>
    <n v="1.6829975552898355"/>
  </r>
  <r>
    <s v="30YrConformingConventional"/>
    <s v="Wells Fargo"/>
    <x v="0"/>
    <s v="MTG"/>
    <x v="228"/>
    <n v="1.650800447810389"/>
  </r>
  <r>
    <s v="30YrConformingConventional"/>
    <s v="Wells Fargo"/>
    <x v="0"/>
    <s v="MTG"/>
    <x v="229"/>
    <n v="1.5847911942574795"/>
  </r>
  <r>
    <s v="30YrConformingConventional"/>
    <s v="Wells Fargo"/>
    <x v="0"/>
    <s v="MTG"/>
    <x v="230"/>
    <n v="1.5271759597894994"/>
  </r>
  <r>
    <s v="30YrConformingConventional"/>
    <s v="Wells Fargo"/>
    <x v="0"/>
    <s v="MTG"/>
    <x v="231"/>
    <n v="1.6823507845627088"/>
  </r>
  <r>
    <s v="30YrConformingConventional"/>
    <s v="Wells Fargo"/>
    <x v="0"/>
    <s v="MTG"/>
    <x v="232"/>
    <n v="1.6845467820956386"/>
  </r>
  <r>
    <s v="30YrConformingConventional"/>
    <s v="Wells Fargo"/>
    <x v="0"/>
    <s v="MTG"/>
    <x v="233"/>
    <n v="1.6775163077505602"/>
  </r>
  <r>
    <s v="30YrConformingConventional"/>
    <s v="Wells Fargo"/>
    <x v="0"/>
    <s v="MTG"/>
    <x v="234"/>
    <n v="1.6251270628118093"/>
  </r>
  <r>
    <s v="30YrConformingConventional"/>
    <s v="Wells Fargo"/>
    <x v="0"/>
    <s v="MTG"/>
    <x v="235"/>
    <n v="1.7666956558044802"/>
  </r>
  <r>
    <s v="30YrConformingConventional"/>
    <s v="Wells Fargo"/>
    <x v="0"/>
    <s v="MTG"/>
    <x v="236"/>
    <n v="1.5437555757305834"/>
  </r>
  <r>
    <s v="30YrConformingConventional"/>
    <s v="Wells Fargo"/>
    <x v="0"/>
    <s v="MTG"/>
    <x v="237"/>
    <n v="1.6892381517647295"/>
  </r>
  <r>
    <s v="30YrConformingConventional"/>
    <s v="Wells Fargo"/>
    <x v="0"/>
    <s v="MTG"/>
    <x v="238"/>
    <n v="1.617402381550944"/>
  </r>
  <r>
    <s v="30YrConformingConventional"/>
    <s v="Wells Fargo"/>
    <x v="0"/>
    <s v="MTG"/>
    <x v="239"/>
    <n v="1.6799987428908036"/>
  </r>
  <r>
    <s v="30YrConformingConventional"/>
    <s v="Wells Fargo"/>
    <x v="0"/>
    <s v="MTG"/>
    <x v="240"/>
    <n v="1.6735924427649935"/>
  </r>
  <r>
    <s v="30YrConformingConventional"/>
    <s v="Wells Fargo"/>
    <x v="0"/>
    <s v="MTG"/>
    <x v="241"/>
    <n v="1.6323980690231839"/>
  </r>
  <r>
    <s v="30YrConformingConventional"/>
    <s v="Wells Fargo"/>
    <x v="0"/>
    <s v="MTG"/>
    <x v="242"/>
    <n v="1.7527336265870399"/>
  </r>
  <r>
    <s v="30YrConformingConventional"/>
    <s v="Wells Fargo"/>
    <x v="0"/>
    <s v="MTG"/>
    <x v="243"/>
    <n v="1.6907714630480137"/>
  </r>
  <r>
    <s v="30YrConformingConventional"/>
    <s v="Wells Fargo"/>
    <x v="0"/>
    <s v="MTG"/>
    <x v="244"/>
    <n v="1.681707908147994"/>
  </r>
  <r>
    <s v="30YrConformingConventional"/>
    <s v="Wells Fargo"/>
    <x v="0"/>
    <s v="MTG"/>
    <x v="245"/>
    <n v="1.7613722343105103"/>
  </r>
  <r>
    <s v="30YrConformingConventional"/>
    <s v="Wells Fargo"/>
    <x v="0"/>
    <s v="MTG"/>
    <x v="246"/>
    <n v="1.7613722343105103"/>
  </r>
  <r>
    <s v="30YrConformingConventional"/>
    <s v="Wells Fargo"/>
    <x v="0"/>
    <s v="MTG"/>
    <x v="247"/>
    <n v="1.6777602156965592"/>
  </r>
  <r>
    <s v="30YrConformingConventional"/>
    <s v="Wells Fargo"/>
    <x v="0"/>
    <s v="MTG"/>
    <x v="248"/>
    <n v="1.6224155973096546"/>
  </r>
  <r>
    <s v="30YrConformingConventional"/>
    <s v="Wells Fargo"/>
    <x v="0"/>
    <s v="MTG"/>
    <x v="249"/>
    <n v="1.6509721645297946"/>
  </r>
  <r>
    <s v="30YrConformingConventional"/>
    <s v="Wells Fargo"/>
    <x v="0"/>
    <s v="MTG"/>
    <x v="250"/>
    <n v="1.9093788811705936"/>
  </r>
  <r>
    <s v="30YrConformingConventional"/>
    <s v="Wells Fargo"/>
    <x v="0"/>
    <s v="MTG"/>
    <x v="251"/>
    <n v="1.4826276258934068"/>
  </r>
  <r>
    <s v="30YrConformingConventional"/>
    <s v="Wells Fargo"/>
    <x v="0"/>
    <s v="MTG"/>
    <x v="252"/>
    <n v="1.5770495155904083"/>
  </r>
  <r>
    <s v="30YrConformingConventional"/>
    <s v="Wells Fargo"/>
    <x v="0"/>
    <s v="MTG"/>
    <x v="253"/>
    <n v="1.4741705887976668"/>
  </r>
  <r>
    <s v="30YrConformingConventional"/>
    <s v="Wells Fargo"/>
    <x v="0"/>
    <s v="MTG"/>
    <x v="254"/>
    <n v="1.5625783686591295"/>
  </r>
  <r>
    <s v="30YrConformingConventional"/>
    <s v="Wells Fargo"/>
    <x v="0"/>
    <s v="MTG"/>
    <x v="255"/>
    <n v="1.5492564543552882"/>
  </r>
  <r>
    <s v="30YrConformingConventional"/>
    <s v="Wells Fargo"/>
    <x v="0"/>
    <s v="MTG"/>
    <x v="256"/>
    <n v="1.5429782372850298"/>
  </r>
  <r>
    <s v="30YrConformingConventional"/>
    <s v="Wells Fargo"/>
    <x v="0"/>
    <s v="MTG"/>
    <x v="257"/>
    <n v="1.5335941743605297"/>
  </r>
  <r>
    <s v="30YrConformingConventional"/>
    <s v="Wells Fargo"/>
    <x v="0"/>
    <s v="MTG"/>
    <x v="258"/>
    <n v="1.5652562224814315"/>
  </r>
  <r>
    <s v="30YrConformingConventional"/>
    <s v="Wells Fargo"/>
    <x v="0"/>
    <s v="MTG"/>
    <x v="259"/>
    <n v="1.4378426371896194"/>
  </r>
  <r>
    <s v="30YrConformingConventional"/>
    <s v="Wells Fargo"/>
    <x v="0"/>
    <s v="MTG"/>
    <x v="260"/>
    <n v="1.5575752259094915"/>
  </r>
  <r>
    <s v="30YrConformingConventional"/>
    <s v="Wells Fargo"/>
    <x v="0"/>
    <s v="MTG"/>
    <x v="261"/>
    <n v="1.5465654782757021"/>
  </r>
  <r>
    <s v="30YrConformingConventional"/>
    <s v="Wells Fargo"/>
    <x v="0"/>
    <s v="MTG"/>
    <x v="262"/>
    <n v="1.5303166129125882"/>
  </r>
  <r>
    <s v="30YrConformingConventional"/>
    <s v="Wells Fargo"/>
    <x v="0"/>
    <s v="MTG"/>
    <x v="263"/>
    <n v="1.4754707977239767"/>
  </r>
  <r>
    <s v="30YrConformingConventional"/>
    <s v="Wells Fargo"/>
    <x v="0"/>
    <s v="MTG"/>
    <x v="264"/>
    <n v="1.4811006924675882"/>
  </r>
  <r>
    <s v="30YrConformingConventional"/>
    <s v="Wells Fargo"/>
    <x v="0"/>
    <s v="MTG"/>
    <x v="265"/>
    <n v="1.5241263242323198"/>
  </r>
  <r>
    <s v="30YrConformingConventional"/>
    <s v="Wells Fargo"/>
    <x v="0"/>
    <s v="MTG"/>
    <x v="266"/>
    <n v="1.6405952739958014"/>
  </r>
  <r>
    <s v="30YrConformingConventional"/>
    <s v="Wells Fargo"/>
    <x v="0"/>
    <s v="MTG"/>
    <x v="267"/>
    <n v="1.6405952739958014"/>
  </r>
  <r>
    <s v="30YrConformingConventional"/>
    <s v="Wells Fargo"/>
    <x v="0"/>
    <s v="MTG"/>
    <x v="268"/>
    <n v="1.6279846729119918"/>
  </r>
  <r>
    <s v="30YrConformingConventional"/>
    <s v="Wells Fargo"/>
    <x v="0"/>
    <s v="MTG"/>
    <x v="269"/>
    <n v="1.5379604677640071"/>
  </r>
  <r>
    <s v="30YrConformingConventional"/>
    <s v="Wells Fargo"/>
    <x v="0"/>
    <s v="MTG"/>
    <x v="270"/>
    <n v="1.5266010305169067"/>
  </r>
  <r>
    <s v="30YrConformingConventional"/>
    <s v="Wells Fargo"/>
    <x v="0"/>
    <s v="MTG"/>
    <x v="271"/>
    <n v="1.5800521464650867"/>
  </r>
  <r>
    <s v="30YrConformingConventional"/>
    <s v="Wells Fargo"/>
    <x v="0"/>
    <s v="MTG"/>
    <x v="272"/>
    <n v="1.5815366991925528"/>
  </r>
  <r>
    <s v="30YrConformingConventional"/>
    <s v="Wells Fargo"/>
    <x v="0"/>
    <s v="MTG"/>
    <x v="273"/>
    <n v="1.589746512428273"/>
  </r>
  <r>
    <s v="30YrConformingConventional"/>
    <s v="Wells Fargo"/>
    <x v="0"/>
    <s v="MTG"/>
    <x v="274"/>
    <n v="1.5650725019037606"/>
  </r>
  <r>
    <s v="30YrConformingConventional"/>
    <s v="Wells Fargo"/>
    <x v="0"/>
    <s v="MTG"/>
    <x v="275"/>
    <n v="1.596281987416623"/>
  </r>
  <r>
    <s v="30YrConformingConventional"/>
    <s v="Wells Fargo"/>
    <x v="0"/>
    <s v="MTG"/>
    <x v="276"/>
    <n v="1.644160536515243"/>
  </r>
  <r>
    <s v="30YrConformingConventional"/>
    <s v="Wells Fargo"/>
    <x v="0"/>
    <s v="MTG"/>
    <x v="277"/>
    <n v="1.5791128560654608"/>
  </r>
  <r>
    <s v="30YrConformingConventional"/>
    <s v="Wells Fargo"/>
    <x v="0"/>
    <s v="MTG"/>
    <x v="278"/>
    <n v="1.0362750374833278"/>
  </r>
  <r>
    <s v="30YrConformingConventional"/>
    <s v="Wells Fargo"/>
    <x v="0"/>
    <s v="MTG"/>
    <x v="279"/>
    <n v="0.98732553173156778"/>
  </r>
  <r>
    <s v="30YrConformingConventional"/>
    <s v="Wells Fargo"/>
    <x v="0"/>
    <s v="MTG"/>
    <x v="280"/>
    <n v="1.0315987188935813"/>
  </r>
  <r>
    <s v="30YrConformingConventional"/>
    <s v="Wells Fargo"/>
    <x v="0"/>
    <s v="MTG"/>
    <x v="281"/>
    <n v="1.030631135557631"/>
  </r>
  <r>
    <s v="30YrConformingConventional"/>
    <s v="Wells Fargo"/>
    <x v="0"/>
    <s v="MTG"/>
    <x v="282"/>
    <n v="1.0041648578181281"/>
  </r>
  <r>
    <s v="30YrConformingConventional"/>
    <s v="Wells Fargo"/>
    <x v="0"/>
    <s v="MTG"/>
    <x v="283"/>
    <n v="0.99435653710991811"/>
  </r>
  <r>
    <s v="30YrConformingConventional"/>
    <s v="Wells Fargo"/>
    <x v="0"/>
    <s v="MTG"/>
    <x v="284"/>
    <n v="0.96875293457531797"/>
  </r>
  <r>
    <s v="30YrConformingConventional"/>
    <s v="Wells Fargo"/>
    <x v="0"/>
    <s v="MTG"/>
    <x v="285"/>
    <n v="0.88741499827108794"/>
  </r>
  <r>
    <s v="30YrConformingConventional"/>
    <s v="Wells Fargo"/>
    <x v="0"/>
    <s v="MTG"/>
    <x v="286"/>
    <n v="0.96685933486406161"/>
  </r>
  <r>
    <s v="30YrConformingConventional"/>
    <s v="Wells Fargo"/>
    <x v="0"/>
    <s v="MTG"/>
    <x v="287"/>
    <n v="0.95231123894581193"/>
  </r>
  <r>
    <s v="30YrConformingConventional"/>
    <s v="Wells Fargo"/>
    <x v="0"/>
    <s v="MTG"/>
    <x v="288"/>
    <n v="1.5807709883886598"/>
  </r>
  <r>
    <s v="30YrConformingConventional"/>
    <s v="Wells Fargo"/>
    <x v="0"/>
    <s v="MTG"/>
    <x v="289"/>
    <n v="1.5661281905016897"/>
  </r>
  <r>
    <s v="30YrConformingConventional"/>
    <s v="Wells Fargo"/>
    <x v="0"/>
    <s v="MTG"/>
    <x v="290"/>
    <n v="1.6122810824928797"/>
  </r>
  <r>
    <s v="30YrConformingConventional"/>
    <s v="Wells Fargo"/>
    <x v="0"/>
    <s v="MTG"/>
    <x v="291"/>
    <n v="1.5987907616417982"/>
  </r>
  <r>
    <s v="30YrConformingConventional"/>
    <s v="Wells Fargo"/>
    <x v="0"/>
    <s v="MTG"/>
    <x v="292"/>
    <n v="1.5551716021545769"/>
  </r>
  <r>
    <s v="30YrConformingConventional"/>
    <s v="Wells Fargo"/>
    <x v="0"/>
    <s v="MTG"/>
    <x v="293"/>
    <n v="1.5551716021545769"/>
  </r>
  <r>
    <s v="30YrConformingConventional"/>
    <s v="Wells Fargo"/>
    <x v="0"/>
    <s v="MTG"/>
    <x v="294"/>
    <n v="1.5079917675069707"/>
  </r>
  <r>
    <s v="30YrConformingConventional"/>
    <s v="Wells Fargo"/>
    <x v="0"/>
    <s v="MTG"/>
    <x v="295"/>
    <n v="1.5033730706469808"/>
  </r>
  <r>
    <s v="30YrConformingConventional"/>
    <s v="Wells Fargo"/>
    <x v="0"/>
    <s v="MTG"/>
    <x v="296"/>
    <n v="1.539051955464201"/>
  </r>
  <r>
    <s v="30YrConformingConventional"/>
    <s v="Wells Fargo"/>
    <x v="0"/>
    <s v="MTG"/>
    <x v="297"/>
    <n v="1.5364075341889092"/>
  </r>
  <r>
    <s v="30YrConformingConventional"/>
    <s v="Wells Fargo"/>
    <x v="0"/>
    <s v="MTG"/>
    <x v="298"/>
    <n v="1.4883225483654561"/>
  </r>
  <r>
    <s v="30YrConformingConventional"/>
    <s v="Wells Fargo"/>
    <x v="0"/>
    <s v="MTG"/>
    <x v="299"/>
    <n v="1.4727989852412562"/>
  </r>
  <r>
    <s v="30YrConformingConventional"/>
    <s v="Wells Fargo"/>
    <x v="0"/>
    <s v="MTG"/>
    <x v="300"/>
    <n v="1.4772515825602461"/>
  </r>
  <r>
    <s v="30YrConformingConventional"/>
    <s v="Wells Fargo"/>
    <x v="0"/>
    <s v="MTG"/>
    <x v="301"/>
    <n v="1.5297222317561108"/>
  </r>
  <r>
    <s v="30YrConformingConventional"/>
    <s v="Wells Fargo"/>
    <x v="0"/>
    <s v="MTG"/>
    <x v="302"/>
    <n v="1.5720304848722604"/>
  </r>
  <r>
    <s v="30YrConformingConventional"/>
    <s v="Wells Fargo"/>
    <x v="0"/>
    <s v="MTG"/>
    <x v="303"/>
    <n v="1.5312030152330207"/>
  </r>
  <r>
    <s v="30YrConformingConventional"/>
    <s v="Wells Fargo"/>
    <x v="0"/>
    <s v="MTG"/>
    <x v="304"/>
    <n v="1.5047771857319008"/>
  </r>
  <r>
    <s v="30YrConformingConventional"/>
    <s v="Wells Fargo"/>
    <x v="0"/>
    <s v="MTG"/>
    <x v="305"/>
    <n v="1.5195239820839042"/>
  </r>
  <r>
    <s v="30YrConformingConventional"/>
    <s v="Wells Fargo"/>
    <x v="0"/>
    <s v="MTG"/>
    <x v="306"/>
    <n v="1.5702013768321681"/>
  </r>
  <r>
    <s v="30YrConformingConventional"/>
    <s v="Wells Fargo"/>
    <x v="0"/>
    <s v="MTG"/>
    <x v="307"/>
    <n v="1.5053152246348664"/>
  </r>
  <r>
    <s v="30YrConformingConventional"/>
    <s v="Wells Fargo"/>
    <x v="0"/>
    <s v="MTG"/>
    <x v="308"/>
    <n v="1.5124354533971966"/>
  </r>
  <r>
    <s v="30YrConformingConventional"/>
    <s v="Wells Fargo"/>
    <x v="0"/>
    <s v="MTG"/>
    <x v="309"/>
    <n v="1.4957996831929166"/>
  </r>
  <r>
    <s v="30YrConformingConventional"/>
    <s v="Wells Fargo"/>
    <x v="0"/>
    <s v="MTG"/>
    <x v="310"/>
    <n v="1.5359647010683777"/>
  </r>
  <r>
    <s v="30YrConformingConventional"/>
    <s v="Wells Fargo"/>
    <x v="0"/>
    <s v="MTG"/>
    <x v="311"/>
    <n v="1.5206064257395766"/>
  </r>
  <r>
    <s v="30YrConformingConventional"/>
    <s v="Wells Fargo"/>
    <x v="0"/>
    <s v="MTG"/>
    <x v="312"/>
    <n v="1.5172208726544567"/>
  </r>
  <r>
    <s v="30YrConformingConventional"/>
    <s v="Wells Fargo"/>
    <x v="0"/>
    <s v="MTG"/>
    <x v="313"/>
    <n v="1.5898275082346682"/>
  </r>
  <r>
    <s v="30YrConformingConventional"/>
    <s v="Wells Fargo"/>
    <x v="0"/>
    <s v="MTG"/>
    <x v="314"/>
    <n v="1.5107987925935131"/>
  </r>
  <r>
    <s v="30YrConformingConventional"/>
    <s v="Wells Fargo"/>
    <x v="0"/>
    <s v="MTG"/>
    <x v="315"/>
    <n v="1.5831653171002547"/>
  </r>
  <r>
    <s v="30YrConformingConventional"/>
    <s v="Wells Fargo"/>
    <x v="0"/>
    <s v="MTG"/>
    <x v="316"/>
    <n v="1.4898988971579759"/>
  </r>
  <r>
    <s v="30YrConformingConventional"/>
    <s v="Wells Fargo"/>
    <x v="0"/>
    <s v="MTG"/>
    <x v="317"/>
    <n v="1.4820989414669159"/>
  </r>
  <r>
    <s v="30YrConformingConventional"/>
    <s v="Wells Fargo"/>
    <x v="0"/>
    <s v="MTG"/>
    <x v="318"/>
    <n v="1.482605157180926"/>
  </r>
  <r>
    <s v="30YrConformingConventional"/>
    <s v="Wells Fargo"/>
    <x v="0"/>
    <s v="MTG"/>
    <x v="319"/>
    <n v="1.490498504534616"/>
  </r>
  <r>
    <s v="30YrConformingConventional"/>
    <s v="Wells Fargo"/>
    <x v="0"/>
    <s v="MTG"/>
    <x v="320"/>
    <n v="1.5060013541582022"/>
  </r>
  <r>
    <s v="30YrConformingConventional"/>
    <s v="Wells Fargo"/>
    <x v="0"/>
    <s v="MTG"/>
    <x v="321"/>
    <n v="1.5222409863108319"/>
  </r>
  <r>
    <s v="30YrConformingConventional"/>
    <s v="Wells Fargo"/>
    <x v="0"/>
    <s v="MTG"/>
    <x v="322"/>
    <n v="1.5326497597781024"/>
  </r>
  <r>
    <s v="30YrConformingConventional"/>
    <s v="Wells Fargo"/>
    <x v="0"/>
    <s v="MTG"/>
    <x v="323"/>
    <n v="1.4593509791044763"/>
  </r>
  <r>
    <s v="30YrConformingConventional"/>
    <s v="Wells Fargo"/>
    <x v="0"/>
    <s v="MTG"/>
    <x v="324"/>
    <n v="1.5413643178060124"/>
  </r>
  <r>
    <s v="30YrConformingConventional"/>
    <s v="Wells Fargo"/>
    <x v="0"/>
    <s v="MTG"/>
    <x v="325"/>
    <n v="1.4955149551612261"/>
  </r>
  <r>
    <s v="30YrConformingConventional"/>
    <s v="Wells Fargo"/>
    <x v="0"/>
    <s v="MTG"/>
    <x v="326"/>
    <n v="1.4480328667437763"/>
  </r>
  <r>
    <s v="30YrConformingConventional"/>
    <s v="Wells Fargo"/>
    <x v="0"/>
    <s v="MTG"/>
    <x v="327"/>
    <n v="1.5500459174607888"/>
  </r>
  <r>
    <s v="30YrConformingConventional"/>
    <s v="Wells Fargo"/>
    <x v="0"/>
    <s v="MTG"/>
    <x v="328"/>
    <n v="1.4756765697085963"/>
  </r>
  <r>
    <s v="30YrConformingConventional"/>
    <s v="Wells Fargo"/>
    <x v="0"/>
    <s v="MTG"/>
    <x v="329"/>
    <n v="1.5450683947316106"/>
  </r>
  <r>
    <s v="30YrConformingConventional"/>
    <s v="Wells Fargo"/>
    <x v="0"/>
    <s v="MTG"/>
    <x v="330"/>
    <n v="1.5226521888727109"/>
  </r>
  <r>
    <s v="30YrConformingConventional"/>
    <s v="Wells Fargo"/>
    <x v="0"/>
    <s v="MTG"/>
    <x v="331"/>
    <n v="1.5046532434950961"/>
  </r>
  <r>
    <s v="30YrConformingConventional"/>
    <s v="Wells Fargo"/>
    <x v="0"/>
    <s v="MTG"/>
    <x v="332"/>
    <n v="1.5755777007409137"/>
  </r>
  <r>
    <s v="30YrConformingConventional"/>
    <s v="Wells Fargo"/>
    <x v="0"/>
    <s v="MTG"/>
    <x v="333"/>
    <n v="1.5728375454592638"/>
  </r>
  <r>
    <s v="30YrConformingConventional"/>
    <s v="Wells Fargo"/>
    <x v="0"/>
    <s v="MTG"/>
    <x v="334"/>
    <n v="1.6404881203542863"/>
  </r>
  <r>
    <s v="30YrConformingConventional"/>
    <s v="Wells Fargo"/>
    <x v="0"/>
    <s v="MTG"/>
    <x v="335"/>
    <n v="1.6795547207477863"/>
  </r>
  <r>
    <s v="30YrConformingConventional"/>
    <s v="Wells Fargo"/>
    <x v="0"/>
    <s v="MTG"/>
    <x v="336"/>
    <n v="1.6885391253511648"/>
  </r>
  <r>
    <s v="30YrConformingConventional"/>
    <s v="Wells Fargo"/>
    <x v="0"/>
    <s v="MTG"/>
    <x v="337"/>
    <n v="1.7038407483280782"/>
  </r>
  <r>
    <s v="30YrConformingConventional"/>
    <s v="Wells Fargo"/>
    <x v="0"/>
    <s v="MTG"/>
    <x v="338"/>
    <n v="1.5408298507826088"/>
  </r>
  <r>
    <s v="30YrConformingConventional"/>
    <s v="Wells Fargo"/>
    <x v="0"/>
    <s v="MTG"/>
    <x v="339"/>
    <n v="1.6307286687530984"/>
  </r>
  <r>
    <s v="30YrConformingConventional"/>
    <s v="Wells Fargo"/>
    <x v="0"/>
    <s v="MTG"/>
    <x v="340"/>
    <n v="1.6307286687530984"/>
  </r>
  <r>
    <s v="30YrConformingConventional"/>
    <s v="Wells Fargo"/>
    <x v="0"/>
    <s v="MTG"/>
    <x v="341"/>
    <n v="1.6135805160292089"/>
  </r>
  <r>
    <s v="30YrConformingConventional"/>
    <s v="Wells Fargo"/>
    <x v="0"/>
    <s v="MTG"/>
    <x v="342"/>
    <n v="1.6247412965555448"/>
  </r>
  <r>
    <s v="30YrConformingConventional"/>
    <s v="Wells Fargo"/>
    <x v="0"/>
    <s v="MTG"/>
    <x v="343"/>
    <n v="1.6502551368317246"/>
  </r>
  <r>
    <s v="30YrConformingConventional"/>
    <s v="Wells Fargo"/>
    <x v="0"/>
    <s v="MTG"/>
    <x v="344"/>
    <n v="1.5520575514465036"/>
  </r>
  <r>
    <s v="30YrConformingConventional"/>
    <s v="Wells Fargo"/>
    <x v="0"/>
    <s v="MTG"/>
    <x v="345"/>
    <n v="1.5065731696305735"/>
  </r>
  <r>
    <s v="30YrConformingConventional"/>
    <s v="Wells Fargo"/>
    <x v="0"/>
    <s v="MTG"/>
    <x v="346"/>
    <n v="1.5116219658395442"/>
  </r>
  <r>
    <s v="30YrConformingConventional"/>
    <s v="Wells Fargo"/>
    <x v="0"/>
    <s v="MTG"/>
    <x v="347"/>
    <n v="1.5382973832442539"/>
  </r>
  <r>
    <s v="30YrConformingConventional"/>
    <s v="Wells Fargo"/>
    <x v="0"/>
    <s v="MTG"/>
    <x v="348"/>
    <n v="1.5195523481023741"/>
  </r>
  <r>
    <s v="30YrConformingConventional"/>
    <s v="Wells Fargo"/>
    <x v="0"/>
    <s v="MTG"/>
    <x v="349"/>
    <n v="1.5771753520299163"/>
  </r>
  <r>
    <s v="30YrConformingConventional"/>
    <s v="Wells Fargo"/>
    <x v="0"/>
    <s v="MTG"/>
    <x v="350"/>
    <n v="1.5556731587860366"/>
  </r>
  <r>
    <s v="30YrConformingConventional"/>
    <s v="Wells Fargo"/>
    <x v="0"/>
    <s v="MTG"/>
    <x v="351"/>
    <n v="1.5453070601100662"/>
  </r>
  <r>
    <s v="30YrConformingConventional"/>
    <s v="Wells Fargo"/>
    <x v="0"/>
    <s v="MTG"/>
    <x v="352"/>
    <n v="1.5367265474709366"/>
  </r>
  <r>
    <s v="30YrConformingConventional"/>
    <s v="Wells Fargo"/>
    <x v="0"/>
    <s v="MTG"/>
    <x v="353"/>
    <n v="1.6511947852561926"/>
  </r>
  <r>
    <s v="30YrConformingConventional"/>
    <s v="Wells Fargo"/>
    <x v="0"/>
    <s v="MTG"/>
    <x v="354"/>
    <n v="1.544835507177434"/>
  </r>
  <r>
    <s v="30YrConformingConventional"/>
    <s v="Wells Fargo"/>
    <x v="0"/>
    <s v="MTG"/>
    <x v="355"/>
    <n v="1.6634625774473748"/>
  </r>
  <r>
    <s v="30YrConformingConventional"/>
    <s v="Wells Fargo"/>
    <x v="0"/>
    <s v="MTG"/>
    <x v="356"/>
    <n v="1.574138493007559"/>
  </r>
  <r>
    <s v="30YrConformingConventional"/>
    <s v="Wells Fargo"/>
    <x v="0"/>
    <s v="MTG"/>
    <x v="357"/>
    <n v="1.5378066318134744"/>
  </r>
  <r>
    <s v="30YrConformingConventional"/>
    <s v="Wells Fargo"/>
    <x v="0"/>
    <s v="MTG"/>
    <x v="358"/>
    <n v="1.5308011576804139"/>
  </r>
  <r>
    <s v="30YrConformingConventional"/>
    <s v="Wells Fargo"/>
    <x v="0"/>
    <s v="MTG"/>
    <x v="359"/>
    <n v="1.6331190043024451"/>
  </r>
  <r>
    <s v="30YrConformingConventional"/>
    <s v="Wells Fargo"/>
    <x v="0"/>
    <s v="MTG"/>
    <x v="360"/>
    <n v="1.5675757509209451"/>
  </r>
  <r>
    <s v="30YrConformingConventional"/>
    <s v="Wells Fargo"/>
    <x v="0"/>
    <s v="MTG"/>
    <x v="361"/>
    <n v="1.5589128935054666"/>
  </r>
  <r>
    <s v="30YrConformingConventional"/>
    <s v="Wells Fargo"/>
    <x v="0"/>
    <s v="MTG"/>
    <x v="362"/>
    <n v="1.5351399404742141"/>
  </r>
  <r>
    <s v="30YrConformingConventional"/>
    <s v="Wells Fargo"/>
    <x v="0"/>
    <s v="MTG"/>
    <x v="363"/>
    <n v="1.5703871396504987"/>
  </r>
  <r>
    <s v="30YrConformingConventional"/>
    <s v="Wells Fargo"/>
    <x v="0"/>
    <s v="MTG"/>
    <x v="364"/>
    <n v="1.5703871396504987"/>
  </r>
  <r>
    <s v="30YrConformingConventional"/>
    <s v="Wells Fargo"/>
    <x v="0"/>
    <s v="MTG"/>
    <x v="365"/>
    <n v="1.5703871396504987"/>
  </r>
  <r>
    <s v="30YrConformingConventional"/>
    <s v="Wells Fargo"/>
    <x v="0"/>
    <s v="MTG"/>
    <x v="366"/>
    <n v="1.5917045048435843"/>
  </r>
  <r>
    <s v="30YrConformingConventional"/>
    <s v="Wells Fargo"/>
    <x v="0"/>
    <s v="MTG"/>
    <x v="367"/>
    <n v="1.4685085494990413"/>
  </r>
  <r>
    <s v="30YrConformingConventional"/>
    <s v="Wells Fargo"/>
    <x v="0"/>
    <s v="MTG"/>
    <x v="368"/>
    <n v="1.5210994365031743"/>
  </r>
  <r>
    <s v="30YrConformingConventional"/>
    <s v="Wells Fargo"/>
    <x v="0"/>
    <s v="MTG"/>
    <x v="369"/>
    <n v="1.5052400509121013"/>
  </r>
  <r>
    <s v="30YrConformingConventional"/>
    <s v="Wells Fargo"/>
    <x v="0"/>
    <s v="MTG"/>
    <x v="370"/>
    <n v="1.4528478102226714"/>
  </r>
  <r>
    <s v="30YrConformingConventional"/>
    <s v="Wells Fargo"/>
    <x v="0"/>
    <s v="MTG"/>
    <x v="371"/>
    <n v="1.519939304824764"/>
  </r>
  <r>
    <s v="30YrConformingConventional"/>
    <s v="Wells Fargo"/>
    <x v="0"/>
    <s v="MTG"/>
    <x v="372"/>
    <n v="1.5253107100218841"/>
  </r>
  <r>
    <s v="30YrConformingConventional"/>
    <s v="Wells Fargo"/>
    <x v="0"/>
    <s v="MTG"/>
    <x v="373"/>
    <n v="1.4784379315707614"/>
  </r>
  <r>
    <s v="30YrConformingConventional"/>
    <s v="Wells Fargo"/>
    <x v="0"/>
    <s v="MTG"/>
    <x v="374"/>
    <n v="1.4784379315707614"/>
  </r>
  <r>
    <s v="30YrConformingConventional"/>
    <s v="Wells Fargo"/>
    <x v="0"/>
    <s v="MTG"/>
    <x v="375"/>
    <n v="1.4784379315707614"/>
  </r>
  <r>
    <s v="30YrConformingConventional"/>
    <s v="Wells Fargo"/>
    <x v="0"/>
    <s v="MTG"/>
    <x v="376"/>
    <n v="1.5070262581738245"/>
  </r>
  <r>
    <s v="30YrConformingConventional"/>
    <s v="Wells Fargo"/>
    <x v="0"/>
    <s v="MTG"/>
    <x v="377"/>
    <n v="1.4598663799152614"/>
  </r>
  <r>
    <s v="30YrConformingConventional"/>
    <s v="Wells Fargo"/>
    <x v="0"/>
    <s v="MTG"/>
    <x v="378"/>
    <n v="1.5040918785707342"/>
  </r>
  <r>
    <s v="30YrConformingConventional"/>
    <s v="Wells Fargo"/>
    <x v="0"/>
    <s v="MTG"/>
    <x v="379"/>
    <n v="1.5521003889137166"/>
  </r>
  <r>
    <s v="30YrConformingConventional"/>
    <s v="Wells Fargo"/>
    <x v="0"/>
    <s v="MTG"/>
    <x v="380"/>
    <n v="1.5521003889137166"/>
  </r>
  <r>
    <s v="30YrConformingConventional"/>
    <s v="Wells Fargo"/>
    <x v="0"/>
    <s v="MTG"/>
    <x v="381"/>
    <n v="1.5521003889137166"/>
  </r>
  <r>
    <s v="30YrConformingConventional"/>
    <s v="Wells Fargo"/>
    <x v="0"/>
    <s v="MTG"/>
    <x v="382"/>
    <n v="1.5254895983615342"/>
  </r>
  <r>
    <s v="30YrConformingConventional"/>
    <s v="Wells Fargo"/>
    <x v="0"/>
    <s v="MTG"/>
    <x v="383"/>
    <n v="1.4864181354397439"/>
  </r>
  <r>
    <s v="30YrConformingConventional"/>
    <s v="Wells Fargo"/>
    <x v="0"/>
    <s v="MTG"/>
    <x v="384"/>
    <n v="1.4864181354397439"/>
  </r>
  <r>
    <s v="30YrConformingConventional"/>
    <s v="Wells Fargo"/>
    <x v="0"/>
    <s v="MTG"/>
    <x v="385"/>
    <n v="1.5535207406702964"/>
  </r>
  <r>
    <s v="30YrConformingConventional"/>
    <s v="Wells Fargo"/>
    <x v="0"/>
    <s v="MTG"/>
    <x v="386"/>
    <n v="1.5849437383458411"/>
  </r>
  <r>
    <s v="30YrConformingConventional"/>
    <s v="Wells Fargo"/>
    <x v="0"/>
    <s v="MTG"/>
    <x v="387"/>
    <n v="1.6134554439104289"/>
  </r>
  <r>
    <s v="30YrConformingConventional"/>
    <s v="Wells Fargo"/>
    <x v="0"/>
    <s v="MTG"/>
    <x v="388"/>
    <n v="1.5430658055026421"/>
  </r>
  <r>
    <s v="30YrConformingConventional"/>
    <s v="Wells Fargo"/>
    <x v="0"/>
    <s v="MTG"/>
    <x v="389"/>
    <n v="1.542404442405642"/>
  </r>
  <r>
    <s v="30YrConformingConventional"/>
    <s v="Wells Fargo"/>
    <x v="0"/>
    <s v="MTG"/>
    <x v="390"/>
    <n v="1.5265894191736622"/>
  </r>
  <r>
    <s v="30YrConformingConventional"/>
    <s v="Wells Fargo"/>
    <x v="0"/>
    <s v="MTG"/>
    <x v="391"/>
    <n v="1.5293659903593424"/>
  </r>
  <r>
    <s v="30YrConformingConventional"/>
    <s v="Wells Fargo"/>
    <x v="0"/>
    <s v="MTG"/>
    <x v="392"/>
    <n v="1.5498796230929823"/>
  </r>
  <r>
    <s v="30YrConformingConventional"/>
    <s v="Wells Fargo"/>
    <x v="0"/>
    <s v="MTG"/>
    <x v="393"/>
    <n v="1.5741195708035924"/>
  </r>
  <r>
    <s v="30YrConformingConventional"/>
    <s v="Wells Fargo"/>
    <x v="0"/>
    <s v="MTG"/>
    <x v="394"/>
    <n v="1.4730786670833713"/>
  </r>
  <r>
    <s v="30YrConformingConventional"/>
    <s v="Wells Fargo"/>
    <x v="0"/>
    <s v="MTG"/>
    <x v="395"/>
    <n v="1.5067958997317912"/>
  </r>
  <r>
    <s v="30YrConformingConventional"/>
    <s v="Wells Fargo"/>
    <x v="0"/>
    <s v="MTG"/>
    <x v="396"/>
    <n v="1.5652296430606787"/>
  </r>
  <r>
    <s v="30YrConformingConventional"/>
    <s v="Wells Fargo"/>
    <x v="0"/>
    <s v="MTG"/>
    <x v="397"/>
    <n v="1.5512826650793183"/>
  </r>
  <r>
    <s v="30YrConformingConventional"/>
    <s v="Wells Fargo"/>
    <x v="0"/>
    <s v="MTG"/>
    <x v="398"/>
    <n v="1.5114621307348912"/>
  </r>
  <r>
    <s v="30YrConformingConventional"/>
    <s v="Wells Fargo"/>
    <x v="0"/>
    <s v="MTG"/>
    <x v="399"/>
    <n v="1.4619386294039403"/>
  </r>
  <r>
    <s v="30YrConformingConventional"/>
    <s v="Wells Fargo"/>
    <x v="0"/>
    <s v="MTG"/>
    <x v="400"/>
    <n v="1.5095161535928083"/>
  </r>
  <r>
    <s v="30YrConformingConventional"/>
    <s v="Wells Fargo"/>
    <x v="0"/>
    <s v="MTG"/>
    <x v="401"/>
    <n v="1.4681024013795181"/>
  </r>
  <r>
    <s v="30YrConformingConventional"/>
    <s v="Wells Fargo"/>
    <x v="0"/>
    <s v="MTG"/>
    <x v="402"/>
    <n v="1.447608919913574"/>
  </r>
  <r>
    <s v="30YrConformingConventional"/>
    <s v="Wells Fargo"/>
    <x v="0"/>
    <s v="MTG"/>
    <x v="403"/>
    <n v="1.4281492864599739"/>
  </r>
  <r>
    <s v="30YrConformingConventional"/>
    <s v="Wells Fargo"/>
    <x v="0"/>
    <s v="MTG"/>
    <x v="404"/>
    <n v="1.4829425052345568"/>
  </r>
  <r>
    <s v="30YrConformingConventional"/>
    <s v="Wells Fargo"/>
    <x v="0"/>
    <s v="MTG"/>
    <x v="405"/>
    <n v="1.5235853271833921"/>
  </r>
  <r>
    <s v="30YrConformingConventional"/>
    <s v="Wells Fargo"/>
    <x v="0"/>
    <s v="MTG"/>
    <x v="406"/>
    <n v="1.5678102544083989"/>
  </r>
  <r>
    <s v="30YrConformingConventional"/>
    <s v="Wells Fargo"/>
    <x v="0"/>
    <s v="MTG"/>
    <x v="407"/>
    <n v="1.5404385869041521"/>
  </r>
  <r>
    <s v="30YrConformingConventional"/>
    <s v="Wells Fargo"/>
    <x v="0"/>
    <s v="MTG"/>
    <x v="408"/>
    <n v="1.4939556027126721"/>
  </r>
  <r>
    <s v="30YrConformingConventional"/>
    <s v="Wells Fargo"/>
    <x v="0"/>
    <s v="MTG"/>
    <x v="409"/>
    <n v="1.5720545085274387"/>
  </r>
  <r>
    <s v="30YrConformingConventional"/>
    <s v="Wells Fargo"/>
    <x v="0"/>
    <s v="MTG"/>
    <x v="410"/>
    <n v="1.531590776126732"/>
  </r>
  <r>
    <s v="30YrConformingConventional"/>
    <s v="Wells Fargo"/>
    <x v="0"/>
    <s v="MTG"/>
    <x v="411"/>
    <n v="1.4684583892715466"/>
  </r>
  <r>
    <s v="30YrConformingConventional"/>
    <s v="Wells Fargo"/>
    <x v="0"/>
    <s v="MTG"/>
    <x v="412"/>
    <n v="1.4741447034816266"/>
  </r>
  <r>
    <s v="30YrConformingConventional"/>
    <s v="Wells Fargo"/>
    <x v="0"/>
    <s v="MTG"/>
    <x v="413"/>
    <n v="1.4837383853133268"/>
  </r>
  <r>
    <s v="30YrConformingConventional"/>
    <s v="Wells Fargo"/>
    <x v="0"/>
    <s v="MTG"/>
    <x v="414"/>
    <n v="1.4054404489049543"/>
  </r>
  <r>
    <s v="30YrConformingConventional"/>
    <s v="Wells Fargo"/>
    <x v="0"/>
    <s v="MTG"/>
    <x v="415"/>
    <n v="1.4662854464712365"/>
  </r>
  <r>
    <s v="30YrConformingConventional"/>
    <s v="Wells Fargo"/>
    <x v="0"/>
    <s v="MTG"/>
    <x v="416"/>
    <n v="1.5110519500366824"/>
  </r>
  <r>
    <s v="30YrConformingConventional"/>
    <s v="Wells Fargo"/>
    <x v="0"/>
    <s v="MTG"/>
    <x v="417"/>
    <n v="1.530982872569121"/>
  </r>
  <r>
    <s v="30YrConformingConventional"/>
    <s v="Wells Fargo"/>
    <x v="0"/>
    <s v="MTG"/>
    <x v="418"/>
    <n v="1.5277289687601514"/>
  </r>
  <r>
    <s v="30YrConformingConventional"/>
    <s v="Wells Fargo"/>
    <x v="0"/>
    <s v="MTG"/>
    <x v="419"/>
    <n v="1.4627718075214564"/>
  </r>
  <r>
    <s v="30YrConformingConventional"/>
    <s v="Wells Fargo"/>
    <x v="0"/>
    <s v="MTG"/>
    <x v="420"/>
    <n v="1.5312493188447913"/>
  </r>
  <r>
    <s v="30YrConformingConventional"/>
    <s v="Wells Fargo"/>
    <x v="0"/>
    <s v="MTG"/>
    <x v="421"/>
    <n v="1.5344363611650087"/>
  </r>
  <r>
    <s v="30YrConformingConventional"/>
    <s v="Wells Fargo"/>
    <x v="0"/>
    <s v="MTG"/>
    <x v="422"/>
    <n v="1.5283750149234714"/>
  </r>
  <r>
    <s v="30YrConformingConventional"/>
    <s v="Wells Fargo"/>
    <x v="0"/>
    <s v="MTG"/>
    <x v="423"/>
    <n v="1.4154350162888967"/>
  </r>
  <r>
    <s v="30YrConformingConventional"/>
    <s v="Wells Fargo"/>
    <x v="0"/>
    <s v="MTG"/>
    <x v="424"/>
    <n v="1.4526302050559066"/>
  </r>
  <r>
    <s v="30YrConformingConventional"/>
    <s v="Wells Fargo"/>
    <x v="0"/>
    <s v="MTG"/>
    <x v="425"/>
    <n v="1.4148320270667165"/>
  </r>
  <r>
    <s v="30YrConformingConventional"/>
    <s v="Wells Fargo"/>
    <x v="0"/>
    <s v="MTG"/>
    <x v="426"/>
    <n v="1.4155955114819991"/>
  </r>
  <r>
    <s v="30YrConformingConventional"/>
    <s v="Wells Fargo"/>
    <x v="0"/>
    <s v="MTG"/>
    <x v="427"/>
    <n v="1.49155468435259"/>
  </r>
  <r>
    <s v="30YrConformingConventional"/>
    <s v="Wells Fargo"/>
    <x v="0"/>
    <s v="MTG"/>
    <x v="428"/>
    <n v="1.547347163715711"/>
  </r>
  <r>
    <s v="30YrConformingConventional"/>
    <s v="Wells Fargo"/>
    <x v="0"/>
    <s v="MTG"/>
    <x v="429"/>
    <n v="1.4996078864371831"/>
  </r>
  <r>
    <s v="30YrConformingConventional"/>
    <s v="Wells Fargo"/>
    <x v="0"/>
    <s v="MTG"/>
    <x v="430"/>
    <n v="1.520368998030313"/>
  </r>
  <r>
    <s v="30YrConformingConventional"/>
    <s v="Wells Fargo"/>
    <x v="0"/>
    <s v="MTG"/>
    <x v="431"/>
    <n v="1.416700000462418"/>
  </r>
  <r>
    <s v="30YrConformingConventional"/>
    <s v="Wells Fargo"/>
    <x v="0"/>
    <s v="MTG"/>
    <x v="432"/>
    <n v="1.4687337757862202"/>
  </r>
  <r>
    <s v="30YrConformingConventional"/>
    <s v="Wells Fargo"/>
    <x v="0"/>
    <s v="MTG"/>
    <x v="433"/>
    <n v="1.4121793361108539"/>
  </r>
  <r>
    <s v="30YrConformingConventional"/>
    <s v="Wells Fargo"/>
    <x v="0"/>
    <s v="MTG"/>
    <x v="434"/>
    <n v="1.5374887606590462"/>
  </r>
  <r>
    <s v="30YrConformingConventional"/>
    <s v="Wells Fargo"/>
    <x v="0"/>
    <s v="MTG"/>
    <x v="435"/>
    <n v="1.4678559959101494"/>
  </r>
  <r>
    <s v="30YrConformingConventional"/>
    <s v="Wells Fargo"/>
    <x v="0"/>
    <s v="MTG"/>
    <x v="436"/>
    <n v="1.5754428062550314"/>
  </r>
  <r>
    <s v="30YrConformingConventional"/>
    <s v="Wells Fargo"/>
    <x v="0"/>
    <s v="MTG"/>
    <x v="437"/>
    <n v="1.6012632336538113"/>
  </r>
  <r>
    <s v="30YrConformingConventional"/>
    <s v="Wells Fargo"/>
    <x v="0"/>
    <s v="MTG"/>
    <x v="438"/>
    <n v="1.5607652471373104"/>
  </r>
  <r>
    <s v="30YrConformingConventional"/>
    <s v="Wells Fargo"/>
    <x v="0"/>
    <s v="MTG"/>
    <x v="439"/>
    <n v="1.5039725376185202"/>
  </r>
  <r>
    <s v="30YrConformingConventional"/>
    <s v="Wells Fargo"/>
    <x v="0"/>
    <s v="MTG"/>
    <x v="440"/>
    <n v="1.4900965561077117"/>
  </r>
  <r>
    <s v="30YrConformingConventional"/>
    <s v="Wells Fargo"/>
    <x v="0"/>
    <s v="MTG"/>
    <x v="441"/>
    <n v="1.4806223344232106"/>
  </r>
  <r>
    <s v="30YrConformingConventional"/>
    <s v="Wells Fargo"/>
    <x v="0"/>
    <s v="MTG"/>
    <x v="442"/>
    <n v="1.4653689109985288"/>
  </r>
  <r>
    <s v="30YrConformingConventional"/>
    <s v="Wells Fargo"/>
    <x v="0"/>
    <s v="MTG"/>
    <x v="443"/>
    <n v="1.5405912785348408"/>
  </r>
  <r>
    <s v="30YrConformingConventional"/>
    <s v="Wells Fargo"/>
    <x v="0"/>
    <s v="MTG"/>
    <x v="444"/>
    <n v="1.53516478797764"/>
  </r>
  <r>
    <s v="30YrConformingConventional"/>
    <s v="Wells Fargo"/>
    <x v="0"/>
    <s v="MTG"/>
    <x v="445"/>
    <n v="1.5673083523940212"/>
  </r>
  <r>
    <s v="30YrConformingConventional"/>
    <s v="Wells Fargo"/>
    <x v="0"/>
    <s v="MTG"/>
    <x v="446"/>
    <n v="1.4199994713350865"/>
  </r>
  <r>
    <s v="30YrConformingConventional"/>
    <s v="Wells Fargo"/>
    <x v="0"/>
    <s v="MTG"/>
    <x v="447"/>
    <n v="1.4743009090143409"/>
  </r>
  <r>
    <s v="30YrConformingConventional"/>
    <s v="Wells Fargo"/>
    <x v="0"/>
    <s v="MTG"/>
    <x v="448"/>
    <n v="1.525808834246261"/>
  </r>
  <r>
    <s v="30YrConformingConventional"/>
    <s v="Wells Fargo"/>
    <x v="0"/>
    <s v="MTG"/>
    <x v="449"/>
    <n v="1.3311692756852394"/>
  </r>
  <r>
    <s v="30YrConformingConventional"/>
    <s v="Wells Fargo"/>
    <x v="0"/>
    <s v="MTG"/>
    <x v="450"/>
    <n v="1.4038710512515749"/>
  </r>
  <r>
    <s v="30YrConformingConventional"/>
    <s v="Wells Fargo"/>
    <x v="0"/>
    <s v="MTG"/>
    <x v="451"/>
    <n v="1.3784023498828055"/>
  </r>
  <r>
    <s v="30YrConformingConventional"/>
    <s v="Wells Fargo"/>
    <x v="0"/>
    <s v="MTG"/>
    <x v="452"/>
    <n v="1.4353603994093653"/>
  </r>
  <r>
    <s v="30YrConformingConventional"/>
    <s v="Wells Fargo"/>
    <x v="0"/>
    <s v="MTG"/>
    <x v="453"/>
    <n v="1.4205209011351854"/>
  </r>
  <r>
    <s v="30YrConformingConventional"/>
    <s v="Wells Fargo"/>
    <x v="0"/>
    <s v="MTG"/>
    <x v="454"/>
    <n v="1.4500031772048054"/>
  </r>
  <r>
    <s v="30YrConformingConventional"/>
    <s v="Wells Fargo"/>
    <x v="0"/>
    <s v="MTG"/>
    <x v="455"/>
    <n v="1.4544280388529154"/>
  </r>
  <r>
    <s v="30YrConformingConventional"/>
    <s v="Wells Fargo"/>
    <x v="0"/>
    <s v="MTG"/>
    <x v="456"/>
    <n v="1.4222591938834253"/>
  </r>
  <r>
    <s v="30YrConformingConventional"/>
    <s v="Wells Fargo"/>
    <x v="0"/>
    <s v="MTG"/>
    <x v="457"/>
    <n v="1.4363406675466053"/>
  </r>
  <r>
    <s v="30YrConformingConventional"/>
    <s v="Wells Fargo"/>
    <x v="0"/>
    <s v="MTG"/>
    <x v="458"/>
    <n v="1.6075727207388515"/>
  </r>
  <r>
    <s v="30YrConformingConventional"/>
    <s v="Wells Fargo"/>
    <x v="0"/>
    <s v="MTG"/>
    <x v="459"/>
    <n v="1.533973302013214"/>
  </r>
  <r>
    <s v="30YrConformingConventional"/>
    <s v="Wells Fargo"/>
    <x v="0"/>
    <s v="MTG"/>
    <x v="460"/>
    <n v="1.5311620402154114"/>
  </r>
  <r>
    <s v="30YrConformingConventional"/>
    <s v="Wells Fargo"/>
    <x v="0"/>
    <s v="MTG"/>
    <x v="461"/>
    <n v="1.567935686675934"/>
  </r>
  <r>
    <s v="30YrConformingConventional"/>
    <s v="Wells Fargo"/>
    <x v="0"/>
    <s v="MTG"/>
    <x v="462"/>
    <n v="1.4875930262691621"/>
  </r>
  <r>
    <s v="30YrConformingConventional"/>
    <s v="Wells Fargo"/>
    <x v="0"/>
    <s v="MTG"/>
    <x v="463"/>
    <n v="1.5188641778638003"/>
  </r>
  <r>
    <s v="30YrConformingConventional"/>
    <s v="Wells Fargo"/>
    <x v="0"/>
    <s v="MTG"/>
    <x v="464"/>
    <n v="1.5213881976071308"/>
  </r>
  <r>
    <s v="30YrConformingConventional"/>
    <s v="Wells Fargo"/>
    <x v="0"/>
    <s v="MTG"/>
    <x v="465"/>
    <n v="1.6117723629536409"/>
  </r>
  <r>
    <s v="30YrConformingConventional"/>
    <s v="Wells Fargo"/>
    <x v="0"/>
    <s v="MTG"/>
    <x v="466"/>
    <n v="1.5513462164836012"/>
  </r>
  <r>
    <s v="30YrConformingConventional"/>
    <s v="Wells Fargo"/>
    <x v="0"/>
    <s v="MTG"/>
    <x v="467"/>
    <n v="1.5108899047628106"/>
  </r>
  <r>
    <s v="30YrConformingConventional"/>
    <s v="Wells Fargo"/>
    <x v="0"/>
    <s v="MTG"/>
    <x v="468"/>
    <n v="1.4513782082871103"/>
  </r>
  <r>
    <s v="30YrConformingConventional"/>
    <s v="Wells Fargo"/>
    <x v="0"/>
    <s v="MTG"/>
    <x v="469"/>
    <n v="1.4980703221874991"/>
  </r>
  <r>
    <s v="30YrConformingConventional"/>
    <s v="Wells Fargo"/>
    <x v="0"/>
    <s v="MTG"/>
    <x v="470"/>
    <n v="1.5866977263448212"/>
  </r>
  <r>
    <s v="30YrConformingConventional"/>
    <s v="Wells Fargo"/>
    <x v="0"/>
    <s v="MTG"/>
    <x v="471"/>
    <n v="1.5649198817909211"/>
  </r>
  <r>
    <s v="30YrConformingConventional"/>
    <s v="Wells Fargo"/>
    <x v="0"/>
    <s v="MTG"/>
    <x v="472"/>
    <n v="1.5665527834013815"/>
  </r>
  <r>
    <s v="30YrConformingConventional"/>
    <s v="Wells Fargo"/>
    <x v="0"/>
    <s v="MTG"/>
    <x v="473"/>
    <n v="1.6322835453479609"/>
  </r>
  <r>
    <s v="30YrConformingConventional"/>
    <s v="Wells Fargo"/>
    <x v="0"/>
    <s v="MTG"/>
    <x v="474"/>
    <n v="1.5127254125225316"/>
  </r>
  <r>
    <s v="30YrConformingConventional"/>
    <s v="Wells Fargo"/>
    <x v="0"/>
    <s v="MTG"/>
    <x v="475"/>
    <n v="1.4431793670117217"/>
  </r>
  <r>
    <s v="30YrConformingConventional"/>
    <s v="Wells Fargo"/>
    <x v="0"/>
    <s v="MTG"/>
    <x v="476"/>
    <n v="1.5203647844648012"/>
  </r>
  <r>
    <s v="30YrConformingConventional"/>
    <s v="Wells Fargo"/>
    <x v="0"/>
    <s v="MTG"/>
    <x v="477"/>
    <n v="1.5978014946940309"/>
  </r>
  <r>
    <s v="30YrConformingConventional"/>
    <s v="Wells Fargo"/>
    <x v="0"/>
    <s v="MTG"/>
    <x v="478"/>
    <n v="1.4986445143293738"/>
  </r>
  <r>
    <s v="30YrConformingConventional"/>
    <s v="Wells Fargo"/>
    <x v="0"/>
    <s v="MTG"/>
    <x v="479"/>
    <n v="1.3961455233475493"/>
  </r>
  <r>
    <s v="30YrConformingConventional"/>
    <s v="Wells Fargo"/>
    <x v="0"/>
    <s v="MTG"/>
    <x v="480"/>
    <n v="1.4154013773215992"/>
  </r>
  <r>
    <s v="30YrConformingConventional"/>
    <s v="Wells Fargo"/>
    <x v="0"/>
    <s v="MTG"/>
    <x v="481"/>
    <n v="1.4369176703463216"/>
  </r>
  <r>
    <s v="30YrConformingConventional"/>
    <s v="Wells Fargo"/>
    <x v="0"/>
    <s v="MTG"/>
    <x v="482"/>
    <n v="1.3737724879279392"/>
  </r>
  <r>
    <s v="30YrConformingConventional"/>
    <s v="Wells Fargo"/>
    <x v="0"/>
    <s v="MTG"/>
    <x v="483"/>
    <n v="1.4942654648562612"/>
  </r>
  <r>
    <s v="30YrConformingConventional"/>
    <s v="Wells Fargo"/>
    <x v="0"/>
    <s v="MTG"/>
    <x v="484"/>
    <n v="1.5623281500520108"/>
  </r>
  <r>
    <s v="30YrConformingConventional"/>
    <s v="Wells Fargo"/>
    <x v="0"/>
    <s v="MTG"/>
    <x v="485"/>
    <n v="1.576518024958341"/>
  </r>
  <r>
    <s v="30YrConformingConventional"/>
    <s v="Wells Fargo"/>
    <x v="0"/>
    <s v="MTG"/>
    <x v="486"/>
    <n v="1.5025221196198404"/>
  </r>
  <r>
    <s v="30YrConformingConventional"/>
    <s v="Wells Fargo"/>
    <x v="0"/>
    <s v="MTG"/>
    <x v="487"/>
    <n v="1.561270966965201"/>
  </r>
  <r>
    <s v="30YrConformingConventional"/>
    <s v="Wells Fargo"/>
    <x v="0"/>
    <s v="MTG"/>
    <x v="488"/>
    <n v="1.4181011283852802"/>
  </r>
  <r>
    <s v="30YrConformingConventional"/>
    <s v="Wells Fargo"/>
    <x v="0"/>
    <s v="MTG"/>
    <x v="489"/>
    <n v="1.5117006633325609"/>
  </r>
  <r>
    <s v="30YrConformingConventional"/>
    <s v="Wells Fargo"/>
    <x v="0"/>
    <s v="MTG"/>
    <x v="490"/>
    <n v="1.4714965312658514"/>
  </r>
  <r>
    <s v="30YrConformingConventional"/>
    <s v="Wells Fargo"/>
    <x v="0"/>
    <s v="MTG"/>
    <x v="491"/>
    <n v="1.4594008817182209"/>
  </r>
  <r>
    <s v="30YrConformingConventional"/>
    <s v="Wells Fargo"/>
    <x v="0"/>
    <s v="MTG"/>
    <x v="492"/>
    <n v="1.4214883974871861"/>
  </r>
  <r>
    <s v="30YrConformingConventional"/>
    <s v="Wells Fargo"/>
    <x v="0"/>
    <s v="MTG"/>
    <x v="493"/>
    <n v="1.4078654791306606"/>
  </r>
  <r>
    <s v="30YrConformingConventional"/>
    <s v="Wells Fargo"/>
    <x v="0"/>
    <s v="MTG"/>
    <x v="494"/>
    <n v="1.4108981434786603"/>
  </r>
  <r>
    <s v="30YrConformingConventional"/>
    <s v="Wells Fargo"/>
    <x v="0"/>
    <s v="MTG"/>
    <x v="495"/>
    <n v="1.4428402460535259"/>
  </r>
  <r>
    <s v="30YrConformingConventional"/>
    <s v="Wells Fargo"/>
    <x v="0"/>
    <s v="MTG"/>
    <x v="496"/>
    <n v="1.3904824766648827"/>
  </r>
  <r>
    <s v="30YrConformingConventional"/>
    <s v="Wells Fargo"/>
    <x v="0"/>
    <s v="MTG"/>
    <x v="497"/>
    <n v="1.3279899171049332"/>
  </r>
  <r>
    <s v="30YrConformingConventional"/>
    <s v="Wells Fargo"/>
    <x v="0"/>
    <s v="MTG"/>
    <x v="498"/>
    <n v="1.4594355531546661"/>
  </r>
  <r>
    <s v="30YrConformingConventional"/>
    <s v="Wells Fargo"/>
    <x v="0"/>
    <s v="MTG"/>
    <x v="499"/>
    <n v="1.4181151572648314"/>
  </r>
  <r>
    <s v="30YrConformingConventional"/>
    <s v="Wells Fargo"/>
    <x v="0"/>
    <s v="MTG"/>
    <x v="500"/>
    <n v="1.3902596744988309"/>
  </r>
  <r>
    <s v="30YrConformingConventional"/>
    <s v="Wells Fargo"/>
    <x v="0"/>
    <s v="MTG"/>
    <x v="501"/>
    <n v="1.4559438333814914"/>
  </r>
  <r>
    <s v="30YrConformingConventional"/>
    <s v="Wells Fargo"/>
    <x v="0"/>
    <s v="MTG"/>
    <x v="502"/>
    <n v="1.462731737672631"/>
  </r>
  <r>
    <s v="30YrConformingConventional"/>
    <s v="Wells Fargo"/>
    <x v="0"/>
    <s v="MTG"/>
    <x v="503"/>
    <n v="1.3058417332023793"/>
  </r>
  <r>
    <s v="30YrConformingConventional"/>
    <s v="Wells Fargo"/>
    <x v="0"/>
    <s v="MTG"/>
    <x v="504"/>
    <n v="1.3441174251334411"/>
  </r>
  <r>
    <s v="30YrConformingConventional"/>
    <s v="Wells Fargo"/>
    <x v="0"/>
    <s v="MTG"/>
    <x v="505"/>
    <n v="1.3487855279605838"/>
  </r>
  <r>
    <s v="30YrConformingConventional"/>
    <s v="Wells Fargo"/>
    <x v="0"/>
    <s v="MTG"/>
    <x v="506"/>
    <n v="1.3687146419115941"/>
  </r>
  <r>
    <s v="30YrConformingConventional"/>
    <s v="Wells Fargo"/>
    <x v="0"/>
    <s v="MTG"/>
    <x v="507"/>
    <n v="1.3349248554037241"/>
  </r>
  <r>
    <s v="30YrConformingConventional"/>
    <s v="Wells Fargo"/>
    <x v="0"/>
    <s v="MTG"/>
    <x v="508"/>
    <n v="1.4651033742245314"/>
  </r>
  <r>
    <s v="30YrConformingConventional"/>
    <s v="Wells Fargo"/>
    <x v="0"/>
    <s v="MTG"/>
    <x v="509"/>
    <n v="1.507206647700801"/>
  </r>
  <r>
    <s v="30YrConformingConventional"/>
    <s v="Wells Fargo"/>
    <x v="0"/>
    <s v="MTG"/>
    <x v="510"/>
    <n v="1.4275620627445209"/>
  </r>
  <r>
    <s v="30YrConformingConventional"/>
    <s v="Wells Fargo"/>
    <x v="0"/>
    <s v="MTG"/>
    <x v="511"/>
    <n v="1.4508639880159011"/>
  </r>
  <r>
    <s v="30YrConformingConventional"/>
    <s v="Wells Fargo"/>
    <x v="0"/>
    <s v="MTG"/>
    <x v="512"/>
    <n v="1.4718726101986914"/>
  </r>
  <r>
    <s v="30YrConformingConventional"/>
    <s v="Wells Fargo"/>
    <x v="0"/>
    <s v="MTG"/>
    <x v="513"/>
    <n v="1.3312621812810301"/>
  </r>
  <r>
    <s v="30YrConformingConventional"/>
    <s v="Wells Fargo"/>
    <x v="0"/>
    <s v="MTG"/>
    <x v="514"/>
    <n v="1.3644120068434704"/>
  </r>
  <r>
    <s v="30YrConformingConventional"/>
    <s v="Wells Fargo"/>
    <x v="0"/>
    <s v="MTG"/>
    <x v="515"/>
    <n v="1.3381436644980302"/>
  </r>
  <r>
    <s v="30YrConformingConventional"/>
    <s v="Wells Fargo"/>
    <x v="0"/>
    <s v="MTG"/>
    <x v="516"/>
    <n v="1.4082065957863801"/>
  </r>
  <r>
    <s v="30YrConformingConventional"/>
    <s v="Wells Fargo"/>
    <x v="0"/>
    <s v="MTG"/>
    <x v="517"/>
    <n v="1.37468689981579"/>
  </r>
  <r>
    <s v="30YrConformingConventional"/>
    <s v="Wells Fargo"/>
    <x v="0"/>
    <s v="MTG"/>
    <x v="518"/>
    <n v="1.4453248476930107"/>
  </r>
  <r>
    <s v="30YrConformingConventional"/>
    <s v="Wells Fargo"/>
    <x v="0"/>
    <s v="MTG"/>
    <x v="519"/>
    <n v="1.482992963249951"/>
  </r>
  <r>
    <s v="30YrConformingConventional"/>
    <s v="Wells Fargo"/>
    <x v="0"/>
    <s v="MTG"/>
    <x v="520"/>
    <n v="1.3985624704711499"/>
  </r>
  <r>
    <s v="30YrConformingConventional"/>
    <s v="Wells Fargo"/>
    <x v="0"/>
    <s v="MTG"/>
    <x v="521"/>
    <n v="1.4780693750842011"/>
  </r>
  <r>
    <s v="30YrConformingConventional"/>
    <s v="Wells Fargo"/>
    <x v="0"/>
    <s v="MTG"/>
    <x v="522"/>
    <n v="1.4076550248571102"/>
  </r>
  <r>
    <s v="30YrConformingConventional"/>
    <s v="Wells Fargo"/>
    <x v="0"/>
    <s v="MTG"/>
    <x v="523"/>
    <n v="1.4774859755130261"/>
  </r>
  <r>
    <s v="30YrConformingConventional"/>
    <s v="Wells Fargo"/>
    <x v="0"/>
    <s v="MTG"/>
    <x v="524"/>
    <n v="1.3546497725814941"/>
  </r>
  <r>
    <s v="30YrConformingConventional"/>
    <s v="Wells Fargo"/>
    <x v="0"/>
    <s v="MTG"/>
    <x v="525"/>
    <n v="1.4821420018000762"/>
  </r>
  <r>
    <s v="30YrConformingConventional"/>
    <s v="Wells Fargo"/>
    <x v="0"/>
    <s v="MTG"/>
    <x v="526"/>
    <n v="1.3782789910817308"/>
  </r>
  <r>
    <s v="30YrConformingConventional"/>
    <s v="Wells Fargo"/>
    <x v="0"/>
    <s v="MTG"/>
    <x v="527"/>
    <n v="1.3862286853500798"/>
  </r>
  <r>
    <s v="30YrConformingConventional"/>
    <s v="Wells Fargo"/>
    <x v="0"/>
    <s v="MTG"/>
    <x v="528"/>
    <n v="1.3857282109144342"/>
  </r>
  <r>
    <s v="30YrConformingConventional"/>
    <s v="Wells Fargo"/>
    <x v="0"/>
    <s v="MTG"/>
    <x v="529"/>
    <n v="1.4606036730355507"/>
  </r>
  <r>
    <s v="30YrConformingConventional"/>
    <s v="Wells Fargo"/>
    <x v="0"/>
    <s v="MTG"/>
    <x v="530"/>
    <n v="1.4630019074425429"/>
  </r>
  <r>
    <s v="30YrConformingConventional"/>
    <s v="Wells Fargo"/>
    <x v="0"/>
    <s v="MTG"/>
    <x v="531"/>
    <n v="1.3905360321072682"/>
  </r>
  <r>
    <s v="30YrConformingConventional"/>
    <s v="Wells Fargo"/>
    <x v="0"/>
    <s v="MTG"/>
    <x v="532"/>
    <n v="1.4035271558797924"/>
  </r>
  <r>
    <s v="30YrConformingConventional"/>
    <s v="Wells Fargo"/>
    <x v="0"/>
    <s v="MTG"/>
    <x v="533"/>
    <n v="1.3794872428127423"/>
  </r>
  <r>
    <s v="30YrConformingConventional"/>
    <s v="Wells Fargo"/>
    <x v="0"/>
    <s v="MTG"/>
    <x v="534"/>
    <n v="1.3864593289206881"/>
  </r>
  <r>
    <s v="30YrConformingConventional"/>
    <s v="Wells Fargo"/>
    <x v="0"/>
    <s v="MTG"/>
    <x v="535"/>
    <n v="1.3936493962277383"/>
  </r>
  <r>
    <s v="30YrConformingConventional"/>
    <s v="Wells Fargo"/>
    <x v="0"/>
    <s v="MTG"/>
    <x v="536"/>
    <n v="1.4822069432466709"/>
  </r>
  <r>
    <s v="30YrConformingConventional"/>
    <s v="Wells Fargo"/>
    <x v="0"/>
    <s v="MTG"/>
    <x v="537"/>
    <n v="1.4117632351876508"/>
  </r>
  <r>
    <s v="30YrConformingConventional"/>
    <s v="Wells Fargo"/>
    <x v="0"/>
    <s v="MTG"/>
    <x v="538"/>
    <n v="1.3942586566110839"/>
  </r>
  <r>
    <s v="30YrConformingConventional"/>
    <s v="Wells Fargo"/>
    <x v="0"/>
    <s v="MTG"/>
    <x v="539"/>
    <n v="1.5282889942229261"/>
  </r>
  <r>
    <s v="30YrConformingConventional"/>
    <s v="Wells Fargo"/>
    <x v="0"/>
    <s v="MTG"/>
    <x v="540"/>
    <n v="1.546054472096436"/>
  </r>
  <r>
    <s v="30YrConformingConventional"/>
    <s v="Wells Fargo"/>
    <x v="0"/>
    <s v="MTG"/>
    <x v="541"/>
    <n v="1.4411418591504708"/>
  </r>
  <r>
    <s v="30YrConformingConventional"/>
    <s v="Wells Fargo"/>
    <x v="0"/>
    <s v="MTG"/>
    <x v="542"/>
    <n v="1.5409098093237559"/>
  </r>
  <r>
    <s v="30YrConformingConventional"/>
    <s v="Wells Fargo"/>
    <x v="0"/>
    <s v="MTG"/>
    <x v="543"/>
    <n v="1.3917321667470131"/>
  </r>
  <r>
    <s v="30YrConformingConventional"/>
    <s v="Wells Fargo"/>
    <x v="0"/>
    <s v="MTG"/>
    <x v="544"/>
    <n v="1.479119060238296"/>
  </r>
  <r>
    <s v="30YrConformingConventional"/>
    <s v="Wells Fargo"/>
    <x v="0"/>
    <s v="MTG"/>
    <x v="545"/>
    <n v="1.4236951358804311"/>
  </r>
  <r>
    <s v="30YrConformingConventional"/>
    <s v="Wells Fargo"/>
    <x v="0"/>
    <s v="MTG"/>
    <x v="546"/>
    <n v="1.4703711789415259"/>
  </r>
  <r>
    <s v="30YrConformingConventional"/>
    <s v="Wells Fargo"/>
    <x v="0"/>
    <s v="MTG"/>
    <x v="547"/>
    <n v="1.4258420801721357"/>
  </r>
  <r>
    <s v="30YrConformingConventional"/>
    <s v="Wells Fargo"/>
    <x v="0"/>
    <s v="MTG"/>
    <x v="548"/>
    <n v="1.4293201497036661"/>
  </r>
  <r>
    <s v="30YrConformingConventional"/>
    <s v="Wells Fargo"/>
    <x v="0"/>
    <s v="MTG"/>
    <x v="549"/>
    <n v="1.4040761326195341"/>
  </r>
  <r>
    <s v="30YrConformingConventional"/>
    <s v="Wells Fargo"/>
    <x v="0"/>
    <s v="MTG"/>
    <x v="550"/>
    <n v="1.445172226162331"/>
  </r>
  <r>
    <s v="30YrConformingConventional"/>
    <s v="Wells Fargo"/>
    <x v="0"/>
    <s v="MTG"/>
    <x v="551"/>
    <n v="1.4624230456872409"/>
  </r>
  <r>
    <s v="30YrConformingConventional"/>
    <s v="Wells Fargo"/>
    <x v="0"/>
    <s v="MTG"/>
    <x v="552"/>
    <n v="1.5093522997570514"/>
  </r>
  <r>
    <s v="30YrConformingConventional"/>
    <s v="Wells Fargo"/>
    <x v="0"/>
    <s v="MTG"/>
    <x v="553"/>
    <n v="1.413211182790431"/>
  </r>
  <r>
    <s v="30YrConformingConventional"/>
    <s v="Wells Fargo"/>
    <x v="0"/>
    <s v="MTG"/>
    <x v="554"/>
    <n v="1.3513684732365223"/>
  </r>
  <r>
    <s v="30YrConformingConventional"/>
    <s v="Wells Fargo"/>
    <x v="0"/>
    <s v="MTG"/>
    <x v="555"/>
    <n v="1.392102402461088"/>
  </r>
  <r>
    <s v="30YrConformingConventional"/>
    <s v="Wells Fargo"/>
    <x v="0"/>
    <s v="MTG"/>
    <x v="556"/>
    <n v="1.3687653896838781"/>
  </r>
  <r>
    <s v="30YrConformingConventional"/>
    <s v="Wells Fargo"/>
    <x v="0"/>
    <s v="MTG"/>
    <x v="557"/>
    <n v="1.4534137234834332"/>
  </r>
  <r>
    <s v="30YrConformingConventional"/>
    <s v="Wells Fargo"/>
    <x v="0"/>
    <s v="MTG"/>
    <x v="558"/>
    <n v="1.4090362132302581"/>
  </r>
  <r>
    <s v="30YrConformingConventional"/>
    <s v="Wells Fargo"/>
    <x v="0"/>
    <s v="MTG"/>
    <x v="559"/>
    <n v="1.4976736648962712"/>
  </r>
  <r>
    <s v="30YrConformingConventional"/>
    <s v="Wells Fargo"/>
    <x v="0"/>
    <s v="MTG"/>
    <x v="560"/>
    <n v="1.4509692714613114"/>
  </r>
  <r>
    <s v="30YrConformingConventional"/>
    <s v="Wells Fargo"/>
    <x v="0"/>
    <s v="MTG"/>
    <x v="561"/>
    <n v="1.4860427350785215"/>
  </r>
  <r>
    <s v="30YrConformingConventional"/>
    <s v="Wells Fargo"/>
    <x v="0"/>
    <s v="MTG"/>
    <x v="562"/>
    <n v="1.3020194626581791"/>
  </r>
  <r>
    <s v="30YrConformingConventional"/>
    <s v="Wells Fargo"/>
    <x v="0"/>
    <s v="MTG"/>
    <x v="563"/>
    <n v="1.2893978285568792"/>
  </r>
  <r>
    <s v="30YrConformingConventional"/>
    <s v="Wells Fargo"/>
    <x v="0"/>
    <s v="MTG"/>
    <x v="564"/>
    <n v="1.4326833206004017"/>
  </r>
  <r>
    <s v="30YrConformingConventional"/>
    <s v="Wells Fargo"/>
    <x v="0"/>
    <s v="MTG"/>
    <x v="565"/>
    <n v="1.4091456303615615"/>
  </r>
  <r>
    <s v="30YrConformingConventional"/>
    <s v="Wells Fargo"/>
    <x v="0"/>
    <s v="MTG"/>
    <x v="566"/>
    <n v="1.2943678075642391"/>
  </r>
  <r>
    <s v="30YrConformingConventional"/>
    <s v="Wells Fargo"/>
    <x v="0"/>
    <s v="MTG"/>
    <x v="567"/>
    <n v="1.3240197377930418"/>
  </r>
  <r>
    <s v="30YrConformingConventional"/>
    <s v="Wells Fargo"/>
    <x v="0"/>
    <s v="MTG"/>
    <x v="568"/>
    <n v="1.3063878653315522"/>
  </r>
  <r>
    <s v="30YrConformingConventional"/>
    <s v="Wells Fargo"/>
    <x v="0"/>
    <s v="MTG"/>
    <x v="569"/>
    <n v="1.3701571055766204"/>
  </r>
  <r>
    <s v="30YrConformingConventional"/>
    <s v="Wells Fargo"/>
    <x v="0"/>
    <s v="MTG"/>
    <x v="570"/>
    <n v="1.3275091588651193"/>
  </r>
  <r>
    <s v="30YrConformingConventional"/>
    <s v="Wells Fargo"/>
    <x v="0"/>
    <s v="MTG"/>
    <x v="571"/>
    <n v="1.3414067043062021"/>
  </r>
  <r>
    <s v="30YrConformingConventional"/>
    <s v="Wells Fargo"/>
    <x v="0"/>
    <s v="MTG"/>
    <x v="572"/>
    <n v="1.351890435678162"/>
  </r>
  <r>
    <s v="30YrConformingConventional"/>
    <s v="Wells Fargo"/>
    <x v="0"/>
    <s v="MTG"/>
    <x v="573"/>
    <n v="1.326042506575912"/>
  </r>
  <r>
    <s v="30YrConformingConventional"/>
    <s v="Wells Fargo"/>
    <x v="0"/>
    <s v="MTG"/>
    <x v="574"/>
    <n v="1.3659905592540822"/>
  </r>
  <r>
    <s v="30YrConformingConventional"/>
    <s v="Wells Fargo"/>
    <x v="0"/>
    <s v="MTG"/>
    <x v="575"/>
    <n v="1.3522041426193818"/>
  </r>
  <r>
    <s v="30YrConformingConventional"/>
    <s v="Wells Fargo"/>
    <x v="0"/>
    <s v="MTG"/>
    <x v="576"/>
    <n v="1.353948357065822"/>
  </r>
  <r>
    <s v="30YrConformingConventional"/>
    <s v="Wells Fargo"/>
    <x v="0"/>
    <s v="MTG"/>
    <x v="577"/>
    <n v="1.3142146449146095"/>
  </r>
  <r>
    <s v="30YrConformingConventional"/>
    <s v="Wells Fargo"/>
    <x v="0"/>
    <s v="MTG"/>
    <x v="578"/>
    <n v="1.3241862981043993"/>
  </r>
  <r>
    <s v="30YrConformingConventional"/>
    <s v="Wells Fargo"/>
    <x v="0"/>
    <s v="MTG"/>
    <x v="579"/>
    <n v="1.3183797857023123"/>
  </r>
  <r>
    <s v="30YrConformingConventional"/>
    <s v="Wells Fargo"/>
    <x v="0"/>
    <s v="MTG"/>
    <x v="580"/>
    <n v="1.3695981951160003"/>
  </r>
  <r>
    <s v="30YrConformingConventional"/>
    <s v="Wells Fargo"/>
    <x v="0"/>
    <s v="MTG"/>
    <x v="581"/>
    <n v="1.3939022968140411"/>
  </r>
  <r>
    <s v="30YrConformingConventional"/>
    <s v="Wells Fargo"/>
    <x v="0"/>
    <s v="MTG"/>
    <x v="582"/>
    <n v="1.4123138432377811"/>
  </r>
  <r>
    <s v="30YrConformingConventional"/>
    <s v="Wells Fargo"/>
    <x v="0"/>
    <s v="MTG"/>
    <x v="583"/>
    <n v="1.3010247705289579"/>
  </r>
  <r>
    <s v="30YrConformingConventional"/>
    <s v="Wells Fargo"/>
    <x v="0"/>
    <s v="MTG"/>
    <x v="584"/>
    <n v="1.4452481715516103"/>
  </r>
  <r>
    <s v="30YrConformingConventional"/>
    <s v="Wells Fargo"/>
    <x v="0"/>
    <s v="MTG"/>
    <x v="585"/>
    <n v="1.3933461618396001"/>
  </r>
  <r>
    <s v="30YrConformingConventional"/>
    <s v="Wells Fargo"/>
    <x v="0"/>
    <s v="MTG"/>
    <x v="586"/>
    <n v="1.4175815195535606"/>
  </r>
  <r>
    <s v="30YrConformingConventional"/>
    <s v="Wells Fargo"/>
    <x v="0"/>
    <s v="MTG"/>
    <x v="587"/>
    <n v="1.4302210255413603"/>
  </r>
  <r>
    <s v="30YrConformingConventional"/>
    <s v="Wells Fargo"/>
    <x v="0"/>
    <s v="MTG"/>
    <x v="588"/>
    <n v="1.3608488214964978"/>
  </r>
  <r>
    <s v="30YrConformingConventional"/>
    <s v="Wells Fargo"/>
    <x v="0"/>
    <s v="MTG"/>
    <x v="589"/>
    <n v="1.3422653933716777"/>
  </r>
  <r>
    <s v="30YrConformingConventional"/>
    <s v="Wells Fargo"/>
    <x v="0"/>
    <s v="MTG"/>
    <x v="590"/>
    <n v="1.3584191450862204"/>
  </r>
  <r>
    <s v="30YrConformingConventional"/>
    <s v="Wells Fargo"/>
    <x v="0"/>
    <s v="MTG"/>
    <x v="591"/>
    <n v="1.4305750129733907"/>
  </r>
  <r>
    <s v="30YrConformingConventional"/>
    <s v="Wells Fargo"/>
    <x v="0"/>
    <s v="MTG"/>
    <x v="592"/>
    <n v="1.4036760929309806"/>
  </r>
  <r>
    <s v="30YrConformingConventional"/>
    <s v="Wells Fargo"/>
    <x v="0"/>
    <s v="MTG"/>
    <x v="593"/>
    <n v="1.4017762178314308"/>
  </r>
  <r>
    <s v="30YrConformingConventional"/>
    <s v="Wells Fargo"/>
    <x v="0"/>
    <s v="MTG"/>
    <x v="594"/>
    <n v="1.4316652637636909"/>
  </r>
  <r>
    <s v="30YrConformingConventional"/>
    <s v="Wells Fargo"/>
    <x v="0"/>
    <s v="MTG"/>
    <x v="595"/>
    <n v="1.4203187109654305"/>
  </r>
  <r>
    <s v="30YrConformingConventional"/>
    <s v="Wells Fargo"/>
    <x v="0"/>
    <s v="MTG"/>
    <x v="596"/>
    <n v="1.4130238102090409"/>
  </r>
  <r>
    <s v="30YrConformingConventional"/>
    <s v="Wells Fargo"/>
    <x v="0"/>
    <s v="MTG"/>
    <x v="597"/>
    <n v="1.4047723915272776"/>
  </r>
  <r>
    <s v="30YrConformingConventional"/>
    <s v="Wells Fargo"/>
    <x v="0"/>
    <s v="MTG"/>
    <x v="598"/>
    <n v="1.4413511974793205"/>
  </r>
  <r>
    <s v="30YrConformingConventional"/>
    <s v="Wells Fargo"/>
    <x v="0"/>
    <s v="MTG"/>
    <x v="599"/>
    <n v="1.4008713083142776"/>
  </r>
  <r>
    <s v="30YrConformingConventional"/>
    <s v="Wells Fargo"/>
    <x v="0"/>
    <s v="MTG"/>
    <x v="600"/>
    <n v="1.4588019989217806"/>
  </r>
  <r>
    <s v="30YrConformingConventional"/>
    <s v="Wells Fargo"/>
    <x v="0"/>
    <s v="MTG"/>
    <x v="601"/>
    <n v="1.3884577069689925"/>
  </r>
  <r>
    <s v="30YrConformingConventional"/>
    <s v="Wells Fargo"/>
    <x v="0"/>
    <s v="MTG"/>
    <x v="602"/>
    <n v="1.4263861566974905"/>
  </r>
  <r>
    <s v="30YrConformingConventional"/>
    <s v="Wells Fargo"/>
    <x v="0"/>
    <s v="MTG"/>
    <x v="603"/>
    <n v="1.3912445460602496"/>
  </r>
  <r>
    <s v="30YrConformingConventional"/>
    <s v="Wells Fargo"/>
    <x v="0"/>
    <s v="MTG"/>
    <x v="604"/>
    <n v="1.4272994326428905"/>
  </r>
  <r>
    <s v="30YrConformingConventional"/>
    <s v="Wells Fargo"/>
    <x v="0"/>
    <s v="MTG"/>
    <x v="605"/>
    <n v="1.4405398370917311"/>
  </r>
  <r>
    <s v="30YrConformingConventional"/>
    <s v="Wells Fargo"/>
    <x v="0"/>
    <s v="MTG"/>
    <x v="606"/>
    <n v="1.4209626007247205"/>
  </r>
  <r>
    <s v="30YrConformingConventional"/>
    <s v="Wells Fargo"/>
    <x v="0"/>
    <s v="MTG"/>
    <x v="607"/>
    <n v="1.3953598705700399"/>
  </r>
  <r>
    <s v="30YrConformingConventional"/>
    <s v="Wells Fargo"/>
    <x v="0"/>
    <s v="MTG"/>
    <x v="608"/>
    <n v="1.40449132672512"/>
  </r>
  <r>
    <s v="30YrConformingConventional"/>
    <s v="Wells Fargo"/>
    <x v="0"/>
    <s v="MTG"/>
    <x v="609"/>
    <n v="1.4234287192866797"/>
  </r>
  <r>
    <s v="30YrConformingConventional"/>
    <s v="Wells Fargo"/>
    <x v="0"/>
    <s v="MTG"/>
    <x v="610"/>
    <n v="1.4752884912251205"/>
  </r>
  <r>
    <s v="30YrConformingConventional"/>
    <s v="Wells Fargo"/>
    <x v="0"/>
    <s v="MTG"/>
    <x v="611"/>
    <n v="1.4347327904452007"/>
  </r>
  <r>
    <s v="30YrConformingConventional"/>
    <s v="Wells Fargo"/>
    <x v="0"/>
    <s v="MTG"/>
    <x v="612"/>
    <n v="1.4709443068544505"/>
  </r>
  <r>
    <s v="30YrConformingConventional"/>
    <s v="Wells Fargo"/>
    <x v="0"/>
    <s v="MTG"/>
    <x v="613"/>
    <n v="1.4314397025985501"/>
  </r>
  <r>
    <s v="30YrConformingConventional"/>
    <s v="Wells Fargo"/>
    <x v="0"/>
    <s v="MTG"/>
    <x v="614"/>
    <n v="1.4253566322754498"/>
  </r>
  <r>
    <s v="30YrConformingConventional"/>
    <s v="Wells Fargo"/>
    <x v="0"/>
    <s v="MTG"/>
    <x v="615"/>
    <n v="1.4063213341131098"/>
  </r>
  <r>
    <s v="30YrConformingConventional"/>
    <s v="Wells Fargo"/>
    <x v="0"/>
    <s v="MTG"/>
    <x v="616"/>
    <n v="1.3816591622245116"/>
  </r>
  <r>
    <s v="30YrConformingConventional"/>
    <s v="Wells Fargo"/>
    <x v="0"/>
    <s v="MTG"/>
    <x v="617"/>
    <n v="1.4288416153517398"/>
  </r>
  <r>
    <s v="30YrConformingConventional"/>
    <s v="Wells Fargo"/>
    <x v="0"/>
    <s v="MTG"/>
    <x v="618"/>
    <n v="1.4555655836810197"/>
  </r>
  <r>
    <s v="30YrConformingConventional"/>
    <s v="Wells Fargo"/>
    <x v="0"/>
    <s v="MTG"/>
    <x v="619"/>
    <n v="1.4036475607819616"/>
  </r>
  <r>
    <s v="30YrConformingConventional"/>
    <s v="Wells Fargo"/>
    <x v="0"/>
    <s v="MTG"/>
    <x v="620"/>
    <n v="1.4798422706524217"/>
  </r>
  <r>
    <s v="30YrConformingConventional"/>
    <s v="Wells Fargo"/>
    <x v="0"/>
    <s v="MTG"/>
    <x v="621"/>
    <n v="1.4065919384744214"/>
  </r>
  <r>
    <s v="30YrConformingConventional"/>
    <s v="Wells Fargo"/>
    <x v="0"/>
    <s v="MTG"/>
    <x v="622"/>
    <n v="1.4924538943171921"/>
  </r>
  <r>
    <s v="30YrConformingConventional"/>
    <s v="Wells Fargo"/>
    <x v="0"/>
    <s v="MTG"/>
    <x v="623"/>
    <n v="1.4596260346493619"/>
  </r>
  <r>
    <s v="30YrConformingConventional"/>
    <s v="Wells Fargo"/>
    <x v="0"/>
    <s v="MTG"/>
    <x v="624"/>
    <n v="1.5415532575164717"/>
  </r>
  <r>
    <s v="30YrConformingConventional"/>
    <s v="Wells Fargo"/>
    <x v="0"/>
    <s v="MTG"/>
    <x v="625"/>
    <n v="1.3103146386166762"/>
  </r>
  <r>
    <s v="30YrConformingConventional"/>
    <s v="Wells Fargo"/>
    <x v="0"/>
    <s v="MTG"/>
    <x v="626"/>
    <n v="1.3547121366230364"/>
  </r>
  <r>
    <s v="30YrConformingConventional"/>
    <s v="Wells Fargo"/>
    <x v="0"/>
    <s v="MTG"/>
    <x v="627"/>
    <n v="1.3539758520217864"/>
  </r>
  <r>
    <s v="30YrConformingConventional"/>
    <s v="Wells Fargo"/>
    <x v="0"/>
    <s v="MTG"/>
    <x v="628"/>
    <n v="1.3514350867526881"/>
  </r>
  <r>
    <s v="30YrConformingConventional"/>
    <s v="Wells Fargo"/>
    <x v="0"/>
    <s v="MTG"/>
    <x v="629"/>
    <n v="1.38839778777584"/>
  </r>
  <r>
    <s v="30YrConformingConventional"/>
    <s v="Wells Fargo"/>
    <x v="0"/>
    <s v="MTG"/>
    <x v="630"/>
    <n v="1.3729794246504896"/>
  </r>
  <r>
    <s v="30YrConformingConventional"/>
    <s v="Wells Fargo"/>
    <x v="0"/>
    <s v="MTG"/>
    <x v="631"/>
    <n v="1.4350631488626013"/>
  </r>
  <r>
    <s v="30YrConformingConventional"/>
    <s v="Wells Fargo"/>
    <x v="0"/>
    <s v="MTG"/>
    <x v="632"/>
    <n v="1.3654510487966596"/>
  </r>
  <r>
    <s v="30YrConformingConventional"/>
    <s v="Wells Fargo"/>
    <x v="0"/>
    <s v="MTG"/>
    <x v="633"/>
    <n v="1.4044195996781916"/>
  </r>
  <r>
    <s v="30YrConformingConventional"/>
    <s v="Wells Fargo"/>
    <x v="0"/>
    <s v="MTG"/>
    <x v="634"/>
    <n v="1.4058204284730216"/>
  </r>
  <r>
    <s v="30YrConformingConventional"/>
    <s v="Wells Fargo"/>
    <x v="0"/>
    <s v="MTG"/>
    <x v="635"/>
    <n v="1.3702396473424516"/>
  </r>
  <r>
    <s v="30YrConformingConventional"/>
    <s v="Wells Fargo"/>
    <x v="0"/>
    <s v="MTG"/>
    <x v="636"/>
    <n v="1.3108922104783916"/>
  </r>
  <r>
    <s v="30YrConformingConventional"/>
    <s v="Wells Fargo"/>
    <x v="0"/>
    <s v="MTG"/>
    <x v="637"/>
    <n v="1.3251372974266817"/>
  </r>
  <r>
    <s v="30YrConformingConventional"/>
    <s v="Wells Fargo"/>
    <x v="0"/>
    <s v="MTG"/>
    <x v="638"/>
    <n v="1.3189893873635086"/>
  </r>
  <r>
    <s v="30YrConformingConventional"/>
    <s v="Wells Fargo"/>
    <x v="0"/>
    <s v="MTG"/>
    <x v="639"/>
    <n v="1.4224443496757915"/>
  </r>
  <r>
    <s v="30YrConformingConventional"/>
    <s v="Wells Fargo"/>
    <x v="0"/>
    <s v="MTG"/>
    <x v="640"/>
    <n v="1.2959204493549517"/>
  </r>
  <r>
    <s v="30YrConformingConventional"/>
    <s v="Wells Fargo"/>
    <x v="0"/>
    <s v="MTG"/>
    <x v="641"/>
    <n v="1.3713622614163299"/>
  </r>
  <r>
    <s v="30YrConformingConventional"/>
    <s v="Wells Fargo"/>
    <x v="0"/>
    <s v="MTG"/>
    <x v="642"/>
    <n v="1.2498437509823688"/>
  </r>
  <r>
    <s v="30YrConformingConventional"/>
    <s v="Wells Fargo"/>
    <x v="0"/>
    <s v="MTG"/>
    <x v="643"/>
    <n v="1.3525237141218998"/>
  </r>
  <r>
    <s v="FN_CMM_30Yr"/>
    <s v="CELLO"/>
    <x v="1"/>
    <s v="MTG"/>
    <x v="0"/>
    <n v="2.8341999400292899"/>
  </r>
  <r>
    <s v="FN_CMM_30Yr"/>
    <s v="CELLO"/>
    <x v="1"/>
    <s v="MTG"/>
    <x v="1"/>
    <n v="2.8241837227534399"/>
  </r>
  <r>
    <s v="FN_CMM_30Yr"/>
    <s v="CELLO"/>
    <x v="1"/>
    <s v="MTG"/>
    <x v="2"/>
    <n v="2.81556157497667"/>
  </r>
  <r>
    <s v="FN_CMM_30Yr"/>
    <s v="CELLO"/>
    <x v="1"/>
    <s v="MTG"/>
    <x v="3"/>
    <n v="2.9303170109018999"/>
  </r>
  <r>
    <s v="FN_CMM_30Yr"/>
    <s v="CELLO"/>
    <x v="1"/>
    <s v="MTG"/>
    <x v="4"/>
    <n v="2.90222752352993"/>
  </r>
  <r>
    <s v="FN_CMM_30Yr"/>
    <s v="CELLO"/>
    <x v="1"/>
    <s v="MTG"/>
    <x v="5"/>
    <n v="2.84635033680676"/>
  </r>
  <r>
    <s v="FN_CMM_30Yr"/>
    <s v="CELLO"/>
    <x v="1"/>
    <s v="MTG"/>
    <x v="6"/>
    <n v="2.8278353033181198"/>
  </r>
  <r>
    <s v="FN_CMM_30Yr"/>
    <s v="CELLO"/>
    <x v="1"/>
    <s v="MTG"/>
    <x v="7"/>
    <n v="2.8138191102539798"/>
  </r>
  <r>
    <s v="FN_CMM_30Yr"/>
    <s v="CELLO"/>
    <x v="1"/>
    <s v="MTG"/>
    <x v="8"/>
    <n v="2.8315057491425"/>
  </r>
  <r>
    <s v="FN_CMM_30Yr"/>
    <s v="CELLO"/>
    <x v="1"/>
    <s v="MTG"/>
    <x v="9"/>
    <n v="2.8241768518279202"/>
  </r>
  <r>
    <s v="FN_CMM_30Yr"/>
    <s v="CELLO"/>
    <x v="1"/>
    <s v="MTG"/>
    <x v="10"/>
    <n v="2.79584100930466"/>
  </r>
  <r>
    <s v="FN_CMM_30Yr"/>
    <s v="CELLO"/>
    <x v="1"/>
    <s v="MTG"/>
    <x v="11"/>
    <n v="2.6928489030954199"/>
  </r>
  <r>
    <s v="FN_CMM_30Yr"/>
    <s v="CELLO"/>
    <x v="1"/>
    <s v="MTG"/>
    <x v="12"/>
    <n v="2.70955656376128"/>
  </r>
  <r>
    <s v="FN_CMM_30Yr"/>
    <s v="CELLO"/>
    <x v="1"/>
    <s v="MTG"/>
    <x v="13"/>
    <n v="2.6717729385436999"/>
  </r>
  <r>
    <s v="FN_CMM_30Yr"/>
    <s v="CELLO"/>
    <x v="1"/>
    <s v="MTG"/>
    <x v="14"/>
    <n v="2.6575094779916602"/>
  </r>
  <r>
    <s v="FN_CMM_30Yr"/>
    <s v="CELLO"/>
    <x v="1"/>
    <s v="MTG"/>
    <x v="15"/>
    <n v="2.60984671554638"/>
  </r>
  <r>
    <s v="FN_CMM_30Yr"/>
    <s v="CELLO"/>
    <x v="1"/>
    <s v="MTG"/>
    <x v="16"/>
    <n v="2.6641693960453199"/>
  </r>
  <r>
    <s v="FN_CMM_30Yr"/>
    <s v="CELLO"/>
    <x v="1"/>
    <s v="MTG"/>
    <x v="17"/>
    <n v="2.7519990602785001"/>
  </r>
  <r>
    <s v="FN_CMM_30Yr"/>
    <s v="CELLO"/>
    <x v="1"/>
    <s v="MTG"/>
    <x v="18"/>
    <n v="2.6934832462996599"/>
  </r>
  <r>
    <s v="FN_CMM_30Yr"/>
    <s v="CELLO"/>
    <x v="1"/>
    <s v="MTG"/>
    <x v="19"/>
    <n v="2.6906214304432701"/>
  </r>
  <r>
    <s v="FN_CMM_30Yr"/>
    <s v="CELLO"/>
    <x v="1"/>
    <s v="MTG"/>
    <x v="20"/>
    <n v="2.66103516127894"/>
  </r>
  <r>
    <s v="FN_CMM_30Yr"/>
    <s v="CELLO"/>
    <x v="1"/>
    <s v="MTG"/>
    <x v="21"/>
    <n v="2.5992657753902901"/>
  </r>
  <r>
    <s v="FN_CMM_30Yr"/>
    <s v="CELLO"/>
    <x v="1"/>
    <s v="MTG"/>
    <x v="22"/>
    <n v="2.6512826680006101"/>
  </r>
  <r>
    <s v="FN_CMM_30Yr"/>
    <s v="CELLO"/>
    <x v="1"/>
    <s v="MTG"/>
    <x v="23"/>
    <n v="2.5908884215358099"/>
  </r>
  <r>
    <s v="FN_CMM_30Yr"/>
    <s v="CELLO"/>
    <x v="1"/>
    <s v="MTG"/>
    <x v="24"/>
    <n v="2.63391710374052"/>
  </r>
  <r>
    <s v="FN_CMM_30Yr"/>
    <s v="CELLO"/>
    <x v="1"/>
    <s v="MTG"/>
    <x v="25"/>
    <n v="2.6287824588785198"/>
  </r>
  <r>
    <s v="FN_CMM_30Yr"/>
    <s v="CELLO"/>
    <x v="1"/>
    <s v="MTG"/>
    <x v="26"/>
    <n v="2.62032151165119"/>
  </r>
  <r>
    <s v="FN_CMM_30Yr"/>
    <s v="CELLO"/>
    <x v="1"/>
    <s v="MTG"/>
    <x v="27"/>
    <n v="2.6476582784281"/>
  </r>
  <r>
    <s v="FN_CMM_30Yr"/>
    <s v="CELLO"/>
    <x v="1"/>
    <s v="MTG"/>
    <x v="28"/>
    <n v="2.6673945625319102"/>
  </r>
  <r>
    <s v="FN_CMM_30Yr"/>
    <s v="CELLO"/>
    <x v="1"/>
    <s v="MTG"/>
    <x v="29"/>
    <n v="2.64134045041691"/>
  </r>
  <r>
    <s v="FN_CMM_30Yr"/>
    <s v="CELLO"/>
    <x v="1"/>
    <s v="MTG"/>
    <x v="30"/>
    <n v="2.5968587672613901"/>
  </r>
  <r>
    <s v="FN_CMM_30Yr"/>
    <s v="CELLO"/>
    <x v="1"/>
    <s v="MTG"/>
    <x v="31"/>
    <n v="2.58469358456979"/>
  </r>
  <r>
    <s v="FN_CMM_30Yr"/>
    <s v="CELLO"/>
    <x v="1"/>
    <s v="MTG"/>
    <x v="32"/>
    <n v="2.5759029417987498"/>
  </r>
  <r>
    <s v="FN_CMM_30Yr"/>
    <s v="CELLO"/>
    <x v="1"/>
    <s v="MTG"/>
    <x v="33"/>
    <n v="2.56712042045777"/>
  </r>
  <r>
    <s v="FN_CMM_30Yr"/>
    <s v="CELLO"/>
    <x v="1"/>
    <s v="MTG"/>
    <x v="34"/>
    <n v="2.59858921707026"/>
  </r>
  <r>
    <s v="FN_CMM_30Yr"/>
    <s v="CELLO"/>
    <x v="1"/>
    <s v="MTG"/>
    <x v="35"/>
    <n v="2.62252108008507"/>
  </r>
  <r>
    <s v="FN_CMM_30Yr"/>
    <s v="CELLO"/>
    <x v="1"/>
    <s v="MTG"/>
    <x v="36"/>
    <n v="2.6753264137467299"/>
  </r>
  <r>
    <s v="FN_CMM_30Yr"/>
    <s v="CELLO"/>
    <x v="1"/>
    <s v="MTG"/>
    <x v="37"/>
    <n v="2.6562875815293401"/>
  </r>
  <r>
    <s v="FN_CMM_30Yr"/>
    <s v="CELLO"/>
    <x v="1"/>
    <s v="MTG"/>
    <x v="38"/>
    <n v="2.62955921776924"/>
  </r>
  <r>
    <s v="FN_CMM_30Yr"/>
    <s v="CELLO"/>
    <x v="1"/>
    <s v="MTG"/>
    <x v="39"/>
    <n v="2.6437338504186898"/>
  </r>
  <r>
    <s v="FN_CMM_30Yr"/>
    <s v="CELLO"/>
    <x v="1"/>
    <s v="MTG"/>
    <x v="40"/>
    <n v="2.6991414546305501"/>
  </r>
  <r>
    <s v="FN_CMM_30Yr"/>
    <s v="CELLO"/>
    <x v="1"/>
    <s v="MTG"/>
    <x v="41"/>
    <n v="2.7467458715573199"/>
  </r>
  <r>
    <s v="FN_CMM_30Yr"/>
    <s v="CELLO"/>
    <x v="1"/>
    <s v="MTG"/>
    <x v="42"/>
    <n v="2.7480147229669498"/>
  </r>
  <r>
    <s v="FN_CMM_30Yr"/>
    <s v="CELLO"/>
    <x v="1"/>
    <s v="MTG"/>
    <x v="43"/>
    <n v="2.8064099070641602"/>
  </r>
  <r>
    <s v="FN_CMM_30Yr"/>
    <s v="CELLO"/>
    <x v="1"/>
    <s v="MTG"/>
    <x v="44"/>
    <n v="2.8416760056146502"/>
  </r>
  <r>
    <s v="FN_CMM_30Yr"/>
    <s v="CELLO"/>
    <x v="1"/>
    <s v="MTG"/>
    <x v="45"/>
    <n v="2.8756484754346898"/>
  </r>
  <r>
    <s v="FN_CMM_30Yr"/>
    <s v="CELLO"/>
    <x v="1"/>
    <s v="MTG"/>
    <x v="46"/>
    <n v="2.91930519695658"/>
  </r>
  <r>
    <s v="FN_CMM_30Yr"/>
    <s v="CELLO"/>
    <x v="1"/>
    <s v="MTG"/>
    <x v="47"/>
    <n v="2.86177796804412"/>
  </r>
  <r>
    <s v="FN_CMM_30Yr"/>
    <s v="CELLO"/>
    <x v="1"/>
    <s v="MTG"/>
    <x v="48"/>
    <n v="2.8101076932532698"/>
  </r>
  <r>
    <s v="FN_CMM_30Yr"/>
    <s v="CELLO"/>
    <x v="1"/>
    <s v="MTG"/>
    <x v="49"/>
    <n v="2.9199815904284798"/>
  </r>
  <r>
    <s v="FN_CMM_30Yr"/>
    <s v="CELLO"/>
    <x v="1"/>
    <s v="MTG"/>
    <x v="50"/>
    <n v="2.9362897451124002"/>
  </r>
  <r>
    <s v="FN_CMM_30Yr"/>
    <s v="CELLO"/>
    <x v="1"/>
    <s v="MTG"/>
    <x v="51"/>
    <n v="2.9586092652733198"/>
  </r>
  <r>
    <s v="FN_CMM_30Yr"/>
    <s v="CELLO"/>
    <x v="1"/>
    <s v="MTG"/>
    <x v="52"/>
    <n v="2.9068905487933598"/>
  </r>
  <r>
    <s v="FN_CMM_30Yr"/>
    <s v="CELLO"/>
    <x v="1"/>
    <s v="MTG"/>
    <x v="53"/>
    <n v="2.82631669904023"/>
  </r>
  <r>
    <s v="FN_CMM_30Yr"/>
    <s v="CELLO"/>
    <x v="1"/>
    <s v="MTG"/>
    <x v="54"/>
    <n v="2.8896799307946499"/>
  </r>
  <r>
    <s v="FN_CMM_30Yr"/>
    <s v="CELLO"/>
    <x v="1"/>
    <s v="MTG"/>
    <x v="55"/>
    <n v="2.9214483553786899"/>
  </r>
  <r>
    <s v="FN_CMM_30Yr"/>
    <s v="CELLO"/>
    <x v="1"/>
    <s v="MTG"/>
    <x v="56"/>
    <n v="2.9102623265110599"/>
  </r>
  <r>
    <s v="FN_CMM_30Yr"/>
    <s v="CELLO"/>
    <x v="1"/>
    <s v="MTG"/>
    <x v="57"/>
    <n v="2.8599760435846102"/>
  </r>
  <r>
    <s v="FN_CMM_30Yr"/>
    <s v="CELLO"/>
    <x v="1"/>
    <s v="MTG"/>
    <x v="58"/>
    <n v="2.8915210158303699"/>
  </r>
  <r>
    <s v="FN_CMM_30Yr"/>
    <s v="CELLO"/>
    <x v="1"/>
    <s v="MTG"/>
    <x v="59"/>
    <n v="2.8500704386135798"/>
  </r>
  <r>
    <s v="FN_CMM_30Yr"/>
    <s v="CELLO"/>
    <x v="1"/>
    <s v="MTG"/>
    <x v="60"/>
    <n v="2.8460665334928898"/>
  </r>
  <r>
    <s v="FN_CMM_30Yr"/>
    <s v="CELLO"/>
    <x v="1"/>
    <s v="MTG"/>
    <x v="61"/>
    <n v="2.8413672152174398"/>
  </r>
  <r>
    <s v="FN_CMM_30Yr"/>
    <s v="CELLO"/>
    <x v="1"/>
    <s v="MTG"/>
    <x v="62"/>
    <n v="2.8125589424365498"/>
  </r>
  <r>
    <s v="FN_CMM_30Yr"/>
    <s v="CELLO"/>
    <x v="1"/>
    <s v="MTG"/>
    <x v="63"/>
    <n v="2.8873082715202201"/>
  </r>
  <r>
    <s v="FN_CMM_30Yr"/>
    <s v="CELLO"/>
    <x v="1"/>
    <s v="MTG"/>
    <x v="64"/>
    <n v="2.96123512742628"/>
  </r>
  <r>
    <s v="FN_CMM_30Yr"/>
    <s v="CELLO"/>
    <x v="1"/>
    <s v="MTG"/>
    <x v="65"/>
    <n v="3.0744144315737501"/>
  </r>
  <r>
    <s v="FN_CMM_30Yr"/>
    <s v="CELLO"/>
    <x v="1"/>
    <s v="MTG"/>
    <x v="66"/>
    <n v="3.0256748636149999"/>
  </r>
  <r>
    <s v="FN_CMM_30Yr"/>
    <s v="CELLO"/>
    <x v="1"/>
    <s v="MTG"/>
    <x v="67"/>
    <n v="3.1185389251118698"/>
  </r>
  <r>
    <s v="FN_CMM_30Yr"/>
    <s v="CELLO"/>
    <x v="1"/>
    <s v="MTG"/>
    <x v="68"/>
    <n v="3.0852280715370801"/>
  </r>
  <r>
    <s v="FN_CMM_30Yr"/>
    <s v="CELLO"/>
    <x v="1"/>
    <s v="MTG"/>
    <x v="69"/>
    <n v="3.1292995796246399"/>
  </r>
  <r>
    <s v="FN_CMM_30Yr"/>
    <s v="CELLO"/>
    <x v="1"/>
    <s v="MTG"/>
    <x v="70"/>
    <n v="3.1773446759928401"/>
  </r>
  <r>
    <s v="FN_CMM_30Yr"/>
    <s v="CELLO"/>
    <x v="1"/>
    <s v="MTG"/>
    <x v="71"/>
    <n v="3.0761153132050598"/>
  </r>
  <r>
    <s v="FN_CMM_30Yr"/>
    <s v="CELLO"/>
    <x v="1"/>
    <s v="MTG"/>
    <x v="72"/>
    <n v="3.0919401279735599"/>
  </r>
  <r>
    <s v="FN_CMM_30Yr"/>
    <s v="CELLO"/>
    <x v="1"/>
    <s v="MTG"/>
    <x v="73"/>
    <n v="3.0848485059502999"/>
  </r>
  <r>
    <s v="FN_CMM_30Yr"/>
    <s v="CELLO"/>
    <x v="1"/>
    <s v="MTG"/>
    <x v="74"/>
    <n v="3.0537402902567599"/>
  </r>
  <r>
    <s v="FN_CMM_30Yr"/>
    <s v="CELLO"/>
    <x v="1"/>
    <s v="MTG"/>
    <x v="75"/>
    <n v="3.03216152423493"/>
  </r>
  <r>
    <s v="FN_CMM_30Yr"/>
    <s v="CELLO"/>
    <x v="1"/>
    <s v="MTG"/>
    <x v="76"/>
    <n v="3.0468019127231698"/>
  </r>
  <r>
    <s v="FN_CMM_30Yr"/>
    <s v="CELLO"/>
    <x v="1"/>
    <s v="MTG"/>
    <x v="77"/>
    <n v="2.9822174038917302"/>
  </r>
  <r>
    <s v="FN_CMM_30Yr"/>
    <s v="CELLO"/>
    <x v="1"/>
    <s v="MTG"/>
    <x v="78"/>
    <n v="3.0761568887156101"/>
  </r>
  <r>
    <s v="FN_CMM_30Yr"/>
    <s v="CELLO"/>
    <x v="1"/>
    <s v="MTG"/>
    <x v="79"/>
    <n v="3.1219045210798799"/>
  </r>
  <r>
    <s v="FN_CMM_30Yr"/>
    <s v="CELLO"/>
    <x v="1"/>
    <s v="MTG"/>
    <x v="80"/>
    <n v="3.0912606104251101"/>
  </r>
  <r>
    <s v="FN_CMM_30Yr"/>
    <s v="CELLO"/>
    <x v="1"/>
    <s v="MTG"/>
    <x v="81"/>
    <n v="3.1158923075545402"/>
  </r>
  <r>
    <s v="FN_CMM_30Yr"/>
    <s v="CELLO"/>
    <x v="1"/>
    <s v="MTG"/>
    <x v="82"/>
    <n v="3.2022687944333499"/>
  </r>
  <r>
    <s v="FN_CMM_30Yr"/>
    <s v="CELLO"/>
    <x v="1"/>
    <s v="MTG"/>
    <x v="83"/>
    <n v="3.0851869199683102"/>
  </r>
  <r>
    <s v="FN_CMM_30Yr"/>
    <s v="CELLO"/>
    <x v="1"/>
    <s v="MTG"/>
    <x v="84"/>
    <n v="3.0732804432921599"/>
  </r>
  <r>
    <s v="FN_CMM_30Yr"/>
    <s v="CELLO"/>
    <x v="1"/>
    <s v="MTG"/>
    <x v="85"/>
    <n v="3.16276525236256"/>
  </r>
  <r>
    <s v="FN_CMM_30Yr"/>
    <s v="CELLO"/>
    <x v="1"/>
    <s v="MTG"/>
    <x v="86"/>
    <n v="3.1329453977786899"/>
  </r>
  <r>
    <s v="FN_CMM_30Yr"/>
    <s v="CELLO"/>
    <x v="1"/>
    <s v="MTG"/>
    <x v="87"/>
    <n v="3.0409627195865201"/>
  </r>
  <r>
    <s v="FN_CMM_30Yr"/>
    <s v="CELLO"/>
    <x v="1"/>
    <s v="MTG"/>
    <x v="88"/>
    <n v="3.00985191194196"/>
  </r>
  <r>
    <s v="FN_CMM_30Yr"/>
    <s v="CELLO"/>
    <x v="1"/>
    <s v="MTG"/>
    <x v="89"/>
    <n v="2.9791453962399599"/>
  </r>
  <r>
    <s v="FN_CMM_30Yr"/>
    <s v="CELLO"/>
    <x v="1"/>
    <s v="MTG"/>
    <x v="90"/>
    <n v="3.0519928057207899"/>
  </r>
  <r>
    <s v="FN_CMM_30Yr"/>
    <s v="CELLO"/>
    <x v="1"/>
    <s v="MTG"/>
    <x v="91"/>
    <n v="3.1469144966257199"/>
  </r>
  <r>
    <s v="FN_CMM_30Yr"/>
    <s v="CELLO"/>
    <x v="1"/>
    <s v="MTG"/>
    <x v="92"/>
    <n v="3.1440801611331"/>
  </r>
  <r>
    <s v="FN_CMM_30Yr"/>
    <s v="CELLO"/>
    <x v="1"/>
    <s v="MTG"/>
    <x v="93"/>
    <n v="3.1081065530197201"/>
  </r>
  <r>
    <s v="FN_CMM_30Yr"/>
    <s v="CELLO"/>
    <x v="1"/>
    <s v="MTG"/>
    <x v="94"/>
    <n v="3.0651881254767099"/>
  </r>
  <r>
    <s v="FN_CMM_30Yr"/>
    <s v="CELLO"/>
    <x v="1"/>
    <s v="MTG"/>
    <x v="95"/>
    <n v="3.0642370952529001"/>
  </r>
  <r>
    <s v="FN_CMM_30Yr"/>
    <s v="CELLO"/>
    <x v="1"/>
    <s v="MTG"/>
    <x v="96"/>
    <n v="3.0508649511892498"/>
  </r>
  <r>
    <s v="FN_CMM_30Yr"/>
    <s v="CELLO"/>
    <x v="1"/>
    <s v="MTG"/>
    <x v="97"/>
    <n v="3.07026860246684"/>
  </r>
  <r>
    <s v="FN_CMM_30Yr"/>
    <s v="CELLO"/>
    <x v="1"/>
    <s v="MTG"/>
    <x v="98"/>
    <n v="3.04099858929172"/>
  </r>
  <r>
    <s v="FN_CMM_30Yr"/>
    <s v="CELLO"/>
    <x v="1"/>
    <s v="MTG"/>
    <x v="99"/>
    <n v="3.0272722743659699"/>
  </r>
  <r>
    <s v="FN_CMM_30Yr"/>
    <s v="CELLO"/>
    <x v="1"/>
    <s v="MTG"/>
    <x v="100"/>
    <n v="3.00152435884748"/>
  </r>
  <r>
    <s v="FN_CMM_30Yr"/>
    <s v="CELLO"/>
    <x v="1"/>
    <s v="MTG"/>
    <x v="101"/>
    <n v="3.00880742941581"/>
  </r>
  <r>
    <s v="FN_CMM_30Yr"/>
    <s v="CELLO"/>
    <x v="1"/>
    <s v="MTG"/>
    <x v="102"/>
    <n v="2.9768819813504899"/>
  </r>
  <r>
    <s v="FN_CMM_30Yr"/>
    <s v="CELLO"/>
    <x v="1"/>
    <s v="MTG"/>
    <x v="103"/>
    <n v="2.9700273705701301"/>
  </r>
  <r>
    <s v="FN_CMM_30Yr"/>
    <s v="CELLO"/>
    <x v="1"/>
    <s v="MTG"/>
    <x v="104"/>
    <n v="2.9952166878972601"/>
  </r>
  <r>
    <s v="FN_CMM_30Yr"/>
    <s v="CELLO"/>
    <x v="1"/>
    <s v="MTG"/>
    <x v="105"/>
    <n v="2.9944455468035298"/>
  </r>
  <r>
    <s v="FN_CMM_30Yr"/>
    <s v="CELLO"/>
    <x v="1"/>
    <s v="MTG"/>
    <x v="106"/>
    <n v="2.9155081259623699"/>
  </r>
  <r>
    <s v="FN_CMM_30Yr"/>
    <s v="CELLO"/>
    <x v="1"/>
    <s v="MTG"/>
    <x v="107"/>
    <n v="2.8859588833612699"/>
  </r>
  <r>
    <s v="FN_CMM_30Yr"/>
    <s v="CELLO"/>
    <x v="1"/>
    <s v="MTG"/>
    <x v="108"/>
    <n v="2.9592567116727899"/>
  </r>
  <r>
    <s v="FN_CMM_30Yr"/>
    <s v="CELLO"/>
    <x v="1"/>
    <s v="MTG"/>
    <x v="109"/>
    <n v="3.0089114844805001"/>
  </r>
  <r>
    <s v="FN_CMM_30Yr"/>
    <s v="CELLO"/>
    <x v="1"/>
    <s v="MTG"/>
    <x v="110"/>
    <n v="2.9719648499802398"/>
  </r>
  <r>
    <s v="FN_CMM_30Yr"/>
    <s v="CELLO"/>
    <x v="1"/>
    <s v="MTG"/>
    <x v="111"/>
    <n v="2.92350190324946"/>
  </r>
  <r>
    <s v="FN_CMM_30Yr"/>
    <s v="CELLO"/>
    <x v="1"/>
    <s v="MTG"/>
    <x v="112"/>
    <n v="2.9753003706109098"/>
  </r>
  <r>
    <s v="FN_CMM_30Yr"/>
    <s v="CELLO"/>
    <x v="1"/>
    <s v="MTG"/>
    <x v="113"/>
    <n v="2.8894517792115599"/>
  </r>
  <r>
    <s v="FN_CMM_30Yr"/>
    <s v="CELLO"/>
    <x v="1"/>
    <s v="MTG"/>
    <x v="114"/>
    <n v="2.8863432484098199"/>
  </r>
  <r>
    <s v="FN_CMM_30Yr"/>
    <s v="CELLO"/>
    <x v="1"/>
    <s v="MTG"/>
    <x v="115"/>
    <n v="2.94154866689746"/>
  </r>
  <r>
    <s v="FN_CMM_30Yr"/>
    <s v="CELLO"/>
    <x v="1"/>
    <s v="MTG"/>
    <x v="116"/>
    <n v="2.9622833477952701"/>
  </r>
  <r>
    <s v="FN_CMM_30Yr"/>
    <s v="CELLO"/>
    <x v="1"/>
    <s v="MTG"/>
    <x v="117"/>
    <n v="2.9357435322539001"/>
  </r>
  <r>
    <s v="FN_CMM_30Yr"/>
    <s v="CELLO"/>
    <x v="1"/>
    <s v="MTG"/>
    <x v="118"/>
    <n v="2.9596582925735899"/>
  </r>
  <r>
    <s v="FN_CMM_30Yr"/>
    <s v="CELLO"/>
    <x v="1"/>
    <s v="MTG"/>
    <x v="119"/>
    <n v="2.8898853758214198"/>
  </r>
  <r>
    <s v="FN_CMM_30Yr"/>
    <s v="CELLO"/>
    <x v="1"/>
    <s v="MTG"/>
    <x v="120"/>
    <n v="2.85986737962509"/>
  </r>
  <r>
    <s v="FN_CMM_30Yr"/>
    <s v="CELLO"/>
    <x v="1"/>
    <s v="MTG"/>
    <x v="121"/>
    <n v="2.8344803887664098"/>
  </r>
  <r>
    <s v="FN_CMM_30Yr"/>
    <s v="CELLO"/>
    <x v="1"/>
    <s v="MTG"/>
    <x v="122"/>
    <n v="2.79004351105465"/>
  </r>
  <r>
    <s v="FN_CMM_30Yr"/>
    <s v="CELLO"/>
    <x v="1"/>
    <s v="MTG"/>
    <x v="123"/>
    <n v="2.9080768711615201"/>
  </r>
  <r>
    <s v="FN_CMM_30Yr"/>
    <s v="CELLO"/>
    <x v="1"/>
    <s v="MTG"/>
    <x v="124"/>
    <n v="2.9117942461472701"/>
  </r>
  <r>
    <s v="FN_CMM_30Yr"/>
    <s v="CELLO"/>
    <x v="1"/>
    <s v="MTG"/>
    <x v="125"/>
    <n v="2.9085457311755398"/>
  </r>
  <r>
    <s v="FN_CMM_30Yr"/>
    <s v="CELLO"/>
    <x v="1"/>
    <s v="MTG"/>
    <x v="126"/>
    <n v="2.9130814289562301"/>
  </r>
  <r>
    <s v="FN_CMM_30Yr"/>
    <s v="CELLO"/>
    <x v="1"/>
    <s v="MTG"/>
    <x v="127"/>
    <n v="2.9344470402340699"/>
  </r>
  <r>
    <s v="FN_CMM_30Yr"/>
    <s v="CELLO"/>
    <x v="1"/>
    <s v="MTG"/>
    <x v="128"/>
    <n v="2.9096799662845698"/>
  </r>
  <r>
    <s v="FN_CMM_30Yr"/>
    <s v="CELLO"/>
    <x v="1"/>
    <s v="MTG"/>
    <x v="129"/>
    <n v="2.9358931445910401"/>
  </r>
  <r>
    <s v="FN_CMM_30Yr"/>
    <s v="CELLO"/>
    <x v="1"/>
    <s v="MTG"/>
    <x v="130"/>
    <n v="2.90498942377981"/>
  </r>
  <r>
    <s v="FN_CMM_30Yr"/>
    <s v="CELLO"/>
    <x v="1"/>
    <s v="MTG"/>
    <x v="131"/>
    <n v="2.8787744272910301"/>
  </r>
  <r>
    <s v="FN_CMM_30Yr"/>
    <s v="CELLO"/>
    <x v="1"/>
    <s v="MTG"/>
    <x v="132"/>
    <n v="2.9185627226684798"/>
  </r>
  <r>
    <s v="FN_CMM_30Yr"/>
    <s v="CELLO"/>
    <x v="1"/>
    <s v="MTG"/>
    <x v="133"/>
    <n v="2.9027513521030701"/>
  </r>
  <r>
    <s v="FN_CMM_30Yr"/>
    <s v="CELLO"/>
    <x v="1"/>
    <s v="MTG"/>
    <x v="134"/>
    <n v="2.9327229891480799"/>
  </r>
  <r>
    <s v="FN_CMM_30Yr"/>
    <s v="CELLO"/>
    <x v="1"/>
    <s v="MTG"/>
    <x v="135"/>
    <n v="2.9154645829543302"/>
  </r>
  <r>
    <s v="FN_CMM_30Yr"/>
    <s v="CELLO"/>
    <x v="1"/>
    <s v="MTG"/>
    <x v="136"/>
    <n v="2.90800506731745"/>
  </r>
  <r>
    <s v="FN_CMM_30Yr"/>
    <s v="CELLO"/>
    <x v="1"/>
    <s v="MTG"/>
    <x v="137"/>
    <n v="2.9912109118513701"/>
  </r>
  <r>
    <s v="FN_CMM_30Yr"/>
    <s v="CELLO"/>
    <x v="1"/>
    <s v="MTG"/>
    <x v="138"/>
    <n v="2.9926621611582802"/>
  </r>
  <r>
    <s v="FN_CMM_30Yr"/>
    <s v="CELLO"/>
    <x v="1"/>
    <s v="MTG"/>
    <x v="139"/>
    <n v="2.8946199392202701"/>
  </r>
  <r>
    <s v="FN_CMM_30Yr"/>
    <s v="CELLO"/>
    <x v="1"/>
    <s v="MTG"/>
    <x v="140"/>
    <n v="2.8362882018725202"/>
  </r>
  <r>
    <s v="FN_CMM_30Yr"/>
    <s v="CELLO"/>
    <x v="1"/>
    <s v="MTG"/>
    <x v="141"/>
    <n v="2.91486476009828"/>
  </r>
  <r>
    <s v="FN_CMM_30Yr"/>
    <s v="CELLO"/>
    <x v="1"/>
    <s v="MTG"/>
    <x v="142"/>
    <n v="2.8594352216235301"/>
  </r>
  <r>
    <s v="FN_CMM_30Yr"/>
    <s v="CELLO"/>
    <x v="1"/>
    <s v="MTG"/>
    <x v="143"/>
    <n v="2.8734950564364601"/>
  </r>
  <r>
    <s v="FN_CMM_30Yr"/>
    <s v="CELLO"/>
    <x v="1"/>
    <s v="MTG"/>
    <x v="144"/>
    <n v="2.8712695086990299"/>
  </r>
  <r>
    <s v="FN_CMM_30Yr"/>
    <s v="CELLO"/>
    <x v="1"/>
    <s v="MTG"/>
    <x v="145"/>
    <n v="2.8987506443333801"/>
  </r>
  <r>
    <s v="FN_CMM_30Yr"/>
    <s v="CELLO"/>
    <x v="1"/>
    <s v="MTG"/>
    <x v="146"/>
    <n v="2.8546348135519901"/>
  </r>
  <r>
    <s v="FN_CMM_30Yr"/>
    <s v="CELLO"/>
    <x v="1"/>
    <s v="MTG"/>
    <x v="147"/>
    <n v="2.8124515814242899"/>
  </r>
  <r>
    <s v="FN_CMM_30Yr"/>
    <s v="CELLO"/>
    <x v="1"/>
    <s v="MTG"/>
    <x v="148"/>
    <n v="2.8018988061488499"/>
  </r>
  <r>
    <s v="FN_CMM_30Yr"/>
    <s v="CELLO"/>
    <x v="1"/>
    <s v="MTG"/>
    <x v="149"/>
    <n v="2.7784102270308701"/>
  </r>
  <r>
    <s v="FN_CMM_30Yr"/>
    <s v="CELLO"/>
    <x v="1"/>
    <s v="MTG"/>
    <x v="150"/>
    <n v="2.7296334551710499"/>
  </r>
  <r>
    <s v="FN_CMM_30Yr"/>
    <s v="CELLO"/>
    <x v="1"/>
    <s v="MTG"/>
    <x v="151"/>
    <n v="2.7734212235563001"/>
  </r>
  <r>
    <s v="FN_CMM_30Yr"/>
    <s v="CELLO"/>
    <x v="1"/>
    <s v="MTG"/>
    <x v="152"/>
    <n v="2.7570320859498798"/>
  </r>
  <r>
    <s v="FN_CMM_30Yr"/>
    <s v="CELLO"/>
    <x v="1"/>
    <s v="MTG"/>
    <x v="153"/>
    <n v="2.77010275743095"/>
  </r>
  <r>
    <s v="FN_CMM_30Yr"/>
    <s v="CELLO"/>
    <x v="1"/>
    <s v="MTG"/>
    <x v="154"/>
    <n v="2.81486937200697"/>
  </r>
  <r>
    <s v="FN_CMM_30Yr"/>
    <s v="CELLO"/>
    <x v="1"/>
    <s v="MTG"/>
    <x v="155"/>
    <n v="2.8165675160693602"/>
  </r>
  <r>
    <s v="FN_CMM_30Yr"/>
    <s v="CELLO"/>
    <x v="1"/>
    <s v="MTG"/>
    <x v="156"/>
    <n v="2.7891999400544001"/>
  </r>
  <r>
    <s v="FN_CMM_30Yr"/>
    <s v="CELLO"/>
    <x v="1"/>
    <s v="MTG"/>
    <x v="157"/>
    <n v="2.7081035827114999"/>
  </r>
  <r>
    <s v="FN_CMM_30Yr"/>
    <s v="CELLO"/>
    <x v="1"/>
    <s v="MTG"/>
    <x v="158"/>
    <n v="2.73044392273518"/>
  </r>
  <r>
    <s v="FN_CMM_30Yr"/>
    <s v="CELLO"/>
    <x v="1"/>
    <s v="MTG"/>
    <x v="159"/>
    <n v="2.7334728347211201"/>
  </r>
  <r>
    <s v="FN_CMM_30Yr"/>
    <s v="CELLO"/>
    <x v="1"/>
    <s v="MTG"/>
    <x v="160"/>
    <n v="2.7352021596982001"/>
  </r>
  <r>
    <s v="FN_CMM_30Yr"/>
    <s v="CELLO"/>
    <x v="1"/>
    <s v="MTG"/>
    <x v="161"/>
    <n v="2.7729349961757701"/>
  </r>
  <r>
    <s v="FN_CMM_30Yr"/>
    <s v="CELLO"/>
    <x v="1"/>
    <s v="MTG"/>
    <x v="162"/>
    <n v="2.7446763066937101"/>
  </r>
  <r>
    <s v="FN_CMM_30Yr"/>
    <s v="CELLO"/>
    <x v="1"/>
    <s v="MTG"/>
    <x v="163"/>
    <n v="2.7173642653119501"/>
  </r>
  <r>
    <s v="FN_CMM_30Yr"/>
    <s v="CELLO"/>
    <x v="1"/>
    <s v="MTG"/>
    <x v="164"/>
    <n v="2.77127537293183"/>
  </r>
  <r>
    <s v="FN_CMM_30Yr"/>
    <s v="CELLO"/>
    <x v="1"/>
    <s v="MTG"/>
    <x v="165"/>
    <n v="2.7558575864349502"/>
  </r>
  <r>
    <s v="FN_CMM_30Yr"/>
    <s v="CELLO"/>
    <x v="1"/>
    <s v="MTG"/>
    <x v="166"/>
    <n v="2.7239833090670502"/>
  </r>
  <r>
    <s v="FN_CMM_30Yr"/>
    <s v="CELLO"/>
    <x v="1"/>
    <s v="MTG"/>
    <x v="167"/>
    <n v="2.7958120452124602"/>
  </r>
  <r>
    <s v="FN_CMM_30Yr"/>
    <s v="CELLO"/>
    <x v="1"/>
    <s v="MTG"/>
    <x v="168"/>
    <n v="2.8760429870518398"/>
  </r>
  <r>
    <s v="FN_CMM_30Yr"/>
    <s v="CELLO"/>
    <x v="1"/>
    <s v="MTG"/>
    <x v="169"/>
    <n v="2.8444181025455899"/>
  </r>
  <r>
    <s v="FN_CMM_30Yr"/>
    <s v="CELLO"/>
    <x v="1"/>
    <s v="MTG"/>
    <x v="170"/>
    <n v="2.8650468207927799"/>
  </r>
  <r>
    <s v="FN_CMM_30Yr"/>
    <s v="CELLO"/>
    <x v="1"/>
    <s v="MTG"/>
    <x v="171"/>
    <n v="2.8982983852453801"/>
  </r>
  <r>
    <s v="FN_CMM_30Yr"/>
    <s v="CELLO"/>
    <x v="1"/>
    <s v="MTG"/>
    <x v="172"/>
    <n v="2.9340630334667899"/>
  </r>
  <r>
    <s v="FN_CMM_30Yr"/>
    <s v="CELLO"/>
    <x v="1"/>
    <s v="MTG"/>
    <x v="173"/>
    <n v="2.9388026853832501"/>
  </r>
  <r>
    <s v="FN_CMM_30Yr"/>
    <s v="CELLO"/>
    <x v="1"/>
    <s v="MTG"/>
    <x v="174"/>
    <n v="3.0126979954339599"/>
  </r>
  <r>
    <s v="FN_CMM_30Yr"/>
    <s v="CELLO"/>
    <x v="1"/>
    <s v="MTG"/>
    <x v="175"/>
    <n v="3.0394713990433302"/>
  </r>
  <r>
    <s v="FN_CMM_30Yr"/>
    <s v="CELLO"/>
    <x v="1"/>
    <s v="MTG"/>
    <x v="176"/>
    <n v="3.0240881034818901"/>
  </r>
  <r>
    <s v="FN_CMM_30Yr"/>
    <s v="CELLO"/>
    <x v="1"/>
    <s v="MTG"/>
    <x v="177"/>
    <n v="3.0415503408748101"/>
  </r>
  <r>
    <s v="FN_CMM_30Yr"/>
    <s v="CELLO"/>
    <x v="1"/>
    <s v="MTG"/>
    <x v="178"/>
    <n v="3.0032203766891601"/>
  </r>
  <r>
    <s v="FN_CMM_30Yr"/>
    <s v="CELLO"/>
    <x v="1"/>
    <s v="MTG"/>
    <x v="179"/>
    <n v="2.9962349476624799"/>
  </r>
  <r>
    <s v="FN_CMM_30Yr"/>
    <s v="CELLO"/>
    <x v="1"/>
    <s v="MTG"/>
    <x v="180"/>
    <n v="2.9829487992520902"/>
  </r>
  <r>
    <s v="FN_CMM_30Yr"/>
    <s v="CELLO"/>
    <x v="1"/>
    <s v="MTG"/>
    <x v="181"/>
    <n v="2.97922271147955"/>
  </r>
  <r>
    <s v="FN_CMM_30Yr"/>
    <s v="CELLO"/>
    <x v="1"/>
    <s v="MTG"/>
    <x v="182"/>
    <n v="2.9567440380932299"/>
  </r>
  <r>
    <s v="FN_CMM_30Yr"/>
    <s v="CELLO"/>
    <x v="1"/>
    <s v="MTG"/>
    <x v="183"/>
    <n v="2.9778815410804498"/>
  </r>
  <r>
    <s v="FN_CMM_30Yr"/>
    <s v="CELLO"/>
    <x v="1"/>
    <s v="MTG"/>
    <x v="184"/>
    <n v="2.9783756626827098"/>
  </r>
  <r>
    <s v="FN_CMM_30Yr"/>
    <s v="CELLO"/>
    <x v="1"/>
    <s v="MTG"/>
    <x v="185"/>
    <n v="2.9726150604600501"/>
  </r>
  <r>
    <s v="FN_CMM_30Yr"/>
    <s v="CELLO"/>
    <x v="1"/>
    <s v="MTG"/>
    <x v="186"/>
    <n v="2.9699990408330801"/>
  </r>
  <r>
    <s v="FN_CMM_30Yr"/>
    <s v="CELLO"/>
    <x v="1"/>
    <s v="MTG"/>
    <x v="187"/>
    <n v="2.9627998266716902"/>
  </r>
  <r>
    <s v="FN_CMM_30Yr"/>
    <s v="CELLO"/>
    <x v="1"/>
    <s v="MTG"/>
    <x v="188"/>
    <n v="2.9474672658602201"/>
  </r>
  <r>
    <s v="FN_CMM_30Yr"/>
    <s v="CELLO"/>
    <x v="1"/>
    <s v="MTG"/>
    <x v="189"/>
    <n v="2.8947298491443201"/>
  </r>
  <r>
    <s v="FN_CMM_30Yr"/>
    <s v="CELLO"/>
    <x v="1"/>
    <s v="MTG"/>
    <x v="190"/>
    <n v="2.9165593470462001"/>
  </r>
  <r>
    <s v="FN_CMM_30Yr"/>
    <s v="CELLO"/>
    <x v="1"/>
    <s v="MTG"/>
    <x v="191"/>
    <n v="3.0544306669029599"/>
  </r>
  <r>
    <s v="FN_CMM_30Yr"/>
    <s v="CELLO"/>
    <x v="1"/>
    <s v="MTG"/>
    <x v="192"/>
    <n v="2.9966381834712199"/>
  </r>
  <r>
    <s v="FN_CMM_30Yr"/>
    <s v="CELLO"/>
    <x v="1"/>
    <s v="MTG"/>
    <x v="193"/>
    <n v="2.9498986890501602"/>
  </r>
  <r>
    <s v="FN_CMM_30Yr"/>
    <s v="CELLO"/>
    <x v="1"/>
    <s v="MTG"/>
    <x v="194"/>
    <n v="2.97492729888162"/>
  </r>
  <r>
    <s v="FN_CMM_30Yr"/>
    <s v="CELLO"/>
    <x v="1"/>
    <s v="MTG"/>
    <x v="195"/>
    <n v="2.9584562580557998"/>
  </r>
  <r>
    <s v="FN_CMM_30Yr"/>
    <s v="CELLO"/>
    <x v="1"/>
    <s v="MTG"/>
    <x v="196"/>
    <n v="2.9975278287112799"/>
  </r>
  <r>
    <s v="FN_CMM_30Yr"/>
    <s v="CELLO"/>
    <x v="1"/>
    <s v="MTG"/>
    <x v="197"/>
    <n v="2.93038775773327"/>
  </r>
  <r>
    <s v="FN_CMM_30Yr"/>
    <s v="CELLO"/>
    <x v="1"/>
    <s v="MTG"/>
    <x v="198"/>
    <n v="2.9956917661864102"/>
  </r>
  <r>
    <s v="FN_CMM_30Yr"/>
    <s v="CELLO"/>
    <x v="1"/>
    <s v="MTG"/>
    <x v="199"/>
    <n v="3.0277544715368299"/>
  </r>
  <r>
    <s v="FN_CMM_30Yr"/>
    <s v="CELLO"/>
    <x v="1"/>
    <s v="MTG"/>
    <x v="200"/>
    <n v="3.0337070171743399"/>
  </r>
  <r>
    <s v="FN_CMM_30Yr"/>
    <s v="CELLO"/>
    <x v="1"/>
    <s v="MTG"/>
    <x v="201"/>
    <n v="2.9938542795846499"/>
  </r>
  <r>
    <s v="FN_CMM_30Yr"/>
    <s v="CELLO"/>
    <x v="1"/>
    <s v="MTG"/>
    <x v="202"/>
    <n v="2.9654454819851401"/>
  </r>
  <r>
    <s v="FN_CMM_30Yr"/>
    <s v="CELLO"/>
    <x v="1"/>
    <s v="MTG"/>
    <x v="203"/>
    <n v="2.9731174036640602"/>
  </r>
  <r>
    <s v="FN_CMM_30Yr"/>
    <s v="CELLO"/>
    <x v="1"/>
    <s v="MTG"/>
    <x v="204"/>
    <n v="3.0177597197552002"/>
  </r>
  <r>
    <s v="FN_CMM_30Yr"/>
    <s v="CELLO"/>
    <x v="1"/>
    <s v="MTG"/>
    <x v="205"/>
    <n v="3.0426080275796101"/>
  </r>
  <r>
    <s v="FN_CMM_30Yr"/>
    <s v="CELLO"/>
    <x v="1"/>
    <s v="MTG"/>
    <x v="206"/>
    <n v="3.0275766664066102"/>
  </r>
  <r>
    <s v="FN_CMM_30Yr"/>
    <s v="CELLO"/>
    <x v="1"/>
    <s v="MTG"/>
    <x v="207"/>
    <n v="3.0029644484734299"/>
  </r>
  <r>
    <s v="FN_CMM_30Yr"/>
    <s v="CELLO"/>
    <x v="1"/>
    <s v="MTG"/>
    <x v="208"/>
    <n v="3.05738829293283"/>
  </r>
  <r>
    <s v="FN_CMM_30Yr"/>
    <s v="CELLO"/>
    <x v="1"/>
    <s v="MTG"/>
    <x v="209"/>
    <n v="3.0484600868524701"/>
  </r>
  <r>
    <s v="FN_CMM_30Yr"/>
    <s v="CELLO"/>
    <x v="1"/>
    <s v="MTG"/>
    <x v="210"/>
    <n v="3.0053894082817201"/>
  </r>
  <r>
    <s v="FN_CMM_30Yr"/>
    <s v="CELLO"/>
    <x v="1"/>
    <s v="MTG"/>
    <x v="211"/>
    <n v="2.993452685197"/>
  </r>
  <r>
    <s v="FN_CMM_30Yr"/>
    <s v="CELLO"/>
    <x v="1"/>
    <s v="MTG"/>
    <x v="212"/>
    <n v="2.99513727920968"/>
  </r>
  <r>
    <s v="FN_CMM_30Yr"/>
    <s v="CELLO"/>
    <x v="1"/>
    <s v="MTG"/>
    <x v="213"/>
    <n v="2.9334005201837599"/>
  </r>
  <r>
    <s v="FN_CMM_30Yr"/>
    <s v="CELLO"/>
    <x v="1"/>
    <s v="MTG"/>
    <x v="214"/>
    <n v="2.9119506998989602"/>
  </r>
  <r>
    <s v="FN_CMM_30Yr"/>
    <s v="CELLO"/>
    <x v="1"/>
    <s v="MTG"/>
    <x v="215"/>
    <n v="2.88545680781831"/>
  </r>
  <r>
    <s v="FN_CMM_30Yr"/>
    <s v="CELLO"/>
    <x v="1"/>
    <s v="MTG"/>
    <x v="216"/>
    <n v="2.8978342309890999"/>
  </r>
  <r>
    <s v="FN_CMM_30Yr"/>
    <s v="CELLO"/>
    <x v="1"/>
    <s v="MTG"/>
    <x v="217"/>
    <n v="2.8424738889513801"/>
  </r>
  <r>
    <s v="FN_CMM_30Yr"/>
    <s v="CELLO"/>
    <x v="1"/>
    <s v="MTG"/>
    <x v="218"/>
    <n v="2.8127941632470699"/>
  </r>
  <r>
    <s v="FN_CMM_30Yr"/>
    <s v="CELLO"/>
    <x v="1"/>
    <s v="MTG"/>
    <x v="219"/>
    <n v="2.82567876803239"/>
  </r>
  <r>
    <s v="FN_CMM_30Yr"/>
    <s v="CELLO"/>
    <x v="1"/>
    <s v="MTG"/>
    <x v="220"/>
    <n v="2.78255799649583"/>
  </r>
  <r>
    <s v="FN_CMM_30Yr"/>
    <s v="CELLO"/>
    <x v="1"/>
    <s v="MTG"/>
    <x v="221"/>
    <n v="2.78837847860318"/>
  </r>
  <r>
    <s v="FN_CMM_30Yr"/>
    <s v="CELLO"/>
    <x v="1"/>
    <s v="MTG"/>
    <x v="222"/>
    <n v="2.7399955828051801"/>
  </r>
  <r>
    <s v="FN_CMM_30Yr"/>
    <s v="CELLO"/>
    <x v="1"/>
    <s v="MTG"/>
    <x v="223"/>
    <n v="2.7634717888750999"/>
  </r>
  <r>
    <s v="FN_CMM_30Yr"/>
    <s v="CELLO"/>
    <x v="1"/>
    <s v="MTG"/>
    <x v="224"/>
    <n v="2.7884908118762199"/>
  </r>
  <r>
    <s v="FN_CMM_30Yr"/>
    <s v="CELLO"/>
    <x v="1"/>
    <s v="MTG"/>
    <x v="225"/>
    <n v="2.7702129413051901"/>
  </r>
  <r>
    <s v="FN_CMM_30Yr"/>
    <s v="CELLO"/>
    <x v="1"/>
    <s v="MTG"/>
    <x v="226"/>
    <n v="2.7316832790579499"/>
  </r>
  <r>
    <s v="FN_CMM_30Yr"/>
    <s v="CELLO"/>
    <x v="1"/>
    <s v="MTG"/>
    <x v="227"/>
    <n v="2.73574020589367"/>
  </r>
  <r>
    <s v="FN_CMM_30Yr"/>
    <s v="CELLO"/>
    <x v="1"/>
    <s v="MTG"/>
    <x v="228"/>
    <n v="2.70685241961761"/>
  </r>
  <r>
    <s v="FN_CMM_30Yr"/>
    <s v="CELLO"/>
    <x v="1"/>
    <s v="MTG"/>
    <x v="229"/>
    <n v="2.6475345232254401"/>
  </r>
  <r>
    <s v="FN_CMM_30Yr"/>
    <s v="CELLO"/>
    <x v="1"/>
    <s v="MTG"/>
    <x v="230"/>
    <n v="2.7082747576934199"/>
  </r>
  <r>
    <s v="FN_CMM_30Yr"/>
    <s v="CELLO"/>
    <x v="1"/>
    <s v="MTG"/>
    <x v="231"/>
    <n v="2.6172888132357301"/>
  </r>
  <r>
    <s v="FN_CMM_30Yr"/>
    <s v="CELLO"/>
    <x v="1"/>
    <s v="MTG"/>
    <x v="232"/>
    <n v="2.6150928157028002"/>
  </r>
  <r>
    <s v="FN_CMM_30Yr"/>
    <s v="CELLO"/>
    <x v="1"/>
    <s v="MTG"/>
    <x v="233"/>
    <n v="2.6195226711190198"/>
  </r>
  <r>
    <s v="FN_CMM_30Yr"/>
    <s v="CELLO"/>
    <x v="1"/>
    <s v="MTG"/>
    <x v="234"/>
    <n v="2.6103236546711099"/>
  </r>
  <r>
    <s v="FN_CMM_30Yr"/>
    <s v="CELLO"/>
    <x v="1"/>
    <s v="MTG"/>
    <x v="235"/>
    <n v="2.5303433230650998"/>
  </r>
  <r>
    <s v="FN_CMM_30Yr"/>
    <s v="CELLO"/>
    <x v="1"/>
    <s v="MTG"/>
    <x v="236"/>
    <n v="2.5047286028973201"/>
  </r>
  <r>
    <s v="FN_CMM_30Yr"/>
    <s v="CELLO"/>
    <x v="1"/>
    <s v="MTG"/>
    <x v="237"/>
    <n v="2.4821302759437298"/>
  </r>
  <r>
    <s v="FN_CMM_30Yr"/>
    <s v="CELLO"/>
    <x v="1"/>
    <s v="MTG"/>
    <x v="238"/>
    <n v="2.42881647726065"/>
  </r>
  <r>
    <s v="FN_CMM_30Yr"/>
    <s v="CELLO"/>
    <x v="1"/>
    <s v="MTG"/>
    <x v="239"/>
    <n v="2.5557387123841"/>
  </r>
  <r>
    <s v="FN_CMM_30Yr"/>
    <s v="CELLO"/>
    <x v="1"/>
    <s v="MTG"/>
    <x v="240"/>
    <n v="2.5621450125099101"/>
  </r>
  <r>
    <s v="FN_CMM_30Yr"/>
    <s v="CELLO"/>
    <x v="1"/>
    <s v="MTG"/>
    <x v="241"/>
    <n v="2.60333938625172"/>
  </r>
  <r>
    <s v="FN_CMM_30Yr"/>
    <s v="CELLO"/>
    <x v="1"/>
    <s v="MTG"/>
    <x v="242"/>
    <n v="2.5443053522825401"/>
  </r>
  <r>
    <s v="FN_CMM_30Yr"/>
    <s v="CELLO"/>
    <x v="1"/>
    <s v="MTG"/>
    <x v="243"/>
    <n v="2.5449659922268899"/>
  </r>
  <r>
    <s v="FN_CMM_30Yr"/>
    <s v="CELLO"/>
    <x v="1"/>
    <s v="MTG"/>
    <x v="244"/>
    <n v="2.5540295471269099"/>
  </r>
  <r>
    <s v="FN_CMM_30Yr"/>
    <s v="CELLO"/>
    <x v="1"/>
    <s v="MTG"/>
    <x v="245"/>
    <n v="2.5356667445590699"/>
  </r>
  <r>
    <s v="FN_CMM_30Yr"/>
    <s v="CELLO"/>
    <x v="1"/>
    <s v="MTG"/>
    <x v="246"/>
    <n v="2.5165312715175401"/>
  </r>
  <r>
    <s v="FN_CMM_30Yr"/>
    <s v="CELLO"/>
    <x v="1"/>
    <s v="MTG"/>
    <x v="247"/>
    <n v="2.4936082120119001"/>
  </r>
  <r>
    <s v="FN_CMM_30Yr"/>
    <s v="CELLO"/>
    <x v="1"/>
    <s v="MTG"/>
    <x v="248"/>
    <n v="2.5559111404476602"/>
  </r>
  <r>
    <s v="FN_CMM_30Yr"/>
    <s v="CELLO"/>
    <x v="1"/>
    <s v="MTG"/>
    <x v="249"/>
    <n v="2.52735457322752"/>
  </r>
  <r>
    <s v="FN_CMM_30Yr"/>
    <s v="CELLO"/>
    <x v="1"/>
    <s v="MTG"/>
    <x v="250"/>
    <n v="2.6160113869012802"/>
  </r>
  <r>
    <s v="FN_CMM_30Yr"/>
    <s v="CELLO"/>
    <x v="1"/>
    <s v="MTG"/>
    <x v="251"/>
    <n v="2.6371866759210301"/>
  </r>
  <r>
    <s v="FN_CMM_30Yr"/>
    <s v="CELLO"/>
    <x v="1"/>
    <s v="MTG"/>
    <x v="252"/>
    <n v="2.6040316185117298"/>
  </r>
  <r>
    <s v="FN_CMM_30Yr"/>
    <s v="CELLO"/>
    <x v="1"/>
    <s v="MTG"/>
    <x v="253"/>
    <n v="2.6456437130167698"/>
  </r>
  <r>
    <s v="FN_CMM_30Yr"/>
    <s v="CELLO"/>
    <x v="1"/>
    <s v="MTG"/>
    <x v="254"/>
    <n v="2.6797159507930601"/>
  </r>
  <r>
    <s v="FN_CMM_30Yr"/>
    <s v="CELLO"/>
    <x v="1"/>
    <s v="MTG"/>
    <x v="255"/>
    <n v="2.6318246797468499"/>
  </r>
  <r>
    <s v="FN_CMM_30Yr"/>
    <s v="CELLO"/>
    <x v="1"/>
    <s v="MTG"/>
    <x v="256"/>
    <n v="2.6993160821671598"/>
  </r>
  <r>
    <s v="FN_CMM_30Yr"/>
    <s v="CELLO"/>
    <x v="1"/>
    <s v="MTG"/>
    <x v="257"/>
    <n v="2.7087001450916599"/>
  </r>
  <r>
    <s v="FN_CMM_30Yr"/>
    <s v="CELLO"/>
    <x v="1"/>
    <s v="MTG"/>
    <x v="258"/>
    <n v="2.7411857736504301"/>
  </r>
  <r>
    <s v="FN_CMM_30Yr"/>
    <s v="CELLO"/>
    <x v="1"/>
    <s v="MTG"/>
    <x v="259"/>
    <n v="2.7302113432602999"/>
  </r>
  <r>
    <s v="FN_CMM_30Yr"/>
    <s v="CELLO"/>
    <x v="1"/>
    <s v="MTG"/>
    <x v="260"/>
    <n v="2.7488667702223699"/>
  </r>
  <r>
    <s v="FN_CMM_30Yr"/>
    <s v="CELLO"/>
    <x v="1"/>
    <s v="MTG"/>
    <x v="261"/>
    <n v="2.6989079918651599"/>
  </r>
  <r>
    <s v="FN_CMM_30Yr"/>
    <s v="CELLO"/>
    <x v="1"/>
    <s v="MTG"/>
    <x v="262"/>
    <n v="2.6507645211895499"/>
  </r>
  <r>
    <s v="FN_CMM_30Yr"/>
    <s v="CELLO"/>
    <x v="1"/>
    <s v="MTG"/>
    <x v="263"/>
    <n v="2.6443435040904602"/>
  </r>
  <r>
    <s v="FN_CMM_30Yr"/>
    <s v="CELLO"/>
    <x v="1"/>
    <s v="MTG"/>
    <x v="264"/>
    <n v="2.6999804416345499"/>
  </r>
  <r>
    <s v="FN_CMM_30Yr"/>
    <s v="CELLO"/>
    <x v="1"/>
    <s v="MTG"/>
    <x v="265"/>
    <n v="2.7181679952198698"/>
  </r>
  <r>
    <s v="FN_CMM_30Yr"/>
    <s v="CELLO"/>
    <x v="1"/>
    <s v="MTG"/>
    <x v="266"/>
    <n v="2.66584672213606"/>
  </r>
  <r>
    <s v="FN_CMM_30Yr"/>
    <s v="CELLO"/>
    <x v="1"/>
    <s v="MTG"/>
    <x v="267"/>
    <n v="2.6924441854195602"/>
  </r>
  <r>
    <s v="FN_CMM_30Yr"/>
    <s v="CELLO"/>
    <x v="1"/>
    <s v="MTG"/>
    <x v="268"/>
    <n v="2.6784573232198698"/>
  </r>
  <r>
    <s v="FN_CMM_30Yr"/>
    <s v="CELLO"/>
    <x v="1"/>
    <s v="MTG"/>
    <x v="269"/>
    <n v="2.5818538340504298"/>
  </r>
  <r>
    <s v="FN_CMM_30Yr"/>
    <s v="CELLO"/>
    <x v="1"/>
    <s v="MTG"/>
    <x v="270"/>
    <n v="2.5932132712975302"/>
  </r>
  <r>
    <s v="FN_CMM_30Yr"/>
    <s v="CELLO"/>
    <x v="1"/>
    <s v="MTG"/>
    <x v="271"/>
    <n v="2.5397621553493499"/>
  </r>
  <r>
    <s v="FN_CMM_30Yr"/>
    <s v="CELLO"/>
    <x v="1"/>
    <s v="MTG"/>
    <x v="272"/>
    <n v="2.5354129105946002"/>
  </r>
  <r>
    <s v="FN_CMM_30Yr"/>
    <s v="CELLO"/>
    <x v="1"/>
    <s v="MTG"/>
    <x v="273"/>
    <n v="2.5272030973588802"/>
  </r>
  <r>
    <s v="FN_CMM_30Yr"/>
    <s v="CELLO"/>
    <x v="1"/>
    <s v="MTG"/>
    <x v="274"/>
    <n v="2.49044583951994"/>
  </r>
  <r>
    <s v="FN_CMM_30Yr"/>
    <s v="CELLO"/>
    <x v="1"/>
    <s v="MTG"/>
    <x v="275"/>
    <n v="2.5206676223705302"/>
  </r>
  <r>
    <s v="FN_CMM_30Yr"/>
    <s v="CELLO"/>
    <x v="1"/>
    <s v="MTG"/>
    <x v="276"/>
    <n v="2.47278907327191"/>
  </r>
  <r>
    <s v="FN_CMM_30Yr"/>
    <s v="CELLO"/>
    <x v="1"/>
    <s v="MTG"/>
    <x v="277"/>
    <n v="2.47640548535824"/>
  </r>
  <r>
    <s v="FN_CMM_30Yr"/>
    <s v="CELLO"/>
    <x v="1"/>
    <s v="MTG"/>
    <x v="278"/>
    <n v="2.4761946977279501"/>
  </r>
  <r>
    <s v="FN_CMM_30Yr"/>
    <s v="CELLO"/>
    <x v="1"/>
    <s v="MTG"/>
    <x v="279"/>
    <n v="2.52514420347971"/>
  </r>
  <r>
    <s v="FN_CMM_30Yr"/>
    <s v="CELLO"/>
    <x v="1"/>
    <s v="MTG"/>
    <x v="280"/>
    <n v="2.5121043496510298"/>
  </r>
  <r>
    <s v="FN_CMM_30Yr"/>
    <s v="CELLO"/>
    <x v="1"/>
    <s v="MTG"/>
    <x v="281"/>
    <n v="2.5130719329869802"/>
  </r>
  <r>
    <s v="FN_CMM_30Yr"/>
    <s v="CELLO"/>
    <x v="1"/>
    <s v="MTG"/>
    <x v="282"/>
    <n v="2.50830487739315"/>
  </r>
  <r>
    <s v="FN_CMM_30Yr"/>
    <s v="CELLO"/>
    <x v="1"/>
    <s v="MTG"/>
    <x v="283"/>
    <n v="2.5181131981013598"/>
  </r>
  <r>
    <s v="FN_CMM_30Yr"/>
    <s v="CELLO"/>
    <x v="1"/>
    <s v="MTG"/>
    <x v="284"/>
    <n v="2.5437168006359601"/>
  </r>
  <r>
    <s v="FN_CMM_30Yr"/>
    <s v="CELLO"/>
    <x v="1"/>
    <s v="MTG"/>
    <x v="285"/>
    <n v="2.6250547369401902"/>
  </r>
  <r>
    <s v="FN_CMM_30Yr"/>
    <s v="CELLO"/>
    <x v="1"/>
    <s v="MTG"/>
    <x v="286"/>
    <n v="2.6404764057609502"/>
  </r>
  <r>
    <s v="FN_CMM_30Yr"/>
    <s v="CELLO"/>
    <x v="1"/>
    <s v="MTG"/>
    <x v="287"/>
    <n v="2.6550245016792"/>
  </r>
  <r>
    <s v="FN_CMM_30Yr"/>
    <s v="CELLO"/>
    <x v="1"/>
    <s v="MTG"/>
    <x v="288"/>
    <n v="2.6615233310635298"/>
  </r>
  <r>
    <s v="FN_CMM_30Yr"/>
    <s v="CELLO"/>
    <x v="1"/>
    <s v="MTG"/>
    <x v="289"/>
    <n v="2.6761661289504999"/>
  </r>
  <r>
    <s v="FN_CMM_30Yr"/>
    <s v="CELLO"/>
    <x v="1"/>
    <s v="MTG"/>
    <x v="290"/>
    <n v="2.6300132369593099"/>
  </r>
  <r>
    <s v="FN_CMM_30Yr"/>
    <s v="CELLO"/>
    <x v="1"/>
    <s v="MTG"/>
    <x v="291"/>
    <n v="2.5822903724603399"/>
  </r>
  <r>
    <s v="FN_CMM_30Yr"/>
    <s v="CELLO"/>
    <x v="1"/>
    <s v="MTG"/>
    <x v="292"/>
    <n v="2.5646426996598599"/>
  </r>
  <r>
    <s v="FN_CMM_30Yr"/>
    <s v="CELLO"/>
    <x v="1"/>
    <s v="MTG"/>
    <x v="293"/>
    <n v="2.6083213948699102"/>
  </r>
  <r>
    <s v="FN_CMM_30Yr"/>
    <s v="CELLO"/>
    <x v="1"/>
    <s v="MTG"/>
    <x v="294"/>
    <n v="2.5475265739167301"/>
  </r>
  <r>
    <s v="FN_CMM_30Yr"/>
    <s v="CELLO"/>
    <x v="1"/>
    <s v="MTG"/>
    <x v="295"/>
    <n v="2.55214527077672"/>
  </r>
  <r>
    <s v="FN_CMM_30Yr"/>
    <s v="CELLO"/>
    <x v="1"/>
    <s v="MTG"/>
    <x v="296"/>
    <n v="2.5164663859594998"/>
  </r>
  <r>
    <s v="FN_CMM_30Yr"/>
    <s v="CELLO"/>
    <x v="1"/>
    <s v="MTG"/>
    <x v="297"/>
    <n v="2.5169224725100698"/>
  </r>
  <r>
    <s v="FN_CMM_30Yr"/>
    <s v="CELLO"/>
    <x v="1"/>
    <s v="MTG"/>
    <x v="298"/>
    <n v="2.5026837288081998"/>
  </r>
  <r>
    <s v="FN_CMM_30Yr"/>
    <s v="CELLO"/>
    <x v="1"/>
    <s v="MTG"/>
    <x v="299"/>
    <n v="2.5182072919323999"/>
  </r>
  <r>
    <s v="FN_CMM_30Yr"/>
    <s v="CELLO"/>
    <x v="1"/>
    <s v="MTG"/>
    <x v="300"/>
    <n v="2.5137546946134099"/>
  </r>
  <r>
    <s v="FN_CMM_30Yr"/>
    <s v="CELLO"/>
    <x v="1"/>
    <s v="MTG"/>
    <x v="301"/>
    <n v="2.5257961096675898"/>
  </r>
  <r>
    <s v="FN_CMM_30Yr"/>
    <s v="CELLO"/>
    <x v="1"/>
    <s v="MTG"/>
    <x v="302"/>
    <n v="2.4834878565514402"/>
  </r>
  <r>
    <s v="FN_CMM_30Yr"/>
    <s v="CELLO"/>
    <x v="1"/>
    <s v="MTG"/>
    <x v="303"/>
    <n v="2.5243153261906799"/>
  </r>
  <r>
    <s v="FN_CMM_30Yr"/>
    <s v="CELLO"/>
    <x v="1"/>
    <s v="MTG"/>
    <x v="304"/>
    <n v="2.5507411556917998"/>
  </r>
  <r>
    <s v="FN_CMM_30Yr"/>
    <s v="CELLO"/>
    <x v="1"/>
    <s v="MTG"/>
    <x v="305"/>
    <n v="2.6588027556734102"/>
  </r>
  <r>
    <s v="FN_CMM_30Yr"/>
    <s v="CELLO"/>
    <x v="1"/>
    <s v="MTG"/>
    <x v="306"/>
    <n v="2.61087975726997"/>
  </r>
  <r>
    <s v="FN_CMM_30Yr"/>
    <s v="CELLO"/>
    <x v="1"/>
    <s v="MTG"/>
    <x v="307"/>
    <n v="2.6144990771795702"/>
  </r>
  <r>
    <s v="FN_CMM_30Yr"/>
    <s v="CELLO"/>
    <x v="1"/>
    <s v="MTG"/>
    <x v="308"/>
    <n v="2.6073788484172402"/>
  </r>
  <r>
    <s v="FN_CMM_30Yr"/>
    <s v="CELLO"/>
    <x v="1"/>
    <s v="MTG"/>
    <x v="309"/>
    <n v="2.6240146186215201"/>
  </r>
  <r>
    <s v="FN_CMM_30Yr"/>
    <s v="CELLO"/>
    <x v="1"/>
    <s v="MTG"/>
    <x v="310"/>
    <n v="2.6451164330337602"/>
  </r>
  <r>
    <s v="FN_CMM_30Yr"/>
    <s v="CELLO"/>
    <x v="1"/>
    <s v="MTG"/>
    <x v="311"/>
    <n v="2.59920787607486"/>
  </r>
  <r>
    <s v="FN_CMM_30Yr"/>
    <s v="CELLO"/>
    <x v="1"/>
    <s v="MTG"/>
    <x v="312"/>
    <n v="2.6025934291599802"/>
  </r>
  <r>
    <s v="FN_CMM_30Yr"/>
    <s v="CELLO"/>
    <x v="1"/>
    <s v="MTG"/>
    <x v="313"/>
    <n v="2.5912536258674699"/>
  </r>
  <r>
    <s v="FN_CMM_30Yr"/>
    <s v="CELLO"/>
    <x v="1"/>
    <s v="MTG"/>
    <x v="314"/>
    <n v="2.6061508171936398"/>
  </r>
  <r>
    <s v="FN_CMM_30Yr"/>
    <s v="CELLO"/>
    <x v="1"/>
    <s v="MTG"/>
    <x v="315"/>
    <n v="2.5951614206570599"/>
  </r>
  <r>
    <s v="FN_CMM_30Yr"/>
    <s v="CELLO"/>
    <x v="1"/>
    <s v="MTG"/>
    <x v="316"/>
    <n v="2.50110738001568"/>
  </r>
  <r>
    <s v="FN_CMM_30Yr"/>
    <s v="CELLO"/>
    <x v="1"/>
    <s v="MTG"/>
    <x v="317"/>
    <n v="2.50890733570674"/>
  </r>
  <r>
    <s v="FN_CMM_30Yr"/>
    <s v="CELLO"/>
    <x v="1"/>
    <s v="MTG"/>
    <x v="318"/>
    <n v="2.5084011199927301"/>
  </r>
  <r>
    <s v="FN_CMM_30Yr"/>
    <s v="CELLO"/>
    <x v="1"/>
    <s v="MTG"/>
    <x v="319"/>
    <n v="2.5005077726390401"/>
  </r>
  <r>
    <s v="FN_CMM_30Yr"/>
    <s v="CELLO"/>
    <x v="1"/>
    <s v="MTG"/>
    <x v="320"/>
    <n v="2.4857330932558601"/>
  </r>
  <r>
    <s v="FN_CMM_30Yr"/>
    <s v="CELLO"/>
    <x v="1"/>
    <s v="MTG"/>
    <x v="321"/>
    <n v="2.4694934611032302"/>
  </r>
  <r>
    <s v="FN_CMM_30Yr"/>
    <s v="CELLO"/>
    <x v="1"/>
    <s v="MTG"/>
    <x v="322"/>
    <n v="2.45908468763596"/>
  </r>
  <r>
    <s v="FN_CMM_30Yr"/>
    <s v="CELLO"/>
    <x v="1"/>
    <s v="MTG"/>
    <x v="323"/>
    <n v="2.46769011076751"/>
  </r>
  <r>
    <s v="FN_CMM_30Yr"/>
    <s v="CELLO"/>
    <x v="1"/>
    <s v="MTG"/>
    <x v="324"/>
    <n v="2.45037012960805"/>
  </r>
  <r>
    <s v="FN_CMM_30Yr"/>
    <s v="CELLO"/>
    <x v="1"/>
    <s v="MTG"/>
    <x v="325"/>
    <n v="2.4315261347107602"/>
  </r>
  <r>
    <s v="FN_CMM_30Yr"/>
    <s v="CELLO"/>
    <x v="1"/>
    <s v="MTG"/>
    <x v="326"/>
    <n v="2.47900822312821"/>
  </r>
  <r>
    <s v="FN_CMM_30Yr"/>
    <s v="CELLO"/>
    <x v="1"/>
    <s v="MTG"/>
    <x v="327"/>
    <n v="2.50328408923819"/>
  </r>
  <r>
    <s v="FN_CMM_30Yr"/>
    <s v="CELLO"/>
    <x v="1"/>
    <s v="MTG"/>
    <x v="328"/>
    <n v="2.5153297074650598"/>
  </r>
  <r>
    <s v="FN_CMM_30Yr"/>
    <s v="CELLO"/>
    <x v="1"/>
    <s v="MTG"/>
    <x v="329"/>
    <n v="2.51044994669209"/>
  </r>
  <r>
    <s v="FN_CMM_30Yr"/>
    <s v="CELLO"/>
    <x v="1"/>
    <s v="MTG"/>
    <x v="330"/>
    <n v="2.5328661525509899"/>
  </r>
  <r>
    <s v="FN_CMM_30Yr"/>
    <s v="CELLO"/>
    <x v="1"/>
    <s v="MTG"/>
    <x v="331"/>
    <n v="2.42238784637689"/>
  </r>
  <r>
    <s v="FN_CMM_30Yr"/>
    <s v="CELLO"/>
    <x v="1"/>
    <s v="MTG"/>
    <x v="332"/>
    <n v="2.28975271762293"/>
  </r>
  <r>
    <s v="FN_CMM_30Yr"/>
    <s v="CELLO"/>
    <x v="1"/>
    <s v="MTG"/>
    <x v="333"/>
    <n v="2.2924928729045799"/>
  </r>
  <r>
    <s v="FN_CMM_30Yr"/>
    <s v="CELLO"/>
    <x v="1"/>
    <s v="MTG"/>
    <x v="334"/>
    <n v="2.2865529695176998"/>
  </r>
  <r>
    <s v="FN_CMM_30Yr"/>
    <s v="CELLO"/>
    <x v="1"/>
    <s v="MTG"/>
    <x v="335"/>
    <n v="2.2474863691242"/>
  </r>
  <r>
    <s v="FN_CMM_30Yr"/>
    <s v="CELLO"/>
    <x v="1"/>
    <s v="MTG"/>
    <x v="336"/>
    <n v="2.2397995226071998"/>
  </r>
  <r>
    <s v="FN_CMM_30Yr"/>
    <s v="CELLO"/>
    <x v="1"/>
    <s v="MTG"/>
    <x v="337"/>
    <n v="2.1596234413025202"/>
  </r>
  <r>
    <s v="FN_CMM_30Yr"/>
    <s v="CELLO"/>
    <x v="1"/>
    <s v="MTG"/>
    <x v="338"/>
    <n v="2.19882717699562"/>
  </r>
  <r>
    <s v="FN_CMM_30Yr"/>
    <s v="CELLO"/>
    <x v="1"/>
    <s v="MTG"/>
    <x v="339"/>
    <n v="2.2327355208775002"/>
  </r>
  <r>
    <s v="FN_CMM_30Yr"/>
    <s v="CELLO"/>
    <x v="1"/>
    <s v="MTG"/>
    <x v="340"/>
    <n v="2.22171317291324"/>
  </r>
  <r>
    <s v="FN_CMM_30Yr"/>
    <s v="CELLO"/>
    <x v="1"/>
    <s v="MTG"/>
    <x v="341"/>
    <n v="2.2498836736013899"/>
  </r>
  <r>
    <s v="FN_CMM_30Yr"/>
    <s v="CELLO"/>
    <x v="1"/>
    <s v="MTG"/>
    <x v="342"/>
    <n v="2.3035973514028201"/>
  </r>
  <r>
    <s v="FN_CMM_30Yr"/>
    <s v="CELLO"/>
    <x v="1"/>
    <s v="MTG"/>
    <x v="343"/>
    <n v="2.2780835111266402"/>
  </r>
  <r>
    <s v="FN_CMM_30Yr"/>
    <s v="CELLO"/>
    <x v="1"/>
    <s v="MTG"/>
    <x v="344"/>
    <n v="2.3132728669173401"/>
  </r>
  <r>
    <s v="FN_CMM_30Yr"/>
    <s v="CELLO"/>
    <x v="1"/>
    <s v="MTG"/>
    <x v="345"/>
    <n v="2.3587572487332702"/>
  </r>
  <r>
    <s v="FN_CMM_30Yr"/>
    <s v="CELLO"/>
    <x v="1"/>
    <s v="MTG"/>
    <x v="346"/>
    <n v="2.3547084525242998"/>
  </r>
  <r>
    <s v="FN_CMM_30Yr"/>
    <s v="CELLO"/>
    <x v="1"/>
    <s v="MTG"/>
    <x v="347"/>
    <n v="2.3280330351195899"/>
  </r>
  <r>
    <s v="FN_CMM_30Yr"/>
    <s v="CELLO"/>
    <x v="1"/>
    <s v="MTG"/>
    <x v="348"/>
    <n v="2.34677807026147"/>
  </r>
  <r>
    <s v="FN_CMM_30Yr"/>
    <s v="CELLO"/>
    <x v="1"/>
    <s v="MTG"/>
    <x v="349"/>
    <n v="2.3508657378420699"/>
  </r>
  <r>
    <s v="FN_CMM_30Yr"/>
    <s v="CELLO"/>
    <x v="1"/>
    <s v="MTG"/>
    <x v="350"/>
    <n v="2.3723679310859498"/>
  </r>
  <r>
    <s v="FN_CMM_30Yr"/>
    <s v="CELLO"/>
    <x v="1"/>
    <s v="MTG"/>
    <x v="351"/>
    <n v="2.3827340297619202"/>
  </r>
  <r>
    <s v="FN_CMM_30Yr"/>
    <s v="CELLO"/>
    <x v="1"/>
    <s v="MTG"/>
    <x v="352"/>
    <n v="2.3913145424010498"/>
  </r>
  <r>
    <s v="FN_CMM_30Yr"/>
    <s v="CELLO"/>
    <x v="1"/>
    <s v="MTG"/>
    <x v="353"/>
    <n v="2.3415396621578699"/>
  </r>
  <r>
    <s v="FN_CMM_30Yr"/>
    <s v="CELLO"/>
    <x v="1"/>
    <s v="MTG"/>
    <x v="354"/>
    <n v="2.3214949111864098"/>
  </r>
  <r>
    <s v="FN_CMM_30Yr"/>
    <s v="CELLO"/>
    <x v="1"/>
    <s v="MTG"/>
    <x v="355"/>
    <n v="2.2658760705109899"/>
  </r>
  <r>
    <s v="FN_CMM_30Yr"/>
    <s v="CELLO"/>
    <x v="1"/>
    <s v="MTG"/>
    <x v="356"/>
    <n v="2.2903256966230399"/>
  </r>
  <r>
    <s v="FN_CMM_30Yr"/>
    <s v="CELLO"/>
    <x v="1"/>
    <s v="MTG"/>
    <x v="357"/>
    <n v="2.3285237865503698"/>
  </r>
  <r>
    <s v="FN_CMM_30Yr"/>
    <s v="CELLO"/>
    <x v="1"/>
    <s v="MTG"/>
    <x v="358"/>
    <n v="2.3355292606834301"/>
  </r>
  <r>
    <s v="FN_CMM_30Yr"/>
    <s v="CELLO"/>
    <x v="1"/>
    <s v="MTG"/>
    <x v="359"/>
    <n v="2.2962196436559199"/>
  </r>
  <r>
    <s v="FN_CMM_30Yr"/>
    <s v="CELLO"/>
    <x v="1"/>
    <s v="MTG"/>
    <x v="360"/>
    <n v="2.36176289703742"/>
  </r>
  <r>
    <s v="FN_CMM_30Yr"/>
    <s v="CELLO"/>
    <x v="1"/>
    <s v="MTG"/>
    <x v="361"/>
    <n v="2.3691281963665198"/>
  </r>
  <r>
    <s v="FN_CMM_30Yr"/>
    <s v="CELLO"/>
    <x v="1"/>
    <s v="MTG"/>
    <x v="362"/>
    <n v="2.33119047788963"/>
  </r>
  <r>
    <s v="FN_CMM_30Yr"/>
    <s v="CELLO"/>
    <x v="1"/>
    <s v="MTG"/>
    <x v="363"/>
    <n v="2.2940770499801002"/>
  </r>
  <r>
    <s v="FN_CMM_30Yr"/>
    <s v="CELLO"/>
    <x v="1"/>
    <s v="MTG"/>
    <x v="364"/>
    <n v="2.3497760407358701"/>
  </r>
  <r>
    <s v="FN_CMM_30Yr"/>
    <s v="CELLO"/>
    <x v="1"/>
    <s v="MTG"/>
    <x v="365"/>
    <n v="2.31461753479971"/>
  </r>
  <r>
    <s v="FN_CMM_30Yr"/>
    <s v="CELLO"/>
    <x v="1"/>
    <s v="MTG"/>
    <x v="366"/>
    <n v="2.34200914311478"/>
  </r>
  <r>
    <s v="FN_CMM_30Yr"/>
    <s v="CELLO"/>
    <x v="1"/>
    <s v="MTG"/>
    <x v="367"/>
    <n v="2.35874720795284"/>
  </r>
  <r>
    <s v="FN_CMM_30Yr"/>
    <s v="CELLO"/>
    <x v="1"/>
    <s v="MTG"/>
    <x v="368"/>
    <n v="2.34960598186067"/>
  </r>
  <r>
    <s v="FN_CMM_30Yr"/>
    <s v="CELLO"/>
    <x v="1"/>
    <s v="MTG"/>
    <x v="369"/>
    <n v="2.32201570653978"/>
  </r>
  <r>
    <s v="FN_CMM_30Yr"/>
    <s v="CELLO"/>
    <x v="1"/>
    <s v="MTG"/>
    <x v="370"/>
    <n v="2.3744079472292099"/>
  </r>
  <r>
    <s v="FN_CMM_30Yr"/>
    <s v="CELLO"/>
    <x v="1"/>
    <s v="MTG"/>
    <x v="371"/>
    <n v="2.35076611353908"/>
  </r>
  <r>
    <s v="FN_CMM_30Yr"/>
    <s v="CELLO"/>
    <x v="1"/>
    <s v="MTG"/>
    <x v="372"/>
    <n v="2.34539470834196"/>
  </r>
  <r>
    <s v="FN_CMM_30Yr"/>
    <s v="CELLO"/>
    <x v="1"/>
    <s v="MTG"/>
    <x v="373"/>
    <n v="2.3488178258811199"/>
  </r>
  <r>
    <s v="FN_CMM_30Yr"/>
    <s v="CELLO"/>
    <x v="1"/>
    <s v="MTG"/>
    <x v="374"/>
    <n v="2.35475537195207"/>
  </r>
  <r>
    <s v="FN_CMM_30Yr"/>
    <s v="CELLO"/>
    <x v="1"/>
    <s v="MTG"/>
    <x v="375"/>
    <n v="2.3971487906373001"/>
  </r>
  <r>
    <s v="FN_CMM_30Yr"/>
    <s v="CELLO"/>
    <x v="1"/>
    <s v="MTG"/>
    <x v="376"/>
    <n v="2.3636791601900198"/>
  </r>
  <r>
    <s v="FN_CMM_30Yr"/>
    <s v="CELLO"/>
    <x v="1"/>
    <s v="MTG"/>
    <x v="377"/>
    <n v="2.3673893775366199"/>
  </r>
  <r>
    <s v="FN_CMM_30Yr"/>
    <s v="CELLO"/>
    <x v="1"/>
    <s v="MTG"/>
    <x v="378"/>
    <n v="2.3666135397931098"/>
  </r>
  <r>
    <s v="FN_CMM_30Yr"/>
    <s v="CELLO"/>
    <x v="1"/>
    <s v="MTG"/>
    <x v="379"/>
    <n v="2.3803157009582701"/>
  </r>
  <r>
    <s v="FN_CMM_30Yr"/>
    <s v="CELLO"/>
    <x v="1"/>
    <s v="MTG"/>
    <x v="380"/>
    <n v="2.3963402358760302"/>
  </r>
  <r>
    <s v="FN_CMM_30Yr"/>
    <s v="CELLO"/>
    <x v="1"/>
    <s v="MTG"/>
    <x v="381"/>
    <n v="2.3497707860559398"/>
  </r>
  <r>
    <s v="FN_CMM_30Yr"/>
    <s v="CELLO"/>
    <x v="1"/>
    <s v="MTG"/>
    <x v="382"/>
    <n v="2.3452158200023101"/>
  </r>
  <r>
    <s v="FN_CMM_30Yr"/>
    <s v="CELLO"/>
    <x v="1"/>
    <s v="MTG"/>
    <x v="383"/>
    <n v="2.3842872829241002"/>
  </r>
  <r>
    <s v="FN_CMM_30Yr"/>
    <s v="CELLO"/>
    <x v="1"/>
    <s v="MTG"/>
    <x v="384"/>
    <n v="2.4473125668689599"/>
  </r>
  <r>
    <s v="FN_CMM_30Yr"/>
    <s v="CELLO"/>
    <x v="1"/>
    <s v="MTG"/>
    <x v="385"/>
    <n v="2.44286053650336"/>
  </r>
  <r>
    <s v="FN_CMM_30Yr"/>
    <s v="CELLO"/>
    <x v="1"/>
    <s v="MTG"/>
    <x v="386"/>
    <n v="2.4759496030778601"/>
  </r>
  <r>
    <s v="FN_CMM_30Yr"/>
    <s v="CELLO"/>
    <x v="1"/>
    <s v="MTG"/>
    <x v="387"/>
    <n v="2.44524956278855"/>
  </r>
  <r>
    <s v="FN_CMM_30Yr"/>
    <s v="CELLO"/>
    <x v="1"/>
    <s v="MTG"/>
    <x v="388"/>
    <n v="2.45404364191142"/>
  </r>
  <r>
    <s v="FN_CMM_30Yr"/>
    <s v="CELLO"/>
    <x v="1"/>
    <s v="MTG"/>
    <x v="389"/>
    <n v="2.45470500500842"/>
  </r>
  <r>
    <s v="FN_CMM_30Yr"/>
    <s v="CELLO"/>
    <x v="1"/>
    <s v="MTG"/>
    <x v="390"/>
    <n v="2.4705200282403998"/>
  </r>
  <r>
    <s v="FN_CMM_30Yr"/>
    <s v="CELLO"/>
    <x v="1"/>
    <s v="MTG"/>
    <x v="391"/>
    <n v="2.4677434570547199"/>
  </r>
  <r>
    <s v="FN_CMM_30Yr"/>
    <s v="CELLO"/>
    <x v="1"/>
    <s v="MTG"/>
    <x v="392"/>
    <n v="2.4472298243210799"/>
  </r>
  <r>
    <s v="FN_CMM_30Yr"/>
    <s v="CELLO"/>
    <x v="1"/>
    <s v="MTG"/>
    <x v="393"/>
    <n v="2.4229898766104698"/>
  </r>
  <r>
    <s v="FN_CMM_30Yr"/>
    <s v="CELLO"/>
    <x v="1"/>
    <s v="MTG"/>
    <x v="394"/>
    <n v="2.35417709036851"/>
  </r>
  <r>
    <s v="FN_CMM_30Yr"/>
    <s v="CELLO"/>
    <x v="1"/>
    <s v="MTG"/>
    <x v="395"/>
    <n v="2.3204598577200901"/>
  </r>
  <r>
    <s v="FN_CMM_30Yr"/>
    <s v="CELLO"/>
    <x v="1"/>
    <s v="MTG"/>
    <x v="396"/>
    <n v="2.3036095465699198"/>
  </r>
  <r>
    <s v="FN_CMM_30Yr"/>
    <s v="CELLO"/>
    <x v="1"/>
    <s v="MTG"/>
    <x v="397"/>
    <n v="2.3175565245512799"/>
  </r>
  <r>
    <s v="FN_CMM_30Yr"/>
    <s v="CELLO"/>
    <x v="1"/>
    <s v="MTG"/>
    <x v="398"/>
    <n v="2.3157936267169901"/>
  </r>
  <r>
    <s v="FN_CMM_30Yr"/>
    <s v="CELLO"/>
    <x v="1"/>
    <s v="MTG"/>
    <x v="399"/>
    <n v="2.3450247275103502"/>
  </r>
  <r>
    <s v="FN_CMM_30Yr"/>
    <s v="CELLO"/>
    <x v="1"/>
    <s v="MTG"/>
    <x v="400"/>
    <n v="2.3593230360377899"/>
  </r>
  <r>
    <s v="FN_CMM_30Yr"/>
    <s v="CELLO"/>
    <x v="1"/>
    <s v="MTG"/>
    <x v="401"/>
    <n v="2.4007367882510802"/>
  </r>
  <r>
    <s v="FN_CMM_30Yr"/>
    <s v="CELLO"/>
    <x v="1"/>
    <s v="MTG"/>
    <x v="402"/>
    <n v="2.4230964984502701"/>
  </r>
  <r>
    <s v="FN_CMM_30Yr"/>
    <s v="CELLO"/>
    <x v="1"/>
    <s v="MTG"/>
    <x v="403"/>
    <n v="2.4425561319038702"/>
  </r>
  <r>
    <s v="FN_CMM_30Yr"/>
    <s v="CELLO"/>
    <x v="1"/>
    <s v="MTG"/>
    <x v="404"/>
    <n v="2.4494735846374298"/>
  </r>
  <r>
    <s v="FN_CMM_30Yr"/>
    <s v="CELLO"/>
    <x v="1"/>
    <s v="MTG"/>
    <x v="405"/>
    <n v="2.4735241202306701"/>
  </r>
  <r>
    <s v="FN_CMM_30Yr"/>
    <s v="CELLO"/>
    <x v="1"/>
    <s v="MTG"/>
    <x v="406"/>
    <n v="2.49089475229058"/>
  </r>
  <r>
    <s v="FN_CMM_30Yr"/>
    <s v="CELLO"/>
    <x v="1"/>
    <s v="MTG"/>
    <x v="407"/>
    <n v="2.4566708605099099"/>
  </r>
  <r>
    <s v="FN_CMM_30Yr"/>
    <s v="CELLO"/>
    <x v="1"/>
    <s v="MTG"/>
    <x v="408"/>
    <n v="2.5031538447013899"/>
  </r>
  <r>
    <s v="FN_CMM_30Yr"/>
    <s v="CELLO"/>
    <x v="1"/>
    <s v="MTG"/>
    <x v="409"/>
    <n v="2.48665049817154"/>
  </r>
  <r>
    <s v="FN_CMM_30Yr"/>
    <s v="CELLO"/>
    <x v="1"/>
    <s v="MTG"/>
    <x v="410"/>
    <n v="2.46551867128733"/>
  </r>
  <r>
    <s v="FN_CMM_30Yr"/>
    <s v="CELLO"/>
    <x v="1"/>
    <s v="MTG"/>
    <x v="411"/>
    <n v="2.4639577006004401"/>
  </r>
  <r>
    <s v="FN_CMM_30Yr"/>
    <s v="CELLO"/>
    <x v="1"/>
    <s v="MTG"/>
    <x v="412"/>
    <n v="2.45827138639036"/>
  </r>
  <r>
    <s v="FN_CMM_30Yr"/>
    <s v="CELLO"/>
    <x v="1"/>
    <s v="MTG"/>
    <x v="413"/>
    <n v="2.4486777045586599"/>
  </r>
  <r>
    <s v="FN_CMM_30Yr"/>
    <s v="CELLO"/>
    <x v="1"/>
    <s v="MTG"/>
    <x v="414"/>
    <n v="2.46526496945889"/>
  </r>
  <r>
    <s v="FN_CMM_30Yr"/>
    <s v="CELLO"/>
    <x v="1"/>
    <s v="MTG"/>
    <x v="415"/>
    <n v="2.4661306434007502"/>
  </r>
  <r>
    <s v="FN_CMM_30Yr"/>
    <s v="CELLO"/>
    <x v="1"/>
    <s v="MTG"/>
    <x v="416"/>
    <n v="2.4860574973773799"/>
  </r>
  <r>
    <s v="FN_CMM_30Yr"/>
    <s v="CELLO"/>
    <x v="1"/>
    <s v="MTG"/>
    <x v="417"/>
    <n v="2.5299104688545802"/>
  </r>
  <r>
    <s v="FN_CMM_30Yr"/>
    <s v="CELLO"/>
    <x v="1"/>
    <s v="MTG"/>
    <x v="418"/>
    <n v="2.53316437266355"/>
  </r>
  <r>
    <s v="FN_CMM_30Yr"/>
    <s v="CELLO"/>
    <x v="1"/>
    <s v="MTG"/>
    <x v="419"/>
    <n v="2.5336094696522"/>
  </r>
  <r>
    <s v="FN_CMM_30Yr"/>
    <s v="CELLO"/>
    <x v="1"/>
    <s v="MTG"/>
    <x v="420"/>
    <n v="2.5296440225789101"/>
  </r>
  <r>
    <s v="FN_CMM_30Yr"/>
    <s v="CELLO"/>
    <x v="1"/>
    <s v="MTG"/>
    <x v="421"/>
    <n v="2.52426864553397"/>
  </r>
  <r>
    <s v="FN_CMM_30Yr"/>
    <s v="CELLO"/>
    <x v="1"/>
    <s v="MTG"/>
    <x v="422"/>
    <n v="2.53251832650023"/>
  </r>
  <r>
    <s v="FN_CMM_30Yr"/>
    <s v="CELLO"/>
    <x v="1"/>
    <s v="MTG"/>
    <x v="423"/>
    <n v="2.5169810735830902"/>
  </r>
  <r>
    <s v="FN_CMM_30Yr"/>
    <s v="CELLO"/>
    <x v="1"/>
    <s v="MTG"/>
    <x v="424"/>
    <n v="2.5437510721177499"/>
  </r>
  <r>
    <s v="FN_CMM_30Yr"/>
    <s v="CELLO"/>
    <x v="1"/>
    <s v="MTG"/>
    <x v="425"/>
    <n v="2.5815492501069399"/>
  </r>
  <r>
    <s v="FN_CMM_30Yr"/>
    <s v="CELLO"/>
    <x v="1"/>
    <s v="MTG"/>
    <x v="426"/>
    <n v="2.7578334689679198"/>
  </r>
  <r>
    <s v="FN_CMM_30Yr"/>
    <s v="CELLO"/>
    <x v="1"/>
    <s v="MTG"/>
    <x v="427"/>
    <n v="2.8203429128505602"/>
  </r>
  <r>
    <s v="FN_CMM_30Yr"/>
    <s v="CELLO"/>
    <x v="1"/>
    <s v="MTG"/>
    <x v="428"/>
    <n v="2.9518507510638798"/>
  </r>
  <r>
    <s v="FN_CMM_30Yr"/>
    <s v="CELLO"/>
    <x v="1"/>
    <s v="MTG"/>
    <x v="429"/>
    <n v="2.938815281358"/>
  </r>
  <r>
    <s v="FN_CMM_30Yr"/>
    <s v="CELLO"/>
    <x v="1"/>
    <s v="MTG"/>
    <x v="430"/>
    <n v="2.9180541697648699"/>
  </r>
  <r>
    <s v="FN_CMM_30Yr"/>
    <s v="CELLO"/>
    <x v="1"/>
    <s v="MTG"/>
    <x v="431"/>
    <n v="2.9579353811966902"/>
  </r>
  <r>
    <s v="FN_CMM_30Yr"/>
    <s v="CELLO"/>
    <x v="1"/>
    <s v="MTG"/>
    <x v="432"/>
    <n v="3.03169131774919"/>
  </r>
  <r>
    <s v="FN_CMM_30Yr"/>
    <s v="CELLO"/>
    <x v="1"/>
    <s v="MTG"/>
    <x v="433"/>
    <n v="3.0422928996340901"/>
  </r>
  <r>
    <s v="FN_CMM_30Yr"/>
    <s v="CELLO"/>
    <x v="1"/>
    <s v="MTG"/>
    <x v="434"/>
    <n v="3.0253759468796799"/>
  </r>
  <r>
    <s v="FN_CMM_30Yr"/>
    <s v="CELLO"/>
    <x v="1"/>
    <s v="MTG"/>
    <x v="435"/>
    <n v="3.0811413392722198"/>
  </r>
  <r>
    <s v="FN_CMM_30Yr"/>
    <s v="CELLO"/>
    <x v="1"/>
    <s v="MTG"/>
    <x v="436"/>
    <n v="3.1125235634348298"/>
  </r>
  <r>
    <s v="FN_CMM_30Yr"/>
    <s v="CELLO"/>
    <x v="1"/>
    <s v="MTG"/>
    <x v="437"/>
    <n v="3.0232721749517699"/>
  </r>
  <r>
    <s v="FN_CMM_30Yr"/>
    <s v="CELLO"/>
    <x v="1"/>
    <s v="MTG"/>
    <x v="438"/>
    <n v="3.0032104294376101"/>
  </r>
  <r>
    <s v="FN_CMM_30Yr"/>
    <s v="CELLO"/>
    <x v="1"/>
    <s v="MTG"/>
    <x v="439"/>
    <n v="3.0600031389564002"/>
  </r>
  <r>
    <s v="FN_CMM_30Yr"/>
    <s v="CELLO"/>
    <x v="1"/>
    <s v="MTG"/>
    <x v="440"/>
    <n v="3.13599610528588"/>
  </r>
  <r>
    <s v="FN_CMM_30Yr"/>
    <s v="CELLO"/>
    <x v="1"/>
    <s v="MTG"/>
    <x v="441"/>
    <n v="3.0833533421517099"/>
  </r>
  <r>
    <s v="FN_CMM_30Yr"/>
    <s v="CELLO"/>
    <x v="1"/>
    <s v="MTG"/>
    <x v="442"/>
    <n v="3.0836284241838401"/>
  </r>
  <r>
    <s v="FN_CMM_30Yr"/>
    <s v="CELLO"/>
    <x v="1"/>
    <s v="MTG"/>
    <x v="443"/>
    <n v="3.0839441300707402"/>
  </r>
  <r>
    <s v="FN_CMM_30Yr"/>
    <s v="CELLO"/>
    <x v="1"/>
    <s v="MTG"/>
    <x v="444"/>
    <n v="3.0288108885972802"/>
  </r>
  <r>
    <s v="FN_CMM_30Yr"/>
    <s v="CELLO"/>
    <x v="1"/>
    <s v="MTG"/>
    <x v="445"/>
    <n v="3.05722705621156"/>
  </r>
  <r>
    <s v="FN_CMM_30Yr"/>
    <s v="CELLO"/>
    <x v="1"/>
    <s v="MTG"/>
    <x v="446"/>
    <n v="3.1428652362036398"/>
  </r>
  <r>
    <s v="FN_CMM_30Yr"/>
    <s v="CELLO"/>
    <x v="1"/>
    <s v="MTG"/>
    <x v="447"/>
    <n v="3.1502344995912401"/>
  </r>
  <r>
    <s v="FN_CMM_30Yr"/>
    <s v="CELLO"/>
    <x v="1"/>
    <s v="MTG"/>
    <x v="448"/>
    <n v="3.1621575354435998"/>
  </r>
  <r>
    <s v="FN_CMM_30Yr"/>
    <s v="CELLO"/>
    <x v="1"/>
    <s v="MTG"/>
    <x v="449"/>
    <n v="3.2178280594971298"/>
  </r>
  <r>
    <s v="FN_CMM_30Yr"/>
    <s v="CELLO"/>
    <x v="1"/>
    <s v="MTG"/>
    <x v="450"/>
    <n v="3.3050524395001402"/>
  </r>
  <r>
    <s v="FN_CMM_30Yr"/>
    <s v="CELLO"/>
    <x v="1"/>
    <s v="MTG"/>
    <x v="451"/>
    <n v="3.3305211408689099"/>
  </r>
  <r>
    <s v="FN_CMM_30Yr"/>
    <s v="CELLO"/>
    <x v="1"/>
    <s v="MTG"/>
    <x v="452"/>
    <n v="3.2735630913423499"/>
  </r>
  <r>
    <s v="FN_CMM_30Yr"/>
    <s v="CELLO"/>
    <x v="1"/>
    <s v="MTG"/>
    <x v="453"/>
    <n v="3.2884025896165299"/>
  </r>
  <r>
    <s v="FN_CMM_30Yr"/>
    <s v="CELLO"/>
    <x v="1"/>
    <s v="MTG"/>
    <x v="454"/>
    <n v="3.25892031354691"/>
  </r>
  <r>
    <s v="FN_CMM_30Yr"/>
    <s v="CELLO"/>
    <x v="1"/>
    <s v="MTG"/>
    <x v="455"/>
    <n v="3.2544954518988001"/>
  </r>
  <r>
    <s v="FN_CMM_30Yr"/>
    <s v="CELLO"/>
    <x v="1"/>
    <s v="MTG"/>
    <x v="456"/>
    <n v="3.25541429686829"/>
  </r>
  <r>
    <s v="FN_CMM_30Yr"/>
    <s v="CELLO"/>
    <x v="1"/>
    <s v="MTG"/>
    <x v="457"/>
    <n v="3.2725828232051102"/>
  </r>
  <r>
    <s v="FN_CMM_30Yr"/>
    <s v="CELLO"/>
    <x v="1"/>
    <s v="MTG"/>
    <x v="458"/>
    <n v="3.2082776514321698"/>
  </r>
  <r>
    <s v="FN_CMM_30Yr"/>
    <s v="CELLO"/>
    <x v="1"/>
    <s v="MTG"/>
    <x v="459"/>
    <n v="3.1554338932112498"/>
  </r>
  <r>
    <s v="FN_CMM_30Yr"/>
    <s v="CELLO"/>
    <x v="1"/>
    <s v="MTG"/>
    <x v="460"/>
    <n v="3.0949306211781802"/>
  </r>
  <r>
    <s v="FN_CMM_30Yr"/>
    <s v="CELLO"/>
    <x v="1"/>
    <s v="MTG"/>
    <x v="461"/>
    <n v="3.1214715085485301"/>
  </r>
  <r>
    <s v="FN_CMM_30Yr"/>
    <s v="CELLO"/>
    <x v="1"/>
    <s v="MTG"/>
    <x v="462"/>
    <n v="3.1384996351244299"/>
  </r>
  <r>
    <s v="FN_CMM_30Yr"/>
    <s v="CELLO"/>
    <x v="1"/>
    <s v="MTG"/>
    <x v="463"/>
    <n v="3.0451114987111199"/>
  </r>
  <r>
    <s v="FN_CMM_30Yr"/>
    <s v="CELLO"/>
    <x v="1"/>
    <s v="MTG"/>
    <x v="464"/>
    <n v="3.1031472109984501"/>
  </r>
  <r>
    <s v="FN_CMM_30Yr"/>
    <s v="CELLO"/>
    <x v="1"/>
    <s v="MTG"/>
    <x v="465"/>
    <n v="3.0761940067362201"/>
  </r>
  <r>
    <s v="FN_CMM_30Yr"/>
    <s v="CELLO"/>
    <x v="1"/>
    <s v="MTG"/>
    <x v="466"/>
    <n v="3.0731891921219798"/>
  </r>
  <r>
    <s v="FN_CMM_30Yr"/>
    <s v="CELLO"/>
    <x v="1"/>
    <s v="MTG"/>
    <x v="467"/>
    <n v="3.05308577181211"/>
  </r>
  <r>
    <s v="FN_CMM_30Yr"/>
    <s v="CELLO"/>
    <x v="1"/>
    <s v="MTG"/>
    <x v="468"/>
    <n v="3.0490468852483001"/>
  </r>
  <r>
    <s v="FN_CMM_30Yr"/>
    <s v="CELLO"/>
    <x v="1"/>
    <s v="MTG"/>
    <x v="469"/>
    <n v="3.0821770129948698"/>
  </r>
  <r>
    <s v="FN_CMM_30Yr"/>
    <s v="CELLO"/>
    <x v="1"/>
    <s v="MTG"/>
    <x v="470"/>
    <n v="3.03783768226076"/>
  </r>
  <r>
    <s v="FN_CMM_30Yr"/>
    <s v="CELLO"/>
    <x v="1"/>
    <s v="MTG"/>
    <x v="471"/>
    <n v="3.1230464878989399"/>
  </r>
  <r>
    <s v="FN_CMM_30Yr"/>
    <s v="CELLO"/>
    <x v="1"/>
    <s v="MTG"/>
    <x v="472"/>
    <n v="3.1861069346241799"/>
  </r>
  <r>
    <s v="FN_CMM_30Yr"/>
    <s v="CELLO"/>
    <x v="1"/>
    <s v="MTG"/>
    <x v="473"/>
    <n v="3.1835668268230601"/>
  </r>
  <r>
    <s v="FN_CMM_30Yr"/>
    <s v="CELLO"/>
    <x v="1"/>
    <s v="MTG"/>
    <x v="474"/>
    <n v="3.11336724887106"/>
  </r>
  <r>
    <s v="FN_CMM_30Yr"/>
    <s v="CELLO"/>
    <x v="1"/>
    <s v="MTG"/>
    <x v="475"/>
    <n v="3.1829132943818701"/>
  </r>
  <r>
    <s v="FN_CMM_30Yr"/>
    <s v="CELLO"/>
    <x v="1"/>
    <s v="MTG"/>
    <x v="476"/>
    <n v="3.2322949335607598"/>
  </r>
  <r>
    <s v="FN_CMM_30Yr"/>
    <s v="CELLO"/>
    <x v="1"/>
    <s v="MTG"/>
    <x v="477"/>
    <n v="3.2180488774769902"/>
  </r>
  <r>
    <s v="FN_CMM_30Yr"/>
    <s v="CELLO"/>
    <x v="1"/>
    <s v="MTG"/>
    <x v="478"/>
    <n v="3.19076268089509"/>
  </r>
  <r>
    <s v="FN_CMM_30Yr"/>
    <s v="CELLO"/>
    <x v="1"/>
    <s v="MTG"/>
    <x v="479"/>
    <n v="3.1841018118348199"/>
  </r>
  <r>
    <s v="FN_CMM_30Yr"/>
    <s v="CELLO"/>
    <x v="1"/>
    <s v="MTG"/>
    <x v="480"/>
    <n v="3.1648459578607699"/>
  </r>
  <r>
    <s v="FN_CMM_30Yr"/>
    <s v="CELLO"/>
    <x v="1"/>
    <s v="MTG"/>
    <x v="481"/>
    <n v="3.18917499104727"/>
  </r>
  <r>
    <s v="FN_CMM_30Yr"/>
    <s v="CELLO"/>
    <x v="1"/>
    <s v="MTG"/>
    <x v="482"/>
    <n v="3.1752248472544302"/>
  </r>
  <r>
    <s v="FN_CMM_30Yr"/>
    <s v="CELLO"/>
    <x v="1"/>
    <s v="MTG"/>
    <x v="483"/>
    <n v="3.1937009048335998"/>
  </r>
  <r>
    <s v="FN_CMM_30Yr"/>
    <s v="CELLO"/>
    <x v="1"/>
    <s v="MTG"/>
    <x v="484"/>
    <n v="3.12563821963785"/>
  </r>
  <r>
    <s v="FN_CMM_30Yr"/>
    <s v="CELLO"/>
    <x v="1"/>
    <s v="MTG"/>
    <x v="485"/>
    <n v="3.11144834473152"/>
  </r>
  <r>
    <s v="FN_CMM_30Yr"/>
    <s v="CELLO"/>
    <x v="1"/>
    <s v="MTG"/>
    <x v="486"/>
    <n v="3.06145355695508"/>
  </r>
  <r>
    <s v="FN_CMM_30Yr"/>
    <s v="CELLO"/>
    <x v="1"/>
    <s v="MTG"/>
    <x v="644"/>
    <n v="3.1159737913786199"/>
  </r>
  <r>
    <s v="FN_CMM_30Yr"/>
    <s v="CELLO"/>
    <x v="1"/>
    <s v="MTG"/>
    <x v="487"/>
    <n v="3.1266954027246601"/>
  </r>
  <r>
    <s v="FN_CMM_30Yr"/>
    <s v="CELLO"/>
    <x v="1"/>
    <s v="MTG"/>
    <x v="488"/>
    <n v="3.14587454818964"/>
  </r>
  <r>
    <s v="FN_CMM_30Yr"/>
    <s v="CELLO"/>
    <x v="1"/>
    <s v="MTG"/>
    <x v="489"/>
    <n v="3.1762657063573001"/>
  </r>
  <r>
    <s v="FN_CMM_30Yr"/>
    <s v="CELLO"/>
    <x v="1"/>
    <s v="MTG"/>
    <x v="490"/>
    <n v="3.2164698384240098"/>
  </r>
  <r>
    <s v="FN_CMM_30Yr"/>
    <s v="CELLO"/>
    <x v="1"/>
    <s v="MTG"/>
    <x v="491"/>
    <n v="3.1651345268873601"/>
  </r>
  <r>
    <s v="FN_CMM_30Yr"/>
    <s v="CELLO"/>
    <x v="1"/>
    <s v="MTG"/>
    <x v="492"/>
    <n v="3.1413763100515402"/>
  </r>
  <r>
    <s v="FN_CMM_30Yr"/>
    <s v="CELLO"/>
    <x v="1"/>
    <s v="MTG"/>
    <x v="493"/>
    <n v="3.15611019744426"/>
  </r>
  <r>
    <s v="FN_CMM_30Yr"/>
    <s v="CELLO"/>
    <x v="1"/>
    <s v="MTG"/>
    <x v="494"/>
    <n v="3.1530775330962602"/>
  </r>
  <r>
    <s v="FN_CMM_30Yr"/>
    <s v="CELLO"/>
    <x v="1"/>
    <s v="MTG"/>
    <x v="495"/>
    <n v="3.1200244614852002"/>
  </r>
  <r>
    <s v="FN_CMM_30Yr"/>
    <s v="CELLO"/>
    <x v="1"/>
    <s v="MTG"/>
    <x v="496"/>
    <n v="3.0479406911303002"/>
  </r>
  <r>
    <s v="FN_CMM_30Yr"/>
    <s v="CELLO"/>
    <x v="1"/>
    <s v="MTG"/>
    <x v="497"/>
    <n v="3.1104332506902499"/>
  </r>
  <r>
    <s v="FN_CMM_30Yr"/>
    <s v="CELLO"/>
    <x v="1"/>
    <s v="MTG"/>
    <x v="498"/>
    <n v="3.10342915438406"/>
  </r>
  <r>
    <s v="FN_CMM_30Yr"/>
    <s v="CELLO"/>
    <x v="1"/>
    <s v="MTG"/>
    <x v="499"/>
    <n v="3.20642025134075"/>
  </r>
  <r>
    <s v="FN_CMM_30Yr"/>
    <s v="CELLO"/>
    <x v="1"/>
    <s v="MTG"/>
    <x v="500"/>
    <n v="3.2342757341067498"/>
  </r>
  <r>
    <s v="FN_CMM_30Yr"/>
    <s v="CELLO"/>
    <x v="1"/>
    <s v="MTG"/>
    <x v="501"/>
    <n v="3.2320225363083699"/>
  </r>
  <r>
    <s v="FN_CMM_30Yr"/>
    <s v="CELLO"/>
    <x v="1"/>
    <s v="MTG"/>
    <x v="502"/>
    <n v="3.22523463201723"/>
  </r>
  <r>
    <s v="FN_CMM_30Yr"/>
    <s v="CELLO"/>
    <x v="1"/>
    <s v="MTG"/>
    <x v="503"/>
    <n v="3.2431556019799901"/>
  </r>
  <r>
    <s v="FN_CMM_30Yr"/>
    <s v="CELLO"/>
    <x v="1"/>
    <s v="MTG"/>
    <x v="504"/>
    <n v="3.2819752362601502"/>
  </r>
  <r>
    <s v="FN_CMM_30Yr"/>
    <s v="CELLO"/>
    <x v="1"/>
    <s v="MTG"/>
    <x v="505"/>
    <n v="3.3406216672638802"/>
  </r>
  <r>
    <s v="FN_CMM_30Yr"/>
    <s v="CELLO"/>
    <x v="1"/>
    <s v="MTG"/>
    <x v="506"/>
    <n v="3.3206925533128699"/>
  </r>
  <r>
    <s v="FN_CMM_30Yr"/>
    <s v="CELLO"/>
    <x v="1"/>
    <s v="MTG"/>
    <x v="507"/>
    <n v="3.35448233982074"/>
  </r>
  <r>
    <s v="FN_CMM_30Yr"/>
    <s v="CELLO"/>
    <x v="1"/>
    <s v="MTG"/>
    <x v="508"/>
    <n v="3.3507469979464899"/>
  </r>
  <r>
    <s v="FN_CMM_30Yr"/>
    <s v="CELLO"/>
    <x v="1"/>
    <s v="MTG"/>
    <x v="509"/>
    <n v="3.2454530703247602"/>
  </r>
  <r>
    <s v="FN_CMM_30Yr"/>
    <s v="CELLO"/>
    <x v="1"/>
    <s v="MTG"/>
    <x v="510"/>
    <n v="3.2604043069453401"/>
  </r>
  <r>
    <s v="FN_CMM_30Yr"/>
    <s v="CELLO"/>
    <x v="1"/>
    <s v="MTG"/>
    <x v="511"/>
    <n v="3.2371023816739601"/>
  </r>
  <r>
    <s v="FN_CMM_30Yr"/>
    <s v="CELLO"/>
    <x v="1"/>
    <s v="MTG"/>
    <x v="512"/>
    <n v="3.2160937594911698"/>
  </r>
  <r>
    <s v="FN_CMM_30Yr"/>
    <s v="CELLO"/>
    <x v="1"/>
    <s v="MTG"/>
    <x v="513"/>
    <n v="3.1691629122543801"/>
  </r>
  <r>
    <s v="FN_CMM_30Yr"/>
    <s v="CELLO"/>
    <x v="1"/>
    <s v="MTG"/>
    <x v="514"/>
    <n v="3.13601308669194"/>
  </r>
  <r>
    <s v="FN_CMM_30Yr"/>
    <s v="CELLO"/>
    <x v="1"/>
    <s v="MTG"/>
    <x v="515"/>
    <n v="3.16228142903738"/>
  </r>
  <r>
    <s v="FN_CMM_30Yr"/>
    <s v="CELLO"/>
    <x v="1"/>
    <s v="MTG"/>
    <x v="516"/>
    <n v="3.1557690807885401"/>
  </r>
  <r>
    <s v="FN_CMM_30Yr"/>
    <s v="CELLO"/>
    <x v="1"/>
    <s v="MTG"/>
    <x v="517"/>
    <n v="3.12573819371962"/>
  </r>
  <r>
    <s v="FN_CMM_30Yr"/>
    <s v="CELLO"/>
    <x v="1"/>
    <s v="MTG"/>
    <x v="518"/>
    <n v="3.17921056091257"/>
  </r>
  <r>
    <s v="FN_CMM_30Yr"/>
    <s v="CELLO"/>
    <x v="1"/>
    <s v="MTG"/>
    <x v="519"/>
    <n v="3.14154244535563"/>
  </r>
  <r>
    <s v="FN_CMM_30Yr"/>
    <s v="CELLO"/>
    <x v="1"/>
    <s v="MTG"/>
    <x v="520"/>
    <n v="3.1654132061037701"/>
  </r>
  <r>
    <s v="FN_CMM_30Yr"/>
    <s v="CELLO"/>
    <x v="1"/>
    <s v="MTG"/>
    <x v="521"/>
    <n v="3.1464660335213801"/>
  </r>
  <r>
    <s v="FN_CMM_30Yr"/>
    <s v="CELLO"/>
    <x v="1"/>
    <s v="MTG"/>
    <x v="522"/>
    <n v="3.0927700686783002"/>
  </r>
  <r>
    <s v="FN_CMM_30Yr"/>
    <s v="CELLO"/>
    <x v="1"/>
    <s v="MTG"/>
    <x v="523"/>
    <n v="3.0853787320257"/>
  </r>
  <r>
    <s v="FN_CMM_30Yr"/>
    <s v="CELLO"/>
    <x v="1"/>
    <s v="MTG"/>
    <x v="524"/>
    <n v="3.0998224631634499"/>
  </r>
  <r>
    <s v="FN_CMM_30Yr"/>
    <s v="CELLO"/>
    <x v="1"/>
    <s v="MTG"/>
    <x v="525"/>
    <n v="3.0807227057386499"/>
  </r>
  <r>
    <s v="FN_CMM_30Yr"/>
    <s v="CELLO"/>
    <x v="1"/>
    <s v="MTG"/>
    <x v="526"/>
    <n v="3.1209189236978601"/>
  </r>
  <r>
    <s v="FN_CMM_30Yr"/>
    <s v="CELLO"/>
    <x v="1"/>
    <s v="MTG"/>
    <x v="527"/>
    <n v="3.1141964081853302"/>
  </r>
  <r>
    <s v="FN_CMM_30Yr"/>
    <s v="CELLO"/>
    <x v="1"/>
    <s v="MTG"/>
    <x v="528"/>
    <n v="3.0374940248305098"/>
  </r>
  <r>
    <s v="FN_CMM_30Yr"/>
    <s v="CELLO"/>
    <x v="1"/>
    <s v="MTG"/>
    <x v="529"/>
    <n v="3.0385942417440401"/>
  </r>
  <r>
    <s v="FN_CMM_30Yr"/>
    <s v="CELLO"/>
    <x v="1"/>
    <s v="MTG"/>
    <x v="530"/>
    <n v="2.9754212603526402"/>
  </r>
  <r>
    <s v="FN_CMM_30Yr"/>
    <s v="CELLO"/>
    <x v="1"/>
    <s v="MTG"/>
    <x v="531"/>
    <n v="2.98409934955184"/>
  </r>
  <r>
    <s v="FN_CMM_30Yr"/>
    <s v="CELLO"/>
    <x v="1"/>
    <s v="MTG"/>
    <x v="532"/>
    <n v="2.9250473100689098"/>
  </r>
  <r>
    <s v="FN_CMM_30Yr"/>
    <s v="CELLO"/>
    <x v="1"/>
    <s v="MTG"/>
    <x v="533"/>
    <n v="2.9490872231359599"/>
  </r>
  <r>
    <s v="FN_CMM_30Yr"/>
    <s v="CELLO"/>
    <x v="1"/>
    <s v="MTG"/>
    <x v="534"/>
    <n v="2.98817605273842"/>
  </r>
  <r>
    <s v="FN_CMM_30Yr"/>
    <s v="CELLO"/>
    <x v="1"/>
    <s v="MTG"/>
    <x v="535"/>
    <n v="2.9809859854313698"/>
  </r>
  <r>
    <s v="FN_CMM_30Yr"/>
    <s v="CELLO"/>
    <x v="1"/>
    <s v="MTG"/>
    <x v="536"/>
    <n v="3.0169909715329202"/>
  </r>
  <r>
    <s v="FN_CMM_30Yr"/>
    <s v="CELLO"/>
    <x v="1"/>
    <s v="MTG"/>
    <x v="537"/>
    <n v="3.0874346795919401"/>
  </r>
  <r>
    <s v="FN_CMM_30Yr"/>
    <s v="CELLO"/>
    <x v="1"/>
    <s v="MTG"/>
    <x v="538"/>
    <n v="3.0602135791338601"/>
  </r>
  <r>
    <s v="FN_CMM_30Yr"/>
    <s v="CELLO"/>
    <x v="1"/>
    <s v="MTG"/>
    <x v="539"/>
    <n v="3.0345757133158"/>
  </r>
  <r>
    <s v="FN_CMM_30Yr"/>
    <s v="CELLO"/>
    <x v="1"/>
    <s v="MTG"/>
    <x v="540"/>
    <n v="3.0168102354422901"/>
  </r>
  <r>
    <s v="FN_CMM_30Yr"/>
    <s v="CELLO"/>
    <x v="1"/>
    <s v="MTG"/>
    <x v="541"/>
    <n v="3.0580560556291201"/>
  </r>
  <r>
    <s v="FN_CMM_30Yr"/>
    <s v="CELLO"/>
    <x v="1"/>
    <s v="MTG"/>
    <x v="542"/>
    <n v="3.02195489821497"/>
  </r>
  <r>
    <s v="FN_CMM_30Yr"/>
    <s v="CELLO"/>
    <x v="1"/>
    <s v="MTG"/>
    <x v="543"/>
    <n v="3.04669100104817"/>
  </r>
  <r>
    <s v="FN_CMM_30Yr"/>
    <s v="CELLO"/>
    <x v="1"/>
    <s v="MTG"/>
    <x v="544"/>
    <n v="3.0837456473004301"/>
  </r>
  <r>
    <s v="FN_CMM_30Yr"/>
    <s v="CELLO"/>
    <x v="1"/>
    <s v="MTG"/>
    <x v="545"/>
    <n v="3.07550277889916"/>
  </r>
  <r>
    <s v="FN_CMM_30Yr"/>
    <s v="CELLO"/>
    <x v="1"/>
    <s v="MTG"/>
    <x v="546"/>
    <n v="3.0924935285971999"/>
  </r>
  <r>
    <s v="FN_CMM_30Yr"/>
    <s v="CELLO"/>
    <x v="1"/>
    <s v="MTG"/>
    <x v="645"/>
    <n v="3.1238691664051901"/>
  </r>
  <r>
    <s v="FN_CMM_30Yr"/>
    <s v="CELLO"/>
    <x v="1"/>
    <s v="MTG"/>
    <x v="547"/>
    <n v="3.1370226273665902"/>
  </r>
  <r>
    <s v="FN_CMM_30Yr"/>
    <s v="CELLO"/>
    <x v="1"/>
    <s v="MTG"/>
    <x v="548"/>
    <n v="3.13354455783506"/>
  </r>
  <r>
    <s v="FN_CMM_30Yr"/>
    <s v="CELLO"/>
    <x v="1"/>
    <s v="MTG"/>
    <x v="549"/>
    <n v="3.0503961031254101"/>
  </r>
  <r>
    <s v="FN_CMM_30Yr"/>
    <s v="CELLO"/>
    <x v="1"/>
    <s v="MTG"/>
    <x v="550"/>
    <n v="3.0540256886172599"/>
  </r>
  <r>
    <s v="FN_CMM_30Yr"/>
    <s v="CELLO"/>
    <x v="1"/>
    <s v="MTG"/>
    <x v="551"/>
    <n v="3.0367748690923499"/>
  </r>
  <r>
    <s v="FN_CMM_30Yr"/>
    <s v="CELLO"/>
    <x v="1"/>
    <s v="MTG"/>
    <x v="552"/>
    <n v="2.9255759416218798"/>
  </r>
  <r>
    <s v="FN_CMM_30Yr"/>
    <s v="CELLO"/>
    <x v="1"/>
    <s v="MTG"/>
    <x v="553"/>
    <n v="2.96077919351512"/>
  </r>
  <r>
    <s v="FN_CMM_30Yr"/>
    <s v="CELLO"/>
    <x v="1"/>
    <s v="MTG"/>
    <x v="554"/>
    <n v="2.9772059927121801"/>
  </r>
  <r>
    <s v="FN_CMM_30Yr"/>
    <s v="CELLO"/>
    <x v="1"/>
    <s v="MTG"/>
    <x v="555"/>
    <n v="2.98253297919802"/>
  </r>
  <r>
    <s v="FN_CMM_30Yr"/>
    <s v="CELLO"/>
    <x v="1"/>
    <s v="MTG"/>
    <x v="556"/>
    <n v="3.0058699919752301"/>
  </r>
  <r>
    <s v="FN_CMM_30Yr"/>
    <s v="CELLO"/>
    <x v="1"/>
    <s v="MTG"/>
    <x v="557"/>
    <n v="2.9850094443117499"/>
  </r>
  <r>
    <s v="FN_CMM_30Yr"/>
    <s v="CELLO"/>
    <x v="1"/>
    <s v="MTG"/>
    <x v="558"/>
    <n v="2.9655991684288501"/>
  </r>
  <r>
    <s v="FN_CMM_30Yr"/>
    <s v="CELLO"/>
    <x v="1"/>
    <s v="MTG"/>
    <x v="646"/>
    <n v="2.9675370068735298"/>
  </r>
  <r>
    <s v="FN_CMM_30Yr"/>
    <s v="CELLO"/>
    <x v="1"/>
    <s v="MTG"/>
    <x v="559"/>
    <n v="2.9372545764826601"/>
  </r>
  <r>
    <s v="FN_CMM_30Yr"/>
    <s v="CELLO"/>
    <x v="1"/>
    <s v="MTG"/>
    <x v="560"/>
    <n v="2.9230211048442398"/>
  </r>
  <r>
    <s v="FN_CMM_30Yr"/>
    <s v="CELLO"/>
    <x v="1"/>
    <s v="MTG"/>
    <x v="561"/>
    <n v="2.9488855063004098"/>
  </r>
  <r>
    <s v="FN_CMM_30Yr"/>
    <s v="CELLO"/>
    <x v="1"/>
    <s v="MTG"/>
    <x v="562"/>
    <n v="2.90078451779174"/>
  </r>
  <r>
    <s v="FN_CMM_30Yr"/>
    <s v="CELLO"/>
    <x v="1"/>
    <s v="MTG"/>
    <x v="563"/>
    <n v="2.9134061518930401"/>
  </r>
  <r>
    <s v="FN_CMM_30Yr"/>
    <s v="CELLO"/>
    <x v="1"/>
    <s v="MTG"/>
    <x v="564"/>
    <n v="2.87725867553146"/>
  </r>
  <r>
    <s v="FN_CMM_30Yr"/>
    <s v="CELLO"/>
    <x v="1"/>
    <s v="MTG"/>
    <x v="565"/>
    <n v="2.9007963657703"/>
  </r>
  <r>
    <s v="FN_CMM_30Yr"/>
    <s v="CELLO"/>
    <x v="1"/>
    <s v="MTG"/>
    <x v="566"/>
    <n v="2.90843617288568"/>
  </r>
  <r>
    <s v="FN_CMM_30Yr"/>
    <s v="CELLO"/>
    <x v="1"/>
    <s v="MTG"/>
    <x v="567"/>
    <n v="2.9249537323478201"/>
  </r>
  <r>
    <s v="FN_CMM_30Yr"/>
    <s v="CELLO"/>
    <x v="1"/>
    <s v="MTG"/>
    <x v="568"/>
    <n v="2.94258560480931"/>
  </r>
  <r>
    <s v="FN_CMM_30Yr"/>
    <s v="CELLO"/>
    <x v="1"/>
    <s v="MTG"/>
    <x v="569"/>
    <n v="2.9398654916265299"/>
  </r>
  <r>
    <s v="FN_CMM_30Yr"/>
    <s v="CELLO"/>
    <x v="1"/>
    <s v="MTG"/>
    <x v="570"/>
    <n v="2.8752948215848"/>
  </r>
  <r>
    <s v="FN_CMM_30Yr"/>
    <s v="CELLO"/>
    <x v="1"/>
    <s v="MTG"/>
    <x v="571"/>
    <n v="2.9075667658346598"/>
  </r>
  <r>
    <s v="FN_CMM_30Yr"/>
    <s v="CELLO"/>
    <x v="1"/>
    <s v="MTG"/>
    <x v="572"/>
    <n v="2.8970830344627001"/>
  </r>
  <r>
    <s v="FN_CMM_30Yr"/>
    <s v="CELLO"/>
    <x v="1"/>
    <s v="MTG"/>
    <x v="573"/>
    <n v="2.9229309635649501"/>
  </r>
  <r>
    <s v="FN_CMM_30Yr"/>
    <s v="CELLO"/>
    <x v="1"/>
    <s v="MTG"/>
    <x v="574"/>
    <n v="2.8829829108867799"/>
  </r>
  <r>
    <s v="FN_CMM_30Yr"/>
    <s v="CELLO"/>
    <x v="1"/>
    <s v="MTG"/>
    <x v="575"/>
    <n v="2.8967693275214801"/>
  </r>
  <r>
    <s v="FN_CMM_30Yr"/>
    <s v="CELLO"/>
    <x v="1"/>
    <s v="MTG"/>
    <x v="576"/>
    <n v="2.89502511307504"/>
  </r>
  <r>
    <s v="FN_CMM_30Yr"/>
    <s v="CELLO"/>
    <x v="1"/>
    <s v="MTG"/>
    <x v="577"/>
    <n v="2.8885893355353098"/>
  </r>
  <r>
    <s v="FN_CMM_30Yr"/>
    <s v="CELLO"/>
    <x v="1"/>
    <s v="MTG"/>
    <x v="578"/>
    <n v="2.8786176823455198"/>
  </r>
  <r>
    <s v="FN_CMM_30Yr"/>
    <s v="CELLO"/>
    <x v="1"/>
    <s v="MTG"/>
    <x v="579"/>
    <n v="2.9305936844385498"/>
  </r>
  <r>
    <s v="FN_CMM_30Yr"/>
    <s v="CELLO"/>
    <x v="1"/>
    <s v="MTG"/>
    <x v="580"/>
    <n v="2.9404244020871499"/>
  </r>
  <r>
    <s v="FN_CMM_30Yr"/>
    <s v="CELLO"/>
    <x v="1"/>
    <s v="MTG"/>
    <x v="581"/>
    <n v="2.9800880794915101"/>
  </r>
  <r>
    <s v="FN_CMM_30Yr"/>
    <s v="CELLO"/>
    <x v="1"/>
    <s v="MTG"/>
    <x v="582"/>
    <n v="3.0226143981411502"/>
  </r>
  <r>
    <s v="FN_CMM_30Yr"/>
    <s v="CELLO"/>
    <x v="1"/>
    <s v="MTG"/>
    <x v="583"/>
    <n v="3.0738606111301499"/>
  </r>
  <r>
    <s v="FN_CMM_30Yr"/>
    <s v="CELLO"/>
    <x v="1"/>
    <s v="MTG"/>
    <x v="584"/>
    <n v="3.0541997432279802"/>
  </r>
  <r>
    <s v="FN_CMM_30Yr"/>
    <s v="CELLO"/>
    <x v="1"/>
    <s v="MTG"/>
    <x v="647"/>
    <n v="3.0857459402469098"/>
  </r>
  <r>
    <s v="FN_CMM_30Yr"/>
    <s v="CELLO"/>
    <x v="1"/>
    <s v="MTG"/>
    <x v="585"/>
    <n v="3.1061017529399901"/>
  </r>
  <r>
    <s v="FN_CMM_30Yr"/>
    <s v="CELLO"/>
    <x v="1"/>
    <s v="MTG"/>
    <x v="586"/>
    <n v="3.0818663952260299"/>
  </r>
  <r>
    <s v="FN_CMM_30Yr"/>
    <s v="CELLO"/>
    <x v="1"/>
    <s v="MTG"/>
    <x v="587"/>
    <n v="3.0692268892382302"/>
  </r>
  <r>
    <s v="FN_CMM_30Yr"/>
    <s v="CELLO"/>
    <x v="1"/>
    <s v="MTG"/>
    <x v="588"/>
    <n v="3.01403656016261"/>
  </r>
  <r>
    <s v="FN_CMM_30Yr"/>
    <s v="CELLO"/>
    <x v="1"/>
    <s v="MTG"/>
    <x v="589"/>
    <n v="3.0326199882874301"/>
  </r>
  <r>
    <s v="FN_CMM_30Yr"/>
    <s v="CELLO"/>
    <x v="1"/>
    <s v="MTG"/>
    <x v="590"/>
    <n v="3.0158212312193302"/>
  </r>
  <r>
    <s v="FN_CMM_30Yr"/>
    <s v="CELLO"/>
    <x v="1"/>
    <s v="MTG"/>
    <x v="591"/>
    <n v="3.0046032284055402"/>
  </r>
  <r>
    <s v="FN_CMM_30Yr"/>
    <s v="CELLO"/>
    <x v="1"/>
    <s v="MTG"/>
    <x v="592"/>
    <n v="2.97056428337457"/>
  </r>
  <r>
    <s v="FN_CMM_30Yr"/>
    <s v="CELLO"/>
    <x v="1"/>
    <s v="MTG"/>
    <x v="593"/>
    <n v="2.97246415847412"/>
  </r>
  <r>
    <s v="FN_CMM_30Yr"/>
    <s v="CELLO"/>
    <x v="1"/>
    <s v="MTG"/>
    <x v="648"/>
    <n v="2.9731323059338801"/>
  </r>
  <r>
    <s v="FN_CMM_30Yr"/>
    <s v="CELLO"/>
    <x v="1"/>
    <s v="MTG"/>
    <x v="594"/>
    <n v="2.94257511254186"/>
  </r>
  <r>
    <s v="FN_CMM_30Yr"/>
    <s v="CELLO"/>
    <x v="1"/>
    <s v="MTG"/>
    <x v="595"/>
    <n v="2.9539216653401201"/>
  </r>
  <r>
    <s v="FN_CMM_30Yr"/>
    <s v="CELLO"/>
    <x v="1"/>
    <s v="MTG"/>
    <x v="596"/>
    <n v="3.02215443116989"/>
  </r>
  <r>
    <s v="FN_CMM_30Yr"/>
    <s v="CELLO"/>
    <x v="1"/>
    <s v="MTG"/>
    <x v="597"/>
    <n v="2.9701129901318302"/>
  </r>
  <r>
    <s v="FN_CMM_30Yr"/>
    <s v="CELLO"/>
    <x v="1"/>
    <s v="MTG"/>
    <x v="598"/>
    <n v="2.9938270438996102"/>
  </r>
  <r>
    <s v="FN_CMM_30Yr"/>
    <s v="CELLO"/>
    <x v="1"/>
    <s v="MTG"/>
    <x v="599"/>
    <n v="2.9740140733448301"/>
  </r>
  <r>
    <s v="FN_CMM_30Yr"/>
    <s v="CELLO"/>
    <x v="1"/>
    <s v="MTG"/>
    <x v="600"/>
    <n v="2.97637624245715"/>
  </r>
  <r>
    <s v="FN_CMM_30Yr"/>
    <s v="CELLO"/>
    <x v="1"/>
    <s v="MTG"/>
    <x v="601"/>
    <n v="2.9403667589797098"/>
  </r>
  <r>
    <s v="FN_CMM_30Yr"/>
    <s v="CELLO"/>
    <x v="1"/>
    <s v="MTG"/>
    <x v="602"/>
    <n v="2.9478542196080602"/>
  </r>
  <r>
    <s v="FN_CMM_30Yr"/>
    <s v="CELLO"/>
    <x v="1"/>
    <s v="MTG"/>
    <x v="603"/>
    <n v="2.9190280511429001"/>
  </r>
  <r>
    <s v="FN_CMM_30Yr"/>
    <s v="CELLO"/>
    <x v="1"/>
    <s v="MTG"/>
    <x v="604"/>
    <n v="2.9469409436626601"/>
  </r>
  <r>
    <s v="FN_CMM_30Yr"/>
    <s v="CELLO"/>
    <x v="1"/>
    <s v="MTG"/>
    <x v="605"/>
    <n v="2.9337005392138198"/>
  </r>
  <r>
    <s v="FN_CMM_30Yr"/>
    <s v="CELLO"/>
    <x v="1"/>
    <s v="MTG"/>
    <x v="606"/>
    <n v="2.9532777755808302"/>
  </r>
  <r>
    <s v="FN_CMM_30Yr"/>
    <s v="CELLO"/>
    <x v="1"/>
    <s v="MTG"/>
    <x v="607"/>
    <n v="2.9149127266331099"/>
  </r>
  <r>
    <s v="FN_CMM_30Yr"/>
    <s v="CELLO"/>
    <x v="1"/>
    <s v="MTG"/>
    <x v="608"/>
    <n v="2.9057812704780299"/>
  </r>
  <r>
    <s v="FN_CMM_30Yr"/>
    <s v="CELLO"/>
    <x v="1"/>
    <s v="MTG"/>
    <x v="609"/>
    <n v="2.88684387791647"/>
  </r>
  <r>
    <s v="FN_CMM_30Yr"/>
    <s v="CELLO"/>
    <x v="1"/>
    <s v="MTG"/>
    <x v="610"/>
    <n v="2.8989518850804301"/>
  </r>
  <r>
    <s v="FN_CMM_30Yr"/>
    <s v="CELLO"/>
    <x v="1"/>
    <s v="MTG"/>
    <x v="611"/>
    <n v="2.9395075858603499"/>
  </r>
  <r>
    <s v="FN_CMM_30Yr"/>
    <s v="CELLO"/>
    <x v="1"/>
    <s v="MTG"/>
    <x v="612"/>
    <n v="2.9032960694511001"/>
  </r>
  <r>
    <s v="FN_CMM_30Yr"/>
    <s v="CELLO"/>
    <x v="1"/>
    <s v="MTG"/>
    <x v="613"/>
    <n v="2.8788328946045998"/>
  </r>
  <r>
    <s v="FN_CMM_30Yr"/>
    <s v="CELLO"/>
    <x v="1"/>
    <s v="MTG"/>
    <x v="614"/>
    <n v="2.8849159649276999"/>
  </r>
  <r>
    <s v="FN_CMM_30Yr"/>
    <s v="CELLO"/>
    <x v="1"/>
    <s v="MTG"/>
    <x v="649"/>
    <n v="2.8809330766595802"/>
  </r>
  <r>
    <s v="FN_CMM_30Yr"/>
    <s v="CELLO"/>
    <x v="1"/>
    <s v="MTG"/>
    <x v="615"/>
    <n v="2.9039512630900401"/>
  </r>
  <r>
    <s v="FN_CMM_30Yr"/>
    <s v="CELLO"/>
    <x v="1"/>
    <s v="MTG"/>
    <x v="616"/>
    <n v="2.86756430791635"/>
  </r>
  <r>
    <s v="FN_CMM_30Yr"/>
    <s v="CELLO"/>
    <x v="1"/>
    <s v="MTG"/>
    <x v="617"/>
    <n v="2.8814309818514099"/>
  </r>
  <r>
    <s v="FN_CMM_30Yr"/>
    <s v="CELLO"/>
    <x v="1"/>
    <s v="MTG"/>
    <x v="618"/>
    <n v="2.85470701352213"/>
  </r>
  <r>
    <s v="FN_CMM_30Yr"/>
    <s v="CELLO"/>
    <x v="1"/>
    <s v="MTG"/>
    <x v="619"/>
    <n v="2.8455759093588999"/>
  </r>
  <r>
    <s v="FN_CMM_30Yr"/>
    <s v="CELLO"/>
    <x v="1"/>
    <s v="MTG"/>
    <x v="620"/>
    <n v="2.8303497254794401"/>
  </r>
  <r>
    <s v="FN_CMM_30Yr"/>
    <s v="CELLO"/>
    <x v="1"/>
    <s v="MTG"/>
    <x v="621"/>
    <n v="2.8426315316664401"/>
  </r>
  <r>
    <s v="FN_CMM_30Yr"/>
    <s v="CELLO"/>
    <x v="1"/>
    <s v="MTG"/>
    <x v="622"/>
    <n v="2.8177381018146699"/>
  </r>
  <r>
    <s v="FN_CMM_30Yr"/>
    <s v="CELLO"/>
    <x v="1"/>
    <s v="MTG"/>
    <x v="623"/>
    <n v="2.8505659614824999"/>
  </r>
  <r>
    <s v="FN_CMM_30Yr"/>
    <s v="CELLO"/>
    <x v="1"/>
    <s v="MTG"/>
    <x v="624"/>
    <n v="2.7686387386153899"/>
  </r>
  <r>
    <s v="FN_CMM_30Yr"/>
    <s v="CELLO"/>
    <x v="1"/>
    <s v="MTG"/>
    <x v="625"/>
    <n v="2.8132496631977602"/>
  </r>
  <r>
    <s v="FN_CMM_30Yr"/>
    <s v="CELLO"/>
    <x v="1"/>
    <s v="MTG"/>
    <x v="626"/>
    <n v="2.7688521651914"/>
  </r>
  <r>
    <s v="FN_CMM_30Yr"/>
    <s v="CELLO"/>
    <x v="1"/>
    <s v="MTG"/>
    <x v="627"/>
    <n v="2.76958844979265"/>
  </r>
  <r>
    <s v="FN_CMM_30Yr"/>
    <s v="CELLO"/>
    <x v="1"/>
    <s v="MTG"/>
    <x v="628"/>
    <n v="2.8333960473494502"/>
  </r>
  <r>
    <s v="FN_CMM_30Yr"/>
    <s v="CELLO"/>
    <x v="1"/>
    <s v="MTG"/>
    <x v="629"/>
    <n v="2.85764653167635"/>
  </r>
  <r>
    <s v="FN_CMM_30Yr"/>
    <s v="CELLO"/>
    <x v="1"/>
    <s v="MTG"/>
    <x v="630"/>
    <n v="2.8730648948017001"/>
  </r>
  <r>
    <s v="FN_CMM_30Yr"/>
    <s v="CELLO"/>
    <x v="1"/>
    <s v="MTG"/>
    <x v="631"/>
    <n v="2.8751288472692602"/>
  </r>
  <r>
    <s v="FN_CMM_30Yr"/>
    <s v="CELLO"/>
    <x v="1"/>
    <s v="MTG"/>
    <x v="632"/>
    <n v="2.8805932706555302"/>
  </r>
  <r>
    <s v="FN_CMM_30Yr"/>
    <s v="CELLO"/>
    <x v="1"/>
    <s v="MTG"/>
    <x v="633"/>
    <n v="2.9057723964536701"/>
  </r>
  <r>
    <s v="FN_CMM_30Yr"/>
    <s v="CELLO"/>
    <x v="1"/>
    <s v="MTG"/>
    <x v="634"/>
    <n v="2.9043715676588402"/>
  </r>
  <r>
    <s v="FN_CMM_30Yr"/>
    <s v="CELLO"/>
    <x v="1"/>
    <s v="MTG"/>
    <x v="635"/>
    <n v="2.9399523487894101"/>
  </r>
  <r>
    <s v="FN_CMM_30Yr"/>
    <s v="CELLO"/>
    <x v="1"/>
    <s v="MTG"/>
    <x v="636"/>
    <n v="2.93833125966247"/>
  </r>
  <r>
    <s v="FN_CMM_30Yr"/>
    <s v="CELLO"/>
    <x v="1"/>
    <s v="MTG"/>
    <x v="637"/>
    <n v="2.9240861727141798"/>
  </r>
  <r>
    <s v="FN_CMM_30Yr"/>
    <s v="CELLO"/>
    <x v="1"/>
    <s v="MTG"/>
    <x v="638"/>
    <n v="2.8840645930864102"/>
  </r>
  <r>
    <s v="FN_CMM_30Yr"/>
    <s v="CELLO"/>
    <x v="1"/>
    <s v="MTG"/>
    <x v="639"/>
    <n v="2.8877476464560701"/>
  </r>
  <r>
    <s v="FN_CMM_30Yr"/>
    <s v="CELLO"/>
    <x v="1"/>
    <s v="MTG"/>
    <x v="640"/>
    <n v="2.9533030207859099"/>
  </r>
  <r>
    <s v="FN_CMM_30Yr"/>
    <s v="CELLO"/>
    <x v="1"/>
    <s v="MTG"/>
    <x v="641"/>
    <n v="2.93891033578682"/>
  </r>
  <r>
    <s v="FN_CMM_30Yr"/>
    <s v="CELLO"/>
    <x v="1"/>
    <s v="MTG"/>
    <x v="642"/>
    <n v="2.9532102294675502"/>
  </r>
  <r>
    <s v="FN_CMM_30Yr"/>
    <s v="CELLO"/>
    <x v="1"/>
    <s v="MTG"/>
    <x v="643"/>
    <n v="2.95774888308124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408825121982815"/>
  </r>
  <r>
    <x v="0"/>
    <x v="0"/>
    <x v="1"/>
    <s v="MTG"/>
    <x v="0"/>
    <n v="4.1310000000000002"/>
  </r>
  <r>
    <x v="0"/>
    <x v="0"/>
    <x v="2"/>
    <s v="MTG"/>
    <x v="0"/>
    <n v="0.56399999999999995"/>
  </r>
  <r>
    <x v="0"/>
    <x v="0"/>
    <x v="3"/>
    <s v="MTG"/>
    <x v="0"/>
    <n v="4"/>
  </r>
  <r>
    <x v="0"/>
    <x v="0"/>
    <x v="4"/>
    <s v="MTG"/>
    <x v="0"/>
    <n v="1.1876722827307316"/>
  </r>
  <r>
    <x v="0"/>
    <x v="1"/>
    <x v="0"/>
    <s v="MTG"/>
    <x v="0"/>
    <n v="3.8426337494806249"/>
  </r>
  <r>
    <x v="0"/>
    <x v="1"/>
    <x v="1"/>
    <s v="MTG"/>
    <x v="0"/>
    <n v="3.863"/>
  </r>
  <r>
    <x v="0"/>
    <x v="1"/>
    <x v="2"/>
    <s v="MTG"/>
    <x v="0"/>
    <n v="1.375"/>
  </r>
  <r>
    <x v="0"/>
    <x v="1"/>
    <x v="3"/>
    <s v="MTG"/>
    <x v="0"/>
    <n v="3.75"/>
  </r>
  <r>
    <x v="0"/>
    <x v="1"/>
    <x v="4"/>
    <s v="MTG"/>
    <x v="0"/>
    <n v="0.8894235200130749"/>
  </r>
  <r>
    <x v="0"/>
    <x v="2"/>
    <x v="0"/>
    <s v="MTG"/>
    <x v="0"/>
    <n v="4.3364279754872603"/>
  </r>
  <r>
    <x v="0"/>
    <x v="2"/>
    <x v="1"/>
    <s v="MTG"/>
    <x v="0"/>
    <n v="4.03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3832177460197108"/>
  </r>
  <r>
    <x v="0"/>
    <x v="3"/>
    <x v="0"/>
    <s v="MTG"/>
    <x v="0"/>
    <n v="4.2030539804499192"/>
  </r>
  <r>
    <x v="0"/>
    <x v="3"/>
    <x v="1"/>
    <s v="MTG"/>
    <x v="0"/>
    <n v="4.1470000000000002"/>
  </r>
  <r>
    <x v="0"/>
    <x v="3"/>
    <x v="5"/>
    <s v="MTG"/>
    <x v="0"/>
    <n v="209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2498437509823688"/>
  </r>
  <r>
    <x v="1"/>
    <x v="2"/>
    <x v="1"/>
    <s v="MTG"/>
    <x v="0"/>
    <n v="1"/>
  </r>
  <r>
    <x v="1"/>
    <x v="2"/>
    <x v="2"/>
    <s v="MTG"/>
    <x v="0"/>
    <n v="1"/>
  </r>
  <r>
    <x v="1"/>
    <x v="2"/>
    <x v="3"/>
    <s v="MTG"/>
    <x v="0"/>
    <n v="1"/>
  </r>
  <r>
    <x v="1"/>
    <x v="3"/>
    <x v="0"/>
    <s v="MTG"/>
    <x v="0"/>
    <n v="4.8142499999999995"/>
  </r>
  <r>
    <x v="1"/>
    <x v="3"/>
    <x v="1"/>
    <s v="MTG"/>
    <x v="0"/>
    <n v="5.6790000000000003"/>
  </r>
  <r>
    <x v="1"/>
    <x v="3"/>
    <x v="5"/>
    <s v="MTG"/>
    <x v="0"/>
    <n v="701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.625"/>
  </r>
  <r>
    <x v="1"/>
    <x v="3"/>
    <x v="4"/>
    <s v="MTG"/>
    <x v="0"/>
    <n v="2.0174328382577098"/>
  </r>
  <r>
    <x v="1"/>
    <x v="3"/>
    <x v="7"/>
    <s v="MTG"/>
    <x v="0"/>
    <n v="3500"/>
  </r>
  <r>
    <x v="2"/>
    <x v="3"/>
    <x v="0"/>
    <s v="MTG"/>
    <x v="0"/>
    <n v="4.1548334667180757"/>
  </r>
  <r>
    <x v="2"/>
    <x v="3"/>
    <x v="1"/>
    <s v="MTG"/>
    <x v="0"/>
    <n v="3.968"/>
  </r>
  <r>
    <x v="2"/>
    <x v="3"/>
    <x v="5"/>
    <s v="MTG"/>
    <x v="0"/>
    <n v="0.05"/>
  </r>
  <r>
    <x v="2"/>
    <x v="3"/>
    <x v="6"/>
    <s v="MTG"/>
    <x v="0"/>
    <n v="200000"/>
  </r>
  <r>
    <x v="2"/>
    <x v="3"/>
    <x v="2"/>
    <s v="MTG"/>
    <x v="0"/>
    <n v="1"/>
  </r>
  <r>
    <x v="2"/>
    <x v="3"/>
    <x v="3"/>
    <s v="MTG"/>
    <x v="0"/>
    <n v="3.75"/>
  </r>
  <r>
    <x v="2"/>
    <x v="3"/>
    <x v="4"/>
    <s v="MTG"/>
    <x v="0"/>
    <n v="1.201623237250526"/>
  </r>
  <r>
    <x v="3"/>
    <x v="3"/>
    <x v="0"/>
    <s v="MTG"/>
    <x v="0"/>
    <n v="3.9929555782460247"/>
  </r>
  <r>
    <x v="3"/>
    <x v="3"/>
    <x v="1"/>
    <s v="MTG"/>
    <x v="0"/>
    <n v="3.8290000000000002"/>
  </r>
  <r>
    <x v="3"/>
    <x v="3"/>
    <x v="5"/>
    <s v="MTG"/>
    <x v="0"/>
    <n v="0.0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625"/>
  </r>
  <r>
    <x v="3"/>
    <x v="3"/>
    <x v="4"/>
    <s v="MTG"/>
    <x v="0"/>
    <n v="1.03974534877847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821179681285399"/>
  </r>
  <r>
    <x v="0"/>
    <x v="0"/>
    <x v="1"/>
    <s v="MTG"/>
    <x v="0"/>
    <n v="4.1449999999999996"/>
  </r>
  <r>
    <x v="0"/>
    <x v="0"/>
    <x v="2"/>
    <s v="MTG"/>
    <x v="0"/>
    <n v="0.73"/>
  </r>
  <r>
    <x v="0"/>
    <x v="0"/>
    <x v="3"/>
    <s v="MTG"/>
    <x v="0"/>
    <n v="4"/>
  </r>
  <r>
    <x v="0"/>
    <x v="0"/>
    <x v="4"/>
    <s v="MTG"/>
    <x v="0"/>
    <n v="1.2243690850472895"/>
  </r>
  <r>
    <x v="1"/>
    <x v="0"/>
    <x v="0"/>
    <s v="MTG"/>
    <x v="0"/>
    <n v="3.8425411667081901"/>
  </r>
  <r>
    <x v="1"/>
    <x v="0"/>
    <x v="1"/>
    <s v="MTG"/>
    <x v="0"/>
    <n v="3.9470000000000001"/>
  </r>
  <r>
    <x v="1"/>
    <x v="0"/>
    <x v="2"/>
    <s v="MTG"/>
    <x v="0"/>
    <n v="0.875"/>
  </r>
  <r>
    <x v="1"/>
    <x v="0"/>
    <x v="3"/>
    <s v="MTG"/>
    <x v="0"/>
    <n v="3.875"/>
  </r>
  <r>
    <x v="1"/>
    <x v="0"/>
    <x v="4"/>
    <s v="MTG"/>
    <x v="0"/>
    <n v="0.88479228362694018"/>
  </r>
  <r>
    <x v="2"/>
    <x v="0"/>
    <x v="0"/>
    <s v="MTG"/>
    <x v="0"/>
    <n v="4.3364393474588088"/>
  </r>
  <r>
    <x v="2"/>
    <x v="0"/>
    <x v="1"/>
    <s v="MTG"/>
    <x v="0"/>
    <n v="4.1139999999999999"/>
  </r>
  <r>
    <x v="2"/>
    <x v="0"/>
    <x v="2"/>
    <s v="MTG"/>
    <x v="0"/>
    <n v="1.75"/>
  </r>
  <r>
    <x v="2"/>
    <x v="0"/>
    <x v="3"/>
    <s v="MTG"/>
    <x v="0"/>
    <n v="3.875"/>
  </r>
  <r>
    <x v="2"/>
    <x v="0"/>
    <x v="4"/>
    <s v="MTG"/>
    <x v="0"/>
    <n v="1.3786904643775584"/>
  </r>
  <r>
    <x v="3"/>
    <x v="0"/>
    <x v="0"/>
    <s v="MTG"/>
    <x v="0"/>
    <n v="4.3102725972031495"/>
  </r>
  <r>
    <x v="3"/>
    <x v="0"/>
    <x v="1"/>
    <s v="MTG"/>
    <x v="0"/>
    <n v="4.1619999999999999"/>
  </r>
  <r>
    <x v="3"/>
    <x v="0"/>
    <x v="5"/>
    <s v="MTG"/>
    <x v="0"/>
    <n v="259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3525237141218998"/>
  </r>
  <r>
    <x v="2"/>
    <x v="1"/>
    <x v="1"/>
    <s v="MTG"/>
    <x v="0"/>
    <n v="1"/>
  </r>
  <r>
    <x v="2"/>
    <x v="1"/>
    <x v="2"/>
    <s v="MTG"/>
    <x v="0"/>
    <n v="1"/>
  </r>
  <r>
    <x v="2"/>
    <x v="1"/>
    <x v="3"/>
    <s v="MTG"/>
    <x v="0"/>
    <n v="1"/>
  </r>
  <r>
    <x v="3"/>
    <x v="1"/>
    <x v="0"/>
    <s v="MTG"/>
    <x v="0"/>
    <n v="4.8142499999999995"/>
  </r>
  <r>
    <x v="3"/>
    <x v="1"/>
    <x v="1"/>
    <s v="MTG"/>
    <x v="0"/>
    <n v="5.6790000000000003"/>
  </r>
  <r>
    <x v="3"/>
    <x v="1"/>
    <x v="5"/>
    <s v="MTG"/>
    <x v="0"/>
    <n v="7014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4.625"/>
  </r>
  <r>
    <x v="3"/>
    <x v="1"/>
    <x v="4"/>
    <s v="MTG"/>
    <x v="0"/>
    <n v="2.0263022796586294"/>
  </r>
  <r>
    <x v="3"/>
    <x v="1"/>
    <x v="7"/>
    <s v="MTG"/>
    <x v="0"/>
    <n v="3500"/>
  </r>
  <r>
    <x v="3"/>
    <x v="2"/>
    <x v="0"/>
    <s v="MTG"/>
    <x v="0"/>
    <n v="3.9770901967365671"/>
  </r>
  <r>
    <x v="3"/>
    <x v="2"/>
    <x v="1"/>
    <s v="MTG"/>
    <x v="0"/>
    <n v="3.992"/>
  </r>
  <r>
    <x v="3"/>
    <x v="2"/>
    <x v="5"/>
    <s v="MTG"/>
    <x v="0"/>
    <n v="0.05"/>
  </r>
  <r>
    <x v="3"/>
    <x v="2"/>
    <x v="6"/>
    <s v="MTG"/>
    <x v="0"/>
    <n v="200000"/>
  </r>
  <r>
    <x v="3"/>
    <x v="2"/>
    <x v="2"/>
    <s v="MTG"/>
    <x v="0"/>
    <n v="1"/>
  </r>
  <r>
    <x v="3"/>
    <x v="2"/>
    <x v="3"/>
    <s v="MTG"/>
    <x v="0"/>
    <n v="3.875"/>
  </r>
  <r>
    <x v="3"/>
    <x v="2"/>
    <x v="4"/>
    <s v="MTG"/>
    <x v="0"/>
    <n v="1.0193413136553171"/>
  </r>
  <r>
    <x v="3"/>
    <x v="3"/>
    <x v="0"/>
    <s v="MTG"/>
    <x v="0"/>
    <n v="3.9929555782460247"/>
  </r>
  <r>
    <x v="3"/>
    <x v="3"/>
    <x v="1"/>
    <s v="MTG"/>
    <x v="0"/>
    <n v="3.8290000000000002"/>
  </r>
  <r>
    <x v="3"/>
    <x v="3"/>
    <x v="5"/>
    <s v="MTG"/>
    <x v="0"/>
    <n v="0.0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625"/>
  </r>
  <r>
    <x v="3"/>
    <x v="3"/>
    <x v="4"/>
    <s v="MTG"/>
    <x v="0"/>
    <n v="1.03520669516477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4" cacheId="10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47">
        <item m="1" x="43"/>
        <item m="1" x="1"/>
        <item m="1" x="40"/>
        <item m="1" x="2"/>
        <item m="1" x="7"/>
        <item m="1" x="13"/>
        <item m="1" x="22"/>
        <item m="1" x="20"/>
        <item m="1" x="23"/>
        <item m="1" x="25"/>
        <item m="1" x="27"/>
        <item m="1" x="5"/>
        <item m="1" x="30"/>
        <item m="1" x="36"/>
        <item m="1" x="41"/>
        <item m="1" x="44"/>
        <item m="1" x="33"/>
        <item m="1" x="39"/>
        <item m="1" x="17"/>
        <item m="1" x="15"/>
        <item m="1" x="31"/>
        <item m="1" x="8"/>
        <item m="1" x="3"/>
        <item m="1" x="28"/>
        <item m="1" x="42"/>
        <item m="1" x="18"/>
        <item m="1" x="45"/>
        <item m="1" x="19"/>
        <item m="1" x="38"/>
        <item m="1" x="9"/>
        <item m="1" x="4"/>
        <item m="1" x="12"/>
        <item m="1" x="34"/>
        <item m="1" x="35"/>
        <item m="1" x="46"/>
        <item m="1" x="6"/>
        <item m="1" x="10"/>
        <item m="1" x="14"/>
        <item m="1" x="16"/>
        <item m="1" x="24"/>
        <item m="1" x="32"/>
        <item m="1" x="37"/>
        <item m="1" x="21"/>
        <item m="1" x="26"/>
        <item m="1" x="29"/>
        <item m="1"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46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14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A78:D711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h="1" x="2"/>
        <item n="30Yr Jumbo Non-Conforming" x="3"/>
        <item t="default"/>
      </items>
    </pivotField>
    <pivotField showAll="0"/>
    <pivotField showAll="0"/>
    <pivotField showAll="0"/>
    <pivotField axis="axisRow" showAll="0" sortType="ascending">
      <items count="6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t="default"/>
      </items>
    </pivotField>
    <pivotField dataField="1" showAll="0"/>
  </pivotFields>
  <rowFields count="1">
    <field x="4"/>
  </rowFields>
  <rowItems count="6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</rowItems>
  <colFields count="1">
    <field x="0"/>
  </colFields>
  <colItems count="3">
    <i>
      <x/>
    </i>
    <i>
      <x v="1"/>
    </i>
    <i>
      <x v="3"/>
    </i>
  </colItems>
  <dataFields count="1">
    <dataField name="Average of SeriesNumValue" fld="5" subtotal="average" baseField="0" baseItem="0"/>
  </dataFields>
  <formats count="2">
    <format dxfId="42">
      <pivotArea dataOnly="0" labelOnly="1" fieldPosition="0">
        <references count="1">
          <reference field="4" count="0"/>
        </references>
      </pivotArea>
    </format>
    <format dxfId="41">
      <pivotArea dataOnly="0" labelOnly="1" fieldPosition="0">
        <references count="1">
          <reference field="4" count="1">
            <x v="0"/>
          </reference>
        </references>
      </pivotArea>
    </format>
  </formats>
  <chartFormats count="5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3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10">
  <location ref="M78:O729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 sortType="ascending">
      <items count="665">
        <item m="1" x="662"/>
        <item m="1" x="661"/>
        <item m="1" x="659"/>
        <item m="1" x="657"/>
        <item m="1" x="652"/>
        <item m="1" x="651"/>
        <item m="1" x="650"/>
        <item m="1" x="663"/>
        <item m="1" x="660"/>
        <item m="1" x="658"/>
        <item m="1" x="656"/>
        <item m="1" x="654"/>
        <item m="1" x="653"/>
        <item m="1" x="6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644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645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646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647"/>
        <item x="585"/>
        <item x="586"/>
        <item x="587"/>
        <item x="588"/>
        <item x="589"/>
        <item x="590"/>
        <item x="591"/>
        <item x="592"/>
        <item x="593"/>
        <item x="648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49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t="default"/>
      </items>
    </pivotField>
    <pivotField dataField="1" showAll="0"/>
  </pivotFields>
  <rowFields count="1">
    <field x="4"/>
  </rowFields>
  <rowItems count="650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43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2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50">
        <item m="1" x="43"/>
        <item m="1" x="38"/>
        <item m="1" x="2"/>
        <item m="1" x="8"/>
        <item m="1" x="11"/>
        <item m="1" x="24"/>
        <item m="1" x="19"/>
        <item m="1" x="25"/>
        <item m="1" x="31"/>
        <item m="1" x="34"/>
        <item m="1" x="40"/>
        <item m="1" x="45"/>
        <item m="1" x="4"/>
        <item m="1" x="10"/>
        <item m="1" x="22"/>
        <item m="1" x="42"/>
        <item m="1" x="48"/>
        <item m="1" x="12"/>
        <item m="1" x="14"/>
        <item m="1" x="41"/>
        <item m="1" x="16"/>
        <item m="1" x="44"/>
        <item m="1" x="36"/>
        <item m="1" x="49"/>
        <item m="1" x="26"/>
        <item m="1" x="20"/>
        <item m="1" x="46"/>
        <item m="1" x="5"/>
        <item m="1" x="39"/>
        <item m="1" x="17"/>
        <item m="1" x="33"/>
        <item m="1" x="15"/>
        <item m="1" x="27"/>
        <item m="1" x="21"/>
        <item m="1" x="30"/>
        <item m="1" x="6"/>
        <item m="1" x="13"/>
        <item m="1" x="18"/>
        <item m="1" x="23"/>
        <item m="1" x="28"/>
        <item m="1" x="32"/>
        <item m="1" x="35"/>
        <item m="1" x="1"/>
        <item m="1" x="3"/>
        <item m="1" x="9"/>
        <item m="1" x="37"/>
        <item m="1" x="7"/>
        <item m="1" x="47"/>
        <item m="1" x="2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49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4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RatesSummaryTable" cacheId="30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52">
        <item m="1" x="8"/>
        <item m="1" x="29"/>
        <item m="1" x="49"/>
        <item m="1" x="1"/>
        <item m="1" x="19"/>
        <item m="1" x="40"/>
        <item m="1" x="48"/>
        <item m="1" x="18"/>
        <item m="1" x="38"/>
        <item m="1" x="6"/>
        <item m="1" x="27"/>
        <item m="1" x="36"/>
        <item m="1" x="5"/>
        <item m="1" x="26"/>
        <item m="1" x="47"/>
        <item m="1" x="16"/>
        <item m="1" x="14"/>
        <item m="1" x="31"/>
        <item m="1" x="42"/>
        <item m="1" x="4"/>
        <item m="1" x="25"/>
        <item m="1" x="51"/>
        <item m="1" x="11"/>
        <item m="1" x="43"/>
        <item m="1" x="7"/>
        <item m="1" x="12"/>
        <item m="1" x="30"/>
        <item m="1" x="9"/>
        <item m="1" x="39"/>
        <item m="1" x="33"/>
        <item m="1" x="10"/>
        <item m="1" x="32"/>
        <item m="1" x="15"/>
        <item m="1" x="22"/>
        <item m="1" x="41"/>
        <item m="1" x="20"/>
        <item m="1" x="28"/>
        <item m="1" x="21"/>
        <item m="1" x="37"/>
        <item m="1" x="46"/>
        <item m="1" x="17"/>
        <item m="1" x="35"/>
        <item m="1" x="3"/>
        <item m="1" x="24"/>
        <item m="1" x="2"/>
        <item m="1" x="44"/>
        <item m="1" x="13"/>
        <item m="1" x="34"/>
        <item m="1" x="23"/>
        <item m="1" x="50"/>
        <item m="1" x="4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51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5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10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7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9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Query from Agency_10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59" dataDxfId="58">
  <tableColumns count="6">
    <tableColumn id="3" uniqueName="3" name="Source" queryTableFieldId="44" dataDxfId="39" dataCellStyle="Normal 2 7"/>
    <tableColumn id="4" uniqueName="4" name="TickerName" queryTableFieldId="45" dataDxfId="38" dataCellStyle="Normal 2 7"/>
    <tableColumn id="5" uniqueName="5" name="SeriesType" queryTableFieldId="46" dataDxfId="37" dataCellStyle="Normal 2 7"/>
    <tableColumn id="6" uniqueName="6" name="Category" queryTableFieldId="47" dataDxfId="36" dataCellStyle="Normal 2 7"/>
    <tableColumn id="10" uniqueName="10" name="AsOfDate" queryTableFieldId="51" dataDxfId="35" dataCellStyle="Normal 2 7"/>
    <tableColumn id="11" uniqueName="11" name="SeriesNumValue" queryTableFieldId="52" dataDxfId="34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57" dataDxfId="56">
  <tableColumns count="6">
    <tableColumn id="2" uniqueName="2" name="TickerName" queryTableFieldId="57" dataDxfId="33"/>
    <tableColumn id="3" uniqueName="3" name="Source" queryTableFieldId="58" dataDxfId="32"/>
    <tableColumn id="4" uniqueName="4" name="SeriesType" queryTableFieldId="59" dataDxfId="31"/>
    <tableColumn id="5" uniqueName="5" name="Category" queryTableFieldId="60" dataDxfId="30"/>
    <tableColumn id="6" uniqueName="6" name="AsOfDate" queryTableFieldId="61" dataDxfId="29"/>
    <tableColumn id="7" uniqueName="7" name="SeriesNumValue" queryTableFieldId="62" dataDxfId="2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55" dataDxfId="54">
  <tableColumns count="6">
    <tableColumn id="2" uniqueName="2" name="TickerName" queryTableFieldId="57" dataDxfId="27" dataCellStyle="Normal 2 7"/>
    <tableColumn id="3" uniqueName="3" name="Source" queryTableFieldId="58" dataDxfId="26" dataCellStyle="Normal 2 7"/>
    <tableColumn id="4" uniqueName="4" name="SeriesType" queryTableFieldId="59" dataDxfId="25" dataCellStyle="Normal 2 7"/>
    <tableColumn id="5" uniqueName="5" name="Category" queryTableFieldId="60" dataDxfId="24" dataCellStyle="Normal 2 7"/>
    <tableColumn id="6" uniqueName="6" name="AsOfDate" queryTableFieldId="61" dataDxfId="23" dataCellStyle="Normal 2 7"/>
    <tableColumn id="7" uniqueName="7" name="SeriesNumValue" queryTableFieldId="62" dataDxfId="22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9" tableType="queryTable" totalsRowShown="0" headerRowDxfId="53" dataDxfId="52">
  <tableColumns count="3">
    <tableColumn id="2" uniqueName="2" name="TickerName" queryTableFieldId="57" dataDxfId="15" dataCellStyle="Normal 2 7"/>
    <tableColumn id="6" uniqueName="6" name="AsOfDate" queryTableFieldId="61" dataDxfId="14" dataCellStyle="Normal 2 7"/>
    <tableColumn id="7" uniqueName="7" name="SeriesNumValue" queryTableFieldId="62" dataDxfId="13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4430" tableType="queryTable" totalsRowShown="0" headerRowDxfId="51" dataDxfId="50">
  <tableColumns count="6">
    <tableColumn id="2" uniqueName="2" name="TickerName" queryTableFieldId="57" dataDxfId="12" dataCellStyle="Normal 2 7"/>
    <tableColumn id="3" uniqueName="3" name="Source" queryTableFieldId="58" dataDxfId="11" dataCellStyle="Normal 2 7"/>
    <tableColumn id="4" uniqueName="4" name="SeriesType" queryTableFieldId="59" dataDxfId="10" dataCellStyle="Normal 2 7"/>
    <tableColumn id="5" uniqueName="5" name="Category" queryTableFieldId="60" dataDxfId="9" dataCellStyle="Normal 2 7"/>
    <tableColumn id="6" uniqueName="6" name="AsOfDate" queryTableFieldId="61" dataDxfId="8" dataCellStyle="Normal 2 7"/>
    <tableColumn id="7" uniqueName="7" name="SeriesNumValue" queryTableFieldId="62" dataDxfId="7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3232" tableType="queryTable" totalsRowShown="0" headerRowDxfId="49" dataDxfId="48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7" name="OneWeekMtgRatesDataTable8" displayName="OneWeekMtgRatesDataTable8" ref="AR6:AW53" tableType="queryTable" totalsRowShown="0" headerRowDxfId="47" dataDxfId="46">
  <tableColumns count="6">
    <tableColumn id="2" uniqueName="2" name="TickerName" queryTableFieldId="57" dataDxfId="21" dataCellStyle="Normal 2 7"/>
    <tableColumn id="3" uniqueName="3" name="Source" queryTableFieldId="58" dataDxfId="20" dataCellStyle="Normal 2 7"/>
    <tableColumn id="4" uniqueName="4" name="SeriesType" queryTableFieldId="59" dataDxfId="19" dataCellStyle="Normal 2 7"/>
    <tableColumn id="5" uniqueName="5" name="Category" queryTableFieldId="60" dataDxfId="18" dataCellStyle="Normal 2 7"/>
    <tableColumn id="6" uniqueName="6" name="AsOfDate" queryTableFieldId="61" dataDxfId="17" dataCellStyle="Normal 2 7"/>
    <tableColumn id="7" uniqueName="7" name="SeriesNumValue" queryTableFieldId="62" dataDxfId="16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quickenloans.com/home-loans/30-year-fixed" TargetMode="External"/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hyperlink" Target="https://www.wellsfargo.com/mortgage/rates/refinance-assumptions/" TargetMode="Externa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hyperlink" Target="https://www.chase.com/mortgage/refinance-rate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loans.bankofamerica.com/en/tools/todays-rates.html?rateType=refinance&amp;stateCode=CA&amp;update_rates_btn=Update+rates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www.quickenloans.com/home-loans/30-year-fixed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B75"/>
  <sheetViews>
    <sheetView showGridLines="0" tabSelected="1" zoomScaleNormal="100" workbookViewId="0">
      <selection activeCell="Y40" sqref="Y40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1" width="10.42578125" style="1" customWidth="1"/>
    <col min="12" max="12" width="10.42578125" customWidth="1"/>
    <col min="13" max="13" width="10.42578125" style="1" customWidth="1"/>
    <col min="14" max="14" width="10.42578125" customWidth="1"/>
    <col min="15" max="15" width="10.42578125" style="1" customWidth="1"/>
    <col min="16" max="17" width="10.42578125" customWidth="1"/>
    <col min="18" max="18" width="9.5703125" style="1" customWidth="1"/>
    <col min="19" max="22" width="10.42578125" style="1" customWidth="1"/>
    <col min="23" max="23" width="7.7109375" customWidth="1"/>
    <col min="25" max="25" width="14.140625" customWidth="1"/>
    <col min="26" max="26" width="17.42578125" customWidth="1"/>
    <col min="27" max="27" width="14.85546875" bestFit="1" customWidth="1"/>
  </cols>
  <sheetData>
    <row r="1" spans="3:28">
      <c r="Y1" s="71" t="s">
        <v>57</v>
      </c>
      <c r="Z1" s="126" t="s">
        <v>76</v>
      </c>
      <c r="AA1" t="s">
        <v>75</v>
      </c>
      <c r="AB1" s="72" t="s">
        <v>91</v>
      </c>
    </row>
    <row r="2" spans="3:28">
      <c r="Y2" s="71" t="s">
        <v>58</v>
      </c>
      <c r="Z2" s="73">
        <v>43010</v>
      </c>
    </row>
    <row r="3" spans="3:28" s="1" customFormat="1">
      <c r="Y3" s="71" t="s">
        <v>92</v>
      </c>
      <c r="Z3" s="126" t="s">
        <v>93</v>
      </c>
    </row>
    <row r="4" spans="3:28" s="1" customFormat="1">
      <c r="Y4" s="71" t="s">
        <v>68</v>
      </c>
      <c r="Z4" s="126" t="str">
        <f>PDFReportDir &amp; "\Daily Originator Mortgage Rate Report " &amp; TEXT(CurrentCloseDate, "yyyy-mm-dd") &amp; ".pdf"</f>
        <v>S:\IT\Production\Daily Reports\Primary Market\tmp\\Daily Originator Mortgage Rate Report 2017-10-02.pdf</v>
      </c>
    </row>
    <row r="5" spans="3:28" s="1" customFormat="1">
      <c r="Y5" s="41"/>
    </row>
    <row r="6" spans="3:28" s="1" customFormat="1">
      <c r="Y6" s="41"/>
    </row>
    <row r="7" spans="3:28">
      <c r="Z7" s="1"/>
    </row>
    <row r="8" spans="3:28">
      <c r="C8" s="74" t="s">
        <v>94</v>
      </c>
    </row>
    <row r="9" spans="3:28" s="43" customFormat="1" ht="30.75" customHeight="1">
      <c r="C9" s="149" t="s">
        <v>16</v>
      </c>
      <c r="D9" s="193" t="s">
        <v>30</v>
      </c>
      <c r="E9" s="194"/>
      <c r="F9" s="194"/>
      <c r="G9" s="194" t="s">
        <v>0</v>
      </c>
      <c r="H9" s="194"/>
      <c r="I9" s="197"/>
      <c r="J9" s="150" t="s">
        <v>29</v>
      </c>
      <c r="K9" s="150" t="s">
        <v>9</v>
      </c>
      <c r="L9" s="150" t="s">
        <v>116</v>
      </c>
      <c r="M9" s="151" t="s">
        <v>114</v>
      </c>
      <c r="N9" s="150" t="s">
        <v>115</v>
      </c>
      <c r="O9" s="157" t="s">
        <v>340</v>
      </c>
      <c r="P9" s="152" t="s">
        <v>339</v>
      </c>
      <c r="Q9" s="151" t="s">
        <v>121</v>
      </c>
      <c r="R9" s="150" t="s">
        <v>111</v>
      </c>
      <c r="S9" s="150" t="s">
        <v>120</v>
      </c>
      <c r="T9" s="150" t="s">
        <v>113</v>
      </c>
      <c r="U9" s="150" t="s">
        <v>119</v>
      </c>
      <c r="V9" s="152" t="s">
        <v>112</v>
      </c>
    </row>
    <row r="10" spans="3:28" s="84" customFormat="1" ht="18" customHeight="1">
      <c r="C10" s="118" t="s">
        <v>17</v>
      </c>
      <c r="D10" s="195">
        <f>'BoA - Conventional'!C4</f>
        <v>0.04</v>
      </c>
      <c r="E10" s="196"/>
      <c r="F10" s="196"/>
      <c r="G10" s="196">
        <f>'BoA - Conventional'!C5</f>
        <v>4.1449999999999994E-2</v>
      </c>
      <c r="H10" s="196"/>
      <c r="I10" s="198"/>
      <c r="J10" s="37">
        <f>'BoA - Conventional'!F5</f>
        <v>7.3000000000000001E-3</v>
      </c>
      <c r="K10" s="37">
        <f>'BoA - Conventional'!F6</f>
        <v>9.9847187251415892E-3</v>
      </c>
      <c r="L10" s="37">
        <f>'BoA - Conventional'!F7</f>
        <v>1.728471872514159E-2</v>
      </c>
      <c r="M10" s="142">
        <f>N10-0.25%</f>
        <v>3.9321179681285394E-2</v>
      </c>
      <c r="N10" s="144">
        <f>'BoA - Conventional'!I4</f>
        <v>4.1821179681285396E-2</v>
      </c>
      <c r="O10" s="158">
        <f>M10-D$24</f>
        <v>9.7436908504728928E-3</v>
      </c>
      <c r="P10" s="143">
        <f>N10-D$24</f>
        <v>1.2243690850472895E-2</v>
      </c>
      <c r="Q10" s="47">
        <f>(N10-'Historic Result'!C5)*100*100</f>
        <v>4.1235455930258009</v>
      </c>
      <c r="R10" s="36">
        <f>(P10-'Historic Result'!D5)*100*100</f>
        <v>3.6696802316557933</v>
      </c>
      <c r="S10" s="36">
        <f>(N10-'Historic Result'!E5)*100*100</f>
        <v>4.4184786573642221</v>
      </c>
      <c r="T10" s="36">
        <f>(P10-'Historic Result'!F5)*100*100</f>
        <v>-2.9499503421197457</v>
      </c>
      <c r="U10" s="36">
        <f>(N10-'Historic Result'!G5)*100*100</f>
        <v>13.965134250358835</v>
      </c>
      <c r="V10" s="44">
        <f>(P10-'Historic Result'!H5)*100*100</f>
        <v>2.4533991088778255</v>
      </c>
    </row>
    <row r="11" spans="3:28" s="84" customFormat="1" ht="18" customHeight="1">
      <c r="C11" s="118" t="s">
        <v>18</v>
      </c>
      <c r="D11" s="195">
        <f>'Chase - Conventional'!C4</f>
        <v>3.875E-2</v>
      </c>
      <c r="E11" s="196"/>
      <c r="F11" s="196"/>
      <c r="G11" s="196">
        <f>'Chase - Conventional'!C5</f>
        <v>3.9469999999999998E-2</v>
      </c>
      <c r="H11" s="196"/>
      <c r="I11" s="198"/>
      <c r="J11" s="37" t="s">
        <v>2</v>
      </c>
      <c r="K11" s="37" t="s">
        <v>2</v>
      </c>
      <c r="L11" s="37">
        <f>'Chase - Conventional'!F7</f>
        <v>8.7016466683276228E-3</v>
      </c>
      <c r="M11" s="142">
        <f t="shared" ref="M11:M13" si="0">N11-0.25%</f>
        <v>3.5925411667081901E-2</v>
      </c>
      <c r="N11" s="144">
        <f>'Chase - Conventional'!I4</f>
        <v>3.8425411667081903E-2</v>
      </c>
      <c r="O11" s="158">
        <f>M11-D$24</f>
        <v>6.3479228362693998E-3</v>
      </c>
      <c r="P11" s="143">
        <f>N11-D$24</f>
        <v>8.8479228362694021E-3</v>
      </c>
      <c r="Q11" s="47">
        <f>(N11-'Historic Result'!C6)*100*100</f>
        <v>-9.2582772434623983E-3</v>
      </c>
      <c r="R11" s="36">
        <f>(P11-'Historic Result'!D6)*100*100</f>
        <v>-0.46312363861347045</v>
      </c>
      <c r="S11" s="36">
        <f>(N11-'Historic Result'!E6)*100*100</f>
        <v>3.0046131846517277</v>
      </c>
      <c r="T11" s="36">
        <f>(P11-'Historic Result'!F6)*100*100</f>
        <v>-4.3638158148322574</v>
      </c>
      <c r="U11" s="36">
        <f>(N11-'Historic Result'!G6)*100*100</f>
        <v>9.321103850175593</v>
      </c>
      <c r="V11" s="44">
        <f>(P11-'Historic Result'!H6)*100*100</f>
        <v>-2.1906312913054156</v>
      </c>
    </row>
    <row r="12" spans="3:28" s="84" customFormat="1" ht="18" customHeight="1">
      <c r="C12" s="118" t="s">
        <v>19</v>
      </c>
      <c r="D12" s="195">
        <f>'Quicken - Conventional'!C4</f>
        <v>3.875E-2</v>
      </c>
      <c r="E12" s="196"/>
      <c r="F12" s="196"/>
      <c r="G12" s="196">
        <f>'Quicken - Conventional'!C5</f>
        <v>4.1139999999999996E-2</v>
      </c>
      <c r="H12" s="196"/>
      <c r="I12" s="198"/>
      <c r="J12" s="37">
        <f>'Quicken - Conventional'!F5</f>
        <v>1.7500000000000002E-2</v>
      </c>
      <c r="K12" s="37">
        <f>'Quicken - Conventional'!F6</f>
        <v>1.0957573898352349E-2</v>
      </c>
      <c r="L12" s="37">
        <f>'Quicken - Conventional'!F7</f>
        <v>2.8457573898352351E-2</v>
      </c>
      <c r="M12" s="142">
        <f t="shared" si="0"/>
        <v>4.0864393474588083E-2</v>
      </c>
      <c r="N12" s="144">
        <f>'Quicken - Conventional'!I4</f>
        <v>4.3364393474588085E-2</v>
      </c>
      <c r="O12" s="158">
        <f>M12-D$24</f>
        <v>1.1286904643775582E-2</v>
      </c>
      <c r="P12" s="143">
        <f>N12-D$24</f>
        <v>1.3786904643775584E-2</v>
      </c>
      <c r="Q12" s="47">
        <f>(N12-'Historic Result'!C7)*100*100</f>
        <v>1.1371971548462811E-3</v>
      </c>
      <c r="R12" s="36">
        <f>(P12-'Historic Result'!D7)*100*100</f>
        <v>-0.45272816421524853</v>
      </c>
      <c r="S12" s="36">
        <f>(N12-'Historic Result'!E7)*100*100</f>
        <v>1.1371971548462811E-3</v>
      </c>
      <c r="T12" s="36">
        <f>(P12-'Historic Result'!F7)*100*100</f>
        <v>-7.3672918023291896</v>
      </c>
      <c r="U12" s="36">
        <f>(N12-'Historic Result'!G7)*100*100</f>
        <v>8.7630918552739079</v>
      </c>
      <c r="V12" s="44">
        <f>(P12-'Historic Result'!H7)*100*100</f>
        <v>-2.7486432862071015</v>
      </c>
    </row>
    <row r="13" spans="3:28" s="84" customFormat="1" ht="18" customHeight="1">
      <c r="C13" s="83" t="s">
        <v>20</v>
      </c>
      <c r="D13" s="195">
        <f>CIR</f>
        <v>4.1250000000000002E-2</v>
      </c>
      <c r="E13" s="196"/>
      <c r="F13" s="196"/>
      <c r="G13" s="196">
        <f>CAPR</f>
        <v>4.1619999999999997E-2</v>
      </c>
      <c r="H13" s="196"/>
      <c r="I13" s="198"/>
      <c r="J13" s="37">
        <f>'Wells - Conventional'!F6</f>
        <v>4.4209038881259932E-3</v>
      </c>
      <c r="K13" s="37">
        <f>'Wells - Conventional'!F8</f>
        <v>1.299E-2</v>
      </c>
      <c r="L13" s="37">
        <f>'Wells - Conventional'!F9</f>
        <v>1.7410903888125995E-2</v>
      </c>
      <c r="M13" s="142">
        <f t="shared" si="0"/>
        <v>4.0602725972031496E-2</v>
      </c>
      <c r="N13" s="144">
        <f>'Wells - Conventional'!I4</f>
        <v>4.3102725972031498E-2</v>
      </c>
      <c r="O13" s="158">
        <f>M13-D$24</f>
        <v>1.1025237141218995E-2</v>
      </c>
      <c r="P13" s="143">
        <f>N13-D$24</f>
        <v>1.3525237141218997E-2</v>
      </c>
      <c r="Q13" s="47">
        <f>(N13-'Historic Result'!C8)*100*100</f>
        <v>10.721861675323034</v>
      </c>
      <c r="R13" s="36">
        <f>(P13-'Historic Result'!D8)*100*100</f>
        <v>10.267996313953095</v>
      </c>
      <c r="S13" s="36">
        <f>(N13-'Historic Result'!E8)*100*100</f>
        <v>10.721861675323034</v>
      </c>
      <c r="T13" s="36">
        <f>(P13-'Historic Result'!F8)*100*100</f>
        <v>3.3534326758391173</v>
      </c>
      <c r="U13" s="36">
        <f>(N13-'Historic Result'!G8)*100*100</f>
        <v>6.1049127062287596</v>
      </c>
      <c r="V13" s="44">
        <f>(P13-'Historic Result'!H8)*100*100</f>
        <v>-5.4068224352521632</v>
      </c>
    </row>
    <row r="14" spans="3:28" s="84" customFormat="1" ht="18" customHeight="1">
      <c r="C14" s="85" t="s">
        <v>21</v>
      </c>
      <c r="D14" s="183">
        <f>AVERAGE(D10:D13)</f>
        <v>3.9687500000000001E-2</v>
      </c>
      <c r="E14" s="181"/>
      <c r="F14" s="181"/>
      <c r="G14" s="181">
        <f>AVERAGE(G10:I13)</f>
        <v>4.0919999999999998E-2</v>
      </c>
      <c r="H14" s="181"/>
      <c r="I14" s="182"/>
      <c r="J14" s="58">
        <f>AVERAGE(J10,J12:J13)</f>
        <v>9.740301296041998E-3</v>
      </c>
      <c r="K14" s="58">
        <f>AVERAGE(K10,K12:K13)</f>
        <v>1.1310764207831314E-2</v>
      </c>
      <c r="L14" s="58">
        <f>AVERAGE(L10,L12:L13)</f>
        <v>2.1051065503873312E-2</v>
      </c>
      <c r="M14" s="133">
        <f t="shared" ref="M14:N14" si="1">AVERAGE(M10:M13)</f>
        <v>3.9178427698746715E-2</v>
      </c>
      <c r="N14" s="131">
        <f t="shared" si="1"/>
        <v>4.1678427698746717E-2</v>
      </c>
      <c r="O14" s="156">
        <f>M14-D$24</f>
        <v>9.6009388679342139E-3</v>
      </c>
      <c r="P14" s="132">
        <f>N14-D$24</f>
        <v>1.2100938867934216E-2</v>
      </c>
      <c r="Q14" s="59">
        <f>AVERAGE(Q10:Q13)</f>
        <v>3.7093215470650547</v>
      </c>
      <c r="R14" s="60">
        <f>AVERAGE(R10:R13)</f>
        <v>3.2554561856950421</v>
      </c>
      <c r="S14" s="60">
        <f t="shared" ref="S14:V14" si="2">AVERAGE(S10:S13)</f>
        <v>4.5365226786234576</v>
      </c>
      <c r="T14" s="60">
        <f t="shared" si="2"/>
        <v>-2.8319063208605186</v>
      </c>
      <c r="U14" s="60">
        <f t="shared" si="2"/>
        <v>9.538560665509273</v>
      </c>
      <c r="V14" s="61">
        <f t="shared" si="2"/>
        <v>-1.9731744759717138</v>
      </c>
    </row>
    <row r="15" spans="3:28" s="84" customFormat="1" ht="18" hidden="1" customHeight="1">
      <c r="C15" s="80" t="s">
        <v>31</v>
      </c>
      <c r="D15" s="184" t="s">
        <v>30</v>
      </c>
      <c r="E15" s="185"/>
      <c r="F15" s="185"/>
      <c r="G15" s="185" t="s">
        <v>0</v>
      </c>
      <c r="H15" s="185"/>
      <c r="I15" s="190"/>
      <c r="J15" s="70"/>
      <c r="K15" s="70"/>
      <c r="L15" s="70"/>
      <c r="M15" s="134"/>
      <c r="N15" s="135"/>
      <c r="O15" s="159"/>
      <c r="P15" s="139"/>
      <c r="Q15" s="69"/>
      <c r="R15" s="70"/>
      <c r="S15" s="147"/>
      <c r="T15" s="147"/>
      <c r="U15" s="147"/>
      <c r="V15" s="148"/>
    </row>
    <row r="16" spans="3:28" s="84" customFormat="1" ht="18" hidden="1" customHeight="1">
      <c r="C16" s="86" t="s">
        <v>20</v>
      </c>
      <c r="D16" s="186">
        <f>'Wells - Jumbo conformin'!C4</f>
        <v>3.875E-2</v>
      </c>
      <c r="E16" s="187"/>
      <c r="F16" s="187"/>
      <c r="G16" s="187">
        <f>'Wells - Jumbo conformin'!C5</f>
        <v>3.9919999999999997E-2</v>
      </c>
      <c r="H16" s="187"/>
      <c r="I16" s="191"/>
      <c r="J16" s="62">
        <f>'Wells - Jumbo conformin'!F5</f>
        <v>1.4083357869462687E-2</v>
      </c>
      <c r="K16" s="62">
        <f>'Wells - Jumbo conformin'!F6</f>
        <v>2.4999999999999999E-7</v>
      </c>
      <c r="L16" s="62">
        <f>'Wells - Jumbo conformin'!F7</f>
        <v>1.4083607869462687E-2</v>
      </c>
      <c r="M16" s="136">
        <f t="shared" ref="M16" si="3">N16-0.25%</f>
        <v>3.7270901967365669E-2</v>
      </c>
      <c r="N16" s="145">
        <f>'Wells - Jumbo conformin'!I4</f>
        <v>3.9770901967365671E-2</v>
      </c>
      <c r="O16" s="160">
        <f>M16-D$24</f>
        <v>7.6934131365531677E-3</v>
      </c>
      <c r="P16" s="140">
        <f>N16-D$24</f>
        <v>1.019341313655317E-2</v>
      </c>
      <c r="Q16" s="63">
        <f>(N16-'Historic Result'!C10)*100*100</f>
        <v>-17.774326998150833</v>
      </c>
      <c r="R16" s="64">
        <f>(P16-'Historic Result'!D10)*100*100</f>
        <v>-18.228192359520893</v>
      </c>
      <c r="S16" s="64">
        <f>(N16-'Historic Result'!E10)*100*100</f>
        <v>0</v>
      </c>
      <c r="T16" s="64">
        <f>(P16-'Historic Result'!F10)*100*100</f>
        <v>-7.3684289994839851</v>
      </c>
      <c r="U16" s="64">
        <f>(N16-'Historic Result'!G10)*100*100</f>
        <v>-29.305373161125637</v>
      </c>
      <c r="V16" s="65">
        <f>(P16-'Historic Result'!H10)*100*100</f>
        <v>-40.817108302606648</v>
      </c>
    </row>
    <row r="17" spans="3:22" s="84" customFormat="1" ht="18" customHeight="1">
      <c r="C17" s="81" t="s">
        <v>32</v>
      </c>
      <c r="D17" s="188" t="s">
        <v>30</v>
      </c>
      <c r="E17" s="189"/>
      <c r="F17" s="189"/>
      <c r="G17" s="189" t="s">
        <v>0</v>
      </c>
      <c r="H17" s="189"/>
      <c r="I17" s="192"/>
      <c r="J17" s="49"/>
      <c r="K17" s="49"/>
      <c r="L17" s="49"/>
      <c r="M17" s="137"/>
      <c r="N17" s="138"/>
      <c r="O17" s="161"/>
      <c r="P17" s="141"/>
      <c r="Q17" s="50"/>
      <c r="R17" s="51"/>
      <c r="S17" s="51"/>
      <c r="T17" s="51"/>
      <c r="U17" s="51"/>
      <c r="V17" s="52"/>
    </row>
    <row r="18" spans="3:22" s="84" customFormat="1" ht="18" customHeight="1">
      <c r="C18" s="86" t="s">
        <v>20</v>
      </c>
      <c r="D18" s="186">
        <f>'Wells - Jumbo Non-conforming'!C4</f>
        <v>3.6249999999999998E-2</v>
      </c>
      <c r="E18" s="187"/>
      <c r="F18" s="187"/>
      <c r="G18" s="187">
        <f>'Wells - Jumbo Non-conforming'!C5</f>
        <v>3.8290000000000005E-2</v>
      </c>
      <c r="H18" s="187"/>
      <c r="I18" s="191"/>
      <c r="J18" s="62">
        <f>'Wells - Jumbo Non-conforming'!F5</f>
        <v>2.4718156463174323E-2</v>
      </c>
      <c r="K18" s="62">
        <f>'Wells - Jumbo Non-conforming'!F6</f>
        <v>6.6666666666666668E-8</v>
      </c>
      <c r="L18" s="62">
        <f>'Wells - Jumbo Non-conforming'!F7</f>
        <v>2.471822312984099E-2</v>
      </c>
      <c r="M18" s="136">
        <f t="shared" ref="M18" si="4">N18-0.25%</f>
        <v>3.7429555782460246E-2</v>
      </c>
      <c r="N18" s="145">
        <f>'Wells - Jumbo Non-conforming'!I4</f>
        <v>3.9929555782460248E-2</v>
      </c>
      <c r="O18" s="160">
        <f>M18-D$24</f>
        <v>7.8520669516477445E-3</v>
      </c>
      <c r="P18" s="140">
        <f>N18-D$24</f>
        <v>1.0352066951647747E-2</v>
      </c>
      <c r="Q18" s="63">
        <f>(N18-'Historic Result'!C12)*100*100</f>
        <v>0</v>
      </c>
      <c r="R18" s="64">
        <f>(P18-'Historic Result'!D12)*100*100</f>
        <v>-0.45386536137000805</v>
      </c>
      <c r="S18" s="64">
        <f>(N18-'Historic Result'!E12)*100*100</f>
        <v>0</v>
      </c>
      <c r="T18" s="64">
        <f>(P18-'Historic Result'!F12)*100*100</f>
        <v>-7.3684289994839851</v>
      </c>
      <c r="U18" s="64">
        <f>(N18-'Historic Result'!G12)*100*100</f>
        <v>-15.5219625797174</v>
      </c>
      <c r="V18" s="65">
        <f>(P18-'Historic Result'!H12)*100*100</f>
        <v>-27.033697721198408</v>
      </c>
    </row>
    <row r="19" spans="3:22" s="84" customFormat="1" ht="18" customHeight="1">
      <c r="C19" s="82" t="s">
        <v>33</v>
      </c>
      <c r="D19" s="178" t="s">
        <v>30</v>
      </c>
      <c r="E19" s="179"/>
      <c r="F19" s="176" t="s">
        <v>34</v>
      </c>
      <c r="G19" s="176"/>
      <c r="H19" s="176" t="s">
        <v>35</v>
      </c>
      <c r="I19" s="177"/>
      <c r="J19" s="53"/>
      <c r="K19" s="53"/>
      <c r="L19" s="53"/>
      <c r="M19" s="129"/>
      <c r="N19" s="130"/>
      <c r="O19" s="162"/>
      <c r="P19" s="54"/>
      <c r="Q19" s="55"/>
      <c r="R19" s="56"/>
      <c r="S19" s="56"/>
      <c r="T19" s="56"/>
      <c r="U19" s="56"/>
      <c r="V19" s="57"/>
    </row>
    <row r="20" spans="3:22" s="84" customFormat="1" ht="18" customHeight="1">
      <c r="C20" s="87" t="s">
        <v>20</v>
      </c>
      <c r="D20" s="174">
        <f>'Wells - FHA'!C4</f>
        <v>4.6249999999999999E-2</v>
      </c>
      <c r="E20" s="175"/>
      <c r="F20" s="175">
        <f>'Wells - FHA'!F4</f>
        <v>1.7500000000000002E-2</v>
      </c>
      <c r="G20" s="175"/>
      <c r="H20" s="175">
        <v>8.5000000000000006E-3</v>
      </c>
      <c r="I20" s="180"/>
      <c r="J20" s="68">
        <f>'Wells - FHA'!F5</f>
        <v>0</v>
      </c>
      <c r="K20" s="68">
        <f>'Wells - FHA'!F6</f>
        <v>1.7569999999999995E-2</v>
      </c>
      <c r="L20" s="68">
        <f>'Wells - FHA'!F7</f>
        <v>1.7569999999999995E-2</v>
      </c>
      <c r="M20" s="127">
        <f t="shared" ref="M20" si="5">N20-0.25%</f>
        <v>4.5642499999999996E-2</v>
      </c>
      <c r="N20" s="146">
        <f>'Wells - FHA'!I4</f>
        <v>4.8142499999999998E-2</v>
      </c>
      <c r="O20" s="155">
        <f>M20-D25</f>
        <v>1.7763022796586293E-2</v>
      </c>
      <c r="P20" s="128">
        <f>N20-D25</f>
        <v>2.0263022796586296E-2</v>
      </c>
      <c r="Q20" s="48">
        <f>(N20-'Historic Result'!C14)*100*100</f>
        <v>0</v>
      </c>
      <c r="R20" s="45">
        <f>(P20-'Historic Result'!D14)*100*100</f>
        <v>0.8869441400919873</v>
      </c>
      <c r="S20" s="45">
        <f>(N20-'Historic Result'!E14)*100*100</f>
        <v>0</v>
      </c>
      <c r="T20" s="45">
        <f>(P20-'Historic Result'!F14)*100*100</f>
        <v>-3.4191043109869925</v>
      </c>
      <c r="U20" s="45">
        <f>(N20-'Historic Result'!G14)*100*100</f>
        <v>3.1749999999999834</v>
      </c>
      <c r="V20" s="46">
        <f>(P20-'Historic Result'!H14)*100*100</f>
        <v>-5.6468082812570488</v>
      </c>
    </row>
    <row r="21" spans="3:22" ht="13.5" customHeight="1">
      <c r="R21" s="123" t="s">
        <v>84</v>
      </c>
    </row>
    <row r="22" spans="3:22" ht="13.5" customHeight="1">
      <c r="C22" s="74" t="s">
        <v>23</v>
      </c>
      <c r="D22" s="3"/>
      <c r="E22" s="3"/>
      <c r="F22" s="3"/>
      <c r="G22" s="3"/>
      <c r="H22" s="3"/>
      <c r="I22"/>
      <c r="J22"/>
      <c r="K22"/>
      <c r="Q22" s="1"/>
    </row>
    <row r="23" spans="3:22" ht="18" customHeight="1">
      <c r="C23" s="88" t="s">
        <v>24</v>
      </c>
      <c r="D23" s="165" t="s">
        <v>25</v>
      </c>
      <c r="E23" s="166"/>
      <c r="F23" s="167"/>
      <c r="G23"/>
      <c r="H23"/>
      <c r="Q23" s="1"/>
    </row>
    <row r="24" spans="3:22" ht="18" customHeight="1">
      <c r="C24" s="66" t="s">
        <v>26</v>
      </c>
      <c r="D24" s="168">
        <f>VLOOKUP(C24,'Time Series Query'!X13:Z14,3,0)</f>
        <v>2.9577488830812501E-2</v>
      </c>
      <c r="E24" s="169"/>
      <c r="F24" s="170"/>
      <c r="G24" s="27"/>
      <c r="H24" s="27"/>
      <c r="Q24" s="1"/>
    </row>
    <row r="25" spans="3:22" ht="18" customHeight="1">
      <c r="C25" s="67" t="s">
        <v>27</v>
      </c>
      <c r="D25" s="171">
        <f>VLOOKUP(C25,'Time Series Query'!X14:Z15,3,0)</f>
        <v>2.7879477203413702E-2</v>
      </c>
      <c r="E25" s="172"/>
      <c r="F25" s="173"/>
      <c r="G25" s="27"/>
      <c r="H25" s="27"/>
      <c r="Q25" s="1"/>
    </row>
    <row r="72" spans="19:22">
      <c r="S72" s="121" t="s">
        <v>83</v>
      </c>
      <c r="T72" s="120" t="s">
        <v>17</v>
      </c>
      <c r="U72" s="121" t="s">
        <v>83</v>
      </c>
      <c r="V72" s="120" t="s">
        <v>17</v>
      </c>
    </row>
    <row r="73" spans="19:22">
      <c r="S73" s="119"/>
      <c r="T73" s="120" t="s">
        <v>18</v>
      </c>
      <c r="U73" s="119"/>
      <c r="V73" s="120" t="s">
        <v>18</v>
      </c>
    </row>
    <row r="74" spans="19:22">
      <c r="S74" s="119"/>
      <c r="T74" s="120" t="s">
        <v>19</v>
      </c>
      <c r="U74" s="119"/>
      <c r="V74" s="120" t="s">
        <v>19</v>
      </c>
    </row>
    <row r="75" spans="19:22">
      <c r="S75" s="119"/>
      <c r="T75" s="122" t="s">
        <v>20</v>
      </c>
      <c r="U75" s="119"/>
      <c r="V75" s="122" t="s">
        <v>20</v>
      </c>
    </row>
  </sheetData>
  <mergeCells count="29">
    <mergeCell ref="G9:I9"/>
    <mergeCell ref="G10:I10"/>
    <mergeCell ref="G11:I11"/>
    <mergeCell ref="G12:I12"/>
    <mergeCell ref="G13:I13"/>
    <mergeCell ref="D9:F9"/>
    <mergeCell ref="D10:F10"/>
    <mergeCell ref="D11:F11"/>
    <mergeCell ref="D12:F12"/>
    <mergeCell ref="D13:F13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23:F23"/>
    <mergeCell ref="D24:F24"/>
    <mergeCell ref="D25:F25"/>
    <mergeCell ref="D20:E20"/>
    <mergeCell ref="F20:G20"/>
  </mergeCells>
  <conditionalFormatting sqref="Q10:V20">
    <cfRule type="cellIs" dxfId="6" priority="1" operator="lessThan">
      <formula>0</formula>
    </cfRule>
  </conditionalFormatting>
  <dataValidations disablePrompts="1" count="2">
    <dataValidation type="list" allowBlank="1" showInputMessage="1" showErrorMessage="1" sqref="Z1">
      <formula1>"PROD, DEV"</formula1>
    </dataValidation>
    <dataValidation type="list" allowBlank="1" showInputMessage="1" showErrorMessage="1" sqref="AB1">
      <formula1>"Yes, No"</formula1>
    </dataValidation>
  </dataValidations>
  <hyperlinks>
    <hyperlink ref="T72" r:id="rId1" location="closeModal"/>
    <hyperlink ref="T73" r:id="rId2"/>
    <hyperlink ref="T75" r:id="rId3"/>
    <hyperlink ref="T74" r:id="rId4" location="key-benefits"/>
    <hyperlink ref="V72" r:id="rId5" location="closeModal"/>
    <hyperlink ref="V73" r:id="rId6"/>
    <hyperlink ref="V75" r:id="rId7"/>
    <hyperlink ref="V74" r:id="rId8" location="key-benefits"/>
  </hyperlinks>
  <pageMargins left="0.25" right="0.25" top="0.255" bottom="0.25" header="0.1" footer="0.1"/>
  <pageSetup scale="64" orientation="landscape" horizontalDpi="1200" verticalDpi="1200" r:id="rId9"/>
  <headerFooter scaleWithDoc="0">
    <oddHeader>&amp;L&amp;G&amp;C&amp;"-,Bold"&amp;10&amp;K2E398A
&amp;15Daily Originator Mortgage Rates&amp;R&amp;"-,Bold"&amp;10&amp;K2E398A
As of 10/02/2017</oddHeader>
    <oddFooter>&amp;L&amp;10&amp;K2E398AReport created on &amp;D &amp;T&amp;C&amp;G
&amp;8&amp;K2E398APage &amp;P of &amp;N</oddFooter>
  </headerFooter>
  <colBreaks count="1" manualBreakCount="1">
    <brk id="23" max="1048575" man="1"/>
  </colBreaks>
  <drawing r:id="rId10"/>
  <legacyDrawingHF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W4530"/>
  <sheetViews>
    <sheetView topLeftCell="X1" workbookViewId="0">
      <selection activeCell="AK10" sqref="AK10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9" width="13.85546875" style="38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9">
      <c r="G1" s="38" t="s">
        <v>62</v>
      </c>
      <c r="H1" s="38" t="s">
        <v>59</v>
      </c>
      <c r="O1" s="38" t="s">
        <v>61</v>
      </c>
      <c r="P1" s="38" t="s">
        <v>59</v>
      </c>
      <c r="AA1" s="38" t="s">
        <v>82</v>
      </c>
      <c r="AB1" s="38" t="s">
        <v>59</v>
      </c>
      <c r="AD1" s="38" t="s">
        <v>213</v>
      </c>
    </row>
    <row r="2" spans="1:49">
      <c r="H2" s="38" t="s">
        <v>424</v>
      </c>
      <c r="P2" s="38" t="s">
        <v>425</v>
      </c>
      <c r="AB2" s="38" t="s">
        <v>426</v>
      </c>
      <c r="AD2" s="154">
        <v>42066</v>
      </c>
    </row>
    <row r="5" spans="1:49" ht="23.25">
      <c r="A5" s="75" t="s">
        <v>63</v>
      </c>
      <c r="H5" s="75"/>
      <c r="I5" s="75" t="s">
        <v>60</v>
      </c>
      <c r="P5" s="75"/>
      <c r="Q5" s="75" t="s">
        <v>64</v>
      </c>
      <c r="R5" s="75"/>
      <c r="S5" s="75"/>
      <c r="T5" s="75"/>
      <c r="U5" s="75"/>
      <c r="V5" s="75"/>
      <c r="X5" s="75" t="s">
        <v>23</v>
      </c>
      <c r="AC5" s="75" t="s">
        <v>85</v>
      </c>
      <c r="AF5" s="75"/>
      <c r="AJ5" s="75" t="s">
        <v>86</v>
      </c>
      <c r="AM5" s="75"/>
      <c r="AR5" s="75" t="s">
        <v>117</v>
      </c>
      <c r="AS5" s="75"/>
      <c r="AT5" s="75"/>
      <c r="AU5" s="75"/>
      <c r="AV5" s="75"/>
      <c r="AW5" s="75"/>
    </row>
    <row r="6" spans="1:49" s="78" customFormat="1">
      <c r="A6" s="78" t="s">
        <v>45</v>
      </c>
      <c r="B6" s="78" t="s">
        <v>46</v>
      </c>
      <c r="C6" s="78" t="s">
        <v>47</v>
      </c>
      <c r="D6" s="78" t="s">
        <v>48</v>
      </c>
      <c r="E6" s="78" t="s">
        <v>49</v>
      </c>
      <c r="F6" s="78" t="s">
        <v>50</v>
      </c>
      <c r="I6" s="78" t="s">
        <v>46</v>
      </c>
      <c r="J6" s="78" t="s">
        <v>45</v>
      </c>
      <c r="K6" s="78" t="s">
        <v>47</v>
      </c>
      <c r="L6" s="78" t="s">
        <v>48</v>
      </c>
      <c r="M6" s="78" t="s">
        <v>49</v>
      </c>
      <c r="N6" s="78" t="s">
        <v>50</v>
      </c>
      <c r="Q6" s="78" t="s">
        <v>46</v>
      </c>
      <c r="R6" s="78" t="s">
        <v>45</v>
      </c>
      <c r="S6" s="78" t="s">
        <v>47</v>
      </c>
      <c r="T6" s="78" t="s">
        <v>48</v>
      </c>
      <c r="U6" s="78" t="s">
        <v>49</v>
      </c>
      <c r="V6" s="78" t="s">
        <v>50</v>
      </c>
      <c r="X6" s="78" t="s">
        <v>46</v>
      </c>
      <c r="Y6" s="78" t="s">
        <v>49</v>
      </c>
      <c r="Z6" s="78" t="s">
        <v>50</v>
      </c>
      <c r="AC6" s="78" t="s">
        <v>46</v>
      </c>
      <c r="AD6" s="78" t="s">
        <v>45</v>
      </c>
      <c r="AE6" s="78" t="s">
        <v>47</v>
      </c>
      <c r="AF6" s="78" t="s">
        <v>48</v>
      </c>
      <c r="AG6" s="78" t="s">
        <v>49</v>
      </c>
      <c r="AH6" s="78" t="s">
        <v>50</v>
      </c>
      <c r="AJ6" s="78" t="s">
        <v>46</v>
      </c>
      <c r="AK6" s="78" t="s">
        <v>45</v>
      </c>
      <c r="AL6" s="78" t="s">
        <v>47</v>
      </c>
      <c r="AM6" s="78" t="s">
        <v>48</v>
      </c>
      <c r="AN6" s="78" t="s">
        <v>49</v>
      </c>
      <c r="AO6" s="78" t="s">
        <v>50</v>
      </c>
      <c r="AR6" s="78" t="s">
        <v>46</v>
      </c>
      <c r="AS6" s="78" t="s">
        <v>45</v>
      </c>
      <c r="AT6" s="78" t="s">
        <v>47</v>
      </c>
      <c r="AU6" s="78" t="s">
        <v>48</v>
      </c>
      <c r="AV6" s="78" t="s">
        <v>49</v>
      </c>
      <c r="AW6" s="78" t="s">
        <v>50</v>
      </c>
    </row>
    <row r="7" spans="1:49" s="78" customFormat="1">
      <c r="A7" s="78" t="s">
        <v>17</v>
      </c>
      <c r="B7" s="78" t="s">
        <v>52</v>
      </c>
      <c r="C7" s="78" t="s">
        <v>72</v>
      </c>
      <c r="D7" s="78" t="s">
        <v>51</v>
      </c>
      <c r="E7" s="79" t="s">
        <v>427</v>
      </c>
      <c r="F7" s="78">
        <v>4.1821179681285399</v>
      </c>
      <c r="I7" s="78" t="s">
        <v>52</v>
      </c>
      <c r="J7" s="78" t="s">
        <v>17</v>
      </c>
      <c r="K7" s="78" t="s">
        <v>72</v>
      </c>
      <c r="L7" s="78" t="s">
        <v>51</v>
      </c>
      <c r="M7" s="78" t="s">
        <v>424</v>
      </c>
      <c r="N7" s="78">
        <v>4.1408825121982815</v>
      </c>
      <c r="Q7" s="78" t="s">
        <v>52</v>
      </c>
      <c r="R7" s="78" t="s">
        <v>17</v>
      </c>
      <c r="S7" s="78" t="s">
        <v>72</v>
      </c>
      <c r="T7" s="78" t="s">
        <v>51</v>
      </c>
      <c r="U7" s="78" t="s">
        <v>425</v>
      </c>
      <c r="V7" s="78">
        <v>4.1379331815548976</v>
      </c>
      <c r="X7" s="78" t="s">
        <v>74</v>
      </c>
      <c r="Y7" s="78" t="s">
        <v>427</v>
      </c>
      <c r="Z7" s="78">
        <v>2.9577488830812499</v>
      </c>
      <c r="AC7" s="78" t="s">
        <v>52</v>
      </c>
      <c r="AD7" s="78" t="s">
        <v>17</v>
      </c>
      <c r="AE7" s="78" t="s">
        <v>72</v>
      </c>
      <c r="AF7" s="78" t="s">
        <v>51</v>
      </c>
      <c r="AG7" s="78" t="s">
        <v>129</v>
      </c>
      <c r="AH7" s="78">
        <v>4.2554972682965033</v>
      </c>
      <c r="AJ7" s="78" t="s">
        <v>52</v>
      </c>
      <c r="AK7" s="78" t="s">
        <v>17</v>
      </c>
      <c r="AL7" s="78" t="s">
        <v>28</v>
      </c>
      <c r="AM7" s="78" t="s">
        <v>51</v>
      </c>
      <c r="AN7" s="78" t="s">
        <v>129</v>
      </c>
      <c r="AO7" s="78">
        <v>1.4212973282672137</v>
      </c>
      <c r="AR7" s="78" t="s">
        <v>52</v>
      </c>
      <c r="AS7" s="78" t="s">
        <v>17</v>
      </c>
      <c r="AT7" s="78" t="s">
        <v>72</v>
      </c>
      <c r="AU7" s="78" t="s">
        <v>51</v>
      </c>
      <c r="AV7" s="78" t="s">
        <v>426</v>
      </c>
      <c r="AW7" s="78">
        <v>4.0424666256249511</v>
      </c>
    </row>
    <row r="8" spans="1:49" s="78" customFormat="1">
      <c r="A8" s="78" t="s">
        <v>17</v>
      </c>
      <c r="B8" s="78" t="s">
        <v>52</v>
      </c>
      <c r="C8" s="78" t="s">
        <v>0</v>
      </c>
      <c r="D8" s="78" t="s">
        <v>51</v>
      </c>
      <c r="E8" s="79" t="s">
        <v>427</v>
      </c>
      <c r="F8" s="78">
        <v>4.1449999999999996</v>
      </c>
      <c r="I8" s="76" t="s">
        <v>52</v>
      </c>
      <c r="J8" s="76" t="s">
        <v>17</v>
      </c>
      <c r="K8" s="76" t="s">
        <v>0</v>
      </c>
      <c r="L8" s="76" t="s">
        <v>51</v>
      </c>
      <c r="M8" s="76" t="s">
        <v>424</v>
      </c>
      <c r="N8" s="76">
        <v>4.1310000000000002</v>
      </c>
      <c r="Q8" s="78" t="s">
        <v>52</v>
      </c>
      <c r="R8" s="78" t="s">
        <v>17</v>
      </c>
      <c r="S8" s="78" t="s">
        <v>0</v>
      </c>
      <c r="T8" s="78" t="s">
        <v>51</v>
      </c>
      <c r="U8" s="78" t="s">
        <v>425</v>
      </c>
      <c r="V8" s="78">
        <v>4.13</v>
      </c>
      <c r="X8" s="78" t="s">
        <v>73</v>
      </c>
      <c r="Y8" s="78" t="s">
        <v>427</v>
      </c>
      <c r="Z8" s="78">
        <v>2.7879477203413701</v>
      </c>
      <c r="AA8" s="115"/>
      <c r="AC8" s="78" t="s">
        <v>52</v>
      </c>
      <c r="AD8" s="78" t="s">
        <v>17</v>
      </c>
      <c r="AE8" s="78" t="s">
        <v>72</v>
      </c>
      <c r="AF8" s="78" t="s">
        <v>51</v>
      </c>
      <c r="AG8" s="78" t="s">
        <v>130</v>
      </c>
      <c r="AH8" s="78">
        <v>4.2780642423920208</v>
      </c>
      <c r="AJ8" s="78" t="s">
        <v>52</v>
      </c>
      <c r="AK8" s="78" t="s">
        <v>17</v>
      </c>
      <c r="AL8" s="78" t="s">
        <v>28</v>
      </c>
      <c r="AM8" s="78" t="s">
        <v>51</v>
      </c>
      <c r="AN8" s="78" t="s">
        <v>130</v>
      </c>
      <c r="AO8" s="78">
        <v>1.4538805196385804</v>
      </c>
      <c r="AR8" s="78" t="s">
        <v>52</v>
      </c>
      <c r="AS8" s="78" t="s">
        <v>17</v>
      </c>
      <c r="AT8" s="78" t="s">
        <v>0</v>
      </c>
      <c r="AU8" s="78" t="s">
        <v>51</v>
      </c>
      <c r="AV8" s="78" t="s">
        <v>426</v>
      </c>
      <c r="AW8" s="78">
        <v>4.0140000000000002</v>
      </c>
    </row>
    <row r="9" spans="1:49" s="78" customFormat="1">
      <c r="A9" s="78" t="s">
        <v>17</v>
      </c>
      <c r="B9" s="78" t="s">
        <v>52</v>
      </c>
      <c r="C9" s="78" t="s">
        <v>7</v>
      </c>
      <c r="D9" s="78" t="s">
        <v>51</v>
      </c>
      <c r="E9" s="79" t="s">
        <v>427</v>
      </c>
      <c r="F9" s="78">
        <v>0.73</v>
      </c>
      <c r="I9" s="76" t="s">
        <v>52</v>
      </c>
      <c r="J9" s="76" t="s">
        <v>17</v>
      </c>
      <c r="K9" s="76" t="s">
        <v>7</v>
      </c>
      <c r="L9" s="76" t="s">
        <v>51</v>
      </c>
      <c r="M9" s="76" t="s">
        <v>424</v>
      </c>
      <c r="N9" s="76">
        <v>0.56399999999999995</v>
      </c>
      <c r="Q9" s="78" t="s">
        <v>52</v>
      </c>
      <c r="R9" s="78" t="s">
        <v>17</v>
      </c>
      <c r="S9" s="78" t="s">
        <v>7</v>
      </c>
      <c r="T9" s="78" t="s">
        <v>51</v>
      </c>
      <c r="U9" s="78" t="s">
        <v>425</v>
      </c>
      <c r="V9" s="78">
        <v>0.54800000000000004</v>
      </c>
      <c r="X9" s="78" t="s">
        <v>428</v>
      </c>
      <c r="Y9" s="78" t="s">
        <v>427</v>
      </c>
      <c r="Z9" s="78">
        <v>6.6174900000000002E-3</v>
      </c>
      <c r="AC9" s="78" t="s">
        <v>52</v>
      </c>
      <c r="AD9" s="78" t="s">
        <v>17</v>
      </c>
      <c r="AE9" s="78" t="s">
        <v>72</v>
      </c>
      <c r="AF9" s="78" t="s">
        <v>51</v>
      </c>
      <c r="AG9" s="78" t="s">
        <v>131</v>
      </c>
      <c r="AH9" s="78">
        <v>4.2751400125465349</v>
      </c>
      <c r="AJ9" s="78" t="s">
        <v>52</v>
      </c>
      <c r="AK9" s="78" t="s">
        <v>17</v>
      </c>
      <c r="AL9" s="78" t="s">
        <v>28</v>
      </c>
      <c r="AM9" s="78" t="s">
        <v>51</v>
      </c>
      <c r="AN9" s="78" t="s">
        <v>131</v>
      </c>
      <c r="AO9" s="78">
        <v>1.4595784375698646</v>
      </c>
      <c r="AR9" s="78" t="s">
        <v>52</v>
      </c>
      <c r="AS9" s="78" t="s">
        <v>17</v>
      </c>
      <c r="AT9" s="78" t="s">
        <v>7</v>
      </c>
      <c r="AU9" s="78" t="s">
        <v>51</v>
      </c>
      <c r="AV9" s="78" t="s">
        <v>426</v>
      </c>
      <c r="AW9" s="78">
        <v>0.67800000000000005</v>
      </c>
    </row>
    <row r="10" spans="1:49" s="78" customFormat="1">
      <c r="A10" s="78" t="s">
        <v>17</v>
      </c>
      <c r="B10" s="78" t="s">
        <v>52</v>
      </c>
      <c r="C10" s="78" t="s">
        <v>25</v>
      </c>
      <c r="D10" s="78" t="s">
        <v>51</v>
      </c>
      <c r="E10" s="79" t="s">
        <v>427</v>
      </c>
      <c r="F10" s="78">
        <v>4</v>
      </c>
      <c r="I10" s="76" t="s">
        <v>52</v>
      </c>
      <c r="J10" s="76" t="s">
        <v>17</v>
      </c>
      <c r="K10" s="76" t="s">
        <v>25</v>
      </c>
      <c r="L10" s="76" t="s">
        <v>51</v>
      </c>
      <c r="M10" s="76" t="s">
        <v>424</v>
      </c>
      <c r="N10" s="76">
        <v>4</v>
      </c>
      <c r="Q10" s="78" t="s">
        <v>52</v>
      </c>
      <c r="R10" s="78" t="s">
        <v>17</v>
      </c>
      <c r="S10" s="78" t="s">
        <v>25</v>
      </c>
      <c r="T10" s="78" t="s">
        <v>51</v>
      </c>
      <c r="U10" s="78" t="s">
        <v>425</v>
      </c>
      <c r="V10" s="78">
        <v>4</v>
      </c>
      <c r="AC10" s="78" t="s">
        <v>52</v>
      </c>
      <c r="AD10" s="78" t="s">
        <v>17</v>
      </c>
      <c r="AE10" s="78" t="s">
        <v>72</v>
      </c>
      <c r="AF10" s="78" t="s">
        <v>51</v>
      </c>
      <c r="AG10" s="78" t="s">
        <v>132</v>
      </c>
      <c r="AH10" s="78">
        <v>4.3664099742286595</v>
      </c>
      <c r="AJ10" s="78" t="s">
        <v>52</v>
      </c>
      <c r="AK10" s="78" t="s">
        <v>17</v>
      </c>
      <c r="AL10" s="78" t="s">
        <v>28</v>
      </c>
      <c r="AM10" s="78" t="s">
        <v>51</v>
      </c>
      <c r="AN10" s="78" t="s">
        <v>132</v>
      </c>
      <c r="AO10" s="78">
        <v>1.4360929633267601</v>
      </c>
      <c r="AR10" s="78" t="s">
        <v>52</v>
      </c>
      <c r="AS10" s="78" t="s">
        <v>17</v>
      </c>
      <c r="AT10" s="78" t="s">
        <v>25</v>
      </c>
      <c r="AU10" s="78" t="s">
        <v>51</v>
      </c>
      <c r="AV10" s="78" t="s">
        <v>426</v>
      </c>
      <c r="AW10" s="78">
        <v>3.875</v>
      </c>
    </row>
    <row r="11" spans="1:49" s="78" customFormat="1">
      <c r="A11" s="78" t="s">
        <v>17</v>
      </c>
      <c r="B11" s="78" t="s">
        <v>52</v>
      </c>
      <c r="C11" s="78" t="s">
        <v>28</v>
      </c>
      <c r="D11" s="78" t="s">
        <v>51</v>
      </c>
      <c r="E11" s="79" t="s">
        <v>427</v>
      </c>
      <c r="F11" s="78">
        <v>1.2243690850472895</v>
      </c>
      <c r="I11" s="76" t="s">
        <v>52</v>
      </c>
      <c r="J11" s="76" t="s">
        <v>17</v>
      </c>
      <c r="K11" s="76" t="s">
        <v>28</v>
      </c>
      <c r="L11" s="76" t="s">
        <v>51</v>
      </c>
      <c r="M11" s="76" t="s">
        <v>424</v>
      </c>
      <c r="N11" s="76">
        <v>1.1876722827307316</v>
      </c>
      <c r="Q11" s="78" t="s">
        <v>52</v>
      </c>
      <c r="R11" s="78" t="s">
        <v>17</v>
      </c>
      <c r="S11" s="78" t="s">
        <v>28</v>
      </c>
      <c r="T11" s="78" t="s">
        <v>51</v>
      </c>
      <c r="U11" s="78" t="s">
        <v>425</v>
      </c>
      <c r="V11" s="78">
        <v>1.253868588468487</v>
      </c>
      <c r="AC11" s="78" t="s">
        <v>52</v>
      </c>
      <c r="AD11" s="78" t="s">
        <v>17</v>
      </c>
      <c r="AE11" s="78" t="s">
        <v>72</v>
      </c>
      <c r="AF11" s="78" t="s">
        <v>51</v>
      </c>
      <c r="AG11" s="78" t="s">
        <v>133</v>
      </c>
      <c r="AH11" s="78">
        <v>4.313965889771076</v>
      </c>
      <c r="AJ11" s="78" t="s">
        <v>52</v>
      </c>
      <c r="AK11" s="78" t="s">
        <v>17</v>
      </c>
      <c r="AL11" s="78" t="s">
        <v>28</v>
      </c>
      <c r="AM11" s="78" t="s">
        <v>51</v>
      </c>
      <c r="AN11" s="78" t="s">
        <v>133</v>
      </c>
      <c r="AO11" s="78">
        <v>1.4117383662411456</v>
      </c>
      <c r="AR11" s="78" t="s">
        <v>52</v>
      </c>
      <c r="AS11" s="78" t="s">
        <v>17</v>
      </c>
      <c r="AT11" s="78" t="s">
        <v>28</v>
      </c>
      <c r="AU11" s="78" t="s">
        <v>51</v>
      </c>
      <c r="AV11" s="78" t="s">
        <v>426</v>
      </c>
      <c r="AW11" s="78">
        <v>1.1998350939585112</v>
      </c>
    </row>
    <row r="12" spans="1:49" s="78" customFormat="1">
      <c r="A12" s="78" t="s">
        <v>18</v>
      </c>
      <c r="B12" s="78" t="s">
        <v>52</v>
      </c>
      <c r="C12" s="78" t="s">
        <v>72</v>
      </c>
      <c r="D12" s="78" t="s">
        <v>51</v>
      </c>
      <c r="E12" s="79" t="s">
        <v>427</v>
      </c>
      <c r="F12" s="78">
        <v>3.8425411667081901</v>
      </c>
      <c r="I12" s="76" t="s">
        <v>52</v>
      </c>
      <c r="J12" s="76" t="s">
        <v>18</v>
      </c>
      <c r="K12" s="76" t="s">
        <v>72</v>
      </c>
      <c r="L12" s="76" t="s">
        <v>51</v>
      </c>
      <c r="M12" s="76" t="s">
        <v>424</v>
      </c>
      <c r="N12" s="76">
        <v>3.8426337494806249</v>
      </c>
      <c r="Q12" s="78" t="s">
        <v>52</v>
      </c>
      <c r="R12" s="78" t="s">
        <v>18</v>
      </c>
      <c r="S12" s="78" t="s">
        <v>72</v>
      </c>
      <c r="T12" s="78" t="s">
        <v>51</v>
      </c>
      <c r="U12" s="78" t="s">
        <v>425</v>
      </c>
      <c r="V12" s="78">
        <v>3.8124950348616728</v>
      </c>
      <c r="AA12" s="116"/>
      <c r="AB12" s="91"/>
      <c r="AC12" s="78" t="s">
        <v>52</v>
      </c>
      <c r="AD12" s="78" t="s">
        <v>17</v>
      </c>
      <c r="AE12" s="78" t="s">
        <v>72</v>
      </c>
      <c r="AF12" s="78" t="s">
        <v>51</v>
      </c>
      <c r="AG12" s="78" t="s">
        <v>134</v>
      </c>
      <c r="AH12" s="78">
        <v>4.2809879501510846</v>
      </c>
      <c r="AJ12" s="78" t="s">
        <v>52</v>
      </c>
      <c r="AK12" s="78" t="s">
        <v>17</v>
      </c>
      <c r="AL12" s="78" t="s">
        <v>28</v>
      </c>
      <c r="AM12" s="78" t="s">
        <v>51</v>
      </c>
      <c r="AN12" s="78" t="s">
        <v>134</v>
      </c>
      <c r="AO12" s="78">
        <v>1.434637613344325</v>
      </c>
      <c r="AR12" s="78" t="s">
        <v>52</v>
      </c>
      <c r="AS12" s="78" t="s">
        <v>18</v>
      </c>
      <c r="AT12" s="78" t="s">
        <v>72</v>
      </c>
      <c r="AU12" s="78" t="s">
        <v>51</v>
      </c>
      <c r="AV12" s="78" t="s">
        <v>426</v>
      </c>
      <c r="AW12" s="78">
        <v>3.7493301282064344</v>
      </c>
    </row>
    <row r="13" spans="1:49" s="78" customFormat="1">
      <c r="A13" s="78" t="s">
        <v>18</v>
      </c>
      <c r="B13" s="78" t="s">
        <v>52</v>
      </c>
      <c r="C13" s="78" t="s">
        <v>0</v>
      </c>
      <c r="D13" s="78" t="s">
        <v>51</v>
      </c>
      <c r="E13" s="79" t="s">
        <v>427</v>
      </c>
      <c r="F13" s="78">
        <v>3.9470000000000001</v>
      </c>
      <c r="I13" s="76" t="s">
        <v>52</v>
      </c>
      <c r="J13" s="76" t="s">
        <v>18</v>
      </c>
      <c r="K13" s="76" t="s">
        <v>0</v>
      </c>
      <c r="L13" s="76" t="s">
        <v>51</v>
      </c>
      <c r="M13" s="76" t="s">
        <v>424</v>
      </c>
      <c r="N13" s="76">
        <v>3.863</v>
      </c>
      <c r="Q13" s="78" t="s">
        <v>52</v>
      </c>
      <c r="R13" s="78" t="s">
        <v>18</v>
      </c>
      <c r="S13" s="78" t="s">
        <v>0</v>
      </c>
      <c r="T13" s="78" t="s">
        <v>51</v>
      </c>
      <c r="U13" s="78" t="s">
        <v>425</v>
      </c>
      <c r="V13" s="78">
        <v>3.9369999999999998</v>
      </c>
      <c r="X13" s="92" t="s">
        <v>26</v>
      </c>
      <c r="Y13" s="93" t="s">
        <v>74</v>
      </c>
      <c r="Z13" s="93">
        <f>VLOOKUP(Y13,OneWeekMtgRatesDataTable7[],3,0)/100</f>
        <v>2.9577488830812501E-2</v>
      </c>
      <c r="AA13" s="116"/>
      <c r="AB13" s="91"/>
      <c r="AC13" s="78" t="s">
        <v>52</v>
      </c>
      <c r="AD13" s="78" t="s">
        <v>17</v>
      </c>
      <c r="AE13" s="78" t="s">
        <v>72</v>
      </c>
      <c r="AF13" s="78" t="s">
        <v>51</v>
      </c>
      <c r="AG13" s="78" t="s">
        <v>135</v>
      </c>
      <c r="AH13" s="78">
        <v>4.2692899861563207</v>
      </c>
      <c r="AJ13" s="78" t="s">
        <v>52</v>
      </c>
      <c r="AK13" s="78" t="s">
        <v>17</v>
      </c>
      <c r="AL13" s="78" t="s">
        <v>28</v>
      </c>
      <c r="AM13" s="78" t="s">
        <v>51</v>
      </c>
      <c r="AN13" s="78" t="s">
        <v>135</v>
      </c>
      <c r="AO13" s="78">
        <v>1.4414546828382009</v>
      </c>
      <c r="AR13" s="78" t="s">
        <v>52</v>
      </c>
      <c r="AS13" s="78" t="s">
        <v>18</v>
      </c>
      <c r="AT13" s="78" t="s">
        <v>0</v>
      </c>
      <c r="AU13" s="78" t="s">
        <v>51</v>
      </c>
      <c r="AV13" s="78" t="s">
        <v>426</v>
      </c>
      <c r="AW13" s="78">
        <v>3.8319999999999999</v>
      </c>
    </row>
    <row r="14" spans="1:49" s="78" customFormat="1">
      <c r="A14" s="78" t="s">
        <v>18</v>
      </c>
      <c r="B14" s="78" t="s">
        <v>52</v>
      </c>
      <c r="C14" s="78" t="s">
        <v>7</v>
      </c>
      <c r="D14" s="78" t="s">
        <v>51</v>
      </c>
      <c r="E14" s="79" t="s">
        <v>427</v>
      </c>
      <c r="F14" s="78">
        <v>0.875</v>
      </c>
      <c r="I14" s="76" t="s">
        <v>52</v>
      </c>
      <c r="J14" s="76" t="s">
        <v>18</v>
      </c>
      <c r="K14" s="76" t="s">
        <v>7</v>
      </c>
      <c r="L14" s="76" t="s">
        <v>51</v>
      </c>
      <c r="M14" s="76" t="s">
        <v>424</v>
      </c>
      <c r="N14" s="76">
        <v>1.375</v>
      </c>
      <c r="Q14" s="78" t="s">
        <v>52</v>
      </c>
      <c r="R14" s="78" t="s">
        <v>18</v>
      </c>
      <c r="S14" s="78" t="s">
        <v>7</v>
      </c>
      <c r="T14" s="78" t="s">
        <v>51</v>
      </c>
      <c r="U14" s="78" t="s">
        <v>425</v>
      </c>
      <c r="V14" s="78">
        <v>0.75</v>
      </c>
      <c r="X14" s="92" t="s">
        <v>27</v>
      </c>
      <c r="Y14" s="94" t="s">
        <v>73</v>
      </c>
      <c r="Z14" s="93">
        <f>VLOOKUP(Y14,OneWeekMtgRatesDataTable7[],3,0)/100</f>
        <v>2.7879477203413702E-2</v>
      </c>
      <c r="AC14" s="78" t="s">
        <v>52</v>
      </c>
      <c r="AD14" s="78" t="s">
        <v>17</v>
      </c>
      <c r="AE14" s="78" t="s">
        <v>72</v>
      </c>
      <c r="AF14" s="78" t="s">
        <v>51</v>
      </c>
      <c r="AG14" s="78" t="s">
        <v>136</v>
      </c>
      <c r="AH14" s="78">
        <v>4.1871698000587845</v>
      </c>
      <c r="AJ14" s="78" t="s">
        <v>52</v>
      </c>
      <c r="AK14" s="78" t="s">
        <v>17</v>
      </c>
      <c r="AL14" s="78" t="s">
        <v>28</v>
      </c>
      <c r="AM14" s="78" t="s">
        <v>51</v>
      </c>
      <c r="AN14" s="78" t="s">
        <v>136</v>
      </c>
      <c r="AO14" s="78">
        <v>1.3733506898048042</v>
      </c>
      <c r="AR14" s="78" t="s">
        <v>52</v>
      </c>
      <c r="AS14" s="78" t="s">
        <v>18</v>
      </c>
      <c r="AT14" s="78" t="s">
        <v>7</v>
      </c>
      <c r="AU14" s="78" t="s">
        <v>51</v>
      </c>
      <c r="AV14" s="78" t="s">
        <v>426</v>
      </c>
      <c r="AW14" s="78">
        <v>1</v>
      </c>
    </row>
    <row r="15" spans="1:49" s="78" customFormat="1">
      <c r="A15" s="78" t="s">
        <v>18</v>
      </c>
      <c r="B15" s="78" t="s">
        <v>52</v>
      </c>
      <c r="C15" s="78" t="s">
        <v>25</v>
      </c>
      <c r="D15" s="78" t="s">
        <v>51</v>
      </c>
      <c r="E15" s="79" t="s">
        <v>427</v>
      </c>
      <c r="F15" s="78">
        <v>3.875</v>
      </c>
      <c r="I15" s="76" t="s">
        <v>52</v>
      </c>
      <c r="J15" s="76" t="s">
        <v>18</v>
      </c>
      <c r="K15" s="76" t="s">
        <v>25</v>
      </c>
      <c r="L15" s="76" t="s">
        <v>51</v>
      </c>
      <c r="M15" s="76" t="s">
        <v>424</v>
      </c>
      <c r="N15" s="76">
        <v>3.75</v>
      </c>
      <c r="Q15" s="78" t="s">
        <v>52</v>
      </c>
      <c r="R15" s="78" t="s">
        <v>18</v>
      </c>
      <c r="S15" s="78" t="s">
        <v>25</v>
      </c>
      <c r="T15" s="78" t="s">
        <v>51</v>
      </c>
      <c r="U15" s="78" t="s">
        <v>425</v>
      </c>
      <c r="V15" s="78">
        <v>3.875</v>
      </c>
      <c r="AC15" s="78" t="s">
        <v>52</v>
      </c>
      <c r="AD15" s="78" t="s">
        <v>17</v>
      </c>
      <c r="AE15" s="78" t="s">
        <v>72</v>
      </c>
      <c r="AF15" s="78" t="s">
        <v>51</v>
      </c>
      <c r="AG15" s="78" t="s">
        <v>137</v>
      </c>
      <c r="AH15" s="78">
        <v>4.2517273654617371</v>
      </c>
      <c r="AJ15" s="78" t="s">
        <v>52</v>
      </c>
      <c r="AK15" s="78" t="s">
        <v>17</v>
      </c>
      <c r="AL15" s="78" t="s">
        <v>28</v>
      </c>
      <c r="AM15" s="78" t="s">
        <v>51</v>
      </c>
      <c r="AN15" s="78" t="s">
        <v>137</v>
      </c>
      <c r="AO15" s="78">
        <v>1.4202216163192376</v>
      </c>
      <c r="AR15" s="78" t="s">
        <v>52</v>
      </c>
      <c r="AS15" s="78" t="s">
        <v>18</v>
      </c>
      <c r="AT15" s="78" t="s">
        <v>25</v>
      </c>
      <c r="AU15" s="78" t="s">
        <v>51</v>
      </c>
      <c r="AV15" s="78" t="s">
        <v>426</v>
      </c>
      <c r="AW15" s="78">
        <v>3.75</v>
      </c>
    </row>
    <row r="16" spans="1:49" s="78" customFormat="1">
      <c r="A16" s="78" t="s">
        <v>18</v>
      </c>
      <c r="B16" s="78" t="s">
        <v>52</v>
      </c>
      <c r="C16" s="78" t="s">
        <v>28</v>
      </c>
      <c r="D16" s="78" t="s">
        <v>51</v>
      </c>
      <c r="E16" s="79" t="s">
        <v>427</v>
      </c>
      <c r="F16" s="78">
        <v>0.88479228362694018</v>
      </c>
      <c r="I16" s="76" t="s">
        <v>52</v>
      </c>
      <c r="J16" s="76" t="s">
        <v>18</v>
      </c>
      <c r="K16" s="76" t="s">
        <v>28</v>
      </c>
      <c r="L16" s="76" t="s">
        <v>51</v>
      </c>
      <c r="M16" s="76" t="s">
        <v>424</v>
      </c>
      <c r="N16" s="76">
        <v>0.8894235200130749</v>
      </c>
      <c r="Q16" s="78" t="s">
        <v>52</v>
      </c>
      <c r="R16" s="78" t="s">
        <v>18</v>
      </c>
      <c r="S16" s="78" t="s">
        <v>28</v>
      </c>
      <c r="T16" s="78" t="s">
        <v>51</v>
      </c>
      <c r="U16" s="78" t="s">
        <v>425</v>
      </c>
      <c r="V16" s="78">
        <v>0.92843044177526279</v>
      </c>
      <c r="AC16" s="78" t="s">
        <v>52</v>
      </c>
      <c r="AD16" s="78" t="s">
        <v>17</v>
      </c>
      <c r="AE16" s="78" t="s">
        <v>72</v>
      </c>
      <c r="AF16" s="78" t="s">
        <v>51</v>
      </c>
      <c r="AG16" s="78" t="s">
        <v>138</v>
      </c>
      <c r="AH16" s="78">
        <v>4.1695190979670524</v>
      </c>
      <c r="AJ16" s="78" t="s">
        <v>52</v>
      </c>
      <c r="AK16" s="78" t="s">
        <v>17</v>
      </c>
      <c r="AL16" s="78" t="s">
        <v>28</v>
      </c>
      <c r="AM16" s="78" t="s">
        <v>51</v>
      </c>
      <c r="AN16" s="78" t="s">
        <v>138</v>
      </c>
      <c r="AO16" s="78">
        <v>1.3453422461391324</v>
      </c>
      <c r="AR16" s="78" t="s">
        <v>52</v>
      </c>
      <c r="AS16" s="78" t="s">
        <v>18</v>
      </c>
      <c r="AT16" s="78" t="s">
        <v>28</v>
      </c>
      <c r="AU16" s="78" t="s">
        <v>51</v>
      </c>
      <c r="AV16" s="78" t="s">
        <v>426</v>
      </c>
      <c r="AW16" s="78">
        <v>0.90669859653999441</v>
      </c>
    </row>
    <row r="17" spans="1:49" s="78" customFormat="1">
      <c r="A17" s="78" t="s">
        <v>19</v>
      </c>
      <c r="B17" s="78" t="s">
        <v>52</v>
      </c>
      <c r="C17" s="78" t="s">
        <v>72</v>
      </c>
      <c r="D17" s="78" t="s">
        <v>51</v>
      </c>
      <c r="E17" s="79" t="s">
        <v>427</v>
      </c>
      <c r="F17" s="78">
        <v>4.3364393474588088</v>
      </c>
      <c r="I17" s="76" t="s">
        <v>52</v>
      </c>
      <c r="J17" s="76" t="s">
        <v>19</v>
      </c>
      <c r="K17" s="76" t="s">
        <v>72</v>
      </c>
      <c r="L17" s="76" t="s">
        <v>51</v>
      </c>
      <c r="M17" s="76" t="s">
        <v>424</v>
      </c>
      <c r="N17" s="76">
        <v>4.3364279754872603</v>
      </c>
      <c r="Q17" s="78" t="s">
        <v>52</v>
      </c>
      <c r="R17" s="78" t="s">
        <v>19</v>
      </c>
      <c r="S17" s="78" t="s">
        <v>72</v>
      </c>
      <c r="T17" s="78" t="s">
        <v>51</v>
      </c>
      <c r="U17" s="78" t="s">
        <v>425</v>
      </c>
      <c r="V17" s="78">
        <v>4.3364279754872603</v>
      </c>
      <c r="AC17" s="78" t="s">
        <v>52</v>
      </c>
      <c r="AD17" s="78" t="s">
        <v>17</v>
      </c>
      <c r="AE17" s="78" t="s">
        <v>72</v>
      </c>
      <c r="AF17" s="78" t="s">
        <v>51</v>
      </c>
      <c r="AG17" s="78" t="s">
        <v>139</v>
      </c>
      <c r="AH17" s="78">
        <v>4.1400591551201122</v>
      </c>
      <c r="AJ17" s="78" t="s">
        <v>52</v>
      </c>
      <c r="AK17" s="78" t="s">
        <v>17</v>
      </c>
      <c r="AL17" s="78" t="s">
        <v>28</v>
      </c>
      <c r="AM17" s="78" t="s">
        <v>51</v>
      </c>
      <c r="AN17" s="78" t="s">
        <v>139</v>
      </c>
      <c r="AO17" s="78">
        <v>1.3442181458154518</v>
      </c>
      <c r="AR17" s="78" t="s">
        <v>52</v>
      </c>
      <c r="AS17" s="78" t="s">
        <v>19</v>
      </c>
      <c r="AT17" s="78" t="s">
        <v>72</v>
      </c>
      <c r="AU17" s="78" t="s">
        <v>51</v>
      </c>
      <c r="AV17" s="78" t="s">
        <v>426</v>
      </c>
      <c r="AW17" s="78">
        <v>4.2488084289060692</v>
      </c>
    </row>
    <row r="18" spans="1:49" s="78" customFormat="1">
      <c r="A18" s="78" t="s">
        <v>19</v>
      </c>
      <c r="B18" s="78" t="s">
        <v>52</v>
      </c>
      <c r="C18" s="78" t="s">
        <v>0</v>
      </c>
      <c r="D18" s="78" t="s">
        <v>51</v>
      </c>
      <c r="E18" s="79" t="s">
        <v>427</v>
      </c>
      <c r="F18" s="78">
        <v>4.1139999999999999</v>
      </c>
      <c r="I18" s="76" t="s">
        <v>52</v>
      </c>
      <c r="J18" s="76" t="s">
        <v>19</v>
      </c>
      <c r="K18" s="76" t="s">
        <v>0</v>
      </c>
      <c r="L18" s="76" t="s">
        <v>51</v>
      </c>
      <c r="M18" s="76" t="s">
        <v>424</v>
      </c>
      <c r="N18" s="76">
        <v>4.03</v>
      </c>
      <c r="Q18" s="78" t="s">
        <v>52</v>
      </c>
      <c r="R18" s="78" t="s">
        <v>19</v>
      </c>
      <c r="S18" s="78" t="s">
        <v>0</v>
      </c>
      <c r="T18" s="78" t="s">
        <v>51</v>
      </c>
      <c r="U18" s="78" t="s">
        <v>425</v>
      </c>
      <c r="V18" s="78">
        <v>4.03</v>
      </c>
      <c r="AC18" s="78" t="s">
        <v>52</v>
      </c>
      <c r="AD18" s="78" t="s">
        <v>17</v>
      </c>
      <c r="AE18" s="78" t="s">
        <v>72</v>
      </c>
      <c r="AF18" s="78" t="s">
        <v>51</v>
      </c>
      <c r="AG18" s="78" t="s">
        <v>140</v>
      </c>
      <c r="AH18" s="78">
        <v>4.1164532413786334</v>
      </c>
      <c r="AJ18" s="78" t="s">
        <v>52</v>
      </c>
      <c r="AK18" s="78" t="s">
        <v>17</v>
      </c>
      <c r="AL18" s="78" t="s">
        <v>28</v>
      </c>
      <c r="AM18" s="78" t="s">
        <v>51</v>
      </c>
      <c r="AN18" s="78" t="s">
        <v>140</v>
      </c>
      <c r="AO18" s="78">
        <v>1.4236043382832138</v>
      </c>
      <c r="AR18" s="78" t="s">
        <v>52</v>
      </c>
      <c r="AS18" s="78" t="s">
        <v>19</v>
      </c>
      <c r="AT18" s="78" t="s">
        <v>0</v>
      </c>
      <c r="AU18" s="78" t="s">
        <v>51</v>
      </c>
      <c r="AV18" s="78" t="s">
        <v>426</v>
      </c>
      <c r="AW18" s="78">
        <v>4</v>
      </c>
    </row>
    <row r="19" spans="1:49" s="78" customFormat="1">
      <c r="A19" s="78" t="s">
        <v>19</v>
      </c>
      <c r="B19" s="78" t="s">
        <v>52</v>
      </c>
      <c r="C19" s="78" t="s">
        <v>7</v>
      </c>
      <c r="D19" s="78" t="s">
        <v>51</v>
      </c>
      <c r="E19" s="79" t="s">
        <v>427</v>
      </c>
      <c r="F19" s="78">
        <v>1.75</v>
      </c>
      <c r="I19" s="76" t="s">
        <v>52</v>
      </c>
      <c r="J19" s="76" t="s">
        <v>19</v>
      </c>
      <c r="K19" s="76" t="s">
        <v>7</v>
      </c>
      <c r="L19" s="76" t="s">
        <v>51</v>
      </c>
      <c r="M19" s="76" t="s">
        <v>424</v>
      </c>
      <c r="N19" s="76">
        <v>2.25</v>
      </c>
      <c r="Q19" s="78" t="s">
        <v>52</v>
      </c>
      <c r="R19" s="78" t="s">
        <v>19</v>
      </c>
      <c r="S19" s="78" t="s">
        <v>7</v>
      </c>
      <c r="T19" s="78" t="s">
        <v>51</v>
      </c>
      <c r="U19" s="78" t="s">
        <v>425</v>
      </c>
      <c r="V19" s="78">
        <v>2.25</v>
      </c>
      <c r="AC19" s="78" t="s">
        <v>52</v>
      </c>
      <c r="AD19" s="78" t="s">
        <v>17</v>
      </c>
      <c r="AE19" s="78" t="s">
        <v>72</v>
      </c>
      <c r="AF19" s="78" t="s">
        <v>51</v>
      </c>
      <c r="AG19" s="78" t="s">
        <v>141</v>
      </c>
      <c r="AH19" s="78">
        <v>4.066228818482883</v>
      </c>
      <c r="AJ19" s="78" t="s">
        <v>52</v>
      </c>
      <c r="AK19" s="78" t="s">
        <v>17</v>
      </c>
      <c r="AL19" s="78" t="s">
        <v>28</v>
      </c>
      <c r="AM19" s="78" t="s">
        <v>51</v>
      </c>
      <c r="AN19" s="78" t="s">
        <v>141</v>
      </c>
      <c r="AO19" s="78">
        <v>1.3566722547216032</v>
      </c>
      <c r="AR19" s="78" t="s">
        <v>52</v>
      </c>
      <c r="AS19" s="78" t="s">
        <v>19</v>
      </c>
      <c r="AT19" s="78" t="s">
        <v>7</v>
      </c>
      <c r="AU19" s="78" t="s">
        <v>51</v>
      </c>
      <c r="AV19" s="78" t="s">
        <v>426</v>
      </c>
      <c r="AW19" s="78">
        <v>2</v>
      </c>
    </row>
    <row r="20" spans="1:49" s="78" customFormat="1">
      <c r="A20" s="78" t="s">
        <v>19</v>
      </c>
      <c r="B20" s="78" t="s">
        <v>52</v>
      </c>
      <c r="C20" s="78" t="s">
        <v>25</v>
      </c>
      <c r="D20" s="78" t="s">
        <v>51</v>
      </c>
      <c r="E20" s="79" t="s">
        <v>427</v>
      </c>
      <c r="F20" s="78">
        <v>3.875</v>
      </c>
      <c r="I20" s="76" t="s">
        <v>52</v>
      </c>
      <c r="J20" s="76" t="s">
        <v>19</v>
      </c>
      <c r="K20" s="76" t="s">
        <v>25</v>
      </c>
      <c r="L20" s="76" t="s">
        <v>51</v>
      </c>
      <c r="M20" s="76" t="s">
        <v>424</v>
      </c>
      <c r="N20" s="76">
        <v>3.75</v>
      </c>
      <c r="Q20" s="78" t="s">
        <v>52</v>
      </c>
      <c r="R20" s="78" t="s">
        <v>19</v>
      </c>
      <c r="S20" s="78" t="s">
        <v>25</v>
      </c>
      <c r="T20" s="78" t="s">
        <v>51</v>
      </c>
      <c r="U20" s="78" t="s">
        <v>425</v>
      </c>
      <c r="V20" s="78">
        <v>3.75</v>
      </c>
      <c r="AC20" s="78" t="s">
        <v>52</v>
      </c>
      <c r="AD20" s="78" t="s">
        <v>17</v>
      </c>
      <c r="AE20" s="78" t="s">
        <v>72</v>
      </c>
      <c r="AF20" s="78" t="s">
        <v>51</v>
      </c>
      <c r="AG20" s="78" t="s">
        <v>142</v>
      </c>
      <c r="AH20" s="78">
        <v>4.0425219308185625</v>
      </c>
      <c r="AJ20" s="78" t="s">
        <v>52</v>
      </c>
      <c r="AK20" s="78" t="s">
        <v>17</v>
      </c>
      <c r="AL20" s="78" t="s">
        <v>28</v>
      </c>
      <c r="AM20" s="78" t="s">
        <v>51</v>
      </c>
      <c r="AN20" s="78" t="s">
        <v>142</v>
      </c>
      <c r="AO20" s="78">
        <v>1.3707489922748624</v>
      </c>
      <c r="AR20" s="78" t="s">
        <v>52</v>
      </c>
      <c r="AS20" s="78" t="s">
        <v>19</v>
      </c>
      <c r="AT20" s="78" t="s">
        <v>25</v>
      </c>
      <c r="AU20" s="78" t="s">
        <v>51</v>
      </c>
      <c r="AV20" s="78" t="s">
        <v>426</v>
      </c>
      <c r="AW20" s="78">
        <v>3.75</v>
      </c>
    </row>
    <row r="21" spans="1:49" s="78" customFormat="1">
      <c r="A21" s="78" t="s">
        <v>19</v>
      </c>
      <c r="B21" s="78" t="s">
        <v>52</v>
      </c>
      <c r="C21" s="78" t="s">
        <v>28</v>
      </c>
      <c r="D21" s="78" t="s">
        <v>51</v>
      </c>
      <c r="E21" s="79" t="s">
        <v>427</v>
      </c>
      <c r="F21" s="78">
        <v>1.3786904643775584</v>
      </c>
      <c r="I21" s="76" t="s">
        <v>52</v>
      </c>
      <c r="J21" s="76" t="s">
        <v>19</v>
      </c>
      <c r="K21" s="76" t="s">
        <v>28</v>
      </c>
      <c r="L21" s="76" t="s">
        <v>51</v>
      </c>
      <c r="M21" s="76" t="s">
        <v>424</v>
      </c>
      <c r="N21" s="76">
        <v>1.3832177460197108</v>
      </c>
      <c r="Q21" s="78" t="s">
        <v>52</v>
      </c>
      <c r="R21" s="78" t="s">
        <v>19</v>
      </c>
      <c r="S21" s="78" t="s">
        <v>28</v>
      </c>
      <c r="T21" s="78" t="s">
        <v>51</v>
      </c>
      <c r="U21" s="78" t="s">
        <v>425</v>
      </c>
      <c r="V21" s="78">
        <v>1.4523633824008504</v>
      </c>
      <c r="AC21" s="78" t="s">
        <v>52</v>
      </c>
      <c r="AD21" s="78" t="s">
        <v>17</v>
      </c>
      <c r="AE21" s="78" t="s">
        <v>72</v>
      </c>
      <c r="AF21" s="78" t="s">
        <v>51</v>
      </c>
      <c r="AG21" s="78" t="s">
        <v>143</v>
      </c>
      <c r="AH21" s="78">
        <v>4.0009528680553874</v>
      </c>
      <c r="AJ21" s="78" t="s">
        <v>52</v>
      </c>
      <c r="AK21" s="78" t="s">
        <v>17</v>
      </c>
      <c r="AL21" s="78" t="s">
        <v>28</v>
      </c>
      <c r="AM21" s="78" t="s">
        <v>51</v>
      </c>
      <c r="AN21" s="78" t="s">
        <v>143</v>
      </c>
      <c r="AO21" s="78">
        <v>1.3434433900637273</v>
      </c>
      <c r="AR21" s="78" t="s">
        <v>52</v>
      </c>
      <c r="AS21" s="78" t="s">
        <v>19</v>
      </c>
      <c r="AT21" s="78" t="s">
        <v>28</v>
      </c>
      <c r="AU21" s="78" t="s">
        <v>51</v>
      </c>
      <c r="AV21" s="78" t="s">
        <v>426</v>
      </c>
      <c r="AW21" s="78">
        <v>1.4061768972396294</v>
      </c>
    </row>
    <row r="22" spans="1:49" s="78" customFormat="1">
      <c r="A22" s="78" t="s">
        <v>20</v>
      </c>
      <c r="B22" s="78" t="s">
        <v>52</v>
      </c>
      <c r="C22" s="78" t="s">
        <v>72</v>
      </c>
      <c r="D22" s="78" t="s">
        <v>51</v>
      </c>
      <c r="E22" s="79" t="s">
        <v>427</v>
      </c>
      <c r="F22" s="78">
        <v>4.3102725972031495</v>
      </c>
      <c r="I22" s="76" t="s">
        <v>52</v>
      </c>
      <c r="J22" s="76" t="s">
        <v>20</v>
      </c>
      <c r="K22" s="76" t="s">
        <v>72</v>
      </c>
      <c r="L22" s="76" t="s">
        <v>51</v>
      </c>
      <c r="M22" s="76" t="s">
        <v>424</v>
      </c>
      <c r="N22" s="76">
        <v>4.2030539804499192</v>
      </c>
      <c r="Q22" s="78" t="s">
        <v>52</v>
      </c>
      <c r="R22" s="78" t="s">
        <v>20</v>
      </c>
      <c r="S22" s="78" t="s">
        <v>72</v>
      </c>
      <c r="T22" s="78" t="s">
        <v>51</v>
      </c>
      <c r="U22" s="78" t="s">
        <v>425</v>
      </c>
      <c r="V22" s="78">
        <v>4.2030539804499192</v>
      </c>
      <c r="AC22" s="78" t="s">
        <v>52</v>
      </c>
      <c r="AD22" s="78" t="s">
        <v>17</v>
      </c>
      <c r="AE22" s="78" t="s">
        <v>72</v>
      </c>
      <c r="AF22" s="78" t="s">
        <v>51</v>
      </c>
      <c r="AG22" s="78" t="s">
        <v>144</v>
      </c>
      <c r="AH22" s="78">
        <v>3.977152156157012</v>
      </c>
      <c r="AJ22" s="78" t="s">
        <v>52</v>
      </c>
      <c r="AK22" s="78" t="s">
        <v>17</v>
      </c>
      <c r="AL22" s="78" t="s">
        <v>28</v>
      </c>
      <c r="AM22" s="78" t="s">
        <v>51</v>
      </c>
      <c r="AN22" s="78" t="s">
        <v>144</v>
      </c>
      <c r="AO22" s="78">
        <v>1.367305440610632</v>
      </c>
      <c r="AR22" s="78" t="s">
        <v>52</v>
      </c>
      <c r="AS22" s="78" t="s">
        <v>20</v>
      </c>
      <c r="AT22" s="78" t="s">
        <v>72</v>
      </c>
      <c r="AU22" s="78" t="s">
        <v>51</v>
      </c>
      <c r="AV22" s="78" t="s">
        <v>426</v>
      </c>
      <c r="AW22" s="78">
        <v>4.249223470140862</v>
      </c>
    </row>
    <row r="23" spans="1:49" s="78" customFormat="1">
      <c r="A23" s="78" t="s">
        <v>20</v>
      </c>
      <c r="B23" s="78" t="s">
        <v>52</v>
      </c>
      <c r="C23" s="78" t="s">
        <v>0</v>
      </c>
      <c r="D23" s="78" t="s">
        <v>51</v>
      </c>
      <c r="E23" s="79" t="s">
        <v>427</v>
      </c>
      <c r="F23" s="78">
        <v>4.1619999999999999</v>
      </c>
      <c r="I23" s="76" t="s">
        <v>52</v>
      </c>
      <c r="J23" s="76" t="s">
        <v>20</v>
      </c>
      <c r="K23" s="76" t="s">
        <v>0</v>
      </c>
      <c r="L23" s="76" t="s">
        <v>51</v>
      </c>
      <c r="M23" s="76" t="s">
        <v>424</v>
      </c>
      <c r="N23" s="76">
        <v>4.1470000000000002</v>
      </c>
      <c r="Q23" s="78" t="s">
        <v>52</v>
      </c>
      <c r="R23" s="78" t="s">
        <v>20</v>
      </c>
      <c r="S23" s="78" t="s">
        <v>0</v>
      </c>
      <c r="T23" s="78" t="s">
        <v>51</v>
      </c>
      <c r="U23" s="78" t="s">
        <v>425</v>
      </c>
      <c r="V23" s="78">
        <v>4.1470000000000002</v>
      </c>
      <c r="AC23" s="78" t="s">
        <v>52</v>
      </c>
      <c r="AD23" s="78" t="s">
        <v>17</v>
      </c>
      <c r="AE23" s="78" t="s">
        <v>72</v>
      </c>
      <c r="AF23" s="78" t="s">
        <v>51</v>
      </c>
      <c r="AG23" s="78" t="s">
        <v>145</v>
      </c>
      <c r="AH23" s="78">
        <v>3.9920316083167364</v>
      </c>
      <c r="AJ23" s="78" t="s">
        <v>52</v>
      </c>
      <c r="AK23" s="78" t="s">
        <v>17</v>
      </c>
      <c r="AL23" s="78" t="s">
        <v>28</v>
      </c>
      <c r="AM23" s="78" t="s">
        <v>51</v>
      </c>
      <c r="AN23" s="78" t="s">
        <v>145</v>
      </c>
      <c r="AO23" s="78">
        <v>1.327862212271417</v>
      </c>
      <c r="AR23" s="78" t="s">
        <v>52</v>
      </c>
      <c r="AS23" s="78" t="s">
        <v>20</v>
      </c>
      <c r="AT23" s="78" t="s">
        <v>0</v>
      </c>
      <c r="AU23" s="78" t="s">
        <v>51</v>
      </c>
      <c r="AV23" s="78" t="s">
        <v>426</v>
      </c>
      <c r="AW23" s="78">
        <v>4.1520000000000001</v>
      </c>
    </row>
    <row r="24" spans="1:49" s="78" customFormat="1">
      <c r="A24" s="78" t="s">
        <v>20</v>
      </c>
      <c r="B24" s="78" t="s">
        <v>52</v>
      </c>
      <c r="C24" s="78" t="s">
        <v>40</v>
      </c>
      <c r="D24" s="78" t="s">
        <v>51</v>
      </c>
      <c r="E24" s="79" t="s">
        <v>427</v>
      </c>
      <c r="F24" s="78">
        <v>2598</v>
      </c>
      <c r="I24" s="76" t="s">
        <v>52</v>
      </c>
      <c r="J24" s="76" t="s">
        <v>20</v>
      </c>
      <c r="K24" s="76" t="s">
        <v>40</v>
      </c>
      <c r="L24" s="76" t="s">
        <v>51</v>
      </c>
      <c r="M24" s="76" t="s">
        <v>424</v>
      </c>
      <c r="N24" s="76">
        <v>2098</v>
      </c>
      <c r="Q24" s="78" t="s">
        <v>52</v>
      </c>
      <c r="R24" s="78" t="s">
        <v>20</v>
      </c>
      <c r="S24" s="78" t="s">
        <v>40</v>
      </c>
      <c r="T24" s="78" t="s">
        <v>51</v>
      </c>
      <c r="U24" s="78" t="s">
        <v>425</v>
      </c>
      <c r="V24" s="78">
        <v>2098</v>
      </c>
      <c r="AC24" s="78" t="s">
        <v>52</v>
      </c>
      <c r="AD24" s="78" t="s">
        <v>17</v>
      </c>
      <c r="AE24" s="78" t="s">
        <v>72</v>
      </c>
      <c r="AF24" s="78" t="s">
        <v>51</v>
      </c>
      <c r="AG24" s="78" t="s">
        <v>146</v>
      </c>
      <c r="AH24" s="78">
        <v>4.1489026694458522</v>
      </c>
      <c r="AJ24" s="78" t="s">
        <v>52</v>
      </c>
      <c r="AK24" s="78" t="s">
        <v>17</v>
      </c>
      <c r="AL24" s="78" t="s">
        <v>28</v>
      </c>
      <c r="AM24" s="78" t="s">
        <v>51</v>
      </c>
      <c r="AN24" s="78" t="s">
        <v>146</v>
      </c>
      <c r="AO24" s="78">
        <v>1.3969036091673523</v>
      </c>
      <c r="AR24" s="78" t="s">
        <v>52</v>
      </c>
      <c r="AS24" s="78" t="s">
        <v>20</v>
      </c>
      <c r="AT24" s="78" t="s">
        <v>40</v>
      </c>
      <c r="AU24" s="78" t="s">
        <v>51</v>
      </c>
      <c r="AV24" s="78" t="s">
        <v>426</v>
      </c>
      <c r="AW24" s="78">
        <v>2348</v>
      </c>
    </row>
    <row r="25" spans="1:49" s="78" customFormat="1">
      <c r="A25" s="78" t="s">
        <v>20</v>
      </c>
      <c r="B25" s="78" t="s">
        <v>52</v>
      </c>
      <c r="C25" s="78" t="s">
        <v>1</v>
      </c>
      <c r="D25" s="78" t="s">
        <v>51</v>
      </c>
      <c r="E25" s="79" t="s">
        <v>427</v>
      </c>
      <c r="F25" s="78">
        <v>200000</v>
      </c>
      <c r="I25" s="76" t="s">
        <v>52</v>
      </c>
      <c r="J25" s="76" t="s">
        <v>20</v>
      </c>
      <c r="K25" s="76" t="s">
        <v>1</v>
      </c>
      <c r="L25" s="76" t="s">
        <v>51</v>
      </c>
      <c r="M25" s="76" t="s">
        <v>424</v>
      </c>
      <c r="N25" s="76">
        <v>200000</v>
      </c>
      <c r="Q25" s="78" t="s">
        <v>52</v>
      </c>
      <c r="R25" s="78" t="s">
        <v>20</v>
      </c>
      <c r="S25" s="78" t="s">
        <v>1</v>
      </c>
      <c r="T25" s="78" t="s">
        <v>51</v>
      </c>
      <c r="U25" s="78" t="s">
        <v>425</v>
      </c>
      <c r="V25" s="78">
        <v>200000</v>
      </c>
      <c r="AC25" s="78" t="s">
        <v>52</v>
      </c>
      <c r="AD25" s="78" t="s">
        <v>17</v>
      </c>
      <c r="AE25" s="78" t="s">
        <v>72</v>
      </c>
      <c r="AF25" s="78" t="s">
        <v>51</v>
      </c>
      <c r="AG25" s="78" t="s">
        <v>147</v>
      </c>
      <c r="AH25" s="78">
        <v>4.1223578866648536</v>
      </c>
      <c r="AJ25" s="78" t="s">
        <v>52</v>
      </c>
      <c r="AK25" s="78" t="s">
        <v>17</v>
      </c>
      <c r="AL25" s="78" t="s">
        <v>28</v>
      </c>
      <c r="AM25" s="78" t="s">
        <v>51</v>
      </c>
      <c r="AN25" s="78" t="s">
        <v>147</v>
      </c>
      <c r="AO25" s="78">
        <v>1.4288746403651937</v>
      </c>
      <c r="AR25" s="78" t="s">
        <v>52</v>
      </c>
      <c r="AS25" s="78" t="s">
        <v>20</v>
      </c>
      <c r="AT25" s="78" t="s">
        <v>1</v>
      </c>
      <c r="AU25" s="78" t="s">
        <v>51</v>
      </c>
      <c r="AV25" s="78" t="s">
        <v>426</v>
      </c>
      <c r="AW25" s="78">
        <v>200000</v>
      </c>
    </row>
    <row r="26" spans="1:49" s="78" customFormat="1">
      <c r="A26" s="78" t="s">
        <v>20</v>
      </c>
      <c r="B26" s="78" t="s">
        <v>52</v>
      </c>
      <c r="C26" s="78" t="s">
        <v>7</v>
      </c>
      <c r="D26" s="78" t="s">
        <v>51</v>
      </c>
      <c r="E26" s="79" t="s">
        <v>427</v>
      </c>
      <c r="F26" s="78">
        <v>1</v>
      </c>
      <c r="I26" s="76" t="s">
        <v>52</v>
      </c>
      <c r="J26" s="76" t="s">
        <v>20</v>
      </c>
      <c r="K26" s="76" t="s">
        <v>7</v>
      </c>
      <c r="L26" s="76" t="s">
        <v>51</v>
      </c>
      <c r="M26" s="76" t="s">
        <v>424</v>
      </c>
      <c r="N26" s="76">
        <v>1</v>
      </c>
      <c r="Q26" s="78" t="s">
        <v>52</v>
      </c>
      <c r="R26" s="78" t="s">
        <v>20</v>
      </c>
      <c r="S26" s="78" t="s">
        <v>7</v>
      </c>
      <c r="T26" s="78" t="s">
        <v>51</v>
      </c>
      <c r="U26" s="78" t="s">
        <v>425</v>
      </c>
      <c r="V26" s="78">
        <v>1</v>
      </c>
      <c r="AC26" s="78" t="s">
        <v>52</v>
      </c>
      <c r="AD26" s="78" t="s">
        <v>17</v>
      </c>
      <c r="AE26" s="78" t="s">
        <v>72</v>
      </c>
      <c r="AF26" s="78" t="s">
        <v>51</v>
      </c>
      <c r="AG26" s="78" t="s">
        <v>148</v>
      </c>
      <c r="AH26" s="78">
        <v>4.0987266256305297</v>
      </c>
      <c r="AJ26" s="78" t="s">
        <v>52</v>
      </c>
      <c r="AK26" s="78" t="s">
        <v>17</v>
      </c>
      <c r="AL26" s="78" t="s">
        <v>28</v>
      </c>
      <c r="AM26" s="78" t="s">
        <v>51</v>
      </c>
      <c r="AN26" s="78" t="s">
        <v>148</v>
      </c>
      <c r="AO26" s="78">
        <v>1.4081051951872599</v>
      </c>
      <c r="AR26" s="78" t="s">
        <v>52</v>
      </c>
      <c r="AS26" s="78" t="s">
        <v>20</v>
      </c>
      <c r="AT26" s="78" t="s">
        <v>7</v>
      </c>
      <c r="AU26" s="78" t="s">
        <v>51</v>
      </c>
      <c r="AV26" s="78" t="s">
        <v>426</v>
      </c>
      <c r="AW26" s="78">
        <v>1</v>
      </c>
    </row>
    <row r="27" spans="1:49" s="78" customFormat="1">
      <c r="A27" s="78" t="s">
        <v>20</v>
      </c>
      <c r="B27" s="78" t="s">
        <v>52</v>
      </c>
      <c r="C27" s="78" t="s">
        <v>25</v>
      </c>
      <c r="D27" s="78" t="s">
        <v>51</v>
      </c>
      <c r="E27" s="79" t="s">
        <v>427</v>
      </c>
      <c r="F27" s="78">
        <v>4.125</v>
      </c>
      <c r="I27" s="76" t="s">
        <v>52</v>
      </c>
      <c r="J27" s="76" t="s">
        <v>20</v>
      </c>
      <c r="K27" s="76" t="s">
        <v>25</v>
      </c>
      <c r="L27" s="76" t="s">
        <v>51</v>
      </c>
      <c r="M27" s="76" t="s">
        <v>424</v>
      </c>
      <c r="N27" s="76">
        <v>4.125</v>
      </c>
      <c r="Q27" s="78" t="s">
        <v>52</v>
      </c>
      <c r="R27" s="78" t="s">
        <v>20</v>
      </c>
      <c r="S27" s="78" t="s">
        <v>25</v>
      </c>
      <c r="T27" s="78" t="s">
        <v>51</v>
      </c>
      <c r="U27" s="78" t="s">
        <v>425</v>
      </c>
      <c r="V27" s="78">
        <v>4.125</v>
      </c>
      <c r="AC27" s="78" t="s">
        <v>52</v>
      </c>
      <c r="AD27" s="78" t="s">
        <v>17</v>
      </c>
      <c r="AE27" s="78" t="s">
        <v>72</v>
      </c>
      <c r="AF27" s="78" t="s">
        <v>51</v>
      </c>
      <c r="AG27" s="78" t="s">
        <v>149</v>
      </c>
      <c r="AH27" s="78">
        <v>4.2106746450138894</v>
      </c>
      <c r="AJ27" s="78" t="s">
        <v>52</v>
      </c>
      <c r="AK27" s="78" t="s">
        <v>17</v>
      </c>
      <c r="AL27" s="78" t="s">
        <v>28</v>
      </c>
      <c r="AM27" s="78" t="s">
        <v>51</v>
      </c>
      <c r="AN27" s="78" t="s">
        <v>149</v>
      </c>
      <c r="AO27" s="78">
        <v>1.5496394837349492</v>
      </c>
      <c r="AR27" s="78" t="s">
        <v>52</v>
      </c>
      <c r="AS27" s="78" t="s">
        <v>20</v>
      </c>
      <c r="AT27" s="78" t="s">
        <v>25</v>
      </c>
      <c r="AU27" s="78" t="s">
        <v>51</v>
      </c>
      <c r="AV27" s="78" t="s">
        <v>426</v>
      </c>
      <c r="AW27" s="78">
        <v>4.125</v>
      </c>
    </row>
    <row r="28" spans="1:49" s="78" customFormat="1">
      <c r="A28" s="78" t="s">
        <v>20</v>
      </c>
      <c r="B28" s="78" t="s">
        <v>52</v>
      </c>
      <c r="C28" s="78" t="s">
        <v>28</v>
      </c>
      <c r="D28" s="78" t="s">
        <v>51</v>
      </c>
      <c r="E28" s="79" t="s">
        <v>427</v>
      </c>
      <c r="F28" s="78">
        <v>1.3525237141218998</v>
      </c>
      <c r="I28" s="76" t="s">
        <v>52</v>
      </c>
      <c r="J28" s="76" t="s">
        <v>20</v>
      </c>
      <c r="K28" s="76" t="s">
        <v>28</v>
      </c>
      <c r="L28" s="76" t="s">
        <v>51</v>
      </c>
      <c r="M28" s="76" t="s">
        <v>424</v>
      </c>
      <c r="N28" s="76">
        <v>1.2498437509823688</v>
      </c>
      <c r="Q28" s="78" t="s">
        <v>52</v>
      </c>
      <c r="R28" s="78" t="s">
        <v>20</v>
      </c>
      <c r="S28" s="78" t="s">
        <v>28</v>
      </c>
      <c r="T28" s="78" t="s">
        <v>51</v>
      </c>
      <c r="U28" s="78" t="s">
        <v>425</v>
      </c>
      <c r="V28" s="78">
        <v>1.3189893873635086</v>
      </c>
      <c r="AC28" s="78" t="s">
        <v>52</v>
      </c>
      <c r="AD28" s="78" t="s">
        <v>17</v>
      </c>
      <c r="AE28" s="78" t="s">
        <v>72</v>
      </c>
      <c r="AF28" s="78" t="s">
        <v>51</v>
      </c>
      <c r="AG28" s="78" t="s">
        <v>150</v>
      </c>
      <c r="AH28" s="78">
        <v>4.1871698000587845</v>
      </c>
      <c r="AJ28" s="78" t="s">
        <v>52</v>
      </c>
      <c r="AK28" s="78" t="s">
        <v>17</v>
      </c>
      <c r="AL28" s="78" t="s">
        <v>28</v>
      </c>
      <c r="AM28" s="78" t="s">
        <v>51</v>
      </c>
      <c r="AN28" s="78" t="s">
        <v>150</v>
      </c>
      <c r="AO28" s="78">
        <v>1.5879040246684941</v>
      </c>
      <c r="AR28" s="78" t="s">
        <v>52</v>
      </c>
      <c r="AS28" s="78" t="s">
        <v>20</v>
      </c>
      <c r="AT28" s="78" t="s">
        <v>28</v>
      </c>
      <c r="AU28" s="78" t="s">
        <v>51</v>
      </c>
      <c r="AV28" s="78" t="s">
        <v>426</v>
      </c>
      <c r="AW28" s="78">
        <v>1.4065919384744214</v>
      </c>
    </row>
    <row r="29" spans="1:49" s="78" customFormat="1">
      <c r="A29" s="78" t="s">
        <v>19</v>
      </c>
      <c r="B29" s="78" t="s">
        <v>53</v>
      </c>
      <c r="C29" s="78" t="s">
        <v>0</v>
      </c>
      <c r="D29" s="78" t="s">
        <v>51</v>
      </c>
      <c r="E29" s="79" t="s">
        <v>427</v>
      </c>
      <c r="F29" s="78">
        <v>1</v>
      </c>
      <c r="I29" s="76" t="s">
        <v>53</v>
      </c>
      <c r="J29" s="76" t="s">
        <v>19</v>
      </c>
      <c r="K29" s="76" t="s">
        <v>0</v>
      </c>
      <c r="L29" s="76" t="s">
        <v>51</v>
      </c>
      <c r="M29" s="76" t="s">
        <v>424</v>
      </c>
      <c r="N29" s="76">
        <v>1</v>
      </c>
      <c r="Q29" s="78" t="s">
        <v>53</v>
      </c>
      <c r="R29" s="78" t="s">
        <v>19</v>
      </c>
      <c r="S29" s="78" t="s">
        <v>0</v>
      </c>
      <c r="T29" s="78" t="s">
        <v>51</v>
      </c>
      <c r="U29" s="78" t="s">
        <v>425</v>
      </c>
      <c r="V29" s="78">
        <v>1</v>
      </c>
      <c r="AC29" s="78" t="s">
        <v>52</v>
      </c>
      <c r="AD29" s="78" t="s">
        <v>17</v>
      </c>
      <c r="AE29" s="78" t="s">
        <v>72</v>
      </c>
      <c r="AF29" s="78" t="s">
        <v>51</v>
      </c>
      <c r="AG29" s="78" t="s">
        <v>151</v>
      </c>
      <c r="AH29" s="78">
        <v>4.1930491621487036</v>
      </c>
      <c r="AJ29" s="78" t="s">
        <v>52</v>
      </c>
      <c r="AK29" s="78" t="s">
        <v>17</v>
      </c>
      <c r="AL29" s="78" t="s">
        <v>28</v>
      </c>
      <c r="AM29" s="78" t="s">
        <v>51</v>
      </c>
      <c r="AN29" s="78" t="s">
        <v>151</v>
      </c>
      <c r="AO29" s="78">
        <v>1.5417664941480935</v>
      </c>
      <c r="AR29" s="78" t="s">
        <v>53</v>
      </c>
      <c r="AS29" s="78" t="s">
        <v>19</v>
      </c>
      <c r="AT29" s="78" t="s">
        <v>0</v>
      </c>
      <c r="AU29" s="78" t="s">
        <v>51</v>
      </c>
      <c r="AV29" s="78" t="s">
        <v>426</v>
      </c>
      <c r="AW29" s="78">
        <v>1</v>
      </c>
    </row>
    <row r="30" spans="1:49" s="78" customFormat="1">
      <c r="A30" s="78" t="s">
        <v>19</v>
      </c>
      <c r="B30" s="78" t="s">
        <v>53</v>
      </c>
      <c r="C30" s="78" t="s">
        <v>7</v>
      </c>
      <c r="D30" s="78" t="s">
        <v>51</v>
      </c>
      <c r="E30" s="79" t="s">
        <v>427</v>
      </c>
      <c r="F30" s="78">
        <v>1</v>
      </c>
      <c r="I30" s="76" t="s">
        <v>53</v>
      </c>
      <c r="J30" s="76" t="s">
        <v>19</v>
      </c>
      <c r="K30" s="76" t="s">
        <v>7</v>
      </c>
      <c r="L30" s="76" t="s">
        <v>51</v>
      </c>
      <c r="M30" s="76" t="s">
        <v>424</v>
      </c>
      <c r="N30" s="76">
        <v>1</v>
      </c>
      <c r="Q30" s="78" t="s">
        <v>53</v>
      </c>
      <c r="R30" s="78" t="s">
        <v>19</v>
      </c>
      <c r="S30" s="78" t="s">
        <v>7</v>
      </c>
      <c r="T30" s="78" t="s">
        <v>51</v>
      </c>
      <c r="U30" s="78" t="s">
        <v>425</v>
      </c>
      <c r="V30" s="78">
        <v>1</v>
      </c>
      <c r="AC30" s="78" t="s">
        <v>52</v>
      </c>
      <c r="AD30" s="78" t="s">
        <v>17</v>
      </c>
      <c r="AE30" s="78" t="s">
        <v>72</v>
      </c>
      <c r="AF30" s="78" t="s">
        <v>51</v>
      </c>
      <c r="AG30" s="78" t="s">
        <v>152</v>
      </c>
      <c r="AH30" s="78">
        <v>4.1577414411756237</v>
      </c>
      <c r="AJ30" s="78" t="s">
        <v>52</v>
      </c>
      <c r="AK30" s="78" t="s">
        <v>17</v>
      </c>
      <c r="AL30" s="78" t="s">
        <v>28</v>
      </c>
      <c r="AM30" s="78" t="s">
        <v>51</v>
      </c>
      <c r="AN30" s="78" t="s">
        <v>152</v>
      </c>
      <c r="AO30" s="78">
        <v>1.566853019639814</v>
      </c>
      <c r="AR30" s="78" t="s">
        <v>53</v>
      </c>
      <c r="AS30" s="78" t="s">
        <v>19</v>
      </c>
      <c r="AT30" s="78" t="s">
        <v>7</v>
      </c>
      <c r="AU30" s="78" t="s">
        <v>51</v>
      </c>
      <c r="AV30" s="78" t="s">
        <v>426</v>
      </c>
      <c r="AW30" s="78">
        <v>1</v>
      </c>
    </row>
    <row r="31" spans="1:49" s="78" customFormat="1">
      <c r="A31" s="78" t="s">
        <v>19</v>
      </c>
      <c r="B31" s="78" t="s">
        <v>53</v>
      </c>
      <c r="C31" s="78" t="s">
        <v>25</v>
      </c>
      <c r="D31" s="78" t="s">
        <v>51</v>
      </c>
      <c r="E31" s="79" t="s">
        <v>427</v>
      </c>
      <c r="F31" s="78">
        <v>1</v>
      </c>
      <c r="I31" s="76" t="s">
        <v>53</v>
      </c>
      <c r="J31" s="76" t="s">
        <v>19</v>
      </c>
      <c r="K31" s="76" t="s">
        <v>25</v>
      </c>
      <c r="L31" s="76" t="s">
        <v>51</v>
      </c>
      <c r="M31" s="76" t="s">
        <v>424</v>
      </c>
      <c r="N31" s="76">
        <v>1</v>
      </c>
      <c r="Q31" s="78" t="s">
        <v>53</v>
      </c>
      <c r="R31" s="78" t="s">
        <v>19</v>
      </c>
      <c r="S31" s="78" t="s">
        <v>25</v>
      </c>
      <c r="T31" s="78" t="s">
        <v>51</v>
      </c>
      <c r="U31" s="78" t="s">
        <v>425</v>
      </c>
      <c r="V31" s="78">
        <v>1</v>
      </c>
      <c r="AC31" s="78" t="s">
        <v>52</v>
      </c>
      <c r="AD31" s="78" t="s">
        <v>17</v>
      </c>
      <c r="AE31" s="78" t="s">
        <v>72</v>
      </c>
      <c r="AF31" s="78" t="s">
        <v>51</v>
      </c>
      <c r="AG31" s="78" t="s">
        <v>153</v>
      </c>
      <c r="AH31" s="78">
        <v>4.2312138395879879</v>
      </c>
      <c r="AJ31" s="78" t="s">
        <v>52</v>
      </c>
      <c r="AK31" s="78" t="s">
        <v>17</v>
      </c>
      <c r="AL31" s="78" t="s">
        <v>28</v>
      </c>
      <c r="AM31" s="78" t="s">
        <v>51</v>
      </c>
      <c r="AN31" s="78" t="s">
        <v>153</v>
      </c>
      <c r="AO31" s="78">
        <v>1.5972967358474679</v>
      </c>
      <c r="AR31" s="78" t="s">
        <v>53</v>
      </c>
      <c r="AS31" s="78" t="s">
        <v>19</v>
      </c>
      <c r="AT31" s="78" t="s">
        <v>25</v>
      </c>
      <c r="AU31" s="78" t="s">
        <v>51</v>
      </c>
      <c r="AV31" s="78" t="s">
        <v>426</v>
      </c>
      <c r="AW31" s="78">
        <v>1</v>
      </c>
    </row>
    <row r="32" spans="1:49" s="78" customFormat="1">
      <c r="A32" s="78" t="s">
        <v>20</v>
      </c>
      <c r="B32" s="78" t="s">
        <v>53</v>
      </c>
      <c r="C32" s="78" t="s">
        <v>72</v>
      </c>
      <c r="D32" s="78" t="s">
        <v>51</v>
      </c>
      <c r="E32" s="79" t="s">
        <v>427</v>
      </c>
      <c r="F32" s="78">
        <v>4.8142499999999995</v>
      </c>
      <c r="I32" s="76" t="s">
        <v>53</v>
      </c>
      <c r="J32" s="76" t="s">
        <v>20</v>
      </c>
      <c r="K32" s="76" t="s">
        <v>72</v>
      </c>
      <c r="L32" s="76" t="s">
        <v>51</v>
      </c>
      <c r="M32" s="76" t="s">
        <v>424</v>
      </c>
      <c r="N32" s="76">
        <v>4.8142499999999995</v>
      </c>
      <c r="Q32" s="78" t="s">
        <v>53</v>
      </c>
      <c r="R32" s="78" t="s">
        <v>20</v>
      </c>
      <c r="S32" s="78" t="s">
        <v>72</v>
      </c>
      <c r="T32" s="78" t="s">
        <v>51</v>
      </c>
      <c r="U32" s="78" t="s">
        <v>425</v>
      </c>
      <c r="V32" s="78">
        <v>4.8142499999999995</v>
      </c>
      <c r="AC32" s="78" t="s">
        <v>52</v>
      </c>
      <c r="AD32" s="78" t="s">
        <v>17</v>
      </c>
      <c r="AE32" s="78" t="s">
        <v>72</v>
      </c>
      <c r="AF32" s="78" t="s">
        <v>51</v>
      </c>
      <c r="AG32" s="78" t="s">
        <v>154</v>
      </c>
      <c r="AH32" s="78">
        <v>4.2605110281721359</v>
      </c>
      <c r="AJ32" s="78" t="s">
        <v>52</v>
      </c>
      <c r="AK32" s="78" t="s">
        <v>17</v>
      </c>
      <c r="AL32" s="78" t="s">
        <v>28</v>
      </c>
      <c r="AM32" s="78" t="s">
        <v>51</v>
      </c>
      <c r="AN32" s="78" t="s">
        <v>154</v>
      </c>
      <c r="AO32" s="78">
        <v>1.6317285692936163</v>
      </c>
      <c r="AR32" s="78" t="s">
        <v>53</v>
      </c>
      <c r="AS32" s="78" t="s">
        <v>20</v>
      </c>
      <c r="AT32" s="78" t="s">
        <v>72</v>
      </c>
      <c r="AU32" s="78" t="s">
        <v>51</v>
      </c>
      <c r="AV32" s="78" t="s">
        <v>426</v>
      </c>
      <c r="AW32" s="78">
        <v>4.7824999999999998</v>
      </c>
    </row>
    <row r="33" spans="1:49" s="78" customFormat="1">
      <c r="A33" s="78" t="s">
        <v>20</v>
      </c>
      <c r="B33" s="78" t="s">
        <v>53</v>
      </c>
      <c r="C33" s="78" t="s">
        <v>0</v>
      </c>
      <c r="D33" s="78" t="s">
        <v>51</v>
      </c>
      <c r="E33" s="79" t="s">
        <v>427</v>
      </c>
      <c r="F33" s="78">
        <v>5.6790000000000003</v>
      </c>
      <c r="I33" s="76" t="s">
        <v>53</v>
      </c>
      <c r="J33" s="76" t="s">
        <v>20</v>
      </c>
      <c r="K33" s="76" t="s">
        <v>0</v>
      </c>
      <c r="L33" s="76" t="s">
        <v>51</v>
      </c>
      <c r="M33" s="76" t="s">
        <v>424</v>
      </c>
      <c r="N33" s="76">
        <v>5.6790000000000003</v>
      </c>
      <c r="Q33" s="78" t="s">
        <v>53</v>
      </c>
      <c r="R33" s="78" t="s">
        <v>20</v>
      </c>
      <c r="S33" s="78" t="s">
        <v>0</v>
      </c>
      <c r="T33" s="78" t="s">
        <v>51</v>
      </c>
      <c r="U33" s="78" t="s">
        <v>425</v>
      </c>
      <c r="V33" s="78">
        <v>5.6790000000000003</v>
      </c>
      <c r="AC33" s="78" t="s">
        <v>52</v>
      </c>
      <c r="AD33" s="78" t="s">
        <v>17</v>
      </c>
      <c r="AE33" s="78" t="s">
        <v>72</v>
      </c>
      <c r="AF33" s="78" t="s">
        <v>51</v>
      </c>
      <c r="AG33" s="78" t="s">
        <v>155</v>
      </c>
      <c r="AH33" s="78">
        <v>4.2312138395879879</v>
      </c>
      <c r="AJ33" s="78" t="s">
        <v>52</v>
      </c>
      <c r="AK33" s="78" t="s">
        <v>17</v>
      </c>
      <c r="AL33" s="78" t="s">
        <v>28</v>
      </c>
      <c r="AM33" s="78" t="s">
        <v>51</v>
      </c>
      <c r="AN33" s="78" t="s">
        <v>155</v>
      </c>
      <c r="AO33" s="78">
        <v>1.6108923279367977</v>
      </c>
      <c r="AR33" s="78" t="s">
        <v>53</v>
      </c>
      <c r="AS33" s="78" t="s">
        <v>20</v>
      </c>
      <c r="AT33" s="78" t="s">
        <v>0</v>
      </c>
      <c r="AU33" s="78" t="s">
        <v>51</v>
      </c>
      <c r="AV33" s="78" t="s">
        <v>426</v>
      </c>
      <c r="AW33" s="78">
        <v>5.6669999999999998</v>
      </c>
    </row>
    <row r="34" spans="1:49" s="78" customFormat="1">
      <c r="A34" s="78" t="s">
        <v>20</v>
      </c>
      <c r="B34" s="78" t="s">
        <v>53</v>
      </c>
      <c r="C34" s="78" t="s">
        <v>40</v>
      </c>
      <c r="D34" s="78" t="s">
        <v>51</v>
      </c>
      <c r="E34" s="79" t="s">
        <v>427</v>
      </c>
      <c r="F34" s="78">
        <v>7014</v>
      </c>
      <c r="I34" s="76" t="s">
        <v>53</v>
      </c>
      <c r="J34" s="76" t="s">
        <v>20</v>
      </c>
      <c r="K34" s="76" t="s">
        <v>40</v>
      </c>
      <c r="L34" s="76" t="s">
        <v>51</v>
      </c>
      <c r="M34" s="76" t="s">
        <v>424</v>
      </c>
      <c r="N34" s="76">
        <v>7014</v>
      </c>
      <c r="Q34" s="78" t="s">
        <v>53</v>
      </c>
      <c r="R34" s="78" t="s">
        <v>20</v>
      </c>
      <c r="S34" s="78" t="s">
        <v>40</v>
      </c>
      <c r="T34" s="78" t="s">
        <v>51</v>
      </c>
      <c r="U34" s="78" t="s">
        <v>425</v>
      </c>
      <c r="V34" s="78">
        <v>7014</v>
      </c>
      <c r="AC34" s="78" t="s">
        <v>52</v>
      </c>
      <c r="AD34" s="78" t="s">
        <v>17</v>
      </c>
      <c r="AE34" s="78" t="s">
        <v>72</v>
      </c>
      <c r="AF34" s="78" t="s">
        <v>51</v>
      </c>
      <c r="AG34" s="78" t="s">
        <v>156</v>
      </c>
      <c r="AH34" s="78">
        <v>4.225348119194102</v>
      </c>
      <c r="AJ34" s="78" t="s">
        <v>52</v>
      </c>
      <c r="AK34" s="78" t="s">
        <v>17</v>
      </c>
      <c r="AL34" s="78" t="s">
        <v>28</v>
      </c>
      <c r="AM34" s="78" t="s">
        <v>51</v>
      </c>
      <c r="AN34" s="78" t="s">
        <v>156</v>
      </c>
      <c r="AO34" s="78">
        <v>1.577689840766002</v>
      </c>
      <c r="AR34" s="78" t="s">
        <v>53</v>
      </c>
      <c r="AS34" s="78" t="s">
        <v>20</v>
      </c>
      <c r="AT34" s="78" t="s">
        <v>40</v>
      </c>
      <c r="AU34" s="78" t="s">
        <v>51</v>
      </c>
      <c r="AV34" s="78" t="s">
        <v>426</v>
      </c>
      <c r="AW34" s="78">
        <v>6760</v>
      </c>
    </row>
    <row r="35" spans="1:49" s="78" customFormat="1">
      <c r="A35" s="78" t="s">
        <v>20</v>
      </c>
      <c r="B35" s="78" t="s">
        <v>53</v>
      </c>
      <c r="C35" s="78" t="s">
        <v>1</v>
      </c>
      <c r="D35" s="78" t="s">
        <v>51</v>
      </c>
      <c r="E35" s="79" t="s">
        <v>427</v>
      </c>
      <c r="F35" s="78">
        <v>200000</v>
      </c>
      <c r="I35" s="76" t="s">
        <v>53</v>
      </c>
      <c r="J35" s="76" t="s">
        <v>20</v>
      </c>
      <c r="K35" s="76" t="s">
        <v>1</v>
      </c>
      <c r="L35" s="76" t="s">
        <v>51</v>
      </c>
      <c r="M35" s="76" t="s">
        <v>424</v>
      </c>
      <c r="N35" s="76">
        <v>200000</v>
      </c>
      <c r="Q35" s="78" t="s">
        <v>53</v>
      </c>
      <c r="R35" s="78" t="s">
        <v>20</v>
      </c>
      <c r="S35" s="78" t="s">
        <v>1</v>
      </c>
      <c r="T35" s="78" t="s">
        <v>51</v>
      </c>
      <c r="U35" s="78" t="s">
        <v>425</v>
      </c>
      <c r="V35" s="78">
        <v>200000</v>
      </c>
      <c r="AC35" s="78" t="s">
        <v>52</v>
      </c>
      <c r="AD35" s="78" t="s">
        <v>17</v>
      </c>
      <c r="AE35" s="78" t="s">
        <v>72</v>
      </c>
      <c r="AF35" s="78" t="s">
        <v>51</v>
      </c>
      <c r="AG35" s="78" t="s">
        <v>157</v>
      </c>
      <c r="AH35" s="78">
        <v>4.2370774645785501</v>
      </c>
      <c r="AJ35" s="78" t="s">
        <v>52</v>
      </c>
      <c r="AK35" s="78" t="s">
        <v>17</v>
      </c>
      <c r="AL35" s="78" t="s">
        <v>28</v>
      </c>
      <c r="AM35" s="78" t="s">
        <v>51</v>
      </c>
      <c r="AN35" s="78" t="s">
        <v>157</v>
      </c>
      <c r="AO35" s="78">
        <v>1.5696829020466398</v>
      </c>
      <c r="AR35" s="78" t="s">
        <v>53</v>
      </c>
      <c r="AS35" s="78" t="s">
        <v>20</v>
      </c>
      <c r="AT35" s="78" t="s">
        <v>1</v>
      </c>
      <c r="AU35" s="78" t="s">
        <v>51</v>
      </c>
      <c r="AV35" s="78" t="s">
        <v>426</v>
      </c>
      <c r="AW35" s="78">
        <v>200000</v>
      </c>
    </row>
    <row r="36" spans="1:49" s="78" customFormat="1">
      <c r="A36" s="78" t="s">
        <v>20</v>
      </c>
      <c r="B36" s="78" t="s">
        <v>53</v>
      </c>
      <c r="C36" s="78" t="s">
        <v>7</v>
      </c>
      <c r="D36" s="78" t="s">
        <v>51</v>
      </c>
      <c r="E36" s="79" t="s">
        <v>427</v>
      </c>
      <c r="F36" s="78">
        <v>1</v>
      </c>
      <c r="I36" s="76" t="s">
        <v>53</v>
      </c>
      <c r="J36" s="76" t="s">
        <v>20</v>
      </c>
      <c r="K36" s="76" t="s">
        <v>7</v>
      </c>
      <c r="L36" s="76" t="s">
        <v>51</v>
      </c>
      <c r="M36" s="76" t="s">
        <v>424</v>
      </c>
      <c r="N36" s="76">
        <v>1</v>
      </c>
      <c r="Q36" s="78" t="s">
        <v>53</v>
      </c>
      <c r="R36" s="78" t="s">
        <v>20</v>
      </c>
      <c r="S36" s="78" t="s">
        <v>7</v>
      </c>
      <c r="T36" s="78" t="s">
        <v>51</v>
      </c>
      <c r="U36" s="78" t="s">
        <v>425</v>
      </c>
      <c r="V36" s="78">
        <v>1</v>
      </c>
      <c r="AC36" s="78" t="s">
        <v>52</v>
      </c>
      <c r="AD36" s="78" t="s">
        <v>17</v>
      </c>
      <c r="AE36" s="78" t="s">
        <v>72</v>
      </c>
      <c r="AF36" s="78" t="s">
        <v>51</v>
      </c>
      <c r="AG36" s="78" t="s">
        <v>158</v>
      </c>
      <c r="AH36" s="78">
        <v>4.2282812413722635</v>
      </c>
      <c r="AJ36" s="78" t="s">
        <v>52</v>
      </c>
      <c r="AK36" s="78" t="s">
        <v>17</v>
      </c>
      <c r="AL36" s="78" t="s">
        <v>28</v>
      </c>
      <c r="AM36" s="78" t="s">
        <v>51</v>
      </c>
      <c r="AN36" s="78" t="s">
        <v>158</v>
      </c>
      <c r="AO36" s="78">
        <v>1.5869407909553535</v>
      </c>
      <c r="AR36" s="78" t="s">
        <v>53</v>
      </c>
      <c r="AS36" s="78" t="s">
        <v>20</v>
      </c>
      <c r="AT36" s="78" t="s">
        <v>7</v>
      </c>
      <c r="AU36" s="78" t="s">
        <v>51</v>
      </c>
      <c r="AV36" s="78" t="s">
        <v>426</v>
      </c>
      <c r="AW36" s="78">
        <v>1</v>
      </c>
    </row>
    <row r="37" spans="1:49" s="78" customFormat="1">
      <c r="A37" s="78" t="s">
        <v>20</v>
      </c>
      <c r="B37" s="78" t="s">
        <v>53</v>
      </c>
      <c r="C37" s="78" t="s">
        <v>25</v>
      </c>
      <c r="D37" s="78" t="s">
        <v>51</v>
      </c>
      <c r="E37" s="79" t="s">
        <v>427</v>
      </c>
      <c r="F37" s="78">
        <v>4.625</v>
      </c>
      <c r="I37" s="76" t="s">
        <v>53</v>
      </c>
      <c r="J37" s="76" t="s">
        <v>20</v>
      </c>
      <c r="K37" s="76" t="s">
        <v>25</v>
      </c>
      <c r="L37" s="76" t="s">
        <v>51</v>
      </c>
      <c r="M37" s="76" t="s">
        <v>424</v>
      </c>
      <c r="N37" s="76">
        <v>4.625</v>
      </c>
      <c r="Q37" s="78" t="s">
        <v>53</v>
      </c>
      <c r="R37" s="78" t="s">
        <v>20</v>
      </c>
      <c r="S37" s="78" t="s">
        <v>25</v>
      </c>
      <c r="T37" s="78" t="s">
        <v>51</v>
      </c>
      <c r="U37" s="78" t="s">
        <v>425</v>
      </c>
      <c r="V37" s="78">
        <v>4.625</v>
      </c>
      <c r="AC37" s="78" t="s">
        <v>52</v>
      </c>
      <c r="AD37" s="78" t="s">
        <v>17</v>
      </c>
      <c r="AE37" s="78" t="s">
        <v>72</v>
      </c>
      <c r="AF37" s="78" t="s">
        <v>51</v>
      </c>
      <c r="AG37" s="78" t="s">
        <v>159</v>
      </c>
      <c r="AH37" s="78">
        <v>4.1724621964444255</v>
      </c>
      <c r="AJ37" s="78" t="s">
        <v>52</v>
      </c>
      <c r="AK37" s="78" t="s">
        <v>17</v>
      </c>
      <c r="AL37" s="78" t="s">
        <v>28</v>
      </c>
      <c r="AM37" s="78" t="s">
        <v>51</v>
      </c>
      <c r="AN37" s="78" t="s">
        <v>159</v>
      </c>
      <c r="AO37" s="78">
        <v>1.5756034291830356</v>
      </c>
      <c r="AR37" s="78" t="s">
        <v>53</v>
      </c>
      <c r="AS37" s="78" t="s">
        <v>20</v>
      </c>
      <c r="AT37" s="78" t="s">
        <v>25</v>
      </c>
      <c r="AU37" s="78" t="s">
        <v>51</v>
      </c>
      <c r="AV37" s="78" t="s">
        <v>426</v>
      </c>
      <c r="AW37" s="78">
        <v>4.625</v>
      </c>
    </row>
    <row r="38" spans="1:49" s="78" customFormat="1">
      <c r="A38" s="78" t="s">
        <v>20</v>
      </c>
      <c r="B38" s="78" t="s">
        <v>53</v>
      </c>
      <c r="C38" s="78" t="s">
        <v>28</v>
      </c>
      <c r="D38" s="78" t="s">
        <v>51</v>
      </c>
      <c r="E38" s="79" t="s">
        <v>427</v>
      </c>
      <c r="F38" s="78">
        <v>2.0263022796586294</v>
      </c>
      <c r="I38" s="76" t="s">
        <v>53</v>
      </c>
      <c r="J38" s="76" t="s">
        <v>20</v>
      </c>
      <c r="K38" s="76" t="s">
        <v>28</v>
      </c>
      <c r="L38" s="76" t="s">
        <v>51</v>
      </c>
      <c r="M38" s="76" t="s">
        <v>424</v>
      </c>
      <c r="N38" s="76">
        <v>2.0174328382577098</v>
      </c>
      <c r="Q38" s="78" t="s">
        <v>53</v>
      </c>
      <c r="R38" s="78" t="s">
        <v>20</v>
      </c>
      <c r="S38" s="78" t="s">
        <v>28</v>
      </c>
      <c r="T38" s="78" t="s">
        <v>51</v>
      </c>
      <c r="U38" s="78" t="s">
        <v>425</v>
      </c>
      <c r="V38" s="78">
        <v>2.0604933227684996</v>
      </c>
      <c r="AC38" s="78" t="s">
        <v>52</v>
      </c>
      <c r="AD38" s="78" t="s">
        <v>17</v>
      </c>
      <c r="AE38" s="78" t="s">
        <v>72</v>
      </c>
      <c r="AF38" s="78" t="s">
        <v>51</v>
      </c>
      <c r="AG38" s="78" t="s">
        <v>160</v>
      </c>
      <c r="AH38" s="78">
        <v>4.1754047688553753</v>
      </c>
      <c r="AJ38" s="78" t="s">
        <v>52</v>
      </c>
      <c r="AK38" s="78" t="s">
        <v>17</v>
      </c>
      <c r="AL38" s="78" t="s">
        <v>28</v>
      </c>
      <c r="AM38" s="78" t="s">
        <v>51</v>
      </c>
      <c r="AN38" s="78" t="s">
        <v>160</v>
      </c>
      <c r="AO38" s="78">
        <v>1.590711184285585</v>
      </c>
      <c r="AR38" s="78" t="s">
        <v>53</v>
      </c>
      <c r="AS38" s="78" t="s">
        <v>20</v>
      </c>
      <c r="AT38" s="78" t="s">
        <v>28</v>
      </c>
      <c r="AU38" s="78" t="s">
        <v>51</v>
      </c>
      <c r="AV38" s="78" t="s">
        <v>426</v>
      </c>
      <c r="AW38" s="78">
        <v>2.0827703624712002</v>
      </c>
    </row>
    <row r="39" spans="1:49" s="78" customFormat="1">
      <c r="A39" s="78" t="s">
        <v>20</v>
      </c>
      <c r="B39" s="78" t="s">
        <v>53</v>
      </c>
      <c r="C39" s="78" t="s">
        <v>41</v>
      </c>
      <c r="D39" s="78" t="s">
        <v>51</v>
      </c>
      <c r="E39" s="79" t="s">
        <v>427</v>
      </c>
      <c r="F39" s="78">
        <v>3500</v>
      </c>
      <c r="I39" s="76" t="s">
        <v>53</v>
      </c>
      <c r="J39" s="76" t="s">
        <v>20</v>
      </c>
      <c r="K39" s="76" t="s">
        <v>41</v>
      </c>
      <c r="L39" s="76" t="s">
        <v>51</v>
      </c>
      <c r="M39" s="76" t="s">
        <v>424</v>
      </c>
      <c r="N39" s="76">
        <v>3500</v>
      </c>
      <c r="Q39" s="78" t="s">
        <v>53</v>
      </c>
      <c r="R39" s="78" t="s">
        <v>20</v>
      </c>
      <c r="S39" s="78" t="s">
        <v>41</v>
      </c>
      <c r="T39" s="78" t="s">
        <v>51</v>
      </c>
      <c r="U39" s="78" t="s">
        <v>425</v>
      </c>
      <c r="V39" s="78">
        <v>3500</v>
      </c>
      <c r="AC39" s="78" t="s">
        <v>52</v>
      </c>
      <c r="AD39" s="78" t="s">
        <v>17</v>
      </c>
      <c r="AE39" s="78" t="s">
        <v>72</v>
      </c>
      <c r="AF39" s="78" t="s">
        <v>51</v>
      </c>
      <c r="AG39" s="78" t="s">
        <v>161</v>
      </c>
      <c r="AH39" s="78">
        <v>4.160686645028302</v>
      </c>
      <c r="AJ39" s="78" t="s">
        <v>52</v>
      </c>
      <c r="AK39" s="78" t="s">
        <v>17</v>
      </c>
      <c r="AL39" s="78" t="s">
        <v>28</v>
      </c>
      <c r="AM39" s="78" t="s">
        <v>51</v>
      </c>
      <c r="AN39" s="78" t="s">
        <v>161</v>
      </c>
      <c r="AO39" s="78">
        <v>1.584783703229552</v>
      </c>
      <c r="AR39" s="78" t="s">
        <v>53</v>
      </c>
      <c r="AS39" s="78" t="s">
        <v>20</v>
      </c>
      <c r="AT39" s="78" t="s">
        <v>41</v>
      </c>
      <c r="AU39" s="78" t="s">
        <v>51</v>
      </c>
      <c r="AV39" s="78" t="s">
        <v>426</v>
      </c>
      <c r="AW39" s="78">
        <v>3500</v>
      </c>
    </row>
    <row r="40" spans="1:49" s="78" customFormat="1">
      <c r="A40" s="78" t="s">
        <v>20</v>
      </c>
      <c r="B40" s="78" t="s">
        <v>54</v>
      </c>
      <c r="C40" s="78" t="s">
        <v>72</v>
      </c>
      <c r="D40" s="78" t="s">
        <v>51</v>
      </c>
      <c r="E40" s="79" t="s">
        <v>427</v>
      </c>
      <c r="F40" s="78">
        <v>3.9770901967365671</v>
      </c>
      <c r="I40" s="76" t="s">
        <v>54</v>
      </c>
      <c r="J40" s="76" t="s">
        <v>20</v>
      </c>
      <c r="K40" s="76" t="s">
        <v>72</v>
      </c>
      <c r="L40" s="76" t="s">
        <v>51</v>
      </c>
      <c r="M40" s="76" t="s">
        <v>424</v>
      </c>
      <c r="N40" s="76">
        <v>4.1548334667180757</v>
      </c>
      <c r="Q40" s="78" t="s">
        <v>54</v>
      </c>
      <c r="R40" s="78" t="s">
        <v>20</v>
      </c>
      <c r="S40" s="78" t="s">
        <v>72</v>
      </c>
      <c r="T40" s="78" t="s">
        <v>51</v>
      </c>
      <c r="U40" s="78" t="s">
        <v>425</v>
      </c>
      <c r="V40" s="78">
        <v>3.9770901967365671</v>
      </c>
      <c r="AC40" s="78" t="s">
        <v>52</v>
      </c>
      <c r="AD40" s="78" t="s">
        <v>17</v>
      </c>
      <c r="AE40" s="78" t="s">
        <v>72</v>
      </c>
      <c r="AF40" s="78" t="s">
        <v>51</v>
      </c>
      <c r="AG40" s="78" t="s">
        <v>162</v>
      </c>
      <c r="AH40" s="78">
        <v>4.1253094173164744</v>
      </c>
      <c r="AJ40" s="78" t="s">
        <v>52</v>
      </c>
      <c r="AK40" s="78" t="s">
        <v>17</v>
      </c>
      <c r="AL40" s="78" t="s">
        <v>28</v>
      </c>
      <c r="AM40" s="78" t="s">
        <v>51</v>
      </c>
      <c r="AN40" s="78" t="s">
        <v>162</v>
      </c>
      <c r="AO40" s="78">
        <v>1.5581889968587042</v>
      </c>
      <c r="AR40" s="78" t="s">
        <v>54</v>
      </c>
      <c r="AS40" s="78" t="s">
        <v>20</v>
      </c>
      <c r="AT40" s="78" t="s">
        <v>72</v>
      </c>
      <c r="AU40" s="78" t="s">
        <v>51</v>
      </c>
      <c r="AV40" s="78" t="s">
        <v>426</v>
      </c>
      <c r="AW40" s="78">
        <v>4.2701439283478235</v>
      </c>
    </row>
    <row r="41" spans="1:49" s="78" customFormat="1">
      <c r="A41" s="78" t="s">
        <v>20</v>
      </c>
      <c r="B41" s="78" t="s">
        <v>54</v>
      </c>
      <c r="C41" s="78" t="s">
        <v>0</v>
      </c>
      <c r="D41" s="78" t="s">
        <v>51</v>
      </c>
      <c r="E41" s="79" t="s">
        <v>427</v>
      </c>
      <c r="F41" s="78">
        <v>3.992</v>
      </c>
      <c r="I41" s="76" t="s">
        <v>54</v>
      </c>
      <c r="J41" s="76" t="s">
        <v>20</v>
      </c>
      <c r="K41" s="76" t="s">
        <v>0</v>
      </c>
      <c r="L41" s="76" t="s">
        <v>51</v>
      </c>
      <c r="M41" s="76" t="s">
        <v>424</v>
      </c>
      <c r="N41" s="76">
        <v>3.968</v>
      </c>
      <c r="Q41" s="78" t="s">
        <v>54</v>
      </c>
      <c r="R41" s="78" t="s">
        <v>20</v>
      </c>
      <c r="S41" s="78" t="s">
        <v>0</v>
      </c>
      <c r="T41" s="78" t="s">
        <v>51</v>
      </c>
      <c r="U41" s="78" t="s">
        <v>425</v>
      </c>
      <c r="V41" s="78">
        <v>3.992</v>
      </c>
      <c r="AC41" s="78" t="s">
        <v>52</v>
      </c>
      <c r="AD41" s="78" t="s">
        <v>17</v>
      </c>
      <c r="AE41" s="78" t="s">
        <v>72</v>
      </c>
      <c r="AF41" s="78" t="s">
        <v>51</v>
      </c>
      <c r="AG41" s="78" t="s">
        <v>163</v>
      </c>
      <c r="AH41" s="78">
        <v>4.1518494534957036</v>
      </c>
      <c r="AJ41" s="78" t="s">
        <v>52</v>
      </c>
      <c r="AK41" s="78" t="s">
        <v>17</v>
      </c>
      <c r="AL41" s="78" t="s">
        <v>28</v>
      </c>
      <c r="AM41" s="78" t="s">
        <v>51</v>
      </c>
      <c r="AN41" s="78" t="s">
        <v>163</v>
      </c>
      <c r="AO41" s="78">
        <v>1.5532602364254431</v>
      </c>
      <c r="AR41" s="78" t="s">
        <v>54</v>
      </c>
      <c r="AS41" s="78" t="s">
        <v>20</v>
      </c>
      <c r="AT41" s="78" t="s">
        <v>0</v>
      </c>
      <c r="AU41" s="78" t="s">
        <v>51</v>
      </c>
      <c r="AV41" s="78" t="s">
        <v>426</v>
      </c>
      <c r="AW41" s="78">
        <v>3.923</v>
      </c>
    </row>
    <row r="42" spans="1:49" s="78" customFormat="1">
      <c r="A42" s="78" t="s">
        <v>20</v>
      </c>
      <c r="B42" s="78" t="s">
        <v>54</v>
      </c>
      <c r="C42" s="78" t="s">
        <v>40</v>
      </c>
      <c r="D42" s="78" t="s">
        <v>51</v>
      </c>
      <c r="E42" s="79" t="s">
        <v>427</v>
      </c>
      <c r="F42" s="78">
        <v>0.05</v>
      </c>
      <c r="I42" s="76" t="s">
        <v>54</v>
      </c>
      <c r="J42" s="76" t="s">
        <v>20</v>
      </c>
      <c r="K42" s="76" t="s">
        <v>40</v>
      </c>
      <c r="L42" s="76" t="s">
        <v>51</v>
      </c>
      <c r="M42" s="76" t="s">
        <v>424</v>
      </c>
      <c r="N42" s="76">
        <v>0.05</v>
      </c>
      <c r="Q42" s="78" t="s">
        <v>54</v>
      </c>
      <c r="R42" s="78" t="s">
        <v>20</v>
      </c>
      <c r="S42" s="78" t="s">
        <v>40</v>
      </c>
      <c r="T42" s="78" t="s">
        <v>51</v>
      </c>
      <c r="U42" s="78" t="s">
        <v>425</v>
      </c>
      <c r="V42" s="78">
        <v>0.05</v>
      </c>
      <c r="AC42" s="78" t="s">
        <v>52</v>
      </c>
      <c r="AD42" s="78" t="s">
        <v>17</v>
      </c>
      <c r="AE42" s="78" t="s">
        <v>72</v>
      </c>
      <c r="AF42" s="78" t="s">
        <v>51</v>
      </c>
      <c r="AG42" s="78" t="s">
        <v>164</v>
      </c>
      <c r="AH42" s="78">
        <v>4.2018642658889958</v>
      </c>
      <c r="AJ42" s="78" t="s">
        <v>52</v>
      </c>
      <c r="AK42" s="78" t="s">
        <v>17</v>
      </c>
      <c r="AL42" s="78" t="s">
        <v>28</v>
      </c>
      <c r="AM42" s="78" t="s">
        <v>51</v>
      </c>
      <c r="AN42" s="78" t="s">
        <v>164</v>
      </c>
      <c r="AO42" s="78">
        <v>1.5793431858039257</v>
      </c>
      <c r="AR42" s="78" t="s">
        <v>54</v>
      </c>
      <c r="AS42" s="78" t="s">
        <v>20</v>
      </c>
      <c r="AT42" s="78" t="s">
        <v>40</v>
      </c>
      <c r="AU42" s="78" t="s">
        <v>51</v>
      </c>
      <c r="AV42" s="78" t="s">
        <v>426</v>
      </c>
      <c r="AW42" s="78">
        <v>0.05</v>
      </c>
    </row>
    <row r="43" spans="1:49" s="78" customFormat="1">
      <c r="A43" s="78" t="s">
        <v>20</v>
      </c>
      <c r="B43" s="78" t="s">
        <v>54</v>
      </c>
      <c r="C43" s="78" t="s">
        <v>1</v>
      </c>
      <c r="D43" s="78" t="s">
        <v>51</v>
      </c>
      <c r="E43" s="79" t="s">
        <v>427</v>
      </c>
      <c r="F43" s="78">
        <v>200000</v>
      </c>
      <c r="I43" s="76" t="s">
        <v>54</v>
      </c>
      <c r="J43" s="76" t="s">
        <v>20</v>
      </c>
      <c r="K43" s="76" t="s">
        <v>1</v>
      </c>
      <c r="L43" s="76" t="s">
        <v>51</v>
      </c>
      <c r="M43" s="76" t="s">
        <v>424</v>
      </c>
      <c r="N43" s="76">
        <v>200000</v>
      </c>
      <c r="Q43" s="78" t="s">
        <v>54</v>
      </c>
      <c r="R43" s="78" t="s">
        <v>20</v>
      </c>
      <c r="S43" s="78" t="s">
        <v>1</v>
      </c>
      <c r="T43" s="78" t="s">
        <v>51</v>
      </c>
      <c r="U43" s="78" t="s">
        <v>425</v>
      </c>
      <c r="V43" s="78">
        <v>200000</v>
      </c>
      <c r="AC43" s="78" t="s">
        <v>52</v>
      </c>
      <c r="AD43" s="78" t="s">
        <v>17</v>
      </c>
      <c r="AE43" s="78" t="s">
        <v>72</v>
      </c>
      <c r="AF43" s="78" t="s">
        <v>51</v>
      </c>
      <c r="AG43" s="78" t="s">
        <v>165</v>
      </c>
      <c r="AH43" s="78">
        <v>4.2106746450138894</v>
      </c>
      <c r="AJ43" s="78" t="s">
        <v>52</v>
      </c>
      <c r="AK43" s="78" t="s">
        <v>17</v>
      </c>
      <c r="AL43" s="78" t="s">
        <v>28</v>
      </c>
      <c r="AM43" s="78" t="s">
        <v>51</v>
      </c>
      <c r="AN43" s="78" t="s">
        <v>165</v>
      </c>
      <c r="AO43" s="78">
        <v>1.5353482312671591</v>
      </c>
      <c r="AR43" s="78" t="s">
        <v>54</v>
      </c>
      <c r="AS43" s="78" t="s">
        <v>20</v>
      </c>
      <c r="AT43" s="78" t="s">
        <v>1</v>
      </c>
      <c r="AU43" s="78" t="s">
        <v>51</v>
      </c>
      <c r="AV43" s="78" t="s">
        <v>426</v>
      </c>
      <c r="AW43" s="78">
        <v>200000</v>
      </c>
    </row>
    <row r="44" spans="1:49" s="78" customFormat="1">
      <c r="A44" s="78" t="s">
        <v>20</v>
      </c>
      <c r="B44" s="78" t="s">
        <v>54</v>
      </c>
      <c r="C44" s="78" t="s">
        <v>7</v>
      </c>
      <c r="D44" s="78" t="s">
        <v>51</v>
      </c>
      <c r="E44" s="79" t="s">
        <v>427</v>
      </c>
      <c r="F44" s="78">
        <v>1</v>
      </c>
      <c r="I44" s="76" t="s">
        <v>54</v>
      </c>
      <c r="J44" s="76" t="s">
        <v>20</v>
      </c>
      <c r="K44" s="76" t="s">
        <v>7</v>
      </c>
      <c r="L44" s="76" t="s">
        <v>51</v>
      </c>
      <c r="M44" s="76" t="s">
        <v>424</v>
      </c>
      <c r="N44" s="76">
        <v>1</v>
      </c>
      <c r="Q44" s="78" t="s">
        <v>54</v>
      </c>
      <c r="R44" s="78" t="s">
        <v>20</v>
      </c>
      <c r="S44" s="78" t="s">
        <v>7</v>
      </c>
      <c r="T44" s="78" t="s">
        <v>51</v>
      </c>
      <c r="U44" s="78" t="s">
        <v>425</v>
      </c>
      <c r="V44" s="78">
        <v>1</v>
      </c>
      <c r="AC44" s="78" t="s">
        <v>52</v>
      </c>
      <c r="AD44" s="78" t="s">
        <v>17</v>
      </c>
      <c r="AE44" s="78" t="s">
        <v>72</v>
      </c>
      <c r="AF44" s="78" t="s">
        <v>51</v>
      </c>
      <c r="AG44" s="78" t="s">
        <v>166</v>
      </c>
      <c r="AH44" s="78">
        <v>4.1959880552043716</v>
      </c>
      <c r="AJ44" s="78" t="s">
        <v>52</v>
      </c>
      <c r="AK44" s="78" t="s">
        <v>17</v>
      </c>
      <c r="AL44" s="78" t="s">
        <v>28</v>
      </c>
      <c r="AM44" s="78" t="s">
        <v>51</v>
      </c>
      <c r="AN44" s="78" t="s">
        <v>166</v>
      </c>
      <c r="AO44" s="78">
        <v>1.5397004736750313</v>
      </c>
      <c r="AR44" s="78" t="s">
        <v>54</v>
      </c>
      <c r="AS44" s="78" t="s">
        <v>20</v>
      </c>
      <c r="AT44" s="78" t="s">
        <v>7</v>
      </c>
      <c r="AU44" s="78" t="s">
        <v>51</v>
      </c>
      <c r="AV44" s="78" t="s">
        <v>426</v>
      </c>
      <c r="AW44" s="78">
        <v>1</v>
      </c>
    </row>
    <row r="45" spans="1:49" s="78" customFormat="1">
      <c r="A45" s="78" t="s">
        <v>20</v>
      </c>
      <c r="B45" s="78" t="s">
        <v>54</v>
      </c>
      <c r="C45" s="78" t="s">
        <v>25</v>
      </c>
      <c r="D45" s="78" t="s">
        <v>51</v>
      </c>
      <c r="E45" s="79" t="s">
        <v>427</v>
      </c>
      <c r="F45" s="78">
        <v>3.875</v>
      </c>
      <c r="I45" s="76" t="s">
        <v>54</v>
      </c>
      <c r="J45" s="76" t="s">
        <v>20</v>
      </c>
      <c r="K45" s="76" t="s">
        <v>25</v>
      </c>
      <c r="L45" s="76" t="s">
        <v>51</v>
      </c>
      <c r="M45" s="76" t="s">
        <v>424</v>
      </c>
      <c r="N45" s="76">
        <v>3.75</v>
      </c>
      <c r="Q45" s="78" t="s">
        <v>54</v>
      </c>
      <c r="R45" s="78" t="s">
        <v>20</v>
      </c>
      <c r="S45" s="78" t="s">
        <v>25</v>
      </c>
      <c r="T45" s="78" t="s">
        <v>51</v>
      </c>
      <c r="U45" s="78" t="s">
        <v>425</v>
      </c>
      <c r="V45" s="78">
        <v>3.875</v>
      </c>
      <c r="AC45" s="78" t="s">
        <v>52</v>
      </c>
      <c r="AD45" s="78" t="s">
        <v>17</v>
      </c>
      <c r="AE45" s="78" t="s">
        <v>72</v>
      </c>
      <c r="AF45" s="78" t="s">
        <v>51</v>
      </c>
      <c r="AG45" s="78" t="s">
        <v>167</v>
      </c>
      <c r="AH45" s="78">
        <v>4.1930491621487036</v>
      </c>
      <c r="AJ45" s="78" t="s">
        <v>52</v>
      </c>
      <c r="AK45" s="78" t="s">
        <v>17</v>
      </c>
      <c r="AL45" s="78" t="s">
        <v>28</v>
      </c>
      <c r="AM45" s="78" t="s">
        <v>51</v>
      </c>
      <c r="AN45" s="78" t="s">
        <v>167</v>
      </c>
      <c r="AO45" s="78">
        <v>1.5634899443794636</v>
      </c>
      <c r="AR45" s="78" t="s">
        <v>54</v>
      </c>
      <c r="AS45" s="78" t="s">
        <v>20</v>
      </c>
      <c r="AT45" s="78" t="s">
        <v>25</v>
      </c>
      <c r="AU45" s="78" t="s">
        <v>51</v>
      </c>
      <c r="AV45" s="78" t="s">
        <v>426</v>
      </c>
      <c r="AW45" s="78">
        <v>3.625</v>
      </c>
    </row>
    <row r="46" spans="1:49" s="78" customFormat="1">
      <c r="A46" s="78" t="s">
        <v>20</v>
      </c>
      <c r="B46" s="78" t="s">
        <v>54</v>
      </c>
      <c r="C46" s="78" t="s">
        <v>28</v>
      </c>
      <c r="D46" s="78" t="s">
        <v>51</v>
      </c>
      <c r="E46" s="79" t="s">
        <v>427</v>
      </c>
      <c r="F46" s="78">
        <v>1.0193413136553171</v>
      </c>
      <c r="I46" s="76" t="s">
        <v>54</v>
      </c>
      <c r="J46" s="76" t="s">
        <v>20</v>
      </c>
      <c r="K46" s="76" t="s">
        <v>28</v>
      </c>
      <c r="L46" s="76" t="s">
        <v>51</v>
      </c>
      <c r="M46" s="76" t="s">
        <v>424</v>
      </c>
      <c r="N46" s="76">
        <v>1.201623237250526</v>
      </c>
      <c r="Q46" s="78" t="s">
        <v>54</v>
      </c>
      <c r="R46" s="78" t="s">
        <v>20</v>
      </c>
      <c r="S46" s="78" t="s">
        <v>28</v>
      </c>
      <c r="T46" s="78" t="s">
        <v>51</v>
      </c>
      <c r="U46" s="78" t="s">
        <v>425</v>
      </c>
      <c r="V46" s="78">
        <v>1.0930256036501569</v>
      </c>
      <c r="AC46" s="78" t="s">
        <v>52</v>
      </c>
      <c r="AD46" s="78" t="s">
        <v>17</v>
      </c>
      <c r="AE46" s="78" t="s">
        <v>72</v>
      </c>
      <c r="AF46" s="78" t="s">
        <v>51</v>
      </c>
      <c r="AG46" s="78" t="s">
        <v>168</v>
      </c>
      <c r="AH46" s="78">
        <v>4.1930491621487036</v>
      </c>
      <c r="AJ46" s="78" t="s">
        <v>52</v>
      </c>
      <c r="AK46" s="78" t="s">
        <v>17</v>
      </c>
      <c r="AL46" s="78" t="s">
        <v>28</v>
      </c>
      <c r="AM46" s="78" t="s">
        <v>51</v>
      </c>
      <c r="AN46" s="78" t="s">
        <v>168</v>
      </c>
      <c r="AO46" s="78">
        <v>1.5493153117300138</v>
      </c>
      <c r="AR46" s="78" t="s">
        <v>54</v>
      </c>
      <c r="AS46" s="78" t="s">
        <v>20</v>
      </c>
      <c r="AT46" s="78" t="s">
        <v>28</v>
      </c>
      <c r="AU46" s="78" t="s">
        <v>51</v>
      </c>
      <c r="AV46" s="78" t="s">
        <v>426</v>
      </c>
      <c r="AW46" s="78">
        <v>1.4275123966813834</v>
      </c>
    </row>
    <row r="47" spans="1:49" s="78" customFormat="1">
      <c r="A47" s="78" t="s">
        <v>20</v>
      </c>
      <c r="B47" s="78" t="s">
        <v>55</v>
      </c>
      <c r="C47" s="78" t="s">
        <v>72</v>
      </c>
      <c r="D47" s="78" t="s">
        <v>51</v>
      </c>
      <c r="E47" s="79" t="s">
        <v>427</v>
      </c>
      <c r="F47" s="78">
        <v>3.9929555782460247</v>
      </c>
      <c r="I47" s="76" t="s">
        <v>55</v>
      </c>
      <c r="J47" s="76" t="s">
        <v>20</v>
      </c>
      <c r="K47" s="76" t="s">
        <v>72</v>
      </c>
      <c r="L47" s="76" t="s">
        <v>51</v>
      </c>
      <c r="M47" s="76" t="s">
        <v>424</v>
      </c>
      <c r="N47" s="76">
        <v>3.9929555782460247</v>
      </c>
      <c r="Q47" s="78" t="s">
        <v>55</v>
      </c>
      <c r="R47" s="78" t="s">
        <v>20</v>
      </c>
      <c r="S47" s="78" t="s">
        <v>72</v>
      </c>
      <c r="T47" s="78" t="s">
        <v>51</v>
      </c>
      <c r="U47" s="78" t="s">
        <v>425</v>
      </c>
      <c r="V47" s="78">
        <v>3.9929555782460247</v>
      </c>
      <c r="AC47" s="78" t="s">
        <v>52</v>
      </c>
      <c r="AD47" s="78" t="s">
        <v>17</v>
      </c>
      <c r="AE47" s="78" t="s">
        <v>72</v>
      </c>
      <c r="AF47" s="78" t="s">
        <v>51</v>
      </c>
      <c r="AG47" s="78" t="s">
        <v>169</v>
      </c>
      <c r="AH47" s="78">
        <v>4.2487984318822525</v>
      </c>
      <c r="AJ47" s="78" t="s">
        <v>52</v>
      </c>
      <c r="AK47" s="78" t="s">
        <v>17</v>
      </c>
      <c r="AL47" s="78" t="s">
        <v>28</v>
      </c>
      <c r="AM47" s="78" t="s">
        <v>51</v>
      </c>
      <c r="AN47" s="78" t="s">
        <v>169</v>
      </c>
      <c r="AO47" s="78">
        <v>1.5496569772517022</v>
      </c>
      <c r="AR47" s="78" t="s">
        <v>55</v>
      </c>
      <c r="AS47" s="78" t="s">
        <v>20</v>
      </c>
      <c r="AT47" s="78" t="s">
        <v>72</v>
      </c>
      <c r="AU47" s="78" t="s">
        <v>51</v>
      </c>
      <c r="AV47" s="78" t="s">
        <v>426</v>
      </c>
      <c r="AW47" s="78">
        <v>4.1481752040431985</v>
      </c>
    </row>
    <row r="48" spans="1:49" s="78" customFormat="1">
      <c r="A48" s="78" t="s">
        <v>20</v>
      </c>
      <c r="B48" s="78" t="s">
        <v>55</v>
      </c>
      <c r="C48" s="78" t="s">
        <v>0</v>
      </c>
      <c r="D48" s="78" t="s">
        <v>51</v>
      </c>
      <c r="E48" s="79" t="s">
        <v>427</v>
      </c>
      <c r="F48" s="78">
        <v>3.8290000000000002</v>
      </c>
      <c r="I48" s="76" t="s">
        <v>55</v>
      </c>
      <c r="J48" s="76" t="s">
        <v>20</v>
      </c>
      <c r="K48" s="76" t="s">
        <v>0</v>
      </c>
      <c r="L48" s="76" t="s">
        <v>51</v>
      </c>
      <c r="M48" s="76" t="s">
        <v>424</v>
      </c>
      <c r="N48" s="76">
        <v>3.8290000000000002</v>
      </c>
      <c r="Q48" s="78" t="s">
        <v>55</v>
      </c>
      <c r="R48" s="78" t="s">
        <v>20</v>
      </c>
      <c r="S48" s="78" t="s">
        <v>0</v>
      </c>
      <c r="T48" s="78" t="s">
        <v>51</v>
      </c>
      <c r="U48" s="78" t="s">
        <v>425</v>
      </c>
      <c r="V48" s="78">
        <v>3.8290000000000002</v>
      </c>
      <c r="AC48" s="78" t="s">
        <v>52</v>
      </c>
      <c r="AD48" s="78" t="s">
        <v>17</v>
      </c>
      <c r="AE48" s="78" t="s">
        <v>72</v>
      </c>
      <c r="AF48" s="78" t="s">
        <v>51</v>
      </c>
      <c r="AG48" s="78" t="s">
        <v>170</v>
      </c>
      <c r="AH48" s="78">
        <v>4.2672076568305926</v>
      </c>
      <c r="AJ48" s="78" t="s">
        <v>52</v>
      </c>
      <c r="AK48" s="78" t="s">
        <v>17</v>
      </c>
      <c r="AL48" s="78" t="s">
        <v>28</v>
      </c>
      <c r="AM48" s="78" t="s">
        <v>51</v>
      </c>
      <c r="AN48" s="78" t="s">
        <v>170</v>
      </c>
      <c r="AO48" s="78">
        <v>1.5204617852732729</v>
      </c>
      <c r="AR48" s="78" t="s">
        <v>55</v>
      </c>
      <c r="AS48" s="78" t="s">
        <v>20</v>
      </c>
      <c r="AT48" s="78" t="s">
        <v>0</v>
      </c>
      <c r="AU48" s="78" t="s">
        <v>51</v>
      </c>
      <c r="AV48" s="78" t="s">
        <v>426</v>
      </c>
      <c r="AW48" s="78">
        <v>3.7120000000000002</v>
      </c>
    </row>
    <row r="49" spans="1:49" s="78" customFormat="1">
      <c r="A49" s="78" t="s">
        <v>20</v>
      </c>
      <c r="B49" s="78" t="s">
        <v>55</v>
      </c>
      <c r="C49" s="78" t="s">
        <v>40</v>
      </c>
      <c r="D49" s="78" t="s">
        <v>51</v>
      </c>
      <c r="E49" s="79" t="s">
        <v>427</v>
      </c>
      <c r="F49" s="78">
        <v>0.05</v>
      </c>
      <c r="I49" s="76" t="s">
        <v>55</v>
      </c>
      <c r="J49" s="76" t="s">
        <v>20</v>
      </c>
      <c r="K49" s="76" t="s">
        <v>40</v>
      </c>
      <c r="L49" s="76" t="s">
        <v>51</v>
      </c>
      <c r="M49" s="76" t="s">
        <v>424</v>
      </c>
      <c r="N49" s="76">
        <v>0.05</v>
      </c>
      <c r="Q49" s="78" t="s">
        <v>55</v>
      </c>
      <c r="R49" s="78" t="s">
        <v>20</v>
      </c>
      <c r="S49" s="78" t="s">
        <v>40</v>
      </c>
      <c r="T49" s="78" t="s">
        <v>51</v>
      </c>
      <c r="U49" s="78" t="s">
        <v>425</v>
      </c>
      <c r="V49" s="78">
        <v>0.05</v>
      </c>
      <c r="AC49" s="78" t="s">
        <v>52</v>
      </c>
      <c r="AD49" s="78" t="s">
        <v>17</v>
      </c>
      <c r="AE49" s="78" t="s">
        <v>72</v>
      </c>
      <c r="AF49" s="78" t="s">
        <v>51</v>
      </c>
      <c r="AG49" s="78" t="s">
        <v>171</v>
      </c>
      <c r="AH49" s="78">
        <v>4.2232506437744561</v>
      </c>
      <c r="AJ49" s="78" t="s">
        <v>52</v>
      </c>
      <c r="AK49" s="78" t="s">
        <v>17</v>
      </c>
      <c r="AL49" s="78" t="s">
        <v>28</v>
      </c>
      <c r="AM49" s="78" t="s">
        <v>51</v>
      </c>
      <c r="AN49" s="78" t="s">
        <v>171</v>
      </c>
      <c r="AO49" s="78">
        <v>1.4752359208075061</v>
      </c>
      <c r="AR49" s="78" t="s">
        <v>55</v>
      </c>
      <c r="AS49" s="78" t="s">
        <v>20</v>
      </c>
      <c r="AT49" s="78" t="s">
        <v>40</v>
      </c>
      <c r="AU49" s="78" t="s">
        <v>51</v>
      </c>
      <c r="AV49" s="78" t="s">
        <v>426</v>
      </c>
      <c r="AW49" s="78">
        <v>0.05</v>
      </c>
    </row>
    <row r="50" spans="1:49" s="78" customFormat="1">
      <c r="A50" s="78" t="s">
        <v>20</v>
      </c>
      <c r="B50" s="78" t="s">
        <v>55</v>
      </c>
      <c r="C50" s="78" t="s">
        <v>1</v>
      </c>
      <c r="D50" s="78" t="s">
        <v>51</v>
      </c>
      <c r="E50" s="79" t="s">
        <v>427</v>
      </c>
      <c r="F50" s="78">
        <v>750000</v>
      </c>
      <c r="I50" s="76" t="s">
        <v>55</v>
      </c>
      <c r="J50" s="76" t="s">
        <v>20</v>
      </c>
      <c r="K50" s="76" t="s">
        <v>1</v>
      </c>
      <c r="L50" s="76" t="s">
        <v>51</v>
      </c>
      <c r="M50" s="76" t="s">
        <v>424</v>
      </c>
      <c r="N50" s="76">
        <v>750000</v>
      </c>
      <c r="Q50" s="78" t="s">
        <v>55</v>
      </c>
      <c r="R50" s="78" t="s">
        <v>20</v>
      </c>
      <c r="S50" s="78" t="s">
        <v>1</v>
      </c>
      <c r="T50" s="78" t="s">
        <v>51</v>
      </c>
      <c r="U50" s="78" t="s">
        <v>425</v>
      </c>
      <c r="V50" s="78">
        <v>750000</v>
      </c>
      <c r="AC50" s="78" t="s">
        <v>52</v>
      </c>
      <c r="AD50" s="78" t="s">
        <v>17</v>
      </c>
      <c r="AE50" s="78" t="s">
        <v>72</v>
      </c>
      <c r="AF50" s="78" t="s">
        <v>51</v>
      </c>
      <c r="AG50" s="78" t="s">
        <v>172</v>
      </c>
      <c r="AH50" s="78">
        <v>4.2672076568305926</v>
      </c>
      <c r="AJ50" s="78" t="s">
        <v>52</v>
      </c>
      <c r="AK50" s="78" t="s">
        <v>17</v>
      </c>
      <c r="AL50" s="78" t="s">
        <v>28</v>
      </c>
      <c r="AM50" s="78" t="s">
        <v>51</v>
      </c>
      <c r="AN50" s="78" t="s">
        <v>172</v>
      </c>
      <c r="AO50" s="78">
        <v>1.4607977497664324</v>
      </c>
      <c r="AR50" s="78" t="s">
        <v>55</v>
      </c>
      <c r="AS50" s="78" t="s">
        <v>20</v>
      </c>
      <c r="AT50" s="78" t="s">
        <v>1</v>
      </c>
      <c r="AU50" s="78" t="s">
        <v>51</v>
      </c>
      <c r="AV50" s="78" t="s">
        <v>426</v>
      </c>
      <c r="AW50" s="78">
        <v>750000</v>
      </c>
    </row>
    <row r="51" spans="1:49" s="78" customFormat="1">
      <c r="A51" s="78" t="s">
        <v>20</v>
      </c>
      <c r="B51" s="78" t="s">
        <v>55</v>
      </c>
      <c r="C51" s="78" t="s">
        <v>7</v>
      </c>
      <c r="D51" s="78" t="s">
        <v>51</v>
      </c>
      <c r="E51" s="79" t="s">
        <v>427</v>
      </c>
      <c r="F51" s="78">
        <v>1</v>
      </c>
      <c r="I51" s="76" t="s">
        <v>55</v>
      </c>
      <c r="J51" s="76" t="s">
        <v>20</v>
      </c>
      <c r="K51" s="76" t="s">
        <v>7</v>
      </c>
      <c r="L51" s="76" t="s">
        <v>51</v>
      </c>
      <c r="M51" s="76" t="s">
        <v>424</v>
      </c>
      <c r="N51" s="76">
        <v>1</v>
      </c>
      <c r="Q51" s="78" t="s">
        <v>55</v>
      </c>
      <c r="R51" s="78" t="s">
        <v>20</v>
      </c>
      <c r="S51" s="78" t="s">
        <v>7</v>
      </c>
      <c r="T51" s="78" t="s">
        <v>51</v>
      </c>
      <c r="U51" s="78" t="s">
        <v>425</v>
      </c>
      <c r="V51" s="78">
        <v>1</v>
      </c>
      <c r="AC51" s="78" t="s">
        <v>52</v>
      </c>
      <c r="AD51" s="78" t="s">
        <v>17</v>
      </c>
      <c r="AE51" s="78" t="s">
        <v>72</v>
      </c>
      <c r="AF51" s="78" t="s">
        <v>51</v>
      </c>
      <c r="AG51" s="78" t="s">
        <v>173</v>
      </c>
      <c r="AH51" s="78">
        <v>4.3168838594099084</v>
      </c>
      <c r="AJ51" s="78" t="s">
        <v>52</v>
      </c>
      <c r="AK51" s="78" t="s">
        <v>17</v>
      </c>
      <c r="AL51" s="78" t="s">
        <v>28</v>
      </c>
      <c r="AM51" s="78" t="s">
        <v>51</v>
      </c>
      <c r="AN51" s="78" t="s">
        <v>173</v>
      </c>
      <c r="AO51" s="78">
        <v>1.475207853795258</v>
      </c>
      <c r="AR51" s="78" t="s">
        <v>55</v>
      </c>
      <c r="AS51" s="78" t="s">
        <v>20</v>
      </c>
      <c r="AT51" s="78" t="s">
        <v>7</v>
      </c>
      <c r="AU51" s="78" t="s">
        <v>51</v>
      </c>
      <c r="AV51" s="78" t="s">
        <v>426</v>
      </c>
      <c r="AW51" s="78">
        <v>1</v>
      </c>
    </row>
    <row r="52" spans="1:49" s="78" customFormat="1">
      <c r="A52" s="78" t="s">
        <v>20</v>
      </c>
      <c r="B52" s="78" t="s">
        <v>55</v>
      </c>
      <c r="C52" s="78" t="s">
        <v>25</v>
      </c>
      <c r="D52" s="78" t="s">
        <v>51</v>
      </c>
      <c r="E52" s="79" t="s">
        <v>427</v>
      </c>
      <c r="F52" s="78">
        <v>3.625</v>
      </c>
      <c r="I52" s="76" t="s">
        <v>55</v>
      </c>
      <c r="J52" s="76" t="s">
        <v>20</v>
      </c>
      <c r="K52" s="76" t="s">
        <v>25</v>
      </c>
      <c r="L52" s="76" t="s">
        <v>51</v>
      </c>
      <c r="M52" s="76" t="s">
        <v>424</v>
      </c>
      <c r="N52" s="76">
        <v>3.625</v>
      </c>
      <c r="Q52" s="78" t="s">
        <v>55</v>
      </c>
      <c r="R52" s="78" t="s">
        <v>20</v>
      </c>
      <c r="S52" s="78" t="s">
        <v>25</v>
      </c>
      <c r="T52" s="78" t="s">
        <v>51</v>
      </c>
      <c r="U52" s="78" t="s">
        <v>425</v>
      </c>
      <c r="V52" s="78">
        <v>3.625</v>
      </c>
      <c r="AC52" s="78" t="s">
        <v>52</v>
      </c>
      <c r="AD52" s="78" t="s">
        <v>17</v>
      </c>
      <c r="AE52" s="78" t="s">
        <v>72</v>
      </c>
      <c r="AF52" s="78" t="s">
        <v>51</v>
      </c>
      <c r="AG52" s="78" t="s">
        <v>174</v>
      </c>
      <c r="AH52" s="78">
        <v>4.3022888156892893</v>
      </c>
      <c r="AJ52" s="78" t="s">
        <v>52</v>
      </c>
      <c r="AK52" s="78" t="s">
        <v>17</v>
      </c>
      <c r="AL52" s="78" t="s">
        <v>28</v>
      </c>
      <c r="AM52" s="78" t="s">
        <v>51</v>
      </c>
      <c r="AN52" s="78" t="s">
        <v>174</v>
      </c>
      <c r="AO52" s="78">
        <v>1.4266403402545991</v>
      </c>
      <c r="AR52" s="78" t="s">
        <v>55</v>
      </c>
      <c r="AS52" s="78" t="s">
        <v>20</v>
      </c>
      <c r="AT52" s="78" t="s">
        <v>25</v>
      </c>
      <c r="AU52" s="78" t="s">
        <v>51</v>
      </c>
      <c r="AV52" s="78" t="s">
        <v>426</v>
      </c>
      <c r="AW52" s="78">
        <v>3.375</v>
      </c>
    </row>
    <row r="53" spans="1:49" s="78" customFormat="1">
      <c r="A53" s="78" t="s">
        <v>20</v>
      </c>
      <c r="B53" s="78" t="s">
        <v>55</v>
      </c>
      <c r="C53" s="78" t="s">
        <v>28</v>
      </c>
      <c r="D53" s="78" t="s">
        <v>51</v>
      </c>
      <c r="E53" s="79" t="s">
        <v>427</v>
      </c>
      <c r="F53" s="78">
        <v>1.0352066951647747</v>
      </c>
      <c r="I53" s="76" t="s">
        <v>55</v>
      </c>
      <c r="J53" s="76" t="s">
        <v>20</v>
      </c>
      <c r="K53" s="76" t="s">
        <v>28</v>
      </c>
      <c r="L53" s="76" t="s">
        <v>51</v>
      </c>
      <c r="M53" s="76" t="s">
        <v>424</v>
      </c>
      <c r="N53" s="76">
        <v>1.0397453487784747</v>
      </c>
      <c r="Q53" s="78" t="s">
        <v>55</v>
      </c>
      <c r="R53" s="78" t="s">
        <v>20</v>
      </c>
      <c r="S53" s="78" t="s">
        <v>28</v>
      </c>
      <c r="T53" s="78" t="s">
        <v>51</v>
      </c>
      <c r="U53" s="78" t="s">
        <v>425</v>
      </c>
      <c r="V53" s="78">
        <v>1.1088909851596145</v>
      </c>
      <c r="AC53" s="78" t="s">
        <v>52</v>
      </c>
      <c r="AD53" s="78" t="s">
        <v>17</v>
      </c>
      <c r="AE53" s="78" t="s">
        <v>72</v>
      </c>
      <c r="AF53" s="78" t="s">
        <v>51</v>
      </c>
      <c r="AG53" s="78" t="s">
        <v>175</v>
      </c>
      <c r="AH53" s="78">
        <v>4.3518590182395505</v>
      </c>
      <c r="AJ53" s="78" t="s">
        <v>52</v>
      </c>
      <c r="AK53" s="78" t="s">
        <v>17</v>
      </c>
      <c r="AL53" s="78" t="s">
        <v>28</v>
      </c>
      <c r="AM53" s="78" t="s">
        <v>51</v>
      </c>
      <c r="AN53" s="78" t="s">
        <v>175</v>
      </c>
      <c r="AO53" s="78">
        <v>1.4325538212829705</v>
      </c>
      <c r="AR53" s="78" t="s">
        <v>55</v>
      </c>
      <c r="AS53" s="78" t="s">
        <v>20</v>
      </c>
      <c r="AT53" s="78" t="s">
        <v>28</v>
      </c>
      <c r="AU53" s="78" t="s">
        <v>51</v>
      </c>
      <c r="AV53" s="78" t="s">
        <v>426</v>
      </c>
      <c r="AW53" s="78">
        <v>1.3055436723767588</v>
      </c>
    </row>
    <row r="54" spans="1:49" s="78" customFormat="1">
      <c r="AC54" s="78" t="s">
        <v>52</v>
      </c>
      <c r="AD54" s="78" t="s">
        <v>17</v>
      </c>
      <c r="AE54" s="78" t="s">
        <v>72</v>
      </c>
      <c r="AF54" s="78" t="s">
        <v>51</v>
      </c>
      <c r="AG54" s="78" t="s">
        <v>176</v>
      </c>
      <c r="AH54" s="78">
        <v>4.3460350104353029</v>
      </c>
      <c r="AJ54" s="78" t="s">
        <v>52</v>
      </c>
      <c r="AK54" s="78" t="s">
        <v>17</v>
      </c>
      <c r="AL54" s="78" t="s">
        <v>28</v>
      </c>
      <c r="AM54" s="78" t="s">
        <v>51</v>
      </c>
      <c r="AN54" s="78" t="s">
        <v>176</v>
      </c>
      <c r="AO54" s="78">
        <v>1.4842570423911829</v>
      </c>
    </row>
    <row r="55" spans="1:49" s="78" customFormat="1">
      <c r="AC55" s="78" t="s">
        <v>52</v>
      </c>
      <c r="AD55" s="78" t="s">
        <v>17</v>
      </c>
      <c r="AE55" s="78" t="s">
        <v>72</v>
      </c>
      <c r="AF55" s="78" t="s">
        <v>51</v>
      </c>
      <c r="AG55" s="78" t="s">
        <v>177</v>
      </c>
      <c r="AH55" s="78">
        <v>4.2897559420131923</v>
      </c>
      <c r="AJ55" s="78" t="s">
        <v>52</v>
      </c>
      <c r="AK55" s="78" t="s">
        <v>17</v>
      </c>
      <c r="AL55" s="78" t="s">
        <v>28</v>
      </c>
      <c r="AM55" s="78" t="s">
        <v>51</v>
      </c>
      <c r="AN55" s="78" t="s">
        <v>177</v>
      </c>
      <c r="AO55" s="78">
        <v>1.4796482487599225</v>
      </c>
    </row>
    <row r="56" spans="1:49" s="78" customFormat="1">
      <c r="AC56" s="78" t="s">
        <v>52</v>
      </c>
      <c r="AD56" s="78" t="s">
        <v>17</v>
      </c>
      <c r="AE56" s="78" t="s">
        <v>72</v>
      </c>
      <c r="AF56" s="78" t="s">
        <v>51</v>
      </c>
      <c r="AG56" s="78" t="s">
        <v>178</v>
      </c>
      <c r="AH56" s="78">
        <v>4.2642808417652107</v>
      </c>
      <c r="AJ56" s="78" t="s">
        <v>52</v>
      </c>
      <c r="AK56" s="78" t="s">
        <v>17</v>
      </c>
      <c r="AL56" s="78" t="s">
        <v>28</v>
      </c>
      <c r="AM56" s="78" t="s">
        <v>51</v>
      </c>
      <c r="AN56" s="78" t="s">
        <v>178</v>
      </c>
      <c r="AO56" s="78">
        <v>1.3442992513367309</v>
      </c>
    </row>
    <row r="57" spans="1:49" s="78" customFormat="1">
      <c r="AC57" s="78" t="s">
        <v>52</v>
      </c>
      <c r="AD57" s="78" t="s">
        <v>17</v>
      </c>
      <c r="AE57" s="78" t="s">
        <v>72</v>
      </c>
      <c r="AF57" s="78" t="s">
        <v>51</v>
      </c>
      <c r="AG57" s="78" t="s">
        <v>179</v>
      </c>
      <c r="AH57" s="78">
        <v>4.2642808417652107</v>
      </c>
      <c r="AJ57" s="78" t="s">
        <v>52</v>
      </c>
      <c r="AK57" s="78" t="s">
        <v>17</v>
      </c>
      <c r="AL57" s="78" t="s">
        <v>28</v>
      </c>
      <c r="AM57" s="78" t="s">
        <v>51</v>
      </c>
      <c r="AN57" s="78" t="s">
        <v>179</v>
      </c>
      <c r="AO57" s="78">
        <v>1.3279910966528103</v>
      </c>
    </row>
    <row r="58" spans="1:49" s="78" customFormat="1">
      <c r="AC58" s="78" t="s">
        <v>52</v>
      </c>
      <c r="AD58" s="78" t="s">
        <v>17</v>
      </c>
      <c r="AE58" s="78" t="s">
        <v>72</v>
      </c>
      <c r="AF58" s="78" t="s">
        <v>51</v>
      </c>
      <c r="AG58" s="78" t="s">
        <v>180</v>
      </c>
      <c r="AH58" s="78">
        <v>4.2642808417652107</v>
      </c>
      <c r="AJ58" s="78" t="s">
        <v>52</v>
      </c>
      <c r="AK58" s="78" t="s">
        <v>17</v>
      </c>
      <c r="AL58" s="78" t="s">
        <v>28</v>
      </c>
      <c r="AM58" s="78" t="s">
        <v>51</v>
      </c>
      <c r="AN58" s="78" t="s">
        <v>180</v>
      </c>
      <c r="AO58" s="78">
        <v>1.3056715764918907</v>
      </c>
    </row>
    <row r="59" spans="1:49" s="78" customFormat="1">
      <c r="AC59" s="78" t="s">
        <v>52</v>
      </c>
      <c r="AD59" s="78" t="s">
        <v>17</v>
      </c>
      <c r="AE59" s="78" t="s">
        <v>72</v>
      </c>
      <c r="AF59" s="78" t="s">
        <v>51</v>
      </c>
      <c r="AG59" s="78" t="s">
        <v>181</v>
      </c>
      <c r="AH59" s="78">
        <v>4.2642808417652107</v>
      </c>
      <c r="AJ59" s="78" t="s">
        <v>52</v>
      </c>
      <c r="AK59" s="78" t="s">
        <v>17</v>
      </c>
      <c r="AL59" s="78" t="s">
        <v>28</v>
      </c>
      <c r="AM59" s="78" t="s">
        <v>51</v>
      </c>
      <c r="AN59" s="78" t="s">
        <v>181</v>
      </c>
      <c r="AO59" s="78">
        <v>1.3573902929718507</v>
      </c>
    </row>
    <row r="60" spans="1:49" s="78" customFormat="1">
      <c r="AC60" s="78" t="s">
        <v>52</v>
      </c>
      <c r="AD60" s="78" t="s">
        <v>17</v>
      </c>
      <c r="AE60" s="78" t="s">
        <v>72</v>
      </c>
      <c r="AF60" s="78" t="s">
        <v>51</v>
      </c>
      <c r="AG60" s="78" t="s">
        <v>182</v>
      </c>
      <c r="AH60" s="78">
        <v>4.2642808417652107</v>
      </c>
      <c r="AJ60" s="78" t="s">
        <v>52</v>
      </c>
      <c r="AK60" s="78" t="s">
        <v>17</v>
      </c>
      <c r="AL60" s="78" t="s">
        <v>28</v>
      </c>
      <c r="AM60" s="78" t="s">
        <v>51</v>
      </c>
      <c r="AN60" s="78" t="s">
        <v>182</v>
      </c>
      <c r="AO60" s="78">
        <v>1.4379641427249803</v>
      </c>
    </row>
    <row r="61" spans="1:49" s="78" customFormat="1">
      <c r="AC61" s="78" t="s">
        <v>52</v>
      </c>
      <c r="AD61" s="78" t="s">
        <v>17</v>
      </c>
      <c r="AE61" s="78" t="s">
        <v>72</v>
      </c>
      <c r="AF61" s="78" t="s">
        <v>51</v>
      </c>
      <c r="AG61" s="78" t="s">
        <v>183</v>
      </c>
      <c r="AH61" s="78">
        <v>4.2554972682965033</v>
      </c>
      <c r="AJ61" s="78" t="s">
        <v>52</v>
      </c>
      <c r="AK61" s="78" t="s">
        <v>17</v>
      </c>
      <c r="AL61" s="78" t="s">
        <v>28</v>
      </c>
      <c r="AM61" s="78" t="s">
        <v>51</v>
      </c>
      <c r="AN61" s="78" t="s">
        <v>183</v>
      </c>
      <c r="AO61" s="78">
        <v>1.3658173375018536</v>
      </c>
    </row>
    <row r="62" spans="1:49" s="78" customFormat="1">
      <c r="AC62" s="78" t="s">
        <v>52</v>
      </c>
      <c r="AD62" s="78" t="s">
        <v>17</v>
      </c>
      <c r="AE62" s="78" t="s">
        <v>72</v>
      </c>
      <c r="AF62" s="78" t="s">
        <v>51</v>
      </c>
      <c r="AG62" s="78" t="s">
        <v>184</v>
      </c>
      <c r="AH62" s="78">
        <v>4.3518590182395505</v>
      </c>
      <c r="AJ62" s="125" t="s">
        <v>52</v>
      </c>
      <c r="AK62" s="125" t="s">
        <v>17</v>
      </c>
      <c r="AL62" s="125" t="s">
        <v>28</v>
      </c>
      <c r="AM62" s="125" t="s">
        <v>51</v>
      </c>
      <c r="AN62" s="125" t="s">
        <v>184</v>
      </c>
      <c r="AO62" s="125">
        <v>1.4304106628608606</v>
      </c>
    </row>
    <row r="63" spans="1:49" s="78" customFormat="1">
      <c r="AC63" s="78" t="s">
        <v>52</v>
      </c>
      <c r="AD63" s="78" t="s">
        <v>17</v>
      </c>
      <c r="AE63" s="78" t="s">
        <v>72</v>
      </c>
      <c r="AF63" s="78" t="s">
        <v>51</v>
      </c>
      <c r="AG63" s="78" t="s">
        <v>185</v>
      </c>
      <c r="AH63" s="78">
        <v>4.3402089296616397</v>
      </c>
      <c r="AJ63" s="125" t="s">
        <v>52</v>
      </c>
      <c r="AK63" s="125" t="s">
        <v>17</v>
      </c>
      <c r="AL63" s="125" t="s">
        <v>28</v>
      </c>
      <c r="AM63" s="125" t="s">
        <v>51</v>
      </c>
      <c r="AN63" s="125" t="s">
        <v>185</v>
      </c>
      <c r="AO63" s="125">
        <v>1.4299466031505799</v>
      </c>
    </row>
    <row r="64" spans="1:49" s="78" customFormat="1">
      <c r="AC64" s="78" t="s">
        <v>52</v>
      </c>
      <c r="AD64" s="78" t="s">
        <v>17</v>
      </c>
      <c r="AE64" s="78" t="s">
        <v>72</v>
      </c>
      <c r="AF64" s="78" t="s">
        <v>51</v>
      </c>
      <c r="AG64" s="78" t="s">
        <v>186</v>
      </c>
      <c r="AH64" s="78">
        <v>4.3168838594099084</v>
      </c>
      <c r="AJ64" s="125" t="s">
        <v>52</v>
      </c>
      <c r="AK64" s="125" t="s">
        <v>17</v>
      </c>
      <c r="AL64" s="125" t="s">
        <v>28</v>
      </c>
      <c r="AM64" s="125" t="s">
        <v>51</v>
      </c>
      <c r="AN64" s="125" t="s">
        <v>186</v>
      </c>
      <c r="AO64" s="125">
        <v>1.4569078158252984</v>
      </c>
    </row>
    <row r="65" spans="29:41" s="78" customFormat="1">
      <c r="AC65" s="78" t="s">
        <v>52</v>
      </c>
      <c r="AD65" s="78" t="s">
        <v>17</v>
      </c>
      <c r="AE65" s="78" t="s">
        <v>72</v>
      </c>
      <c r="AF65" s="78" t="s">
        <v>51</v>
      </c>
      <c r="AG65" s="78" t="s">
        <v>187</v>
      </c>
      <c r="AH65" s="78">
        <v>4.3547702450498376</v>
      </c>
      <c r="AJ65" s="125" t="s">
        <v>52</v>
      </c>
      <c r="AK65" s="125" t="s">
        <v>17</v>
      </c>
      <c r="AL65" s="125" t="s">
        <v>28</v>
      </c>
      <c r="AM65" s="125" t="s">
        <v>51</v>
      </c>
      <c r="AN65" s="125" t="s">
        <v>187</v>
      </c>
      <c r="AO65" s="125">
        <v>1.4632492292194674</v>
      </c>
    </row>
    <row r="66" spans="29:41" s="78" customFormat="1">
      <c r="AC66" s="78" t="s">
        <v>52</v>
      </c>
      <c r="AD66" s="78" t="s">
        <v>17</v>
      </c>
      <c r="AE66" s="78" t="s">
        <v>72</v>
      </c>
      <c r="AF66" s="78" t="s">
        <v>51</v>
      </c>
      <c r="AG66" s="78" t="s">
        <v>188</v>
      </c>
      <c r="AH66" s="78">
        <v>4.3780414237322258</v>
      </c>
      <c r="AJ66" s="125" t="s">
        <v>52</v>
      </c>
      <c r="AK66" s="125" t="s">
        <v>17</v>
      </c>
      <c r="AL66" s="125" t="s">
        <v>28</v>
      </c>
      <c r="AM66" s="125" t="s">
        <v>51</v>
      </c>
      <c r="AN66" s="125" t="s">
        <v>188</v>
      </c>
      <c r="AO66" s="125">
        <v>1.5279709851186456</v>
      </c>
    </row>
    <row r="67" spans="29:41" s="78" customFormat="1">
      <c r="AC67" s="78" t="s">
        <v>52</v>
      </c>
      <c r="AD67" s="78" t="s">
        <v>17</v>
      </c>
      <c r="AE67" s="78" t="s">
        <v>72</v>
      </c>
      <c r="AF67" s="78" t="s">
        <v>51</v>
      </c>
      <c r="AG67" s="78" t="s">
        <v>189</v>
      </c>
      <c r="AH67" s="78">
        <v>4.3489472734036934</v>
      </c>
      <c r="AJ67" s="78" t="s">
        <v>52</v>
      </c>
      <c r="AK67" s="78" t="s">
        <v>17</v>
      </c>
      <c r="AL67" s="78" t="s">
        <v>28</v>
      </c>
      <c r="AM67" s="78" t="s">
        <v>51</v>
      </c>
      <c r="AN67" s="78" t="s">
        <v>189</v>
      </c>
      <c r="AO67" s="78">
        <v>1.5028807399108037</v>
      </c>
    </row>
    <row r="68" spans="29:41" s="78" customFormat="1">
      <c r="AC68" s="78" t="s">
        <v>52</v>
      </c>
      <c r="AD68" s="78" t="s">
        <v>17</v>
      </c>
      <c r="AE68" s="78" t="s">
        <v>72</v>
      </c>
      <c r="AF68" s="78" t="s">
        <v>51</v>
      </c>
      <c r="AG68" s="78" t="s">
        <v>190</v>
      </c>
      <c r="AH68" s="78">
        <v>4.2906034235109347</v>
      </c>
      <c r="AJ68" s="78" t="s">
        <v>52</v>
      </c>
      <c r="AK68" s="78" t="s">
        <v>17</v>
      </c>
      <c r="AL68" s="78" t="s">
        <v>28</v>
      </c>
      <c r="AM68" s="78" t="s">
        <v>51</v>
      </c>
      <c r="AN68" s="78" t="s">
        <v>190</v>
      </c>
      <c r="AO68" s="78">
        <v>1.4492362082934953</v>
      </c>
    </row>
    <row r="69" spans="29:41" s="78" customFormat="1">
      <c r="AC69" s="78" t="s">
        <v>52</v>
      </c>
      <c r="AD69" s="78" t="s">
        <v>17</v>
      </c>
      <c r="AE69" s="78" t="s">
        <v>72</v>
      </c>
      <c r="AF69" s="78" t="s">
        <v>51</v>
      </c>
      <c r="AG69" s="78" t="s">
        <v>191</v>
      </c>
      <c r="AH69" s="78">
        <v>4.2085721821838193</v>
      </c>
      <c r="AJ69" s="78" t="s">
        <v>52</v>
      </c>
      <c r="AK69" s="78" t="s">
        <v>17</v>
      </c>
      <c r="AL69" s="78" t="s">
        <v>28</v>
      </c>
      <c r="AM69" s="78" t="s">
        <v>51</v>
      </c>
      <c r="AN69" s="78" t="s">
        <v>191</v>
      </c>
      <c r="AO69" s="78">
        <v>1.3960132397472698</v>
      </c>
    </row>
    <row r="70" spans="29:41" s="78" customFormat="1">
      <c r="AC70" s="78" t="s">
        <v>52</v>
      </c>
      <c r="AD70" s="78" t="s">
        <v>17</v>
      </c>
      <c r="AE70" s="78" t="s">
        <v>72</v>
      </c>
      <c r="AF70" s="78" t="s">
        <v>51</v>
      </c>
      <c r="AG70" s="78" t="s">
        <v>192</v>
      </c>
      <c r="AH70" s="78">
        <v>4.3751343371947211</v>
      </c>
      <c r="AJ70" s="78" t="s">
        <v>52</v>
      </c>
      <c r="AK70" s="78" t="s">
        <v>17</v>
      </c>
      <c r="AL70" s="78" t="s">
        <v>28</v>
      </c>
      <c r="AM70" s="78" t="s">
        <v>51</v>
      </c>
      <c r="AN70" s="78" t="s">
        <v>192</v>
      </c>
      <c r="AO70" s="78">
        <v>1.4878260656745013</v>
      </c>
    </row>
    <row r="71" spans="29:41" s="78" customFormat="1">
      <c r="AC71" s="78" t="s">
        <v>52</v>
      </c>
      <c r="AD71" s="78" t="s">
        <v>17</v>
      </c>
      <c r="AE71" s="78" t="s">
        <v>72</v>
      </c>
      <c r="AF71" s="78" t="s">
        <v>51</v>
      </c>
      <c r="AG71" s="78" t="s">
        <v>193</v>
      </c>
      <c r="AH71" s="78">
        <v>4.3751343371947211</v>
      </c>
      <c r="AJ71" s="78" t="s">
        <v>52</v>
      </c>
      <c r="AK71" s="78" t="s">
        <v>17</v>
      </c>
      <c r="AL71" s="78" t="s">
        <v>28</v>
      </c>
      <c r="AM71" s="78" t="s">
        <v>51</v>
      </c>
      <c r="AN71" s="78" t="s">
        <v>193</v>
      </c>
      <c r="AO71" s="78">
        <v>1.4138992097684413</v>
      </c>
    </row>
    <row r="72" spans="29:41" s="78" customFormat="1">
      <c r="AC72" s="78" t="s">
        <v>52</v>
      </c>
      <c r="AD72" s="78" t="s">
        <v>17</v>
      </c>
      <c r="AE72" s="78" t="s">
        <v>72</v>
      </c>
      <c r="AF72" s="78" t="s">
        <v>51</v>
      </c>
      <c r="AG72" s="78" t="s">
        <v>194</v>
      </c>
      <c r="AH72" s="78">
        <v>4.4783040201842867</v>
      </c>
      <c r="AJ72" s="78" t="s">
        <v>52</v>
      </c>
      <c r="AK72" s="78" t="s">
        <v>17</v>
      </c>
      <c r="AL72" s="78" t="s">
        <v>28</v>
      </c>
      <c r="AM72" s="78" t="s">
        <v>51</v>
      </c>
      <c r="AN72" s="78" t="s">
        <v>194</v>
      </c>
      <c r="AO72" s="78">
        <v>1.4038895886105365</v>
      </c>
    </row>
    <row r="73" spans="29:41" s="78" customFormat="1">
      <c r="AC73" s="78" t="s">
        <v>52</v>
      </c>
      <c r="AD73" s="78" t="s">
        <v>17</v>
      </c>
      <c r="AE73" s="78" t="s">
        <v>72</v>
      </c>
      <c r="AF73" s="78" t="s">
        <v>51</v>
      </c>
      <c r="AG73" s="78" t="s">
        <v>195</v>
      </c>
      <c r="AH73" s="78">
        <v>4.4204074273666594</v>
      </c>
      <c r="AJ73" s="78" t="s">
        <v>52</v>
      </c>
      <c r="AK73" s="78" t="s">
        <v>17</v>
      </c>
      <c r="AL73" s="78" t="s">
        <v>28</v>
      </c>
      <c r="AM73" s="78" t="s">
        <v>51</v>
      </c>
      <c r="AN73" s="78" t="s">
        <v>195</v>
      </c>
      <c r="AO73" s="78">
        <v>1.3947325637516592</v>
      </c>
    </row>
    <row r="74" spans="29:41" s="78" customFormat="1">
      <c r="AC74" s="78" t="s">
        <v>52</v>
      </c>
      <c r="AD74" s="78" t="s">
        <v>17</v>
      </c>
      <c r="AE74" s="78" t="s">
        <v>72</v>
      </c>
      <c r="AF74" s="78" t="s">
        <v>51</v>
      </c>
      <c r="AG74" s="78" t="s">
        <v>196</v>
      </c>
      <c r="AH74" s="78">
        <v>4.506877778796885</v>
      </c>
      <c r="AJ74" s="78" t="s">
        <v>52</v>
      </c>
      <c r="AK74" s="78" t="s">
        <v>17</v>
      </c>
      <c r="AL74" s="78" t="s">
        <v>28</v>
      </c>
      <c r="AM74" s="78" t="s">
        <v>51</v>
      </c>
      <c r="AN74" s="78" t="s">
        <v>196</v>
      </c>
      <c r="AO74" s="78">
        <v>1.3883388536850154</v>
      </c>
    </row>
    <row r="75" spans="29:41" s="78" customFormat="1">
      <c r="AC75" s="78" t="s">
        <v>52</v>
      </c>
      <c r="AD75" s="78" t="s">
        <v>17</v>
      </c>
      <c r="AE75" s="78" t="s">
        <v>72</v>
      </c>
      <c r="AF75" s="78" t="s">
        <v>51</v>
      </c>
      <c r="AG75" s="78" t="s">
        <v>197</v>
      </c>
      <c r="AH75" s="78">
        <v>4.4982195751567664</v>
      </c>
      <c r="AJ75" s="78" t="s">
        <v>52</v>
      </c>
      <c r="AK75" s="78" t="s">
        <v>17</v>
      </c>
      <c r="AL75" s="78" t="s">
        <v>28</v>
      </c>
      <c r="AM75" s="78" t="s">
        <v>51</v>
      </c>
      <c r="AN75" s="78" t="s">
        <v>197</v>
      </c>
      <c r="AO75" s="78">
        <v>1.4129915036196865</v>
      </c>
    </row>
    <row r="76" spans="29:41" s="78" customFormat="1">
      <c r="AC76" s="78" t="s">
        <v>52</v>
      </c>
      <c r="AD76" s="78" t="s">
        <v>17</v>
      </c>
      <c r="AE76" s="78" t="s">
        <v>72</v>
      </c>
      <c r="AF76" s="78" t="s">
        <v>51</v>
      </c>
      <c r="AG76" s="78" t="s">
        <v>198</v>
      </c>
      <c r="AH76" s="78">
        <v>4.5731051550143587</v>
      </c>
      <c r="AJ76" s="78" t="s">
        <v>52</v>
      </c>
      <c r="AK76" s="78" t="s">
        <v>17</v>
      </c>
      <c r="AL76" s="78" t="s">
        <v>28</v>
      </c>
      <c r="AM76" s="78" t="s">
        <v>51</v>
      </c>
      <c r="AN76" s="78" t="s">
        <v>198</v>
      </c>
      <c r="AO76" s="78">
        <v>1.4438055753897185</v>
      </c>
    </row>
    <row r="77" spans="29:41" s="78" customFormat="1">
      <c r="AC77" s="78" t="s">
        <v>52</v>
      </c>
      <c r="AD77" s="78" t="s">
        <v>17</v>
      </c>
      <c r="AE77" s="78" t="s">
        <v>72</v>
      </c>
      <c r="AF77" s="78" t="s">
        <v>51</v>
      </c>
      <c r="AG77" s="78" t="s">
        <v>199</v>
      </c>
      <c r="AH77" s="78">
        <v>4.6190180362729505</v>
      </c>
      <c r="AJ77" s="78" t="s">
        <v>52</v>
      </c>
      <c r="AK77" s="78" t="s">
        <v>17</v>
      </c>
      <c r="AL77" s="78" t="s">
        <v>28</v>
      </c>
      <c r="AM77" s="78" t="s">
        <v>51</v>
      </c>
      <c r="AN77" s="78" t="s">
        <v>199</v>
      </c>
      <c r="AO77" s="78">
        <v>1.4416733602801102</v>
      </c>
    </row>
    <row r="78" spans="29:41" s="78" customFormat="1">
      <c r="AC78" s="78" t="s">
        <v>52</v>
      </c>
      <c r="AD78" s="78" t="s">
        <v>17</v>
      </c>
      <c r="AE78" s="78" t="s">
        <v>72</v>
      </c>
      <c r="AF78" s="78" t="s">
        <v>51</v>
      </c>
      <c r="AG78" s="78" t="s">
        <v>200</v>
      </c>
      <c r="AH78" s="78">
        <v>4.5446319580999752</v>
      </c>
      <c r="AJ78" s="78" t="s">
        <v>52</v>
      </c>
      <c r="AK78" s="78" t="s">
        <v>17</v>
      </c>
      <c r="AL78" s="78" t="s">
        <v>28</v>
      </c>
      <c r="AM78" s="78" t="s">
        <v>51</v>
      </c>
      <c r="AN78" s="78" t="s">
        <v>200</v>
      </c>
      <c r="AO78" s="78">
        <v>1.4685166448949154</v>
      </c>
    </row>
    <row r="79" spans="29:41" s="78" customFormat="1">
      <c r="AC79" s="78" t="s">
        <v>52</v>
      </c>
      <c r="AD79" s="78" t="s">
        <v>17</v>
      </c>
      <c r="AE79" s="78" t="s">
        <v>72</v>
      </c>
      <c r="AF79" s="78" t="s">
        <v>51</v>
      </c>
      <c r="AG79" s="78" t="s">
        <v>201</v>
      </c>
      <c r="AH79" s="78">
        <v>4.5273550581154201</v>
      </c>
      <c r="AJ79" s="78" t="s">
        <v>52</v>
      </c>
      <c r="AK79" s="78" t="s">
        <v>17</v>
      </c>
      <c r="AL79" s="78" t="s">
        <v>28</v>
      </c>
      <c r="AM79" s="78" t="s">
        <v>51</v>
      </c>
      <c r="AN79" s="78" t="s">
        <v>201</v>
      </c>
      <c r="AO79" s="78">
        <v>1.4354149301418599</v>
      </c>
    </row>
    <row r="80" spans="29:41" s="78" customFormat="1">
      <c r="AC80" s="78" t="s">
        <v>52</v>
      </c>
      <c r="AD80" s="78" t="s">
        <v>17</v>
      </c>
      <c r="AE80" s="78" t="s">
        <v>72</v>
      </c>
      <c r="AF80" s="78" t="s">
        <v>51</v>
      </c>
      <c r="AG80" s="78" t="s">
        <v>202</v>
      </c>
      <c r="AH80" s="78">
        <v>4.5302358163273126</v>
      </c>
      <c r="AJ80" s="78" t="s">
        <v>52</v>
      </c>
      <c r="AK80" s="78" t="s">
        <v>17</v>
      </c>
      <c r="AL80" s="78" t="s">
        <v>28</v>
      </c>
      <c r="AM80" s="78" t="s">
        <v>51</v>
      </c>
      <c r="AN80" s="78" t="s">
        <v>202</v>
      </c>
      <c r="AO80" s="78">
        <v>1.4453873103770127</v>
      </c>
    </row>
    <row r="81" spans="1:49" s="77" customFormat="1">
      <c r="A81" s="78"/>
      <c r="B81" s="78"/>
      <c r="C81" s="78"/>
      <c r="D81" s="78"/>
      <c r="E81" s="78"/>
      <c r="F81" s="78"/>
      <c r="I81" s="78"/>
      <c r="J81" s="78"/>
      <c r="K81" s="78"/>
      <c r="L81" s="78"/>
      <c r="M81" s="78"/>
      <c r="N81" s="78"/>
      <c r="Q81" s="78"/>
      <c r="R81" s="78"/>
      <c r="S81" s="78"/>
      <c r="T81" s="78"/>
      <c r="U81" s="78"/>
      <c r="V81" s="78"/>
      <c r="X81" s="78"/>
      <c r="Y81" s="78"/>
      <c r="Z81" s="78"/>
      <c r="AA81" s="78"/>
      <c r="AC81" s="78" t="s">
        <v>52</v>
      </c>
      <c r="AD81" s="78" t="s">
        <v>17</v>
      </c>
      <c r="AE81" s="78" t="s">
        <v>72</v>
      </c>
      <c r="AF81" s="78" t="s">
        <v>51</v>
      </c>
      <c r="AG81" s="78" t="s">
        <v>203</v>
      </c>
      <c r="AH81" s="78">
        <v>4.4927461331875742</v>
      </c>
      <c r="AJ81" s="78" t="s">
        <v>52</v>
      </c>
      <c r="AK81" s="78" t="s">
        <v>17</v>
      </c>
      <c r="AL81" s="78" t="s">
        <v>28</v>
      </c>
      <c r="AM81" s="78" t="s">
        <v>51</v>
      </c>
      <c r="AN81" s="78" t="s">
        <v>203</v>
      </c>
      <c r="AO81" s="78">
        <v>1.4390058429308146</v>
      </c>
      <c r="AR81" s="78"/>
      <c r="AS81" s="78"/>
      <c r="AT81" s="78"/>
      <c r="AU81" s="78"/>
      <c r="AV81" s="78"/>
      <c r="AW81" s="78"/>
    </row>
    <row r="82" spans="1:49" s="77" customFormat="1">
      <c r="A82" s="78"/>
      <c r="B82" s="78"/>
      <c r="C82" s="78"/>
      <c r="D82" s="78"/>
      <c r="E82" s="78"/>
      <c r="F82" s="78"/>
      <c r="I82" s="78"/>
      <c r="J82" s="78"/>
      <c r="K82" s="78"/>
      <c r="L82" s="78"/>
      <c r="M82" s="78"/>
      <c r="N82" s="78"/>
      <c r="Q82" s="78"/>
      <c r="R82" s="78"/>
      <c r="S82" s="78"/>
      <c r="T82" s="78"/>
      <c r="U82" s="78"/>
      <c r="V82" s="78"/>
      <c r="X82" s="78"/>
      <c r="Y82" s="78"/>
      <c r="Z82" s="78"/>
      <c r="AC82" s="78" t="s">
        <v>52</v>
      </c>
      <c r="AD82" s="78" t="s">
        <v>17</v>
      </c>
      <c r="AE82" s="78" t="s">
        <v>72</v>
      </c>
      <c r="AF82" s="78" t="s">
        <v>51</v>
      </c>
      <c r="AG82" s="78" t="s">
        <v>204</v>
      </c>
      <c r="AH82" s="78">
        <v>4.5014052622718115</v>
      </c>
      <c r="AJ82" s="78" t="s">
        <v>52</v>
      </c>
      <c r="AK82" s="78" t="s">
        <v>17</v>
      </c>
      <c r="AL82" s="78" t="s">
        <v>28</v>
      </c>
      <c r="AM82" s="78" t="s">
        <v>51</v>
      </c>
      <c r="AN82" s="78" t="s">
        <v>204</v>
      </c>
      <c r="AO82" s="78">
        <v>1.4692437380368819</v>
      </c>
      <c r="AR82" s="78"/>
      <c r="AS82" s="78"/>
      <c r="AT82" s="78"/>
      <c r="AU82" s="78"/>
      <c r="AV82" s="78"/>
      <c r="AW82" s="78"/>
    </row>
    <row r="83" spans="1:49" s="77" customFormat="1">
      <c r="A83" s="78"/>
      <c r="B83" s="78"/>
      <c r="C83" s="78"/>
      <c r="D83" s="78"/>
      <c r="E83" s="78"/>
      <c r="F83" s="78"/>
      <c r="I83" s="78"/>
      <c r="J83" s="78"/>
      <c r="K83" s="78"/>
      <c r="L83" s="78"/>
      <c r="M83" s="78"/>
      <c r="N83" s="78"/>
      <c r="Q83" s="78"/>
      <c r="R83" s="78"/>
      <c r="S83" s="78"/>
      <c r="T83" s="78"/>
      <c r="U83" s="78"/>
      <c r="V83" s="78"/>
      <c r="AC83" s="78" t="s">
        <v>52</v>
      </c>
      <c r="AD83" s="78" t="s">
        <v>17</v>
      </c>
      <c r="AE83" s="78" t="s">
        <v>72</v>
      </c>
      <c r="AF83" s="78" t="s">
        <v>51</v>
      </c>
      <c r="AG83" s="78" t="s">
        <v>205</v>
      </c>
      <c r="AH83" s="78">
        <v>4.4464862944264567</v>
      </c>
      <c r="AJ83" s="78" t="s">
        <v>52</v>
      </c>
      <c r="AK83" s="78" t="s">
        <v>17</v>
      </c>
      <c r="AL83" s="78" t="s">
        <v>28</v>
      </c>
      <c r="AM83" s="78" t="s">
        <v>51</v>
      </c>
      <c r="AN83" s="78" t="s">
        <v>205</v>
      </c>
      <c r="AO83" s="78">
        <v>1.3996843817032874</v>
      </c>
      <c r="AR83" s="78"/>
      <c r="AS83" s="78"/>
      <c r="AT83" s="78"/>
      <c r="AU83" s="78"/>
      <c r="AV83" s="78"/>
      <c r="AW83" s="78"/>
    </row>
    <row r="84" spans="1:49" s="77" customFormat="1">
      <c r="A84" s="78"/>
      <c r="B84" s="78"/>
      <c r="C84" s="78"/>
      <c r="D84" s="78"/>
      <c r="E84" s="78"/>
      <c r="F84" s="78"/>
      <c r="I84" s="78"/>
      <c r="J84" s="78"/>
      <c r="K84" s="78"/>
      <c r="L84" s="78"/>
      <c r="M84" s="78"/>
      <c r="N84" s="78"/>
      <c r="Q84" s="78"/>
      <c r="R84" s="78"/>
      <c r="S84" s="78"/>
      <c r="T84" s="78"/>
      <c r="U84" s="78"/>
      <c r="V84" s="78"/>
      <c r="AC84" s="125" t="s">
        <v>52</v>
      </c>
      <c r="AD84" s="125" t="s">
        <v>17</v>
      </c>
      <c r="AE84" s="125" t="s">
        <v>72</v>
      </c>
      <c r="AF84" s="125" t="s">
        <v>51</v>
      </c>
      <c r="AG84" s="125" t="s">
        <v>206</v>
      </c>
      <c r="AH84" s="125">
        <v>4.4088034557948594</v>
      </c>
      <c r="AJ84" s="78" t="s">
        <v>52</v>
      </c>
      <c r="AK84" s="78" t="s">
        <v>17</v>
      </c>
      <c r="AL84" s="78" t="s">
        <v>28</v>
      </c>
      <c r="AM84" s="78" t="s">
        <v>51</v>
      </c>
      <c r="AN84" s="78" t="s">
        <v>206</v>
      </c>
      <c r="AO84" s="78">
        <v>1.4265860519031293</v>
      </c>
      <c r="AR84" s="78"/>
      <c r="AS84" s="78"/>
      <c r="AT84" s="78"/>
      <c r="AU84" s="78"/>
      <c r="AV84" s="78"/>
      <c r="AW84" s="78"/>
    </row>
    <row r="85" spans="1:49" s="77" customFormat="1">
      <c r="A85" s="78"/>
      <c r="B85" s="78"/>
      <c r="C85" s="78"/>
      <c r="D85" s="78"/>
      <c r="E85" s="78"/>
      <c r="F85" s="78"/>
      <c r="I85" s="78"/>
      <c r="J85" s="78"/>
      <c r="K85" s="78"/>
      <c r="L85" s="78"/>
      <c r="M85" s="78"/>
      <c r="N85" s="78"/>
      <c r="Q85" s="78"/>
      <c r="R85" s="78"/>
      <c r="S85" s="78"/>
      <c r="T85" s="78"/>
      <c r="U85" s="78"/>
      <c r="V85" s="78"/>
      <c r="AC85" s="125" t="s">
        <v>52</v>
      </c>
      <c r="AD85" s="125" t="s">
        <v>17</v>
      </c>
      <c r="AE85" s="125" t="s">
        <v>72</v>
      </c>
      <c r="AF85" s="125" t="s">
        <v>51</v>
      </c>
      <c r="AG85" s="125" t="s">
        <v>207</v>
      </c>
      <c r="AH85" s="125">
        <v>4.4493813788399832</v>
      </c>
      <c r="AJ85" s="78" t="s">
        <v>52</v>
      </c>
      <c r="AK85" s="78" t="s">
        <v>17</v>
      </c>
      <c r="AL85" s="78" t="s">
        <v>28</v>
      </c>
      <c r="AM85" s="78" t="s">
        <v>51</v>
      </c>
      <c r="AN85" s="78" t="s">
        <v>207</v>
      </c>
      <c r="AO85" s="78">
        <v>1.3732244901243731</v>
      </c>
      <c r="AR85" s="78"/>
      <c r="AS85" s="78"/>
      <c r="AT85" s="78"/>
      <c r="AU85" s="78"/>
      <c r="AV85" s="78"/>
      <c r="AW85" s="78"/>
    </row>
    <row r="86" spans="1:49" s="77" customFormat="1">
      <c r="A86" s="78"/>
      <c r="B86" s="78"/>
      <c r="C86" s="78"/>
      <c r="D86" s="78"/>
      <c r="E86" s="78"/>
      <c r="F86" s="78"/>
      <c r="I86" s="78"/>
      <c r="J86" s="78"/>
      <c r="K86" s="78"/>
      <c r="L86" s="78"/>
      <c r="M86" s="78"/>
      <c r="N86" s="78"/>
      <c r="Q86" s="78"/>
      <c r="R86" s="78"/>
      <c r="S86" s="78"/>
      <c r="T86" s="78"/>
      <c r="U86" s="78"/>
      <c r="V86" s="78"/>
      <c r="AC86" s="125" t="s">
        <v>52</v>
      </c>
      <c r="AD86" s="125" t="s">
        <v>17</v>
      </c>
      <c r="AE86" s="125" t="s">
        <v>72</v>
      </c>
      <c r="AF86" s="125" t="s">
        <v>51</v>
      </c>
      <c r="AG86" s="125" t="s">
        <v>208</v>
      </c>
      <c r="AH86" s="125">
        <v>4.5270624197579012</v>
      </c>
      <c r="AJ86" s="78" t="s">
        <v>52</v>
      </c>
      <c r="AK86" s="78" t="s">
        <v>17</v>
      </c>
      <c r="AL86" s="78" t="s">
        <v>28</v>
      </c>
      <c r="AM86" s="78" t="s">
        <v>51</v>
      </c>
      <c r="AN86" s="78" t="s">
        <v>208</v>
      </c>
      <c r="AO86" s="78">
        <v>1.4051578986780211</v>
      </c>
      <c r="AR86" s="78"/>
      <c r="AS86" s="78"/>
      <c r="AT86" s="78"/>
      <c r="AU86" s="78"/>
      <c r="AV86" s="78"/>
      <c r="AW86" s="78"/>
    </row>
    <row r="87" spans="1:49" s="77" customFormat="1">
      <c r="A87" s="78"/>
      <c r="B87" s="78"/>
      <c r="C87" s="78"/>
      <c r="D87" s="78"/>
      <c r="E87" s="78"/>
      <c r="F87" s="78"/>
      <c r="I87" s="78"/>
      <c r="J87" s="78"/>
      <c r="K87" s="78"/>
      <c r="L87" s="78"/>
      <c r="M87" s="78"/>
      <c r="N87" s="78"/>
      <c r="Q87" s="78"/>
      <c r="R87" s="78"/>
      <c r="S87" s="78"/>
      <c r="T87" s="78"/>
      <c r="U87" s="78"/>
      <c r="V87" s="78"/>
      <c r="AC87" s="125" t="s">
        <v>52</v>
      </c>
      <c r="AD87" s="125" t="s">
        <v>17</v>
      </c>
      <c r="AE87" s="125" t="s">
        <v>72</v>
      </c>
      <c r="AF87" s="125" t="s">
        <v>51</v>
      </c>
      <c r="AG87" s="125" t="s">
        <v>209</v>
      </c>
      <c r="AH87" s="125">
        <v>4.4895567814149242</v>
      </c>
      <c r="AJ87" s="78" t="s">
        <v>52</v>
      </c>
      <c r="AK87" s="78" t="s">
        <v>17</v>
      </c>
      <c r="AL87" s="78" t="s">
        <v>28</v>
      </c>
      <c r="AM87" s="78" t="s">
        <v>51</v>
      </c>
      <c r="AN87" s="78" t="s">
        <v>209</v>
      </c>
      <c r="AO87" s="78">
        <v>1.3982961709898136</v>
      </c>
      <c r="AR87" s="78"/>
      <c r="AS87" s="78"/>
      <c r="AT87" s="78"/>
      <c r="AU87" s="78"/>
      <c r="AV87" s="78"/>
      <c r="AW87" s="78"/>
    </row>
    <row r="88" spans="1:49" s="77" customFormat="1">
      <c r="A88" s="78"/>
      <c r="B88" s="78"/>
      <c r="C88" s="78"/>
      <c r="D88" s="78"/>
      <c r="E88" s="78"/>
      <c r="F88" s="78"/>
      <c r="I88" s="78"/>
      <c r="J88" s="78"/>
      <c r="K88" s="78"/>
      <c r="L88" s="78"/>
      <c r="M88" s="78"/>
      <c r="N88" s="78"/>
      <c r="Q88" s="78"/>
      <c r="R88" s="78"/>
      <c r="S88" s="78"/>
      <c r="T88" s="78"/>
      <c r="U88" s="78"/>
      <c r="V88" s="78"/>
      <c r="AC88" s="125" t="s">
        <v>52</v>
      </c>
      <c r="AD88" s="125" t="s">
        <v>17</v>
      </c>
      <c r="AE88" s="125" t="s">
        <v>72</v>
      </c>
      <c r="AF88" s="125" t="s">
        <v>51</v>
      </c>
      <c r="AG88" s="125" t="s">
        <v>210</v>
      </c>
      <c r="AH88" s="125">
        <v>4.5011061529054421</v>
      </c>
      <c r="AJ88" s="78" t="s">
        <v>52</v>
      </c>
      <c r="AK88" s="78" t="s">
        <v>17</v>
      </c>
      <c r="AL88" s="78" t="s">
        <v>28</v>
      </c>
      <c r="AM88" s="78" t="s">
        <v>51</v>
      </c>
      <c r="AN88" s="78" t="s">
        <v>210</v>
      </c>
      <c r="AO88" s="78">
        <v>1.3852138453509022</v>
      </c>
      <c r="AR88" s="78"/>
      <c r="AS88" s="78"/>
      <c r="AT88" s="78"/>
      <c r="AU88" s="78"/>
      <c r="AV88" s="78"/>
      <c r="AW88" s="78"/>
    </row>
    <row r="89" spans="1:49" s="77" customFormat="1">
      <c r="A89" s="78"/>
      <c r="B89" s="78"/>
      <c r="C89" s="78"/>
      <c r="D89" s="78"/>
      <c r="E89" s="78"/>
      <c r="F89" s="78"/>
      <c r="I89" s="78"/>
      <c r="J89" s="78"/>
      <c r="K89" s="78"/>
      <c r="L89" s="78"/>
      <c r="M89" s="78"/>
      <c r="N89" s="78"/>
      <c r="Q89" s="78"/>
      <c r="R89" s="78"/>
      <c r="S89" s="78"/>
      <c r="T89" s="78"/>
      <c r="U89" s="78"/>
      <c r="V89" s="78"/>
      <c r="AC89" s="125" t="s">
        <v>52</v>
      </c>
      <c r="AD89" s="125" t="s">
        <v>17</v>
      </c>
      <c r="AE89" s="125" t="s">
        <v>72</v>
      </c>
      <c r="AF89" s="125" t="s">
        <v>51</v>
      </c>
      <c r="AG89" s="125" t="s">
        <v>211</v>
      </c>
      <c r="AH89" s="125">
        <v>4.6052695045580423</v>
      </c>
      <c r="AJ89" s="78" t="s">
        <v>52</v>
      </c>
      <c r="AK89" s="78" t="s">
        <v>17</v>
      </c>
      <c r="AL89" s="78" t="s">
        <v>28</v>
      </c>
      <c r="AM89" s="78" t="s">
        <v>51</v>
      </c>
      <c r="AN89" s="78" t="s">
        <v>211</v>
      </c>
      <c r="AO89" s="78">
        <v>1.4030007101246917</v>
      </c>
      <c r="AR89" s="78"/>
      <c r="AS89" s="78"/>
      <c r="AT89" s="78"/>
      <c r="AU89" s="78"/>
      <c r="AV89" s="78"/>
      <c r="AW89" s="78"/>
    </row>
    <row r="90" spans="1:49" s="77" customFormat="1">
      <c r="A90" s="78"/>
      <c r="B90" s="78"/>
      <c r="C90" s="78"/>
      <c r="D90" s="78"/>
      <c r="E90" s="78"/>
      <c r="F90" s="78"/>
      <c r="I90" s="78"/>
      <c r="J90" s="78"/>
      <c r="K90" s="78"/>
      <c r="L90" s="78"/>
      <c r="M90" s="78"/>
      <c r="N90" s="78"/>
      <c r="Q90" s="78"/>
      <c r="R90" s="78"/>
      <c r="S90" s="78"/>
      <c r="T90" s="78"/>
      <c r="U90" s="78"/>
      <c r="V90" s="78"/>
      <c r="AC90" s="125" t="s">
        <v>52</v>
      </c>
      <c r="AD90" s="125" t="s">
        <v>17</v>
      </c>
      <c r="AE90" s="125" t="s">
        <v>72</v>
      </c>
      <c r="AF90" s="125" t="s">
        <v>51</v>
      </c>
      <c r="AG90" s="125" t="s">
        <v>212</v>
      </c>
      <c r="AH90" s="125">
        <v>4.5759785098962773</v>
      </c>
      <c r="AJ90" s="78" t="s">
        <v>52</v>
      </c>
      <c r="AK90" s="78" t="s">
        <v>17</v>
      </c>
      <c r="AL90" s="78" t="s">
        <v>28</v>
      </c>
      <c r="AM90" s="78" t="s">
        <v>51</v>
      </c>
      <c r="AN90" s="78" t="s">
        <v>212</v>
      </c>
      <c r="AO90" s="78">
        <v>1.4907915899279671</v>
      </c>
      <c r="AR90" s="78"/>
      <c r="AS90" s="78"/>
      <c r="AT90" s="78"/>
      <c r="AU90" s="78"/>
      <c r="AV90" s="78"/>
      <c r="AW90" s="78"/>
    </row>
    <row r="91" spans="1:49" s="77" customFormat="1">
      <c r="A91" s="78"/>
      <c r="B91" s="78"/>
      <c r="C91" s="78"/>
      <c r="D91" s="78"/>
      <c r="E91" s="78"/>
      <c r="F91" s="78"/>
      <c r="I91" s="78"/>
      <c r="J91" s="78"/>
      <c r="K91" s="78"/>
      <c r="L91" s="78"/>
      <c r="M91" s="78"/>
      <c r="N91" s="78"/>
      <c r="Q91" s="78"/>
      <c r="R91" s="78"/>
      <c r="S91" s="78"/>
      <c r="T91" s="78"/>
      <c r="U91" s="78"/>
      <c r="V91" s="78"/>
      <c r="AC91" s="78" t="s">
        <v>52</v>
      </c>
      <c r="AD91" s="78" t="s">
        <v>17</v>
      </c>
      <c r="AE91" s="78" t="s">
        <v>72</v>
      </c>
      <c r="AF91" s="78" t="s">
        <v>51</v>
      </c>
      <c r="AG91" s="78" t="s">
        <v>97</v>
      </c>
      <c r="AH91" s="78">
        <v>4.4924448895185813</v>
      </c>
      <c r="AJ91" s="78" t="s">
        <v>52</v>
      </c>
      <c r="AK91" s="78" t="s">
        <v>17</v>
      </c>
      <c r="AL91" s="78" t="s">
        <v>28</v>
      </c>
      <c r="AM91" s="78" t="s">
        <v>51</v>
      </c>
      <c r="AN91" s="78" t="s">
        <v>97</v>
      </c>
      <c r="AO91" s="78">
        <v>1.4191644462264212</v>
      </c>
      <c r="AR91" s="78"/>
      <c r="AS91" s="78"/>
      <c r="AT91" s="78"/>
      <c r="AU91" s="78"/>
      <c r="AV91" s="78"/>
      <c r="AW91" s="78"/>
    </row>
    <row r="92" spans="1:49" s="77" customFormat="1">
      <c r="A92" s="78"/>
      <c r="B92" s="78"/>
      <c r="C92" s="78"/>
      <c r="D92" s="78"/>
      <c r="E92" s="78"/>
      <c r="F92" s="78"/>
      <c r="I92" s="78"/>
      <c r="J92" s="78"/>
      <c r="K92" s="78"/>
      <c r="L92" s="78"/>
      <c r="M92" s="78"/>
      <c r="N92" s="78"/>
      <c r="Q92" s="78"/>
      <c r="R92" s="78"/>
      <c r="S92" s="78"/>
      <c r="T92" s="78"/>
      <c r="U92" s="78"/>
      <c r="V92" s="78"/>
      <c r="AC92" s="78" t="s">
        <v>52</v>
      </c>
      <c r="AD92" s="78" t="s">
        <v>17</v>
      </c>
      <c r="AE92" s="78" t="s">
        <v>72</v>
      </c>
      <c r="AF92" s="78" t="s">
        <v>51</v>
      </c>
      <c r="AG92" s="78" t="s">
        <v>95</v>
      </c>
      <c r="AH92" s="78">
        <v>4.6333392501361672</v>
      </c>
      <c r="AJ92" s="78" t="s">
        <v>52</v>
      </c>
      <c r="AK92" s="78" t="s">
        <v>17</v>
      </c>
      <c r="AL92" s="78" t="s">
        <v>28</v>
      </c>
      <c r="AM92" s="78" t="s">
        <v>51</v>
      </c>
      <c r="AN92" s="78" t="s">
        <v>95</v>
      </c>
      <c r="AO92" s="78">
        <v>1.4705739977736068</v>
      </c>
      <c r="AR92" s="78"/>
      <c r="AS92" s="78"/>
      <c r="AT92" s="78"/>
      <c r="AU92" s="78"/>
      <c r="AV92" s="78"/>
      <c r="AW92" s="78"/>
    </row>
    <row r="93" spans="1:49" s="77" customFormat="1">
      <c r="A93" s="78"/>
      <c r="B93" s="78"/>
      <c r="C93" s="78"/>
      <c r="D93" s="78"/>
      <c r="E93" s="78"/>
      <c r="F93" s="78"/>
      <c r="I93" s="78"/>
      <c r="J93" s="78"/>
      <c r="K93" s="78"/>
      <c r="L93" s="78"/>
      <c r="M93" s="78"/>
      <c r="N93" s="78"/>
      <c r="Q93" s="78"/>
      <c r="R93" s="78"/>
      <c r="S93" s="78"/>
      <c r="T93" s="78"/>
      <c r="U93" s="78"/>
      <c r="V93" s="78"/>
      <c r="AC93" s="78" t="s">
        <v>52</v>
      </c>
      <c r="AD93" s="78" t="s">
        <v>17</v>
      </c>
      <c r="AE93" s="78" t="s">
        <v>72</v>
      </c>
      <c r="AF93" s="78" t="s">
        <v>51</v>
      </c>
      <c r="AG93" s="78" t="s">
        <v>96</v>
      </c>
      <c r="AH93" s="78">
        <v>4.5673569234199736</v>
      </c>
      <c r="AJ93" s="78" t="s">
        <v>52</v>
      </c>
      <c r="AK93" s="78" t="s">
        <v>17</v>
      </c>
      <c r="AL93" s="78" t="s">
        <v>28</v>
      </c>
      <c r="AM93" s="78" t="s">
        <v>51</v>
      </c>
      <c r="AN93" s="78" t="s">
        <v>96</v>
      </c>
      <c r="AO93" s="78">
        <v>1.4344115256412833</v>
      </c>
      <c r="AR93" s="78"/>
      <c r="AS93" s="78"/>
      <c r="AT93" s="78"/>
      <c r="AU93" s="78"/>
      <c r="AV93" s="78"/>
      <c r="AW93" s="78"/>
    </row>
    <row r="94" spans="1:49" s="77" customFormat="1">
      <c r="A94" s="78"/>
      <c r="B94" s="78"/>
      <c r="C94" s="78"/>
      <c r="D94" s="78"/>
      <c r="E94" s="78"/>
      <c r="F94" s="78"/>
      <c r="I94" s="78"/>
      <c r="J94" s="78"/>
      <c r="K94" s="78"/>
      <c r="L94" s="78"/>
      <c r="M94" s="78"/>
      <c r="N94" s="78"/>
      <c r="Q94" s="78"/>
      <c r="R94" s="78"/>
      <c r="S94" s="78"/>
      <c r="T94" s="78"/>
      <c r="U94" s="78"/>
      <c r="V94" s="78"/>
      <c r="AC94" s="78" t="s">
        <v>52</v>
      </c>
      <c r="AD94" s="78" t="s">
        <v>17</v>
      </c>
      <c r="AE94" s="78" t="s">
        <v>72</v>
      </c>
      <c r="AF94" s="78" t="s">
        <v>51</v>
      </c>
      <c r="AG94" s="78" t="s">
        <v>100</v>
      </c>
      <c r="AH94" s="78">
        <v>4.4953324873966052</v>
      </c>
      <c r="AJ94" s="78" t="s">
        <v>52</v>
      </c>
      <c r="AK94" s="78" t="s">
        <v>17</v>
      </c>
      <c r="AL94" s="78" t="s">
        <v>28</v>
      </c>
      <c r="AM94" s="78" t="s">
        <v>51</v>
      </c>
      <c r="AN94" s="78" t="s">
        <v>100</v>
      </c>
      <c r="AO94" s="78">
        <v>1.4543697678100846</v>
      </c>
      <c r="AR94" s="78"/>
      <c r="AS94" s="78"/>
      <c r="AT94" s="78"/>
      <c r="AU94" s="78"/>
      <c r="AV94" s="78"/>
      <c r="AW94" s="78"/>
    </row>
    <row r="95" spans="1:49" s="77" customFormat="1">
      <c r="I95" s="78"/>
      <c r="J95" s="78"/>
      <c r="K95" s="78"/>
      <c r="L95" s="78"/>
      <c r="M95" s="78"/>
      <c r="N95" s="78"/>
      <c r="Q95" s="78"/>
      <c r="R95" s="78"/>
      <c r="S95" s="78"/>
      <c r="T95" s="78"/>
      <c r="U95" s="78"/>
      <c r="V95" s="78"/>
      <c r="AC95" s="78" t="s">
        <v>52</v>
      </c>
      <c r="AD95" s="78" t="s">
        <v>17</v>
      </c>
      <c r="AE95" s="78" t="s">
        <v>72</v>
      </c>
      <c r="AF95" s="78" t="s">
        <v>51</v>
      </c>
      <c r="AG95" s="78" t="s">
        <v>101</v>
      </c>
      <c r="AH95" s="78">
        <v>4.4985193972193684</v>
      </c>
      <c r="AJ95" s="78" t="s">
        <v>52</v>
      </c>
      <c r="AK95" s="78" t="s">
        <v>17</v>
      </c>
      <c r="AL95" s="78" t="s">
        <v>28</v>
      </c>
      <c r="AM95" s="78" t="s">
        <v>51</v>
      </c>
      <c r="AN95" s="78" t="s">
        <v>101</v>
      </c>
      <c r="AO95" s="78">
        <v>1.4886674852774087</v>
      </c>
      <c r="AR95" s="78"/>
      <c r="AS95" s="78"/>
      <c r="AT95" s="78"/>
      <c r="AU95" s="78"/>
      <c r="AV95" s="78"/>
      <c r="AW95" s="78"/>
    </row>
    <row r="96" spans="1:49" s="77" customFormat="1">
      <c r="I96" s="78"/>
      <c r="J96" s="78"/>
      <c r="K96" s="78"/>
      <c r="L96" s="78"/>
      <c r="M96" s="78"/>
      <c r="N96" s="78"/>
      <c r="Q96" s="78"/>
      <c r="R96" s="78"/>
      <c r="S96" s="78"/>
      <c r="T96" s="78"/>
      <c r="U96" s="78"/>
      <c r="V96" s="78"/>
      <c r="AC96" s="78" t="s">
        <v>52</v>
      </c>
      <c r="AD96" s="78" t="s">
        <v>17</v>
      </c>
      <c r="AE96" s="78" t="s">
        <v>72</v>
      </c>
      <c r="AF96" s="78" t="s">
        <v>51</v>
      </c>
      <c r="AG96" s="78" t="s">
        <v>102</v>
      </c>
      <c r="AH96" s="78">
        <v>4.5446319580999752</v>
      </c>
      <c r="AJ96" s="78" t="s">
        <v>52</v>
      </c>
      <c r="AK96" s="78" t="s">
        <v>17</v>
      </c>
      <c r="AL96" s="78" t="s">
        <v>28</v>
      </c>
      <c r="AM96" s="78" t="s">
        <v>51</v>
      </c>
      <c r="AN96" s="78" t="s">
        <v>102</v>
      </c>
      <c r="AO96" s="78">
        <v>1.5654865618600153</v>
      </c>
      <c r="AR96" s="78"/>
      <c r="AS96" s="78"/>
      <c r="AT96" s="78"/>
      <c r="AU96" s="78"/>
      <c r="AV96" s="78"/>
      <c r="AW96" s="78"/>
    </row>
    <row r="97" spans="9:49" s="77" customFormat="1">
      <c r="I97" s="78"/>
      <c r="J97" s="78"/>
      <c r="K97" s="78"/>
      <c r="L97" s="78"/>
      <c r="M97" s="78"/>
      <c r="N97" s="78"/>
      <c r="Q97" s="78"/>
      <c r="R97" s="78"/>
      <c r="S97" s="78"/>
      <c r="T97" s="78"/>
      <c r="U97" s="78"/>
      <c r="V97" s="78"/>
      <c r="AC97" s="78" t="s">
        <v>52</v>
      </c>
      <c r="AD97" s="78" t="s">
        <v>17</v>
      </c>
      <c r="AE97" s="78" t="s">
        <v>72</v>
      </c>
      <c r="AF97" s="78" t="s">
        <v>51</v>
      </c>
      <c r="AG97" s="78" t="s">
        <v>103</v>
      </c>
      <c r="AH97" s="78">
        <v>4.5446319580999752</v>
      </c>
      <c r="AJ97" s="78" t="s">
        <v>52</v>
      </c>
      <c r="AK97" s="78" t="s">
        <v>17</v>
      </c>
      <c r="AL97" s="78" t="s">
        <v>28</v>
      </c>
      <c r="AM97" s="78" t="s">
        <v>51</v>
      </c>
      <c r="AN97" s="78" t="s">
        <v>103</v>
      </c>
      <c r="AO97" s="78">
        <v>1.4926391523791853</v>
      </c>
      <c r="AR97" s="78"/>
      <c r="AS97" s="78"/>
      <c r="AT97" s="78"/>
      <c r="AU97" s="78"/>
      <c r="AV97" s="78"/>
      <c r="AW97" s="78"/>
    </row>
    <row r="98" spans="9:49" s="77" customFormat="1">
      <c r="I98" s="78"/>
      <c r="J98" s="78"/>
      <c r="K98" s="78"/>
      <c r="L98" s="78"/>
      <c r="M98" s="78"/>
      <c r="N98" s="78"/>
      <c r="Q98" s="78"/>
      <c r="R98" s="78"/>
      <c r="S98" s="78"/>
      <c r="T98" s="78"/>
      <c r="U98" s="78"/>
      <c r="V98" s="78"/>
      <c r="AC98" s="78" t="s">
        <v>52</v>
      </c>
      <c r="AD98" s="78" t="s">
        <v>17</v>
      </c>
      <c r="AE98" s="78" t="s">
        <v>72</v>
      </c>
      <c r="AF98" s="78" t="s">
        <v>51</v>
      </c>
      <c r="AG98" s="78" t="s">
        <v>104</v>
      </c>
      <c r="AH98" s="78">
        <v>4.5960778002180591</v>
      </c>
      <c r="AJ98" s="78" t="s">
        <v>52</v>
      </c>
      <c r="AK98" s="78" t="s">
        <v>17</v>
      </c>
      <c r="AL98" s="78" t="s">
        <v>28</v>
      </c>
      <c r="AM98" s="78" t="s">
        <v>51</v>
      </c>
      <c r="AN98" s="78" t="s">
        <v>104</v>
      </c>
      <c r="AO98" s="78">
        <v>1.4491633035923392</v>
      </c>
      <c r="AR98" s="78"/>
      <c r="AS98" s="78"/>
      <c r="AT98" s="78"/>
      <c r="AU98" s="78"/>
      <c r="AV98" s="78"/>
      <c r="AW98" s="78"/>
    </row>
    <row r="99" spans="9:49" s="77" customFormat="1">
      <c r="I99" s="78"/>
      <c r="J99" s="78"/>
      <c r="K99" s="78"/>
      <c r="L99" s="78"/>
      <c r="M99" s="78"/>
      <c r="N99" s="78"/>
      <c r="Q99" s="78"/>
      <c r="R99" s="78"/>
      <c r="S99" s="78"/>
      <c r="T99" s="78"/>
      <c r="U99" s="78"/>
      <c r="V99" s="78"/>
      <c r="AC99" s="78" t="s">
        <v>52</v>
      </c>
      <c r="AD99" s="78" t="s">
        <v>17</v>
      </c>
      <c r="AE99" s="78" t="s">
        <v>72</v>
      </c>
      <c r="AF99" s="78" t="s">
        <v>51</v>
      </c>
      <c r="AG99" s="78" t="s">
        <v>105</v>
      </c>
      <c r="AH99" s="78">
        <v>4.6425186326748173</v>
      </c>
      <c r="AJ99" s="78" t="s">
        <v>52</v>
      </c>
      <c r="AK99" s="78" t="s">
        <v>17</v>
      </c>
      <c r="AL99" s="78" t="s">
        <v>28</v>
      </c>
      <c r="AM99" s="78" t="s">
        <v>51</v>
      </c>
      <c r="AN99" s="78" t="s">
        <v>105</v>
      </c>
      <c r="AO99" s="78">
        <v>1.4984384715417181</v>
      </c>
      <c r="AR99" s="78"/>
      <c r="AS99" s="78"/>
      <c r="AT99" s="78"/>
      <c r="AU99" s="78"/>
      <c r="AV99" s="78"/>
      <c r="AW99" s="78"/>
    </row>
    <row r="100" spans="9:49" s="77" customFormat="1">
      <c r="I100" s="78"/>
      <c r="J100" s="78"/>
      <c r="K100" s="78"/>
      <c r="L100" s="78"/>
      <c r="M100" s="78"/>
      <c r="N100" s="78"/>
      <c r="Q100" s="78"/>
      <c r="R100" s="78"/>
      <c r="S100" s="78"/>
      <c r="T100" s="78"/>
      <c r="U100" s="78"/>
      <c r="V100" s="78"/>
      <c r="AC100" s="78" t="s">
        <v>52</v>
      </c>
      <c r="AD100" s="78" t="s">
        <v>17</v>
      </c>
      <c r="AE100" s="78" t="s">
        <v>72</v>
      </c>
      <c r="AF100" s="78" t="s">
        <v>51</v>
      </c>
      <c r="AG100" s="78" t="s">
        <v>106</v>
      </c>
      <c r="AH100" s="78">
        <v>4.5472221224551266</v>
      </c>
      <c r="AJ100" s="78" t="s">
        <v>52</v>
      </c>
      <c r="AK100" s="78" t="s">
        <v>17</v>
      </c>
      <c r="AL100" s="78" t="s">
        <v>28</v>
      </c>
      <c r="AM100" s="78" t="s">
        <v>51</v>
      </c>
      <c r="AN100" s="78" t="s">
        <v>106</v>
      </c>
      <c r="AO100" s="78">
        <v>1.4391155694354067</v>
      </c>
      <c r="AR100" s="78"/>
      <c r="AS100" s="78"/>
      <c r="AT100" s="78"/>
      <c r="AU100" s="78"/>
      <c r="AV100" s="78"/>
      <c r="AW100" s="78"/>
    </row>
    <row r="101" spans="9:49" s="77" customFormat="1">
      <c r="Q101" s="78"/>
      <c r="R101" s="78"/>
      <c r="S101" s="78"/>
      <c r="T101" s="78"/>
      <c r="U101" s="78"/>
      <c r="V101" s="78"/>
      <c r="AC101" s="78" t="s">
        <v>52</v>
      </c>
      <c r="AD101" s="78" t="s">
        <v>17</v>
      </c>
      <c r="AE101" s="78" t="s">
        <v>72</v>
      </c>
      <c r="AF101" s="78" t="s">
        <v>51</v>
      </c>
      <c r="AG101" s="78" t="s">
        <v>107</v>
      </c>
      <c r="AH101" s="78">
        <v>4.5472221224551266</v>
      </c>
      <c r="AJ101" s="78" t="s">
        <v>52</v>
      </c>
      <c r="AK101" s="78" t="s">
        <v>17</v>
      </c>
      <c r="AL101" s="78" t="s">
        <v>28</v>
      </c>
      <c r="AM101" s="78" t="s">
        <v>51</v>
      </c>
      <c r="AN101" s="78" t="s">
        <v>107</v>
      </c>
      <c r="AO101" s="78">
        <v>1.4820339969784169</v>
      </c>
      <c r="AR101" s="78"/>
      <c r="AS101" s="78"/>
      <c r="AT101" s="78"/>
      <c r="AU101" s="78"/>
      <c r="AV101" s="78"/>
      <c r="AW101" s="78"/>
    </row>
    <row r="102" spans="9:49" s="77" customFormat="1">
      <c r="Q102" s="78"/>
      <c r="R102" s="78"/>
      <c r="S102" s="78"/>
      <c r="T102" s="78"/>
      <c r="U102" s="78"/>
      <c r="V102" s="78"/>
      <c r="AC102" s="78" t="s">
        <v>52</v>
      </c>
      <c r="AD102" s="78" t="s">
        <v>17</v>
      </c>
      <c r="AE102" s="78" t="s">
        <v>72</v>
      </c>
      <c r="AF102" s="78" t="s">
        <v>51</v>
      </c>
      <c r="AG102" s="78" t="s">
        <v>99</v>
      </c>
      <c r="AH102" s="78">
        <v>4.4779992446135664</v>
      </c>
      <c r="AJ102" s="78" t="s">
        <v>52</v>
      </c>
      <c r="AK102" s="78" t="s">
        <v>17</v>
      </c>
      <c r="AL102" s="78" t="s">
        <v>28</v>
      </c>
      <c r="AM102" s="78" t="s">
        <v>51</v>
      </c>
      <c r="AN102" s="78" t="s">
        <v>99</v>
      </c>
      <c r="AO102" s="78">
        <v>1.4137621493606665</v>
      </c>
      <c r="AR102" s="78"/>
      <c r="AS102" s="78"/>
      <c r="AT102" s="78"/>
      <c r="AU102" s="78"/>
      <c r="AV102" s="78"/>
      <c r="AW102" s="78"/>
    </row>
    <row r="103" spans="9:49" s="77" customFormat="1">
      <c r="Q103" s="78"/>
      <c r="R103" s="78"/>
      <c r="S103" s="78"/>
      <c r="T103" s="78"/>
      <c r="U103" s="78"/>
      <c r="V103" s="78"/>
      <c r="AC103" s="78" t="s">
        <v>52</v>
      </c>
      <c r="AD103" s="78" t="s">
        <v>17</v>
      </c>
      <c r="AE103" s="78" t="s">
        <v>72</v>
      </c>
      <c r="AF103" s="78" t="s">
        <v>51</v>
      </c>
      <c r="AG103" s="78" t="s">
        <v>108</v>
      </c>
      <c r="AH103" s="78">
        <v>4.4461738601142571</v>
      </c>
      <c r="AJ103" s="78" t="s">
        <v>52</v>
      </c>
      <c r="AK103" s="78" t="s">
        <v>17</v>
      </c>
      <c r="AL103" s="78" t="s">
        <v>28</v>
      </c>
      <c r="AM103" s="78" t="s">
        <v>51</v>
      </c>
      <c r="AN103" s="78" t="s">
        <v>108</v>
      </c>
      <c r="AO103" s="78">
        <v>1.3953089089250075</v>
      </c>
      <c r="AR103" s="78"/>
      <c r="AS103" s="78"/>
      <c r="AT103" s="78"/>
      <c r="AU103" s="78"/>
      <c r="AV103" s="78"/>
      <c r="AW103" s="78"/>
    </row>
    <row r="104" spans="9:49" s="77" customFormat="1">
      <c r="Q104" s="78"/>
      <c r="R104" s="78"/>
      <c r="S104" s="78"/>
      <c r="T104" s="78"/>
      <c r="U104" s="78"/>
      <c r="V104" s="78"/>
      <c r="AC104" s="78" t="s">
        <v>52</v>
      </c>
      <c r="AD104" s="78" t="s">
        <v>17</v>
      </c>
      <c r="AE104" s="78" t="s">
        <v>72</v>
      </c>
      <c r="AF104" s="78" t="s">
        <v>51</v>
      </c>
      <c r="AG104" s="78" t="s">
        <v>109</v>
      </c>
      <c r="AH104" s="78">
        <v>4.4461738601142571</v>
      </c>
      <c r="AJ104" s="78" t="s">
        <v>52</v>
      </c>
      <c r="AK104" s="78" t="s">
        <v>17</v>
      </c>
      <c r="AL104" s="78" t="s">
        <v>28</v>
      </c>
      <c r="AM104" s="78" t="s">
        <v>51</v>
      </c>
      <c r="AN104" s="78" t="s">
        <v>109</v>
      </c>
      <c r="AO104" s="78">
        <v>1.3759052576474176</v>
      </c>
      <c r="AR104" s="78"/>
      <c r="AS104" s="78"/>
      <c r="AT104" s="78"/>
      <c r="AU104" s="78"/>
      <c r="AV104" s="78"/>
      <c r="AW104" s="78"/>
    </row>
    <row r="105" spans="9:49" s="77" customFormat="1">
      <c r="Q105" s="78"/>
      <c r="R105" s="78"/>
      <c r="S105" s="78"/>
      <c r="T105" s="78"/>
      <c r="U105" s="78"/>
      <c r="V105" s="78"/>
      <c r="AC105" s="78" t="s">
        <v>52</v>
      </c>
      <c r="AD105" s="78" t="s">
        <v>17</v>
      </c>
      <c r="AE105" s="78" t="s">
        <v>72</v>
      </c>
      <c r="AF105" s="78" t="s">
        <v>51</v>
      </c>
      <c r="AG105" s="78" t="s">
        <v>110</v>
      </c>
      <c r="AH105" s="78">
        <v>4.4696326089388583</v>
      </c>
      <c r="AJ105" s="78" t="s">
        <v>52</v>
      </c>
      <c r="AK105" s="78" t="s">
        <v>17</v>
      </c>
      <c r="AL105" s="78" t="s">
        <v>28</v>
      </c>
      <c r="AM105" s="78" t="s">
        <v>51</v>
      </c>
      <c r="AN105" s="78" t="s">
        <v>110</v>
      </c>
      <c r="AO105" s="78">
        <v>1.4286340196471383</v>
      </c>
      <c r="AR105" s="78"/>
      <c r="AS105" s="78"/>
      <c r="AT105" s="78"/>
      <c r="AU105" s="78"/>
      <c r="AV105" s="78"/>
      <c r="AW105" s="78"/>
    </row>
    <row r="106" spans="9:49" s="77" customFormat="1">
      <c r="Q106" s="78"/>
      <c r="R106" s="78"/>
      <c r="S106" s="78"/>
      <c r="T106" s="78"/>
      <c r="U106" s="78"/>
      <c r="V106" s="78"/>
      <c r="AC106" s="78" t="s">
        <v>52</v>
      </c>
      <c r="AD106" s="78" t="s">
        <v>17</v>
      </c>
      <c r="AE106" s="78" t="s">
        <v>72</v>
      </c>
      <c r="AF106" s="78" t="s">
        <v>51</v>
      </c>
      <c r="AG106" s="78" t="s">
        <v>98</v>
      </c>
      <c r="AH106" s="78">
        <v>4.4811934664059407</v>
      </c>
      <c r="AJ106" s="78" t="s">
        <v>52</v>
      </c>
      <c r="AK106" s="78" t="s">
        <v>17</v>
      </c>
      <c r="AL106" s="78" t="s">
        <v>28</v>
      </c>
      <c r="AM106" s="78" t="s">
        <v>51</v>
      </c>
      <c r="AN106" s="78" t="s">
        <v>98</v>
      </c>
      <c r="AO106" s="78">
        <v>1.4539211920399711</v>
      </c>
      <c r="AR106" s="78"/>
      <c r="AS106" s="78"/>
      <c r="AT106" s="78"/>
      <c r="AU106" s="78"/>
      <c r="AV106" s="78"/>
      <c r="AW106" s="78"/>
    </row>
    <row r="107" spans="9:49" s="77" customFormat="1">
      <c r="Q107" s="78"/>
      <c r="R107" s="78"/>
      <c r="S107" s="78"/>
      <c r="T107" s="78"/>
      <c r="U107" s="78"/>
      <c r="V107" s="78"/>
      <c r="AC107" s="78" t="s">
        <v>52</v>
      </c>
      <c r="AD107" s="78" t="s">
        <v>17</v>
      </c>
      <c r="AE107" s="78" t="s">
        <v>72</v>
      </c>
      <c r="AF107" s="78" t="s">
        <v>51</v>
      </c>
      <c r="AG107" s="78" t="s">
        <v>125</v>
      </c>
      <c r="AH107" s="78">
        <v>4.4522759501537079</v>
      </c>
      <c r="AJ107" s="78" t="s">
        <v>52</v>
      </c>
      <c r="AK107" s="78" t="s">
        <v>17</v>
      </c>
      <c r="AL107" s="78" t="s">
        <v>28</v>
      </c>
      <c r="AM107" s="78" t="s">
        <v>51</v>
      </c>
      <c r="AN107" s="78" t="s">
        <v>125</v>
      </c>
      <c r="AO107" s="78">
        <v>1.4507515913062277</v>
      </c>
      <c r="AR107" s="78"/>
      <c r="AS107" s="78"/>
      <c r="AT107" s="78"/>
      <c r="AU107" s="78"/>
      <c r="AV107" s="78"/>
      <c r="AW107" s="78"/>
    </row>
    <row r="108" spans="9:49" s="77" customFormat="1">
      <c r="Q108" s="78"/>
      <c r="R108" s="78"/>
      <c r="S108" s="78"/>
      <c r="T108" s="78"/>
      <c r="U108" s="78"/>
      <c r="V108" s="78"/>
      <c r="AC108" s="78" t="s">
        <v>52</v>
      </c>
      <c r="AD108" s="78" t="s">
        <v>17</v>
      </c>
      <c r="AE108" s="78" t="s">
        <v>72</v>
      </c>
      <c r="AF108" s="78" t="s">
        <v>51</v>
      </c>
      <c r="AG108" s="78" t="s">
        <v>123</v>
      </c>
      <c r="AH108" s="78">
        <v>4.4204074273666594</v>
      </c>
      <c r="AJ108" s="78" t="s">
        <v>52</v>
      </c>
      <c r="AK108" s="78" t="s">
        <v>17</v>
      </c>
      <c r="AL108" s="78" t="s">
        <v>28</v>
      </c>
      <c r="AM108" s="78" t="s">
        <v>51</v>
      </c>
      <c r="AN108" s="78" t="s">
        <v>123</v>
      </c>
      <c r="AO108" s="78">
        <v>1.4115999979508493</v>
      </c>
      <c r="AR108" s="78"/>
      <c r="AS108" s="78"/>
      <c r="AT108" s="78"/>
      <c r="AU108" s="78"/>
      <c r="AV108" s="78"/>
      <c r="AW108" s="78"/>
    </row>
    <row r="109" spans="9:49" s="77" customFormat="1">
      <c r="Q109" s="78"/>
      <c r="R109" s="78"/>
      <c r="S109" s="78"/>
      <c r="T109" s="78"/>
      <c r="U109" s="78"/>
      <c r="V109" s="78"/>
      <c r="AC109" s="78" t="s">
        <v>52</v>
      </c>
      <c r="AD109" s="78" t="s">
        <v>17</v>
      </c>
      <c r="AE109" s="78" t="s">
        <v>72</v>
      </c>
      <c r="AF109" s="78" t="s">
        <v>51</v>
      </c>
      <c r="AG109" s="78" t="s">
        <v>126</v>
      </c>
      <c r="AH109" s="78">
        <v>4.4406945858636773</v>
      </c>
      <c r="AJ109" s="78" t="s">
        <v>52</v>
      </c>
      <c r="AK109" s="78" t="s">
        <v>17</v>
      </c>
      <c r="AL109" s="78" t="s">
        <v>28</v>
      </c>
      <c r="AM109" s="78" t="s">
        <v>51</v>
      </c>
      <c r="AN109" s="78" t="s">
        <v>126</v>
      </c>
      <c r="AO109" s="78">
        <v>1.4638126045131872</v>
      </c>
      <c r="AR109" s="78"/>
      <c r="AS109" s="78"/>
      <c r="AT109" s="78"/>
      <c r="AU109" s="78"/>
      <c r="AV109" s="78"/>
      <c r="AW109" s="78"/>
    </row>
    <row r="110" spans="9:49" s="77" customFormat="1">
      <c r="Q110" s="78"/>
      <c r="R110" s="78"/>
      <c r="S110" s="78"/>
      <c r="T110" s="78"/>
      <c r="U110" s="78"/>
      <c r="V110" s="78"/>
      <c r="AC110" s="78" t="s">
        <v>52</v>
      </c>
      <c r="AD110" s="78" t="s">
        <v>17</v>
      </c>
      <c r="AE110" s="78" t="s">
        <v>72</v>
      </c>
      <c r="AF110" s="78" t="s">
        <v>51</v>
      </c>
      <c r="AG110" s="78" t="s">
        <v>127</v>
      </c>
      <c r="AH110" s="78">
        <v>4.4493813788399832</v>
      </c>
      <c r="AJ110" s="78" t="s">
        <v>52</v>
      </c>
      <c r="AK110" s="78" t="s">
        <v>17</v>
      </c>
      <c r="AL110" s="78" t="s">
        <v>28</v>
      </c>
      <c r="AM110" s="78" t="s">
        <v>51</v>
      </c>
      <c r="AN110" s="78" t="s">
        <v>127</v>
      </c>
      <c r="AO110" s="78">
        <v>1.4793540082698529</v>
      </c>
      <c r="AR110" s="78"/>
      <c r="AS110" s="78"/>
      <c r="AT110" s="78"/>
      <c r="AU110" s="78"/>
      <c r="AV110" s="78"/>
      <c r="AW110" s="78"/>
    </row>
    <row r="111" spans="9:49" s="77" customFormat="1">
      <c r="Q111" s="78"/>
      <c r="R111" s="78"/>
      <c r="S111" s="78"/>
      <c r="T111" s="78"/>
      <c r="U111" s="78"/>
      <c r="V111" s="78"/>
      <c r="AC111" s="78" t="s">
        <v>52</v>
      </c>
      <c r="AD111" s="78" t="s">
        <v>17</v>
      </c>
      <c r="AE111" s="78" t="s">
        <v>72</v>
      </c>
      <c r="AF111" s="78" t="s">
        <v>51</v>
      </c>
      <c r="AG111" s="78" t="s">
        <v>128</v>
      </c>
      <c r="AH111" s="78">
        <v>4.4609565865630021</v>
      </c>
      <c r="AJ111" s="78" t="s">
        <v>52</v>
      </c>
      <c r="AK111" s="78" t="s">
        <v>17</v>
      </c>
      <c r="AL111" s="78" t="s">
        <v>28</v>
      </c>
      <c r="AM111" s="78" t="s">
        <v>51</v>
      </c>
      <c r="AN111" s="78" t="s">
        <v>128</v>
      </c>
      <c r="AO111" s="78">
        <v>1.4657398986657422</v>
      </c>
      <c r="AR111" s="78"/>
      <c r="AS111" s="78"/>
      <c r="AT111" s="78"/>
      <c r="AU111" s="78"/>
      <c r="AV111" s="78"/>
      <c r="AW111" s="78"/>
    </row>
    <row r="112" spans="9:49" s="77" customFormat="1">
      <c r="Q112" s="78"/>
      <c r="R112" s="78"/>
      <c r="S112" s="78"/>
      <c r="T112" s="78"/>
      <c r="U112" s="78"/>
      <c r="V112" s="78"/>
      <c r="AC112" s="78" t="s">
        <v>52</v>
      </c>
      <c r="AD112" s="78" t="s">
        <v>17</v>
      </c>
      <c r="AE112" s="78" t="s">
        <v>72</v>
      </c>
      <c r="AF112" s="78" t="s">
        <v>51</v>
      </c>
      <c r="AG112" s="78" t="s">
        <v>122</v>
      </c>
      <c r="AH112" s="78">
        <v>4.4898587339935672</v>
      </c>
      <c r="AJ112" s="78" t="s">
        <v>52</v>
      </c>
      <c r="AK112" s="78" t="s">
        <v>17</v>
      </c>
      <c r="AL112" s="78" t="s">
        <v>28</v>
      </c>
      <c r="AM112" s="78" t="s">
        <v>51</v>
      </c>
      <c r="AN112" s="78" t="s">
        <v>122</v>
      </c>
      <c r="AO112" s="78">
        <v>1.4954131871900374</v>
      </c>
      <c r="AR112" s="78"/>
      <c r="AS112" s="78"/>
      <c r="AT112" s="78"/>
      <c r="AU112" s="78"/>
      <c r="AV112" s="78"/>
      <c r="AW112" s="78"/>
    </row>
    <row r="113" spans="17:49" s="77" customFormat="1">
      <c r="Q113" s="78"/>
      <c r="R113" s="78"/>
      <c r="S113" s="78"/>
      <c r="T113" s="78"/>
      <c r="U113" s="78"/>
      <c r="V113" s="78"/>
      <c r="AC113" s="78" t="s">
        <v>52</v>
      </c>
      <c r="AD113" s="78" t="s">
        <v>17</v>
      </c>
      <c r="AE113" s="78" t="s">
        <v>72</v>
      </c>
      <c r="AF113" s="78" t="s">
        <v>51</v>
      </c>
      <c r="AG113" s="78" t="s">
        <v>124</v>
      </c>
      <c r="AH113" s="78">
        <v>4.3739421106982554</v>
      </c>
      <c r="AJ113" s="78" t="s">
        <v>52</v>
      </c>
      <c r="AK113" s="78" t="s">
        <v>17</v>
      </c>
      <c r="AL113" s="78" t="s">
        <v>28</v>
      </c>
      <c r="AM113" s="78" t="s">
        <v>51</v>
      </c>
      <c r="AN113" s="78" t="s">
        <v>124</v>
      </c>
      <c r="AO113" s="78">
        <v>1.4584339847358858</v>
      </c>
      <c r="AR113" s="78"/>
      <c r="AS113" s="78"/>
      <c r="AT113" s="78"/>
      <c r="AU113" s="78"/>
      <c r="AV113" s="78"/>
      <c r="AW113" s="78"/>
    </row>
    <row r="114" spans="17:49" s="77" customFormat="1">
      <c r="Q114" s="78"/>
      <c r="R114" s="78"/>
      <c r="S114" s="78"/>
      <c r="T114" s="78"/>
      <c r="U114" s="78"/>
      <c r="V114" s="78"/>
      <c r="AC114" s="78" t="s">
        <v>52</v>
      </c>
      <c r="AD114" s="78" t="s">
        <v>17</v>
      </c>
      <c r="AE114" s="78" t="s">
        <v>72</v>
      </c>
      <c r="AF114" s="78" t="s">
        <v>51</v>
      </c>
      <c r="AG114" s="78" t="s">
        <v>214</v>
      </c>
      <c r="AH114" s="78">
        <v>4.3855708043827342</v>
      </c>
      <c r="AJ114" s="78" t="s">
        <v>52</v>
      </c>
      <c r="AK114" s="78" t="s">
        <v>17</v>
      </c>
      <c r="AL114" s="78" t="s">
        <v>28</v>
      </c>
      <c r="AM114" s="78" t="s">
        <v>51</v>
      </c>
      <c r="AN114" s="78" t="s">
        <v>214</v>
      </c>
      <c r="AO114" s="78">
        <v>1.4996119210214647</v>
      </c>
      <c r="AR114" s="78"/>
      <c r="AS114" s="78"/>
      <c r="AT114" s="78"/>
      <c r="AU114" s="78"/>
      <c r="AV114" s="78"/>
      <c r="AW114" s="78"/>
    </row>
    <row r="115" spans="17:49" s="77" customFormat="1">
      <c r="Q115" s="78"/>
      <c r="R115" s="78"/>
      <c r="S115" s="78"/>
      <c r="T115" s="78"/>
      <c r="U115" s="78"/>
      <c r="V115" s="78"/>
      <c r="AC115" s="78" t="s">
        <v>52</v>
      </c>
      <c r="AD115" s="78" t="s">
        <v>17</v>
      </c>
      <c r="AE115" s="78" t="s">
        <v>72</v>
      </c>
      <c r="AF115" s="78" t="s">
        <v>51</v>
      </c>
      <c r="AG115" s="78" t="s">
        <v>218</v>
      </c>
      <c r="AH115" s="78">
        <v>4.4146064703713783</v>
      </c>
      <c r="AJ115" s="78" t="s">
        <v>52</v>
      </c>
      <c r="AK115" s="78" t="s">
        <v>17</v>
      </c>
      <c r="AL115" s="78" t="s">
        <v>28</v>
      </c>
      <c r="AM115" s="78" t="s">
        <v>51</v>
      </c>
      <c r="AN115" s="78" t="s">
        <v>218</v>
      </c>
      <c r="AO115" s="78">
        <v>1.4553497586985888</v>
      </c>
      <c r="AR115" s="78"/>
      <c r="AS115" s="78"/>
      <c r="AT115" s="78"/>
      <c r="AU115" s="78"/>
      <c r="AV115" s="78"/>
      <c r="AW115" s="78"/>
    </row>
    <row r="116" spans="17:49" s="77" customFormat="1">
      <c r="Q116" s="78"/>
      <c r="R116" s="78"/>
      <c r="S116" s="78"/>
      <c r="T116" s="78"/>
      <c r="U116" s="78"/>
      <c r="V116" s="78"/>
      <c r="AC116" s="78" t="s">
        <v>52</v>
      </c>
      <c r="AD116" s="78" t="s">
        <v>17</v>
      </c>
      <c r="AE116" s="78" t="s">
        <v>72</v>
      </c>
      <c r="AF116" s="78" t="s">
        <v>51</v>
      </c>
      <c r="AG116" s="78" t="s">
        <v>219</v>
      </c>
      <c r="AH116" s="78">
        <v>4.5014052622718115</v>
      </c>
      <c r="AJ116" s="78" t="s">
        <v>52</v>
      </c>
      <c r="AK116" s="78" t="s">
        <v>17</v>
      </c>
      <c r="AL116" s="78" t="s">
        <v>28</v>
      </c>
      <c r="AM116" s="78" t="s">
        <v>51</v>
      </c>
      <c r="AN116" s="78" t="s">
        <v>219</v>
      </c>
      <c r="AO116" s="78">
        <v>1.4924937777913119</v>
      </c>
      <c r="AR116" s="78"/>
      <c r="AS116" s="78"/>
      <c r="AT116" s="78"/>
      <c r="AU116" s="78"/>
      <c r="AV116" s="78"/>
      <c r="AW116" s="78"/>
    </row>
    <row r="117" spans="17:49" s="77" customFormat="1">
      <c r="Q117" s="78"/>
      <c r="R117" s="78"/>
      <c r="S117" s="78"/>
      <c r="T117" s="78"/>
      <c r="U117" s="78"/>
      <c r="V117" s="78"/>
      <c r="AC117" s="78" t="s">
        <v>52</v>
      </c>
      <c r="AD117" s="78" t="s">
        <v>17</v>
      </c>
      <c r="AE117" s="78" t="s">
        <v>72</v>
      </c>
      <c r="AF117" s="78" t="s">
        <v>51</v>
      </c>
      <c r="AG117" s="78" t="s">
        <v>220</v>
      </c>
      <c r="AH117" s="78">
        <v>4.5129436118874455</v>
      </c>
      <c r="AJ117" s="78" t="s">
        <v>52</v>
      </c>
      <c r="AK117" s="78" t="s">
        <v>17</v>
      </c>
      <c r="AL117" s="78" t="s">
        <v>28</v>
      </c>
      <c r="AM117" s="78" t="s">
        <v>51</v>
      </c>
      <c r="AN117" s="78" t="s">
        <v>220</v>
      </c>
      <c r="AO117" s="78">
        <v>1.5409787619072055</v>
      </c>
      <c r="AR117" s="78"/>
      <c r="AS117" s="78"/>
      <c r="AT117" s="78"/>
      <c r="AU117" s="78"/>
      <c r="AV117" s="78"/>
      <c r="AW117" s="78"/>
    </row>
    <row r="118" spans="17:49" s="77" customFormat="1">
      <c r="Q118" s="78"/>
      <c r="R118" s="78"/>
      <c r="S118" s="78"/>
      <c r="T118" s="78"/>
      <c r="U118" s="78"/>
      <c r="V118" s="78"/>
      <c r="AC118" s="78" t="s">
        <v>52</v>
      </c>
      <c r="AD118" s="78" t="s">
        <v>17</v>
      </c>
      <c r="AE118" s="78" t="s">
        <v>72</v>
      </c>
      <c r="AF118" s="78" t="s">
        <v>51</v>
      </c>
      <c r="AG118" s="78" t="s">
        <v>221</v>
      </c>
      <c r="AH118" s="78">
        <v>4.3477473586080162</v>
      </c>
      <c r="AJ118" s="78" t="s">
        <v>52</v>
      </c>
      <c r="AK118" s="78" t="s">
        <v>17</v>
      </c>
      <c r="AL118" s="78" t="s">
        <v>28</v>
      </c>
      <c r="AM118" s="78" t="s">
        <v>51</v>
      </c>
      <c r="AN118" s="78" t="s">
        <v>221</v>
      </c>
      <c r="AO118" s="78">
        <v>1.4242454553585564</v>
      </c>
      <c r="AR118" s="78"/>
      <c r="AS118" s="78"/>
      <c r="AT118" s="78"/>
      <c r="AU118" s="78"/>
      <c r="AV118" s="78"/>
      <c r="AW118" s="78"/>
    </row>
    <row r="119" spans="17:49" s="77" customFormat="1">
      <c r="Q119" s="78"/>
      <c r="R119" s="78"/>
      <c r="S119" s="78"/>
      <c r="T119" s="78"/>
      <c r="U119" s="78"/>
      <c r="V119" s="78"/>
      <c r="AC119" s="78" t="s">
        <v>52</v>
      </c>
      <c r="AD119" s="78" t="s">
        <v>17</v>
      </c>
      <c r="AE119" s="78" t="s">
        <v>72</v>
      </c>
      <c r="AF119" s="78" t="s">
        <v>51</v>
      </c>
      <c r="AG119" s="78" t="s">
        <v>222</v>
      </c>
      <c r="AH119" s="78">
        <v>4.4175072060123801</v>
      </c>
      <c r="AJ119" s="78" t="s">
        <v>52</v>
      </c>
      <c r="AK119" s="78" t="s">
        <v>17</v>
      </c>
      <c r="AL119" s="78" t="s">
        <v>28</v>
      </c>
      <c r="AM119" s="78" t="s">
        <v>51</v>
      </c>
      <c r="AN119" s="78" t="s">
        <v>222</v>
      </c>
      <c r="AO119" s="78">
        <v>1.4422068354014699</v>
      </c>
      <c r="AR119" s="78"/>
      <c r="AS119" s="78"/>
      <c r="AT119" s="78"/>
      <c r="AU119" s="78"/>
      <c r="AV119" s="78"/>
      <c r="AW119" s="78"/>
    </row>
    <row r="120" spans="17:49" s="77" customFormat="1">
      <c r="Q120" s="78"/>
      <c r="R120" s="78"/>
      <c r="S120" s="78"/>
      <c r="T120" s="78"/>
      <c r="U120" s="78"/>
      <c r="V120" s="78"/>
      <c r="AC120" s="78" t="s">
        <v>52</v>
      </c>
      <c r="AD120" s="78" t="s">
        <v>17</v>
      </c>
      <c r="AE120" s="78" t="s">
        <v>72</v>
      </c>
      <c r="AF120" s="78" t="s">
        <v>51</v>
      </c>
      <c r="AG120" s="78" t="s">
        <v>223</v>
      </c>
      <c r="AH120" s="78">
        <v>4.3652151737597782</v>
      </c>
      <c r="AJ120" s="78" t="s">
        <v>52</v>
      </c>
      <c r="AK120" s="78" t="s">
        <v>17</v>
      </c>
      <c r="AL120" s="78" t="s">
        <v>28</v>
      </c>
      <c r="AM120" s="78" t="s">
        <v>51</v>
      </c>
      <c r="AN120" s="78" t="s">
        <v>223</v>
      </c>
      <c r="AO120" s="78">
        <v>1.475763394548218</v>
      </c>
      <c r="AR120" s="78"/>
      <c r="AS120" s="78"/>
      <c r="AT120" s="78"/>
      <c r="AU120" s="78"/>
      <c r="AV120" s="78"/>
      <c r="AW120" s="78"/>
    </row>
    <row r="121" spans="17:49" s="77" customFormat="1">
      <c r="Q121" s="78"/>
      <c r="R121" s="78"/>
      <c r="S121" s="78"/>
      <c r="T121" s="78"/>
      <c r="U121" s="78"/>
      <c r="V121" s="78"/>
      <c r="AC121" s="78" t="s">
        <v>52</v>
      </c>
      <c r="AD121" s="78" t="s">
        <v>17</v>
      </c>
      <c r="AE121" s="78" t="s">
        <v>72</v>
      </c>
      <c r="AF121" s="78" t="s">
        <v>51</v>
      </c>
      <c r="AG121" s="78" t="s">
        <v>224</v>
      </c>
      <c r="AH121" s="78">
        <v>4.4070838695955894</v>
      </c>
      <c r="AJ121" s="78" t="s">
        <v>52</v>
      </c>
      <c r="AK121" s="78" t="s">
        <v>17</v>
      </c>
      <c r="AL121" s="78" t="s">
        <v>28</v>
      </c>
      <c r="AM121" s="78" t="s">
        <v>51</v>
      </c>
      <c r="AN121" s="78" t="s">
        <v>224</v>
      </c>
      <c r="AO121" s="78">
        <v>1.5207406211857697</v>
      </c>
      <c r="AR121" s="78"/>
      <c r="AS121" s="78"/>
      <c r="AT121" s="78"/>
      <c r="AU121" s="78"/>
      <c r="AV121" s="78"/>
      <c r="AW121" s="78"/>
    </row>
    <row r="122" spans="17:49" s="77" customFormat="1">
      <c r="Q122" s="78"/>
      <c r="R122" s="78"/>
      <c r="S122" s="78"/>
      <c r="T122" s="78"/>
      <c r="U122" s="78"/>
      <c r="V122" s="78"/>
      <c r="AC122" s="78" t="s">
        <v>52</v>
      </c>
      <c r="AD122" s="78" t="s">
        <v>17</v>
      </c>
      <c r="AE122" s="78" t="s">
        <v>72</v>
      </c>
      <c r="AF122" s="78" t="s">
        <v>51</v>
      </c>
      <c r="AG122" s="78" t="s">
        <v>225</v>
      </c>
      <c r="AH122" s="78">
        <v>4.3623051624544651</v>
      </c>
      <c r="AJ122" s="153" t="s">
        <v>52</v>
      </c>
      <c r="AK122" s="153" t="s">
        <v>17</v>
      </c>
      <c r="AL122" s="153" t="s">
        <v>28</v>
      </c>
      <c r="AM122" s="153" t="s">
        <v>51</v>
      </c>
      <c r="AN122" s="153" t="s">
        <v>225</v>
      </c>
      <c r="AO122" s="153">
        <v>1.4207564955570056</v>
      </c>
      <c r="AR122" s="78"/>
      <c r="AS122" s="78"/>
      <c r="AT122" s="78"/>
      <c r="AU122" s="78"/>
      <c r="AV122" s="78"/>
      <c r="AW122" s="78"/>
    </row>
    <row r="123" spans="17:49" s="77" customFormat="1">
      <c r="Q123" s="78"/>
      <c r="R123" s="78"/>
      <c r="S123" s="78"/>
      <c r="T123" s="78"/>
      <c r="U123" s="78"/>
      <c r="V123" s="78"/>
      <c r="AC123" s="78" t="s">
        <v>52</v>
      </c>
      <c r="AD123" s="78" t="s">
        <v>17</v>
      </c>
      <c r="AE123" s="78" t="s">
        <v>72</v>
      </c>
      <c r="AF123" s="78" t="s">
        <v>51</v>
      </c>
      <c r="AG123" s="78" t="s">
        <v>226</v>
      </c>
      <c r="AH123" s="78">
        <v>4.4320031720673221</v>
      </c>
      <c r="AJ123" s="153" t="s">
        <v>52</v>
      </c>
      <c r="AK123" s="153" t="s">
        <v>17</v>
      </c>
      <c r="AL123" s="153" t="s">
        <v>28</v>
      </c>
      <c r="AM123" s="153" t="s">
        <v>51</v>
      </c>
      <c r="AN123" s="153" t="s">
        <v>226</v>
      </c>
      <c r="AO123" s="153">
        <v>1.4697198242720515</v>
      </c>
      <c r="AR123" s="78"/>
      <c r="AS123" s="78"/>
      <c r="AT123" s="78"/>
      <c r="AU123" s="78"/>
      <c r="AV123" s="78"/>
      <c r="AW123" s="78"/>
    </row>
    <row r="124" spans="17:49" s="77" customFormat="1">
      <c r="Q124" s="78"/>
      <c r="R124" s="78"/>
      <c r="S124" s="78"/>
      <c r="T124" s="78"/>
      <c r="U124" s="78"/>
      <c r="V124" s="78"/>
      <c r="AC124" s="78" t="s">
        <v>52</v>
      </c>
      <c r="AD124" s="78" t="s">
        <v>17</v>
      </c>
      <c r="AE124" s="78" t="s">
        <v>72</v>
      </c>
      <c r="AF124" s="78" t="s">
        <v>51</v>
      </c>
      <c r="AG124" s="78" t="s">
        <v>227</v>
      </c>
      <c r="AH124" s="78">
        <v>4.3185929708734827</v>
      </c>
      <c r="AJ124" s="153" t="s">
        <v>52</v>
      </c>
      <c r="AK124" s="153" t="s">
        <v>17</v>
      </c>
      <c r="AL124" s="153" t="s">
        <v>28</v>
      </c>
      <c r="AM124" s="153" t="s">
        <v>51</v>
      </c>
      <c r="AN124" s="153" t="s">
        <v>227</v>
      </c>
      <c r="AO124" s="153">
        <v>1.3828494386195826</v>
      </c>
      <c r="AR124" s="78"/>
      <c r="AS124" s="78"/>
      <c r="AT124" s="78"/>
      <c r="AU124" s="78"/>
      <c r="AV124" s="78"/>
      <c r="AW124" s="78"/>
    </row>
    <row r="125" spans="17:49" s="77" customFormat="1">
      <c r="Q125" s="78"/>
      <c r="R125" s="78"/>
      <c r="S125" s="78"/>
      <c r="T125" s="78"/>
      <c r="U125" s="78"/>
      <c r="V125" s="78"/>
      <c r="AC125" s="78" t="s">
        <v>52</v>
      </c>
      <c r="AD125" s="78" t="s">
        <v>17</v>
      </c>
      <c r="AE125" s="78" t="s">
        <v>72</v>
      </c>
      <c r="AF125" s="78" t="s">
        <v>51</v>
      </c>
      <c r="AG125" s="78" t="s">
        <v>228</v>
      </c>
      <c r="AH125" s="78">
        <v>4.3623051624544651</v>
      </c>
      <c r="AJ125" s="153" t="s">
        <v>52</v>
      </c>
      <c r="AK125" s="153" t="s">
        <v>17</v>
      </c>
      <c r="AL125" s="153" t="s">
        <v>28</v>
      </c>
      <c r="AM125" s="153" t="s">
        <v>51</v>
      </c>
      <c r="AN125" s="153" t="s">
        <v>228</v>
      </c>
      <c r="AO125" s="153">
        <v>1.4026468698808754</v>
      </c>
      <c r="AR125" s="78"/>
      <c r="AS125" s="78"/>
      <c r="AT125" s="78"/>
      <c r="AU125" s="78"/>
      <c r="AV125" s="78"/>
      <c r="AW125" s="78"/>
    </row>
    <row r="126" spans="17:49" s="77" customFormat="1">
      <c r="Q126" s="78"/>
      <c r="R126" s="78"/>
      <c r="S126" s="78"/>
      <c r="T126" s="78"/>
      <c r="U126" s="78"/>
      <c r="V126" s="78"/>
      <c r="AC126" s="78" t="s">
        <v>52</v>
      </c>
      <c r="AD126" s="78" t="s">
        <v>17</v>
      </c>
      <c r="AE126" s="78" t="s">
        <v>72</v>
      </c>
      <c r="AF126" s="78" t="s">
        <v>51</v>
      </c>
      <c r="AG126" s="78" t="s">
        <v>229</v>
      </c>
      <c r="AH126" s="78">
        <v>4.3739421106982554</v>
      </c>
      <c r="AJ126" s="153" t="s">
        <v>52</v>
      </c>
      <c r="AK126" s="153" t="s">
        <v>17</v>
      </c>
      <c r="AL126" s="153" t="s">
        <v>28</v>
      </c>
      <c r="AM126" s="153" t="s">
        <v>51</v>
      </c>
      <c r="AN126" s="153" t="s">
        <v>229</v>
      </c>
      <c r="AO126" s="153">
        <v>1.4840567348768356</v>
      </c>
      <c r="AR126" s="78"/>
      <c r="AS126" s="78"/>
      <c r="AT126" s="78"/>
      <c r="AU126" s="78"/>
      <c r="AV126" s="78"/>
      <c r="AW126" s="78"/>
    </row>
    <row r="127" spans="17:49" s="77" customFormat="1">
      <c r="AC127" s="78" t="s">
        <v>52</v>
      </c>
      <c r="AD127" s="78" t="s">
        <v>17</v>
      </c>
      <c r="AE127" s="78" t="s">
        <v>72</v>
      </c>
      <c r="AF127" s="78" t="s">
        <v>51</v>
      </c>
      <c r="AG127" s="78" t="s">
        <v>216</v>
      </c>
      <c r="AH127" s="78">
        <v>4.3402089296616397</v>
      </c>
      <c r="AJ127" s="153" t="s">
        <v>52</v>
      </c>
      <c r="AK127" s="153" t="s">
        <v>17</v>
      </c>
      <c r="AL127" s="153" t="s">
        <v>28</v>
      </c>
      <c r="AM127" s="153" t="s">
        <v>51</v>
      </c>
      <c r="AN127" s="153" t="s">
        <v>216</v>
      </c>
      <c r="AO127" s="153">
        <v>1.4803415500365495</v>
      </c>
    </row>
    <row r="128" spans="17:49" s="77" customFormat="1">
      <c r="AC128" s="78" t="s">
        <v>52</v>
      </c>
      <c r="AD128" s="78" t="s">
        <v>17</v>
      </c>
      <c r="AE128" s="78" t="s">
        <v>72</v>
      </c>
      <c r="AF128" s="78" t="s">
        <v>51</v>
      </c>
      <c r="AG128" s="78" t="s">
        <v>230</v>
      </c>
      <c r="AH128" s="78">
        <v>4.2964471598000369</v>
      </c>
      <c r="AJ128" s="153" t="s">
        <v>52</v>
      </c>
      <c r="AK128" s="153" t="s">
        <v>17</v>
      </c>
      <c r="AL128" s="153" t="s">
        <v>28</v>
      </c>
      <c r="AM128" s="153" t="s">
        <v>51</v>
      </c>
      <c r="AN128" s="153" t="s">
        <v>230</v>
      </c>
      <c r="AO128" s="153">
        <v>1.4619667710336273</v>
      </c>
    </row>
    <row r="129" spans="29:41" s="77" customFormat="1">
      <c r="AC129" s="78" t="s">
        <v>52</v>
      </c>
      <c r="AD129" s="78" t="s">
        <v>17</v>
      </c>
      <c r="AE129" s="78" t="s">
        <v>72</v>
      </c>
      <c r="AF129" s="78" t="s">
        <v>51</v>
      </c>
      <c r="AG129" s="78" t="s">
        <v>231</v>
      </c>
      <c r="AH129" s="78">
        <v>4.2341459139538875</v>
      </c>
      <c r="AJ129" s="153" t="s">
        <v>52</v>
      </c>
      <c r="AK129" s="153" t="s">
        <v>17</v>
      </c>
      <c r="AL129" s="153" t="s">
        <v>28</v>
      </c>
      <c r="AM129" s="153" t="s">
        <v>51</v>
      </c>
      <c r="AN129" s="153" t="s">
        <v>231</v>
      </c>
      <c r="AO129" s="153">
        <v>1.4441024028992371</v>
      </c>
    </row>
    <row r="130" spans="29:41" s="77" customFormat="1">
      <c r="AC130" s="78" t="s">
        <v>52</v>
      </c>
      <c r="AD130" s="78" t="s">
        <v>17</v>
      </c>
      <c r="AE130" s="78" t="s">
        <v>72</v>
      </c>
      <c r="AF130" s="78" t="s">
        <v>51</v>
      </c>
      <c r="AG130" s="78" t="s">
        <v>232</v>
      </c>
      <c r="AH130" s="78">
        <v>4.2935255517595659</v>
      </c>
      <c r="AJ130" s="153" t="s">
        <v>52</v>
      </c>
      <c r="AK130" s="153" t="s">
        <v>17</v>
      </c>
      <c r="AL130" s="153" t="s">
        <v>28</v>
      </c>
      <c r="AM130" s="153" t="s">
        <v>51</v>
      </c>
      <c r="AN130" s="153" t="s">
        <v>232</v>
      </c>
      <c r="AO130" s="153">
        <v>1.3854486805980459</v>
      </c>
    </row>
    <row r="131" spans="29:41" s="77" customFormat="1">
      <c r="AC131" s="78" t="s">
        <v>52</v>
      </c>
      <c r="AD131" s="78" t="s">
        <v>17</v>
      </c>
      <c r="AE131" s="78" t="s">
        <v>72</v>
      </c>
      <c r="AF131" s="78" t="s">
        <v>51</v>
      </c>
      <c r="AG131" s="78" t="s">
        <v>215</v>
      </c>
      <c r="AH131" s="78">
        <v>4.3605911450345749</v>
      </c>
      <c r="AJ131" s="153" t="s">
        <v>52</v>
      </c>
      <c r="AK131" s="153" t="s">
        <v>17</v>
      </c>
      <c r="AL131" s="153" t="s">
        <v>28</v>
      </c>
      <c r="AM131" s="153" t="s">
        <v>51</v>
      </c>
      <c r="AN131" s="153" t="s">
        <v>215</v>
      </c>
      <c r="AO131" s="153">
        <v>1.448796898887305</v>
      </c>
    </row>
    <row r="132" spans="29:41" s="77" customFormat="1">
      <c r="AC132" s="78" t="s">
        <v>52</v>
      </c>
      <c r="AD132" s="78" t="s">
        <v>17</v>
      </c>
      <c r="AE132" s="78" t="s">
        <v>72</v>
      </c>
      <c r="AF132" s="78" t="s">
        <v>51</v>
      </c>
      <c r="AG132" s="78" t="s">
        <v>217</v>
      </c>
      <c r="AH132" s="78">
        <v>4.2659844704607144</v>
      </c>
      <c r="AJ132" s="153" t="s">
        <v>52</v>
      </c>
      <c r="AK132" s="153" t="s">
        <v>17</v>
      </c>
      <c r="AL132" s="153" t="s">
        <v>28</v>
      </c>
      <c r="AM132" s="153" t="s">
        <v>51</v>
      </c>
      <c r="AN132" s="153" t="s">
        <v>217</v>
      </c>
      <c r="AO132" s="153">
        <v>1.3574387392851748</v>
      </c>
    </row>
    <row r="133" spans="29:41" s="77" customFormat="1">
      <c r="AC133" s="78" t="s">
        <v>52</v>
      </c>
      <c r="AD133" s="78" t="s">
        <v>17</v>
      </c>
      <c r="AE133" s="78" t="s">
        <v>72</v>
      </c>
      <c r="AF133" s="78" t="s">
        <v>51</v>
      </c>
      <c r="AG133" s="78" t="s">
        <v>237</v>
      </c>
      <c r="AH133" s="78">
        <v>4.2132075105238744</v>
      </c>
      <c r="AJ133" s="153" t="s">
        <v>52</v>
      </c>
      <c r="AK133" s="153" t="s">
        <v>17</v>
      </c>
      <c r="AL133" s="153" t="s">
        <v>28</v>
      </c>
      <c r="AM133" s="153" t="s">
        <v>51</v>
      </c>
      <c r="AN133" s="153" t="s">
        <v>237</v>
      </c>
      <c r="AO133" s="153">
        <v>1.3001260815676443</v>
      </c>
    </row>
    <row r="134" spans="29:41" s="77" customFormat="1">
      <c r="AC134" s="78" t="s">
        <v>52</v>
      </c>
      <c r="AD134" s="78" t="s">
        <v>17</v>
      </c>
      <c r="AE134" s="78" t="s">
        <v>72</v>
      </c>
      <c r="AF134" s="78" t="s">
        <v>51</v>
      </c>
      <c r="AG134" s="78" t="s">
        <v>238</v>
      </c>
      <c r="AH134" s="78">
        <v>4.2073329774115562</v>
      </c>
      <c r="AJ134" s="153" t="s">
        <v>52</v>
      </c>
      <c r="AK134" s="153" t="s">
        <v>17</v>
      </c>
      <c r="AL134" s="153" t="s">
        <v>28</v>
      </c>
      <c r="AM134" s="153" t="s">
        <v>51</v>
      </c>
      <c r="AN134" s="153" t="s">
        <v>238</v>
      </c>
      <c r="AO134" s="153">
        <v>1.2728859371774863</v>
      </c>
    </row>
    <row r="135" spans="29:41" s="77" customFormat="1">
      <c r="AC135" s="78" t="s">
        <v>52</v>
      </c>
      <c r="AD135" s="78" t="s">
        <v>17</v>
      </c>
      <c r="AE135" s="78" t="s">
        <v>72</v>
      </c>
      <c r="AF135" s="78" t="s">
        <v>51</v>
      </c>
      <c r="AG135" s="78" t="s">
        <v>239</v>
      </c>
      <c r="AH135" s="78">
        <v>4.2484108996908265</v>
      </c>
      <c r="AJ135" s="153" t="s">
        <v>52</v>
      </c>
      <c r="AK135" s="153" t="s">
        <v>17</v>
      </c>
      <c r="AL135" s="153" t="s">
        <v>28</v>
      </c>
      <c r="AM135" s="153" t="s">
        <v>51</v>
      </c>
      <c r="AN135" s="153" t="s">
        <v>239</v>
      </c>
      <c r="AO135" s="153">
        <v>1.3387309334062565</v>
      </c>
    </row>
    <row r="136" spans="29:41" s="77" customFormat="1">
      <c r="AC136" s="78" t="s">
        <v>52</v>
      </c>
      <c r="AD136" s="78" t="s">
        <v>17</v>
      </c>
      <c r="AE136" s="78" t="s">
        <v>72</v>
      </c>
      <c r="AF136" s="78" t="s">
        <v>51</v>
      </c>
      <c r="AG136" s="78" t="s">
        <v>240</v>
      </c>
      <c r="AH136" s="78">
        <v>4.2981540865235441</v>
      </c>
      <c r="AJ136" s="153" t="s">
        <v>52</v>
      </c>
      <c r="AK136" s="153" t="s">
        <v>17</v>
      </c>
      <c r="AL136" s="153" t="s">
        <v>28</v>
      </c>
      <c r="AM136" s="153" t="s">
        <v>51</v>
      </c>
      <c r="AN136" s="153" t="s">
        <v>240</v>
      </c>
      <c r="AO136" s="153">
        <v>1.3622609419325045</v>
      </c>
    </row>
    <row r="137" spans="29:41" s="77" customFormat="1">
      <c r="AC137" s="78" t="s">
        <v>52</v>
      </c>
      <c r="AD137" s="78" t="s">
        <v>17</v>
      </c>
      <c r="AE137" s="78" t="s">
        <v>72</v>
      </c>
      <c r="AF137" s="78" t="s">
        <v>51</v>
      </c>
      <c r="AG137" s="78" t="s">
        <v>241</v>
      </c>
      <c r="AH137" s="78">
        <v>4.1896968435167041</v>
      </c>
      <c r="AJ137" s="153" t="s">
        <v>52</v>
      </c>
      <c r="AK137" s="153" t="s">
        <v>17</v>
      </c>
      <c r="AL137" s="153" t="s">
        <v>28</v>
      </c>
      <c r="AM137" s="153" t="s">
        <v>51</v>
      </c>
      <c r="AN137" s="153" t="s">
        <v>241</v>
      </c>
      <c r="AO137" s="153">
        <v>1.2847074197368942</v>
      </c>
    </row>
    <row r="138" spans="29:41" s="77" customFormat="1">
      <c r="AC138" s="78" t="s">
        <v>52</v>
      </c>
      <c r="AD138" s="78" t="s">
        <v>17</v>
      </c>
      <c r="AE138" s="78" t="s">
        <v>72</v>
      </c>
      <c r="AF138" s="78" t="s">
        <v>51</v>
      </c>
      <c r="AG138" s="78" t="s">
        <v>242</v>
      </c>
      <c r="AH138" s="78">
        <v>4.1661527181973517</v>
      </c>
      <c r="AJ138" s="153" t="s">
        <v>52</v>
      </c>
      <c r="AK138" s="153" t="s">
        <v>17</v>
      </c>
      <c r="AL138" s="153" t="s">
        <v>28</v>
      </c>
      <c r="AM138" s="153" t="s">
        <v>51</v>
      </c>
      <c r="AN138" s="153" t="s">
        <v>242</v>
      </c>
      <c r="AO138" s="153">
        <v>1.2873782909063218</v>
      </c>
    </row>
    <row r="139" spans="29:41" s="77" customFormat="1">
      <c r="AC139" s="78" t="s">
        <v>52</v>
      </c>
      <c r="AD139" s="78" t="s">
        <v>17</v>
      </c>
      <c r="AE139" s="78" t="s">
        <v>72</v>
      </c>
      <c r="AF139" s="78" t="s">
        <v>51</v>
      </c>
      <c r="AG139" s="78" t="s">
        <v>243</v>
      </c>
      <c r="AH139" s="78">
        <v>4.2513411289951666</v>
      </c>
      <c r="AJ139" s="153" t="s">
        <v>52</v>
      </c>
      <c r="AK139" s="153" t="s">
        <v>17</v>
      </c>
      <c r="AL139" s="153" t="s">
        <v>28</v>
      </c>
      <c r="AM139" s="153" t="s">
        <v>51</v>
      </c>
      <c r="AN139" s="153" t="s">
        <v>243</v>
      </c>
      <c r="AO139" s="153">
        <v>1.332778406326687</v>
      </c>
    </row>
    <row r="140" spans="29:41" s="77" customFormat="1">
      <c r="AC140" s="78" t="s">
        <v>52</v>
      </c>
      <c r="AD140" s="78" t="s">
        <v>17</v>
      </c>
      <c r="AE140" s="78" t="s">
        <v>72</v>
      </c>
      <c r="AF140" s="78" t="s">
        <v>51</v>
      </c>
      <c r="AG140" s="78" t="s">
        <v>244</v>
      </c>
      <c r="AH140" s="78">
        <v>4.2689115785087015</v>
      </c>
      <c r="AJ140" s="153" t="s">
        <v>52</v>
      </c>
      <c r="AK140" s="153" t="s">
        <v>17</v>
      </c>
      <c r="AL140" s="153" t="s">
        <v>28</v>
      </c>
      <c r="AM140" s="153" t="s">
        <v>51</v>
      </c>
      <c r="AN140" s="153" t="s">
        <v>244</v>
      </c>
      <c r="AO140" s="153">
        <v>1.3661602264056314</v>
      </c>
    </row>
    <row r="141" spans="29:41" s="77" customFormat="1">
      <c r="AC141" s="78" t="s">
        <v>52</v>
      </c>
      <c r="AD141" s="78" t="s">
        <v>17</v>
      </c>
      <c r="AE141" s="78" t="s">
        <v>72</v>
      </c>
      <c r="AF141" s="78" t="s">
        <v>51</v>
      </c>
      <c r="AG141" s="78" t="s">
        <v>245</v>
      </c>
      <c r="AH141" s="78">
        <v>4.2484108996908265</v>
      </c>
      <c r="AJ141" s="153" t="s">
        <v>52</v>
      </c>
      <c r="AK141" s="153" t="s">
        <v>17</v>
      </c>
      <c r="AL141" s="153" t="s">
        <v>28</v>
      </c>
      <c r="AM141" s="153" t="s">
        <v>51</v>
      </c>
      <c r="AN141" s="153" t="s">
        <v>245</v>
      </c>
      <c r="AO141" s="153">
        <v>1.3156879105427466</v>
      </c>
    </row>
    <row r="142" spans="29:41" s="77" customFormat="1">
      <c r="AC142" s="78" t="s">
        <v>52</v>
      </c>
      <c r="AD142" s="78" t="s">
        <v>17</v>
      </c>
      <c r="AE142" s="78" t="s">
        <v>72</v>
      </c>
      <c r="AF142" s="78" t="s">
        <v>51</v>
      </c>
      <c r="AG142" s="78" t="s">
        <v>246</v>
      </c>
      <c r="AH142" s="78">
        <v>4.2278847118467544</v>
      </c>
      <c r="AJ142" s="153" t="s">
        <v>52</v>
      </c>
      <c r="AK142" s="153" t="s">
        <v>17</v>
      </c>
      <c r="AL142" s="153" t="s">
        <v>28</v>
      </c>
      <c r="AM142" s="153" t="s">
        <v>51</v>
      </c>
      <c r="AN142" s="153" t="s">
        <v>246</v>
      </c>
      <c r="AO142" s="153">
        <v>1.312420128892424</v>
      </c>
    </row>
    <row r="143" spans="29:41" s="77" customFormat="1">
      <c r="AC143" s="78" t="s">
        <v>52</v>
      </c>
      <c r="AD143" s="78" t="s">
        <v>17</v>
      </c>
      <c r="AE143" s="78" t="s">
        <v>72</v>
      </c>
      <c r="AF143" s="78" t="s">
        <v>51</v>
      </c>
      <c r="AG143" s="78" t="s">
        <v>247</v>
      </c>
      <c r="AH143" s="78">
        <v>4.2220153961616571</v>
      </c>
      <c r="AJ143" s="153" t="s">
        <v>52</v>
      </c>
      <c r="AK143" s="153" t="s">
        <v>17</v>
      </c>
      <c r="AL143" s="153" t="s">
        <v>28</v>
      </c>
      <c r="AM143" s="153" t="s">
        <v>51</v>
      </c>
      <c r="AN143" s="153" t="s">
        <v>247</v>
      </c>
      <c r="AO143" s="153">
        <v>1.3140103288442069</v>
      </c>
    </row>
    <row r="144" spans="29:41" s="77" customFormat="1">
      <c r="AC144" s="78" t="s">
        <v>52</v>
      </c>
      <c r="AD144" s="78" t="s">
        <v>17</v>
      </c>
      <c r="AE144" s="78" t="s">
        <v>72</v>
      </c>
      <c r="AF144" s="78" t="s">
        <v>51</v>
      </c>
      <c r="AG144" s="78" t="s">
        <v>248</v>
      </c>
      <c r="AH144" s="78">
        <v>4.2659844704607144</v>
      </c>
      <c r="AJ144" s="153" t="s">
        <v>52</v>
      </c>
      <c r="AK144" s="153" t="s">
        <v>17</v>
      </c>
      <c r="AL144" s="153" t="s">
        <v>28</v>
      </c>
      <c r="AM144" s="153" t="s">
        <v>51</v>
      </c>
      <c r="AN144" s="153" t="s">
        <v>248</v>
      </c>
      <c r="AO144" s="153">
        <v>1.2747735586093445</v>
      </c>
    </row>
    <row r="145" spans="1:49" s="77" customFormat="1">
      <c r="AC145" s="78" t="s">
        <v>52</v>
      </c>
      <c r="AD145" s="78" t="s">
        <v>17</v>
      </c>
      <c r="AE145" s="78" t="s">
        <v>72</v>
      </c>
      <c r="AF145" s="78" t="s">
        <v>51</v>
      </c>
      <c r="AG145" s="78" t="s">
        <v>249</v>
      </c>
      <c r="AH145" s="78">
        <v>4.3065726711167507</v>
      </c>
      <c r="AJ145" s="153" t="s">
        <v>52</v>
      </c>
      <c r="AK145" s="153" t="s">
        <v>17</v>
      </c>
      <c r="AL145" s="153" t="s">
        <v>28</v>
      </c>
      <c r="AM145" s="153" t="s">
        <v>51</v>
      </c>
      <c r="AN145" s="153" t="s">
        <v>249</v>
      </c>
      <c r="AO145" s="153">
        <v>1.3139105099584703</v>
      </c>
    </row>
    <row r="146" spans="1:49" s="77" customFormat="1">
      <c r="AC146" s="78" t="s">
        <v>52</v>
      </c>
      <c r="AD146" s="78" t="s">
        <v>17</v>
      </c>
      <c r="AE146" s="78" t="s">
        <v>72</v>
      </c>
      <c r="AF146" s="78" t="s">
        <v>51</v>
      </c>
      <c r="AG146" s="78" t="s">
        <v>250</v>
      </c>
      <c r="AH146" s="78">
        <v>4.2981540865235441</v>
      </c>
      <c r="AJ146" s="153" t="s">
        <v>52</v>
      </c>
      <c r="AK146" s="153" t="s">
        <v>17</v>
      </c>
      <c r="AL146" s="153" t="s">
        <v>28</v>
      </c>
      <c r="AM146" s="153" t="s">
        <v>51</v>
      </c>
      <c r="AN146" s="153" t="s">
        <v>250</v>
      </c>
      <c r="AO146" s="153">
        <v>1.4035341473032745</v>
      </c>
    </row>
    <row r="147" spans="1:49" s="77" customFormat="1">
      <c r="AC147" s="78" t="s">
        <v>52</v>
      </c>
      <c r="AD147" s="78" t="s">
        <v>17</v>
      </c>
      <c r="AE147" s="78" t="s">
        <v>72</v>
      </c>
      <c r="AF147" s="78" t="s">
        <v>51</v>
      </c>
      <c r="AG147" s="78" t="s">
        <v>251</v>
      </c>
      <c r="AH147" s="78">
        <v>4.2085721821838193</v>
      </c>
      <c r="AJ147" s="153" t="s">
        <v>52</v>
      </c>
      <c r="AK147" s="153" t="s">
        <v>17</v>
      </c>
      <c r="AL147" s="153" t="s">
        <v>28</v>
      </c>
      <c r="AM147" s="153" t="s">
        <v>51</v>
      </c>
      <c r="AN147" s="153" t="s">
        <v>251</v>
      </c>
      <c r="AO147" s="153">
        <v>1.3722839803112994</v>
      </c>
    </row>
    <row r="148" spans="1:49" s="77" customFormat="1">
      <c r="AC148" s="78" t="s">
        <v>52</v>
      </c>
      <c r="AD148" s="78" t="s">
        <v>17</v>
      </c>
      <c r="AE148" s="78" t="s">
        <v>72</v>
      </c>
      <c r="AF148" s="78" t="s">
        <v>51</v>
      </c>
      <c r="AG148" s="78" t="s">
        <v>252</v>
      </c>
      <c r="AH148" s="78">
        <v>4.1543680910694123</v>
      </c>
      <c r="AJ148" s="153" t="s">
        <v>52</v>
      </c>
      <c r="AK148" s="153" t="s">
        <v>17</v>
      </c>
      <c r="AL148" s="153" t="s">
        <v>28</v>
      </c>
      <c r="AM148" s="153" t="s">
        <v>51</v>
      </c>
      <c r="AN148" s="153" t="s">
        <v>252</v>
      </c>
      <c r="AO148" s="153">
        <v>1.2395033309711323</v>
      </c>
    </row>
    <row r="149" spans="1:49" s="77" customFormat="1">
      <c r="AC149" s="78" t="s">
        <v>52</v>
      </c>
      <c r="AD149" s="78" t="s">
        <v>17</v>
      </c>
      <c r="AE149" s="78" t="s">
        <v>72</v>
      </c>
      <c r="AF149" s="78" t="s">
        <v>51</v>
      </c>
      <c r="AG149" s="78" t="s">
        <v>253</v>
      </c>
      <c r="AH149" s="78">
        <v>4.1749856896618471</v>
      </c>
      <c r="AJ149" s="153" t="s">
        <v>52</v>
      </c>
      <c r="AK149" s="153" t="s">
        <v>17</v>
      </c>
      <c r="AL149" s="153" t="s">
        <v>28</v>
      </c>
      <c r="AM149" s="153" t="s">
        <v>51</v>
      </c>
      <c r="AN149" s="153" t="s">
        <v>253</v>
      </c>
      <c r="AO149" s="153">
        <v>1.3155504680383168</v>
      </c>
    </row>
    <row r="150" spans="1:49" s="77" customFormat="1">
      <c r="AC150" s="78" t="s">
        <v>52</v>
      </c>
      <c r="AD150" s="78" t="s">
        <v>17</v>
      </c>
      <c r="AE150" s="78" t="s">
        <v>72</v>
      </c>
      <c r="AF150" s="78" t="s">
        <v>51</v>
      </c>
      <c r="AG150" s="78" t="s">
        <v>254</v>
      </c>
      <c r="AH150" s="78">
        <v>4.1690975655386646</v>
      </c>
      <c r="AJ150" s="153" t="s">
        <v>52</v>
      </c>
      <c r="AK150" s="153" t="s">
        <v>17</v>
      </c>
      <c r="AL150" s="153" t="s">
        <v>28</v>
      </c>
      <c r="AM150" s="153" t="s">
        <v>51</v>
      </c>
      <c r="AN150" s="153" t="s">
        <v>254</v>
      </c>
      <c r="AO150" s="153">
        <v>1.2956025091022043</v>
      </c>
    </row>
    <row r="151" spans="1:49" s="77" customFormat="1">
      <c r="AC151" s="78" t="s">
        <v>52</v>
      </c>
      <c r="AD151" s="78" t="s">
        <v>17</v>
      </c>
      <c r="AE151" s="78" t="s">
        <v>72</v>
      </c>
      <c r="AF151" s="78" t="s">
        <v>51</v>
      </c>
      <c r="AG151" s="78" t="s">
        <v>255</v>
      </c>
      <c r="AH151" s="78">
        <v>4.2291183677260413</v>
      </c>
      <c r="AJ151" s="153" t="s">
        <v>52</v>
      </c>
      <c r="AK151" s="153" t="s">
        <v>17</v>
      </c>
      <c r="AL151" s="153" t="s">
        <v>28</v>
      </c>
      <c r="AM151" s="153" t="s">
        <v>51</v>
      </c>
      <c r="AN151" s="153" t="s">
        <v>255</v>
      </c>
      <c r="AO151" s="153">
        <v>1.3578488590270117</v>
      </c>
    </row>
    <row r="152" spans="1:49" s="77" customFormat="1">
      <c r="AC152" s="78" t="s">
        <v>52</v>
      </c>
      <c r="AD152" s="78" t="s">
        <v>17</v>
      </c>
      <c r="AE152" s="78" t="s">
        <v>72</v>
      </c>
      <c r="AF152" s="78" t="s">
        <v>51</v>
      </c>
      <c r="AG152" s="78" t="s">
        <v>256</v>
      </c>
      <c r="AH152" s="78">
        <v>4.1955776447865043</v>
      </c>
      <c r="AJ152" s="153" t="s">
        <v>52</v>
      </c>
      <c r="AK152" s="153" t="s">
        <v>17</v>
      </c>
      <c r="AL152" s="153" t="s">
        <v>28</v>
      </c>
      <c r="AM152" s="153" t="s">
        <v>51</v>
      </c>
      <c r="AN152" s="153" t="s">
        <v>256</v>
      </c>
      <c r="AO152" s="153">
        <v>1.2968270004531244</v>
      </c>
    </row>
    <row r="153" spans="1:49" s="77" customFormat="1">
      <c r="AC153" s="78" t="s">
        <v>52</v>
      </c>
      <c r="AD153" s="78" t="s">
        <v>17</v>
      </c>
      <c r="AE153" s="78" t="s">
        <v>72</v>
      </c>
      <c r="AF153" s="78" t="s">
        <v>51</v>
      </c>
      <c r="AG153" s="78" t="s">
        <v>257</v>
      </c>
      <c r="AH153" s="78">
        <v>4.1867556587570789</v>
      </c>
      <c r="AJ153" s="153" t="s">
        <v>52</v>
      </c>
      <c r="AK153" s="153" t="s">
        <v>17</v>
      </c>
      <c r="AL153" s="153" t="s">
        <v>28</v>
      </c>
      <c r="AM153" s="153" t="s">
        <v>51</v>
      </c>
      <c r="AN153" s="153" t="s">
        <v>257</v>
      </c>
      <c r="AO153" s="153">
        <v>1.332120845205089</v>
      </c>
    </row>
    <row r="154" spans="1:49">
      <c r="A154" s="77"/>
      <c r="B154" s="77"/>
      <c r="C154" s="77"/>
      <c r="D154" s="77"/>
      <c r="E154" s="77"/>
      <c r="F154" s="77"/>
      <c r="I154" s="77"/>
      <c r="J154" s="77"/>
      <c r="K154" s="77"/>
      <c r="L154" s="77"/>
      <c r="M154" s="77"/>
      <c r="N154" s="77"/>
      <c r="Q154" s="77"/>
      <c r="R154" s="77"/>
      <c r="S154" s="77"/>
      <c r="T154" s="77"/>
      <c r="U154" s="77"/>
      <c r="V154" s="77"/>
      <c r="X154" s="77"/>
      <c r="Y154" s="77"/>
      <c r="Z154" s="77"/>
      <c r="AA154" s="77"/>
      <c r="AC154" s="78" t="s">
        <v>52</v>
      </c>
      <c r="AD154" s="78" t="s">
        <v>17</v>
      </c>
      <c r="AE154" s="78" t="s">
        <v>72</v>
      </c>
      <c r="AF154" s="78" t="s">
        <v>51</v>
      </c>
      <c r="AG154" s="78" t="s">
        <v>258</v>
      </c>
      <c r="AH154" s="78">
        <v>4.1720418893230349</v>
      </c>
      <c r="AJ154" s="153" t="s">
        <v>52</v>
      </c>
      <c r="AK154" s="153" t="s">
        <v>17</v>
      </c>
      <c r="AL154" s="153" t="s">
        <v>28</v>
      </c>
      <c r="AM154" s="153" t="s">
        <v>51</v>
      </c>
      <c r="AN154" s="153" t="s">
        <v>258</v>
      </c>
      <c r="AO154" s="153">
        <v>1.3595903078987455</v>
      </c>
      <c r="AR154" s="77"/>
      <c r="AS154" s="77"/>
      <c r="AT154" s="77"/>
      <c r="AU154" s="77"/>
      <c r="AV154" s="77"/>
      <c r="AW154" s="77"/>
    </row>
    <row r="155" spans="1:49">
      <c r="A155" s="77"/>
      <c r="B155" s="77"/>
      <c r="C155" s="77"/>
      <c r="D155" s="77"/>
      <c r="E155" s="77"/>
      <c r="F155" s="77"/>
      <c r="I155" s="77"/>
      <c r="J155" s="77"/>
      <c r="K155" s="77"/>
      <c r="L155" s="77"/>
      <c r="M155" s="77"/>
      <c r="N155" s="77"/>
      <c r="Q155" s="77"/>
      <c r="R155" s="77"/>
      <c r="S155" s="77"/>
      <c r="T155" s="77"/>
      <c r="U155" s="77"/>
      <c r="V155" s="77"/>
      <c r="X155" s="77"/>
      <c r="Y155" s="77"/>
      <c r="Z155" s="77"/>
      <c r="AC155" s="78" t="s">
        <v>52</v>
      </c>
      <c r="AD155" s="78" t="s">
        <v>17</v>
      </c>
      <c r="AE155" s="78" t="s">
        <v>72</v>
      </c>
      <c r="AF155" s="78" t="s">
        <v>51</v>
      </c>
      <c r="AG155" s="78" t="s">
        <v>259</v>
      </c>
      <c r="AH155" s="78">
        <v>4.2349840011791029</v>
      </c>
      <c r="AJ155" s="153" t="s">
        <v>52</v>
      </c>
      <c r="AK155" s="153" t="s">
        <v>17</v>
      </c>
      <c r="AL155" s="153" t="s">
        <v>28</v>
      </c>
      <c r="AM155" s="153" t="s">
        <v>51</v>
      </c>
      <c r="AN155" s="153" t="s">
        <v>259</v>
      </c>
      <c r="AO155" s="153">
        <v>1.4330851950302532</v>
      </c>
      <c r="AR155" s="77"/>
      <c r="AS155" s="77"/>
      <c r="AT155" s="77"/>
      <c r="AU155" s="77"/>
      <c r="AV155" s="77"/>
      <c r="AW155" s="77"/>
    </row>
    <row r="156" spans="1:49">
      <c r="A156" s="77"/>
      <c r="B156" s="77"/>
      <c r="C156" s="77"/>
      <c r="D156" s="77"/>
      <c r="E156" s="77"/>
      <c r="F156" s="77"/>
      <c r="I156" s="77"/>
      <c r="J156" s="77"/>
      <c r="K156" s="77"/>
      <c r="L156" s="77"/>
      <c r="M156" s="77"/>
      <c r="N156" s="77"/>
      <c r="Q156" s="77"/>
      <c r="R156" s="77"/>
      <c r="S156" s="77"/>
      <c r="T156" s="77"/>
      <c r="U156" s="77"/>
      <c r="V156" s="77"/>
      <c r="AC156" s="78" t="s">
        <v>52</v>
      </c>
      <c r="AD156" s="78" t="s">
        <v>17</v>
      </c>
      <c r="AE156" s="78" t="s">
        <v>72</v>
      </c>
      <c r="AF156" s="78" t="s">
        <v>51</v>
      </c>
      <c r="AG156" s="78" t="s">
        <v>260</v>
      </c>
      <c r="AH156" s="78">
        <v>4.1674028340858227</v>
      </c>
      <c r="AJ156" s="153" t="s">
        <v>52</v>
      </c>
      <c r="AK156" s="153" t="s">
        <v>17</v>
      </c>
      <c r="AL156" s="153" t="s">
        <v>28</v>
      </c>
      <c r="AM156" s="153" t="s">
        <v>51</v>
      </c>
      <c r="AN156" s="153" t="s">
        <v>260</v>
      </c>
      <c r="AO156" s="153">
        <v>1.3889926070549525</v>
      </c>
      <c r="AR156" s="77"/>
      <c r="AS156" s="77"/>
      <c r="AT156" s="77"/>
      <c r="AU156" s="77"/>
      <c r="AV156" s="77"/>
      <c r="AW156" s="77"/>
    </row>
    <row r="157" spans="1:49">
      <c r="A157" s="77"/>
      <c r="B157" s="77"/>
      <c r="C157" s="77"/>
      <c r="D157" s="77"/>
      <c r="E157" s="77"/>
      <c r="F157" s="77"/>
      <c r="I157" s="77"/>
      <c r="J157" s="77"/>
      <c r="K157" s="77"/>
      <c r="L157" s="77"/>
      <c r="M157" s="77"/>
      <c r="N157" s="77"/>
      <c r="Q157" s="77"/>
      <c r="R157" s="77"/>
      <c r="S157" s="77"/>
      <c r="T157" s="77"/>
      <c r="U157" s="77"/>
      <c r="V157" s="77"/>
      <c r="AC157" s="78" t="s">
        <v>52</v>
      </c>
      <c r="AD157" s="78" t="s">
        <v>17</v>
      </c>
      <c r="AE157" s="78" t="s">
        <v>72</v>
      </c>
      <c r="AF157" s="78" t="s">
        <v>51</v>
      </c>
      <c r="AG157" s="78" t="s">
        <v>261</v>
      </c>
      <c r="AH157" s="78">
        <v>4.126130597381807</v>
      </c>
      <c r="AJ157" s="153" t="s">
        <v>52</v>
      </c>
      <c r="AK157" s="153" t="s">
        <v>17</v>
      </c>
      <c r="AL157" s="153" t="s">
        <v>28</v>
      </c>
      <c r="AM157" s="153" t="s">
        <v>51</v>
      </c>
      <c r="AN157" s="153" t="s">
        <v>261</v>
      </c>
      <c r="AO157" s="153">
        <v>1.3964971422107575</v>
      </c>
      <c r="AR157" s="77"/>
      <c r="AS157" s="77"/>
      <c r="AT157" s="77"/>
      <c r="AU157" s="77"/>
      <c r="AV157" s="77"/>
      <c r="AW157" s="77"/>
    </row>
    <row r="158" spans="1:49">
      <c r="A158" s="77"/>
      <c r="B158" s="77"/>
      <c r="C158" s="77"/>
      <c r="D158" s="77"/>
      <c r="E158" s="77"/>
      <c r="F158" s="77"/>
      <c r="I158" s="77"/>
      <c r="J158" s="77"/>
      <c r="K158" s="77"/>
      <c r="L158" s="77"/>
      <c r="M158" s="77"/>
      <c r="N158" s="77"/>
      <c r="Q158" s="77"/>
      <c r="R158" s="77"/>
      <c r="S158" s="77"/>
      <c r="T158" s="77"/>
      <c r="U158" s="77"/>
      <c r="V158" s="77"/>
      <c r="AC158" s="78" t="s">
        <v>52</v>
      </c>
      <c r="AD158" s="78" t="s">
        <v>17</v>
      </c>
      <c r="AE158" s="78" t="s">
        <v>72</v>
      </c>
      <c r="AF158" s="78" t="s">
        <v>51</v>
      </c>
      <c r="AG158" s="78" t="s">
        <v>262</v>
      </c>
      <c r="AH158" s="78">
        <v>4.1143195893331752</v>
      </c>
      <c r="AJ158" s="153" t="s">
        <v>52</v>
      </c>
      <c r="AK158" s="153" t="s">
        <v>17</v>
      </c>
      <c r="AL158" s="153" t="s">
        <v>28</v>
      </c>
      <c r="AM158" s="153" t="s">
        <v>51</v>
      </c>
      <c r="AN158" s="153" t="s">
        <v>262</v>
      </c>
      <c r="AO158" s="153">
        <v>1.3408983657768756</v>
      </c>
      <c r="AR158" s="77"/>
      <c r="AS158" s="77"/>
      <c r="AT158" s="77"/>
      <c r="AU158" s="77"/>
      <c r="AV158" s="77"/>
      <c r="AW158" s="77"/>
    </row>
    <row r="159" spans="1:49">
      <c r="A159" s="77"/>
      <c r="B159" s="77"/>
      <c r="C159" s="77"/>
      <c r="D159" s="77"/>
      <c r="E159" s="77"/>
      <c r="F159" s="77"/>
      <c r="I159" s="77"/>
      <c r="J159" s="77"/>
      <c r="K159" s="77"/>
      <c r="L159" s="77"/>
      <c r="M159" s="77"/>
      <c r="N159" s="77"/>
      <c r="Q159" s="77"/>
      <c r="R159" s="77"/>
      <c r="S159" s="77"/>
      <c r="T159" s="77"/>
      <c r="U159" s="77"/>
      <c r="V159" s="77"/>
      <c r="AC159" s="78" t="s">
        <v>52</v>
      </c>
      <c r="AD159" s="78" t="s">
        <v>17</v>
      </c>
      <c r="AE159" s="78" t="s">
        <v>72</v>
      </c>
      <c r="AF159" s="78" t="s">
        <v>51</v>
      </c>
      <c r="AG159" s="78" t="s">
        <v>263</v>
      </c>
      <c r="AH159" s="78">
        <v>4.1674028340858227</v>
      </c>
      <c r="AJ159" s="153" t="s">
        <v>52</v>
      </c>
      <c r="AK159" s="153" t="s">
        <v>17</v>
      </c>
      <c r="AL159" s="153" t="s">
        <v>28</v>
      </c>
      <c r="AM159" s="153" t="s">
        <v>51</v>
      </c>
      <c r="AN159" s="153" t="s">
        <v>263</v>
      </c>
      <c r="AO159" s="153">
        <v>1.4103707481359429</v>
      </c>
      <c r="AR159" s="77"/>
      <c r="AS159" s="77"/>
      <c r="AT159" s="77"/>
      <c r="AU159" s="77"/>
      <c r="AV159" s="77"/>
      <c r="AW159" s="77"/>
    </row>
    <row r="160" spans="1:49">
      <c r="A160" s="77"/>
      <c r="B160" s="77"/>
      <c r="C160" s="77"/>
      <c r="D160" s="77"/>
      <c r="E160" s="77"/>
      <c r="F160" s="77"/>
      <c r="I160" s="77"/>
      <c r="J160" s="77"/>
      <c r="K160" s="77"/>
      <c r="L160" s="77"/>
      <c r="M160" s="77"/>
      <c r="N160" s="77"/>
      <c r="Q160" s="77"/>
      <c r="R160" s="77"/>
      <c r="S160" s="77"/>
      <c r="T160" s="77"/>
      <c r="U160" s="77"/>
      <c r="V160" s="77"/>
      <c r="AC160" s="78" t="s">
        <v>52</v>
      </c>
      <c r="AD160" s="78" t="s">
        <v>17</v>
      </c>
      <c r="AE160" s="78" t="s">
        <v>72</v>
      </c>
      <c r="AF160" s="78" t="s">
        <v>51</v>
      </c>
      <c r="AG160" s="78" t="s">
        <v>264</v>
      </c>
      <c r="AH160" s="78">
        <v>4.1703469103349287</v>
      </c>
      <c r="AJ160" s="153" t="s">
        <v>52</v>
      </c>
      <c r="AK160" s="153" t="s">
        <v>17</v>
      </c>
      <c r="AL160" s="153" t="s">
        <v>28</v>
      </c>
      <c r="AM160" s="153" t="s">
        <v>51</v>
      </c>
      <c r="AN160" s="153" t="s">
        <v>264</v>
      </c>
      <c r="AO160" s="153">
        <v>1.4002441529039789</v>
      </c>
      <c r="AR160" s="77"/>
      <c r="AS160" s="77"/>
      <c r="AT160" s="77"/>
      <c r="AU160" s="77"/>
      <c r="AV160" s="77"/>
      <c r="AW160" s="77"/>
    </row>
    <row r="161" spans="1:49">
      <c r="A161" s="77"/>
      <c r="B161" s="77"/>
      <c r="C161" s="77"/>
      <c r="D161" s="77"/>
      <c r="E161" s="77"/>
      <c r="F161" s="77"/>
      <c r="I161" s="77"/>
      <c r="J161" s="77"/>
      <c r="K161" s="77"/>
      <c r="L161" s="77"/>
      <c r="M161" s="77"/>
      <c r="N161" s="77"/>
      <c r="Q161" s="77"/>
      <c r="R161" s="77"/>
      <c r="S161" s="77"/>
      <c r="T161" s="77"/>
      <c r="U161" s="77"/>
      <c r="V161" s="77"/>
      <c r="AC161" s="78" t="s">
        <v>52</v>
      </c>
      <c r="AD161" s="78" t="s">
        <v>17</v>
      </c>
      <c r="AE161" s="78" t="s">
        <v>72</v>
      </c>
      <c r="AF161" s="78" t="s">
        <v>51</v>
      </c>
      <c r="AG161" s="78" t="s">
        <v>265</v>
      </c>
      <c r="AH161" s="78">
        <v>4.1762334884512189</v>
      </c>
      <c r="AJ161" s="153" t="s">
        <v>52</v>
      </c>
      <c r="AK161" s="153" t="s">
        <v>17</v>
      </c>
      <c r="AL161" s="153" t="s">
        <v>28</v>
      </c>
      <c r="AM161" s="153" t="s">
        <v>51</v>
      </c>
      <c r="AN161" s="153" t="s">
        <v>265</v>
      </c>
      <c r="AO161" s="153">
        <v>1.3613641164442489</v>
      </c>
      <c r="AR161" s="77"/>
      <c r="AS161" s="77"/>
      <c r="AT161" s="77"/>
      <c r="AU161" s="77"/>
      <c r="AV161" s="77"/>
      <c r="AW161" s="77"/>
    </row>
    <row r="162" spans="1:49">
      <c r="A162" s="77"/>
      <c r="B162" s="77"/>
      <c r="C162" s="77"/>
      <c r="D162" s="77"/>
      <c r="E162" s="77"/>
      <c r="F162" s="77"/>
      <c r="I162" s="77"/>
      <c r="J162" s="77"/>
      <c r="K162" s="77"/>
      <c r="L162" s="77"/>
      <c r="M162" s="77"/>
      <c r="N162" s="77"/>
      <c r="Q162" s="77"/>
      <c r="R162" s="77"/>
      <c r="S162" s="77"/>
      <c r="T162" s="77"/>
      <c r="U162" s="77"/>
      <c r="V162" s="77"/>
      <c r="AC162" s="78" t="s">
        <v>52</v>
      </c>
      <c r="AD162" s="78" t="s">
        <v>17</v>
      </c>
      <c r="AE162" s="78" t="s">
        <v>72</v>
      </c>
      <c r="AF162" s="78" t="s">
        <v>51</v>
      </c>
      <c r="AG162" s="78" t="s">
        <v>266</v>
      </c>
      <c r="AH162" s="78">
        <v>4.1968199924512142</v>
      </c>
      <c r="AJ162" s="153" t="s">
        <v>52</v>
      </c>
      <c r="AK162" s="153" t="s">
        <v>17</v>
      </c>
      <c r="AL162" s="153" t="s">
        <v>28</v>
      </c>
      <c r="AM162" s="153" t="s">
        <v>51</v>
      </c>
      <c r="AN162" s="153" t="s">
        <v>266</v>
      </c>
      <c r="AO162" s="153">
        <v>1.3802524763818536</v>
      </c>
      <c r="AR162" s="77"/>
      <c r="AS162" s="77"/>
      <c r="AT162" s="77"/>
      <c r="AU162" s="77"/>
      <c r="AV162" s="77"/>
      <c r="AW162" s="77"/>
    </row>
    <row r="163" spans="1:49">
      <c r="A163" s="77"/>
      <c r="B163" s="77"/>
      <c r="C163" s="77"/>
      <c r="D163" s="77"/>
      <c r="E163" s="77"/>
      <c r="F163" s="77"/>
      <c r="I163" s="77"/>
      <c r="J163" s="77"/>
      <c r="K163" s="77"/>
      <c r="L163" s="77"/>
      <c r="M163" s="77"/>
      <c r="N163" s="77"/>
      <c r="Q163" s="77"/>
      <c r="R163" s="77"/>
      <c r="S163" s="77"/>
      <c r="T163" s="77"/>
      <c r="U163" s="77"/>
      <c r="V163" s="77"/>
      <c r="AC163" s="78" t="s">
        <v>52</v>
      </c>
      <c r="AD163" s="78" t="s">
        <v>17</v>
      </c>
      <c r="AE163" s="78" t="s">
        <v>72</v>
      </c>
      <c r="AF163" s="78" t="s">
        <v>51</v>
      </c>
      <c r="AG163" s="78" t="s">
        <v>267</v>
      </c>
      <c r="AH163" s="78">
        <v>4.1674028340858227</v>
      </c>
      <c r="AJ163" s="153" t="s">
        <v>52</v>
      </c>
      <c r="AK163" s="153" t="s">
        <v>17</v>
      </c>
      <c r="AL163" s="153" t="s">
        <v>28</v>
      </c>
      <c r="AM163" s="153" t="s">
        <v>51</v>
      </c>
      <c r="AN163" s="153" t="s">
        <v>267</v>
      </c>
      <c r="AO163" s="153">
        <v>1.3782028940314224</v>
      </c>
      <c r="AR163" s="77"/>
      <c r="AS163" s="77"/>
      <c r="AT163" s="77"/>
      <c r="AU163" s="77"/>
      <c r="AV163" s="77"/>
      <c r="AW163" s="77"/>
    </row>
    <row r="164" spans="1:49">
      <c r="A164" s="77"/>
      <c r="B164" s="77"/>
      <c r="C164" s="77"/>
      <c r="D164" s="77"/>
      <c r="E164" s="77"/>
      <c r="F164" s="77"/>
      <c r="I164" s="77"/>
      <c r="J164" s="77"/>
      <c r="K164" s="77"/>
      <c r="L164" s="77"/>
      <c r="M164" s="77"/>
      <c r="N164" s="77"/>
      <c r="Q164" s="77"/>
      <c r="R164" s="77"/>
      <c r="S164" s="77"/>
      <c r="T164" s="77"/>
      <c r="U164" s="77"/>
      <c r="V164" s="77"/>
      <c r="AC164" s="78" t="s">
        <v>52</v>
      </c>
      <c r="AD164" s="78" t="s">
        <v>17</v>
      </c>
      <c r="AE164" s="78" t="s">
        <v>72</v>
      </c>
      <c r="AF164" s="78" t="s">
        <v>51</v>
      </c>
      <c r="AG164" s="78" t="s">
        <v>268</v>
      </c>
      <c r="AH164" s="78">
        <v>4.1379331815548976</v>
      </c>
      <c r="AJ164" s="153" t="s">
        <v>52</v>
      </c>
      <c r="AK164" s="153" t="s">
        <v>17</v>
      </c>
      <c r="AL164" s="153" t="s">
        <v>28</v>
      </c>
      <c r="AM164" s="153" t="s">
        <v>51</v>
      </c>
      <c r="AN164" s="153" t="s">
        <v>268</v>
      </c>
      <c r="AO164" s="153">
        <v>1.4298295988433976</v>
      </c>
      <c r="AR164" s="77"/>
      <c r="AS164" s="77"/>
      <c r="AT164" s="77"/>
      <c r="AU164" s="77"/>
      <c r="AV164" s="77"/>
      <c r="AW164" s="77"/>
    </row>
    <row r="165" spans="1:49">
      <c r="A165" s="77"/>
      <c r="B165" s="77"/>
      <c r="C165" s="77"/>
      <c r="D165" s="77"/>
      <c r="E165" s="77"/>
      <c r="F165" s="77"/>
      <c r="I165" s="77"/>
      <c r="J165" s="77"/>
      <c r="K165" s="77"/>
      <c r="L165" s="77"/>
      <c r="M165" s="77"/>
      <c r="N165" s="77"/>
      <c r="Q165" s="77"/>
      <c r="R165" s="77"/>
      <c r="S165" s="77"/>
      <c r="T165" s="77"/>
      <c r="U165" s="77"/>
      <c r="V165" s="77"/>
      <c r="AC165" s="78" t="s">
        <v>52</v>
      </c>
      <c r="AD165" s="78" t="s">
        <v>17</v>
      </c>
      <c r="AE165" s="78" t="s">
        <v>72</v>
      </c>
      <c r="AF165" s="78" t="s">
        <v>51</v>
      </c>
      <c r="AG165" s="78" t="s">
        <v>269</v>
      </c>
      <c r="AH165" s="78">
        <v>4.1231786353861342</v>
      </c>
      <c r="AJ165" s="153" t="s">
        <v>52</v>
      </c>
      <c r="AK165" s="153" t="s">
        <v>17</v>
      </c>
      <c r="AL165" s="153" t="s">
        <v>28</v>
      </c>
      <c r="AM165" s="153" t="s">
        <v>51</v>
      </c>
      <c r="AN165" s="153" t="s">
        <v>269</v>
      </c>
      <c r="AO165" s="153">
        <v>1.3927347126509542</v>
      </c>
      <c r="AR165" s="77"/>
      <c r="AS165" s="77"/>
      <c r="AT165" s="77"/>
      <c r="AU165" s="77"/>
      <c r="AV165" s="77"/>
      <c r="AW165" s="77"/>
    </row>
    <row r="166" spans="1:49">
      <c r="A166" s="77"/>
      <c r="B166" s="77"/>
      <c r="C166" s="77"/>
      <c r="D166" s="77"/>
      <c r="E166" s="77"/>
      <c r="F166" s="77"/>
      <c r="I166" s="77"/>
      <c r="J166" s="77"/>
      <c r="K166" s="77"/>
      <c r="L166" s="77"/>
      <c r="M166" s="77"/>
      <c r="N166" s="77"/>
      <c r="Q166" s="77"/>
      <c r="R166" s="77"/>
      <c r="S166" s="77"/>
      <c r="T166" s="77"/>
      <c r="U166" s="77"/>
      <c r="V166" s="77"/>
      <c r="AC166" s="78" t="s">
        <v>52</v>
      </c>
      <c r="AD166" s="78" t="s">
        <v>17</v>
      </c>
      <c r="AE166" s="78" t="s">
        <v>72</v>
      </c>
      <c r="AF166" s="78" t="s">
        <v>51</v>
      </c>
      <c r="AG166" s="78" t="s">
        <v>270</v>
      </c>
      <c r="AH166" s="78">
        <v>4.1290820328863767</v>
      </c>
      <c r="AJ166" s="153" t="s">
        <v>52</v>
      </c>
      <c r="AK166" s="153" t="s">
        <v>17</v>
      </c>
      <c r="AL166" s="153" t="s">
        <v>28</v>
      </c>
      <c r="AM166" s="153" t="s">
        <v>51</v>
      </c>
      <c r="AN166" s="153" t="s">
        <v>270</v>
      </c>
      <c r="AO166" s="153">
        <v>1.395609198165257</v>
      </c>
      <c r="AR166" s="77"/>
      <c r="AS166" s="77"/>
      <c r="AT166" s="77"/>
      <c r="AU166" s="77"/>
      <c r="AV166" s="77"/>
      <c r="AW166" s="77"/>
    </row>
    <row r="167" spans="1:49">
      <c r="A167" s="77"/>
      <c r="B167" s="77"/>
      <c r="C167" s="77"/>
      <c r="D167" s="77"/>
      <c r="E167" s="77"/>
      <c r="F167" s="77"/>
      <c r="I167" s="77"/>
      <c r="J167" s="77"/>
      <c r="K167" s="77"/>
      <c r="L167" s="77"/>
      <c r="M167" s="77"/>
      <c r="N167" s="77"/>
      <c r="Q167" s="77"/>
      <c r="R167" s="77"/>
      <c r="S167" s="77"/>
      <c r="T167" s="77"/>
      <c r="U167" s="77"/>
      <c r="V167" s="77"/>
      <c r="AC167" s="78" t="s">
        <v>52</v>
      </c>
      <c r="AD167" s="78" t="s">
        <v>17</v>
      </c>
      <c r="AE167" s="78" t="s">
        <v>72</v>
      </c>
      <c r="AF167" s="78" t="s">
        <v>51</v>
      </c>
      <c r="AG167" s="78" t="s">
        <v>271</v>
      </c>
      <c r="AH167" s="78">
        <v>4.1113655202581336</v>
      </c>
      <c r="AJ167" s="153" t="s">
        <v>52</v>
      </c>
      <c r="AK167" s="153" t="s">
        <v>17</v>
      </c>
      <c r="AL167" s="153" t="s">
        <v>28</v>
      </c>
      <c r="AM167" s="153" t="s">
        <v>51</v>
      </c>
      <c r="AN167" s="153" t="s">
        <v>271</v>
      </c>
      <c r="AO167" s="153">
        <v>1.376163360559933</v>
      </c>
      <c r="AR167" s="77"/>
      <c r="AS167" s="77"/>
      <c r="AT167" s="77"/>
      <c r="AU167" s="77"/>
      <c r="AV167" s="77"/>
      <c r="AW167" s="77"/>
    </row>
    <row r="168" spans="1:49">
      <c r="I168" s="77"/>
      <c r="J168" s="77"/>
      <c r="K168" s="77"/>
      <c r="L168" s="77"/>
      <c r="M168" s="77"/>
      <c r="N168" s="77"/>
      <c r="Q168" s="77"/>
      <c r="R168" s="77"/>
      <c r="S168" s="77"/>
      <c r="T168" s="77"/>
      <c r="U168" s="77"/>
      <c r="V168" s="77"/>
      <c r="AC168" s="153" t="s">
        <v>52</v>
      </c>
      <c r="AD168" s="153" t="s">
        <v>17</v>
      </c>
      <c r="AE168" s="153" t="s">
        <v>72</v>
      </c>
      <c r="AF168" s="153" t="s">
        <v>51</v>
      </c>
      <c r="AG168" s="153" t="s">
        <v>272</v>
      </c>
      <c r="AH168" s="153">
        <v>4.1202261467859813</v>
      </c>
      <c r="AJ168" s="153" t="s">
        <v>52</v>
      </c>
      <c r="AK168" s="153" t="s">
        <v>17</v>
      </c>
      <c r="AL168" s="153" t="s">
        <v>28</v>
      </c>
      <c r="AM168" s="153" t="s">
        <v>51</v>
      </c>
      <c r="AN168" s="153" t="s">
        <v>272</v>
      </c>
      <c r="AO168" s="153">
        <v>1.3472911506102117</v>
      </c>
      <c r="AR168" s="77"/>
      <c r="AS168" s="77"/>
      <c r="AT168" s="77"/>
      <c r="AU168" s="77"/>
      <c r="AV168" s="77"/>
      <c r="AW168" s="77"/>
    </row>
    <row r="169" spans="1:49">
      <c r="I169" s="77"/>
      <c r="J169" s="77"/>
      <c r="K169" s="77"/>
      <c r="L169" s="77"/>
      <c r="M169" s="77"/>
      <c r="N169" s="77"/>
      <c r="Q169" s="77"/>
      <c r="R169" s="77"/>
      <c r="S169" s="77"/>
      <c r="T169" s="77"/>
      <c r="U169" s="77"/>
      <c r="V169" s="77"/>
      <c r="AC169" s="153" t="s">
        <v>52</v>
      </c>
      <c r="AD169" s="153" t="s">
        <v>17</v>
      </c>
      <c r="AE169" s="153" t="s">
        <v>72</v>
      </c>
      <c r="AF169" s="153" t="s">
        <v>51</v>
      </c>
      <c r="AG169" s="153" t="s">
        <v>273</v>
      </c>
      <c r="AH169" s="153">
        <v>4.102500150302923</v>
      </c>
      <c r="AJ169" s="153" t="s">
        <v>52</v>
      </c>
      <c r="AK169" s="153" t="s">
        <v>17</v>
      </c>
      <c r="AL169" s="153" t="s">
        <v>28</v>
      </c>
      <c r="AM169" s="153" t="s">
        <v>51</v>
      </c>
      <c r="AN169" s="153" t="s">
        <v>273</v>
      </c>
      <c r="AO169" s="153">
        <v>1.3578238436092127</v>
      </c>
      <c r="AR169" s="77"/>
      <c r="AS169" s="77"/>
      <c r="AT169" s="77"/>
      <c r="AU169" s="77"/>
      <c r="AV169" s="77"/>
      <c r="AW169" s="77"/>
    </row>
    <row r="170" spans="1:49">
      <c r="I170" s="77"/>
      <c r="J170" s="77"/>
      <c r="K170" s="77"/>
      <c r="L170" s="77"/>
      <c r="M170" s="77"/>
      <c r="N170" s="77"/>
      <c r="Q170" s="77"/>
      <c r="R170" s="77"/>
      <c r="S170" s="77"/>
      <c r="T170" s="77"/>
      <c r="U170" s="77"/>
      <c r="V170" s="77"/>
      <c r="AC170" s="153" t="s">
        <v>52</v>
      </c>
      <c r="AD170" s="153" t="s">
        <v>17</v>
      </c>
      <c r="AE170" s="153" t="s">
        <v>72</v>
      </c>
      <c r="AF170" s="153" t="s">
        <v>51</v>
      </c>
      <c r="AG170" s="153" t="s">
        <v>274</v>
      </c>
      <c r="AH170" s="153">
        <v>4.0758755498697496</v>
      </c>
      <c r="AJ170" s="153" t="s">
        <v>52</v>
      </c>
      <c r="AK170" s="153" t="s">
        <v>17</v>
      </c>
      <c r="AL170" s="153" t="s">
        <v>28</v>
      </c>
      <c r="AM170" s="153" t="s">
        <v>51</v>
      </c>
      <c r="AN170" s="153" t="s">
        <v>274</v>
      </c>
      <c r="AO170" s="153">
        <v>1.3585112845578</v>
      </c>
      <c r="AR170" s="77"/>
      <c r="AS170" s="77"/>
      <c r="AT170" s="77"/>
      <c r="AU170" s="77"/>
      <c r="AV170" s="77"/>
      <c r="AW170" s="77"/>
    </row>
    <row r="171" spans="1:49">
      <c r="I171" s="77"/>
      <c r="J171" s="77"/>
      <c r="K171" s="77"/>
      <c r="L171" s="77"/>
      <c r="M171" s="77"/>
      <c r="N171" s="77"/>
      <c r="Q171" s="77"/>
      <c r="R171" s="77"/>
      <c r="S171" s="77"/>
      <c r="T171" s="77"/>
      <c r="U171" s="77"/>
      <c r="V171" s="77"/>
      <c r="AC171" s="153" t="s">
        <v>52</v>
      </c>
      <c r="AD171" s="153" t="s">
        <v>17</v>
      </c>
      <c r="AE171" s="153" t="s">
        <v>72</v>
      </c>
      <c r="AF171" s="153" t="s">
        <v>51</v>
      </c>
      <c r="AG171" s="153" t="s">
        <v>275</v>
      </c>
      <c r="AH171" s="153">
        <v>4.0758755498697496</v>
      </c>
      <c r="AJ171" s="153" t="s">
        <v>52</v>
      </c>
      <c r="AK171" s="153" t="s">
        <v>17</v>
      </c>
      <c r="AL171" s="153" t="s">
        <v>28</v>
      </c>
      <c r="AM171" s="153" t="s">
        <v>51</v>
      </c>
      <c r="AN171" s="153" t="s">
        <v>275</v>
      </c>
      <c r="AO171" s="153">
        <v>1.3046001769379201</v>
      </c>
      <c r="AR171" s="77"/>
      <c r="AS171" s="77"/>
      <c r="AT171" s="77"/>
      <c r="AU171" s="77"/>
      <c r="AV171" s="77"/>
      <c r="AW171" s="77"/>
    </row>
    <row r="172" spans="1:49">
      <c r="I172" s="77"/>
      <c r="J172" s="77"/>
      <c r="K172" s="77"/>
      <c r="L172" s="77"/>
      <c r="M172" s="77"/>
      <c r="N172" s="77"/>
      <c r="Q172" s="77"/>
      <c r="R172" s="77"/>
      <c r="S172" s="77"/>
      <c r="T172" s="77"/>
      <c r="U172" s="77"/>
      <c r="V172" s="77"/>
      <c r="AC172" s="153" t="s">
        <v>52</v>
      </c>
      <c r="AD172" s="153" t="s">
        <v>17</v>
      </c>
      <c r="AE172" s="153" t="s">
        <v>72</v>
      </c>
      <c r="AF172" s="153" t="s">
        <v>51</v>
      </c>
      <c r="AG172" s="153" t="s">
        <v>276</v>
      </c>
      <c r="AH172" s="153">
        <v>4.105455800854287</v>
      </c>
      <c r="AJ172" s="153" t="s">
        <v>52</v>
      </c>
      <c r="AK172" s="153" t="s">
        <v>17</v>
      </c>
      <c r="AL172" s="153" t="s">
        <v>28</v>
      </c>
      <c r="AM172" s="153" t="s">
        <v>51</v>
      </c>
      <c r="AN172" s="153" t="s">
        <v>276</v>
      </c>
      <c r="AO172" s="153">
        <v>1.3495982144193372</v>
      </c>
      <c r="AR172" s="77"/>
      <c r="AS172" s="77"/>
      <c r="AT172" s="77"/>
      <c r="AU172" s="77"/>
      <c r="AV172" s="77"/>
      <c r="AW172" s="77"/>
    </row>
    <row r="173" spans="1:49">
      <c r="I173" s="77"/>
      <c r="J173" s="77"/>
      <c r="K173" s="77"/>
      <c r="L173" s="77"/>
      <c r="M173" s="77"/>
      <c r="N173" s="77"/>
      <c r="Q173" s="77"/>
      <c r="R173" s="77"/>
      <c r="S173" s="77"/>
      <c r="T173" s="77"/>
      <c r="U173" s="77"/>
      <c r="V173" s="77"/>
      <c r="AC173" s="153" t="s">
        <v>52</v>
      </c>
      <c r="AD173" s="153" t="s">
        <v>17</v>
      </c>
      <c r="AE173" s="153" t="s">
        <v>72</v>
      </c>
      <c r="AF173" s="153" t="s">
        <v>51</v>
      </c>
      <c r="AG173" s="153" t="s">
        <v>277</v>
      </c>
      <c r="AH173" s="153">
        <v>4.0847551681119691</v>
      </c>
      <c r="AJ173" s="153" t="s">
        <v>52</v>
      </c>
      <c r="AK173" s="153" t="s">
        <v>17</v>
      </c>
      <c r="AL173" s="153" t="s">
        <v>28</v>
      </c>
      <c r="AM173" s="153" t="s">
        <v>51</v>
      </c>
      <c r="AN173" s="153" t="s">
        <v>277</v>
      </c>
      <c r="AO173" s="153">
        <v>1.3607718590449187</v>
      </c>
      <c r="AR173" s="77"/>
      <c r="AS173" s="77"/>
      <c r="AT173" s="77"/>
      <c r="AU173" s="77"/>
      <c r="AV173" s="77"/>
      <c r="AW173" s="77"/>
    </row>
    <row r="174" spans="1:49">
      <c r="Q174" s="77"/>
      <c r="R174" s="77"/>
      <c r="S174" s="77"/>
      <c r="T174" s="77"/>
      <c r="U174" s="77"/>
      <c r="V174" s="77"/>
      <c r="AC174" s="153" t="s">
        <v>52</v>
      </c>
      <c r="AD174" s="153" t="s">
        <v>17</v>
      </c>
      <c r="AE174" s="153" t="s">
        <v>72</v>
      </c>
      <c r="AF174" s="153" t="s">
        <v>51</v>
      </c>
      <c r="AG174" s="153" t="s">
        <v>278</v>
      </c>
      <c r="AH174" s="153">
        <v>4.0817958235616114</v>
      </c>
      <c r="AJ174" s="153" t="s">
        <v>52</v>
      </c>
      <c r="AK174" s="153" t="s">
        <v>17</v>
      </c>
      <c r="AL174" s="153" t="s">
        <v>28</v>
      </c>
      <c r="AM174" s="153" t="s">
        <v>51</v>
      </c>
      <c r="AN174" s="153" t="s">
        <v>278</v>
      </c>
      <c r="AO174" s="153">
        <v>1.2859837783491517</v>
      </c>
      <c r="AR174" s="77"/>
      <c r="AS174" s="77"/>
      <c r="AT174" s="77"/>
      <c r="AU174" s="77"/>
      <c r="AV174" s="77"/>
      <c r="AW174" s="77"/>
    </row>
    <row r="175" spans="1:49">
      <c r="Q175" s="77"/>
      <c r="R175" s="77"/>
      <c r="S175" s="77"/>
      <c r="T175" s="77"/>
      <c r="U175" s="77"/>
      <c r="V175" s="77"/>
      <c r="AC175" s="153" t="s">
        <v>52</v>
      </c>
      <c r="AD175" s="153" t="s">
        <v>17</v>
      </c>
      <c r="AE175" s="153" t="s">
        <v>72</v>
      </c>
      <c r="AF175" s="153" t="s">
        <v>51</v>
      </c>
      <c r="AG175" s="153" t="s">
        <v>279</v>
      </c>
      <c r="AH175" s="153">
        <v>4.2144451362355886</v>
      </c>
      <c r="AJ175" s="153" t="s">
        <v>52</v>
      </c>
      <c r="AK175" s="153" t="s">
        <v>17</v>
      </c>
      <c r="AL175" s="153" t="s">
        <v>28</v>
      </c>
      <c r="AM175" s="153" t="s">
        <v>51</v>
      </c>
      <c r="AN175" s="153" t="s">
        <v>279</v>
      </c>
      <c r="AO175" s="153">
        <v>1.338402149183749</v>
      </c>
      <c r="AR175" s="77"/>
      <c r="AS175" s="77"/>
      <c r="AT175" s="77"/>
      <c r="AU175" s="77"/>
      <c r="AV175" s="77"/>
      <c r="AW175" s="77"/>
    </row>
    <row r="176" spans="1:49">
      <c r="Q176" s="77"/>
      <c r="R176" s="77"/>
      <c r="S176" s="77"/>
      <c r="T176" s="77"/>
      <c r="U176" s="77"/>
      <c r="V176" s="77"/>
      <c r="AC176" s="153" t="s">
        <v>52</v>
      </c>
      <c r="AD176" s="153" t="s">
        <v>17</v>
      </c>
      <c r="AE176" s="153" t="s">
        <v>72</v>
      </c>
      <c r="AF176" s="153" t="s">
        <v>51</v>
      </c>
      <c r="AG176" s="153" t="s">
        <v>280</v>
      </c>
      <c r="AH176" s="153">
        <v>4.2320514457091392</v>
      </c>
      <c r="AJ176" s="153" t="s">
        <v>52</v>
      </c>
      <c r="AK176" s="153" t="s">
        <v>17</v>
      </c>
      <c r="AL176" s="153" t="s">
        <v>28</v>
      </c>
      <c r="AM176" s="153" t="s">
        <v>51</v>
      </c>
      <c r="AN176" s="153" t="s">
        <v>280</v>
      </c>
      <c r="AO176" s="153">
        <v>1.3876333431635488</v>
      </c>
      <c r="AR176" s="77"/>
      <c r="AS176" s="77"/>
      <c r="AT176" s="77"/>
      <c r="AU176" s="77"/>
      <c r="AV176" s="77"/>
      <c r="AW176" s="77"/>
    </row>
    <row r="177" spans="17:49">
      <c r="Q177" s="77"/>
      <c r="R177" s="77"/>
      <c r="S177" s="77"/>
      <c r="T177" s="77"/>
      <c r="U177" s="77"/>
      <c r="V177" s="77"/>
      <c r="AC177" s="153" t="s">
        <v>52</v>
      </c>
      <c r="AD177" s="153" t="s">
        <v>17</v>
      </c>
      <c r="AE177" s="153" t="s">
        <v>72</v>
      </c>
      <c r="AF177" s="153" t="s">
        <v>51</v>
      </c>
      <c r="AG177" s="153" t="s">
        <v>281</v>
      </c>
      <c r="AH177" s="153">
        <v>4.1850594213293615</v>
      </c>
      <c r="AJ177" s="153" t="s">
        <v>52</v>
      </c>
      <c r="AK177" s="153" t="s">
        <v>17</v>
      </c>
      <c r="AL177" s="153" t="s">
        <v>28</v>
      </c>
      <c r="AM177" s="153" t="s">
        <v>51</v>
      </c>
      <c r="AN177" s="153" t="s">
        <v>281</v>
      </c>
      <c r="AO177" s="153">
        <v>1.3200126005365818</v>
      </c>
      <c r="AR177" s="77"/>
      <c r="AS177" s="77"/>
      <c r="AT177" s="77"/>
      <c r="AU177" s="77"/>
      <c r="AV177" s="77"/>
      <c r="AW177" s="77"/>
    </row>
    <row r="178" spans="17:49">
      <c r="Q178" s="77"/>
      <c r="R178" s="77"/>
      <c r="S178" s="77"/>
      <c r="T178" s="77"/>
      <c r="U178" s="77"/>
      <c r="V178" s="77"/>
      <c r="AC178" s="153" t="s">
        <v>52</v>
      </c>
      <c r="AD178" s="153" t="s">
        <v>17</v>
      </c>
      <c r="AE178" s="153" t="s">
        <v>72</v>
      </c>
      <c r="AF178" s="153" t="s">
        <v>51</v>
      </c>
      <c r="AG178" s="153" t="s">
        <v>282</v>
      </c>
      <c r="AH178" s="153">
        <v>4.1821179681285399</v>
      </c>
      <c r="AJ178" s="153" t="s">
        <v>52</v>
      </c>
      <c r="AK178" s="153" t="s">
        <v>17</v>
      </c>
      <c r="AL178" s="153" t="s">
        <v>28</v>
      </c>
      <c r="AM178" s="153" t="s">
        <v>51</v>
      </c>
      <c r="AN178" s="153" t="s">
        <v>282</v>
      </c>
      <c r="AO178" s="153">
        <v>1.2838195828831593</v>
      </c>
      <c r="AR178" s="77"/>
      <c r="AS178" s="77"/>
      <c r="AT178" s="77"/>
      <c r="AU178" s="77"/>
      <c r="AV178" s="77"/>
      <c r="AW178" s="77"/>
    </row>
    <row r="179" spans="17:49">
      <c r="Q179" s="77"/>
      <c r="R179" s="77"/>
      <c r="S179" s="77"/>
      <c r="T179" s="77"/>
      <c r="U179" s="77"/>
      <c r="V179" s="77"/>
      <c r="AC179" s="153" t="s">
        <v>52</v>
      </c>
      <c r="AD179" s="153" t="s">
        <v>17</v>
      </c>
      <c r="AE179" s="153" t="s">
        <v>72</v>
      </c>
      <c r="AF179" s="153" t="s">
        <v>51</v>
      </c>
      <c r="AG179" s="153" t="s">
        <v>283</v>
      </c>
      <c r="AH179" s="153">
        <v>4.1484726333034283</v>
      </c>
      <c r="AJ179" s="153" t="s">
        <v>52</v>
      </c>
      <c r="AK179" s="153" t="s">
        <v>17</v>
      </c>
      <c r="AL179" s="153" t="s">
        <v>28</v>
      </c>
      <c r="AM179" s="153" t="s">
        <v>51</v>
      </c>
      <c r="AN179" s="153" t="s">
        <v>283</v>
      </c>
      <c r="AO179" s="153">
        <v>1.2144095998366391</v>
      </c>
      <c r="AR179" s="77"/>
      <c r="AS179" s="77"/>
      <c r="AT179" s="77"/>
      <c r="AU179" s="77"/>
      <c r="AV179" s="77"/>
      <c r="AW179" s="77"/>
    </row>
    <row r="180" spans="17:49">
      <c r="Q180" s="77"/>
      <c r="R180" s="77"/>
      <c r="S180" s="77"/>
      <c r="T180" s="77"/>
      <c r="U180" s="77"/>
      <c r="V180" s="77"/>
      <c r="AC180" s="153" t="s">
        <v>52</v>
      </c>
      <c r="AD180" s="153" t="s">
        <v>17</v>
      </c>
      <c r="AE180" s="153" t="s">
        <v>72</v>
      </c>
      <c r="AF180" s="153" t="s">
        <v>51</v>
      </c>
      <c r="AG180" s="153" t="s">
        <v>284</v>
      </c>
      <c r="AH180" s="153">
        <v>4.2073329774115562</v>
      </c>
      <c r="AJ180" s="153" t="s">
        <v>52</v>
      </c>
      <c r="AK180" s="153" t="s">
        <v>17</v>
      </c>
      <c r="AL180" s="153" t="s">
        <v>28</v>
      </c>
      <c r="AM180" s="153" t="s">
        <v>51</v>
      </c>
      <c r="AN180" s="153" t="s">
        <v>284</v>
      </c>
      <c r="AO180" s="153">
        <v>1.2685302920283061</v>
      </c>
      <c r="AR180" s="77"/>
      <c r="AS180" s="77"/>
      <c r="AT180" s="77"/>
      <c r="AU180" s="77"/>
      <c r="AV180" s="77"/>
      <c r="AW180" s="77"/>
    </row>
    <row r="181" spans="17:49">
      <c r="Q181" s="77"/>
      <c r="R181" s="77"/>
      <c r="S181" s="77"/>
      <c r="T181" s="77"/>
      <c r="U181" s="77"/>
      <c r="V181" s="77"/>
      <c r="AC181" s="153" t="s">
        <v>52</v>
      </c>
      <c r="AD181" s="153" t="s">
        <v>17</v>
      </c>
      <c r="AE181" s="153" t="s">
        <v>72</v>
      </c>
      <c r="AF181" s="153" t="s">
        <v>51</v>
      </c>
      <c r="AG181" s="153" t="s">
        <v>285</v>
      </c>
      <c r="AH181" s="153">
        <v>4.2923097382949242</v>
      </c>
      <c r="AJ181" s="153" t="s">
        <v>52</v>
      </c>
      <c r="AK181" s="153" t="s">
        <v>17</v>
      </c>
      <c r="AL181" s="153" t="s">
        <v>28</v>
      </c>
      <c r="AM181" s="153" t="s">
        <v>51</v>
      </c>
      <c r="AN181" s="153" t="s">
        <v>285</v>
      </c>
      <c r="AO181" s="153">
        <v>1.2796117428609644</v>
      </c>
      <c r="AR181" s="77"/>
      <c r="AS181" s="77"/>
      <c r="AT181" s="77"/>
      <c r="AU181" s="77"/>
      <c r="AV181" s="77"/>
      <c r="AW181" s="77"/>
    </row>
    <row r="182" spans="17:49">
      <c r="Q182" s="77"/>
      <c r="R182" s="77"/>
      <c r="S182" s="77"/>
      <c r="T182" s="77"/>
      <c r="U182" s="77"/>
      <c r="V182" s="77"/>
      <c r="AC182" s="153" t="s">
        <v>52</v>
      </c>
      <c r="AD182" s="153" t="s">
        <v>17</v>
      </c>
      <c r="AE182" s="153" t="s">
        <v>72</v>
      </c>
      <c r="AF182" s="153" t="s">
        <v>51</v>
      </c>
      <c r="AG182" s="153" t="s">
        <v>286</v>
      </c>
      <c r="AH182" s="153">
        <v>4.2831902952287439</v>
      </c>
      <c r="AJ182" s="153" t="s">
        <v>52</v>
      </c>
      <c r="AK182" s="153" t="s">
        <v>17</v>
      </c>
      <c r="AL182" s="153" t="s">
        <v>28</v>
      </c>
      <c r="AM182" s="153" t="s">
        <v>51</v>
      </c>
      <c r="AN182" s="153" t="s">
        <v>286</v>
      </c>
      <c r="AO182" s="153">
        <v>1.243718896185414</v>
      </c>
      <c r="AR182" s="77"/>
      <c r="AS182" s="77"/>
      <c r="AT182" s="77"/>
      <c r="AU182" s="77"/>
      <c r="AV182" s="77"/>
      <c r="AW182" s="77"/>
    </row>
    <row r="183" spans="17:49">
      <c r="Q183" s="77"/>
      <c r="R183" s="77"/>
      <c r="S183" s="77"/>
      <c r="T183" s="77"/>
      <c r="U183" s="77"/>
      <c r="V183" s="77"/>
      <c r="AC183" s="153" t="s">
        <v>52</v>
      </c>
      <c r="AD183" s="153" t="s">
        <v>17</v>
      </c>
      <c r="AE183" s="153" t="s">
        <v>72</v>
      </c>
      <c r="AF183" s="153" t="s">
        <v>51</v>
      </c>
      <c r="AG183" s="153" t="s">
        <v>287</v>
      </c>
      <c r="AH183" s="153">
        <v>4.2978081615169801</v>
      </c>
      <c r="AJ183" s="153" t="s">
        <v>52</v>
      </c>
      <c r="AK183" s="153" t="s">
        <v>17</v>
      </c>
      <c r="AL183" s="153" t="s">
        <v>28</v>
      </c>
      <c r="AM183" s="153" t="s">
        <v>51</v>
      </c>
      <c r="AN183" s="153" t="s">
        <v>287</v>
      </c>
      <c r="AO183" s="153">
        <v>1.2737200580350896</v>
      </c>
      <c r="AR183" s="77"/>
      <c r="AS183" s="77"/>
      <c r="AT183" s="77"/>
      <c r="AU183" s="77"/>
      <c r="AV183" s="77"/>
      <c r="AW183" s="77"/>
    </row>
    <row r="184" spans="17:49">
      <c r="Q184" s="77"/>
      <c r="R184" s="77"/>
      <c r="S184" s="77"/>
      <c r="T184" s="77"/>
      <c r="U184" s="77"/>
      <c r="V184" s="77"/>
      <c r="AC184" s="153" t="s">
        <v>52</v>
      </c>
      <c r="AD184" s="153" t="s">
        <v>17</v>
      </c>
      <c r="AE184" s="153" t="s">
        <v>72</v>
      </c>
      <c r="AF184" s="153" t="s">
        <v>51</v>
      </c>
      <c r="AG184" s="153" t="s">
        <v>288</v>
      </c>
      <c r="AH184" s="153">
        <v>4.2802651684494641</v>
      </c>
      <c r="AJ184" s="153" t="s">
        <v>52</v>
      </c>
      <c r="AK184" s="153" t="s">
        <v>17</v>
      </c>
      <c r="AL184" s="153" t="s">
        <v>28</v>
      </c>
      <c r="AM184" s="153" t="s">
        <v>51</v>
      </c>
      <c r="AN184" s="153" t="s">
        <v>288</v>
      </c>
      <c r="AO184" s="153">
        <v>1.2387148275746545</v>
      </c>
      <c r="AR184" s="77"/>
      <c r="AS184" s="77"/>
      <c r="AT184" s="77"/>
      <c r="AU184" s="77"/>
      <c r="AV184" s="77"/>
      <c r="AW184" s="77"/>
    </row>
    <row r="185" spans="17:49">
      <c r="Q185" s="77"/>
      <c r="R185" s="77"/>
      <c r="S185" s="77"/>
      <c r="T185" s="77"/>
      <c r="U185" s="77"/>
      <c r="V185" s="77"/>
      <c r="AC185" s="153" t="s">
        <v>52</v>
      </c>
      <c r="AD185" s="153" t="s">
        <v>17</v>
      </c>
      <c r="AE185" s="153" t="s">
        <v>72</v>
      </c>
      <c r="AF185" s="153" t="s">
        <v>51</v>
      </c>
      <c r="AG185" s="153" t="s">
        <v>289</v>
      </c>
      <c r="AH185" s="153">
        <v>4.3039963598094522</v>
      </c>
      <c r="AJ185" s="153" t="s">
        <v>52</v>
      </c>
      <c r="AK185" s="153" t="s">
        <v>17</v>
      </c>
      <c r="AL185" s="153" t="s">
        <v>28</v>
      </c>
      <c r="AM185" s="153" t="s">
        <v>51</v>
      </c>
      <c r="AN185" s="153" t="s">
        <v>289</v>
      </c>
      <c r="AO185" s="153">
        <v>1.3007759831202927</v>
      </c>
      <c r="AR185" s="77"/>
      <c r="AS185" s="77"/>
      <c r="AT185" s="77"/>
      <c r="AU185" s="77"/>
      <c r="AV185" s="77"/>
      <c r="AW185" s="77"/>
    </row>
    <row r="186" spans="17:49">
      <c r="Q186" s="77"/>
      <c r="R186" s="77"/>
      <c r="S186" s="77"/>
      <c r="T186" s="77"/>
      <c r="U186" s="77"/>
      <c r="V186" s="77"/>
      <c r="AC186" s="153" t="s">
        <v>52</v>
      </c>
      <c r="AD186" s="153" t="s">
        <v>17</v>
      </c>
      <c r="AE186" s="153" t="s">
        <v>72</v>
      </c>
      <c r="AF186" s="153" t="s">
        <v>51</v>
      </c>
      <c r="AG186" s="153" t="s">
        <v>290</v>
      </c>
      <c r="AH186" s="153">
        <v>4.2864633142523001</v>
      </c>
      <c r="AJ186" s="153" t="s">
        <v>52</v>
      </c>
      <c r="AK186" s="153" t="s">
        <v>17</v>
      </c>
      <c r="AL186" s="153" t="s">
        <v>28</v>
      </c>
      <c r="AM186" s="153" t="s">
        <v>51</v>
      </c>
      <c r="AN186" s="153" t="s">
        <v>290</v>
      </c>
      <c r="AO186" s="153">
        <v>1.2902283665898202</v>
      </c>
      <c r="AR186" s="77"/>
      <c r="AS186" s="77"/>
      <c r="AT186" s="77"/>
      <c r="AU186" s="77"/>
      <c r="AV186" s="77"/>
      <c r="AW186" s="77"/>
    </row>
    <row r="187" spans="17:49">
      <c r="Q187" s="77"/>
      <c r="R187" s="77"/>
      <c r="S187" s="77"/>
      <c r="T187" s="77"/>
      <c r="U187" s="77"/>
      <c r="V187" s="77"/>
      <c r="AC187" s="153" t="s">
        <v>52</v>
      </c>
      <c r="AD187" s="153" t="s">
        <v>17</v>
      </c>
      <c r="AE187" s="153" t="s">
        <v>72</v>
      </c>
      <c r="AF187" s="153" t="s">
        <v>51</v>
      </c>
      <c r="AG187" s="153" t="s">
        <v>291</v>
      </c>
      <c r="AH187" s="153">
        <v>4.2806148135221429</v>
      </c>
      <c r="AJ187" s="153" t="s">
        <v>52</v>
      </c>
      <c r="AK187" s="153" t="s">
        <v>17</v>
      </c>
      <c r="AL187" s="153" t="s">
        <v>28</v>
      </c>
      <c r="AM187" s="153" t="s">
        <v>51</v>
      </c>
      <c r="AN187" s="153" t="s">
        <v>291</v>
      </c>
      <c r="AO187" s="153">
        <v>1.2976660142700527</v>
      </c>
      <c r="AR187" s="77"/>
      <c r="AS187" s="77"/>
      <c r="AT187" s="77"/>
      <c r="AU187" s="77"/>
      <c r="AV187" s="77"/>
      <c r="AW187" s="77"/>
    </row>
    <row r="188" spans="17:49">
      <c r="Q188" s="77"/>
      <c r="R188" s="77"/>
      <c r="S188" s="77"/>
      <c r="T188" s="77"/>
      <c r="U188" s="77"/>
      <c r="V188" s="77"/>
      <c r="AC188" s="153" t="s">
        <v>52</v>
      </c>
      <c r="AD188" s="153" t="s">
        <v>17</v>
      </c>
      <c r="AE188" s="153" t="s">
        <v>72</v>
      </c>
      <c r="AF188" s="153" t="s">
        <v>51</v>
      </c>
      <c r="AG188" s="153" t="s">
        <v>292</v>
      </c>
      <c r="AH188" s="153">
        <v>4.2689115785087015</v>
      </c>
      <c r="AJ188" s="153" t="s">
        <v>52</v>
      </c>
      <c r="AK188" s="153" t="s">
        <v>17</v>
      </c>
      <c r="AL188" s="153" t="s">
        <v>28</v>
      </c>
      <c r="AM188" s="153" t="s">
        <v>51</v>
      </c>
      <c r="AN188" s="153" t="s">
        <v>292</v>
      </c>
      <c r="AO188" s="153">
        <v>1.2896888670291515</v>
      </c>
      <c r="AR188" s="77"/>
      <c r="AS188" s="77"/>
      <c r="AT188" s="77"/>
      <c r="AU188" s="77"/>
      <c r="AV188" s="77"/>
      <c r="AW188" s="77"/>
    </row>
    <row r="189" spans="17:49">
      <c r="Q189" s="77"/>
      <c r="R189" s="77"/>
      <c r="S189" s="77"/>
      <c r="T189" s="77"/>
      <c r="U189" s="77"/>
      <c r="V189" s="77"/>
      <c r="AC189" s="153" t="s">
        <v>52</v>
      </c>
      <c r="AD189" s="153" t="s">
        <v>17</v>
      </c>
      <c r="AE189" s="153" t="s">
        <v>72</v>
      </c>
      <c r="AF189" s="153" t="s">
        <v>51</v>
      </c>
      <c r="AG189" s="153" t="s">
        <v>293</v>
      </c>
      <c r="AH189" s="153">
        <v>4.2278847118467544</v>
      </c>
      <c r="AJ189" s="153" t="s">
        <v>52</v>
      </c>
      <c r="AK189" s="153" t="s">
        <v>17</v>
      </c>
      <c r="AL189" s="153" t="s">
        <v>28</v>
      </c>
      <c r="AM189" s="153" t="s">
        <v>51</v>
      </c>
      <c r="AN189" s="153" t="s">
        <v>293</v>
      </c>
      <c r="AO189" s="153">
        <v>1.2711406737535242</v>
      </c>
      <c r="AR189" s="77"/>
      <c r="AS189" s="77"/>
      <c r="AT189" s="77"/>
      <c r="AU189" s="77"/>
      <c r="AV189" s="77"/>
      <c r="AW189" s="77"/>
    </row>
    <row r="190" spans="17:49">
      <c r="Q190" s="77"/>
      <c r="R190" s="77"/>
      <c r="S190" s="77"/>
      <c r="T190" s="77"/>
      <c r="U190" s="77"/>
      <c r="V190" s="77"/>
      <c r="AC190" s="153" t="s">
        <v>52</v>
      </c>
      <c r="AD190" s="153" t="s">
        <v>17</v>
      </c>
      <c r="AE190" s="153" t="s">
        <v>72</v>
      </c>
      <c r="AF190" s="153" t="s">
        <v>51</v>
      </c>
      <c r="AG190" s="153" t="s">
        <v>294</v>
      </c>
      <c r="AH190" s="153">
        <v>4.224950314738753</v>
      </c>
      <c r="AJ190" s="153" t="s">
        <v>52</v>
      </c>
      <c r="AK190" s="153" t="s">
        <v>17</v>
      </c>
      <c r="AL190" s="153" t="s">
        <v>28</v>
      </c>
      <c r="AM190" s="153" t="s">
        <v>51</v>
      </c>
      <c r="AN190" s="153" t="s">
        <v>294</v>
      </c>
      <c r="AO190" s="153">
        <v>1.2470687736583035</v>
      </c>
      <c r="AR190" s="77"/>
      <c r="AS190" s="77"/>
      <c r="AT190" s="77"/>
      <c r="AU190" s="77"/>
      <c r="AV190" s="77"/>
      <c r="AW190" s="77"/>
    </row>
    <row r="191" spans="17:49">
      <c r="Q191" s="77"/>
      <c r="R191" s="77"/>
      <c r="S191" s="77"/>
      <c r="T191" s="77"/>
      <c r="U191" s="77"/>
      <c r="V191" s="77"/>
      <c r="AC191" s="153" t="s">
        <v>52</v>
      </c>
      <c r="AD191" s="153" t="s">
        <v>17</v>
      </c>
      <c r="AE191" s="153" t="s">
        <v>72</v>
      </c>
      <c r="AF191" s="153" t="s">
        <v>51</v>
      </c>
      <c r="AG191" s="153" t="s">
        <v>235</v>
      </c>
      <c r="AH191" s="153">
        <v>4.2776897841265393</v>
      </c>
      <c r="AJ191" s="153" t="s">
        <v>52</v>
      </c>
      <c r="AK191" s="153" t="s">
        <v>17</v>
      </c>
      <c r="AL191" s="153" t="s">
        <v>28</v>
      </c>
      <c r="AM191" s="153" t="s">
        <v>51</v>
      </c>
      <c r="AN191" s="153" t="s">
        <v>235</v>
      </c>
      <c r="AO191" s="153">
        <v>1.2993141214438293</v>
      </c>
      <c r="AR191" s="77"/>
      <c r="AS191" s="77"/>
      <c r="AT191" s="77"/>
      <c r="AU191" s="77"/>
      <c r="AV191" s="77"/>
      <c r="AW191" s="77"/>
    </row>
    <row r="192" spans="17:49">
      <c r="Q192" s="77"/>
      <c r="R192" s="77"/>
      <c r="S192" s="77"/>
      <c r="T192" s="77"/>
      <c r="U192" s="77"/>
      <c r="V192" s="77"/>
      <c r="AC192" s="153" t="s">
        <v>52</v>
      </c>
      <c r="AD192" s="153" t="s">
        <v>17</v>
      </c>
      <c r="AE192" s="153" t="s">
        <v>72</v>
      </c>
      <c r="AF192" s="153" t="s">
        <v>51</v>
      </c>
      <c r="AG192" s="153" t="s">
        <v>295</v>
      </c>
      <c r="AH192" s="153">
        <v>4.2689115785087015</v>
      </c>
      <c r="AJ192" s="153" t="s">
        <v>52</v>
      </c>
      <c r="AK192" s="153" t="s">
        <v>17</v>
      </c>
      <c r="AL192" s="153" t="s">
        <v>28</v>
      </c>
      <c r="AM192" s="153" t="s">
        <v>51</v>
      </c>
      <c r="AN192" s="153" t="s">
        <v>295</v>
      </c>
      <c r="AO192" s="153">
        <v>1.2962965180486514</v>
      </c>
      <c r="AR192" s="77"/>
      <c r="AS192" s="77"/>
      <c r="AT192" s="77"/>
      <c r="AU192" s="77"/>
      <c r="AV192" s="77"/>
      <c r="AW192" s="77"/>
    </row>
    <row r="193" spans="17:49">
      <c r="Q193" s="77"/>
      <c r="R193" s="77"/>
      <c r="S193" s="77"/>
      <c r="T193" s="77"/>
      <c r="U193" s="77"/>
      <c r="V193" s="77"/>
      <c r="AC193" s="153" t="s">
        <v>52</v>
      </c>
      <c r="AD193" s="153" t="s">
        <v>17</v>
      </c>
      <c r="AE193" s="153" t="s">
        <v>72</v>
      </c>
      <c r="AF193" s="153" t="s">
        <v>51</v>
      </c>
      <c r="AG193" s="153" t="s">
        <v>296</v>
      </c>
      <c r="AH193" s="153">
        <v>4.3069167186221247</v>
      </c>
      <c r="AJ193" s="153" t="s">
        <v>52</v>
      </c>
      <c r="AK193" s="153" t="s">
        <v>17</v>
      </c>
      <c r="AL193" s="153" t="s">
        <v>28</v>
      </c>
      <c r="AM193" s="153" t="s">
        <v>51</v>
      </c>
      <c r="AN193" s="153" t="s">
        <v>296</v>
      </c>
      <c r="AO193" s="153">
        <v>1.3369176777890444</v>
      </c>
      <c r="AR193" s="77"/>
      <c r="AS193" s="77"/>
      <c r="AT193" s="77"/>
      <c r="AU193" s="77"/>
      <c r="AV193" s="77"/>
      <c r="AW193" s="77"/>
    </row>
    <row r="194" spans="17:49">
      <c r="Q194" s="77"/>
      <c r="R194" s="77"/>
      <c r="S194" s="77"/>
      <c r="T194" s="77"/>
      <c r="U194" s="77"/>
      <c r="V194" s="77"/>
      <c r="AC194" s="153" t="s">
        <v>52</v>
      </c>
      <c r="AD194" s="153" t="s">
        <v>17</v>
      </c>
      <c r="AE194" s="153" t="s">
        <v>72</v>
      </c>
      <c r="AF194" s="153" t="s">
        <v>51</v>
      </c>
      <c r="AG194" s="153" t="s">
        <v>297</v>
      </c>
      <c r="AH194" s="153">
        <v>4.2981540865235441</v>
      </c>
      <c r="AJ194" s="153" t="s">
        <v>52</v>
      </c>
      <c r="AK194" s="153" t="s">
        <v>17</v>
      </c>
      <c r="AL194" s="153" t="s">
        <v>28</v>
      </c>
      <c r="AM194" s="153" t="s">
        <v>51</v>
      </c>
      <c r="AN194" s="153" t="s">
        <v>297</v>
      </c>
      <c r="AO194" s="153">
        <v>1.3353542598518544</v>
      </c>
      <c r="AR194" s="77"/>
      <c r="AS194" s="77"/>
      <c r="AT194" s="77"/>
      <c r="AU194" s="77"/>
      <c r="AV194" s="77"/>
      <c r="AW194" s="77"/>
    </row>
    <row r="195" spans="17:49">
      <c r="Q195" s="77"/>
      <c r="R195" s="77"/>
      <c r="S195" s="77"/>
      <c r="T195" s="77"/>
      <c r="U195" s="77"/>
      <c r="V195" s="77"/>
      <c r="AC195" s="153" t="s">
        <v>52</v>
      </c>
      <c r="AD195" s="153" t="s">
        <v>17</v>
      </c>
      <c r="AE195" s="153" t="s">
        <v>72</v>
      </c>
      <c r="AF195" s="153" t="s">
        <v>51</v>
      </c>
      <c r="AG195" s="153" t="s">
        <v>298</v>
      </c>
      <c r="AH195" s="153">
        <v>4.3010754824792077</v>
      </c>
      <c r="AJ195" s="153" t="s">
        <v>52</v>
      </c>
      <c r="AK195" s="153" t="s">
        <v>17</v>
      </c>
      <c r="AL195" s="153" t="s">
        <v>28</v>
      </c>
      <c r="AM195" s="153" t="s">
        <v>51</v>
      </c>
      <c r="AN195" s="153" t="s">
        <v>298</v>
      </c>
      <c r="AO195" s="153">
        <v>1.3536082166189871</v>
      </c>
      <c r="AR195" s="77"/>
      <c r="AS195" s="77"/>
      <c r="AT195" s="77"/>
      <c r="AU195" s="77"/>
      <c r="AV195" s="77"/>
      <c r="AW195" s="77"/>
    </row>
    <row r="196" spans="17:49">
      <c r="Q196" s="77"/>
      <c r="R196" s="77"/>
      <c r="S196" s="77"/>
      <c r="T196" s="77"/>
      <c r="U196" s="77"/>
      <c r="V196" s="77"/>
      <c r="AC196" s="153" t="s">
        <v>52</v>
      </c>
      <c r="AD196" s="153" t="s">
        <v>17</v>
      </c>
      <c r="AE196" s="153" t="s">
        <v>72</v>
      </c>
      <c r="AF196" s="153" t="s">
        <v>51</v>
      </c>
      <c r="AG196" s="153" t="s">
        <v>299</v>
      </c>
      <c r="AH196" s="153">
        <v>4.2747642352322801</v>
      </c>
      <c r="AJ196" s="153" t="s">
        <v>52</v>
      </c>
      <c r="AK196" s="153" t="s">
        <v>17</v>
      </c>
      <c r="AL196" s="153" t="s">
        <v>28</v>
      </c>
      <c r="AM196" s="153" t="s">
        <v>51</v>
      </c>
      <c r="AN196" s="153" t="s">
        <v>299</v>
      </c>
      <c r="AO196" s="153">
        <v>1.3800343860879603</v>
      </c>
      <c r="AR196" s="77"/>
      <c r="AS196" s="77"/>
      <c r="AT196" s="77"/>
      <c r="AU196" s="77"/>
      <c r="AV196" s="77"/>
      <c r="AW196" s="77"/>
    </row>
    <row r="197" spans="17:49">
      <c r="Q197" s="77"/>
      <c r="R197" s="77"/>
      <c r="S197" s="77"/>
      <c r="T197" s="77"/>
      <c r="U197" s="77"/>
      <c r="V197" s="77"/>
      <c r="AC197" s="153" t="s">
        <v>52</v>
      </c>
      <c r="AD197" s="153" t="s">
        <v>17</v>
      </c>
      <c r="AE197" s="153" t="s">
        <v>72</v>
      </c>
      <c r="AF197" s="153" t="s">
        <v>51</v>
      </c>
      <c r="AG197" s="153" t="s">
        <v>300</v>
      </c>
      <c r="AH197" s="153">
        <v>4.2454801497938641</v>
      </c>
      <c r="AJ197" s="153" t="s">
        <v>52</v>
      </c>
      <c r="AK197" s="153" t="s">
        <v>17</v>
      </c>
      <c r="AL197" s="153" t="s">
        <v>28</v>
      </c>
      <c r="AM197" s="153" t="s">
        <v>51</v>
      </c>
      <c r="AN197" s="153" t="s">
        <v>300</v>
      </c>
      <c r="AO197" s="153">
        <v>1.328920802747664</v>
      </c>
      <c r="AR197" s="77"/>
      <c r="AS197" s="77"/>
      <c r="AT197" s="77"/>
      <c r="AU197" s="77"/>
      <c r="AV197" s="77"/>
      <c r="AW197" s="77"/>
    </row>
    <row r="198" spans="17:49">
      <c r="Q198" s="77"/>
      <c r="R198" s="77"/>
      <c r="S198" s="77"/>
      <c r="T198" s="77"/>
      <c r="U198" s="77"/>
      <c r="V198" s="77"/>
      <c r="AC198" s="153" t="s">
        <v>52</v>
      </c>
      <c r="AD198" s="153" t="s">
        <v>17</v>
      </c>
      <c r="AE198" s="153" t="s">
        <v>72</v>
      </c>
      <c r="AF198" s="153" t="s">
        <v>51</v>
      </c>
      <c r="AG198" s="153" t="s">
        <v>301</v>
      </c>
      <c r="AH198" s="153">
        <v>4.3270050994940847</v>
      </c>
      <c r="AJ198" s="153" t="s">
        <v>52</v>
      </c>
      <c r="AK198" s="153" t="s">
        <v>17</v>
      </c>
      <c r="AL198" s="153" t="s">
        <v>28</v>
      </c>
      <c r="AM198" s="153" t="s">
        <v>51</v>
      </c>
      <c r="AN198" s="153" t="s">
        <v>301</v>
      </c>
      <c r="AO198" s="153">
        <v>1.272574432591125</v>
      </c>
      <c r="AR198" s="77"/>
      <c r="AS198" s="77"/>
      <c r="AT198" s="77"/>
      <c r="AU198" s="77"/>
      <c r="AV198" s="77"/>
      <c r="AW198" s="77"/>
    </row>
    <row r="199" spans="17:49">
      <c r="Q199" s="77"/>
      <c r="R199" s="77"/>
      <c r="S199" s="77"/>
      <c r="T199" s="77"/>
      <c r="U199" s="77"/>
      <c r="V199" s="77"/>
      <c r="AC199" s="153" t="s">
        <v>52</v>
      </c>
      <c r="AD199" s="153" t="s">
        <v>17</v>
      </c>
      <c r="AE199" s="153" t="s">
        <v>72</v>
      </c>
      <c r="AF199" s="153" t="s">
        <v>51</v>
      </c>
      <c r="AG199" s="153" t="s">
        <v>302</v>
      </c>
      <c r="AH199" s="153">
        <v>4.2627035239995106</v>
      </c>
      <c r="AJ199" s="153" t="s">
        <v>52</v>
      </c>
      <c r="AK199" s="153" t="s">
        <v>17</v>
      </c>
      <c r="AL199" s="153" t="s">
        <v>28</v>
      </c>
      <c r="AM199" s="153" t="s">
        <v>51</v>
      </c>
      <c r="AN199" s="153" t="s">
        <v>302</v>
      </c>
      <c r="AO199" s="153">
        <v>1.2660653405282909</v>
      </c>
      <c r="AR199" s="77"/>
      <c r="AS199" s="77"/>
      <c r="AT199" s="77"/>
      <c r="AU199" s="77"/>
      <c r="AV199" s="77"/>
      <c r="AW199" s="77"/>
    </row>
    <row r="200" spans="17:49">
      <c r="AC200" s="153" t="s">
        <v>52</v>
      </c>
      <c r="AD200" s="153" t="s">
        <v>17</v>
      </c>
      <c r="AE200" s="153" t="s">
        <v>72</v>
      </c>
      <c r="AF200" s="153" t="s">
        <v>51</v>
      </c>
      <c r="AG200" s="153" t="s">
        <v>303</v>
      </c>
      <c r="AH200" s="153">
        <v>4.3069167186221247</v>
      </c>
      <c r="AJ200" s="153" t="s">
        <v>52</v>
      </c>
      <c r="AK200" s="153" t="s">
        <v>17</v>
      </c>
      <c r="AL200" s="153" t="s">
        <v>28</v>
      </c>
      <c r="AM200" s="153" t="s">
        <v>51</v>
      </c>
      <c r="AN200" s="153" t="s">
        <v>303</v>
      </c>
      <c r="AO200" s="153">
        <v>1.3570180295719645</v>
      </c>
    </row>
    <row r="201" spans="17:49">
      <c r="AC201" s="153" t="s">
        <v>52</v>
      </c>
      <c r="AD201" s="153" t="s">
        <v>17</v>
      </c>
      <c r="AE201" s="153" t="s">
        <v>72</v>
      </c>
      <c r="AF201" s="153" t="s">
        <v>51</v>
      </c>
      <c r="AG201" s="153" t="s">
        <v>304</v>
      </c>
      <c r="AH201" s="153">
        <v>4.2484108996908265</v>
      </c>
      <c r="AJ201" s="153" t="s">
        <v>52</v>
      </c>
      <c r="AK201" s="153" t="s">
        <v>17</v>
      </c>
      <c r="AL201" s="153" t="s">
        <v>28</v>
      </c>
      <c r="AM201" s="153" t="s">
        <v>51</v>
      </c>
      <c r="AN201" s="153" t="s">
        <v>304</v>
      </c>
      <c r="AO201" s="153">
        <v>1.2734836008092065</v>
      </c>
    </row>
    <row r="202" spans="17:49">
      <c r="AC202" s="153" t="s">
        <v>52</v>
      </c>
      <c r="AD202" s="153" t="s">
        <v>17</v>
      </c>
      <c r="AE202" s="153" t="s">
        <v>72</v>
      </c>
      <c r="AF202" s="153" t="s">
        <v>51</v>
      </c>
      <c r="AG202" s="153" t="s">
        <v>305</v>
      </c>
      <c r="AH202" s="153">
        <v>4.2659844704607144</v>
      </c>
      <c r="AJ202" s="153" t="s">
        <v>52</v>
      </c>
      <c r="AK202" s="153" t="s">
        <v>17</v>
      </c>
      <c r="AL202" s="153" t="s">
        <v>28</v>
      </c>
      <c r="AM202" s="153" t="s">
        <v>51</v>
      </c>
      <c r="AN202" s="153" t="s">
        <v>305</v>
      </c>
      <c r="AO202" s="153">
        <v>1.3075282124049146</v>
      </c>
    </row>
    <row r="203" spans="17:49">
      <c r="AC203" s="153" t="s">
        <v>52</v>
      </c>
      <c r="AD203" s="153" t="s">
        <v>17</v>
      </c>
      <c r="AE203" s="153" t="s">
        <v>72</v>
      </c>
      <c r="AF203" s="153" t="s">
        <v>51</v>
      </c>
      <c r="AG203" s="153" t="s">
        <v>306</v>
      </c>
      <c r="AH203" s="153">
        <v>4.2718381667285747</v>
      </c>
      <c r="AJ203" s="153" t="s">
        <v>52</v>
      </c>
      <c r="AK203" s="153" t="s">
        <v>17</v>
      </c>
      <c r="AL203" s="153" t="s">
        <v>28</v>
      </c>
      <c r="AM203" s="153" t="s">
        <v>51</v>
      </c>
      <c r="AN203" s="153" t="s">
        <v>306</v>
      </c>
      <c r="AO203" s="153">
        <v>1.2743103380172947</v>
      </c>
    </row>
    <row r="204" spans="17:49">
      <c r="AC204" s="153" t="s">
        <v>52</v>
      </c>
      <c r="AD204" s="153" t="s">
        <v>17</v>
      </c>
      <c r="AE204" s="153" t="s">
        <v>72</v>
      </c>
      <c r="AF204" s="153" t="s">
        <v>51</v>
      </c>
      <c r="AG204" s="153" t="s">
        <v>307</v>
      </c>
      <c r="AH204" s="153">
        <v>4.2981540865235441</v>
      </c>
      <c r="AJ204" s="153" t="s">
        <v>52</v>
      </c>
      <c r="AK204" s="153" t="s">
        <v>17</v>
      </c>
      <c r="AL204" s="153" t="s">
        <v>28</v>
      </c>
      <c r="AM204" s="153" t="s">
        <v>51</v>
      </c>
      <c r="AN204" s="153" t="s">
        <v>307</v>
      </c>
      <c r="AO204" s="153">
        <v>1.3677663287902744</v>
      </c>
    </row>
    <row r="205" spans="17:49">
      <c r="AC205" s="153" t="s">
        <v>52</v>
      </c>
      <c r="AD205" s="153" t="s">
        <v>17</v>
      </c>
      <c r="AE205" s="153" t="s">
        <v>72</v>
      </c>
      <c r="AF205" s="153" t="s">
        <v>51</v>
      </c>
      <c r="AG205" s="153" t="s">
        <v>308</v>
      </c>
      <c r="AH205" s="153">
        <v>4.321169846229119</v>
      </c>
      <c r="AJ205" s="153" t="s">
        <v>52</v>
      </c>
      <c r="AK205" s="153" t="s">
        <v>17</v>
      </c>
      <c r="AL205" s="153" t="s">
        <v>28</v>
      </c>
      <c r="AM205" s="153" t="s">
        <v>51</v>
      </c>
      <c r="AN205" s="153" t="s">
        <v>308</v>
      </c>
      <c r="AO205" s="153">
        <v>1.3254780800427091</v>
      </c>
    </row>
    <row r="206" spans="17:49">
      <c r="AC206" s="153" t="s">
        <v>52</v>
      </c>
      <c r="AD206" s="153" t="s">
        <v>17</v>
      </c>
      <c r="AE206" s="153" t="s">
        <v>72</v>
      </c>
      <c r="AF206" s="153" t="s">
        <v>51</v>
      </c>
      <c r="AG206" s="153" t="s">
        <v>309</v>
      </c>
      <c r="AH206" s="153">
        <v>4.432241325153659</v>
      </c>
      <c r="AJ206" s="153" t="s">
        <v>52</v>
      </c>
      <c r="AK206" s="153" t="s">
        <v>17</v>
      </c>
      <c r="AL206" s="153" t="s">
        <v>28</v>
      </c>
      <c r="AM206" s="153" t="s">
        <v>51</v>
      </c>
      <c r="AN206" s="153" t="s">
        <v>309</v>
      </c>
      <c r="AO206" s="153">
        <v>1.4044868536168289</v>
      </c>
    </row>
    <row r="207" spans="17:49">
      <c r="AC207" s="153" t="s">
        <v>52</v>
      </c>
      <c r="AD207" s="153" t="s">
        <v>17</v>
      </c>
      <c r="AE207" s="153" t="s">
        <v>72</v>
      </c>
      <c r="AF207" s="153" t="s">
        <v>51</v>
      </c>
      <c r="AG207" s="153" t="s">
        <v>310</v>
      </c>
      <c r="AH207" s="153">
        <v>4.3881507237947863</v>
      </c>
      <c r="AJ207" s="153" t="s">
        <v>52</v>
      </c>
      <c r="AK207" s="153" t="s">
        <v>17</v>
      </c>
      <c r="AL207" s="153" t="s">
        <v>28</v>
      </c>
      <c r="AM207" s="153" t="s">
        <v>51</v>
      </c>
      <c r="AN207" s="153" t="s">
        <v>310</v>
      </c>
      <c r="AO207" s="153">
        <v>1.3544437066204464</v>
      </c>
    </row>
    <row r="208" spans="17:49">
      <c r="AC208" s="153" t="s">
        <v>52</v>
      </c>
      <c r="AD208" s="153" t="s">
        <v>17</v>
      </c>
      <c r="AE208" s="153" t="s">
        <v>72</v>
      </c>
      <c r="AF208" s="153" t="s">
        <v>51</v>
      </c>
      <c r="AG208" s="153" t="s">
        <v>234</v>
      </c>
      <c r="AH208" s="153">
        <v>4.309493139938624</v>
      </c>
      <c r="AJ208" s="153" t="s">
        <v>52</v>
      </c>
      <c r="AK208" s="153" t="s">
        <v>17</v>
      </c>
      <c r="AL208" s="153" t="s">
        <v>28</v>
      </c>
      <c r="AM208" s="153" t="s">
        <v>51</v>
      </c>
      <c r="AN208" s="153" t="s">
        <v>234</v>
      </c>
      <c r="AO208" s="153">
        <v>1.3156388603539744</v>
      </c>
    </row>
    <row r="209" spans="29:41">
      <c r="AC209" s="153" t="s">
        <v>52</v>
      </c>
      <c r="AD209" s="153" t="s">
        <v>17</v>
      </c>
      <c r="AE209" s="153" t="s">
        <v>72</v>
      </c>
      <c r="AF209" s="153" t="s">
        <v>51</v>
      </c>
      <c r="AG209" s="153" t="s">
        <v>311</v>
      </c>
      <c r="AH209" s="153">
        <v>4.3039963598094522</v>
      </c>
      <c r="AJ209" s="153" t="s">
        <v>52</v>
      </c>
      <c r="AK209" s="153" t="s">
        <v>17</v>
      </c>
      <c r="AL209" s="153" t="s">
        <v>28</v>
      </c>
      <c r="AM209" s="153" t="s">
        <v>51</v>
      </c>
      <c r="AN209" s="153" t="s">
        <v>311</v>
      </c>
      <c r="AO209" s="153">
        <v>1.3385508778243123</v>
      </c>
    </row>
    <row r="210" spans="29:41">
      <c r="AC210" s="153" t="s">
        <v>52</v>
      </c>
      <c r="AD210" s="153" t="s">
        <v>17</v>
      </c>
      <c r="AE210" s="153" t="s">
        <v>72</v>
      </c>
      <c r="AF210" s="153" t="s">
        <v>51</v>
      </c>
      <c r="AG210" s="153" t="s">
        <v>312</v>
      </c>
      <c r="AH210" s="153">
        <v>4.2601286944480448</v>
      </c>
      <c r="AJ210" s="153" t="s">
        <v>52</v>
      </c>
      <c r="AK210" s="153" t="s">
        <v>17</v>
      </c>
      <c r="AL210" s="153" t="s">
        <v>28</v>
      </c>
      <c r="AM210" s="153" t="s">
        <v>51</v>
      </c>
      <c r="AN210" s="153" t="s">
        <v>312</v>
      </c>
      <c r="AO210" s="153">
        <v>1.2870112907839844</v>
      </c>
    </row>
    <row r="211" spans="29:41">
      <c r="AC211" s="153" t="s">
        <v>52</v>
      </c>
      <c r="AD211" s="153" t="s">
        <v>17</v>
      </c>
      <c r="AE211" s="153" t="s">
        <v>72</v>
      </c>
      <c r="AF211" s="153" t="s">
        <v>51</v>
      </c>
      <c r="AG211" s="153" t="s">
        <v>313</v>
      </c>
      <c r="AH211" s="153">
        <v>4.2714866791154122</v>
      </c>
      <c r="AJ211" s="153" t="s">
        <v>52</v>
      </c>
      <c r="AK211" s="153" t="s">
        <v>17</v>
      </c>
      <c r="AL211" s="153" t="s">
        <v>28</v>
      </c>
      <c r="AM211" s="153" t="s">
        <v>51</v>
      </c>
      <c r="AN211" s="153" t="s">
        <v>313</v>
      </c>
      <c r="AO211" s="153">
        <v>1.2537269593602123</v>
      </c>
    </row>
    <row r="212" spans="29:41">
      <c r="AC212" s="153" t="s">
        <v>52</v>
      </c>
      <c r="AD212" s="153" t="s">
        <v>17</v>
      </c>
      <c r="AE212" s="153" t="s">
        <v>72</v>
      </c>
      <c r="AF212" s="153" t="s">
        <v>51</v>
      </c>
      <c r="AG212" s="153" t="s">
        <v>233</v>
      </c>
      <c r="AH212" s="153">
        <v>4.3677940887453044</v>
      </c>
      <c r="AJ212" s="153" t="s">
        <v>52</v>
      </c>
      <c r="AK212" s="153" t="s">
        <v>17</v>
      </c>
      <c r="AL212" s="153" t="s">
        <v>28</v>
      </c>
      <c r="AM212" s="153" t="s">
        <v>51</v>
      </c>
      <c r="AN212" s="153" t="s">
        <v>233</v>
      </c>
      <c r="AO212" s="153">
        <v>1.3251860611656945</v>
      </c>
    </row>
    <row r="213" spans="29:41">
      <c r="AC213" s="153" t="s">
        <v>52</v>
      </c>
      <c r="AD213" s="153" t="s">
        <v>17</v>
      </c>
      <c r="AE213" s="153" t="s">
        <v>72</v>
      </c>
      <c r="AF213" s="153" t="s">
        <v>51</v>
      </c>
      <c r="AG213" s="153" t="s">
        <v>236</v>
      </c>
      <c r="AH213" s="153">
        <v>4.3648839395113539</v>
      </c>
      <c r="AJ213" s="153" t="s">
        <v>52</v>
      </c>
      <c r="AK213" s="153" t="s">
        <v>17</v>
      </c>
      <c r="AL213" s="153" t="s">
        <v>28</v>
      </c>
      <c r="AM213" s="153" t="s">
        <v>51</v>
      </c>
      <c r="AN213" s="153" t="s">
        <v>236</v>
      </c>
      <c r="AO213" s="153">
        <v>1.3373072731047437</v>
      </c>
    </row>
    <row r="214" spans="29:41">
      <c r="AC214" s="153" t="s">
        <v>52</v>
      </c>
      <c r="AD214" s="153" t="s">
        <v>17</v>
      </c>
      <c r="AE214" s="153" t="s">
        <v>72</v>
      </c>
      <c r="AF214" s="153" t="s">
        <v>51</v>
      </c>
      <c r="AG214" s="153" t="s">
        <v>318</v>
      </c>
      <c r="AH214" s="153">
        <v>4.3794295383213715</v>
      </c>
      <c r="AJ214" s="153" t="s">
        <v>52</v>
      </c>
      <c r="AK214" s="153" t="s">
        <v>17</v>
      </c>
      <c r="AL214" s="153" t="s">
        <v>28</v>
      </c>
      <c r="AM214" s="153" t="s">
        <v>51</v>
      </c>
      <c r="AN214" s="153" t="s">
        <v>318</v>
      </c>
      <c r="AO214" s="153">
        <v>1.3764650898479416</v>
      </c>
    </row>
    <row r="215" spans="29:41">
      <c r="AC215" s="153" t="s">
        <v>52</v>
      </c>
      <c r="AD215" s="153" t="s">
        <v>17</v>
      </c>
      <c r="AE215" s="153" t="s">
        <v>72</v>
      </c>
      <c r="AF215" s="153" t="s">
        <v>51</v>
      </c>
      <c r="AG215" s="153" t="s">
        <v>319</v>
      </c>
      <c r="AH215" s="153">
        <v>4.3619732753244458</v>
      </c>
      <c r="AJ215" s="153" t="s">
        <v>52</v>
      </c>
      <c r="AK215" s="153" t="s">
        <v>17</v>
      </c>
      <c r="AL215" s="153" t="s">
        <v>28</v>
      </c>
      <c r="AM215" s="153" t="s">
        <v>51</v>
      </c>
      <c r="AN215" s="153" t="s">
        <v>319</v>
      </c>
      <c r="AO215" s="153">
        <v>1.3045849823916156</v>
      </c>
    </row>
    <row r="216" spans="29:41">
      <c r="AC216" s="153" t="s">
        <v>52</v>
      </c>
      <c r="AD216" s="153" t="s">
        <v>17</v>
      </c>
      <c r="AE216" s="153" t="s">
        <v>72</v>
      </c>
      <c r="AF216" s="153" t="s">
        <v>51</v>
      </c>
      <c r="AG216" s="153" t="s">
        <v>320</v>
      </c>
      <c r="AH216" s="153">
        <v>4.3590620960775004</v>
      </c>
      <c r="AJ216" s="153" t="s">
        <v>52</v>
      </c>
      <c r="AK216" s="153" t="s">
        <v>17</v>
      </c>
      <c r="AL216" s="153" t="s">
        <v>28</v>
      </c>
      <c r="AM216" s="153" t="s">
        <v>51</v>
      </c>
      <c r="AN216" s="153" t="s">
        <v>316</v>
      </c>
      <c r="AO216" s="153">
        <v>1.3045849823916156</v>
      </c>
    </row>
    <row r="217" spans="29:41">
      <c r="AC217" s="153" t="s">
        <v>52</v>
      </c>
      <c r="AD217" s="153" t="s">
        <v>17</v>
      </c>
      <c r="AE217" s="153" t="s">
        <v>72</v>
      </c>
      <c r="AF217" s="153" t="s">
        <v>51</v>
      </c>
      <c r="AG217" s="153" t="s">
        <v>321</v>
      </c>
      <c r="AH217" s="153">
        <v>4.3069167186221247</v>
      </c>
      <c r="AJ217" s="153" t="s">
        <v>52</v>
      </c>
      <c r="AK217" s="153" t="s">
        <v>17</v>
      </c>
      <c r="AL217" s="153" t="s">
        <v>28</v>
      </c>
      <c r="AM217" s="153" t="s">
        <v>51</v>
      </c>
      <c r="AN217" s="153" t="s">
        <v>320</v>
      </c>
      <c r="AO217" s="153">
        <v>1.3536726877957803</v>
      </c>
    </row>
    <row r="218" spans="29:41">
      <c r="AC218" s="153" t="s">
        <v>52</v>
      </c>
      <c r="AD218" s="153" t="s">
        <v>17</v>
      </c>
      <c r="AE218" s="153" t="s">
        <v>72</v>
      </c>
      <c r="AF218" s="153" t="s">
        <v>51</v>
      </c>
      <c r="AG218" s="153" t="s">
        <v>322</v>
      </c>
      <c r="AH218" s="153">
        <v>4.309493139938624</v>
      </c>
      <c r="AJ218" s="153" t="s">
        <v>52</v>
      </c>
      <c r="AK218" s="153" t="s">
        <v>17</v>
      </c>
      <c r="AL218" s="153" t="s">
        <v>28</v>
      </c>
      <c r="AM218" s="153" t="s">
        <v>51</v>
      </c>
      <c r="AN218" s="153" t="s">
        <v>321</v>
      </c>
      <c r="AO218" s="153">
        <v>1.3134640334251244</v>
      </c>
    </row>
    <row r="219" spans="29:41">
      <c r="AC219" s="153" t="s">
        <v>52</v>
      </c>
      <c r="AD219" s="153" t="s">
        <v>17</v>
      </c>
      <c r="AE219" s="153" t="s">
        <v>72</v>
      </c>
      <c r="AF219" s="153" t="s">
        <v>51</v>
      </c>
      <c r="AG219" s="153" t="s">
        <v>323</v>
      </c>
      <c r="AH219" s="153">
        <v>4.3039963598094522</v>
      </c>
      <c r="AJ219" s="153" t="s">
        <v>52</v>
      </c>
      <c r="AK219" s="153" t="s">
        <v>17</v>
      </c>
      <c r="AL219" s="153" t="s">
        <v>28</v>
      </c>
      <c r="AM219" s="153" t="s">
        <v>51</v>
      </c>
      <c r="AN219" s="153" t="s">
        <v>322</v>
      </c>
      <c r="AO219" s="153">
        <v>1.3143558607289445</v>
      </c>
    </row>
    <row r="220" spans="29:41">
      <c r="AC220" s="153" t="s">
        <v>52</v>
      </c>
      <c r="AD220" s="153" t="s">
        <v>17</v>
      </c>
      <c r="AE220" s="153" t="s">
        <v>72</v>
      </c>
      <c r="AF220" s="153" t="s">
        <v>51</v>
      </c>
      <c r="AG220" s="153" t="s">
        <v>324</v>
      </c>
      <c r="AH220" s="153">
        <v>4.2542708378161587</v>
      </c>
      <c r="AJ220" s="153" t="s">
        <v>52</v>
      </c>
      <c r="AK220" s="153" t="s">
        <v>17</v>
      </c>
      <c r="AL220" s="153" t="s">
        <v>28</v>
      </c>
      <c r="AM220" s="153" t="s">
        <v>51</v>
      </c>
      <c r="AN220" s="153" t="s">
        <v>323</v>
      </c>
      <c r="AO220" s="153">
        <v>1.3705958396256928</v>
      </c>
    </row>
    <row r="221" spans="29:41">
      <c r="AC221" s="153" t="s">
        <v>52</v>
      </c>
      <c r="AD221" s="153" t="s">
        <v>17</v>
      </c>
      <c r="AE221" s="153" t="s">
        <v>72</v>
      </c>
      <c r="AF221" s="153" t="s">
        <v>51</v>
      </c>
      <c r="AG221" s="153" t="s">
        <v>325</v>
      </c>
      <c r="AH221" s="153">
        <v>4.2718381667285747</v>
      </c>
      <c r="AJ221" s="153" t="s">
        <v>52</v>
      </c>
      <c r="AK221" s="153" t="s">
        <v>17</v>
      </c>
      <c r="AL221" s="153" t="s">
        <v>28</v>
      </c>
      <c r="AM221" s="153" t="s">
        <v>51</v>
      </c>
      <c r="AN221" s="153" t="s">
        <v>324</v>
      </c>
      <c r="AO221" s="153">
        <v>1.3423201379171987</v>
      </c>
    </row>
    <row r="222" spans="29:41">
      <c r="AC222" s="153" t="s">
        <v>52</v>
      </c>
      <c r="AD222" s="153" t="s">
        <v>17</v>
      </c>
      <c r="AE222" s="153" t="s">
        <v>72</v>
      </c>
      <c r="AF222" s="153" t="s">
        <v>51</v>
      </c>
      <c r="AG222" s="153" t="s">
        <v>326</v>
      </c>
      <c r="AH222" s="153">
        <v>4.2864633142523001</v>
      </c>
      <c r="AJ222" s="153" t="s">
        <v>52</v>
      </c>
      <c r="AK222" s="153" t="s">
        <v>17</v>
      </c>
      <c r="AL222" s="153" t="s">
        <v>28</v>
      </c>
      <c r="AM222" s="153" t="s">
        <v>51</v>
      </c>
      <c r="AN222" s="153" t="s">
        <v>325</v>
      </c>
      <c r="AO222" s="153">
        <v>1.3863813589102647</v>
      </c>
    </row>
    <row r="223" spans="29:41">
      <c r="AC223" s="153" t="s">
        <v>52</v>
      </c>
      <c r="AD223" s="153" t="s">
        <v>17</v>
      </c>
      <c r="AE223" s="153" t="s">
        <v>72</v>
      </c>
      <c r="AF223" s="153" t="s">
        <v>51</v>
      </c>
      <c r="AG223" s="153" t="s">
        <v>327</v>
      </c>
      <c r="AH223" s="153">
        <v>4.2278847118467544</v>
      </c>
      <c r="AJ223" s="153" t="s">
        <v>52</v>
      </c>
      <c r="AK223" s="153" t="s">
        <v>17</v>
      </c>
      <c r="AL223" s="153" t="s">
        <v>28</v>
      </c>
      <c r="AM223" s="153" t="s">
        <v>51</v>
      </c>
      <c r="AN223" s="153" t="s">
        <v>326</v>
      </c>
      <c r="AO223" s="153">
        <v>1.3886290832632</v>
      </c>
    </row>
    <row r="224" spans="29:41">
      <c r="AC224" s="153" t="s">
        <v>52</v>
      </c>
      <c r="AD224" s="153" t="s">
        <v>17</v>
      </c>
      <c r="AE224" s="153" t="s">
        <v>72</v>
      </c>
      <c r="AF224" s="153" t="s">
        <v>51</v>
      </c>
      <c r="AG224" s="153" t="s">
        <v>328</v>
      </c>
      <c r="AH224" s="153">
        <v>4.2601286944480448</v>
      </c>
      <c r="AJ224" s="153" t="s">
        <v>52</v>
      </c>
      <c r="AK224" s="153" t="s">
        <v>17</v>
      </c>
      <c r="AL224" s="153" t="s">
        <v>28</v>
      </c>
      <c r="AM224" s="153" t="s">
        <v>51</v>
      </c>
      <c r="AN224" s="153" t="s">
        <v>327</v>
      </c>
      <c r="AO224" s="153">
        <v>1.3854108228953741</v>
      </c>
    </row>
    <row r="225" spans="29:41">
      <c r="AC225" s="153" t="s">
        <v>52</v>
      </c>
      <c r="AD225" s="153" t="s">
        <v>17</v>
      </c>
      <c r="AE225" s="153" t="s">
        <v>72</v>
      </c>
      <c r="AF225" s="153" t="s">
        <v>51</v>
      </c>
      <c r="AG225" s="153" t="s">
        <v>329</v>
      </c>
      <c r="AH225" s="153">
        <v>4.2337519420959611</v>
      </c>
      <c r="AJ225" s="153" t="s">
        <v>52</v>
      </c>
      <c r="AK225" s="153" t="s">
        <v>17</v>
      </c>
      <c r="AL225" s="153" t="s">
        <v>28</v>
      </c>
      <c r="AM225" s="153" t="s">
        <v>51</v>
      </c>
      <c r="AN225" s="153" t="s">
        <v>328</v>
      </c>
      <c r="AO225" s="153">
        <v>1.4473345312009749</v>
      </c>
    </row>
    <row r="226" spans="29:41">
      <c r="AC226" s="153" t="s">
        <v>52</v>
      </c>
      <c r="AD226" s="153" t="s">
        <v>17</v>
      </c>
      <c r="AE226" s="153" t="s">
        <v>72</v>
      </c>
      <c r="AF226" s="153" t="s">
        <v>51</v>
      </c>
      <c r="AG226" s="153" t="s">
        <v>330</v>
      </c>
      <c r="AH226" s="153">
        <v>4.2320514457091392</v>
      </c>
      <c r="AJ226" s="153" t="s">
        <v>52</v>
      </c>
      <c r="AK226" s="153" t="s">
        <v>17</v>
      </c>
      <c r="AL226" s="153" t="s">
        <v>28</v>
      </c>
      <c r="AM226" s="153" t="s">
        <v>51</v>
      </c>
      <c r="AN226" s="153" t="s">
        <v>329</v>
      </c>
      <c r="AO226" s="153">
        <v>1.4080731740635712</v>
      </c>
    </row>
    <row r="227" spans="29:41">
      <c r="AC227" s="153" t="s">
        <v>52</v>
      </c>
      <c r="AD227" s="153" t="s">
        <v>17</v>
      </c>
      <c r="AE227" s="153" t="s">
        <v>72</v>
      </c>
      <c r="AF227" s="153" t="s">
        <v>51</v>
      </c>
      <c r="AG227" s="153" t="s">
        <v>331</v>
      </c>
      <c r="AH227" s="153">
        <v>4.1720418893230349</v>
      </c>
      <c r="AJ227" s="153" t="s">
        <v>52</v>
      </c>
      <c r="AK227" s="153" t="s">
        <v>17</v>
      </c>
      <c r="AL227" s="153" t="s">
        <v>28</v>
      </c>
      <c r="AM227" s="153" t="s">
        <v>51</v>
      </c>
      <c r="AN227" s="153" t="s">
        <v>330</v>
      </c>
      <c r="AO227" s="153">
        <v>1.4494934492133089</v>
      </c>
    </row>
    <row r="228" spans="29:41">
      <c r="AC228" s="153" t="s">
        <v>52</v>
      </c>
      <c r="AD228" s="153" t="s">
        <v>17</v>
      </c>
      <c r="AE228" s="153" t="s">
        <v>72</v>
      </c>
      <c r="AF228" s="153" t="s">
        <v>51</v>
      </c>
      <c r="AG228" s="153" t="s">
        <v>332</v>
      </c>
      <c r="AH228" s="153">
        <v>4.1997588253638858</v>
      </c>
      <c r="AJ228" s="153" t="s">
        <v>52</v>
      </c>
      <c r="AK228" s="153" t="s">
        <v>17</v>
      </c>
      <c r="AL228" s="153" t="s">
        <v>28</v>
      </c>
      <c r="AM228" s="153" t="s">
        <v>51</v>
      </c>
      <c r="AN228" s="153" t="s">
        <v>331</v>
      </c>
      <c r="AO228" s="153">
        <v>1.3836634107198553</v>
      </c>
    </row>
    <row r="229" spans="29:41">
      <c r="AC229" s="153" t="s">
        <v>52</v>
      </c>
      <c r="AD229" s="153" t="s">
        <v>17</v>
      </c>
      <c r="AE229" s="153" t="s">
        <v>72</v>
      </c>
      <c r="AF229" s="153" t="s">
        <v>51</v>
      </c>
      <c r="AG229" s="153" t="s">
        <v>333</v>
      </c>
      <c r="AH229" s="153">
        <v>4.1349833248614178</v>
      </c>
      <c r="AJ229" s="153" t="s">
        <v>52</v>
      </c>
      <c r="AK229" s="153" t="s">
        <v>17</v>
      </c>
      <c r="AL229" s="153" t="s">
        <v>28</v>
      </c>
      <c r="AM229" s="153" t="s">
        <v>51</v>
      </c>
      <c r="AN229" s="153" t="s">
        <v>332</v>
      </c>
      <c r="AO229" s="153">
        <v>1.4597632425587055</v>
      </c>
    </row>
    <row r="230" spans="29:41">
      <c r="AC230" s="153" t="s">
        <v>52</v>
      </c>
      <c r="AD230" s="153" t="s">
        <v>17</v>
      </c>
      <c r="AE230" s="153" t="s">
        <v>72</v>
      </c>
      <c r="AF230" s="153" t="s">
        <v>51</v>
      </c>
      <c r="AG230" s="153" t="s">
        <v>334</v>
      </c>
      <c r="AH230" s="153">
        <v>4.2190799560072145</v>
      </c>
      <c r="AJ230" s="153" t="s">
        <v>52</v>
      </c>
      <c r="AK230" s="153" t="s">
        <v>17</v>
      </c>
      <c r="AL230" s="153" t="s">
        <v>28</v>
      </c>
      <c r="AM230" s="153" t="s">
        <v>51</v>
      </c>
      <c r="AN230" s="153" t="s">
        <v>333</v>
      </c>
      <c r="AO230" s="153">
        <v>1.3715115359863181</v>
      </c>
    </row>
    <row r="231" spans="29:41">
      <c r="AC231" s="153" t="s">
        <v>52</v>
      </c>
      <c r="AD231" s="153" t="s">
        <v>17</v>
      </c>
      <c r="AE231" s="153" t="s">
        <v>72</v>
      </c>
      <c r="AF231" s="153" t="s">
        <v>51</v>
      </c>
      <c r="AG231" s="153" t="s">
        <v>335</v>
      </c>
      <c r="AH231" s="153">
        <v>4.1955776447865043</v>
      </c>
      <c r="AJ231" s="153" t="s">
        <v>52</v>
      </c>
      <c r="AK231" s="153" t="s">
        <v>17</v>
      </c>
      <c r="AL231" s="153" t="s">
        <v>28</v>
      </c>
      <c r="AM231" s="153" t="s">
        <v>51</v>
      </c>
      <c r="AN231" s="153" t="s">
        <v>334</v>
      </c>
      <c r="AO231" s="153">
        <v>1.4305891441309952</v>
      </c>
    </row>
    <row r="232" spans="29:41">
      <c r="AC232" s="153" t="s">
        <v>52</v>
      </c>
      <c r="AD232" s="153" t="s">
        <v>17</v>
      </c>
      <c r="AE232" s="153" t="s">
        <v>72</v>
      </c>
      <c r="AF232" s="153" t="s">
        <v>51</v>
      </c>
      <c r="AG232" s="153" t="s">
        <v>315</v>
      </c>
      <c r="AH232" s="153">
        <v>4.2026971345497621</v>
      </c>
      <c r="AJ232" s="153" t="s">
        <v>52</v>
      </c>
      <c r="AK232" s="153" t="s">
        <v>17</v>
      </c>
      <c r="AL232" s="153" t="s">
        <v>28</v>
      </c>
      <c r="AM232" s="153" t="s">
        <v>51</v>
      </c>
      <c r="AN232" s="153" t="s">
        <v>335</v>
      </c>
      <c r="AO232" s="153">
        <v>1.4253647034813144</v>
      </c>
    </row>
    <row r="233" spans="29:41">
      <c r="AC233" s="153" t="s">
        <v>52</v>
      </c>
      <c r="AD233" s="153" t="s">
        <v>17</v>
      </c>
      <c r="AE233" s="153" t="s">
        <v>72</v>
      </c>
      <c r="AF233" s="153" t="s">
        <v>51</v>
      </c>
      <c r="AG233" s="153" t="s">
        <v>336</v>
      </c>
      <c r="AH233" s="153">
        <v>4.2026971345497621</v>
      </c>
      <c r="AJ233" s="153" t="s">
        <v>52</v>
      </c>
      <c r="AK233" s="153" t="s">
        <v>17</v>
      </c>
      <c r="AL233" s="153" t="s">
        <v>28</v>
      </c>
      <c r="AM233" s="153" t="s">
        <v>51</v>
      </c>
      <c r="AN233" s="153" t="s">
        <v>315</v>
      </c>
      <c r="AO233" s="153">
        <v>1.471013855491812</v>
      </c>
    </row>
    <row r="234" spans="29:41">
      <c r="AC234" s="153" t="s">
        <v>52</v>
      </c>
      <c r="AD234" s="153" t="s">
        <v>17</v>
      </c>
      <c r="AE234" s="153" t="s">
        <v>72</v>
      </c>
      <c r="AF234" s="153" t="s">
        <v>51</v>
      </c>
      <c r="AG234" s="153" t="s">
        <v>337</v>
      </c>
      <c r="AH234" s="153">
        <v>4.1690975655386646</v>
      </c>
      <c r="AJ234" s="153" t="s">
        <v>52</v>
      </c>
      <c r="AK234" s="153" t="s">
        <v>17</v>
      </c>
      <c r="AL234" s="153" t="s">
        <v>28</v>
      </c>
      <c r="AM234" s="153" t="s">
        <v>51</v>
      </c>
      <c r="AN234" s="153" t="s">
        <v>336</v>
      </c>
      <c r="AO234" s="153">
        <v>1.4669569286560922</v>
      </c>
    </row>
    <row r="235" spans="29:41">
      <c r="AC235" s="153" t="s">
        <v>52</v>
      </c>
      <c r="AD235" s="153" t="s">
        <v>17</v>
      </c>
      <c r="AE235" s="153" t="s">
        <v>72</v>
      </c>
      <c r="AF235" s="153" t="s">
        <v>51</v>
      </c>
      <c r="AG235" s="153" t="s">
        <v>338</v>
      </c>
      <c r="AH235" s="153">
        <v>4.1556212785682742</v>
      </c>
      <c r="AJ235" s="153" t="s">
        <v>52</v>
      </c>
      <c r="AK235" s="153" t="s">
        <v>17</v>
      </c>
      <c r="AL235" s="153" t="s">
        <v>28</v>
      </c>
      <c r="AM235" s="153" t="s">
        <v>51</v>
      </c>
      <c r="AN235" s="153" t="s">
        <v>337</v>
      </c>
      <c r="AO235" s="153">
        <v>1.4622451459210546</v>
      </c>
    </row>
    <row r="236" spans="29:41">
      <c r="AC236" s="153" t="s">
        <v>52</v>
      </c>
      <c r="AD236" s="153" t="s">
        <v>17</v>
      </c>
      <c r="AE236" s="153" t="s">
        <v>72</v>
      </c>
      <c r="AF236" s="153" t="s">
        <v>51</v>
      </c>
      <c r="AG236" s="153" t="s">
        <v>314</v>
      </c>
      <c r="AH236" s="153">
        <v>4.1938806357020679</v>
      </c>
      <c r="AJ236" s="153" t="s">
        <v>52</v>
      </c>
      <c r="AK236" s="153" t="s">
        <v>17</v>
      </c>
      <c r="AL236" s="153" t="s">
        <v>28</v>
      </c>
      <c r="AM236" s="153" t="s">
        <v>51</v>
      </c>
      <c r="AN236" s="153" t="s">
        <v>338</v>
      </c>
      <c r="AO236" s="153">
        <v>1.5080867553428343</v>
      </c>
    </row>
    <row r="237" spans="29:41">
      <c r="AC237" s="153" t="s">
        <v>52</v>
      </c>
      <c r="AD237" s="153" t="s">
        <v>17</v>
      </c>
      <c r="AE237" s="153" t="s">
        <v>72</v>
      </c>
      <c r="AF237" s="153" t="s">
        <v>51</v>
      </c>
      <c r="AG237" s="153" t="s">
        <v>317</v>
      </c>
      <c r="AH237" s="153">
        <v>4.105455800854287</v>
      </c>
      <c r="AJ237" s="153" t="s">
        <v>52</v>
      </c>
      <c r="AK237" s="153" t="s">
        <v>17</v>
      </c>
      <c r="AL237" s="153" t="s">
        <v>28</v>
      </c>
      <c r="AM237" s="153" t="s">
        <v>51</v>
      </c>
      <c r="AN237" s="153" t="s">
        <v>314</v>
      </c>
      <c r="AO237" s="153">
        <v>1.4856058780086481</v>
      </c>
    </row>
    <row r="238" spans="29:41">
      <c r="AC238" s="153" t="s">
        <v>52</v>
      </c>
      <c r="AD238" s="153" t="s">
        <v>17</v>
      </c>
      <c r="AE238" s="153" t="s">
        <v>72</v>
      </c>
      <c r="AF238" s="153" t="s">
        <v>51</v>
      </c>
      <c r="AG238" s="153" t="s">
        <v>344</v>
      </c>
      <c r="AH238" s="153">
        <v>4.099543972372329</v>
      </c>
      <c r="AJ238" s="153" t="s">
        <v>52</v>
      </c>
      <c r="AK238" s="153" t="s">
        <v>17</v>
      </c>
      <c r="AL238" s="153" t="s">
        <v>28</v>
      </c>
      <c r="AM238" s="153" t="s">
        <v>51</v>
      </c>
      <c r="AN238" s="153" t="s">
        <v>317</v>
      </c>
      <c r="AO238" s="153">
        <v>1.4881669876185573</v>
      </c>
    </row>
    <row r="239" spans="29:41">
      <c r="AC239" s="153" t="s">
        <v>52</v>
      </c>
      <c r="AD239" s="153" t="s">
        <v>17</v>
      </c>
      <c r="AE239" s="153" t="s">
        <v>72</v>
      </c>
      <c r="AF239" s="153" t="s">
        <v>51</v>
      </c>
      <c r="AG239" s="153" t="s">
        <v>342</v>
      </c>
      <c r="AH239" s="153">
        <v>4.0788359508504897</v>
      </c>
      <c r="AJ239" s="153" t="s">
        <v>52</v>
      </c>
      <c r="AK239" s="153" t="s">
        <v>17</v>
      </c>
      <c r="AL239" s="153" t="s">
        <v>28</v>
      </c>
      <c r="AM239" s="153" t="s">
        <v>51</v>
      </c>
      <c r="AN239" s="153" t="s">
        <v>344</v>
      </c>
      <c r="AO239" s="153">
        <v>1.4844511566695289</v>
      </c>
    </row>
    <row r="240" spans="29:41">
      <c r="AC240" s="153" t="s">
        <v>52</v>
      </c>
      <c r="AD240" s="153" t="s">
        <v>17</v>
      </c>
      <c r="AE240" s="153" t="s">
        <v>72</v>
      </c>
      <c r="AF240" s="153" t="s">
        <v>51</v>
      </c>
      <c r="AG240" s="153" t="s">
        <v>345</v>
      </c>
      <c r="AH240" s="153">
        <v>4.0936300339223344</v>
      </c>
      <c r="AJ240" s="153" t="s">
        <v>52</v>
      </c>
      <c r="AK240" s="153" t="s">
        <v>17</v>
      </c>
      <c r="AL240" s="153" t="s">
        <v>28</v>
      </c>
      <c r="AM240" s="153" t="s">
        <v>51</v>
      </c>
      <c r="AN240" s="153" t="s">
        <v>342</v>
      </c>
      <c r="AO240" s="153">
        <v>1.4593132797314694</v>
      </c>
    </row>
    <row r="241" spans="29:41">
      <c r="AC241" s="153" t="s">
        <v>52</v>
      </c>
      <c r="AD241" s="153" t="s">
        <v>17</v>
      </c>
      <c r="AE241" s="153" t="s">
        <v>72</v>
      </c>
      <c r="AF241" s="153" t="s">
        <v>51</v>
      </c>
      <c r="AG241" s="153" t="s">
        <v>346</v>
      </c>
      <c r="AH241" s="153">
        <v>4.0610656170015185</v>
      </c>
      <c r="AJ241" s="153" t="s">
        <v>52</v>
      </c>
      <c r="AK241" s="153" t="s">
        <v>17</v>
      </c>
      <c r="AL241" s="153" t="s">
        <v>28</v>
      </c>
      <c r="AM241" s="153" t="s">
        <v>51</v>
      </c>
      <c r="AN241" s="153" t="s">
        <v>345</v>
      </c>
      <c r="AO241" s="153">
        <v>1.4833063792512247</v>
      </c>
    </row>
    <row r="242" spans="29:41">
      <c r="AC242" s="153" t="s">
        <v>52</v>
      </c>
      <c r="AD242" s="153" t="s">
        <v>17</v>
      </c>
      <c r="AE242" s="153" t="s">
        <v>72</v>
      </c>
      <c r="AF242" s="153" t="s">
        <v>51</v>
      </c>
      <c r="AG242" s="153" t="s">
        <v>343</v>
      </c>
      <c r="AH242" s="153">
        <v>3.9711272820705292</v>
      </c>
      <c r="AJ242" s="153" t="s">
        <v>52</v>
      </c>
      <c r="AK242" s="153" t="s">
        <v>17</v>
      </c>
      <c r="AL242" s="153" t="s">
        <v>28</v>
      </c>
      <c r="AM242" s="153" t="s">
        <v>51</v>
      </c>
      <c r="AN242" s="153" t="s">
        <v>346</v>
      </c>
      <c r="AO242" s="153">
        <v>1.5307222939364187</v>
      </c>
    </row>
    <row r="243" spans="29:41">
      <c r="AC243" s="153" t="s">
        <v>52</v>
      </c>
      <c r="AD243" s="153" t="s">
        <v>17</v>
      </c>
      <c r="AE243" s="153" t="s">
        <v>72</v>
      </c>
      <c r="AF243" s="153" t="s">
        <v>51</v>
      </c>
      <c r="AG243" s="153" t="s">
        <v>341</v>
      </c>
      <c r="AH243" s="153">
        <v>4.049208150466348</v>
      </c>
      <c r="AJ243" s="153" t="s">
        <v>52</v>
      </c>
      <c r="AK243" s="153" t="s">
        <v>17</v>
      </c>
      <c r="AL243" s="153" t="s">
        <v>28</v>
      </c>
      <c r="AM243" s="153" t="s">
        <v>51</v>
      </c>
      <c r="AN243" s="153" t="s">
        <v>343</v>
      </c>
      <c r="AO243" s="153">
        <v>1.4663986791732093</v>
      </c>
    </row>
    <row r="244" spans="29:41">
      <c r="AC244" s="153" t="s">
        <v>52</v>
      </c>
      <c r="AD244" s="153" t="s">
        <v>17</v>
      </c>
      <c r="AE244" s="153" t="s">
        <v>72</v>
      </c>
      <c r="AF244" s="153" t="s">
        <v>51</v>
      </c>
      <c r="AG244" s="153" t="s">
        <v>347</v>
      </c>
      <c r="AH244" s="153">
        <v>3.911443077961068</v>
      </c>
      <c r="AJ244" s="153" t="s">
        <v>52</v>
      </c>
      <c r="AK244" s="153" t="s">
        <v>17</v>
      </c>
      <c r="AL244" s="153" t="s">
        <v>28</v>
      </c>
      <c r="AM244" s="153" t="s">
        <v>51</v>
      </c>
      <c r="AN244" s="153" t="s">
        <v>341</v>
      </c>
      <c r="AO244" s="153">
        <v>1.5670778745226186</v>
      </c>
    </row>
    <row r="245" spans="29:41">
      <c r="AC245" s="153" t="s">
        <v>52</v>
      </c>
      <c r="AD245" s="153" t="s">
        <v>17</v>
      </c>
      <c r="AE245" s="153" t="s">
        <v>72</v>
      </c>
      <c r="AF245" s="153" t="s">
        <v>51</v>
      </c>
      <c r="AG245" s="153" t="s">
        <v>348</v>
      </c>
      <c r="AH245" s="153">
        <v>4.0640286610076064</v>
      </c>
      <c r="AJ245" s="153" t="s">
        <v>52</v>
      </c>
      <c r="AK245" s="153" t="s">
        <v>17</v>
      </c>
      <c r="AL245" s="153" t="s">
        <v>28</v>
      </c>
      <c r="AM245" s="153" t="s">
        <v>51</v>
      </c>
      <c r="AN245" s="153" t="s">
        <v>347</v>
      </c>
      <c r="AO245" s="153">
        <v>1.4826266007004181</v>
      </c>
    </row>
    <row r="246" spans="29:41">
      <c r="AC246" s="153" t="s">
        <v>52</v>
      </c>
      <c r="AD246" s="153" t="s">
        <v>17</v>
      </c>
      <c r="AE246" s="153" t="s">
        <v>72</v>
      </c>
      <c r="AF246" s="153" t="s">
        <v>51</v>
      </c>
      <c r="AG246" s="153" t="s">
        <v>349</v>
      </c>
      <c r="AH246" s="153">
        <v>4.0729146205057845</v>
      </c>
      <c r="AJ246" s="153" t="s">
        <v>52</v>
      </c>
      <c r="AK246" s="153" t="s">
        <v>17</v>
      </c>
      <c r="AL246" s="153" t="s">
        <v>28</v>
      </c>
      <c r="AM246" s="153" t="s">
        <v>51</v>
      </c>
      <c r="AN246" s="153" t="s">
        <v>348</v>
      </c>
      <c r="AO246" s="153">
        <v>1.5082899486235064</v>
      </c>
    </row>
    <row r="247" spans="29:41">
      <c r="AC247" s="153" t="s">
        <v>52</v>
      </c>
      <c r="AD247" s="153" t="s">
        <v>17</v>
      </c>
      <c r="AE247" s="153" t="s">
        <v>72</v>
      </c>
      <c r="AF247" s="153" t="s">
        <v>51</v>
      </c>
      <c r="AG247" s="153" t="s">
        <v>350</v>
      </c>
      <c r="AH247" s="153">
        <v>4.0729146205057845</v>
      </c>
      <c r="AJ247" s="153" t="s">
        <v>52</v>
      </c>
      <c r="AK247" s="153" t="s">
        <v>17</v>
      </c>
      <c r="AL247" s="153" t="s">
        <v>28</v>
      </c>
      <c r="AM247" s="153" t="s">
        <v>51</v>
      </c>
      <c r="AN247" s="153" t="s">
        <v>349</v>
      </c>
      <c r="AO247" s="153">
        <v>1.5107696079958746</v>
      </c>
    </row>
    <row r="248" spans="29:41">
      <c r="AC248" s="153" t="s">
        <v>52</v>
      </c>
      <c r="AD248" s="153" t="s">
        <v>17</v>
      </c>
      <c r="AE248" s="153" t="s">
        <v>72</v>
      </c>
      <c r="AF248" s="153" t="s">
        <v>51</v>
      </c>
      <c r="AG248" s="153" t="s">
        <v>351</v>
      </c>
      <c r="AH248" s="153">
        <v>4.0432762413312</v>
      </c>
      <c r="AJ248" s="153" t="s">
        <v>52</v>
      </c>
      <c r="AK248" s="153" t="s">
        <v>17</v>
      </c>
      <c r="AL248" s="153" t="s">
        <v>28</v>
      </c>
      <c r="AM248" s="153" t="s">
        <v>51</v>
      </c>
      <c r="AN248" s="153" t="s">
        <v>350</v>
      </c>
      <c r="AO248" s="153">
        <v>1.4695752342540649</v>
      </c>
    </row>
    <row r="249" spans="29:41">
      <c r="AC249" s="153" t="s">
        <v>52</v>
      </c>
      <c r="AD249" s="153" t="s">
        <v>17</v>
      </c>
      <c r="AE249" s="153" t="s">
        <v>72</v>
      </c>
      <c r="AF249" s="153" t="s">
        <v>51</v>
      </c>
      <c r="AG249" s="153" t="s">
        <v>352</v>
      </c>
      <c r="AH249" s="153">
        <v>4.0254677997339217</v>
      </c>
      <c r="AJ249" s="153" t="s">
        <v>52</v>
      </c>
      <c r="AK249" s="153" t="s">
        <v>17</v>
      </c>
      <c r="AL249" s="153" t="s">
        <v>28</v>
      </c>
      <c r="AM249" s="153" t="s">
        <v>51</v>
      </c>
      <c r="AN249" s="153" t="s">
        <v>351</v>
      </c>
      <c r="AO249" s="153">
        <v>1.4989708890486599</v>
      </c>
    </row>
    <row r="250" spans="29:41">
      <c r="AC250" s="153" t="s">
        <v>52</v>
      </c>
      <c r="AD250" s="153" t="s">
        <v>17</v>
      </c>
      <c r="AE250" s="153" t="s">
        <v>72</v>
      </c>
      <c r="AF250" s="153" t="s">
        <v>51</v>
      </c>
      <c r="AG250" s="153" t="s">
        <v>353</v>
      </c>
      <c r="AH250" s="153">
        <v>4.0758755498697496</v>
      </c>
      <c r="AJ250" s="153" t="s">
        <v>52</v>
      </c>
      <c r="AK250" s="153" t="s">
        <v>17</v>
      </c>
      <c r="AL250" s="153" t="s">
        <v>28</v>
      </c>
      <c r="AM250" s="153" t="s">
        <v>51</v>
      </c>
      <c r="AN250" s="153" t="s">
        <v>352</v>
      </c>
      <c r="AO250" s="153">
        <v>1.4805018075070322</v>
      </c>
    </row>
    <row r="251" spans="29:41">
      <c r="AC251" s="153" t="s">
        <v>52</v>
      </c>
      <c r="AD251" s="153" t="s">
        <v>17</v>
      </c>
      <c r="AE251" s="153" t="s">
        <v>72</v>
      </c>
      <c r="AF251" s="153" t="s">
        <v>51</v>
      </c>
      <c r="AG251" s="153" t="s">
        <v>354</v>
      </c>
      <c r="AH251" s="153">
        <v>4.1202261467859813</v>
      </c>
      <c r="AJ251" s="153" t="s">
        <v>52</v>
      </c>
      <c r="AK251" s="153" t="s">
        <v>17</v>
      </c>
      <c r="AL251" s="153" t="s">
        <v>28</v>
      </c>
      <c r="AM251" s="153" t="s">
        <v>51</v>
      </c>
      <c r="AN251" s="153" t="s">
        <v>353</v>
      </c>
      <c r="AO251" s="153">
        <v>1.5218460027428402</v>
      </c>
    </row>
    <row r="252" spans="29:41">
      <c r="AC252" s="153" t="s">
        <v>52</v>
      </c>
      <c r="AD252" s="153" t="s">
        <v>17</v>
      </c>
      <c r="AE252" s="153" t="s">
        <v>72</v>
      </c>
      <c r="AF252" s="153" t="s">
        <v>51</v>
      </c>
      <c r="AG252" s="153" t="s">
        <v>355</v>
      </c>
      <c r="AH252" s="153">
        <v>4.0432762413312</v>
      </c>
      <c r="AJ252" s="153" t="s">
        <v>52</v>
      </c>
      <c r="AK252" s="153" t="s">
        <v>17</v>
      </c>
      <c r="AL252" s="153" t="s">
        <v>28</v>
      </c>
      <c r="AM252" s="153" t="s">
        <v>51</v>
      </c>
      <c r="AN252" s="153" t="s">
        <v>354</v>
      </c>
      <c r="AO252" s="153">
        <v>1.5845594022269118</v>
      </c>
    </row>
    <row r="253" spans="29:41">
      <c r="AC253" s="153" t="s">
        <v>52</v>
      </c>
      <c r="AD253" s="153" t="s">
        <v>17</v>
      </c>
      <c r="AE253" s="153" t="s">
        <v>72</v>
      </c>
      <c r="AF253" s="153" t="s">
        <v>51</v>
      </c>
      <c r="AG253" s="153" t="s">
        <v>356</v>
      </c>
      <c r="AH253" s="153">
        <v>4.0699531626481287</v>
      </c>
      <c r="AJ253" s="153" t="s">
        <v>52</v>
      </c>
      <c r="AK253" s="153" t="s">
        <v>17</v>
      </c>
      <c r="AL253" s="153" t="s">
        <v>28</v>
      </c>
      <c r="AM253" s="153" t="s">
        <v>51</v>
      </c>
      <c r="AN253" s="153" t="s">
        <v>416</v>
      </c>
      <c r="AO253" s="153">
        <v>1.5845594022269118</v>
      </c>
    </row>
    <row r="254" spans="29:41">
      <c r="AC254" s="153" t="s">
        <v>52</v>
      </c>
      <c r="AD254" s="153" t="s">
        <v>17</v>
      </c>
      <c r="AE254" s="153" t="s">
        <v>72</v>
      </c>
      <c r="AF254" s="153" t="s">
        <v>51</v>
      </c>
      <c r="AG254" s="153" t="s">
        <v>357</v>
      </c>
      <c r="AH254" s="153">
        <v>4.087713984615517</v>
      </c>
      <c r="AJ254" s="153" t="s">
        <v>52</v>
      </c>
      <c r="AK254" s="153" t="s">
        <v>17</v>
      </c>
      <c r="AL254" s="153" t="s">
        <v>28</v>
      </c>
      <c r="AM254" s="153" t="s">
        <v>51</v>
      </c>
      <c r="AN254" s="153" t="s">
        <v>355</v>
      </c>
      <c r="AO254" s="153">
        <v>1.5496680293192999</v>
      </c>
    </row>
    <row r="255" spans="29:41">
      <c r="AC255" s="153" t="s">
        <v>52</v>
      </c>
      <c r="AD255" s="153" t="s">
        <v>17</v>
      </c>
      <c r="AE255" s="153" t="s">
        <v>72</v>
      </c>
      <c r="AF255" s="153" t="s">
        <v>51</v>
      </c>
      <c r="AG255" s="153" t="s">
        <v>358</v>
      </c>
      <c r="AH255" s="153">
        <v>4.105455800854287</v>
      </c>
      <c r="AJ255" s="153" t="s">
        <v>52</v>
      </c>
      <c r="AK255" s="153" t="s">
        <v>17</v>
      </c>
      <c r="AL255" s="153" t="s">
        <v>28</v>
      </c>
      <c r="AM255" s="153" t="s">
        <v>51</v>
      </c>
      <c r="AN255" s="153" t="s">
        <v>356</v>
      </c>
      <c r="AO255" s="153">
        <v>1.5140420222004687</v>
      </c>
    </row>
    <row r="256" spans="29:41">
      <c r="AC256" s="153" t="s">
        <v>52</v>
      </c>
      <c r="AD256" s="153" t="s">
        <v>17</v>
      </c>
      <c r="AE256" s="153" t="s">
        <v>72</v>
      </c>
      <c r="AF256" s="153" t="s">
        <v>51</v>
      </c>
      <c r="AG256" s="153" t="s">
        <v>359</v>
      </c>
      <c r="AH256" s="153">
        <v>4.1762334884512189</v>
      </c>
      <c r="AJ256" s="153" t="s">
        <v>52</v>
      </c>
      <c r="AK256" s="153" t="s">
        <v>17</v>
      </c>
      <c r="AL256" s="153" t="s">
        <v>28</v>
      </c>
      <c r="AM256" s="153" t="s">
        <v>51</v>
      </c>
      <c r="AN256" s="153" t="s">
        <v>357</v>
      </c>
      <c r="AO256" s="153">
        <v>1.5603594113879973</v>
      </c>
    </row>
    <row r="257" spans="29:41">
      <c r="AC257" s="153" t="s">
        <v>52</v>
      </c>
      <c r="AD257" s="153" t="s">
        <v>17</v>
      </c>
      <c r="AE257" s="153" t="s">
        <v>72</v>
      </c>
      <c r="AF257" s="153" t="s">
        <v>51</v>
      </c>
      <c r="AG257" s="153" t="s">
        <v>360</v>
      </c>
      <c r="AH257" s="153">
        <v>4.0551379420588836</v>
      </c>
      <c r="AJ257" s="153" t="s">
        <v>52</v>
      </c>
      <c r="AK257" s="153" t="s">
        <v>17</v>
      </c>
      <c r="AL257" s="153" t="s">
        <v>28</v>
      </c>
      <c r="AM257" s="153" t="s">
        <v>51</v>
      </c>
      <c r="AN257" s="153" t="s">
        <v>358</v>
      </c>
      <c r="AO257" s="153">
        <v>1.4894444139530072</v>
      </c>
    </row>
    <row r="258" spans="29:41">
      <c r="AC258" s="153" t="s">
        <v>52</v>
      </c>
      <c r="AD258" s="153" t="s">
        <v>17</v>
      </c>
      <c r="AE258" s="153" t="s">
        <v>72</v>
      </c>
      <c r="AF258" s="153" t="s">
        <v>51</v>
      </c>
      <c r="AG258" s="153" t="s">
        <v>361</v>
      </c>
      <c r="AH258" s="153">
        <v>4.0462424606468641</v>
      </c>
      <c r="AJ258" s="153" t="s">
        <v>52</v>
      </c>
      <c r="AK258" s="153" t="s">
        <v>17</v>
      </c>
      <c r="AL258" s="153" t="s">
        <v>28</v>
      </c>
      <c r="AM258" s="153" t="s">
        <v>51</v>
      </c>
      <c r="AN258" s="153" t="s">
        <v>359</v>
      </c>
      <c r="AO258" s="153">
        <v>1.539046812530189</v>
      </c>
    </row>
    <row r="259" spans="29:41">
      <c r="AC259" s="153" t="s">
        <v>52</v>
      </c>
      <c r="AD259" s="153" t="s">
        <v>17</v>
      </c>
      <c r="AE259" s="153" t="s">
        <v>72</v>
      </c>
      <c r="AF259" s="153" t="s">
        <v>51</v>
      </c>
      <c r="AG259" s="153" t="s">
        <v>362</v>
      </c>
      <c r="AH259" s="153">
        <v>4.0847551681119691</v>
      </c>
      <c r="AJ259" s="153" t="s">
        <v>52</v>
      </c>
      <c r="AK259" s="153" t="s">
        <v>17</v>
      </c>
      <c r="AL259" s="153" t="s">
        <v>28</v>
      </c>
      <c r="AM259" s="153" t="s">
        <v>51</v>
      </c>
      <c r="AN259" s="153" t="s">
        <v>360</v>
      </c>
      <c r="AO259" s="153">
        <v>1.4511063235471535</v>
      </c>
    </row>
    <row r="260" spans="29:41">
      <c r="AC260" s="153" t="s">
        <v>52</v>
      </c>
      <c r="AD260" s="153" t="s">
        <v>17</v>
      </c>
      <c r="AE260" s="153" t="s">
        <v>72</v>
      </c>
      <c r="AF260" s="153" t="s">
        <v>51</v>
      </c>
      <c r="AG260" s="153" t="s">
        <v>363</v>
      </c>
      <c r="AH260" s="153">
        <v>4.087713984615517</v>
      </c>
      <c r="AJ260" s="153" t="s">
        <v>52</v>
      </c>
      <c r="AK260" s="153" t="s">
        <v>17</v>
      </c>
      <c r="AL260" s="153" t="s">
        <v>28</v>
      </c>
      <c r="AM260" s="153" t="s">
        <v>51</v>
      </c>
      <c r="AN260" s="153" t="s">
        <v>361</v>
      </c>
      <c r="AO260" s="153">
        <v>1.4005987476300945</v>
      </c>
    </row>
    <row r="261" spans="29:41">
      <c r="AC261" s="153" t="s">
        <v>52</v>
      </c>
      <c r="AD261" s="153" t="s">
        <v>17</v>
      </c>
      <c r="AE261" s="153" t="s">
        <v>72</v>
      </c>
      <c r="AF261" s="153" t="s">
        <v>51</v>
      </c>
      <c r="AG261" s="153" t="s">
        <v>364</v>
      </c>
      <c r="AH261" s="153">
        <v>4.1231786353861342</v>
      </c>
      <c r="AJ261" s="153" t="s">
        <v>52</v>
      </c>
      <c r="AK261" s="153" t="s">
        <v>17</v>
      </c>
      <c r="AL261" s="153" t="s">
        <v>28</v>
      </c>
      <c r="AM261" s="153" t="s">
        <v>51</v>
      </c>
      <c r="AN261" s="153" t="s">
        <v>362</v>
      </c>
      <c r="AO261" s="153">
        <v>1.405039217318909</v>
      </c>
    </row>
    <row r="262" spans="29:41">
      <c r="AC262" s="153" t="s">
        <v>52</v>
      </c>
      <c r="AD262" s="153" t="s">
        <v>17</v>
      </c>
      <c r="AE262" s="153" t="s">
        <v>72</v>
      </c>
      <c r="AF262" s="153" t="s">
        <v>51</v>
      </c>
      <c r="AG262" s="153" t="s">
        <v>365</v>
      </c>
      <c r="AH262" s="153">
        <v>4.1438313169051328</v>
      </c>
      <c r="AJ262" s="153" t="s">
        <v>52</v>
      </c>
      <c r="AK262" s="153" t="s">
        <v>17</v>
      </c>
      <c r="AL262" s="153" t="s">
        <v>28</v>
      </c>
      <c r="AM262" s="153" t="s">
        <v>51</v>
      </c>
      <c r="AN262" s="153" t="s">
        <v>363</v>
      </c>
      <c r="AO262" s="153">
        <v>1.4558893048686676</v>
      </c>
    </row>
    <row r="263" spans="29:41">
      <c r="AC263" s="153" t="s">
        <v>52</v>
      </c>
      <c r="AD263" s="153" t="s">
        <v>17</v>
      </c>
      <c r="AE263" s="153" t="s">
        <v>72</v>
      </c>
      <c r="AF263" s="153" t="s">
        <v>51</v>
      </c>
      <c r="AG263" s="153" t="s">
        <v>366</v>
      </c>
      <c r="AH263" s="153">
        <v>4.0847551681119691</v>
      </c>
      <c r="AJ263" s="153" t="s">
        <v>52</v>
      </c>
      <c r="AK263" s="153" t="s">
        <v>17</v>
      </c>
      <c r="AL263" s="153" t="s">
        <v>28</v>
      </c>
      <c r="AM263" s="153" t="s">
        <v>51</v>
      </c>
      <c r="AN263" s="153" t="s">
        <v>364</v>
      </c>
      <c r="AO263" s="153">
        <v>1.4238625532189746</v>
      </c>
    </row>
    <row r="264" spans="29:41">
      <c r="AC264" s="153" t="s">
        <v>52</v>
      </c>
      <c r="AD264" s="153" t="s">
        <v>17</v>
      </c>
      <c r="AE264" s="153" t="s">
        <v>72</v>
      </c>
      <c r="AF264" s="153" t="s">
        <v>51</v>
      </c>
      <c r="AG264" s="153" t="s">
        <v>367</v>
      </c>
      <c r="AH264" s="153">
        <v>4.1703469103349287</v>
      </c>
      <c r="AJ264" s="153" t="s">
        <v>52</v>
      </c>
      <c r="AK264" s="153" t="s">
        <v>17</v>
      </c>
      <c r="AL264" s="153" t="s">
        <v>28</v>
      </c>
      <c r="AM264" s="153" t="s">
        <v>51</v>
      </c>
      <c r="AN264" s="153" t="s">
        <v>365</v>
      </c>
      <c r="AO264" s="153">
        <v>1.4351311718134727</v>
      </c>
    </row>
    <row r="265" spans="29:41">
      <c r="AC265" s="153" t="s">
        <v>52</v>
      </c>
      <c r="AD265" s="153" t="s">
        <v>17</v>
      </c>
      <c r="AE265" s="153" t="s">
        <v>72</v>
      </c>
      <c r="AF265" s="153" t="s">
        <v>51</v>
      </c>
      <c r="AG265" s="153" t="s">
        <v>368</v>
      </c>
      <c r="AH265" s="153">
        <v>4.1556212785682742</v>
      </c>
      <c r="AJ265" s="153" t="s">
        <v>52</v>
      </c>
      <c r="AK265" s="153" t="s">
        <v>17</v>
      </c>
      <c r="AL265" s="153" t="s">
        <v>28</v>
      </c>
      <c r="AM265" s="153" t="s">
        <v>51</v>
      </c>
      <c r="AN265" s="153" t="s">
        <v>366</v>
      </c>
      <c r="AO265" s="153">
        <v>1.3435693944615392</v>
      </c>
    </row>
    <row r="266" spans="29:41">
      <c r="AC266" s="153" t="s">
        <v>52</v>
      </c>
      <c r="AD266" s="153" t="s">
        <v>17</v>
      </c>
      <c r="AE266" s="153" t="s">
        <v>72</v>
      </c>
      <c r="AF266" s="153" t="s">
        <v>51</v>
      </c>
      <c r="AG266" s="153" t="s">
        <v>369</v>
      </c>
      <c r="AH266" s="153">
        <v>4.1320329420089141</v>
      </c>
      <c r="AJ266" s="153" t="s">
        <v>52</v>
      </c>
      <c r="AK266" s="153" t="s">
        <v>17</v>
      </c>
      <c r="AL266" s="153" t="s">
        <v>28</v>
      </c>
      <c r="AM266" s="153" t="s">
        <v>51</v>
      </c>
      <c r="AN266" s="153" t="s">
        <v>367</v>
      </c>
      <c r="AO266" s="153">
        <v>1.440135567074629</v>
      </c>
    </row>
    <row r="267" spans="29:41">
      <c r="AC267" s="153" t="s">
        <v>52</v>
      </c>
      <c r="AD267" s="153" t="s">
        <v>17</v>
      </c>
      <c r="AE267" s="153" t="s">
        <v>72</v>
      </c>
      <c r="AF267" s="153" t="s">
        <v>51</v>
      </c>
      <c r="AG267" s="153" t="s">
        <v>370</v>
      </c>
      <c r="AH267" s="153">
        <v>4.0610656170015185</v>
      </c>
      <c r="AJ267" s="153" t="s">
        <v>52</v>
      </c>
      <c r="AK267" s="153" t="s">
        <v>17</v>
      </c>
      <c r="AL267" s="153" t="s">
        <v>28</v>
      </c>
      <c r="AM267" s="153" t="s">
        <v>51</v>
      </c>
      <c r="AN267" s="153" t="s">
        <v>368</v>
      </c>
      <c r="AO267" s="153">
        <v>1.4067545083459043</v>
      </c>
    </row>
    <row r="268" spans="29:41">
      <c r="AC268" s="153" t="s">
        <v>52</v>
      </c>
      <c r="AD268" s="153" t="s">
        <v>17</v>
      </c>
      <c r="AE268" s="153" t="s">
        <v>72</v>
      </c>
      <c r="AF268" s="153" t="s">
        <v>51</v>
      </c>
      <c r="AG268" s="153" t="s">
        <v>371</v>
      </c>
      <c r="AH268" s="153">
        <v>4.0729146205057845</v>
      </c>
      <c r="AJ268" s="153" t="s">
        <v>52</v>
      </c>
      <c r="AK268" s="153" t="s">
        <v>17</v>
      </c>
      <c r="AL268" s="153" t="s">
        <v>28</v>
      </c>
      <c r="AM268" s="153" t="s">
        <v>51</v>
      </c>
      <c r="AN268" s="153" t="s">
        <v>369</v>
      </c>
      <c r="AO268" s="153">
        <v>1.4331249501437542</v>
      </c>
    </row>
    <row r="269" spans="29:41">
      <c r="AC269" s="153" t="s">
        <v>52</v>
      </c>
      <c r="AD269" s="153" t="s">
        <v>17</v>
      </c>
      <c r="AE269" s="153" t="s">
        <v>72</v>
      </c>
      <c r="AF269" s="153" t="s">
        <v>51</v>
      </c>
      <c r="AG269" s="153" t="s">
        <v>372</v>
      </c>
      <c r="AH269" s="153">
        <v>4.0936300339223344</v>
      </c>
      <c r="AJ269" s="153" t="s">
        <v>52</v>
      </c>
      <c r="AK269" s="153" t="s">
        <v>17</v>
      </c>
      <c r="AL269" s="153" t="s">
        <v>28</v>
      </c>
      <c r="AM269" s="153" t="s">
        <v>51</v>
      </c>
      <c r="AN269" s="153" t="s">
        <v>370</v>
      </c>
      <c r="AO269" s="153">
        <v>1.4103010958119686</v>
      </c>
    </row>
    <row r="270" spans="29:41">
      <c r="AC270" s="153" t="s">
        <v>52</v>
      </c>
      <c r="AD270" s="153" t="s">
        <v>17</v>
      </c>
      <c r="AE270" s="153" t="s">
        <v>72</v>
      </c>
      <c r="AF270" s="153" t="s">
        <v>51</v>
      </c>
      <c r="AG270" s="153" t="s">
        <v>373</v>
      </c>
      <c r="AH270" s="153">
        <v>4.1202261467859813</v>
      </c>
      <c r="AJ270" s="153" t="s">
        <v>52</v>
      </c>
      <c r="AK270" s="153" t="s">
        <v>17</v>
      </c>
      <c r="AL270" s="153" t="s">
        <v>28</v>
      </c>
      <c r="AM270" s="153" t="s">
        <v>51</v>
      </c>
      <c r="AN270" s="153" t="s">
        <v>371</v>
      </c>
      <c r="AO270" s="153">
        <v>1.4285711164153245</v>
      </c>
    </row>
    <row r="271" spans="29:41">
      <c r="AC271" s="153" t="s">
        <v>52</v>
      </c>
      <c r="AD271" s="153" t="s">
        <v>17</v>
      </c>
      <c r="AE271" s="153" t="s">
        <v>72</v>
      </c>
      <c r="AF271" s="153" t="s">
        <v>51</v>
      </c>
      <c r="AG271" s="153" t="s">
        <v>374</v>
      </c>
      <c r="AH271" s="153">
        <v>4.1467795957841771</v>
      </c>
      <c r="AJ271" s="153" t="s">
        <v>52</v>
      </c>
      <c r="AK271" s="153" t="s">
        <v>17</v>
      </c>
      <c r="AL271" s="153" t="s">
        <v>28</v>
      </c>
      <c r="AM271" s="153" t="s">
        <v>51</v>
      </c>
      <c r="AN271" s="153" t="s">
        <v>372</v>
      </c>
      <c r="AO271" s="153">
        <v>1.3936495922877847</v>
      </c>
    </row>
    <row r="272" spans="29:41">
      <c r="AC272" s="153" t="s">
        <v>52</v>
      </c>
      <c r="AD272" s="153" t="s">
        <v>17</v>
      </c>
      <c r="AE272" s="153" t="s">
        <v>72</v>
      </c>
      <c r="AF272" s="153" t="s">
        <v>51</v>
      </c>
      <c r="AG272" s="153" t="s">
        <v>375</v>
      </c>
      <c r="AH272" s="153">
        <v>4.0669911761866535</v>
      </c>
      <c r="AJ272" s="153" t="s">
        <v>52</v>
      </c>
      <c r="AK272" s="153" t="s">
        <v>17</v>
      </c>
      <c r="AL272" s="153" t="s">
        <v>28</v>
      </c>
      <c r="AM272" s="153" t="s">
        <v>51</v>
      </c>
      <c r="AN272" s="153" t="s">
        <v>373</v>
      </c>
      <c r="AO272" s="153">
        <v>1.4020581515661119</v>
      </c>
    </row>
    <row r="273" spans="29:41">
      <c r="AC273" s="153" t="s">
        <v>52</v>
      </c>
      <c r="AD273" s="153" t="s">
        <v>17</v>
      </c>
      <c r="AE273" s="153" t="s">
        <v>72</v>
      </c>
      <c r="AF273" s="153" t="s">
        <v>51</v>
      </c>
      <c r="AG273" s="153" t="s">
        <v>376</v>
      </c>
      <c r="AH273" s="153">
        <v>4.049208150466348</v>
      </c>
      <c r="AJ273" s="153" t="s">
        <v>52</v>
      </c>
      <c r="AK273" s="153" t="s">
        <v>17</v>
      </c>
      <c r="AL273" s="153" t="s">
        <v>28</v>
      </c>
      <c r="AM273" s="153" t="s">
        <v>51</v>
      </c>
      <c r="AN273" s="153" t="s">
        <v>374</v>
      </c>
      <c r="AO273" s="153">
        <v>1.4809328736481171</v>
      </c>
    </row>
    <row r="274" spans="29:41">
      <c r="AC274" s="153" t="s">
        <v>52</v>
      </c>
      <c r="AD274" s="153" t="s">
        <v>17</v>
      </c>
      <c r="AE274" s="153" t="s">
        <v>72</v>
      </c>
      <c r="AF274" s="153" t="s">
        <v>51</v>
      </c>
      <c r="AG274" s="153" t="s">
        <v>377</v>
      </c>
      <c r="AH274" s="153">
        <v>3.9979154753353749</v>
      </c>
      <c r="AJ274" s="153" t="s">
        <v>52</v>
      </c>
      <c r="AK274" s="153" t="s">
        <v>17</v>
      </c>
      <c r="AL274" s="153" t="s">
        <v>28</v>
      </c>
      <c r="AM274" s="153" t="s">
        <v>51</v>
      </c>
      <c r="AN274" s="153" t="s">
        <v>417</v>
      </c>
      <c r="AO274" s="153">
        <v>1.4809328736481171</v>
      </c>
    </row>
    <row r="275" spans="29:41">
      <c r="AC275" s="153" t="s">
        <v>52</v>
      </c>
      <c r="AD275" s="153" t="s">
        <v>17</v>
      </c>
      <c r="AE275" s="153" t="s">
        <v>72</v>
      </c>
      <c r="AF275" s="153" t="s">
        <v>51</v>
      </c>
      <c r="AG275" s="153" t="s">
        <v>378</v>
      </c>
      <c r="AH275" s="153">
        <v>3.9889908755802277</v>
      </c>
      <c r="AJ275" s="153" t="s">
        <v>52</v>
      </c>
      <c r="AK275" s="153" t="s">
        <v>17</v>
      </c>
      <c r="AL275" s="153" t="s">
        <v>28</v>
      </c>
      <c r="AM275" s="153" t="s">
        <v>51</v>
      </c>
      <c r="AN275" s="153" t="s">
        <v>375</v>
      </c>
      <c r="AO275" s="153">
        <v>1.3885338529667841</v>
      </c>
    </row>
    <row r="276" spans="29:41">
      <c r="AC276" s="153" t="s">
        <v>52</v>
      </c>
      <c r="AD276" s="153" t="s">
        <v>17</v>
      </c>
      <c r="AE276" s="153" t="s">
        <v>72</v>
      </c>
      <c r="AF276" s="153" t="s">
        <v>51</v>
      </c>
      <c r="AG276" s="153" t="s">
        <v>379</v>
      </c>
      <c r="AH276" s="153">
        <v>3.8905872366551955</v>
      </c>
      <c r="AJ276" s="153" t="s">
        <v>52</v>
      </c>
      <c r="AK276" s="153" t="s">
        <v>17</v>
      </c>
      <c r="AL276" s="153" t="s">
        <v>28</v>
      </c>
      <c r="AM276" s="153" t="s">
        <v>51</v>
      </c>
      <c r="AN276" s="153" t="s">
        <v>376</v>
      </c>
      <c r="AO276" s="153">
        <v>1.4673543164159186</v>
      </c>
    </row>
    <row r="277" spans="29:41">
      <c r="AC277" s="153" t="s">
        <v>52</v>
      </c>
      <c r="AD277" s="153" t="s">
        <v>17</v>
      </c>
      <c r="AE277" s="153" t="s">
        <v>72</v>
      </c>
      <c r="AF277" s="153" t="s">
        <v>51</v>
      </c>
      <c r="AG277" s="153" t="s">
        <v>380</v>
      </c>
      <c r="AH277" s="153">
        <v>3.8696245630898871</v>
      </c>
      <c r="AJ277" s="153" t="s">
        <v>52</v>
      </c>
      <c r="AK277" s="153" t="s">
        <v>17</v>
      </c>
      <c r="AL277" s="153" t="s">
        <v>28</v>
      </c>
      <c r="AM277" s="153" t="s">
        <v>51</v>
      </c>
      <c r="AN277" s="153" t="s">
        <v>377</v>
      </c>
      <c r="AO277" s="153">
        <v>1.404702204037845</v>
      </c>
    </row>
    <row r="278" spans="29:41">
      <c r="AC278" s="153" t="s">
        <v>52</v>
      </c>
      <c r="AD278" s="153" t="s">
        <v>17</v>
      </c>
      <c r="AE278" s="153" t="s">
        <v>72</v>
      </c>
      <c r="AF278" s="153" t="s">
        <v>51</v>
      </c>
      <c r="AG278" s="153" t="s">
        <v>381</v>
      </c>
      <c r="AH278" s="153">
        <v>3.8336270974045563</v>
      </c>
      <c r="AJ278" s="153" t="s">
        <v>52</v>
      </c>
      <c r="AK278" s="153" t="s">
        <v>17</v>
      </c>
      <c r="AL278" s="153" t="s">
        <v>28</v>
      </c>
      <c r="AM278" s="153" t="s">
        <v>51</v>
      </c>
      <c r="AN278" s="153" t="s">
        <v>378</v>
      </c>
      <c r="AO278" s="153">
        <v>1.4492287202308778</v>
      </c>
    </row>
    <row r="279" spans="29:41">
      <c r="AC279" s="153" t="s">
        <v>52</v>
      </c>
      <c r="AD279" s="153" t="s">
        <v>17</v>
      </c>
      <c r="AE279" s="153" t="s">
        <v>72</v>
      </c>
      <c r="AF279" s="153" t="s">
        <v>51</v>
      </c>
      <c r="AG279" s="153" t="s">
        <v>382</v>
      </c>
      <c r="AH279" s="153">
        <v>3.8636303795906124</v>
      </c>
      <c r="AJ279" s="153" t="s">
        <v>52</v>
      </c>
      <c r="AK279" s="153" t="s">
        <v>17</v>
      </c>
      <c r="AL279" s="153" t="s">
        <v>28</v>
      </c>
      <c r="AM279" s="153" t="s">
        <v>51</v>
      </c>
      <c r="AN279" s="153" t="s">
        <v>379</v>
      </c>
      <c r="AO279" s="153">
        <v>1.3551743260605955</v>
      </c>
    </row>
    <row r="280" spans="29:41">
      <c r="AC280" s="153" t="s">
        <v>52</v>
      </c>
      <c r="AD280" s="153" t="s">
        <v>17</v>
      </c>
      <c r="AE280" s="153" t="s">
        <v>72</v>
      </c>
      <c r="AF280" s="153" t="s">
        <v>51</v>
      </c>
      <c r="AG280" s="153" t="s">
        <v>383</v>
      </c>
      <c r="AH280" s="153">
        <v>3.8606324792381819</v>
      </c>
      <c r="AJ280" s="153" t="s">
        <v>52</v>
      </c>
      <c r="AK280" s="153" t="s">
        <v>17</v>
      </c>
      <c r="AL280" s="153" t="s">
        <v>28</v>
      </c>
      <c r="AM280" s="153" t="s">
        <v>51</v>
      </c>
      <c r="AN280" s="153" t="s">
        <v>380</v>
      </c>
      <c r="AO280" s="153">
        <v>1.3424214657310072</v>
      </c>
    </row>
    <row r="281" spans="29:41">
      <c r="AC281" s="153" t="s">
        <v>52</v>
      </c>
      <c r="AD281" s="153" t="s">
        <v>17</v>
      </c>
      <c r="AE281" s="153" t="s">
        <v>72</v>
      </c>
      <c r="AF281" s="153" t="s">
        <v>51</v>
      </c>
      <c r="AG281" s="153" t="s">
        <v>384</v>
      </c>
      <c r="AH281" s="153">
        <v>3.8636303795906124</v>
      </c>
      <c r="AJ281" s="153" t="s">
        <v>52</v>
      </c>
      <c r="AK281" s="153" t="s">
        <v>17</v>
      </c>
      <c r="AL281" s="153" t="s">
        <v>28</v>
      </c>
      <c r="AM281" s="153" t="s">
        <v>51</v>
      </c>
      <c r="AN281" s="153" t="s">
        <v>381</v>
      </c>
      <c r="AO281" s="153">
        <v>1.3431812578846163</v>
      </c>
    </row>
    <row r="282" spans="29:41">
      <c r="AC282" s="153" t="s">
        <v>52</v>
      </c>
      <c r="AD282" s="153" t="s">
        <v>17</v>
      </c>
      <c r="AE282" s="153" t="s">
        <v>72</v>
      </c>
      <c r="AF282" s="153" t="s">
        <v>51</v>
      </c>
      <c r="AG282" s="153" t="s">
        <v>385</v>
      </c>
      <c r="AH282" s="153">
        <v>3.8396320721816526</v>
      </c>
      <c r="AJ282" s="153" t="s">
        <v>52</v>
      </c>
      <c r="AK282" s="153" t="s">
        <v>17</v>
      </c>
      <c r="AL282" s="153" t="s">
        <v>28</v>
      </c>
      <c r="AM282" s="153" t="s">
        <v>51</v>
      </c>
      <c r="AN282" s="153" t="s">
        <v>382</v>
      </c>
      <c r="AO282" s="153">
        <v>1.3429627572200822</v>
      </c>
    </row>
    <row r="283" spans="29:41">
      <c r="AC283" s="153" t="s">
        <v>52</v>
      </c>
      <c r="AD283" s="153" t="s">
        <v>17</v>
      </c>
      <c r="AE283" s="153" t="s">
        <v>72</v>
      </c>
      <c r="AF283" s="153" t="s">
        <v>51</v>
      </c>
      <c r="AG283" s="153" t="s">
        <v>386</v>
      </c>
      <c r="AH283" s="153">
        <v>3.8246155830766617</v>
      </c>
      <c r="AJ283" s="153" t="s">
        <v>52</v>
      </c>
      <c r="AK283" s="153" t="s">
        <v>17</v>
      </c>
      <c r="AL283" s="153" t="s">
        <v>28</v>
      </c>
      <c r="AM283" s="153" t="s">
        <v>51</v>
      </c>
      <c r="AN283" s="153" t="s">
        <v>383</v>
      </c>
      <c r="AO283" s="153">
        <v>1.3878434059662719</v>
      </c>
    </row>
    <row r="284" spans="29:41">
      <c r="AC284" s="153" t="s">
        <v>52</v>
      </c>
      <c r="AD284" s="153" t="s">
        <v>17</v>
      </c>
      <c r="AE284" s="153" t="s">
        <v>72</v>
      </c>
      <c r="AF284" s="153" t="s">
        <v>51</v>
      </c>
      <c r="AG284" s="153" t="s">
        <v>387</v>
      </c>
      <c r="AH284" s="153">
        <v>3.8606324792381819</v>
      </c>
      <c r="AJ284" s="153" t="s">
        <v>52</v>
      </c>
      <c r="AK284" s="153" t="s">
        <v>17</v>
      </c>
      <c r="AL284" s="153" t="s">
        <v>28</v>
      </c>
      <c r="AM284" s="153" t="s">
        <v>51</v>
      </c>
      <c r="AN284" s="153" t="s">
        <v>384</v>
      </c>
      <c r="AO284" s="153">
        <v>1.3872248942323724</v>
      </c>
    </row>
    <row r="285" spans="29:41">
      <c r="AC285" s="153" t="s">
        <v>52</v>
      </c>
      <c r="AD285" s="153" t="s">
        <v>17</v>
      </c>
      <c r="AE285" s="153" t="s">
        <v>72</v>
      </c>
      <c r="AF285" s="153" t="s">
        <v>51</v>
      </c>
      <c r="AG285" s="153" t="s">
        <v>388</v>
      </c>
      <c r="AH285" s="153">
        <v>3.8516355423965551</v>
      </c>
      <c r="AJ285" s="153" t="s">
        <v>52</v>
      </c>
      <c r="AK285" s="153" t="s">
        <v>17</v>
      </c>
      <c r="AL285" s="153" t="s">
        <v>28</v>
      </c>
      <c r="AM285" s="153" t="s">
        <v>51</v>
      </c>
      <c r="AN285" s="153" t="s">
        <v>385</v>
      </c>
      <c r="AO285" s="153">
        <v>1.3634373744537027</v>
      </c>
    </row>
    <row r="286" spans="29:41">
      <c r="AC286" s="153" t="s">
        <v>52</v>
      </c>
      <c r="AD286" s="153" t="s">
        <v>17</v>
      </c>
      <c r="AE286" s="153" t="s">
        <v>72</v>
      </c>
      <c r="AF286" s="153" t="s">
        <v>51</v>
      </c>
      <c r="AG286" s="153" t="s">
        <v>389</v>
      </c>
      <c r="AH286" s="153">
        <v>3.8336270974045563</v>
      </c>
      <c r="AJ286" s="153" t="s">
        <v>52</v>
      </c>
      <c r="AK286" s="153" t="s">
        <v>17</v>
      </c>
      <c r="AL286" s="153" t="s">
        <v>28</v>
      </c>
      <c r="AM286" s="153" t="s">
        <v>51</v>
      </c>
      <c r="AN286" s="153" t="s">
        <v>386</v>
      </c>
      <c r="AO286" s="153">
        <v>1.2994713795969517</v>
      </c>
    </row>
    <row r="287" spans="29:41">
      <c r="AC287" s="153" t="s">
        <v>52</v>
      </c>
      <c r="AD287" s="153" t="s">
        <v>17</v>
      </c>
      <c r="AE287" s="153" t="s">
        <v>72</v>
      </c>
      <c r="AF287" s="153" t="s">
        <v>51</v>
      </c>
      <c r="AG287" s="153" t="s">
        <v>418</v>
      </c>
      <c r="AH287" s="153">
        <v>3.7704442165834595</v>
      </c>
      <c r="AJ287" s="153" t="s">
        <v>52</v>
      </c>
      <c r="AK287" s="153" t="s">
        <v>17</v>
      </c>
      <c r="AL287" s="153" t="s">
        <v>28</v>
      </c>
      <c r="AM287" s="153" t="s">
        <v>51</v>
      </c>
      <c r="AN287" s="153" t="s">
        <v>387</v>
      </c>
      <c r="AO287" s="153">
        <v>1.3485281295871521</v>
      </c>
    </row>
    <row r="288" spans="29:41">
      <c r="AC288" s="153" t="s">
        <v>52</v>
      </c>
      <c r="AD288" s="153" t="s">
        <v>17</v>
      </c>
      <c r="AE288" s="153" t="s">
        <v>72</v>
      </c>
      <c r="AF288" s="153" t="s">
        <v>51</v>
      </c>
      <c r="AG288" s="153" t="s">
        <v>390</v>
      </c>
      <c r="AH288" s="153">
        <v>3.7704442165834595</v>
      </c>
      <c r="AJ288" s="153" t="s">
        <v>52</v>
      </c>
      <c r="AK288" s="153" t="s">
        <v>17</v>
      </c>
      <c r="AL288" s="153" t="s">
        <v>28</v>
      </c>
      <c r="AM288" s="153" t="s">
        <v>51</v>
      </c>
      <c r="AN288" s="153" t="s">
        <v>388</v>
      </c>
      <c r="AO288" s="153">
        <v>1.3385636094095752</v>
      </c>
    </row>
    <row r="289" spans="29:41">
      <c r="AC289" s="153" t="s">
        <v>52</v>
      </c>
      <c r="AD289" s="153" t="s">
        <v>17</v>
      </c>
      <c r="AE289" s="153" t="s">
        <v>72</v>
      </c>
      <c r="AF289" s="153" t="s">
        <v>51</v>
      </c>
      <c r="AG289" s="153" t="s">
        <v>419</v>
      </c>
      <c r="AH289" s="153">
        <v>3.8005610836847525</v>
      </c>
      <c r="AJ289" s="153" t="s">
        <v>52</v>
      </c>
      <c r="AK289" s="153" t="s">
        <v>17</v>
      </c>
      <c r="AL289" s="153" t="s">
        <v>28</v>
      </c>
      <c r="AM289" s="153" t="s">
        <v>51</v>
      </c>
      <c r="AN289" s="153" t="s">
        <v>389</v>
      </c>
      <c r="AO289" s="153">
        <v>1.3253222200114065</v>
      </c>
    </row>
    <row r="290" spans="29:41">
      <c r="AC290" s="153" t="s">
        <v>52</v>
      </c>
      <c r="AD290" s="153" t="s">
        <v>17</v>
      </c>
      <c r="AE290" s="153" t="s">
        <v>72</v>
      </c>
      <c r="AF290" s="153" t="s">
        <v>51</v>
      </c>
      <c r="AG290" s="153" t="s">
        <v>391</v>
      </c>
      <c r="AH290" s="153">
        <v>3.9532444762714771</v>
      </c>
      <c r="AJ290" s="153" t="s">
        <v>52</v>
      </c>
      <c r="AK290" s="153" t="s">
        <v>17</v>
      </c>
      <c r="AL290" s="153" t="s">
        <v>28</v>
      </c>
      <c r="AM290" s="153" t="s">
        <v>51</v>
      </c>
      <c r="AN290" s="153" t="s">
        <v>418</v>
      </c>
      <c r="AO290" s="153">
        <v>1.2523310184820995</v>
      </c>
    </row>
    <row r="291" spans="29:41">
      <c r="AC291" s="153" t="s">
        <v>52</v>
      </c>
      <c r="AD291" s="153" t="s">
        <v>17</v>
      </c>
      <c r="AE291" s="153" t="s">
        <v>72</v>
      </c>
      <c r="AF291" s="153" t="s">
        <v>51</v>
      </c>
      <c r="AG291" s="153" t="s">
        <v>392</v>
      </c>
      <c r="AH291" s="153">
        <v>3.9621882822301635</v>
      </c>
      <c r="AJ291" s="153" t="s">
        <v>52</v>
      </c>
      <c r="AK291" s="153" t="s">
        <v>17</v>
      </c>
      <c r="AL291" s="153" t="s">
        <v>28</v>
      </c>
      <c r="AM291" s="153" t="s">
        <v>51</v>
      </c>
      <c r="AN291" s="153" t="s">
        <v>390</v>
      </c>
      <c r="AO291" s="153">
        <v>1.2267274159474995</v>
      </c>
    </row>
    <row r="292" spans="29:41">
      <c r="AC292" s="153" t="s">
        <v>52</v>
      </c>
      <c r="AD292" s="153" t="s">
        <v>17</v>
      </c>
      <c r="AE292" s="153" t="s">
        <v>72</v>
      </c>
      <c r="AF292" s="153" t="s">
        <v>51</v>
      </c>
      <c r="AG292" s="153" t="s">
        <v>393</v>
      </c>
      <c r="AH292" s="153">
        <v>3.9562262791250933</v>
      </c>
      <c r="AJ292" s="153" t="s">
        <v>52</v>
      </c>
      <c r="AK292" s="153" t="s">
        <v>17</v>
      </c>
      <c r="AL292" s="153" t="s">
        <v>28</v>
      </c>
      <c r="AM292" s="153" t="s">
        <v>51</v>
      </c>
      <c r="AN292" s="153" t="s">
        <v>419</v>
      </c>
      <c r="AO292" s="153">
        <v>1.1755063467445623</v>
      </c>
    </row>
    <row r="293" spans="29:41">
      <c r="AC293" s="153" t="s">
        <v>52</v>
      </c>
      <c r="AD293" s="153" t="s">
        <v>17</v>
      </c>
      <c r="AE293" s="153" t="s">
        <v>72</v>
      </c>
      <c r="AF293" s="153" t="s">
        <v>51</v>
      </c>
      <c r="AG293" s="153" t="s">
        <v>394</v>
      </c>
      <c r="AH293" s="153">
        <v>3.9502621390655515</v>
      </c>
      <c r="AJ293" s="153" t="s">
        <v>52</v>
      </c>
      <c r="AK293" s="153" t="s">
        <v>17</v>
      </c>
      <c r="AL293" s="153" t="s">
        <v>28</v>
      </c>
      <c r="AM293" s="153" t="s">
        <v>51</v>
      </c>
      <c r="AN293" s="153" t="s">
        <v>391</v>
      </c>
      <c r="AO293" s="153">
        <v>1.3127680705105271</v>
      </c>
    </row>
    <row r="294" spans="29:41">
      <c r="AC294" s="153" t="s">
        <v>52</v>
      </c>
      <c r="AD294" s="153" t="s">
        <v>17</v>
      </c>
      <c r="AE294" s="153" t="s">
        <v>72</v>
      </c>
      <c r="AF294" s="153" t="s">
        <v>51</v>
      </c>
      <c r="AG294" s="153" t="s">
        <v>395</v>
      </c>
      <c r="AH294" s="153">
        <v>3.9592075477402422</v>
      </c>
      <c r="AJ294" s="153" t="s">
        <v>52</v>
      </c>
      <c r="AK294" s="153" t="s">
        <v>17</v>
      </c>
      <c r="AL294" s="153" t="s">
        <v>28</v>
      </c>
      <c r="AM294" s="153" t="s">
        <v>51</v>
      </c>
      <c r="AN294" s="153" t="s">
        <v>392</v>
      </c>
      <c r="AO294" s="153">
        <v>1.3071637805509635</v>
      </c>
    </row>
    <row r="295" spans="29:41">
      <c r="AC295" s="153" t="s">
        <v>52</v>
      </c>
      <c r="AD295" s="153" t="s">
        <v>17</v>
      </c>
      <c r="AE295" s="153" t="s">
        <v>72</v>
      </c>
      <c r="AF295" s="153" t="s">
        <v>51</v>
      </c>
      <c r="AG295" s="153" t="s">
        <v>396</v>
      </c>
      <c r="AH295" s="153">
        <v>3.9472792673953085</v>
      </c>
      <c r="AJ295" s="153" t="s">
        <v>52</v>
      </c>
      <c r="AK295" s="153" t="s">
        <v>17</v>
      </c>
      <c r="AL295" s="153" t="s">
        <v>28</v>
      </c>
      <c r="AM295" s="153" t="s">
        <v>51</v>
      </c>
      <c r="AN295" s="153" t="s">
        <v>393</v>
      </c>
      <c r="AO295" s="153">
        <v>1.2947029480615637</v>
      </c>
    </row>
    <row r="296" spans="29:41">
      <c r="AC296" s="153" t="s">
        <v>52</v>
      </c>
      <c r="AD296" s="153" t="s">
        <v>17</v>
      </c>
      <c r="AE296" s="153" t="s">
        <v>72</v>
      </c>
      <c r="AF296" s="153" t="s">
        <v>51</v>
      </c>
      <c r="AG296" s="153" t="s">
        <v>397</v>
      </c>
      <c r="AH296" s="153">
        <v>3.8905872366551955</v>
      </c>
      <c r="AJ296" s="153" t="s">
        <v>52</v>
      </c>
      <c r="AK296" s="153" t="s">
        <v>17</v>
      </c>
      <c r="AL296" s="153" t="s">
        <v>28</v>
      </c>
      <c r="AM296" s="153" t="s">
        <v>51</v>
      </c>
      <c r="AN296" s="153" t="s">
        <v>394</v>
      </c>
      <c r="AO296" s="153">
        <v>1.2740960101150518</v>
      </c>
    </row>
    <row r="297" spans="29:41">
      <c r="AC297" s="153" t="s">
        <v>52</v>
      </c>
      <c r="AD297" s="153" t="s">
        <v>17</v>
      </c>
      <c r="AE297" s="153" t="s">
        <v>72</v>
      </c>
      <c r="AF297" s="153" t="s">
        <v>51</v>
      </c>
      <c r="AG297" s="153" t="s">
        <v>398</v>
      </c>
      <c r="AH297" s="153">
        <v>3.9473531286857177</v>
      </c>
      <c r="AJ297" s="153" t="s">
        <v>52</v>
      </c>
      <c r="AK297" s="153" t="s">
        <v>17</v>
      </c>
      <c r="AL297" s="153" t="s">
        <v>28</v>
      </c>
      <c r="AM297" s="153" t="s">
        <v>51</v>
      </c>
      <c r="AN297" s="153" t="s">
        <v>395</v>
      </c>
      <c r="AO297" s="153">
        <v>1.3291943107809321</v>
      </c>
    </row>
    <row r="298" spans="29:41">
      <c r="AC298" s="153" t="s">
        <v>52</v>
      </c>
      <c r="AD298" s="153" t="s">
        <v>17</v>
      </c>
      <c r="AE298" s="153" t="s">
        <v>72</v>
      </c>
      <c r="AF298" s="153" t="s">
        <v>51</v>
      </c>
      <c r="AG298" s="153" t="s">
        <v>399</v>
      </c>
      <c r="AH298" s="153">
        <v>3.8606324792381819</v>
      </c>
      <c r="AJ298" s="153" t="s">
        <v>52</v>
      </c>
      <c r="AK298" s="153" t="s">
        <v>17</v>
      </c>
      <c r="AL298" s="153" t="s">
        <v>28</v>
      </c>
      <c r="AM298" s="153" t="s">
        <v>51</v>
      </c>
      <c r="AN298" s="153" t="s">
        <v>396</v>
      </c>
      <c r="AO298" s="153">
        <v>1.3649888949349689</v>
      </c>
    </row>
    <row r="299" spans="29:41">
      <c r="AC299" s="153" t="s">
        <v>52</v>
      </c>
      <c r="AD299" s="153" t="s">
        <v>17</v>
      </c>
      <c r="AE299" s="153" t="s">
        <v>72</v>
      </c>
      <c r="AF299" s="153" t="s">
        <v>51</v>
      </c>
      <c r="AG299" s="153" t="s">
        <v>400</v>
      </c>
      <c r="AH299" s="153">
        <v>3.9383274444660326</v>
      </c>
      <c r="AJ299" s="153" t="s">
        <v>52</v>
      </c>
      <c r="AK299" s="153" t="s">
        <v>17</v>
      </c>
      <c r="AL299" s="153" t="s">
        <v>28</v>
      </c>
      <c r="AM299" s="153" t="s">
        <v>51</v>
      </c>
      <c r="AN299" s="153" t="s">
        <v>397</v>
      </c>
      <c r="AO299" s="153">
        <v>1.3259445369953358</v>
      </c>
    </row>
    <row r="300" spans="29:41">
      <c r="AC300" s="153" t="s">
        <v>52</v>
      </c>
      <c r="AD300" s="153" t="s">
        <v>17</v>
      </c>
      <c r="AE300" s="153" t="s">
        <v>72</v>
      </c>
      <c r="AF300" s="153" t="s">
        <v>51</v>
      </c>
      <c r="AG300" s="153" t="s">
        <v>401</v>
      </c>
      <c r="AH300" s="153">
        <v>4.013584901236344</v>
      </c>
      <c r="AJ300" s="153" t="s">
        <v>52</v>
      </c>
      <c r="AK300" s="153" t="s">
        <v>17</v>
      </c>
      <c r="AL300" s="153" t="s">
        <v>28</v>
      </c>
      <c r="AM300" s="153" t="s">
        <v>51</v>
      </c>
      <c r="AN300" s="153" t="s">
        <v>420</v>
      </c>
      <c r="AO300" s="153">
        <v>1.3259445369953358</v>
      </c>
    </row>
    <row r="301" spans="29:41">
      <c r="AC301" s="153" t="s">
        <v>52</v>
      </c>
      <c r="AD301" s="153" t="s">
        <v>17</v>
      </c>
      <c r="AE301" s="153" t="s">
        <v>72</v>
      </c>
      <c r="AF301" s="153" t="s">
        <v>51</v>
      </c>
      <c r="AG301" s="153" t="s">
        <v>402</v>
      </c>
      <c r="AH301" s="153">
        <v>3.9830384776058789</v>
      </c>
      <c r="AJ301" s="153" t="s">
        <v>52</v>
      </c>
      <c r="AK301" s="153" t="s">
        <v>17</v>
      </c>
      <c r="AL301" s="153" t="s">
        <v>28</v>
      </c>
      <c r="AM301" s="153" t="s">
        <v>51</v>
      </c>
      <c r="AN301" s="153" t="s">
        <v>398</v>
      </c>
      <c r="AO301" s="153">
        <v>1.3998265547689877</v>
      </c>
    </row>
    <row r="302" spans="29:41">
      <c r="AC302" s="153" t="s">
        <v>52</v>
      </c>
      <c r="AD302" s="153" t="s">
        <v>17</v>
      </c>
      <c r="AE302" s="153" t="s">
        <v>72</v>
      </c>
      <c r="AF302" s="153" t="s">
        <v>51</v>
      </c>
      <c r="AG302" s="153" t="s">
        <v>403</v>
      </c>
      <c r="AH302" s="153">
        <v>4.0699531626481287</v>
      </c>
      <c r="AJ302" s="153" t="s">
        <v>52</v>
      </c>
      <c r="AK302" s="153" t="s">
        <v>17</v>
      </c>
      <c r="AL302" s="153" t="s">
        <v>28</v>
      </c>
      <c r="AM302" s="153" t="s">
        <v>51</v>
      </c>
      <c r="AN302" s="153" t="s">
        <v>399</v>
      </c>
      <c r="AO302" s="153">
        <v>1.3084872084614618</v>
      </c>
    </row>
    <row r="303" spans="29:41">
      <c r="AC303" s="153" t="s">
        <v>52</v>
      </c>
      <c r="AD303" s="153" t="s">
        <v>17</v>
      </c>
      <c r="AE303" s="153" t="s">
        <v>72</v>
      </c>
      <c r="AF303" s="153" t="s">
        <v>51</v>
      </c>
      <c r="AG303" s="153" t="s">
        <v>404</v>
      </c>
      <c r="AH303" s="153">
        <v>4.049208150466348</v>
      </c>
      <c r="AJ303" s="153" t="s">
        <v>52</v>
      </c>
      <c r="AK303" s="153" t="s">
        <v>17</v>
      </c>
      <c r="AL303" s="153" t="s">
        <v>28</v>
      </c>
      <c r="AM303" s="153" t="s">
        <v>51</v>
      </c>
      <c r="AN303" s="153" t="s">
        <v>400</v>
      </c>
      <c r="AO303" s="153">
        <v>1.421861058506533</v>
      </c>
    </row>
    <row r="304" spans="29:41">
      <c r="AC304" s="153" t="s">
        <v>52</v>
      </c>
      <c r="AD304" s="153" t="s">
        <v>17</v>
      </c>
      <c r="AE304" s="153" t="s">
        <v>72</v>
      </c>
      <c r="AF304" s="153" t="s">
        <v>51</v>
      </c>
      <c r="AG304" s="153" t="s">
        <v>405</v>
      </c>
      <c r="AH304" s="153">
        <v>4.0758755498697496</v>
      </c>
      <c r="AJ304" s="153" t="s">
        <v>52</v>
      </c>
      <c r="AK304" s="153" t="s">
        <v>17</v>
      </c>
      <c r="AL304" s="153" t="s">
        <v>28</v>
      </c>
      <c r="AM304" s="153" t="s">
        <v>51</v>
      </c>
      <c r="AN304" s="153" t="s">
        <v>401</v>
      </c>
      <c r="AO304" s="153">
        <v>1.496662428726274</v>
      </c>
    </row>
    <row r="305" spans="29:41">
      <c r="AC305" s="153" t="s">
        <v>52</v>
      </c>
      <c r="AD305" s="153" t="s">
        <v>17</v>
      </c>
      <c r="AE305" s="153" t="s">
        <v>72</v>
      </c>
      <c r="AF305" s="153" t="s">
        <v>51</v>
      </c>
      <c r="AG305" s="153" t="s">
        <v>406</v>
      </c>
      <c r="AH305" s="153">
        <v>4.0699531626481287</v>
      </c>
      <c r="AJ305" s="153" t="s">
        <v>52</v>
      </c>
      <c r="AK305" s="153" t="s">
        <v>17</v>
      </c>
      <c r="AL305" s="153" t="s">
        <v>28</v>
      </c>
      <c r="AM305" s="153" t="s">
        <v>51</v>
      </c>
      <c r="AN305" s="153" t="s">
        <v>402</v>
      </c>
      <c r="AO305" s="153">
        <v>1.4803547487976791</v>
      </c>
    </row>
    <row r="306" spans="29:41">
      <c r="AC306" s="153" t="s">
        <v>52</v>
      </c>
      <c r="AD306" s="153" t="s">
        <v>17</v>
      </c>
      <c r="AE306" s="153" t="s">
        <v>72</v>
      </c>
      <c r="AF306" s="153" t="s">
        <v>51</v>
      </c>
      <c r="AG306" s="153" t="s">
        <v>407</v>
      </c>
      <c r="AH306" s="153">
        <v>4.0788359508504897</v>
      </c>
      <c r="AJ306" s="153" t="s">
        <v>52</v>
      </c>
      <c r="AK306" s="153" t="s">
        <v>17</v>
      </c>
      <c r="AL306" s="153" t="s">
        <v>28</v>
      </c>
      <c r="AM306" s="153" t="s">
        <v>51</v>
      </c>
      <c r="AN306" s="153" t="s">
        <v>403</v>
      </c>
      <c r="AO306" s="153">
        <v>1.5517458707157288</v>
      </c>
    </row>
    <row r="307" spans="29:41">
      <c r="AC307" s="153" t="s">
        <v>52</v>
      </c>
      <c r="AD307" s="153" t="s">
        <v>17</v>
      </c>
      <c r="AE307" s="153" t="s">
        <v>72</v>
      </c>
      <c r="AF307" s="153" t="s">
        <v>51</v>
      </c>
      <c r="AG307" s="153" t="s">
        <v>408</v>
      </c>
      <c r="AH307" s="153">
        <v>4.0521733108995752</v>
      </c>
      <c r="AJ307" s="153" t="s">
        <v>52</v>
      </c>
      <c r="AK307" s="153" t="s">
        <v>17</v>
      </c>
      <c r="AL307" s="153" t="s">
        <v>28</v>
      </c>
      <c r="AM307" s="153" t="s">
        <v>51</v>
      </c>
      <c r="AN307" s="153" t="s">
        <v>404</v>
      </c>
      <c r="AO307" s="153">
        <v>1.5354534558529385</v>
      </c>
    </row>
    <row r="308" spans="29:41">
      <c r="AC308" s="153" t="s">
        <v>52</v>
      </c>
      <c r="AD308" s="153" t="s">
        <v>17</v>
      </c>
      <c r="AE308" s="153" t="s">
        <v>72</v>
      </c>
      <c r="AF308" s="153" t="s">
        <v>51</v>
      </c>
      <c r="AG308" s="153" t="s">
        <v>409</v>
      </c>
      <c r="AH308" s="153">
        <v>4.0965872669484726</v>
      </c>
      <c r="AJ308" s="153" t="s">
        <v>52</v>
      </c>
      <c r="AK308" s="153" t="s">
        <v>17</v>
      </c>
      <c r="AL308" s="153" t="s">
        <v>28</v>
      </c>
      <c r="AM308" s="153" t="s">
        <v>51</v>
      </c>
      <c r="AN308" s="153" t="s">
        <v>405</v>
      </c>
      <c r="AO308" s="153">
        <v>1.5500794402021603</v>
      </c>
    </row>
    <row r="309" spans="29:41">
      <c r="AC309" s="153" t="s">
        <v>52</v>
      </c>
      <c r="AD309" s="153" t="s">
        <v>17</v>
      </c>
      <c r="AE309" s="153" t="s">
        <v>72</v>
      </c>
      <c r="AF309" s="153" t="s">
        <v>51</v>
      </c>
      <c r="AG309" s="153" t="s">
        <v>410</v>
      </c>
      <c r="AH309" s="153">
        <v>4.1632073471907693</v>
      </c>
      <c r="AJ309" s="153" t="s">
        <v>52</v>
      </c>
      <c r="AK309" s="153" t="s">
        <v>17</v>
      </c>
      <c r="AL309" s="153" t="s">
        <v>28</v>
      </c>
      <c r="AM309" s="153" t="s">
        <v>51</v>
      </c>
      <c r="AN309" s="153" t="s">
        <v>406</v>
      </c>
      <c r="AO309" s="153">
        <v>1.5864653060966885</v>
      </c>
    </row>
    <row r="310" spans="29:41">
      <c r="AC310" s="153" t="s">
        <v>52</v>
      </c>
      <c r="AD310" s="153" t="s">
        <v>17</v>
      </c>
      <c r="AE310" s="153" t="s">
        <v>72</v>
      </c>
      <c r="AF310" s="153" t="s">
        <v>51</v>
      </c>
      <c r="AG310" s="153" t="s">
        <v>411</v>
      </c>
      <c r="AH310" s="153">
        <v>4.1514206242954286</v>
      </c>
      <c r="AJ310" s="153" t="s">
        <v>52</v>
      </c>
      <c r="AK310" s="153" t="s">
        <v>17</v>
      </c>
      <c r="AL310" s="153" t="s">
        <v>28</v>
      </c>
      <c r="AM310" s="153" t="s">
        <v>51</v>
      </c>
      <c r="AN310" s="153" t="s">
        <v>407</v>
      </c>
      <c r="AO310" s="153">
        <v>1.5545206246598096</v>
      </c>
    </row>
    <row r="311" spans="29:41">
      <c r="AC311" s="153" t="s">
        <v>52</v>
      </c>
      <c r="AD311" s="153" t="s">
        <v>17</v>
      </c>
      <c r="AE311" s="153" t="s">
        <v>72</v>
      </c>
      <c r="AF311" s="153" t="s">
        <v>51</v>
      </c>
      <c r="AG311" s="153" t="s">
        <v>412</v>
      </c>
      <c r="AH311" s="153">
        <v>4.1484726333034283</v>
      </c>
      <c r="AJ311" s="153" t="s">
        <v>52</v>
      </c>
      <c r="AK311" s="153" t="s">
        <v>17</v>
      </c>
      <c r="AL311" s="153" t="s">
        <v>28</v>
      </c>
      <c r="AM311" s="153" t="s">
        <v>51</v>
      </c>
      <c r="AN311" s="153" t="s">
        <v>408</v>
      </c>
      <c r="AO311" s="153">
        <v>1.5014321552077756</v>
      </c>
    </row>
    <row r="312" spans="29:41">
      <c r="AC312" s="153" t="s">
        <v>52</v>
      </c>
      <c r="AD312" s="153" t="s">
        <v>17</v>
      </c>
      <c r="AE312" s="153" t="s">
        <v>72</v>
      </c>
      <c r="AF312" s="153" t="s">
        <v>51</v>
      </c>
      <c r="AG312" s="153" t="s">
        <v>413</v>
      </c>
      <c r="AH312" s="153">
        <v>4.1690975655386646</v>
      </c>
      <c r="AJ312" s="153" t="s">
        <v>52</v>
      </c>
      <c r="AK312" s="153" t="s">
        <v>17</v>
      </c>
      <c r="AL312" s="153" t="s">
        <v>28</v>
      </c>
      <c r="AM312" s="153" t="s">
        <v>51</v>
      </c>
      <c r="AN312" s="153" t="s">
        <v>409</v>
      </c>
      <c r="AO312" s="153">
        <v>1.4377845112750622</v>
      </c>
    </row>
    <row r="313" spans="29:41">
      <c r="AC313" s="153" t="s">
        <v>52</v>
      </c>
      <c r="AD313" s="153" t="s">
        <v>17</v>
      </c>
      <c r="AE313" s="153" t="s">
        <v>72</v>
      </c>
      <c r="AF313" s="153" t="s">
        <v>51</v>
      </c>
      <c r="AG313" s="153" t="s">
        <v>414</v>
      </c>
      <c r="AH313" s="153">
        <v>4.1838139511017385</v>
      </c>
      <c r="AJ313" s="153" t="s">
        <v>52</v>
      </c>
      <c r="AK313" s="153" t="s">
        <v>17</v>
      </c>
      <c r="AL313" s="153" t="s">
        <v>28</v>
      </c>
      <c r="AM313" s="153" t="s">
        <v>51</v>
      </c>
      <c r="AN313" s="153" t="s">
        <v>410</v>
      </c>
      <c r="AO313" s="153">
        <v>1.5523275899207993</v>
      </c>
    </row>
    <row r="314" spans="29:41">
      <c r="AC314" s="153" t="s">
        <v>52</v>
      </c>
      <c r="AD314" s="153" t="s">
        <v>17</v>
      </c>
      <c r="AE314" s="153" t="s">
        <v>72</v>
      </c>
      <c r="AF314" s="153" t="s">
        <v>51</v>
      </c>
      <c r="AG314" s="153" t="s">
        <v>415</v>
      </c>
      <c r="AH314" s="153">
        <v>4.224950314738753</v>
      </c>
      <c r="AJ314" s="153" t="s">
        <v>52</v>
      </c>
      <c r="AK314" s="153" t="s">
        <v>17</v>
      </c>
      <c r="AL314" s="153" t="s">
        <v>28</v>
      </c>
      <c r="AM314" s="153" t="s">
        <v>51</v>
      </c>
      <c r="AN314" s="153" t="s">
        <v>411</v>
      </c>
      <c r="AO314" s="153">
        <v>1.5369215471158584</v>
      </c>
    </row>
    <row r="315" spans="29:41">
      <c r="AC315" s="153" t="s">
        <v>52</v>
      </c>
      <c r="AD315" s="153" t="s">
        <v>17</v>
      </c>
      <c r="AE315" s="153" t="s">
        <v>72</v>
      </c>
      <c r="AF315" s="153" t="s">
        <v>51</v>
      </c>
      <c r="AG315" s="153" t="s">
        <v>429</v>
      </c>
      <c r="AH315" s="153">
        <v>4.2132075105238744</v>
      </c>
      <c r="AJ315" s="153" t="s">
        <v>52</v>
      </c>
      <c r="AK315" s="153" t="s">
        <v>17</v>
      </c>
      <c r="AL315" s="153" t="s">
        <v>28</v>
      </c>
      <c r="AM315" s="153" t="s">
        <v>51</v>
      </c>
      <c r="AN315" s="153" t="s">
        <v>412</v>
      </c>
      <c r="AO315" s="153">
        <v>1.5410937848861888</v>
      </c>
    </row>
    <row r="316" spans="29:41">
      <c r="AC316" s="153" t="s">
        <v>52</v>
      </c>
      <c r="AD316" s="153" t="s">
        <v>17</v>
      </c>
      <c r="AE316" s="153" t="s">
        <v>72</v>
      </c>
      <c r="AF316" s="153" t="s">
        <v>51</v>
      </c>
      <c r="AG316" s="153" t="s">
        <v>430</v>
      </c>
      <c r="AH316" s="153">
        <v>4.2747642352322801</v>
      </c>
      <c r="AJ316" s="153" t="s">
        <v>52</v>
      </c>
      <c r="AK316" s="153" t="s">
        <v>17</v>
      </c>
      <c r="AL316" s="153" t="s">
        <v>28</v>
      </c>
      <c r="AM316" s="153" t="s">
        <v>51</v>
      </c>
      <c r="AN316" s="153" t="s">
        <v>413</v>
      </c>
      <c r="AO316" s="153">
        <v>1.5450829469171443</v>
      </c>
    </row>
    <row r="317" spans="29:41">
      <c r="AC317" s="153" t="s">
        <v>52</v>
      </c>
      <c r="AD317" s="153" t="s">
        <v>17</v>
      </c>
      <c r="AE317" s="153" t="s">
        <v>72</v>
      </c>
      <c r="AF317" s="153" t="s">
        <v>51</v>
      </c>
      <c r="AG317" s="153" t="s">
        <v>431</v>
      </c>
      <c r="AH317" s="153">
        <v>4.2190799560072145</v>
      </c>
      <c r="AJ317" s="153" t="s">
        <v>52</v>
      </c>
      <c r="AK317" s="153" t="s">
        <v>17</v>
      </c>
      <c r="AL317" s="153" t="s">
        <v>28</v>
      </c>
      <c r="AM317" s="153" t="s">
        <v>51</v>
      </c>
      <c r="AN317" s="153" t="s">
        <v>414</v>
      </c>
      <c r="AO317" s="153">
        <v>1.5386975180679781</v>
      </c>
    </row>
    <row r="318" spans="29:41">
      <c r="AC318" s="153" t="s">
        <v>52</v>
      </c>
      <c r="AD318" s="153" t="s">
        <v>17</v>
      </c>
      <c r="AE318" s="153" t="s">
        <v>72</v>
      </c>
      <c r="AF318" s="153" t="s">
        <v>51</v>
      </c>
      <c r="AG318" s="153" t="s">
        <v>432</v>
      </c>
      <c r="AH318" s="153">
        <v>4.2864633142523001</v>
      </c>
      <c r="AJ318" s="153" t="s">
        <v>52</v>
      </c>
      <c r="AK318" s="153" t="s">
        <v>17</v>
      </c>
      <c r="AL318" s="153" t="s">
        <v>28</v>
      </c>
      <c r="AM318" s="153" t="s">
        <v>51</v>
      </c>
      <c r="AN318" s="153" t="s">
        <v>415</v>
      </c>
      <c r="AO318" s="153">
        <v>1.6257424386638932</v>
      </c>
    </row>
    <row r="319" spans="29:41">
      <c r="AC319" s="153" t="s">
        <v>52</v>
      </c>
      <c r="AD319" s="153" t="s">
        <v>17</v>
      </c>
      <c r="AE319" s="153" t="s">
        <v>72</v>
      </c>
      <c r="AF319" s="153" t="s">
        <v>51</v>
      </c>
      <c r="AG319" s="153" t="s">
        <v>433</v>
      </c>
      <c r="AH319" s="153">
        <v>4.0403094924050471</v>
      </c>
      <c r="AJ319" s="153" t="s">
        <v>52</v>
      </c>
      <c r="AK319" s="153" t="s">
        <v>17</v>
      </c>
      <c r="AL319" s="153" t="s">
        <v>28</v>
      </c>
      <c r="AM319" s="153" t="s">
        <v>51</v>
      </c>
      <c r="AN319" s="153" t="s">
        <v>429</v>
      </c>
      <c r="AO319" s="153">
        <v>1.6106140813638945</v>
      </c>
    </row>
    <row r="320" spans="29:41">
      <c r="AC320" s="153" t="s">
        <v>52</v>
      </c>
      <c r="AD320" s="153" t="s">
        <v>17</v>
      </c>
      <c r="AE320" s="153" t="s">
        <v>72</v>
      </c>
      <c r="AF320" s="153" t="s">
        <v>51</v>
      </c>
      <c r="AG320" s="153" t="s">
        <v>434</v>
      </c>
      <c r="AH320" s="153">
        <v>4.03734221375937</v>
      </c>
      <c r="AJ320" s="153" t="s">
        <v>52</v>
      </c>
      <c r="AK320" s="153" t="s">
        <v>17</v>
      </c>
      <c r="AL320" s="153" t="s">
        <v>28</v>
      </c>
      <c r="AM320" s="153" t="s">
        <v>51</v>
      </c>
      <c r="AN320" s="153" t="s">
        <v>430</v>
      </c>
      <c r="AO320" s="153">
        <v>1.6835106093648107</v>
      </c>
    </row>
    <row r="321" spans="29:41">
      <c r="AC321" s="153" t="s">
        <v>52</v>
      </c>
      <c r="AD321" s="153" t="s">
        <v>17</v>
      </c>
      <c r="AE321" s="153" t="s">
        <v>72</v>
      </c>
      <c r="AF321" s="153" t="s">
        <v>51</v>
      </c>
      <c r="AG321" s="153" t="s">
        <v>435</v>
      </c>
      <c r="AH321" s="153">
        <v>4.0403094924050471</v>
      </c>
      <c r="AJ321" s="153" t="s">
        <v>52</v>
      </c>
      <c r="AK321" s="153" t="s">
        <v>17</v>
      </c>
      <c r="AL321" s="153" t="s">
        <v>28</v>
      </c>
      <c r="AM321" s="153" t="s">
        <v>51</v>
      </c>
      <c r="AN321" s="153" t="s">
        <v>431</v>
      </c>
      <c r="AO321" s="153">
        <v>1.6129291388135749</v>
      </c>
    </row>
    <row r="322" spans="29:41">
      <c r="AC322" s="153" t="s">
        <v>52</v>
      </c>
      <c r="AD322" s="153" t="s">
        <v>17</v>
      </c>
      <c r="AE322" s="153" t="s">
        <v>72</v>
      </c>
      <c r="AF322" s="153" t="s">
        <v>51</v>
      </c>
      <c r="AG322" s="153" t="s">
        <v>436</v>
      </c>
      <c r="AH322" s="153">
        <v>4.03734221375937</v>
      </c>
      <c r="AJ322" s="153" t="s">
        <v>52</v>
      </c>
      <c r="AK322" s="153" t="s">
        <v>17</v>
      </c>
      <c r="AL322" s="153" t="s">
        <v>28</v>
      </c>
      <c r="AM322" s="153" t="s">
        <v>51</v>
      </c>
      <c r="AN322" s="153" t="s">
        <v>432</v>
      </c>
      <c r="AO322" s="153">
        <v>1.6913018935952402</v>
      </c>
    </row>
    <row r="323" spans="29:41">
      <c r="AC323" s="153" t="s">
        <v>52</v>
      </c>
      <c r="AD323" s="153" t="s">
        <v>17</v>
      </c>
      <c r="AE323" s="153" t="s">
        <v>72</v>
      </c>
      <c r="AF323" s="153" t="s">
        <v>51</v>
      </c>
      <c r="AG323" s="153" t="s">
        <v>437</v>
      </c>
      <c r="AH323" s="153">
        <v>4.0521733108995752</v>
      </c>
      <c r="AJ323" s="153" t="s">
        <v>52</v>
      </c>
      <c r="AK323" s="153" t="s">
        <v>17</v>
      </c>
      <c r="AL323" s="153" t="s">
        <v>28</v>
      </c>
      <c r="AM323" s="153" t="s">
        <v>51</v>
      </c>
      <c r="AN323" s="153" t="s">
        <v>433</v>
      </c>
      <c r="AO323" s="153">
        <v>1.5392021123893669</v>
      </c>
    </row>
    <row r="324" spans="29:41">
      <c r="AC324" s="153" t="s">
        <v>52</v>
      </c>
      <c r="AD324" s="153" t="s">
        <v>17</v>
      </c>
      <c r="AE324" s="153" t="s">
        <v>72</v>
      </c>
      <c r="AF324" s="153" t="s">
        <v>51</v>
      </c>
      <c r="AG324" s="153" t="s">
        <v>438</v>
      </c>
      <c r="AH324" s="153">
        <v>4.0284371983798186</v>
      </c>
      <c r="AJ324" s="153" t="s">
        <v>52</v>
      </c>
      <c r="AK324" s="153" t="s">
        <v>17</v>
      </c>
      <c r="AL324" s="153" t="s">
        <v>28</v>
      </c>
      <c r="AM324" s="153" t="s">
        <v>51</v>
      </c>
      <c r="AN324" s="153" t="s">
        <v>434</v>
      </c>
      <c r="AO324" s="153">
        <v>1.52843487805263</v>
      </c>
    </row>
    <row r="325" spans="29:41">
      <c r="AC325" s="153" t="s">
        <v>52</v>
      </c>
      <c r="AD325" s="153" t="s">
        <v>17</v>
      </c>
      <c r="AE325" s="153" t="s">
        <v>72</v>
      </c>
      <c r="AF325" s="153" t="s">
        <v>51</v>
      </c>
      <c r="AG325" s="153" t="s">
        <v>439</v>
      </c>
      <c r="AH325" s="153">
        <v>3.9652389689500764</v>
      </c>
      <c r="AJ325" s="153" t="s">
        <v>52</v>
      </c>
      <c r="AK325" s="153" t="s">
        <v>17</v>
      </c>
      <c r="AL325" s="153" t="s">
        <v>28</v>
      </c>
      <c r="AM325" s="153" t="s">
        <v>51</v>
      </c>
      <c r="AN325" s="153" t="s">
        <v>435</v>
      </c>
      <c r="AO325" s="153">
        <v>1.5319083724123168</v>
      </c>
    </row>
    <row r="326" spans="29:41">
      <c r="AC326" s="153" t="s">
        <v>52</v>
      </c>
      <c r="AD326" s="153" t="s">
        <v>17</v>
      </c>
      <c r="AE326" s="153" t="s">
        <v>72</v>
      </c>
      <c r="AF326" s="153" t="s">
        <v>51</v>
      </c>
      <c r="AG326" s="153" t="s">
        <v>440</v>
      </c>
      <c r="AH326" s="153">
        <v>3.9890567867784577</v>
      </c>
      <c r="AJ326" s="153" t="s">
        <v>52</v>
      </c>
      <c r="AK326" s="153" t="s">
        <v>17</v>
      </c>
      <c r="AL326" s="153" t="s">
        <v>28</v>
      </c>
      <c r="AM326" s="153" t="s">
        <v>51</v>
      </c>
      <c r="AN326" s="153" t="s">
        <v>436</v>
      </c>
      <c r="AO326" s="153">
        <v>1.5368344411203299</v>
      </c>
    </row>
    <row r="327" spans="29:41">
      <c r="AC327" s="153" t="s">
        <v>52</v>
      </c>
      <c r="AD327" s="153" t="s">
        <v>17</v>
      </c>
      <c r="AE327" s="153" t="s">
        <v>72</v>
      </c>
      <c r="AF327" s="153" t="s">
        <v>51</v>
      </c>
      <c r="AG327" s="153" t="s">
        <v>441</v>
      </c>
      <c r="AH327" s="153">
        <v>4.0039255533877984</v>
      </c>
      <c r="AJ327" s="153" t="s">
        <v>52</v>
      </c>
      <c r="AK327" s="153" t="s">
        <v>17</v>
      </c>
      <c r="AL327" s="153" t="s">
        <v>28</v>
      </c>
      <c r="AM327" s="153" t="s">
        <v>51</v>
      </c>
      <c r="AN327" s="153" t="s">
        <v>437</v>
      </c>
      <c r="AO327" s="153">
        <v>1.5664402176437153</v>
      </c>
    </row>
    <row r="328" spans="29:41">
      <c r="AC328" s="153" t="s">
        <v>52</v>
      </c>
      <c r="AD328" s="153" t="s">
        <v>17</v>
      </c>
      <c r="AE328" s="153" t="s">
        <v>72</v>
      </c>
      <c r="AF328" s="153" t="s">
        <v>51</v>
      </c>
      <c r="AG328" s="153" t="s">
        <v>442</v>
      </c>
      <c r="AH328" s="153">
        <v>3.9622593343320154</v>
      </c>
      <c r="AJ328" s="153" t="s">
        <v>52</v>
      </c>
      <c r="AK328" s="153" t="s">
        <v>17</v>
      </c>
      <c r="AL328" s="153" t="s">
        <v>28</v>
      </c>
      <c r="AM328" s="153" t="s">
        <v>51</v>
      </c>
      <c r="AN328" s="153" t="s">
        <v>438</v>
      </c>
      <c r="AO328" s="153">
        <v>1.5589437372765884</v>
      </c>
    </row>
    <row r="329" spans="29:41">
      <c r="AC329" s="153" t="s">
        <v>52</v>
      </c>
      <c r="AD329" s="153" t="s">
        <v>17</v>
      </c>
      <c r="AE329" s="153" t="s">
        <v>72</v>
      </c>
      <c r="AF329" s="153" t="s">
        <v>51</v>
      </c>
      <c r="AG329" s="153" t="s">
        <v>443</v>
      </c>
      <c r="AH329" s="153">
        <v>3.9324335250417612</v>
      </c>
      <c r="AJ329" s="153" t="s">
        <v>52</v>
      </c>
      <c r="AK329" s="153" t="s">
        <v>17</v>
      </c>
      <c r="AL329" s="153" t="s">
        <v>28</v>
      </c>
      <c r="AM329" s="153" t="s">
        <v>51</v>
      </c>
      <c r="AN329" s="153" t="s">
        <v>439</v>
      </c>
      <c r="AO329" s="153">
        <v>1.5061542813141167</v>
      </c>
    </row>
    <row r="330" spans="29:41">
      <c r="AC330" s="153" t="s">
        <v>52</v>
      </c>
      <c r="AD330" s="153" t="s">
        <v>17</v>
      </c>
      <c r="AE330" s="153" t="s">
        <v>72</v>
      </c>
      <c r="AF330" s="153" t="s">
        <v>51</v>
      </c>
      <c r="AG330" s="153" t="s">
        <v>444</v>
      </c>
      <c r="AH330" s="153">
        <v>4.0335659652504399</v>
      </c>
      <c r="AJ330" s="153" t="s">
        <v>52</v>
      </c>
      <c r="AK330" s="153" t="s">
        <v>17</v>
      </c>
      <c r="AL330" s="153" t="s">
        <v>28</v>
      </c>
      <c r="AM330" s="153" t="s">
        <v>51</v>
      </c>
      <c r="AN330" s="153" t="s">
        <v>440</v>
      </c>
      <c r="AO330" s="153">
        <v>1.5213666760109477</v>
      </c>
    </row>
    <row r="331" spans="29:41">
      <c r="AC331" s="153" t="s">
        <v>52</v>
      </c>
      <c r="AD331" s="153" t="s">
        <v>17</v>
      </c>
      <c r="AE331" s="153" t="s">
        <v>72</v>
      </c>
      <c r="AF331" s="153" t="s">
        <v>51</v>
      </c>
      <c r="AG331" s="153" t="s">
        <v>445</v>
      </c>
      <c r="AH331" s="153">
        <v>4.0454324503154133</v>
      </c>
      <c r="AJ331" s="153" t="s">
        <v>52</v>
      </c>
      <c r="AK331" s="153" t="s">
        <v>17</v>
      </c>
      <c r="AL331" s="153" t="s">
        <v>28</v>
      </c>
      <c r="AM331" s="153" t="s">
        <v>51</v>
      </c>
      <c r="AN331" s="153" t="s">
        <v>441</v>
      </c>
      <c r="AO331" s="153">
        <v>1.5535554237797486</v>
      </c>
    </row>
    <row r="332" spans="29:41">
      <c r="AC332" s="153" t="s">
        <v>52</v>
      </c>
      <c r="AD332" s="153" t="s">
        <v>17</v>
      </c>
      <c r="AE332" s="153" t="s">
        <v>72</v>
      </c>
      <c r="AF332" s="153" t="s">
        <v>51</v>
      </c>
      <c r="AG332" s="153" t="s">
        <v>446</v>
      </c>
      <c r="AH332" s="153">
        <v>4.0691399461706377</v>
      </c>
      <c r="AJ332" s="153" t="s">
        <v>52</v>
      </c>
      <c r="AK332" s="153" t="s">
        <v>17</v>
      </c>
      <c r="AL332" s="153" t="s">
        <v>28</v>
      </c>
      <c r="AM332" s="153" t="s">
        <v>51</v>
      </c>
      <c r="AN332" s="153" t="s">
        <v>442</v>
      </c>
      <c r="AO332" s="153">
        <v>1.5307331996212554</v>
      </c>
    </row>
    <row r="333" spans="29:41">
      <c r="AC333" s="153" t="s">
        <v>52</v>
      </c>
      <c r="AD333" s="153" t="s">
        <v>17</v>
      </c>
      <c r="AE333" s="153" t="s">
        <v>72</v>
      </c>
      <c r="AF333" s="153" t="s">
        <v>51</v>
      </c>
      <c r="AG333" s="153" t="s">
        <v>447</v>
      </c>
      <c r="AH333" s="153">
        <v>4.0898561797954418</v>
      </c>
      <c r="AJ333" s="153" t="s">
        <v>52</v>
      </c>
      <c r="AK333" s="153" t="s">
        <v>17</v>
      </c>
      <c r="AL333" s="153" t="s">
        <v>28</v>
      </c>
      <c r="AM333" s="153" t="s">
        <v>51</v>
      </c>
      <c r="AN333" s="153" t="s">
        <v>443</v>
      </c>
      <c r="AO333" s="153">
        <v>1.4534253019135512</v>
      </c>
    </row>
    <row r="334" spans="29:41">
      <c r="AC334" s="153" t="s">
        <v>52</v>
      </c>
      <c r="AD334" s="153" t="s">
        <v>17</v>
      </c>
      <c r="AE334" s="153" t="s">
        <v>72</v>
      </c>
      <c r="AF334" s="153" t="s">
        <v>51</v>
      </c>
      <c r="AG334" s="153" t="s">
        <v>448</v>
      </c>
      <c r="AH334" s="153">
        <v>3.8666277408368082</v>
      </c>
      <c r="AJ334" s="153" t="s">
        <v>52</v>
      </c>
      <c r="AK334" s="153" t="s">
        <v>17</v>
      </c>
      <c r="AL334" s="153" t="s">
        <v>28</v>
      </c>
      <c r="AM334" s="153" t="s">
        <v>51</v>
      </c>
      <c r="AN334" s="153" t="s">
        <v>444</v>
      </c>
      <c r="AO334" s="153">
        <v>1.5302818760122499</v>
      </c>
    </row>
    <row r="335" spans="29:41">
      <c r="AC335" s="153" t="s">
        <v>52</v>
      </c>
      <c r="AD335" s="153" t="s">
        <v>17</v>
      </c>
      <c r="AE335" s="153" t="s">
        <v>72</v>
      </c>
      <c r="AF335" s="153" t="s">
        <v>51</v>
      </c>
      <c r="AG335" s="153" t="s">
        <v>449</v>
      </c>
      <c r="AH335" s="153">
        <v>3.888543269864674</v>
      </c>
      <c r="AJ335" s="153" t="s">
        <v>52</v>
      </c>
      <c r="AK335" s="153" t="s">
        <v>17</v>
      </c>
      <c r="AL335" s="153" t="s">
        <v>28</v>
      </c>
      <c r="AM335" s="153" t="s">
        <v>51</v>
      </c>
      <c r="AN335" s="153" t="s">
        <v>445</v>
      </c>
      <c r="AO335" s="153">
        <v>1.530102742850354</v>
      </c>
    </row>
    <row r="336" spans="29:41">
      <c r="AC336" s="153" t="s">
        <v>52</v>
      </c>
      <c r="AD336" s="153" t="s">
        <v>17</v>
      </c>
      <c r="AE336" s="153" t="s">
        <v>72</v>
      </c>
      <c r="AF336" s="153" t="s">
        <v>51</v>
      </c>
      <c r="AG336" s="153" t="s">
        <v>450</v>
      </c>
      <c r="AH336" s="153">
        <v>3.9055444302295426</v>
      </c>
      <c r="AJ336" s="153" t="s">
        <v>52</v>
      </c>
      <c r="AK336" s="153" t="s">
        <v>17</v>
      </c>
      <c r="AL336" s="153" t="s">
        <v>28</v>
      </c>
      <c r="AM336" s="153" t="s">
        <v>51</v>
      </c>
      <c r="AN336" s="153" t="s">
        <v>446</v>
      </c>
      <c r="AO336" s="153">
        <v>1.5586899994785477</v>
      </c>
    </row>
    <row r="337" spans="29:41">
      <c r="AC337" s="153" t="s">
        <v>52</v>
      </c>
      <c r="AD337" s="153" t="s">
        <v>17</v>
      </c>
      <c r="AE337" s="153" t="s">
        <v>72</v>
      </c>
      <c r="AF337" s="153" t="s">
        <v>51</v>
      </c>
      <c r="AG337" s="153" t="s">
        <v>451</v>
      </c>
      <c r="AH337" s="153">
        <v>3.9204881860351919</v>
      </c>
      <c r="AJ337" s="153" t="s">
        <v>52</v>
      </c>
      <c r="AK337" s="153" t="s">
        <v>17</v>
      </c>
      <c r="AL337" s="153" t="s">
        <v>28</v>
      </c>
      <c r="AM337" s="153" t="s">
        <v>51</v>
      </c>
      <c r="AN337" s="153" t="s">
        <v>447</v>
      </c>
      <c r="AO337" s="153">
        <v>1.5569900272444519</v>
      </c>
    </row>
    <row r="338" spans="29:41">
      <c r="AC338" s="153" t="s">
        <v>52</v>
      </c>
      <c r="AD338" s="153" t="s">
        <v>17</v>
      </c>
      <c r="AE338" s="153" t="s">
        <v>72</v>
      </c>
      <c r="AF338" s="153" t="s">
        <v>51</v>
      </c>
      <c r="AG338" s="153" t="s">
        <v>452</v>
      </c>
      <c r="AH338" s="153">
        <v>3.9384029751663099</v>
      </c>
      <c r="AJ338" s="153" t="s">
        <v>52</v>
      </c>
      <c r="AK338" s="153" t="s">
        <v>17</v>
      </c>
      <c r="AL338" s="153" t="s">
        <v>28</v>
      </c>
      <c r="AM338" s="153" t="s">
        <v>51</v>
      </c>
      <c r="AN338" s="153" t="s">
        <v>448</v>
      </c>
      <c r="AO338" s="153">
        <v>1.4442398944599182</v>
      </c>
    </row>
    <row r="339" spans="29:41">
      <c r="AC339" s="153" t="s">
        <v>52</v>
      </c>
      <c r="AD339" s="153" t="s">
        <v>17</v>
      </c>
      <c r="AE339" s="153" t="s">
        <v>72</v>
      </c>
      <c r="AF339" s="153" t="s">
        <v>51</v>
      </c>
      <c r="AG339" s="153" t="s">
        <v>453</v>
      </c>
      <c r="AH339" s="153">
        <v>3.8375913709210305</v>
      </c>
      <c r="AJ339" s="153" t="s">
        <v>52</v>
      </c>
      <c r="AK339" s="153" t="s">
        <v>17</v>
      </c>
      <c r="AL339" s="153" t="s">
        <v>28</v>
      </c>
      <c r="AM339" s="153" t="s">
        <v>51</v>
      </c>
      <c r="AN339" s="153" t="s">
        <v>449</v>
      </c>
      <c r="AO339" s="153">
        <v>1.5987905522417443</v>
      </c>
    </row>
    <row r="340" spans="29:41">
      <c r="AC340" s="153" t="s">
        <v>52</v>
      </c>
      <c r="AD340" s="153" t="s">
        <v>17</v>
      </c>
      <c r="AE340" s="153" t="s">
        <v>72</v>
      </c>
      <c r="AF340" s="153" t="s">
        <v>51</v>
      </c>
      <c r="AG340" s="153" t="s">
        <v>454</v>
      </c>
      <c r="AH340" s="153">
        <v>3.8135598956691821</v>
      </c>
      <c r="AJ340" s="153" t="s">
        <v>52</v>
      </c>
      <c r="AK340" s="153" t="s">
        <v>17</v>
      </c>
      <c r="AL340" s="153" t="s">
        <v>28</v>
      </c>
      <c r="AM340" s="153" t="s">
        <v>51</v>
      </c>
      <c r="AN340" s="153" t="s">
        <v>450</v>
      </c>
      <c r="AO340" s="153">
        <v>1.6130515573249626</v>
      </c>
    </row>
    <row r="341" spans="29:41">
      <c r="AC341" s="153" t="s">
        <v>52</v>
      </c>
      <c r="AD341" s="153" t="s">
        <v>17</v>
      </c>
      <c r="AE341" s="153" t="s">
        <v>72</v>
      </c>
      <c r="AF341" s="153" t="s">
        <v>51</v>
      </c>
      <c r="AG341" s="153" t="s">
        <v>455</v>
      </c>
      <c r="AH341" s="153">
        <v>3.7925038821595614</v>
      </c>
      <c r="AJ341" s="153" t="s">
        <v>52</v>
      </c>
      <c r="AK341" s="153" t="s">
        <v>17</v>
      </c>
      <c r="AL341" s="153" t="s">
        <v>28</v>
      </c>
      <c r="AM341" s="153" t="s">
        <v>51</v>
      </c>
      <c r="AN341" s="153" t="s">
        <v>451</v>
      </c>
      <c r="AO341" s="153">
        <v>1.6339352165174921</v>
      </c>
    </row>
    <row r="342" spans="29:41">
      <c r="AC342" s="153" t="s">
        <v>52</v>
      </c>
      <c r="AD342" s="153" t="s">
        <v>17</v>
      </c>
      <c r="AE342" s="153" t="s">
        <v>72</v>
      </c>
      <c r="AF342" s="153" t="s">
        <v>51</v>
      </c>
      <c r="AG342" s="153" t="s">
        <v>456</v>
      </c>
      <c r="AH342" s="153">
        <v>3.7955135127116617</v>
      </c>
      <c r="AJ342" s="153" t="s">
        <v>52</v>
      </c>
      <c r="AK342" s="153" t="s">
        <v>17</v>
      </c>
      <c r="AL342" s="153" t="s">
        <v>28</v>
      </c>
      <c r="AM342" s="153" t="s">
        <v>51</v>
      </c>
      <c r="AN342" s="153" t="s">
        <v>452</v>
      </c>
      <c r="AO342" s="153">
        <v>1.6909166060421101</v>
      </c>
    </row>
    <row r="343" spans="29:41">
      <c r="AC343" s="153" t="s">
        <v>52</v>
      </c>
      <c r="AD343" s="153" t="s">
        <v>17</v>
      </c>
      <c r="AE343" s="153" t="s">
        <v>72</v>
      </c>
      <c r="AF343" s="153" t="s">
        <v>51</v>
      </c>
      <c r="AG343" s="153" t="s">
        <v>457</v>
      </c>
      <c r="AH343" s="153">
        <v>3.7894937084278566</v>
      </c>
      <c r="AJ343" s="153" t="s">
        <v>52</v>
      </c>
      <c r="AK343" s="153" t="s">
        <v>17</v>
      </c>
      <c r="AL343" s="153" t="s">
        <v>28</v>
      </c>
      <c r="AM343" s="153" t="s">
        <v>51</v>
      </c>
      <c r="AN343" s="153" t="s">
        <v>453</v>
      </c>
      <c r="AO343" s="153">
        <v>1.5977918483138307</v>
      </c>
    </row>
    <row r="344" spans="29:41">
      <c r="AC344" s="153" t="s">
        <v>52</v>
      </c>
      <c r="AD344" s="153" t="s">
        <v>17</v>
      </c>
      <c r="AE344" s="153" t="s">
        <v>72</v>
      </c>
      <c r="AF344" s="153" t="s">
        <v>51</v>
      </c>
      <c r="AG344" s="153" t="s">
        <v>458</v>
      </c>
      <c r="AH344" s="153">
        <v>3.8345893328135392</v>
      </c>
      <c r="AJ344" s="153" t="s">
        <v>52</v>
      </c>
      <c r="AK344" s="153" t="s">
        <v>17</v>
      </c>
      <c r="AL344" s="153" t="s">
        <v>28</v>
      </c>
      <c r="AM344" s="153" t="s">
        <v>51</v>
      </c>
      <c r="AN344" s="153" t="s">
        <v>454</v>
      </c>
      <c r="AO344" s="153">
        <v>1.6539364543666619</v>
      </c>
    </row>
    <row r="345" spans="29:41">
      <c r="AC345" s="153" t="s">
        <v>52</v>
      </c>
      <c r="AD345" s="153" t="s">
        <v>17</v>
      </c>
      <c r="AE345" s="153" t="s">
        <v>72</v>
      </c>
      <c r="AF345" s="153" t="s">
        <v>51</v>
      </c>
      <c r="AG345" s="153" t="s">
        <v>459</v>
      </c>
      <c r="AH345" s="153">
        <v>3.8315867531351544</v>
      </c>
      <c r="AJ345" s="153" t="s">
        <v>52</v>
      </c>
      <c r="AK345" s="153" t="s">
        <v>17</v>
      </c>
      <c r="AL345" s="153" t="s">
        <v>28</v>
      </c>
      <c r="AM345" s="153" t="s">
        <v>51</v>
      </c>
      <c r="AN345" s="153" t="s">
        <v>455</v>
      </c>
      <c r="AO345" s="153">
        <v>1.5936767051639413</v>
      </c>
    </row>
    <row r="346" spans="29:41">
      <c r="AC346" s="153" t="s">
        <v>52</v>
      </c>
      <c r="AD346" s="153" t="s">
        <v>17</v>
      </c>
      <c r="AE346" s="153" t="s">
        <v>72</v>
      </c>
      <c r="AF346" s="153" t="s">
        <v>51</v>
      </c>
      <c r="AG346" s="153" t="s">
        <v>460</v>
      </c>
      <c r="AH346" s="153">
        <v>3.8965717275280443</v>
      </c>
      <c r="AJ346" s="153" t="s">
        <v>52</v>
      </c>
      <c r="AK346" s="153" t="s">
        <v>17</v>
      </c>
      <c r="AL346" s="153" t="s">
        <v>28</v>
      </c>
      <c r="AM346" s="153" t="s">
        <v>51</v>
      </c>
      <c r="AN346" s="153" t="s">
        <v>456</v>
      </c>
      <c r="AO346" s="153">
        <v>1.5627779918341616</v>
      </c>
    </row>
    <row r="347" spans="29:41">
      <c r="AC347" s="153" t="s">
        <v>52</v>
      </c>
      <c r="AD347" s="153" t="s">
        <v>17</v>
      </c>
      <c r="AE347" s="153" t="s">
        <v>72</v>
      </c>
      <c r="AF347" s="153" t="s">
        <v>51</v>
      </c>
      <c r="AG347" s="153" t="s">
        <v>461</v>
      </c>
      <c r="AH347" s="153">
        <v>3.8945273494346946</v>
      </c>
      <c r="AJ347" s="153" t="s">
        <v>52</v>
      </c>
      <c r="AK347" s="153" t="s">
        <v>17</v>
      </c>
      <c r="AL347" s="153" t="s">
        <v>28</v>
      </c>
      <c r="AM347" s="153" t="s">
        <v>51</v>
      </c>
      <c r="AN347" s="153" t="s">
        <v>746</v>
      </c>
      <c r="AO347" s="153">
        <v>1.5627779918341616</v>
      </c>
    </row>
    <row r="348" spans="29:41">
      <c r="AC348" s="153" t="s">
        <v>52</v>
      </c>
      <c r="AD348" s="153" t="s">
        <v>17</v>
      </c>
      <c r="AE348" s="153" t="s">
        <v>72</v>
      </c>
      <c r="AF348" s="153" t="s">
        <v>51</v>
      </c>
      <c r="AG348" s="153" t="s">
        <v>462</v>
      </c>
      <c r="AH348" s="153">
        <v>3.8465942369774484</v>
      </c>
      <c r="AJ348" s="153" t="s">
        <v>52</v>
      </c>
      <c r="AK348" s="153" t="s">
        <v>17</v>
      </c>
      <c r="AL348" s="153" t="s">
        <v>28</v>
      </c>
      <c r="AM348" s="153" t="s">
        <v>51</v>
      </c>
      <c r="AN348" s="153" t="s">
        <v>457</v>
      </c>
      <c r="AO348" s="153">
        <v>1.539610034826467</v>
      </c>
    </row>
    <row r="349" spans="29:41">
      <c r="AC349" s="153" t="s">
        <v>52</v>
      </c>
      <c r="AD349" s="153" t="s">
        <v>17</v>
      </c>
      <c r="AE349" s="153" t="s">
        <v>72</v>
      </c>
      <c r="AF349" s="153" t="s">
        <v>51</v>
      </c>
      <c r="AG349" s="153" t="s">
        <v>463</v>
      </c>
      <c r="AH349" s="153">
        <v>3.8636303795906124</v>
      </c>
      <c r="AJ349" s="153" t="s">
        <v>52</v>
      </c>
      <c r="AK349" s="153" t="s">
        <v>17</v>
      </c>
      <c r="AL349" s="153" t="s">
        <v>28</v>
      </c>
      <c r="AM349" s="153" t="s">
        <v>51</v>
      </c>
      <c r="AN349" s="153" t="s">
        <v>458</v>
      </c>
      <c r="AO349" s="153">
        <v>1.5309919814107193</v>
      </c>
    </row>
    <row r="350" spans="29:41">
      <c r="AC350" s="153" t="s">
        <v>52</v>
      </c>
      <c r="AD350" s="153" t="s">
        <v>17</v>
      </c>
      <c r="AE350" s="153" t="s">
        <v>72</v>
      </c>
      <c r="AF350" s="153" t="s">
        <v>51</v>
      </c>
      <c r="AG350" s="153" t="s">
        <v>464</v>
      </c>
      <c r="AH350" s="153">
        <v>3.8765686357466569</v>
      </c>
      <c r="AJ350" s="153" t="s">
        <v>52</v>
      </c>
      <c r="AK350" s="153" t="s">
        <v>17</v>
      </c>
      <c r="AL350" s="153" t="s">
        <v>28</v>
      </c>
      <c r="AM350" s="153" t="s">
        <v>51</v>
      </c>
      <c r="AN350" s="153" t="s">
        <v>459</v>
      </c>
      <c r="AO350" s="153">
        <v>1.5535032420085142</v>
      </c>
    </row>
    <row r="351" spans="29:41">
      <c r="AC351" s="153" t="s">
        <v>52</v>
      </c>
      <c r="AD351" s="153" t="s">
        <v>17</v>
      </c>
      <c r="AE351" s="153" t="s">
        <v>72</v>
      </c>
      <c r="AF351" s="153" t="s">
        <v>51</v>
      </c>
      <c r="AG351" s="153" t="s">
        <v>465</v>
      </c>
      <c r="AH351" s="153">
        <v>3.8846005934615979</v>
      </c>
      <c r="AJ351" s="153" t="s">
        <v>52</v>
      </c>
      <c r="AK351" s="153" t="s">
        <v>17</v>
      </c>
      <c r="AL351" s="153" t="s">
        <v>28</v>
      </c>
      <c r="AM351" s="153" t="s">
        <v>51</v>
      </c>
      <c r="AN351" s="153" t="s">
        <v>460</v>
      </c>
      <c r="AO351" s="153">
        <v>1.5832988606107039</v>
      </c>
    </row>
    <row r="352" spans="29:41">
      <c r="AC352" s="153" t="s">
        <v>52</v>
      </c>
      <c r="AD352" s="153" t="s">
        <v>17</v>
      </c>
      <c r="AE352" s="153" t="s">
        <v>72</v>
      </c>
      <c r="AF352" s="153" t="s">
        <v>51</v>
      </c>
      <c r="AG352" s="153" t="s">
        <v>466</v>
      </c>
      <c r="AH352" s="153">
        <v>3.8225757635354207</v>
      </c>
      <c r="AJ352" s="153" t="s">
        <v>52</v>
      </c>
      <c r="AK352" s="153" t="s">
        <v>17</v>
      </c>
      <c r="AL352" s="153" t="s">
        <v>28</v>
      </c>
      <c r="AM352" s="153" t="s">
        <v>51</v>
      </c>
      <c r="AN352" s="153" t="s">
        <v>461</v>
      </c>
      <c r="AO352" s="153">
        <v>1.5357701007014244</v>
      </c>
    </row>
    <row r="353" spans="29:41">
      <c r="AC353" s="153" t="s">
        <v>52</v>
      </c>
      <c r="AD353" s="153" t="s">
        <v>17</v>
      </c>
      <c r="AE353" s="153" t="s">
        <v>72</v>
      </c>
      <c r="AF353" s="153" t="s">
        <v>51</v>
      </c>
      <c r="AG353" s="153" t="s">
        <v>467</v>
      </c>
      <c r="AH353" s="153">
        <v>3.7864829913982345</v>
      </c>
      <c r="AJ353" s="153" t="s">
        <v>52</v>
      </c>
      <c r="AK353" s="153" t="s">
        <v>17</v>
      </c>
      <c r="AL353" s="153" t="s">
        <v>28</v>
      </c>
      <c r="AM353" s="153" t="s">
        <v>51</v>
      </c>
      <c r="AN353" s="153" t="s">
        <v>462</v>
      </c>
      <c r="AO353" s="153">
        <v>1.4918857844531488</v>
      </c>
    </row>
    <row r="354" spans="29:41">
      <c r="AC354" s="153" t="s">
        <v>52</v>
      </c>
      <c r="AD354" s="153" t="s">
        <v>17</v>
      </c>
      <c r="AE354" s="153" t="s">
        <v>72</v>
      </c>
      <c r="AF354" s="153" t="s">
        <v>51</v>
      </c>
      <c r="AG354" s="153" t="s">
        <v>468</v>
      </c>
      <c r="AH354" s="153">
        <v>3.8045391464315701</v>
      </c>
      <c r="AJ354" s="153" t="s">
        <v>52</v>
      </c>
      <c r="AK354" s="153" t="s">
        <v>17</v>
      </c>
      <c r="AL354" s="153" t="s">
        <v>28</v>
      </c>
      <c r="AM354" s="153" t="s">
        <v>51</v>
      </c>
      <c r="AN354" s="153" t="s">
        <v>463</v>
      </c>
      <c r="AO354" s="153">
        <v>1.5355973444710223</v>
      </c>
    </row>
    <row r="355" spans="29:41">
      <c r="AC355" s="153" t="s">
        <v>52</v>
      </c>
      <c r="AD355" s="153" t="s">
        <v>17</v>
      </c>
      <c r="AE355" s="153" t="s">
        <v>72</v>
      </c>
      <c r="AF355" s="153" t="s">
        <v>51</v>
      </c>
      <c r="AG355" s="153" t="s">
        <v>469</v>
      </c>
      <c r="AH355" s="153">
        <v>3.8165657271796651</v>
      </c>
      <c r="AJ355" s="153" t="s">
        <v>52</v>
      </c>
      <c r="AK355" s="153" t="s">
        <v>17</v>
      </c>
      <c r="AL355" s="153" t="s">
        <v>28</v>
      </c>
      <c r="AM355" s="153" t="s">
        <v>51</v>
      </c>
      <c r="AN355" s="153" t="s">
        <v>464</v>
      </c>
      <c r="AO355" s="153">
        <v>1.5297905654851871</v>
      </c>
    </row>
    <row r="356" spans="29:41">
      <c r="AC356" s="153" t="s">
        <v>52</v>
      </c>
      <c r="AD356" s="153" t="s">
        <v>17</v>
      </c>
      <c r="AE356" s="153" t="s">
        <v>72</v>
      </c>
      <c r="AF356" s="153" t="s">
        <v>51</v>
      </c>
      <c r="AG356" s="153" t="s">
        <v>470</v>
      </c>
      <c r="AH356" s="153">
        <v>3.8195710164292263</v>
      </c>
      <c r="AJ356" s="153" t="s">
        <v>52</v>
      </c>
      <c r="AK356" s="153" t="s">
        <v>17</v>
      </c>
      <c r="AL356" s="153" t="s">
        <v>28</v>
      </c>
      <c r="AM356" s="153" t="s">
        <v>51</v>
      </c>
      <c r="AN356" s="153" t="s">
        <v>465</v>
      </c>
      <c r="AO356" s="153">
        <v>1.5337348556195278</v>
      </c>
    </row>
    <row r="357" spans="29:41">
      <c r="AC357" s="153" t="s">
        <v>52</v>
      </c>
      <c r="AD357" s="153" t="s">
        <v>17</v>
      </c>
      <c r="AE357" s="153" t="s">
        <v>72</v>
      </c>
      <c r="AF357" s="153" t="s">
        <v>51</v>
      </c>
      <c r="AG357" s="153" t="s">
        <v>471</v>
      </c>
      <c r="AH357" s="153">
        <v>3.7774475793801021</v>
      </c>
      <c r="AJ357" s="153" t="s">
        <v>52</v>
      </c>
      <c r="AK357" s="153" t="s">
        <v>17</v>
      </c>
      <c r="AL357" s="153" t="s">
        <v>28</v>
      </c>
      <c r="AM357" s="153" t="s">
        <v>51</v>
      </c>
      <c r="AN357" s="153" t="s">
        <v>466</v>
      </c>
      <c r="AO357" s="153">
        <v>1.4502078324494707</v>
      </c>
    </row>
    <row r="358" spans="29:41">
      <c r="AC358" s="153" t="s">
        <v>52</v>
      </c>
      <c r="AD358" s="153" t="s">
        <v>17</v>
      </c>
      <c r="AE358" s="153" t="s">
        <v>72</v>
      </c>
      <c r="AF358" s="153" t="s">
        <v>51</v>
      </c>
      <c r="AG358" s="153" t="s">
        <v>472</v>
      </c>
      <c r="AH358" s="153">
        <v>3.7503119679176402</v>
      </c>
      <c r="AJ358" s="153" t="s">
        <v>52</v>
      </c>
      <c r="AK358" s="153" t="s">
        <v>17</v>
      </c>
      <c r="AL358" s="153" t="s">
        <v>28</v>
      </c>
      <c r="AM358" s="153" t="s">
        <v>51</v>
      </c>
      <c r="AN358" s="153" t="s">
        <v>467</v>
      </c>
      <c r="AO358" s="153">
        <v>1.4037489616363141</v>
      </c>
    </row>
    <row r="359" spans="29:41">
      <c r="AC359" s="153" t="s">
        <v>52</v>
      </c>
      <c r="AD359" s="153" t="s">
        <v>17</v>
      </c>
      <c r="AE359" s="153" t="s">
        <v>72</v>
      </c>
      <c r="AF359" s="153" t="s">
        <v>51</v>
      </c>
      <c r="AG359" s="153" t="s">
        <v>473</v>
      </c>
      <c r="AH359" s="153">
        <v>3.8285836317734239</v>
      </c>
      <c r="AJ359" s="153" t="s">
        <v>52</v>
      </c>
      <c r="AK359" s="153" t="s">
        <v>17</v>
      </c>
      <c r="AL359" s="153" t="s">
        <v>28</v>
      </c>
      <c r="AM359" s="153" t="s">
        <v>51</v>
      </c>
      <c r="AN359" s="153" t="s">
        <v>468</v>
      </c>
      <c r="AO359" s="153">
        <v>1.4132246040305205</v>
      </c>
    </row>
    <row r="360" spans="29:41">
      <c r="AC360" s="153" t="s">
        <v>52</v>
      </c>
      <c r="AD360" s="153" t="s">
        <v>17</v>
      </c>
      <c r="AE360" s="153" t="s">
        <v>72</v>
      </c>
      <c r="AF360" s="153" t="s">
        <v>51</v>
      </c>
      <c r="AG360" s="153" t="s">
        <v>474</v>
      </c>
      <c r="AH360" s="153">
        <v>3.7442758422272009</v>
      </c>
      <c r="AJ360" s="153" t="s">
        <v>52</v>
      </c>
      <c r="AK360" s="153" t="s">
        <v>17</v>
      </c>
      <c r="AL360" s="153" t="s">
        <v>28</v>
      </c>
      <c r="AM360" s="153" t="s">
        <v>51</v>
      </c>
      <c r="AN360" s="153" t="s">
        <v>469</v>
      </c>
      <c r="AO360" s="153">
        <v>1.4750260650217955</v>
      </c>
    </row>
    <row r="361" spans="29:41">
      <c r="AC361" s="153" t="s">
        <v>52</v>
      </c>
      <c r="AD361" s="153" t="s">
        <v>17</v>
      </c>
      <c r="AE361" s="153" t="s">
        <v>72</v>
      </c>
      <c r="AF361" s="153" t="s">
        <v>51</v>
      </c>
      <c r="AG361" s="153" t="s">
        <v>475</v>
      </c>
      <c r="AH361" s="153">
        <v>3.7049878434695116</v>
      </c>
      <c r="AJ361" s="153" t="s">
        <v>52</v>
      </c>
      <c r="AK361" s="153" t="s">
        <v>17</v>
      </c>
      <c r="AL361" s="153" t="s">
        <v>28</v>
      </c>
      <c r="AM361" s="153" t="s">
        <v>51</v>
      </c>
      <c r="AN361" s="153" t="s">
        <v>470</v>
      </c>
      <c r="AO361" s="153">
        <v>1.4980761052428162</v>
      </c>
    </row>
    <row r="362" spans="29:41">
      <c r="AC362" s="153" t="s">
        <v>52</v>
      </c>
      <c r="AD362" s="153" t="s">
        <v>17</v>
      </c>
      <c r="AE362" s="153" t="s">
        <v>72</v>
      </c>
      <c r="AF362" s="153" t="s">
        <v>51</v>
      </c>
      <c r="AG362" s="153" t="s">
        <v>476</v>
      </c>
      <c r="AH362" s="153">
        <v>3.7140624934841013</v>
      </c>
      <c r="AJ362" s="153" t="s">
        <v>52</v>
      </c>
      <c r="AK362" s="153" t="s">
        <v>17</v>
      </c>
      <c r="AL362" s="153" t="s">
        <v>28</v>
      </c>
      <c r="AM362" s="153" t="s">
        <v>51</v>
      </c>
      <c r="AN362" s="153" t="s">
        <v>471</v>
      </c>
      <c r="AO362" s="153">
        <v>1.511571508869112</v>
      </c>
    </row>
    <row r="363" spans="29:41">
      <c r="AC363" s="153" t="s">
        <v>52</v>
      </c>
      <c r="AD363" s="153" t="s">
        <v>17</v>
      </c>
      <c r="AE363" s="153" t="s">
        <v>72</v>
      </c>
      <c r="AF363" s="153" t="s">
        <v>51</v>
      </c>
      <c r="AG363" s="153" t="s">
        <v>477</v>
      </c>
      <c r="AH363" s="153">
        <v>3.7744346880113291</v>
      </c>
      <c r="AJ363" s="153" t="s">
        <v>52</v>
      </c>
      <c r="AK363" s="153" t="s">
        <v>17</v>
      </c>
      <c r="AL363" s="153" t="s">
        <v>28</v>
      </c>
      <c r="AM363" s="153" t="s">
        <v>51</v>
      </c>
      <c r="AN363" s="153" t="s">
        <v>472</v>
      </c>
      <c r="AO363" s="153">
        <v>1.4599862712946006</v>
      </c>
    </row>
    <row r="364" spans="29:41">
      <c r="AC364" s="153" t="s">
        <v>52</v>
      </c>
      <c r="AD364" s="153" t="s">
        <v>17</v>
      </c>
      <c r="AE364" s="153" t="s">
        <v>72</v>
      </c>
      <c r="AF364" s="153" t="s">
        <v>51</v>
      </c>
      <c r="AG364" s="153" t="s">
        <v>478</v>
      </c>
      <c r="AH364" s="153">
        <v>3.7623776826486259</v>
      </c>
      <c r="AJ364" s="153" t="s">
        <v>52</v>
      </c>
      <c r="AK364" s="153" t="s">
        <v>17</v>
      </c>
      <c r="AL364" s="153" t="s">
        <v>28</v>
      </c>
      <c r="AM364" s="153" t="s">
        <v>51</v>
      </c>
      <c r="AN364" s="153" t="s">
        <v>473</v>
      </c>
      <c r="AO364" s="153">
        <v>1.5000598452230542</v>
      </c>
    </row>
    <row r="365" spans="29:41">
      <c r="AC365" s="153" t="s">
        <v>52</v>
      </c>
      <c r="AD365" s="153" t="s">
        <v>17</v>
      </c>
      <c r="AE365" s="153" t="s">
        <v>72</v>
      </c>
      <c r="AF365" s="153" t="s">
        <v>51</v>
      </c>
      <c r="AG365" s="153" t="s">
        <v>479</v>
      </c>
      <c r="AH365" s="153">
        <v>3.6959082746301712</v>
      </c>
      <c r="AJ365" s="153" t="s">
        <v>52</v>
      </c>
      <c r="AK365" s="153" t="s">
        <v>17</v>
      </c>
      <c r="AL365" s="153" t="s">
        <v>28</v>
      </c>
      <c r="AM365" s="153" t="s">
        <v>51</v>
      </c>
      <c r="AN365" s="153" t="s">
        <v>474</v>
      </c>
      <c r="AO365" s="153">
        <v>1.4087465815437707</v>
      </c>
    </row>
    <row r="366" spans="29:41">
      <c r="AC366" s="153" t="s">
        <v>52</v>
      </c>
      <c r="AD366" s="153" t="s">
        <v>17</v>
      </c>
      <c r="AE366" s="153" t="s">
        <v>72</v>
      </c>
      <c r="AF366" s="153" t="s">
        <v>51</v>
      </c>
      <c r="AG366" s="153" t="s">
        <v>480</v>
      </c>
      <c r="AH366" s="153">
        <v>3.7412569618961715</v>
      </c>
      <c r="AJ366" s="153" t="s">
        <v>52</v>
      </c>
      <c r="AK366" s="153" t="s">
        <v>17</v>
      </c>
      <c r="AL366" s="153" t="s">
        <v>28</v>
      </c>
      <c r="AM366" s="153" t="s">
        <v>51</v>
      </c>
      <c r="AN366" s="153" t="s">
        <v>475</v>
      </c>
      <c r="AO366" s="153">
        <v>1.4087681998135915</v>
      </c>
    </row>
    <row r="367" spans="29:41">
      <c r="AC367" s="153" t="s">
        <v>52</v>
      </c>
      <c r="AD367" s="153" t="s">
        <v>17</v>
      </c>
      <c r="AE367" s="153" t="s">
        <v>72</v>
      </c>
      <c r="AF367" s="153" t="s">
        <v>51</v>
      </c>
      <c r="AG367" s="153" t="s">
        <v>481</v>
      </c>
      <c r="AH367" s="153">
        <v>3.7653927502039988</v>
      </c>
      <c r="AJ367" s="153" t="s">
        <v>52</v>
      </c>
      <c r="AK367" s="153" t="s">
        <v>17</v>
      </c>
      <c r="AL367" s="153" t="s">
        <v>28</v>
      </c>
      <c r="AM367" s="153" t="s">
        <v>51</v>
      </c>
      <c r="AN367" s="153" t="s">
        <v>476</v>
      </c>
      <c r="AO367" s="153">
        <v>1.3522995964466815</v>
      </c>
    </row>
    <row r="368" spans="29:41">
      <c r="AC368" s="153" t="s">
        <v>52</v>
      </c>
      <c r="AD368" s="153" t="s">
        <v>17</v>
      </c>
      <c r="AE368" s="153" t="s">
        <v>72</v>
      </c>
      <c r="AF368" s="153" t="s">
        <v>51</v>
      </c>
      <c r="AG368" s="153" t="s">
        <v>482</v>
      </c>
      <c r="AH368" s="153">
        <v>3.7503119679176402</v>
      </c>
      <c r="AJ368" s="153" t="s">
        <v>52</v>
      </c>
      <c r="AK368" s="153" t="s">
        <v>17</v>
      </c>
      <c r="AL368" s="153" t="s">
        <v>28</v>
      </c>
      <c r="AM368" s="153" t="s">
        <v>51</v>
      </c>
      <c r="AN368" s="153" t="s">
        <v>477</v>
      </c>
      <c r="AO368" s="153">
        <v>1.4053064916448095</v>
      </c>
    </row>
    <row r="369" spans="29:41">
      <c r="AC369" s="153" t="s">
        <v>52</v>
      </c>
      <c r="AD369" s="153" t="s">
        <v>17</v>
      </c>
      <c r="AE369" s="153" t="s">
        <v>72</v>
      </c>
      <c r="AF369" s="153" t="s">
        <v>51</v>
      </c>
      <c r="AG369" s="153" t="s">
        <v>483</v>
      </c>
      <c r="AH369" s="153">
        <v>3.7291759879601032</v>
      </c>
      <c r="AJ369" s="153" t="s">
        <v>52</v>
      </c>
      <c r="AK369" s="153" t="s">
        <v>17</v>
      </c>
      <c r="AL369" s="153" t="s">
        <v>28</v>
      </c>
      <c r="AM369" s="153" t="s">
        <v>51</v>
      </c>
      <c r="AN369" s="153" t="s">
        <v>478</v>
      </c>
      <c r="AO369" s="153">
        <v>1.431187204758996</v>
      </c>
    </row>
    <row r="370" spans="29:41">
      <c r="AC370" s="153" t="s">
        <v>52</v>
      </c>
      <c r="AD370" s="153" t="s">
        <v>17</v>
      </c>
      <c r="AE370" s="153" t="s">
        <v>72</v>
      </c>
      <c r="AF370" s="153" t="s">
        <v>51</v>
      </c>
      <c r="AG370" s="153" t="s">
        <v>484</v>
      </c>
      <c r="AH370" s="153">
        <v>3.7684072735387675</v>
      </c>
      <c r="AJ370" s="153" t="s">
        <v>52</v>
      </c>
      <c r="AK370" s="153" t="s">
        <v>17</v>
      </c>
      <c r="AL370" s="153" t="s">
        <v>28</v>
      </c>
      <c r="AM370" s="153" t="s">
        <v>51</v>
      </c>
      <c r="AN370" s="153" t="s">
        <v>479</v>
      </c>
      <c r="AO370" s="153">
        <v>1.401831224650071</v>
      </c>
    </row>
    <row r="371" spans="29:41">
      <c r="AC371" s="153" t="s">
        <v>52</v>
      </c>
      <c r="AD371" s="153" t="s">
        <v>17</v>
      </c>
      <c r="AE371" s="153" t="s">
        <v>72</v>
      </c>
      <c r="AF371" s="153" t="s">
        <v>51</v>
      </c>
      <c r="AG371" s="153" t="s">
        <v>485</v>
      </c>
      <c r="AH371" s="153">
        <v>3.7774475793801021</v>
      </c>
      <c r="AJ371" s="153" t="s">
        <v>52</v>
      </c>
      <c r="AK371" s="153" t="s">
        <v>17</v>
      </c>
      <c r="AL371" s="153" t="s">
        <v>28</v>
      </c>
      <c r="AM371" s="153" t="s">
        <v>51</v>
      </c>
      <c r="AN371" s="153" t="s">
        <v>747</v>
      </c>
      <c r="AO371" s="153">
        <v>1.401831224650071</v>
      </c>
    </row>
    <row r="372" spans="29:41">
      <c r="AC372" s="153" t="s">
        <v>52</v>
      </c>
      <c r="AD372" s="153" t="s">
        <v>17</v>
      </c>
      <c r="AE372" s="153" t="s">
        <v>72</v>
      </c>
      <c r="AF372" s="153" t="s">
        <v>51</v>
      </c>
      <c r="AG372" s="153" t="s">
        <v>486</v>
      </c>
      <c r="AH372" s="153">
        <v>3.7774475793801021</v>
      </c>
      <c r="AJ372" s="153" t="s">
        <v>52</v>
      </c>
      <c r="AK372" s="153" t="s">
        <v>17</v>
      </c>
      <c r="AL372" s="153" t="s">
        <v>28</v>
      </c>
      <c r="AM372" s="153" t="s">
        <v>51</v>
      </c>
      <c r="AN372" s="153" t="s">
        <v>748</v>
      </c>
      <c r="AO372" s="153">
        <v>1.401831224650071</v>
      </c>
    </row>
    <row r="373" spans="29:41">
      <c r="AC373" s="153" t="s">
        <v>52</v>
      </c>
      <c r="AD373" s="153" t="s">
        <v>17</v>
      </c>
      <c r="AE373" s="153" t="s">
        <v>72</v>
      </c>
      <c r="AF373" s="153" t="s">
        <v>51</v>
      </c>
      <c r="AG373" s="153" t="s">
        <v>487</v>
      </c>
      <c r="AH373" s="153">
        <v>3.7472941775298052</v>
      </c>
      <c r="AJ373" s="153" t="s">
        <v>52</v>
      </c>
      <c r="AK373" s="153" t="s">
        <v>17</v>
      </c>
      <c r="AL373" s="153" t="s">
        <v>28</v>
      </c>
      <c r="AM373" s="153" t="s">
        <v>51</v>
      </c>
      <c r="AN373" s="153" t="s">
        <v>480</v>
      </c>
      <c r="AO373" s="153">
        <v>1.3992478187813913</v>
      </c>
    </row>
    <row r="374" spans="29:41">
      <c r="AC374" s="153" t="s">
        <v>52</v>
      </c>
      <c r="AD374" s="153" t="s">
        <v>17</v>
      </c>
      <c r="AE374" s="153" t="s">
        <v>72</v>
      </c>
      <c r="AF374" s="153" t="s">
        <v>51</v>
      </c>
      <c r="AG374" s="153" t="s">
        <v>488</v>
      </c>
      <c r="AH374" s="153">
        <v>3.8105535217853115</v>
      </c>
      <c r="AJ374" s="153" t="s">
        <v>52</v>
      </c>
      <c r="AK374" s="153" t="s">
        <v>17</v>
      </c>
      <c r="AL374" s="153" t="s">
        <v>28</v>
      </c>
      <c r="AM374" s="153" t="s">
        <v>51</v>
      </c>
      <c r="AN374" s="153" t="s">
        <v>481</v>
      </c>
      <c r="AO374" s="153">
        <v>1.406645542251159</v>
      </c>
    </row>
    <row r="375" spans="29:41">
      <c r="AC375" s="153" t="s">
        <v>52</v>
      </c>
      <c r="AD375" s="153" t="s">
        <v>17</v>
      </c>
      <c r="AE375" s="153" t="s">
        <v>72</v>
      </c>
      <c r="AF375" s="153" t="s">
        <v>51</v>
      </c>
      <c r="AG375" s="153" t="s">
        <v>489</v>
      </c>
      <c r="AH375" s="153">
        <v>3.7804599269901726</v>
      </c>
      <c r="AJ375" s="153" t="s">
        <v>52</v>
      </c>
      <c r="AK375" s="153" t="s">
        <v>17</v>
      </c>
      <c r="AL375" s="153" t="s">
        <v>28</v>
      </c>
      <c r="AM375" s="153" t="s">
        <v>51</v>
      </c>
      <c r="AN375" s="153" t="s">
        <v>482</v>
      </c>
      <c r="AO375" s="153">
        <v>1.4007059860569704</v>
      </c>
    </row>
    <row r="376" spans="29:41">
      <c r="AC376" s="153" t="s">
        <v>52</v>
      </c>
      <c r="AD376" s="153" t="s">
        <v>17</v>
      </c>
      <c r="AE376" s="153" t="s">
        <v>72</v>
      </c>
      <c r="AF376" s="153" t="s">
        <v>51</v>
      </c>
      <c r="AG376" s="153" t="s">
        <v>423</v>
      </c>
      <c r="AH376" s="153">
        <v>3.7925038821595614</v>
      </c>
      <c r="AJ376" s="153" t="s">
        <v>52</v>
      </c>
      <c r="AK376" s="153" t="s">
        <v>17</v>
      </c>
      <c r="AL376" s="153" t="s">
        <v>28</v>
      </c>
      <c r="AM376" s="153" t="s">
        <v>51</v>
      </c>
      <c r="AN376" s="153" t="s">
        <v>483</v>
      </c>
      <c r="AO376" s="153">
        <v>1.4071602814203232</v>
      </c>
    </row>
    <row r="377" spans="29:41">
      <c r="AC377" s="153" t="s">
        <v>52</v>
      </c>
      <c r="AD377" s="153" t="s">
        <v>17</v>
      </c>
      <c r="AE377" s="153" t="s">
        <v>72</v>
      </c>
      <c r="AF377" s="153" t="s">
        <v>51</v>
      </c>
      <c r="AG377" s="153" t="s">
        <v>490</v>
      </c>
      <c r="AH377" s="153">
        <v>3.8375913709210305</v>
      </c>
      <c r="AJ377" s="153" t="s">
        <v>52</v>
      </c>
      <c r="AK377" s="153" t="s">
        <v>17</v>
      </c>
      <c r="AL377" s="153" t="s">
        <v>28</v>
      </c>
      <c r="AM377" s="153" t="s">
        <v>51</v>
      </c>
      <c r="AN377" s="153" t="s">
        <v>484</v>
      </c>
      <c r="AO377" s="153">
        <v>1.3939993263095574</v>
      </c>
    </row>
    <row r="378" spans="29:41">
      <c r="AC378" s="153" t="s">
        <v>52</v>
      </c>
      <c r="AD378" s="153" t="s">
        <v>17</v>
      </c>
      <c r="AE378" s="153" t="s">
        <v>72</v>
      </c>
      <c r="AF378" s="153" t="s">
        <v>51</v>
      </c>
      <c r="AG378" s="153" t="s">
        <v>491</v>
      </c>
      <c r="AH378" s="153">
        <v>3.7261543807459407</v>
      </c>
      <c r="AJ378" s="153" t="s">
        <v>52</v>
      </c>
      <c r="AK378" s="153" t="s">
        <v>17</v>
      </c>
      <c r="AL378" s="153" t="s">
        <v>28</v>
      </c>
      <c r="AM378" s="153" t="s">
        <v>51</v>
      </c>
      <c r="AN378" s="153" t="s">
        <v>485</v>
      </c>
      <c r="AO378" s="153">
        <v>1.4266814658410218</v>
      </c>
    </row>
    <row r="379" spans="29:41">
      <c r="AC379" s="153" t="s">
        <v>52</v>
      </c>
      <c r="AD379" s="153" t="s">
        <v>17</v>
      </c>
      <c r="AE379" s="153" t="s">
        <v>72</v>
      </c>
      <c r="AF379" s="153" t="s">
        <v>51</v>
      </c>
      <c r="AG379" s="153" t="s">
        <v>492</v>
      </c>
      <c r="AH379" s="153">
        <v>3.753329213509065</v>
      </c>
      <c r="AJ379" s="153" t="s">
        <v>52</v>
      </c>
      <c r="AK379" s="153" t="s">
        <v>17</v>
      </c>
      <c r="AL379" s="153" t="s">
        <v>28</v>
      </c>
      <c r="AM379" s="153" t="s">
        <v>51</v>
      </c>
      <c r="AN379" s="153" t="s">
        <v>486</v>
      </c>
      <c r="AO379" s="153">
        <v>1.4320528710381419</v>
      </c>
    </row>
    <row r="380" spans="29:41">
      <c r="AC380" s="153" t="s">
        <v>52</v>
      </c>
      <c r="AD380" s="153" t="s">
        <v>17</v>
      </c>
      <c r="AE380" s="153" t="s">
        <v>72</v>
      </c>
      <c r="AF380" s="153" t="s">
        <v>51</v>
      </c>
      <c r="AG380" s="153" t="s">
        <v>493</v>
      </c>
      <c r="AH380" s="153">
        <v>3.8855504208794045</v>
      </c>
      <c r="AJ380" s="153" t="s">
        <v>52</v>
      </c>
      <c r="AK380" s="153" t="s">
        <v>17</v>
      </c>
      <c r="AL380" s="153" t="s">
        <v>28</v>
      </c>
      <c r="AM380" s="153" t="s">
        <v>51</v>
      </c>
      <c r="AN380" s="153" t="s">
        <v>487</v>
      </c>
      <c r="AO380" s="153">
        <v>1.3984763516486851</v>
      </c>
    </row>
    <row r="381" spans="29:41">
      <c r="AC381" s="153" t="s">
        <v>52</v>
      </c>
      <c r="AD381" s="153" t="s">
        <v>17</v>
      </c>
      <c r="AE381" s="153" t="s">
        <v>72</v>
      </c>
      <c r="AF381" s="153" t="s">
        <v>51</v>
      </c>
      <c r="AG381" s="153" t="s">
        <v>494</v>
      </c>
      <c r="AH381" s="153">
        <v>3.8405928675752534</v>
      </c>
      <c r="AJ381" s="153" t="s">
        <v>52</v>
      </c>
      <c r="AK381" s="153" t="s">
        <v>17</v>
      </c>
      <c r="AL381" s="153" t="s">
        <v>28</v>
      </c>
      <c r="AM381" s="153" t="s">
        <v>51</v>
      </c>
      <c r="AN381" s="153" t="s">
        <v>749</v>
      </c>
      <c r="AO381" s="153">
        <v>1.3984763516486851</v>
      </c>
    </row>
    <row r="382" spans="29:41">
      <c r="AC382" s="153" t="s">
        <v>52</v>
      </c>
      <c r="AD382" s="153" t="s">
        <v>17</v>
      </c>
      <c r="AE382" s="153" t="s">
        <v>72</v>
      </c>
      <c r="AF382" s="153" t="s">
        <v>51</v>
      </c>
      <c r="AG382" s="153" t="s">
        <v>495</v>
      </c>
      <c r="AH382" s="153">
        <v>3.8615881930673468</v>
      </c>
      <c r="AJ382" s="153" t="s">
        <v>52</v>
      </c>
      <c r="AK382" s="153" t="s">
        <v>17</v>
      </c>
      <c r="AL382" s="153" t="s">
        <v>28</v>
      </c>
      <c r="AM382" s="153" t="s">
        <v>51</v>
      </c>
      <c r="AN382" s="153" t="s">
        <v>750</v>
      </c>
      <c r="AO382" s="153">
        <v>1.3984763516486851</v>
      </c>
    </row>
    <row r="383" spans="29:41">
      <c r="AC383" s="153" t="s">
        <v>52</v>
      </c>
      <c r="AD383" s="153" t="s">
        <v>17</v>
      </c>
      <c r="AE383" s="153" t="s">
        <v>72</v>
      </c>
      <c r="AF383" s="153" t="s">
        <v>51</v>
      </c>
      <c r="AG383" s="153" t="s">
        <v>496</v>
      </c>
      <c r="AH383" s="153">
        <v>3.8405928675752534</v>
      </c>
      <c r="AJ383" s="153" t="s">
        <v>52</v>
      </c>
      <c r="AK383" s="153" t="s">
        <v>17</v>
      </c>
      <c r="AL383" s="153" t="s">
        <v>28</v>
      </c>
      <c r="AM383" s="153" t="s">
        <v>51</v>
      </c>
      <c r="AN383" s="153" t="s">
        <v>488</v>
      </c>
      <c r="AO383" s="153">
        <v>1.4468743615952917</v>
      </c>
    </row>
    <row r="384" spans="29:41">
      <c r="AC384" s="153" t="s">
        <v>52</v>
      </c>
      <c r="AD384" s="153" t="s">
        <v>17</v>
      </c>
      <c r="AE384" s="153" t="s">
        <v>72</v>
      </c>
      <c r="AF384" s="153" t="s">
        <v>51</v>
      </c>
      <c r="AG384" s="153" t="s">
        <v>497</v>
      </c>
      <c r="AH384" s="153">
        <v>3.8045391464315701</v>
      </c>
      <c r="AJ384" s="153" t="s">
        <v>52</v>
      </c>
      <c r="AK384" s="153" t="s">
        <v>17</v>
      </c>
      <c r="AL384" s="153" t="s">
        <v>28</v>
      </c>
      <c r="AM384" s="153" t="s">
        <v>51</v>
      </c>
      <c r="AN384" s="153" t="s">
        <v>489</v>
      </c>
      <c r="AO384" s="153">
        <v>1.4130705494535527</v>
      </c>
    </row>
    <row r="385" spans="29:41">
      <c r="AC385" s="153" t="s">
        <v>52</v>
      </c>
      <c r="AD385" s="153" t="s">
        <v>17</v>
      </c>
      <c r="AE385" s="153" t="s">
        <v>72</v>
      </c>
      <c r="AF385" s="153" t="s">
        <v>51</v>
      </c>
      <c r="AG385" s="153" t="s">
        <v>498</v>
      </c>
      <c r="AH385" s="153">
        <v>3.7834717309582593</v>
      </c>
      <c r="AJ385" s="153" t="s">
        <v>52</v>
      </c>
      <c r="AK385" s="153" t="s">
        <v>17</v>
      </c>
      <c r="AL385" s="153" t="s">
        <v>28</v>
      </c>
      <c r="AM385" s="153" t="s">
        <v>51</v>
      </c>
      <c r="AN385" s="153" t="s">
        <v>423</v>
      </c>
      <c r="AO385" s="153">
        <v>1.4258903423664513</v>
      </c>
    </row>
    <row r="386" spans="29:41">
      <c r="AC386" s="153" t="s">
        <v>52</v>
      </c>
      <c r="AD386" s="153" t="s">
        <v>17</v>
      </c>
      <c r="AE386" s="153" t="s">
        <v>72</v>
      </c>
      <c r="AF386" s="153" t="s">
        <v>51</v>
      </c>
      <c r="AG386" s="153" t="s">
        <v>499</v>
      </c>
      <c r="AH386" s="153">
        <v>3.7894937084278566</v>
      </c>
      <c r="AJ386" s="153" t="s">
        <v>52</v>
      </c>
      <c r="AK386" s="153" t="s">
        <v>17</v>
      </c>
      <c r="AL386" s="153" t="s">
        <v>28</v>
      </c>
      <c r="AM386" s="153" t="s">
        <v>51</v>
      </c>
      <c r="AN386" s="153" t="s">
        <v>490</v>
      </c>
      <c r="AO386" s="153">
        <v>1.4572756699627605</v>
      </c>
    </row>
    <row r="387" spans="29:41">
      <c r="AC387" s="153" t="s">
        <v>52</v>
      </c>
      <c r="AD387" s="153" t="s">
        <v>17</v>
      </c>
      <c r="AE387" s="153" t="s">
        <v>72</v>
      </c>
      <c r="AF387" s="153" t="s">
        <v>51</v>
      </c>
      <c r="AG387" s="153" t="s">
        <v>500</v>
      </c>
      <c r="AH387" s="153">
        <v>3.7804599269901726</v>
      </c>
      <c r="AJ387" s="153" t="s">
        <v>52</v>
      </c>
      <c r="AK387" s="153" t="s">
        <v>17</v>
      </c>
      <c r="AL387" s="153" t="s">
        <v>28</v>
      </c>
      <c r="AM387" s="153" t="s">
        <v>51</v>
      </c>
      <c r="AN387" s="153" t="s">
        <v>751</v>
      </c>
      <c r="AO387" s="153">
        <v>1.4572756699627605</v>
      </c>
    </row>
    <row r="388" spans="29:41">
      <c r="AC388" s="153" t="s">
        <v>52</v>
      </c>
      <c r="AD388" s="153" t="s">
        <v>17</v>
      </c>
      <c r="AE388" s="153" t="s">
        <v>72</v>
      </c>
      <c r="AF388" s="153" t="s">
        <v>51</v>
      </c>
      <c r="AG388" s="153" t="s">
        <v>501</v>
      </c>
      <c r="AH388" s="153">
        <v>3.7804599269901726</v>
      </c>
      <c r="AJ388" s="153" t="s">
        <v>52</v>
      </c>
      <c r="AK388" s="153" t="s">
        <v>17</v>
      </c>
      <c r="AL388" s="153" t="s">
        <v>28</v>
      </c>
      <c r="AM388" s="153" t="s">
        <v>51</v>
      </c>
      <c r="AN388" s="153" t="s">
        <v>752</v>
      </c>
      <c r="AO388" s="153">
        <v>1.4572756699627605</v>
      </c>
    </row>
    <row r="389" spans="29:41">
      <c r="AC389" s="153" t="s">
        <v>52</v>
      </c>
      <c r="AD389" s="153" t="s">
        <v>17</v>
      </c>
      <c r="AE389" s="153" t="s">
        <v>72</v>
      </c>
      <c r="AF389" s="153" t="s">
        <v>51</v>
      </c>
      <c r="AG389" s="153" t="s">
        <v>502</v>
      </c>
      <c r="AH389" s="153">
        <v>3.7563459144165527</v>
      </c>
      <c r="AJ389" s="153" t="s">
        <v>52</v>
      </c>
      <c r="AK389" s="153" t="s">
        <v>17</v>
      </c>
      <c r="AL389" s="153" t="s">
        <v>28</v>
      </c>
      <c r="AM389" s="153" t="s">
        <v>51</v>
      </c>
      <c r="AN389" s="153" t="s">
        <v>491</v>
      </c>
      <c r="AO389" s="153">
        <v>1.3809385607436306</v>
      </c>
    </row>
    <row r="390" spans="29:41">
      <c r="AC390" s="153" t="s">
        <v>52</v>
      </c>
      <c r="AD390" s="153" t="s">
        <v>17</v>
      </c>
      <c r="AE390" s="153" t="s">
        <v>72</v>
      </c>
      <c r="AF390" s="153" t="s">
        <v>51</v>
      </c>
      <c r="AG390" s="153" t="s">
        <v>422</v>
      </c>
      <c r="AH390" s="153">
        <v>3.7125792894169338</v>
      </c>
      <c r="AJ390" s="153" t="s">
        <v>52</v>
      </c>
      <c r="AK390" s="153" t="s">
        <v>17</v>
      </c>
      <c r="AL390" s="153" t="s">
        <v>28</v>
      </c>
      <c r="AM390" s="153" t="s">
        <v>51</v>
      </c>
      <c r="AN390" s="153" t="s">
        <v>492</v>
      </c>
      <c r="AO390" s="153">
        <v>1.3690419305849646</v>
      </c>
    </row>
    <row r="391" spans="29:41">
      <c r="AC391" s="153" t="s">
        <v>52</v>
      </c>
      <c r="AD391" s="153" t="s">
        <v>17</v>
      </c>
      <c r="AE391" s="153" t="s">
        <v>72</v>
      </c>
      <c r="AF391" s="153" t="s">
        <v>51</v>
      </c>
      <c r="AG391" s="153" t="s">
        <v>503</v>
      </c>
      <c r="AH391" s="153">
        <v>3.7702459673334463</v>
      </c>
      <c r="AJ391" s="153" t="s">
        <v>52</v>
      </c>
      <c r="AK391" s="153" t="s">
        <v>17</v>
      </c>
      <c r="AL391" s="153" t="s">
        <v>28</v>
      </c>
      <c r="AM391" s="153" t="s">
        <v>51</v>
      </c>
      <c r="AN391" s="153" t="s">
        <v>753</v>
      </c>
      <c r="AO391" s="153">
        <v>1.3690419305849646</v>
      </c>
    </row>
    <row r="392" spans="29:41">
      <c r="AC392" s="153" t="s">
        <v>52</v>
      </c>
      <c r="AD392" s="153" t="s">
        <v>17</v>
      </c>
      <c r="AE392" s="153" t="s">
        <v>72</v>
      </c>
      <c r="AF392" s="153" t="s">
        <v>51</v>
      </c>
      <c r="AG392" s="153" t="s">
        <v>504</v>
      </c>
      <c r="AH392" s="153">
        <v>3.7672323467978384</v>
      </c>
      <c r="AJ392" s="153" t="s">
        <v>52</v>
      </c>
      <c r="AK392" s="153" t="s">
        <v>17</v>
      </c>
      <c r="AL392" s="153" t="s">
        <v>28</v>
      </c>
      <c r="AM392" s="153" t="s">
        <v>51</v>
      </c>
      <c r="AN392" s="153" t="s">
        <v>493</v>
      </c>
      <c r="AO392" s="153">
        <v>1.4426898843760445</v>
      </c>
    </row>
    <row r="393" spans="29:41">
      <c r="AC393" s="153" t="s">
        <v>52</v>
      </c>
      <c r="AD393" s="153" t="s">
        <v>17</v>
      </c>
      <c r="AE393" s="153" t="s">
        <v>72</v>
      </c>
      <c r="AF393" s="153" t="s">
        <v>51</v>
      </c>
      <c r="AG393" s="153" t="s">
        <v>505</v>
      </c>
      <c r="AH393" s="153">
        <v>3.7762715723431679</v>
      </c>
      <c r="AJ393" s="153" t="s">
        <v>52</v>
      </c>
      <c r="AK393" s="153" t="s">
        <v>17</v>
      </c>
      <c r="AL393" s="153" t="s">
        <v>28</v>
      </c>
      <c r="AM393" s="153" t="s">
        <v>51</v>
      </c>
      <c r="AN393" s="153" t="s">
        <v>494</v>
      </c>
      <c r="AO393" s="153">
        <v>1.3646432644973936</v>
      </c>
    </row>
    <row r="394" spans="29:41">
      <c r="AC394" s="153" t="s">
        <v>52</v>
      </c>
      <c r="AD394" s="153" t="s">
        <v>17</v>
      </c>
      <c r="AE394" s="153" t="s">
        <v>72</v>
      </c>
      <c r="AF394" s="153" t="s">
        <v>51</v>
      </c>
      <c r="AG394" s="153" t="s">
        <v>421</v>
      </c>
      <c r="AH394" s="153">
        <v>3.7276883557345766</v>
      </c>
      <c r="AJ394" s="153" t="s">
        <v>52</v>
      </c>
      <c r="AK394" s="153" t="s">
        <v>17</v>
      </c>
      <c r="AL394" s="153" t="s">
        <v>28</v>
      </c>
      <c r="AM394" s="153" t="s">
        <v>51</v>
      </c>
      <c r="AN394" s="153" t="s">
        <v>495</v>
      </c>
      <c r="AO394" s="153">
        <v>1.4163386302787968</v>
      </c>
    </row>
    <row r="395" spans="29:41">
      <c r="AC395" s="153" t="s">
        <v>52</v>
      </c>
      <c r="AD395" s="153" t="s">
        <v>17</v>
      </c>
      <c r="AE395" s="153" t="s">
        <v>72</v>
      </c>
      <c r="AF395" s="153" t="s">
        <v>51</v>
      </c>
      <c r="AG395" s="153" t="s">
        <v>506</v>
      </c>
      <c r="AH395" s="153">
        <v>3.7593620707585087</v>
      </c>
      <c r="AJ395" s="153" t="s">
        <v>52</v>
      </c>
      <c r="AK395" s="153" t="s">
        <v>17</v>
      </c>
      <c r="AL395" s="153" t="s">
        <v>28</v>
      </c>
      <c r="AM395" s="153" t="s">
        <v>51</v>
      </c>
      <c r="AN395" s="153" t="s">
        <v>496</v>
      </c>
      <c r="AO395" s="153">
        <v>1.3865492256638337</v>
      </c>
    </row>
    <row r="396" spans="29:41">
      <c r="AC396" s="153" t="s">
        <v>52</v>
      </c>
      <c r="AD396" s="153" t="s">
        <v>17</v>
      </c>
      <c r="AE396" s="153" t="s">
        <v>72</v>
      </c>
      <c r="AF396" s="153" t="s">
        <v>51</v>
      </c>
      <c r="AG396" s="153" t="s">
        <v>507</v>
      </c>
      <c r="AH396" s="153">
        <v>3.7007944755754334</v>
      </c>
      <c r="AJ396" s="153" t="s">
        <v>52</v>
      </c>
      <c r="AK396" s="153" t="s">
        <v>17</v>
      </c>
      <c r="AL396" s="153" t="s">
        <v>28</v>
      </c>
      <c r="AM396" s="153" t="s">
        <v>51</v>
      </c>
      <c r="AN396" s="153" t="s">
        <v>497</v>
      </c>
      <c r="AO396" s="153">
        <v>1.3498341414231501</v>
      </c>
    </row>
    <row r="397" spans="29:41">
      <c r="AC397" s="153" t="s">
        <v>52</v>
      </c>
      <c r="AD397" s="153" t="s">
        <v>17</v>
      </c>
      <c r="AE397" s="153" t="s">
        <v>72</v>
      </c>
      <c r="AF397" s="153" t="s">
        <v>51</v>
      </c>
      <c r="AG397" s="153" t="s">
        <v>508</v>
      </c>
      <c r="AH397" s="153">
        <v>3.712893782620899</v>
      </c>
      <c r="AJ397" s="153" t="s">
        <v>52</v>
      </c>
      <c r="AK397" s="153" t="s">
        <v>17</v>
      </c>
      <c r="AL397" s="153" t="s">
        <v>28</v>
      </c>
      <c r="AM397" s="153" t="s">
        <v>51</v>
      </c>
      <c r="AN397" s="153" t="s">
        <v>498</v>
      </c>
      <c r="AO397" s="153">
        <v>1.3129517027178592</v>
      </c>
    </row>
    <row r="398" spans="29:41">
      <c r="AC398" s="153" t="s">
        <v>52</v>
      </c>
      <c r="AD398" s="153" t="s">
        <v>17</v>
      </c>
      <c r="AE398" s="153" t="s">
        <v>72</v>
      </c>
      <c r="AF398" s="153" t="s">
        <v>51</v>
      </c>
      <c r="AG398" s="153" t="s">
        <v>509</v>
      </c>
      <c r="AH398" s="153">
        <v>3.712893782620899</v>
      </c>
      <c r="AJ398" s="153" t="s">
        <v>52</v>
      </c>
      <c r="AK398" s="153" t="s">
        <v>17</v>
      </c>
      <c r="AL398" s="153" t="s">
        <v>28</v>
      </c>
      <c r="AM398" s="153" t="s">
        <v>51</v>
      </c>
      <c r="AN398" s="153" t="s">
        <v>499</v>
      </c>
      <c r="AO398" s="153">
        <v>1.321750251373137</v>
      </c>
    </row>
    <row r="399" spans="29:41">
      <c r="AC399" s="153" t="s">
        <v>52</v>
      </c>
      <c r="AD399" s="153" t="s">
        <v>17</v>
      </c>
      <c r="AE399" s="153" t="s">
        <v>72</v>
      </c>
      <c r="AF399" s="153" t="s">
        <v>51</v>
      </c>
      <c r="AG399" s="153" t="s">
        <v>510</v>
      </c>
      <c r="AH399" s="153">
        <v>3.7098697775530791</v>
      </c>
      <c r="AJ399" s="153" t="s">
        <v>52</v>
      </c>
      <c r="AK399" s="153" t="s">
        <v>17</v>
      </c>
      <c r="AL399" s="153" t="s">
        <v>28</v>
      </c>
      <c r="AM399" s="153" t="s">
        <v>51</v>
      </c>
      <c r="AN399" s="153" t="s">
        <v>500</v>
      </c>
      <c r="AO399" s="153">
        <v>1.3332301026690929</v>
      </c>
    </row>
    <row r="400" spans="29:41">
      <c r="AC400" s="153" t="s">
        <v>52</v>
      </c>
      <c r="AD400" s="153" t="s">
        <v>17</v>
      </c>
      <c r="AE400" s="153" t="s">
        <v>72</v>
      </c>
      <c r="AF400" s="153" t="s">
        <v>51</v>
      </c>
      <c r="AG400" s="153" t="s">
        <v>511</v>
      </c>
      <c r="AH400" s="153">
        <v>3.849594109956072</v>
      </c>
      <c r="AJ400" s="153" t="s">
        <v>52</v>
      </c>
      <c r="AK400" s="153" t="s">
        <v>17</v>
      </c>
      <c r="AL400" s="153" t="s">
        <v>28</v>
      </c>
      <c r="AM400" s="153" t="s">
        <v>51</v>
      </c>
      <c r="AN400" s="153" t="s">
        <v>501</v>
      </c>
      <c r="AO400" s="153">
        <v>1.357470050379703</v>
      </c>
    </row>
    <row r="401" spans="29:41">
      <c r="AC401" s="153" t="s">
        <v>52</v>
      </c>
      <c r="AD401" s="153" t="s">
        <v>17</v>
      </c>
      <c r="AE401" s="153" t="s">
        <v>72</v>
      </c>
      <c r="AF401" s="153" t="s">
        <v>51</v>
      </c>
      <c r="AG401" s="153" t="s">
        <v>512</v>
      </c>
      <c r="AH401" s="153">
        <v>3.8585904833802025</v>
      </c>
      <c r="AJ401" s="153" t="s">
        <v>52</v>
      </c>
      <c r="AK401" s="153" t="s">
        <v>17</v>
      </c>
      <c r="AL401" s="153" t="s">
        <v>28</v>
      </c>
      <c r="AM401" s="153" t="s">
        <v>51</v>
      </c>
      <c r="AN401" s="153" t="s">
        <v>502</v>
      </c>
      <c r="AO401" s="153">
        <v>1.4021688240480428</v>
      </c>
    </row>
    <row r="402" spans="29:41">
      <c r="AC402" s="153" t="s">
        <v>52</v>
      </c>
      <c r="AD402" s="153" t="s">
        <v>17</v>
      </c>
      <c r="AE402" s="153" t="s">
        <v>72</v>
      </c>
      <c r="AF402" s="153" t="s">
        <v>51</v>
      </c>
      <c r="AG402" s="153" t="s">
        <v>513</v>
      </c>
      <c r="AH402" s="153">
        <v>3.8304039996417654</v>
      </c>
      <c r="AJ402" s="153" t="s">
        <v>52</v>
      </c>
      <c r="AK402" s="153" t="s">
        <v>17</v>
      </c>
      <c r="AL402" s="153" t="s">
        <v>28</v>
      </c>
      <c r="AM402" s="153" t="s">
        <v>51</v>
      </c>
      <c r="AN402" s="153" t="s">
        <v>422</v>
      </c>
      <c r="AO402" s="153">
        <v>1.3921194316968439</v>
      </c>
    </row>
    <row r="403" spans="29:41">
      <c r="AC403" s="153" t="s">
        <v>52</v>
      </c>
      <c r="AD403" s="153" t="s">
        <v>17</v>
      </c>
      <c r="AE403" s="153" t="s">
        <v>72</v>
      </c>
      <c r="AF403" s="153" t="s">
        <v>51</v>
      </c>
      <c r="AG403" s="153" t="s">
        <v>514</v>
      </c>
      <c r="AH403" s="153">
        <v>3.807546605410788</v>
      </c>
      <c r="AJ403" s="153" t="s">
        <v>52</v>
      </c>
      <c r="AK403" s="153" t="s">
        <v>17</v>
      </c>
      <c r="AL403" s="153" t="s">
        <v>28</v>
      </c>
      <c r="AM403" s="153" t="s">
        <v>51</v>
      </c>
      <c r="AN403" s="153" t="s">
        <v>503</v>
      </c>
      <c r="AO403" s="153">
        <v>1.4666364207635267</v>
      </c>
    </row>
    <row r="404" spans="29:41">
      <c r="AC404" s="153" t="s">
        <v>52</v>
      </c>
      <c r="AD404" s="153" t="s">
        <v>17</v>
      </c>
      <c r="AE404" s="153" t="s">
        <v>72</v>
      </c>
      <c r="AF404" s="153" t="s">
        <v>51</v>
      </c>
      <c r="AG404" s="153" t="s">
        <v>515</v>
      </c>
      <c r="AH404" s="153">
        <v>3.8615881930673495</v>
      </c>
      <c r="AJ404" s="153" t="s">
        <v>52</v>
      </c>
      <c r="AK404" s="153" t="s">
        <v>17</v>
      </c>
      <c r="AL404" s="153" t="s">
        <v>28</v>
      </c>
      <c r="AM404" s="153" t="s">
        <v>51</v>
      </c>
      <c r="AN404" s="153" t="s">
        <v>504</v>
      </c>
      <c r="AO404" s="153">
        <v>1.4496758222465587</v>
      </c>
    </row>
    <row r="405" spans="29:41">
      <c r="AC405" s="153" t="s">
        <v>52</v>
      </c>
      <c r="AD405" s="153" t="s">
        <v>17</v>
      </c>
      <c r="AE405" s="153" t="s">
        <v>72</v>
      </c>
      <c r="AF405" s="153" t="s">
        <v>51</v>
      </c>
      <c r="AG405" s="153" t="s">
        <v>516</v>
      </c>
      <c r="AH405" s="153">
        <v>3.8045391464315563</v>
      </c>
      <c r="AJ405" s="153" t="s">
        <v>52</v>
      </c>
      <c r="AK405" s="153" t="s">
        <v>17</v>
      </c>
      <c r="AL405" s="153" t="s">
        <v>28</v>
      </c>
      <c r="AM405" s="153" t="s">
        <v>51</v>
      </c>
      <c r="AN405" s="153" t="s">
        <v>505</v>
      </c>
      <c r="AO405" s="153">
        <v>1.4604779456261776</v>
      </c>
    </row>
    <row r="406" spans="29:41">
      <c r="AC406" s="153" t="s">
        <v>52</v>
      </c>
      <c r="AD406" s="153" t="s">
        <v>17</v>
      </c>
      <c r="AE406" s="153" t="s">
        <v>72</v>
      </c>
      <c r="AF406" s="153" t="s">
        <v>51</v>
      </c>
      <c r="AG406" s="153" t="s">
        <v>517</v>
      </c>
      <c r="AH406" s="153">
        <v>3.840592867575237</v>
      </c>
      <c r="AJ406" s="153" t="s">
        <v>52</v>
      </c>
      <c r="AK406" s="153" t="s">
        <v>17</v>
      </c>
      <c r="AL406" s="153" t="s">
        <v>28</v>
      </c>
      <c r="AM406" s="153" t="s">
        <v>51</v>
      </c>
      <c r="AN406" s="153" t="s">
        <v>421</v>
      </c>
      <c r="AO406" s="153">
        <v>1.3826636282242259</v>
      </c>
    </row>
    <row r="407" spans="29:41">
      <c r="AC407" s="153" t="s">
        <v>52</v>
      </c>
      <c r="AD407" s="153" t="s">
        <v>17</v>
      </c>
      <c r="AE407" s="153" t="s">
        <v>72</v>
      </c>
      <c r="AF407" s="153" t="s">
        <v>51</v>
      </c>
      <c r="AG407" s="153" t="s">
        <v>518</v>
      </c>
      <c r="AH407" s="153">
        <v>3.7883162413589382</v>
      </c>
      <c r="AJ407" s="153" t="s">
        <v>52</v>
      </c>
      <c r="AK407" s="153" t="s">
        <v>17</v>
      </c>
      <c r="AL407" s="153" t="s">
        <v>28</v>
      </c>
      <c r="AM407" s="153" t="s">
        <v>51</v>
      </c>
      <c r="AN407" s="153" t="s">
        <v>506</v>
      </c>
      <c r="AO407" s="153">
        <v>1.4000390347207188</v>
      </c>
    </row>
    <row r="408" spans="29:41">
      <c r="AC408" s="153" t="s">
        <v>52</v>
      </c>
      <c r="AD408" s="153" t="s">
        <v>17</v>
      </c>
      <c r="AE408" s="153" t="s">
        <v>72</v>
      </c>
      <c r="AF408" s="153" t="s">
        <v>51</v>
      </c>
      <c r="AG408" s="153" t="s">
        <v>519</v>
      </c>
      <c r="AH408" s="153">
        <v>3.849594109956072</v>
      </c>
      <c r="AJ408" s="153" t="s">
        <v>52</v>
      </c>
      <c r="AK408" s="153" t="s">
        <v>17</v>
      </c>
      <c r="AL408" s="153" t="s">
        <v>28</v>
      </c>
      <c r="AM408" s="153" t="s">
        <v>51</v>
      </c>
      <c r="AN408" s="153" t="s">
        <v>507</v>
      </c>
      <c r="AO408" s="153">
        <v>1.3000576873243532</v>
      </c>
    </row>
    <row r="409" spans="29:41">
      <c r="AC409" s="153" t="s">
        <v>52</v>
      </c>
      <c r="AD409" s="153" t="s">
        <v>17</v>
      </c>
      <c r="AE409" s="153" t="s">
        <v>72</v>
      </c>
      <c r="AF409" s="153" t="s">
        <v>51</v>
      </c>
      <c r="AG409" s="153" t="s">
        <v>520</v>
      </c>
      <c r="AH409" s="153">
        <v>3.7822949967091262</v>
      </c>
      <c r="AJ409" s="153" t="s">
        <v>52</v>
      </c>
      <c r="AK409" s="153" t="s">
        <v>17</v>
      </c>
      <c r="AL409" s="153" t="s">
        <v>28</v>
      </c>
      <c r="AM409" s="153" t="s">
        <v>51</v>
      </c>
      <c r="AN409" s="153" t="s">
        <v>508</v>
      </c>
      <c r="AO409" s="153">
        <v>1.2897972841706289</v>
      </c>
    </row>
    <row r="410" spans="29:41">
      <c r="AC410" s="153" t="s">
        <v>52</v>
      </c>
      <c r="AD410" s="153" t="s">
        <v>17</v>
      </c>
      <c r="AE410" s="153" t="s">
        <v>72</v>
      </c>
      <c r="AF410" s="153" t="s">
        <v>51</v>
      </c>
      <c r="AG410" s="153" t="s">
        <v>521</v>
      </c>
      <c r="AH410" s="153">
        <v>3.8705780793661986</v>
      </c>
      <c r="AJ410" s="153" t="s">
        <v>52</v>
      </c>
      <c r="AK410" s="153" t="s">
        <v>17</v>
      </c>
      <c r="AL410" s="153" t="s">
        <v>28</v>
      </c>
      <c r="AM410" s="153" t="s">
        <v>51</v>
      </c>
      <c r="AN410" s="153" t="s">
        <v>509</v>
      </c>
      <c r="AO410" s="153">
        <v>1.2703376507170288</v>
      </c>
    </row>
    <row r="411" spans="29:41">
      <c r="AC411" s="153" t="s">
        <v>52</v>
      </c>
      <c r="AD411" s="153" t="s">
        <v>17</v>
      </c>
      <c r="AE411" s="153" t="s">
        <v>72</v>
      </c>
      <c r="AF411" s="153" t="s">
        <v>51</v>
      </c>
      <c r="AG411" s="153" t="s">
        <v>522</v>
      </c>
      <c r="AH411" s="153">
        <v>3.8424095087418202</v>
      </c>
      <c r="AJ411" s="153" t="s">
        <v>52</v>
      </c>
      <c r="AK411" s="153" t="s">
        <v>17</v>
      </c>
      <c r="AL411" s="153" t="s">
        <v>28</v>
      </c>
      <c r="AM411" s="153" t="s">
        <v>51</v>
      </c>
      <c r="AN411" s="153" t="s">
        <v>510</v>
      </c>
      <c r="AO411" s="153">
        <v>1.2603961929156495</v>
      </c>
    </row>
    <row r="412" spans="29:41">
      <c r="AC412" s="153" t="s">
        <v>52</v>
      </c>
      <c r="AD412" s="153" t="s">
        <v>17</v>
      </c>
      <c r="AE412" s="153" t="s">
        <v>72</v>
      </c>
      <c r="AF412" s="153" t="s">
        <v>51</v>
      </c>
      <c r="AG412" s="153" t="s">
        <v>523</v>
      </c>
      <c r="AH412" s="153">
        <v>3.8465942369774679</v>
      </c>
      <c r="AJ412" s="153" t="s">
        <v>52</v>
      </c>
      <c r="AK412" s="153" t="s">
        <v>17</v>
      </c>
      <c r="AL412" s="153" t="s">
        <v>28</v>
      </c>
      <c r="AM412" s="153" t="s">
        <v>51</v>
      </c>
      <c r="AN412" s="153" t="s">
        <v>511</v>
      </c>
      <c r="AO412" s="153">
        <v>1.3760699897254018</v>
      </c>
    </row>
    <row r="413" spans="29:41">
      <c r="AC413" s="153" t="s">
        <v>52</v>
      </c>
      <c r="AD413" s="153" t="s">
        <v>17</v>
      </c>
      <c r="AE413" s="153" t="s">
        <v>72</v>
      </c>
      <c r="AF413" s="153" t="s">
        <v>51</v>
      </c>
      <c r="AG413" s="153" t="s">
        <v>524</v>
      </c>
      <c r="AH413" s="153">
        <v>3.8846005934616143</v>
      </c>
      <c r="AJ413" s="153" t="s">
        <v>52</v>
      </c>
      <c r="AK413" s="153" t="s">
        <v>17</v>
      </c>
      <c r="AL413" s="153" t="s">
        <v>28</v>
      </c>
      <c r="AM413" s="153" t="s">
        <v>51</v>
      </c>
      <c r="AN413" s="153" t="s">
        <v>512</v>
      </c>
      <c r="AO413" s="153">
        <v>1.3676957310896225</v>
      </c>
    </row>
    <row r="414" spans="29:41">
      <c r="AC414" s="153" t="s">
        <v>52</v>
      </c>
      <c r="AD414" s="153" t="s">
        <v>17</v>
      </c>
      <c r="AE414" s="153" t="s">
        <v>72</v>
      </c>
      <c r="AF414" s="153" t="s">
        <v>51</v>
      </c>
      <c r="AG414" s="153" t="s">
        <v>525</v>
      </c>
      <c r="AH414" s="153">
        <v>3.900509271898938</v>
      </c>
      <c r="AJ414" s="153" t="s">
        <v>52</v>
      </c>
      <c r="AK414" s="153" t="s">
        <v>17</v>
      </c>
      <c r="AL414" s="153" t="s">
        <v>28</v>
      </c>
      <c r="AM414" s="153" t="s">
        <v>51</v>
      </c>
      <c r="AN414" s="153" t="s">
        <v>513</v>
      </c>
      <c r="AO414" s="153">
        <v>1.3737331391318557</v>
      </c>
    </row>
    <row r="415" spans="29:41">
      <c r="AC415" s="153" t="s">
        <v>52</v>
      </c>
      <c r="AD415" s="153" t="s">
        <v>17</v>
      </c>
      <c r="AE415" s="153" t="s">
        <v>72</v>
      </c>
      <c r="AF415" s="153" t="s">
        <v>51</v>
      </c>
      <c r="AG415" s="153" t="s">
        <v>526</v>
      </c>
      <c r="AH415" s="153">
        <v>3.807546605410788</v>
      </c>
      <c r="AJ415" s="153" t="s">
        <v>52</v>
      </c>
      <c r="AK415" s="153" t="s">
        <v>17</v>
      </c>
      <c r="AL415" s="153" t="s">
        <v>28</v>
      </c>
      <c r="AM415" s="153" t="s">
        <v>51</v>
      </c>
      <c r="AN415" s="153" t="s">
        <v>514</v>
      </c>
      <c r="AO415" s="153">
        <v>1.3043927607093979</v>
      </c>
    </row>
    <row r="416" spans="29:41">
      <c r="AC416" s="153" t="s">
        <v>52</v>
      </c>
      <c r="AD416" s="153" t="s">
        <v>17</v>
      </c>
      <c r="AE416" s="153" t="s">
        <v>72</v>
      </c>
      <c r="AF416" s="153" t="s">
        <v>51</v>
      </c>
      <c r="AG416" s="153" t="s">
        <v>527</v>
      </c>
      <c r="AH416" s="153">
        <v>3.8135598956691878</v>
      </c>
      <c r="AJ416" s="153" t="s">
        <v>52</v>
      </c>
      <c r="AK416" s="153" t="s">
        <v>17</v>
      </c>
      <c r="AL416" s="153" t="s">
        <v>28</v>
      </c>
      <c r="AM416" s="153" t="s">
        <v>51</v>
      </c>
      <c r="AN416" s="153" t="s">
        <v>515</v>
      </c>
      <c r="AO416" s="153">
        <v>1.3749376948958094</v>
      </c>
    </row>
    <row r="417" spans="29:41">
      <c r="AC417" s="153" t="s">
        <v>52</v>
      </c>
      <c r="AD417" s="153" t="s">
        <v>17</v>
      </c>
      <c r="AE417" s="153" t="s">
        <v>72</v>
      </c>
      <c r="AF417" s="153" t="s">
        <v>51</v>
      </c>
      <c r="AG417" s="153" t="s">
        <v>528</v>
      </c>
      <c r="AH417" s="153">
        <v>3.8315867531351571</v>
      </c>
      <c r="AJ417" s="153" t="s">
        <v>52</v>
      </c>
      <c r="AK417" s="153" t="s">
        <v>17</v>
      </c>
      <c r="AL417" s="153" t="s">
        <v>28</v>
      </c>
      <c r="AM417" s="153" t="s">
        <v>51</v>
      </c>
      <c r="AN417" s="153" t="s">
        <v>516</v>
      </c>
      <c r="AO417" s="153">
        <v>1.3390204751442263</v>
      </c>
    </row>
    <row r="418" spans="29:41">
      <c r="AC418" s="153" t="s">
        <v>52</v>
      </c>
      <c r="AD418" s="153" t="s">
        <v>17</v>
      </c>
      <c r="AE418" s="153" t="s">
        <v>72</v>
      </c>
      <c r="AF418" s="153" t="s">
        <v>51</v>
      </c>
      <c r="AG418" s="153" t="s">
        <v>529</v>
      </c>
      <c r="AH418" s="153">
        <v>3.8726208464650322</v>
      </c>
      <c r="AJ418" s="153" t="s">
        <v>52</v>
      </c>
      <c r="AK418" s="153" t="s">
        <v>17</v>
      </c>
      <c r="AL418" s="153" t="s">
        <v>28</v>
      </c>
      <c r="AM418" s="153" t="s">
        <v>51</v>
      </c>
      <c r="AN418" s="153" t="s">
        <v>517</v>
      </c>
      <c r="AO418" s="153">
        <v>1.3766351669747969</v>
      </c>
    </row>
    <row r="419" spans="29:41">
      <c r="AC419" s="153" t="s">
        <v>52</v>
      </c>
      <c r="AD419" s="153" t="s">
        <v>17</v>
      </c>
      <c r="AE419" s="153" t="s">
        <v>72</v>
      </c>
      <c r="AF419" s="153" t="s">
        <v>51</v>
      </c>
      <c r="AG419" s="153" t="s">
        <v>530</v>
      </c>
      <c r="AH419" s="153">
        <v>3.8015311447318783</v>
      </c>
      <c r="AJ419" s="153" t="s">
        <v>52</v>
      </c>
      <c r="AK419" s="153" t="s">
        <v>17</v>
      </c>
      <c r="AL419" s="153" t="s">
        <v>28</v>
      </c>
      <c r="AM419" s="153" t="s">
        <v>51</v>
      </c>
      <c r="AN419" s="153" t="s">
        <v>518</v>
      </c>
      <c r="AO419" s="153">
        <v>1.3300448549685782</v>
      </c>
    </row>
    <row r="420" spans="29:41">
      <c r="AC420" s="153" t="s">
        <v>52</v>
      </c>
      <c r="AD420" s="153" t="s">
        <v>17</v>
      </c>
      <c r="AE420" s="153" t="s">
        <v>72</v>
      </c>
      <c r="AF420" s="153" t="s">
        <v>51</v>
      </c>
      <c r="AG420" s="153" t="s">
        <v>531</v>
      </c>
      <c r="AH420" s="153">
        <v>3.8135598956691878</v>
      </c>
      <c r="AJ420" s="153" t="s">
        <v>52</v>
      </c>
      <c r="AK420" s="153" t="s">
        <v>17</v>
      </c>
      <c r="AL420" s="153" t="s">
        <v>28</v>
      </c>
      <c r="AM420" s="153" t="s">
        <v>51</v>
      </c>
      <c r="AN420" s="153" t="s">
        <v>519</v>
      </c>
      <c r="AO420" s="153">
        <v>1.4009164053974121</v>
      </c>
    </row>
    <row r="421" spans="29:41">
      <c r="AC421" s="153" t="s">
        <v>52</v>
      </c>
      <c r="AD421" s="153" t="s">
        <v>17</v>
      </c>
      <c r="AE421" s="153" t="s">
        <v>72</v>
      </c>
      <c r="AF421" s="153" t="s">
        <v>51</v>
      </c>
      <c r="AG421" s="153" t="s">
        <v>532</v>
      </c>
      <c r="AH421" s="153">
        <v>4.0158109581559156</v>
      </c>
      <c r="AJ421" s="153" t="s">
        <v>52</v>
      </c>
      <c r="AK421" s="153" t="s">
        <v>17</v>
      </c>
      <c r="AL421" s="153" t="s">
        <v>28</v>
      </c>
      <c r="AM421" s="153" t="s">
        <v>51</v>
      </c>
      <c r="AN421" s="153" t="s">
        <v>520</v>
      </c>
      <c r="AO421" s="153">
        <v>1.3170300272502364</v>
      </c>
    </row>
    <row r="422" spans="29:41">
      <c r="AC422" s="153" t="s">
        <v>52</v>
      </c>
      <c r="AD422" s="153" t="s">
        <v>17</v>
      </c>
      <c r="AE422" s="153" t="s">
        <v>72</v>
      </c>
      <c r="AF422" s="153" t="s">
        <v>51</v>
      </c>
      <c r="AG422" s="153" t="s">
        <v>533</v>
      </c>
      <c r="AH422" s="153">
        <v>4.1194058280557329</v>
      </c>
      <c r="AJ422" s="153" t="s">
        <v>52</v>
      </c>
      <c r="AK422" s="153" t="s">
        <v>17</v>
      </c>
      <c r="AL422" s="153" t="s">
        <v>28</v>
      </c>
      <c r="AM422" s="153" t="s">
        <v>51</v>
      </c>
      <c r="AN422" s="153" t="s">
        <v>521</v>
      </c>
      <c r="AO422" s="153">
        <v>1.4044474359654484</v>
      </c>
    </row>
    <row r="423" spans="29:41">
      <c r="AC423" s="153" t="s">
        <v>52</v>
      </c>
      <c r="AD423" s="153" t="s">
        <v>17</v>
      </c>
      <c r="AE423" s="153" t="s">
        <v>72</v>
      </c>
      <c r="AF423" s="153" t="s">
        <v>51</v>
      </c>
      <c r="AG423" s="153" t="s">
        <v>534</v>
      </c>
      <c r="AH423" s="153">
        <v>4.2437785335996203</v>
      </c>
      <c r="AJ423" s="153" t="s">
        <v>52</v>
      </c>
      <c r="AK423" s="153" t="s">
        <v>17</v>
      </c>
      <c r="AL423" s="153" t="s">
        <v>28</v>
      </c>
      <c r="AM423" s="153" t="s">
        <v>51</v>
      </c>
      <c r="AN423" s="153" t="s">
        <v>522</v>
      </c>
      <c r="AO423" s="153">
        <v>1.3563520113644405</v>
      </c>
    </row>
    <row r="424" spans="29:41">
      <c r="AC424" s="153" t="s">
        <v>52</v>
      </c>
      <c r="AD424" s="153" t="s">
        <v>17</v>
      </c>
      <c r="AE424" s="153" t="s">
        <v>72</v>
      </c>
      <c r="AF424" s="153" t="s">
        <v>51</v>
      </c>
      <c r="AG424" s="153" t="s">
        <v>535</v>
      </c>
      <c r="AH424" s="153">
        <v>4.2613535053943963</v>
      </c>
      <c r="AJ424" s="153" t="s">
        <v>52</v>
      </c>
      <c r="AK424" s="153" t="s">
        <v>17</v>
      </c>
      <c r="AL424" s="153" t="s">
        <v>28</v>
      </c>
      <c r="AM424" s="153" t="s">
        <v>51</v>
      </c>
      <c r="AN424" s="153" t="s">
        <v>523</v>
      </c>
      <c r="AO424" s="153">
        <v>1.3166837681228876</v>
      </c>
    </row>
    <row r="425" spans="29:41">
      <c r="AC425" s="153" t="s">
        <v>52</v>
      </c>
      <c r="AD425" s="153" t="s">
        <v>17</v>
      </c>
      <c r="AE425" s="153" t="s">
        <v>72</v>
      </c>
      <c r="AF425" s="153" t="s">
        <v>51</v>
      </c>
      <c r="AG425" s="153" t="s">
        <v>536</v>
      </c>
      <c r="AH425" s="153">
        <v>4.2952321718311808</v>
      </c>
      <c r="AJ425" s="153" t="s">
        <v>52</v>
      </c>
      <c r="AK425" s="153" t="s">
        <v>17</v>
      </c>
      <c r="AL425" s="153" t="s">
        <v>28</v>
      </c>
      <c r="AM425" s="153" t="s">
        <v>51</v>
      </c>
      <c r="AN425" s="153" t="s">
        <v>524</v>
      </c>
      <c r="AO425" s="153">
        <v>1.3514362207980646</v>
      </c>
    </row>
    <row r="426" spans="29:41">
      <c r="AC426" s="153" t="s">
        <v>52</v>
      </c>
      <c r="AD426" s="153" t="s">
        <v>17</v>
      </c>
      <c r="AE426" s="153" t="s">
        <v>72</v>
      </c>
      <c r="AF426" s="153" t="s">
        <v>51</v>
      </c>
      <c r="AG426" s="153" t="s">
        <v>537</v>
      </c>
      <c r="AH426" s="153">
        <v>4.2144451362355806</v>
      </c>
      <c r="AJ426" s="153" t="s">
        <v>52</v>
      </c>
      <c r="AK426" s="153" t="s">
        <v>17</v>
      </c>
      <c r="AL426" s="153" t="s">
        <v>28</v>
      </c>
      <c r="AM426" s="153" t="s">
        <v>51</v>
      </c>
      <c r="AN426" s="153" t="s">
        <v>525</v>
      </c>
      <c r="AO426" s="153">
        <v>1.366899802246738</v>
      </c>
    </row>
    <row r="427" spans="29:41">
      <c r="AC427" s="153" t="s">
        <v>52</v>
      </c>
      <c r="AD427" s="153" t="s">
        <v>17</v>
      </c>
      <c r="AE427" s="153" t="s">
        <v>72</v>
      </c>
      <c r="AF427" s="153" t="s">
        <v>51</v>
      </c>
      <c r="AG427" s="153" t="s">
        <v>538</v>
      </c>
      <c r="AH427" s="153">
        <v>4.3185929708734854</v>
      </c>
      <c r="AJ427" s="153" t="s">
        <v>52</v>
      </c>
      <c r="AK427" s="153" t="s">
        <v>17</v>
      </c>
      <c r="AL427" s="153" t="s">
        <v>28</v>
      </c>
      <c r="AM427" s="153" t="s">
        <v>51</v>
      </c>
      <c r="AN427" s="153" t="s">
        <v>526</v>
      </c>
      <c r="AO427" s="153">
        <v>1.2779025828318782</v>
      </c>
    </row>
    <row r="428" spans="29:41">
      <c r="AC428" s="153" t="s">
        <v>52</v>
      </c>
      <c r="AD428" s="153" t="s">
        <v>17</v>
      </c>
      <c r="AE428" s="153" t="s">
        <v>72</v>
      </c>
      <c r="AF428" s="153" t="s">
        <v>51</v>
      </c>
      <c r="AG428" s="153" t="s">
        <v>539</v>
      </c>
      <c r="AH428" s="153">
        <v>4.3302609355545023</v>
      </c>
      <c r="AJ428" s="153" t="s">
        <v>52</v>
      </c>
      <c r="AK428" s="153" t="s">
        <v>17</v>
      </c>
      <c r="AL428" s="153" t="s">
        <v>28</v>
      </c>
      <c r="AM428" s="153" t="s">
        <v>51</v>
      </c>
      <c r="AN428" s="153" t="s">
        <v>527</v>
      </c>
      <c r="AO428" s="153">
        <v>1.2892912501352178</v>
      </c>
    </row>
    <row r="429" spans="29:41">
      <c r="AC429" s="153" t="s">
        <v>52</v>
      </c>
      <c r="AD429" s="153" t="s">
        <v>17</v>
      </c>
      <c r="AE429" s="153" t="s">
        <v>72</v>
      </c>
      <c r="AF429" s="153" t="s">
        <v>51</v>
      </c>
      <c r="AG429" s="153" t="s">
        <v>540</v>
      </c>
      <c r="AH429" s="153">
        <v>4.607823822175499</v>
      </c>
      <c r="AJ429" s="153" t="s">
        <v>52</v>
      </c>
      <c r="AK429" s="153" t="s">
        <v>17</v>
      </c>
      <c r="AL429" s="153" t="s">
        <v>28</v>
      </c>
      <c r="AM429" s="153" t="s">
        <v>51</v>
      </c>
      <c r="AN429" s="153" t="s">
        <v>528</v>
      </c>
      <c r="AO429" s="153">
        <v>1.2990684266349271</v>
      </c>
    </row>
    <row r="430" spans="29:41">
      <c r="AC430" s="153" t="s">
        <v>52</v>
      </c>
      <c r="AD430" s="153" t="s">
        <v>17</v>
      </c>
      <c r="AE430" s="153" t="s">
        <v>72</v>
      </c>
      <c r="AF430" s="153" t="s">
        <v>51</v>
      </c>
      <c r="AG430" s="153" t="s">
        <v>541</v>
      </c>
      <c r="AH430" s="153">
        <v>4.4693257294093423</v>
      </c>
      <c r="AJ430" s="153" t="s">
        <v>52</v>
      </c>
      <c r="AK430" s="153" t="s">
        <v>17</v>
      </c>
      <c r="AL430" s="153" t="s">
        <v>28</v>
      </c>
      <c r="AM430" s="153" t="s">
        <v>51</v>
      </c>
      <c r="AN430" s="153" t="s">
        <v>529</v>
      </c>
      <c r="AO430" s="153">
        <v>1.3556397728819423</v>
      </c>
    </row>
    <row r="431" spans="29:41">
      <c r="AC431" s="153" t="s">
        <v>52</v>
      </c>
      <c r="AD431" s="153" t="s">
        <v>17</v>
      </c>
      <c r="AE431" s="153" t="s">
        <v>72</v>
      </c>
      <c r="AF431" s="153" t="s">
        <v>51</v>
      </c>
      <c r="AG431" s="153" t="s">
        <v>542</v>
      </c>
      <c r="AH431" s="153">
        <v>4.4548596476894264</v>
      </c>
      <c r="AJ431" s="153" t="s">
        <v>52</v>
      </c>
      <c r="AK431" s="153" t="s">
        <v>17</v>
      </c>
      <c r="AL431" s="153" t="s">
        <v>28</v>
      </c>
      <c r="AM431" s="153" t="s">
        <v>51</v>
      </c>
      <c r="AN431" s="153" t="s">
        <v>530</v>
      </c>
      <c r="AO431" s="153">
        <v>1.2577800726141282</v>
      </c>
    </row>
    <row r="432" spans="29:41">
      <c r="AC432" s="153" t="s">
        <v>52</v>
      </c>
      <c r="AD432" s="153" t="s">
        <v>17</v>
      </c>
      <c r="AE432" s="153" t="s">
        <v>72</v>
      </c>
      <c r="AF432" s="153" t="s">
        <v>51</v>
      </c>
      <c r="AG432" s="153" t="s">
        <v>543</v>
      </c>
      <c r="AH432" s="153">
        <v>4.423307134540754</v>
      </c>
      <c r="AJ432" s="153" t="s">
        <v>52</v>
      </c>
      <c r="AK432" s="153" t="s">
        <v>17</v>
      </c>
      <c r="AL432" s="153" t="s">
        <v>28</v>
      </c>
      <c r="AM432" s="153" t="s">
        <v>51</v>
      </c>
      <c r="AN432" s="153" t="s">
        <v>531</v>
      </c>
      <c r="AO432" s="153">
        <v>1.2320106455622477</v>
      </c>
    </row>
    <row r="433" spans="29:41">
      <c r="AC433" s="153" t="s">
        <v>52</v>
      </c>
      <c r="AD433" s="153" t="s">
        <v>17</v>
      </c>
      <c r="AE433" s="153" t="s">
        <v>72</v>
      </c>
      <c r="AF433" s="153" t="s">
        <v>51</v>
      </c>
      <c r="AG433" s="153" t="s">
        <v>544</v>
      </c>
      <c r="AH433" s="153">
        <v>4.3652151737597782</v>
      </c>
      <c r="AJ433" s="153" t="s">
        <v>52</v>
      </c>
      <c r="AK433" s="153" t="s">
        <v>17</v>
      </c>
      <c r="AL433" s="153" t="s">
        <v>28</v>
      </c>
      <c r="AM433" s="153" t="s">
        <v>51</v>
      </c>
      <c r="AN433" s="153" t="s">
        <v>532</v>
      </c>
      <c r="AO433" s="153">
        <v>1.2579774891879953</v>
      </c>
    </row>
    <row r="434" spans="29:41">
      <c r="AC434" s="153" t="s">
        <v>52</v>
      </c>
      <c r="AD434" s="153" t="s">
        <v>17</v>
      </c>
      <c r="AE434" s="153" t="s">
        <v>72</v>
      </c>
      <c r="AF434" s="153" t="s">
        <v>51</v>
      </c>
      <c r="AG434" s="153" t="s">
        <v>545</v>
      </c>
      <c r="AH434" s="153">
        <v>4.4953324873966052</v>
      </c>
      <c r="AJ434" s="153" t="s">
        <v>52</v>
      </c>
      <c r="AK434" s="153" t="s">
        <v>17</v>
      </c>
      <c r="AL434" s="153" t="s">
        <v>28</v>
      </c>
      <c r="AM434" s="153" t="s">
        <v>51</v>
      </c>
      <c r="AN434" s="153" t="s">
        <v>533</v>
      </c>
      <c r="AO434" s="153">
        <v>1.2990629152051725</v>
      </c>
    </row>
    <row r="435" spans="29:41">
      <c r="AC435" s="153" t="s">
        <v>52</v>
      </c>
      <c r="AD435" s="153" t="s">
        <v>17</v>
      </c>
      <c r="AE435" s="153" t="s">
        <v>72</v>
      </c>
      <c r="AF435" s="153" t="s">
        <v>51</v>
      </c>
      <c r="AG435" s="153" t="s">
        <v>546</v>
      </c>
      <c r="AH435" s="153">
        <v>4.5184149151432536</v>
      </c>
      <c r="AJ435" s="153" t="s">
        <v>52</v>
      </c>
      <c r="AK435" s="153" t="s">
        <v>17</v>
      </c>
      <c r="AL435" s="153" t="s">
        <v>28</v>
      </c>
      <c r="AM435" s="153" t="s">
        <v>51</v>
      </c>
      <c r="AN435" s="153" t="s">
        <v>534</v>
      </c>
      <c r="AO435" s="153">
        <v>1.2919277825357405</v>
      </c>
    </row>
    <row r="436" spans="29:41">
      <c r="AC436" s="153" t="s">
        <v>52</v>
      </c>
      <c r="AD436" s="153" t="s">
        <v>17</v>
      </c>
      <c r="AE436" s="153" t="s">
        <v>72</v>
      </c>
      <c r="AF436" s="153" t="s">
        <v>51</v>
      </c>
      <c r="AG436" s="153" t="s">
        <v>547</v>
      </c>
      <c r="AH436" s="153">
        <v>4.4029983827726733</v>
      </c>
      <c r="AJ436" s="153" t="s">
        <v>52</v>
      </c>
      <c r="AK436" s="153" t="s">
        <v>17</v>
      </c>
      <c r="AL436" s="153" t="s">
        <v>28</v>
      </c>
      <c r="AM436" s="153" t="s">
        <v>51</v>
      </c>
      <c r="AN436" s="153" t="s">
        <v>535</v>
      </c>
      <c r="AO436" s="153">
        <v>1.3225382240363963</v>
      </c>
    </row>
    <row r="437" spans="29:41">
      <c r="AC437" s="153" t="s">
        <v>52</v>
      </c>
      <c r="AD437" s="153" t="s">
        <v>17</v>
      </c>
      <c r="AE437" s="153" t="s">
        <v>72</v>
      </c>
      <c r="AF437" s="153" t="s">
        <v>51</v>
      </c>
      <c r="AG437" s="153" t="s">
        <v>548</v>
      </c>
      <c r="AH437" s="153">
        <v>4.4519648969237426</v>
      </c>
      <c r="AJ437" s="153" t="s">
        <v>52</v>
      </c>
      <c r="AK437" s="153" t="s">
        <v>17</v>
      </c>
      <c r="AL437" s="153" t="s">
        <v>28</v>
      </c>
      <c r="AM437" s="153" t="s">
        <v>51</v>
      </c>
      <c r="AN437" s="153" t="s">
        <v>536</v>
      </c>
      <c r="AO437" s="153">
        <v>1.3771780020663107</v>
      </c>
    </row>
    <row r="438" spans="29:41">
      <c r="AC438" s="153" t="s">
        <v>52</v>
      </c>
      <c r="AD438" s="153" t="s">
        <v>17</v>
      </c>
      <c r="AE438" s="153" t="s">
        <v>72</v>
      </c>
      <c r="AF438" s="153" t="s">
        <v>51</v>
      </c>
      <c r="AG438" s="153" t="s">
        <v>549</v>
      </c>
      <c r="AH438" s="153">
        <v>4.4548596476894264</v>
      </c>
      <c r="AJ438" s="153" t="s">
        <v>52</v>
      </c>
      <c r="AK438" s="153" t="s">
        <v>17</v>
      </c>
      <c r="AL438" s="153" t="s">
        <v>28</v>
      </c>
      <c r="AM438" s="153" t="s">
        <v>51</v>
      </c>
      <c r="AN438" s="153" t="s">
        <v>537</v>
      </c>
      <c r="AO438" s="153">
        <v>1.2565097550388902</v>
      </c>
    </row>
    <row r="439" spans="29:41">
      <c r="AC439" s="153" t="s">
        <v>52</v>
      </c>
      <c r="AD439" s="153" t="s">
        <v>17</v>
      </c>
      <c r="AE439" s="153" t="s">
        <v>72</v>
      </c>
      <c r="AF439" s="153" t="s">
        <v>51</v>
      </c>
      <c r="AG439" s="153" t="s">
        <v>550</v>
      </c>
      <c r="AH439" s="153">
        <v>4.504558713898728</v>
      </c>
      <c r="AJ439" s="153" t="s">
        <v>52</v>
      </c>
      <c r="AK439" s="153" t="s">
        <v>17</v>
      </c>
      <c r="AL439" s="153" t="s">
        <v>28</v>
      </c>
      <c r="AM439" s="153" t="s">
        <v>51</v>
      </c>
      <c r="AN439" s="153" t="s">
        <v>538</v>
      </c>
      <c r="AO439" s="153">
        <v>1.2869016531242954</v>
      </c>
    </row>
    <row r="440" spans="29:41">
      <c r="AC440" s="153" t="s">
        <v>52</v>
      </c>
      <c r="AD440" s="153" t="s">
        <v>17</v>
      </c>
      <c r="AE440" s="153" t="s">
        <v>72</v>
      </c>
      <c r="AF440" s="153" t="s">
        <v>51</v>
      </c>
      <c r="AG440" s="153" t="s">
        <v>551</v>
      </c>
      <c r="AH440" s="153">
        <v>4.4551700084732104</v>
      </c>
      <c r="AJ440" s="153" t="s">
        <v>52</v>
      </c>
      <c r="AK440" s="153" t="s">
        <v>17</v>
      </c>
      <c r="AL440" s="153" t="s">
        <v>28</v>
      </c>
      <c r="AM440" s="153" t="s">
        <v>51</v>
      </c>
      <c r="AN440" s="153" t="s">
        <v>539</v>
      </c>
      <c r="AO440" s="153">
        <v>1.2879680359204122</v>
      </c>
    </row>
    <row r="441" spans="29:41">
      <c r="AC441" s="153" t="s">
        <v>52</v>
      </c>
      <c r="AD441" s="153" t="s">
        <v>17</v>
      </c>
      <c r="AE441" s="153" t="s">
        <v>72</v>
      </c>
      <c r="AF441" s="153" t="s">
        <v>51</v>
      </c>
      <c r="AG441" s="153" t="s">
        <v>552</v>
      </c>
      <c r="AH441" s="153">
        <v>4.5708099804483355</v>
      </c>
      <c r="AJ441" s="153" t="s">
        <v>52</v>
      </c>
      <c r="AK441" s="153" t="s">
        <v>17</v>
      </c>
      <c r="AL441" s="153" t="s">
        <v>28</v>
      </c>
      <c r="AM441" s="153" t="s">
        <v>51</v>
      </c>
      <c r="AN441" s="153" t="s">
        <v>540</v>
      </c>
      <c r="AO441" s="153">
        <v>1.5824478752958191</v>
      </c>
    </row>
    <row r="442" spans="29:41">
      <c r="AC442" s="153" t="s">
        <v>52</v>
      </c>
      <c r="AD442" s="153" t="s">
        <v>17</v>
      </c>
      <c r="AE442" s="153" t="s">
        <v>72</v>
      </c>
      <c r="AF442" s="153" t="s">
        <v>51</v>
      </c>
      <c r="AG442" s="153" t="s">
        <v>553</v>
      </c>
      <c r="AH442" s="153">
        <v>4.6697188289968921</v>
      </c>
      <c r="AJ442" s="153" t="s">
        <v>52</v>
      </c>
      <c r="AK442" s="153" t="s">
        <v>17</v>
      </c>
      <c r="AL442" s="153" t="s">
        <v>28</v>
      </c>
      <c r="AM442" s="153" t="s">
        <v>51</v>
      </c>
      <c r="AN442" s="153" t="s">
        <v>541</v>
      </c>
      <c r="AO442" s="153">
        <v>1.3881843901371225</v>
      </c>
    </row>
    <row r="443" spans="29:41">
      <c r="AC443" s="153" t="s">
        <v>52</v>
      </c>
      <c r="AD443" s="153" t="s">
        <v>17</v>
      </c>
      <c r="AE443" s="153" t="s">
        <v>72</v>
      </c>
      <c r="AF443" s="153" t="s">
        <v>51</v>
      </c>
      <c r="AG443" s="153" t="s">
        <v>554</v>
      </c>
      <c r="AH443" s="153">
        <v>4.4779992446135664</v>
      </c>
      <c r="AJ443" s="153" t="s">
        <v>52</v>
      </c>
      <c r="AK443" s="153" t="s">
        <v>17</v>
      </c>
      <c r="AL443" s="153" t="s">
        <v>28</v>
      </c>
      <c r="AM443" s="153" t="s">
        <v>51</v>
      </c>
      <c r="AN443" s="153" t="s">
        <v>542</v>
      </c>
      <c r="AO443" s="153">
        <v>1.3423360842545966</v>
      </c>
    </row>
    <row r="444" spans="29:41">
      <c r="AC444" s="153" t="s">
        <v>52</v>
      </c>
      <c r="AD444" s="153" t="s">
        <v>17</v>
      </c>
      <c r="AE444" s="153" t="s">
        <v>72</v>
      </c>
      <c r="AF444" s="153" t="s">
        <v>51</v>
      </c>
      <c r="AG444" s="153" t="s">
        <v>555</v>
      </c>
      <c r="AH444" s="153">
        <v>4.5823045764148045</v>
      </c>
      <c r="AJ444" s="153" t="s">
        <v>52</v>
      </c>
      <c r="AK444" s="153" t="s">
        <v>17</v>
      </c>
      <c r="AL444" s="153" t="s">
        <v>28</v>
      </c>
      <c r="AM444" s="153" t="s">
        <v>51</v>
      </c>
      <c r="AN444" s="153" t="s">
        <v>543</v>
      </c>
      <c r="AO444" s="153">
        <v>1.4000349595889843</v>
      </c>
    </row>
    <row r="445" spans="29:41">
      <c r="AC445" s="153" t="s">
        <v>52</v>
      </c>
      <c r="AD445" s="153" t="s">
        <v>17</v>
      </c>
      <c r="AE445" s="153" t="s">
        <v>72</v>
      </c>
      <c r="AF445" s="153" t="s">
        <v>51</v>
      </c>
      <c r="AG445" s="153" t="s">
        <v>556</v>
      </c>
      <c r="AH445" s="153">
        <v>4.7694394146053272</v>
      </c>
      <c r="AJ445" s="153" t="s">
        <v>52</v>
      </c>
      <c r="AK445" s="153" t="s">
        <v>17</v>
      </c>
      <c r="AL445" s="153" t="s">
        <v>28</v>
      </c>
      <c r="AM445" s="153" t="s">
        <v>51</v>
      </c>
      <c r="AN445" s="153" t="s">
        <v>544</v>
      </c>
      <c r="AO445" s="153">
        <v>1.3620047443221681</v>
      </c>
    </row>
    <row r="446" spans="29:41">
      <c r="AC446" s="153" t="s">
        <v>52</v>
      </c>
      <c r="AD446" s="153" t="s">
        <v>17</v>
      </c>
      <c r="AE446" s="153" t="s">
        <v>72</v>
      </c>
      <c r="AF446" s="153" t="s">
        <v>51</v>
      </c>
      <c r="AG446" s="153" t="s">
        <v>557</v>
      </c>
      <c r="AH446" s="153">
        <v>4.797329823173559</v>
      </c>
      <c r="AJ446" s="153" t="s">
        <v>52</v>
      </c>
      <c r="AK446" s="153" t="s">
        <v>17</v>
      </c>
      <c r="AL446" s="153" t="s">
        <v>28</v>
      </c>
      <c r="AM446" s="153" t="s">
        <v>51</v>
      </c>
      <c r="AN446" s="153" t="s">
        <v>545</v>
      </c>
      <c r="AO446" s="153">
        <v>1.4353293484402045</v>
      </c>
    </row>
    <row r="447" spans="29:41">
      <c r="AC447" s="153" t="s">
        <v>52</v>
      </c>
      <c r="AD447" s="153" t="s">
        <v>17</v>
      </c>
      <c r="AE447" s="153" t="s">
        <v>72</v>
      </c>
      <c r="AF447" s="153" t="s">
        <v>51</v>
      </c>
      <c r="AG447" s="153" t="s">
        <v>558</v>
      </c>
      <c r="AH447" s="153">
        <v>4.6920499579266268</v>
      </c>
      <c r="AJ447" s="153" t="s">
        <v>52</v>
      </c>
      <c r="AK447" s="153" t="s">
        <v>17</v>
      </c>
      <c r="AL447" s="153" t="s">
        <v>28</v>
      </c>
      <c r="AM447" s="153" t="s">
        <v>51</v>
      </c>
      <c r="AN447" s="153" t="s">
        <v>546</v>
      </c>
      <c r="AO447" s="153">
        <v>1.3824188098573733</v>
      </c>
    </row>
    <row r="448" spans="29:41">
      <c r="AC448" s="153" t="s">
        <v>52</v>
      </c>
      <c r="AD448" s="153" t="s">
        <v>17</v>
      </c>
      <c r="AE448" s="153" t="s">
        <v>72</v>
      </c>
      <c r="AF448" s="153" t="s">
        <v>51</v>
      </c>
      <c r="AG448" s="153" t="s">
        <v>559</v>
      </c>
      <c r="AH448" s="153">
        <v>4.7552310348564344</v>
      </c>
      <c r="AJ448" s="153" t="s">
        <v>52</v>
      </c>
      <c r="AK448" s="153" t="s">
        <v>17</v>
      </c>
      <c r="AL448" s="153" t="s">
        <v>28</v>
      </c>
      <c r="AM448" s="153" t="s">
        <v>51</v>
      </c>
      <c r="AN448" s="153" t="s">
        <v>547</v>
      </c>
      <c r="AO448" s="153">
        <v>1.3196450406209637</v>
      </c>
    </row>
    <row r="449" spans="29:41">
      <c r="AC449" s="153" t="s">
        <v>52</v>
      </c>
      <c r="AD449" s="153" t="s">
        <v>17</v>
      </c>
      <c r="AE449" s="153" t="s">
        <v>72</v>
      </c>
      <c r="AF449" s="153" t="s">
        <v>51</v>
      </c>
      <c r="AG449" s="153" t="s">
        <v>560</v>
      </c>
      <c r="AH449" s="153">
        <v>4.7239287533587957</v>
      </c>
      <c r="AJ449" s="153" t="s">
        <v>52</v>
      </c>
      <c r="AK449" s="153" t="s">
        <v>17</v>
      </c>
      <c r="AL449" s="153" t="s">
        <v>28</v>
      </c>
      <c r="AM449" s="153" t="s">
        <v>51</v>
      </c>
      <c r="AN449" s="153" t="s">
        <v>548</v>
      </c>
      <c r="AO449" s="153">
        <v>1.3683364727399026</v>
      </c>
    </row>
    <row r="450" spans="29:41">
      <c r="AC450" s="153" t="s">
        <v>52</v>
      </c>
      <c r="AD450" s="153" t="s">
        <v>17</v>
      </c>
      <c r="AE450" s="153" t="s">
        <v>72</v>
      </c>
      <c r="AF450" s="153" t="s">
        <v>51</v>
      </c>
      <c r="AG450" s="153" t="s">
        <v>561</v>
      </c>
      <c r="AH450" s="153">
        <v>4.7239287533587957</v>
      </c>
      <c r="AJ450" s="153" t="s">
        <v>52</v>
      </c>
      <c r="AK450" s="153" t="s">
        <v>17</v>
      </c>
      <c r="AL450" s="153" t="s">
        <v>28</v>
      </c>
      <c r="AM450" s="153" t="s">
        <v>51</v>
      </c>
      <c r="AN450" s="153" t="s">
        <v>549</v>
      </c>
      <c r="AO450" s="153">
        <v>1.370915517618686</v>
      </c>
    </row>
    <row r="451" spans="29:41">
      <c r="AC451" s="153" t="s">
        <v>52</v>
      </c>
      <c r="AD451" s="153" t="s">
        <v>17</v>
      </c>
      <c r="AE451" s="153" t="s">
        <v>72</v>
      </c>
      <c r="AF451" s="153" t="s">
        <v>51</v>
      </c>
      <c r="AG451" s="153" t="s">
        <v>562</v>
      </c>
      <c r="AH451" s="153">
        <v>4.6982728752586977</v>
      </c>
      <c r="AJ451" s="153" t="s">
        <v>52</v>
      </c>
      <c r="AK451" s="153" t="s">
        <v>17</v>
      </c>
      <c r="AL451" s="153" t="s">
        <v>28</v>
      </c>
      <c r="AM451" s="153" t="s">
        <v>51</v>
      </c>
      <c r="AN451" s="153" t="s">
        <v>550</v>
      </c>
      <c r="AO451" s="153">
        <v>1.4757478253014475</v>
      </c>
    </row>
    <row r="452" spans="29:41">
      <c r="AC452" s="153" t="s">
        <v>52</v>
      </c>
      <c r="AD452" s="153" t="s">
        <v>17</v>
      </c>
      <c r="AE452" s="153" t="s">
        <v>72</v>
      </c>
      <c r="AF452" s="153" t="s">
        <v>51</v>
      </c>
      <c r="AG452" s="153" t="s">
        <v>563</v>
      </c>
      <c r="AH452" s="153">
        <v>4.7807971623460777</v>
      </c>
      <c r="AJ452" s="153" t="s">
        <v>52</v>
      </c>
      <c r="AK452" s="153" t="s">
        <v>17</v>
      </c>
      <c r="AL452" s="153" t="s">
        <v>28</v>
      </c>
      <c r="AM452" s="153" t="s">
        <v>51</v>
      </c>
      <c r="AN452" s="153" t="s">
        <v>551</v>
      </c>
      <c r="AO452" s="153">
        <v>1.3979429522616504</v>
      </c>
    </row>
    <row r="453" spans="29:41">
      <c r="AC453" s="153" t="s">
        <v>52</v>
      </c>
      <c r="AD453" s="153" t="s">
        <v>17</v>
      </c>
      <c r="AE453" s="153" t="s">
        <v>72</v>
      </c>
      <c r="AF453" s="153" t="s">
        <v>51</v>
      </c>
      <c r="AG453" s="153" t="s">
        <v>564</v>
      </c>
      <c r="AH453" s="153">
        <v>4.7410102040366011</v>
      </c>
      <c r="AJ453" s="153" t="s">
        <v>52</v>
      </c>
      <c r="AK453" s="153" t="s">
        <v>17</v>
      </c>
      <c r="AL453" s="153" t="s">
        <v>28</v>
      </c>
      <c r="AM453" s="153" t="s">
        <v>51</v>
      </c>
      <c r="AN453" s="153" t="s">
        <v>552</v>
      </c>
      <c r="AO453" s="153">
        <v>1.4279447442446962</v>
      </c>
    </row>
    <row r="454" spans="29:41">
      <c r="AC454" s="153" t="s">
        <v>52</v>
      </c>
      <c r="AD454" s="153" t="s">
        <v>17</v>
      </c>
      <c r="AE454" s="153" t="s">
        <v>72</v>
      </c>
      <c r="AF454" s="153" t="s">
        <v>51</v>
      </c>
      <c r="AG454" s="153" t="s">
        <v>565</v>
      </c>
      <c r="AH454" s="153">
        <v>4.6196061754823114</v>
      </c>
      <c r="AJ454" s="153" t="s">
        <v>52</v>
      </c>
      <c r="AK454" s="153" t="s">
        <v>17</v>
      </c>
      <c r="AL454" s="153" t="s">
        <v>28</v>
      </c>
      <c r="AM454" s="153" t="s">
        <v>51</v>
      </c>
      <c r="AN454" s="153" t="s">
        <v>553</v>
      </c>
      <c r="AO454" s="153">
        <v>1.5194843294056521</v>
      </c>
    </row>
    <row r="455" spans="29:41">
      <c r="AC455" s="153" t="s">
        <v>52</v>
      </c>
      <c r="AD455" s="153" t="s">
        <v>17</v>
      </c>
      <c r="AE455" s="153" t="s">
        <v>72</v>
      </c>
      <c r="AF455" s="153" t="s">
        <v>51</v>
      </c>
      <c r="AG455" s="153" t="s">
        <v>566</v>
      </c>
      <c r="AH455" s="153">
        <v>4.5650596465316067</v>
      </c>
      <c r="AJ455" s="153" t="s">
        <v>52</v>
      </c>
      <c r="AK455" s="153" t="s">
        <v>17</v>
      </c>
      <c r="AL455" s="153" t="s">
        <v>28</v>
      </c>
      <c r="AM455" s="153" t="s">
        <v>51</v>
      </c>
      <c r="AN455" s="153" t="s">
        <v>554</v>
      </c>
      <c r="AO455" s="153">
        <v>1.3158417091699668</v>
      </c>
    </row>
    <row r="456" spans="29:41">
      <c r="AC456" s="153" t="s">
        <v>52</v>
      </c>
      <c r="AD456" s="153" t="s">
        <v>17</v>
      </c>
      <c r="AE456" s="153" t="s">
        <v>72</v>
      </c>
      <c r="AF456" s="153" t="s">
        <v>51</v>
      </c>
      <c r="AG456" s="153" t="s">
        <v>567</v>
      </c>
      <c r="AH456" s="153">
        <v>4.51898400099134</v>
      </c>
      <c r="AJ456" s="153" t="s">
        <v>52</v>
      </c>
      <c r="AK456" s="153" t="s">
        <v>17</v>
      </c>
      <c r="AL456" s="153" t="s">
        <v>28</v>
      </c>
      <c r="AM456" s="153" t="s">
        <v>51</v>
      </c>
      <c r="AN456" s="153" t="s">
        <v>555</v>
      </c>
      <c r="AO456" s="153">
        <v>1.3644765169176745</v>
      </c>
    </row>
    <row r="457" spans="29:41">
      <c r="AC457" s="153" t="s">
        <v>52</v>
      </c>
      <c r="AD457" s="153" t="s">
        <v>17</v>
      </c>
      <c r="AE457" s="153" t="s">
        <v>72</v>
      </c>
      <c r="AF457" s="153" t="s">
        <v>51</v>
      </c>
      <c r="AG457" s="153" t="s">
        <v>568</v>
      </c>
      <c r="AH457" s="153">
        <v>4.4958974405090295</v>
      </c>
      <c r="AJ457" s="153" t="s">
        <v>52</v>
      </c>
      <c r="AK457" s="153" t="s">
        <v>17</v>
      </c>
      <c r="AL457" s="153" t="s">
        <v>28</v>
      </c>
      <c r="AM457" s="153" t="s">
        <v>51</v>
      </c>
      <c r="AN457" s="153" t="s">
        <v>556</v>
      </c>
      <c r="AO457" s="153">
        <v>1.4643869751051863</v>
      </c>
    </row>
    <row r="458" spans="29:41">
      <c r="AC458" s="153" t="s">
        <v>52</v>
      </c>
      <c r="AD458" s="153" t="s">
        <v>17</v>
      </c>
      <c r="AE458" s="153" t="s">
        <v>72</v>
      </c>
      <c r="AF458" s="153" t="s">
        <v>51</v>
      </c>
      <c r="AG458" s="153" t="s">
        <v>569</v>
      </c>
      <c r="AH458" s="153">
        <v>4.3823371144144883</v>
      </c>
      <c r="AJ458" s="153" t="s">
        <v>52</v>
      </c>
      <c r="AK458" s="153" t="s">
        <v>17</v>
      </c>
      <c r="AL458" s="153" t="s">
        <v>28</v>
      </c>
      <c r="AM458" s="153" t="s">
        <v>51</v>
      </c>
      <c r="AN458" s="153" t="s">
        <v>557</v>
      </c>
      <c r="AO458" s="153">
        <v>1.4668086823046489</v>
      </c>
    </row>
    <row r="459" spans="29:41">
      <c r="AC459" s="153" t="s">
        <v>52</v>
      </c>
      <c r="AD459" s="153" t="s">
        <v>17</v>
      </c>
      <c r="AE459" s="153" t="s">
        <v>72</v>
      </c>
      <c r="AF459" s="153" t="s">
        <v>51</v>
      </c>
      <c r="AG459" s="153" t="s">
        <v>570</v>
      </c>
      <c r="AH459" s="153">
        <v>4.4403807755514579</v>
      </c>
      <c r="AJ459" s="153" t="s">
        <v>52</v>
      </c>
      <c r="AK459" s="153" t="s">
        <v>17</v>
      </c>
      <c r="AL459" s="153" t="s">
        <v>28</v>
      </c>
      <c r="AM459" s="153" t="s">
        <v>51</v>
      </c>
      <c r="AN459" s="153" t="s">
        <v>558</v>
      </c>
      <c r="AO459" s="153">
        <v>1.4184868665842767</v>
      </c>
    </row>
    <row r="460" spans="29:41">
      <c r="AC460" s="153" t="s">
        <v>52</v>
      </c>
      <c r="AD460" s="153" t="s">
        <v>17</v>
      </c>
      <c r="AE460" s="153" t="s">
        <v>72</v>
      </c>
      <c r="AF460" s="153" t="s">
        <v>51</v>
      </c>
      <c r="AG460" s="153" t="s">
        <v>571</v>
      </c>
      <c r="AH460" s="153">
        <v>4.5765582901272763</v>
      </c>
      <c r="AJ460" s="153" t="s">
        <v>52</v>
      </c>
      <c r="AK460" s="153" t="s">
        <v>17</v>
      </c>
      <c r="AL460" s="153" t="s">
        <v>28</v>
      </c>
      <c r="AM460" s="153" t="s">
        <v>51</v>
      </c>
      <c r="AN460" s="153" t="s">
        <v>559</v>
      </c>
      <c r="AO460" s="153">
        <v>1.4668284452399045</v>
      </c>
    </row>
    <row r="461" spans="29:41">
      <c r="AC461" s="153" t="s">
        <v>52</v>
      </c>
      <c r="AD461" s="153" t="s">
        <v>17</v>
      </c>
      <c r="AE461" s="153" t="s">
        <v>72</v>
      </c>
      <c r="AF461" s="153" t="s">
        <v>51</v>
      </c>
      <c r="AG461" s="153" t="s">
        <v>572</v>
      </c>
      <c r="AH461" s="153">
        <v>4.5765582901272763</v>
      </c>
      <c r="AJ461" s="153" t="s">
        <v>52</v>
      </c>
      <c r="AK461" s="153" t="s">
        <v>17</v>
      </c>
      <c r="AL461" s="153" t="s">
        <v>28</v>
      </c>
      <c r="AM461" s="153" t="s">
        <v>51</v>
      </c>
      <c r="AN461" s="153" t="s">
        <v>560</v>
      </c>
      <c r="AO461" s="153">
        <v>1.4650084398118859</v>
      </c>
    </row>
    <row r="462" spans="29:41">
      <c r="AC462" s="153" t="s">
        <v>52</v>
      </c>
      <c r="AD462" s="153" t="s">
        <v>17</v>
      </c>
      <c r="AE462" s="153" t="s">
        <v>72</v>
      </c>
      <c r="AF462" s="153" t="s">
        <v>51</v>
      </c>
      <c r="AG462" s="153" t="s">
        <v>573</v>
      </c>
      <c r="AH462" s="153">
        <v>4.5449175247284552</v>
      </c>
      <c r="AJ462" s="153" t="s">
        <v>52</v>
      </c>
      <c r="AK462" s="153" t="s">
        <v>17</v>
      </c>
      <c r="AL462" s="153" t="s">
        <v>28</v>
      </c>
      <c r="AM462" s="153" t="s">
        <v>51</v>
      </c>
      <c r="AN462" s="153" t="s">
        <v>561</v>
      </c>
      <c r="AO462" s="153">
        <v>1.4694333014599956</v>
      </c>
    </row>
    <row r="463" spans="29:41">
      <c r="AC463" s="153" t="s">
        <v>52</v>
      </c>
      <c r="AD463" s="153" t="s">
        <v>17</v>
      </c>
      <c r="AE463" s="153" t="s">
        <v>72</v>
      </c>
      <c r="AF463" s="153" t="s">
        <v>51</v>
      </c>
      <c r="AG463" s="153" t="s">
        <v>574</v>
      </c>
      <c r="AH463" s="153">
        <v>4.51898400099134</v>
      </c>
      <c r="AJ463" s="153" t="s">
        <v>52</v>
      </c>
      <c r="AK463" s="153" t="s">
        <v>17</v>
      </c>
      <c r="AL463" s="153" t="s">
        <v>28</v>
      </c>
      <c r="AM463" s="153" t="s">
        <v>51</v>
      </c>
      <c r="AN463" s="153" t="s">
        <v>562</v>
      </c>
      <c r="AO463" s="153">
        <v>1.4428585783904082</v>
      </c>
    </row>
    <row r="464" spans="29:41">
      <c r="AC464" s="153" t="s">
        <v>52</v>
      </c>
      <c r="AD464" s="153" t="s">
        <v>17</v>
      </c>
      <c r="AE464" s="153" t="s">
        <v>72</v>
      </c>
      <c r="AF464" s="153" t="s">
        <v>51</v>
      </c>
      <c r="AG464" s="153" t="s">
        <v>575</v>
      </c>
      <c r="AH464" s="153">
        <v>4.6625406011926644</v>
      </c>
      <c r="AJ464" s="153" t="s">
        <v>52</v>
      </c>
      <c r="AK464" s="153" t="s">
        <v>17</v>
      </c>
      <c r="AL464" s="153" t="s">
        <v>28</v>
      </c>
      <c r="AM464" s="153" t="s">
        <v>51</v>
      </c>
      <c r="AN464" s="153" t="s">
        <v>563</v>
      </c>
      <c r="AO464" s="153">
        <v>1.5082143391409675</v>
      </c>
    </row>
    <row r="465" spans="29:41">
      <c r="AC465" s="153" t="s">
        <v>52</v>
      </c>
      <c r="AD465" s="153" t="s">
        <v>17</v>
      </c>
      <c r="AE465" s="153" t="s">
        <v>72</v>
      </c>
      <c r="AF465" s="153" t="s">
        <v>51</v>
      </c>
      <c r="AG465" s="153" t="s">
        <v>576</v>
      </c>
      <c r="AH465" s="153">
        <v>4.5160999599325891</v>
      </c>
      <c r="AJ465" s="153" t="s">
        <v>52</v>
      </c>
      <c r="AK465" s="153" t="s">
        <v>17</v>
      </c>
      <c r="AL465" s="153" t="s">
        <v>28</v>
      </c>
      <c r="AM465" s="153" t="s">
        <v>51</v>
      </c>
      <c r="AN465" s="153" t="s">
        <v>564</v>
      </c>
      <c r="AO465" s="153">
        <v>1.5327325526044315</v>
      </c>
    </row>
    <row r="466" spans="29:41">
      <c r="AC466" s="153" t="s">
        <v>52</v>
      </c>
      <c r="AD466" s="153" t="s">
        <v>17</v>
      </c>
      <c r="AE466" s="153" t="s">
        <v>72</v>
      </c>
      <c r="AF466" s="153" t="s">
        <v>51</v>
      </c>
      <c r="AG466" s="153" t="s">
        <v>577</v>
      </c>
      <c r="AH466" s="153">
        <v>4.5593072875306691</v>
      </c>
      <c r="AJ466" s="153" t="s">
        <v>52</v>
      </c>
      <c r="AK466" s="153" t="s">
        <v>17</v>
      </c>
      <c r="AL466" s="153" t="s">
        <v>28</v>
      </c>
      <c r="AM466" s="153" t="s">
        <v>51</v>
      </c>
      <c r="AN466" s="153" t="s">
        <v>565</v>
      </c>
      <c r="AO466" s="153">
        <v>1.4641722822710617</v>
      </c>
    </row>
    <row r="467" spans="29:41">
      <c r="AC467" s="153" t="s">
        <v>52</v>
      </c>
      <c r="AD467" s="153" t="s">
        <v>17</v>
      </c>
      <c r="AE467" s="153" t="s">
        <v>72</v>
      </c>
      <c r="AF467" s="153" t="s">
        <v>51</v>
      </c>
      <c r="AG467" s="153" t="s">
        <v>578</v>
      </c>
      <c r="AH467" s="153">
        <v>4.7461976057644284</v>
      </c>
      <c r="AJ467" s="153" t="s">
        <v>52</v>
      </c>
      <c r="AK467" s="153" t="s">
        <v>17</v>
      </c>
      <c r="AL467" s="153" t="s">
        <v>28</v>
      </c>
      <c r="AM467" s="153" t="s">
        <v>51</v>
      </c>
      <c r="AN467" s="153" t="s">
        <v>566</v>
      </c>
      <c r="AO467" s="153">
        <v>1.4701290253534263</v>
      </c>
    </row>
    <row r="468" spans="29:41">
      <c r="AC468" s="153" t="s">
        <v>52</v>
      </c>
      <c r="AD468" s="153" t="s">
        <v>17</v>
      </c>
      <c r="AE468" s="153" t="s">
        <v>72</v>
      </c>
      <c r="AF468" s="153" t="s">
        <v>51</v>
      </c>
      <c r="AG468" s="153" t="s">
        <v>579</v>
      </c>
      <c r="AH468" s="153">
        <v>4.8313287829191687</v>
      </c>
      <c r="AJ468" s="153" t="s">
        <v>52</v>
      </c>
      <c r="AK468" s="153" t="s">
        <v>17</v>
      </c>
      <c r="AL468" s="153" t="s">
        <v>28</v>
      </c>
      <c r="AM468" s="153" t="s">
        <v>51</v>
      </c>
      <c r="AN468" s="153" t="s">
        <v>567</v>
      </c>
      <c r="AO468" s="153">
        <v>1.39751249244281</v>
      </c>
    </row>
    <row r="469" spans="29:41">
      <c r="AC469" s="153" t="s">
        <v>52</v>
      </c>
      <c r="AD469" s="153" t="s">
        <v>17</v>
      </c>
      <c r="AE469" s="153" t="s">
        <v>72</v>
      </c>
      <c r="AF469" s="153" t="s">
        <v>51</v>
      </c>
      <c r="AG469" s="153" t="s">
        <v>580</v>
      </c>
      <c r="AH469" s="153">
        <v>4.7291177700692373</v>
      </c>
      <c r="AJ469" s="153" t="s">
        <v>52</v>
      </c>
      <c r="AK469" s="153" t="s">
        <v>17</v>
      </c>
      <c r="AL469" s="153" t="s">
        <v>28</v>
      </c>
      <c r="AM469" s="153" t="s">
        <v>51</v>
      </c>
      <c r="AN469" s="153" t="s">
        <v>568</v>
      </c>
      <c r="AO469" s="153">
        <v>1.3573978053845996</v>
      </c>
    </row>
    <row r="470" spans="29:41">
      <c r="AC470" s="153" t="s">
        <v>52</v>
      </c>
      <c r="AD470" s="153" t="s">
        <v>17</v>
      </c>
      <c r="AE470" s="153" t="s">
        <v>72</v>
      </c>
      <c r="AF470" s="153" t="s">
        <v>51</v>
      </c>
      <c r="AG470" s="153" t="s">
        <v>581</v>
      </c>
      <c r="AH470" s="153">
        <v>4.7637575560043235</v>
      </c>
      <c r="AJ470" s="153" t="s">
        <v>52</v>
      </c>
      <c r="AK470" s="153" t="s">
        <v>17</v>
      </c>
      <c r="AL470" s="153" t="s">
        <v>28</v>
      </c>
      <c r="AM470" s="153" t="s">
        <v>51</v>
      </c>
      <c r="AN470" s="153" t="s">
        <v>569</v>
      </c>
      <c r="AO470" s="153">
        <v>1.3372256157033684</v>
      </c>
    </row>
    <row r="471" spans="29:41">
      <c r="AC471" s="153" t="s">
        <v>52</v>
      </c>
      <c r="AD471" s="153" t="s">
        <v>17</v>
      </c>
      <c r="AE471" s="153" t="s">
        <v>72</v>
      </c>
      <c r="AF471" s="153" t="s">
        <v>51</v>
      </c>
      <c r="AG471" s="153" t="s">
        <v>582</v>
      </c>
      <c r="AH471" s="153">
        <v>4.7888189466821647</v>
      </c>
      <c r="AJ471" s="153" t="s">
        <v>52</v>
      </c>
      <c r="AK471" s="153" t="s">
        <v>17</v>
      </c>
      <c r="AL471" s="153" t="s">
        <v>28</v>
      </c>
      <c r="AM471" s="153" t="s">
        <v>51</v>
      </c>
      <c r="AN471" s="153" t="s">
        <v>570</v>
      </c>
      <c r="AO471" s="153">
        <v>1.3372335645530076</v>
      </c>
    </row>
    <row r="472" spans="29:41">
      <c r="AC472" s="153" t="s">
        <v>52</v>
      </c>
      <c r="AD472" s="153" t="s">
        <v>17</v>
      </c>
      <c r="AE472" s="153" t="s">
        <v>72</v>
      </c>
      <c r="AF472" s="153" t="s">
        <v>51</v>
      </c>
      <c r="AG472" s="153" t="s">
        <v>583</v>
      </c>
      <c r="AH472" s="153">
        <v>4.8934755687761582</v>
      </c>
      <c r="AJ472" s="153" t="s">
        <v>52</v>
      </c>
      <c r="AK472" s="153" t="s">
        <v>17</v>
      </c>
      <c r="AL472" s="153" t="s">
        <v>28</v>
      </c>
      <c r="AM472" s="153" t="s">
        <v>51</v>
      </c>
      <c r="AN472" s="153" t="s">
        <v>571</v>
      </c>
      <c r="AO472" s="153">
        <v>1.5003642833910562</v>
      </c>
    </row>
    <row r="473" spans="29:41">
      <c r="AC473" s="153" t="s">
        <v>52</v>
      </c>
      <c r="AD473" s="153" t="s">
        <v>17</v>
      </c>
      <c r="AE473" s="153" t="s">
        <v>72</v>
      </c>
      <c r="AF473" s="153" t="s">
        <v>51</v>
      </c>
      <c r="AG473" s="153" t="s">
        <v>584</v>
      </c>
      <c r="AH473" s="153">
        <v>4.8313287829191687</v>
      </c>
      <c r="AJ473" s="153" t="s">
        <v>52</v>
      </c>
      <c r="AK473" s="153" t="s">
        <v>17</v>
      </c>
      <c r="AL473" s="153" t="s">
        <v>28</v>
      </c>
      <c r="AM473" s="153" t="s">
        <v>51</v>
      </c>
      <c r="AN473" s="153" t="s">
        <v>572</v>
      </c>
      <c r="AO473" s="153">
        <v>1.5033690980052965</v>
      </c>
    </row>
    <row r="474" spans="29:41">
      <c r="AC474" s="153" t="s">
        <v>52</v>
      </c>
      <c r="AD474" s="153" t="s">
        <v>17</v>
      </c>
      <c r="AE474" s="153" t="s">
        <v>72</v>
      </c>
      <c r="AF474" s="153" t="s">
        <v>51</v>
      </c>
      <c r="AG474" s="153" t="s">
        <v>585</v>
      </c>
      <c r="AH474" s="153">
        <v>4.8115047133634281</v>
      </c>
      <c r="AJ474" s="153" t="s">
        <v>52</v>
      </c>
      <c r="AK474" s="153" t="s">
        <v>17</v>
      </c>
      <c r="AL474" s="153" t="s">
        <v>28</v>
      </c>
      <c r="AM474" s="153" t="s">
        <v>51</v>
      </c>
      <c r="AN474" s="153" t="s">
        <v>573</v>
      </c>
      <c r="AO474" s="153">
        <v>1.491831752916345</v>
      </c>
    </row>
    <row r="475" spans="29:41">
      <c r="AC475" s="153" t="s">
        <v>52</v>
      </c>
      <c r="AD475" s="153" t="s">
        <v>17</v>
      </c>
      <c r="AE475" s="153" t="s">
        <v>72</v>
      </c>
      <c r="AF475" s="153" t="s">
        <v>51</v>
      </c>
      <c r="AG475" s="153" t="s">
        <v>586</v>
      </c>
      <c r="AH475" s="153">
        <v>4.8737274617559763</v>
      </c>
      <c r="AJ475" s="153" t="s">
        <v>52</v>
      </c>
      <c r="AK475" s="153" t="s">
        <v>17</v>
      </c>
      <c r="AL475" s="153" t="s">
        <v>28</v>
      </c>
      <c r="AM475" s="153" t="s">
        <v>51</v>
      </c>
      <c r="AN475" s="153" t="s">
        <v>574</v>
      </c>
      <c r="AO475" s="153">
        <v>1.4699371157430399</v>
      </c>
    </row>
    <row r="476" spans="29:41">
      <c r="AC476" s="153" t="s">
        <v>52</v>
      </c>
      <c r="AD476" s="153" t="s">
        <v>17</v>
      </c>
      <c r="AE476" s="153" t="s">
        <v>72</v>
      </c>
      <c r="AF476" s="153" t="s">
        <v>51</v>
      </c>
      <c r="AG476" s="153" t="s">
        <v>587</v>
      </c>
      <c r="AH476" s="153">
        <v>4.8058362422642036</v>
      </c>
      <c r="AJ476" s="153" t="s">
        <v>52</v>
      </c>
      <c r="AK476" s="153" t="s">
        <v>17</v>
      </c>
      <c r="AL476" s="153" t="s">
        <v>28</v>
      </c>
      <c r="AM476" s="153" t="s">
        <v>51</v>
      </c>
      <c r="AN476" s="153" t="s">
        <v>575</v>
      </c>
      <c r="AO476" s="153">
        <v>1.5803635881977949</v>
      </c>
    </row>
    <row r="477" spans="29:41">
      <c r="AC477" s="153" t="s">
        <v>52</v>
      </c>
      <c r="AD477" s="153" t="s">
        <v>17</v>
      </c>
      <c r="AE477" s="153" t="s">
        <v>72</v>
      </c>
      <c r="AF477" s="153" t="s">
        <v>51</v>
      </c>
      <c r="AG477" s="153" t="s">
        <v>588</v>
      </c>
      <c r="AH477" s="153">
        <v>4.8143382067331446</v>
      </c>
      <c r="AJ477" s="153" t="s">
        <v>52</v>
      </c>
      <c r="AK477" s="153" t="s">
        <v>17</v>
      </c>
      <c r="AL477" s="153" t="s">
        <v>28</v>
      </c>
      <c r="AM477" s="153" t="s">
        <v>51</v>
      </c>
      <c r="AN477" s="153" t="s">
        <v>576</v>
      </c>
      <c r="AO477" s="153">
        <v>1.4782622776718288</v>
      </c>
    </row>
    <row r="478" spans="29:41">
      <c r="AC478" s="153" t="s">
        <v>52</v>
      </c>
      <c r="AD478" s="153" t="s">
        <v>17</v>
      </c>
      <c r="AE478" s="153" t="s">
        <v>72</v>
      </c>
      <c r="AF478" s="153" t="s">
        <v>51</v>
      </c>
      <c r="AG478" s="153" t="s">
        <v>589</v>
      </c>
      <c r="AH478" s="153">
        <v>4.7661014631344658</v>
      </c>
      <c r="AJ478" s="153" t="s">
        <v>52</v>
      </c>
      <c r="AK478" s="153" t="s">
        <v>17</v>
      </c>
      <c r="AL478" s="153" t="s">
        <v>28</v>
      </c>
      <c r="AM478" s="153" t="s">
        <v>51</v>
      </c>
      <c r="AN478" s="153" t="s">
        <v>577</v>
      </c>
      <c r="AO478" s="153">
        <v>1.4362607996317289</v>
      </c>
    </row>
    <row r="479" spans="29:41">
      <c r="AC479" s="153" t="s">
        <v>52</v>
      </c>
      <c r="AD479" s="153" t="s">
        <v>17</v>
      </c>
      <c r="AE479" s="153" t="s">
        <v>72</v>
      </c>
      <c r="AF479" s="153" t="s">
        <v>51</v>
      </c>
      <c r="AG479" s="153" t="s">
        <v>590</v>
      </c>
      <c r="AH479" s="153">
        <v>4.7803036100067127</v>
      </c>
      <c r="AJ479" s="153" t="s">
        <v>52</v>
      </c>
      <c r="AK479" s="153" t="s">
        <v>17</v>
      </c>
      <c r="AL479" s="153" t="s">
        <v>28</v>
      </c>
      <c r="AM479" s="153" t="s">
        <v>51</v>
      </c>
      <c r="AN479" s="153" t="s">
        <v>578</v>
      </c>
      <c r="AO479" s="153">
        <v>1.5600906711402482</v>
      </c>
    </row>
    <row r="480" spans="29:41">
      <c r="AC480" s="153" t="s">
        <v>52</v>
      </c>
      <c r="AD480" s="153" t="s">
        <v>17</v>
      </c>
      <c r="AE480" s="153" t="s">
        <v>72</v>
      </c>
      <c r="AF480" s="153" t="s">
        <v>51</v>
      </c>
      <c r="AG480" s="153" t="s">
        <v>591</v>
      </c>
      <c r="AH480" s="153">
        <v>4.641114665991215</v>
      </c>
      <c r="AJ480" s="153" t="s">
        <v>52</v>
      </c>
      <c r="AK480" s="153" t="s">
        <v>17</v>
      </c>
      <c r="AL480" s="153" t="s">
        <v>28</v>
      </c>
      <c r="AM480" s="153" t="s">
        <v>51</v>
      </c>
      <c r="AN480" s="153" t="s">
        <v>579</v>
      </c>
      <c r="AO480" s="153">
        <v>1.6477619560961081</v>
      </c>
    </row>
    <row r="481" spans="29:41">
      <c r="AC481" s="153" t="s">
        <v>52</v>
      </c>
      <c r="AD481" s="153" t="s">
        <v>17</v>
      </c>
      <c r="AE481" s="153" t="s">
        <v>72</v>
      </c>
      <c r="AF481" s="153" t="s">
        <v>51</v>
      </c>
      <c r="AG481" s="153" t="s">
        <v>592</v>
      </c>
      <c r="AH481" s="153">
        <v>4.6081378479045014</v>
      </c>
      <c r="AJ481" s="153" t="s">
        <v>52</v>
      </c>
      <c r="AK481" s="153" t="s">
        <v>17</v>
      </c>
      <c r="AL481" s="153" t="s">
        <v>28</v>
      </c>
      <c r="AM481" s="153" t="s">
        <v>51</v>
      </c>
      <c r="AN481" s="153" t="s">
        <v>580</v>
      </c>
      <c r="AO481" s="153">
        <v>1.6157505211981769</v>
      </c>
    </row>
    <row r="482" spans="29:41">
      <c r="AC482" s="153" t="s">
        <v>52</v>
      </c>
      <c r="AD482" s="153" t="s">
        <v>17</v>
      </c>
      <c r="AE482" s="153" t="s">
        <v>72</v>
      </c>
      <c r="AF482" s="153" t="s">
        <v>51</v>
      </c>
      <c r="AG482" s="153" t="s">
        <v>593</v>
      </c>
      <c r="AH482" s="153">
        <v>4.6224719964520613</v>
      </c>
      <c r="AJ482" s="153" t="s">
        <v>52</v>
      </c>
      <c r="AK482" s="153" t="s">
        <v>17</v>
      </c>
      <c r="AL482" s="153" t="s">
        <v>28</v>
      </c>
      <c r="AM482" s="153" t="s">
        <v>51</v>
      </c>
      <c r="AN482" s="153" t="s">
        <v>581</v>
      </c>
      <c r="AO482" s="153">
        <v>1.5808442616224536</v>
      </c>
    </row>
    <row r="483" spans="29:41">
      <c r="AC483" s="153" t="s">
        <v>52</v>
      </c>
      <c r="AD483" s="153" t="s">
        <v>17</v>
      </c>
      <c r="AE483" s="153" t="s">
        <v>72</v>
      </c>
      <c r="AF483" s="153" t="s">
        <v>51</v>
      </c>
      <c r="AG483" s="153" t="s">
        <v>594</v>
      </c>
      <c r="AH483" s="153">
        <v>4.6640020090797556</v>
      </c>
      <c r="AJ483" s="153" t="s">
        <v>52</v>
      </c>
      <c r="AK483" s="153" t="s">
        <v>17</v>
      </c>
      <c r="AL483" s="153" t="s">
        <v>28</v>
      </c>
      <c r="AM483" s="153" t="s">
        <v>51</v>
      </c>
      <c r="AN483" s="153" t="s">
        <v>582</v>
      </c>
      <c r="AO483" s="153">
        <v>1.5565240131214049</v>
      </c>
    </row>
    <row r="484" spans="29:41">
      <c r="AC484" s="153" t="s">
        <v>52</v>
      </c>
      <c r="AD484" s="153" t="s">
        <v>17</v>
      </c>
      <c r="AE484" s="153" t="s">
        <v>72</v>
      </c>
      <c r="AF484" s="153" t="s">
        <v>51</v>
      </c>
      <c r="AG484" s="153" t="s">
        <v>595</v>
      </c>
      <c r="AH484" s="153">
        <v>4.7467000313236047</v>
      </c>
      <c r="AJ484" s="153" t="s">
        <v>52</v>
      </c>
      <c r="AK484" s="153" t="s">
        <v>17</v>
      </c>
      <c r="AL484" s="153" t="s">
        <v>28</v>
      </c>
      <c r="AM484" s="153" t="s">
        <v>51</v>
      </c>
      <c r="AN484" s="153" t="s">
        <v>583</v>
      </c>
      <c r="AO484" s="153">
        <v>1.675426691299168</v>
      </c>
    </row>
    <row r="485" spans="29:41">
      <c r="AC485" s="153" t="s">
        <v>52</v>
      </c>
      <c r="AD485" s="153" t="s">
        <v>17</v>
      </c>
      <c r="AE485" s="153" t="s">
        <v>72</v>
      </c>
      <c r="AF485" s="153" t="s">
        <v>51</v>
      </c>
      <c r="AG485" s="153" t="s">
        <v>596</v>
      </c>
      <c r="AH485" s="153">
        <v>4.7296245658857412</v>
      </c>
      <c r="AJ485" s="153" t="s">
        <v>52</v>
      </c>
      <c r="AK485" s="153" t="s">
        <v>17</v>
      </c>
      <c r="AL485" s="153" t="s">
        <v>28</v>
      </c>
      <c r="AM485" s="153" t="s">
        <v>51</v>
      </c>
      <c r="AN485" s="153" t="s">
        <v>584</v>
      </c>
      <c r="AO485" s="153">
        <v>1.6405661020240783</v>
      </c>
    </row>
    <row r="486" spans="29:41">
      <c r="AC486" s="153" t="s">
        <v>52</v>
      </c>
      <c r="AD486" s="153" t="s">
        <v>17</v>
      </c>
      <c r="AE486" s="153" t="s">
        <v>72</v>
      </c>
      <c r="AF486" s="153" t="s">
        <v>51</v>
      </c>
      <c r="AG486" s="153" t="s">
        <v>597</v>
      </c>
      <c r="AH486" s="153">
        <v>4.5650596465316067</v>
      </c>
      <c r="AJ486" s="153" t="s">
        <v>52</v>
      </c>
      <c r="AK486" s="153" t="s">
        <v>17</v>
      </c>
      <c r="AL486" s="153" t="s">
        <v>28</v>
      </c>
      <c r="AM486" s="153" t="s">
        <v>51</v>
      </c>
      <c r="AN486" s="153" t="s">
        <v>585</v>
      </c>
      <c r="AO486" s="153">
        <v>1.627402901528608</v>
      </c>
    </row>
    <row r="487" spans="29:41">
      <c r="AC487" s="153" t="s">
        <v>52</v>
      </c>
      <c r="AD487" s="153" t="s">
        <v>17</v>
      </c>
      <c r="AE487" s="153" t="s">
        <v>72</v>
      </c>
      <c r="AF487" s="153" t="s">
        <v>51</v>
      </c>
      <c r="AG487" s="153" t="s">
        <v>598</v>
      </c>
      <c r="AH487" s="153">
        <v>4.5535529025989323</v>
      </c>
      <c r="AJ487" s="153" t="s">
        <v>52</v>
      </c>
      <c r="AK487" s="153" t="s">
        <v>17</v>
      </c>
      <c r="AL487" s="153" t="s">
        <v>28</v>
      </c>
      <c r="AM487" s="153" t="s">
        <v>51</v>
      </c>
      <c r="AN487" s="153" t="s">
        <v>586</v>
      </c>
      <c r="AO487" s="153">
        <v>1.7088815038952063</v>
      </c>
    </row>
    <row r="488" spans="29:41">
      <c r="AC488" s="153" t="s">
        <v>52</v>
      </c>
      <c r="AD488" s="153" t="s">
        <v>17</v>
      </c>
      <c r="AE488" s="153" t="s">
        <v>72</v>
      </c>
      <c r="AF488" s="153" t="s">
        <v>51</v>
      </c>
      <c r="AG488" s="153" t="s">
        <v>599</v>
      </c>
      <c r="AH488" s="153">
        <v>4.6167398502484591</v>
      </c>
      <c r="AJ488" s="153" t="s">
        <v>52</v>
      </c>
      <c r="AK488" s="153" t="s">
        <v>17</v>
      </c>
      <c r="AL488" s="153" t="s">
        <v>28</v>
      </c>
      <c r="AM488" s="153" t="s">
        <v>51</v>
      </c>
      <c r="AN488" s="153" t="s">
        <v>587</v>
      </c>
      <c r="AO488" s="153">
        <v>1.6166612512169338</v>
      </c>
    </row>
    <row r="489" spans="29:41">
      <c r="AC489" s="153" t="s">
        <v>52</v>
      </c>
      <c r="AD489" s="153" t="s">
        <v>17</v>
      </c>
      <c r="AE489" s="153" t="s">
        <v>72</v>
      </c>
      <c r="AF489" s="153" t="s">
        <v>51</v>
      </c>
      <c r="AG489" s="153" t="s">
        <v>600</v>
      </c>
      <c r="AH489" s="153">
        <v>4.5011061529054421</v>
      </c>
      <c r="AJ489" s="153" t="s">
        <v>52</v>
      </c>
      <c r="AK489" s="153" t="s">
        <v>17</v>
      </c>
      <c r="AL489" s="153" t="s">
        <v>28</v>
      </c>
      <c r="AM489" s="153" t="s">
        <v>51</v>
      </c>
      <c r="AN489" s="153" t="s">
        <v>588</v>
      </c>
      <c r="AO489" s="153">
        <v>1.6391133594787146</v>
      </c>
    </row>
    <row r="490" spans="29:41">
      <c r="AC490" s="153" t="s">
        <v>52</v>
      </c>
      <c r="AD490" s="153" t="s">
        <v>17</v>
      </c>
      <c r="AE490" s="153" t="s">
        <v>72</v>
      </c>
      <c r="AF490" s="153" t="s">
        <v>51</v>
      </c>
      <c r="AG490" s="153" t="s">
        <v>601</v>
      </c>
      <c r="AH490" s="153">
        <v>4.4895567814149242</v>
      </c>
      <c r="AJ490" s="153" t="s">
        <v>52</v>
      </c>
      <c r="AK490" s="153" t="s">
        <v>17</v>
      </c>
      <c r="AL490" s="153" t="s">
        <v>28</v>
      </c>
      <c r="AM490" s="153" t="s">
        <v>51</v>
      </c>
      <c r="AN490" s="153" t="s">
        <v>589</v>
      </c>
      <c r="AO490" s="153">
        <v>1.5724005583008662</v>
      </c>
    </row>
    <row r="491" spans="29:41">
      <c r="AC491" s="153" t="s">
        <v>52</v>
      </c>
      <c r="AD491" s="153" t="s">
        <v>17</v>
      </c>
      <c r="AE491" s="153" t="s">
        <v>72</v>
      </c>
      <c r="AF491" s="153" t="s">
        <v>51</v>
      </c>
      <c r="AG491" s="153" t="s">
        <v>602</v>
      </c>
      <c r="AH491" s="153">
        <v>4.3561504016631858</v>
      </c>
      <c r="AJ491" s="153" t="s">
        <v>52</v>
      </c>
      <c r="AK491" s="153" t="s">
        <v>17</v>
      </c>
      <c r="AL491" s="153" t="s">
        <v>28</v>
      </c>
      <c r="AM491" s="153" t="s">
        <v>51</v>
      </c>
      <c r="AN491" s="153" t="s">
        <v>590</v>
      </c>
      <c r="AO491" s="153">
        <v>1.6546653903688626</v>
      </c>
    </row>
    <row r="492" spans="29:41">
      <c r="AC492" s="153" t="s">
        <v>52</v>
      </c>
      <c r="AD492" s="153" t="s">
        <v>17</v>
      </c>
      <c r="AE492" s="153" t="s">
        <v>72</v>
      </c>
      <c r="AF492" s="153" t="s">
        <v>51</v>
      </c>
      <c r="AG492" s="153" t="s">
        <v>603</v>
      </c>
      <c r="AH492" s="153">
        <v>4.4055792172463795</v>
      </c>
      <c r="AJ492" s="153" t="s">
        <v>52</v>
      </c>
      <c r="AK492" s="153" t="s">
        <v>17</v>
      </c>
      <c r="AL492" s="153" t="s">
        <v>28</v>
      </c>
      <c r="AM492" s="153" t="s">
        <v>51</v>
      </c>
      <c r="AN492" s="153" t="s">
        <v>591</v>
      </c>
      <c r="AO492" s="153">
        <v>1.5296663212596953</v>
      </c>
    </row>
    <row r="493" spans="29:41">
      <c r="AC493" s="153" t="s">
        <v>52</v>
      </c>
      <c r="AD493" s="153" t="s">
        <v>17</v>
      </c>
      <c r="AE493" s="153" t="s">
        <v>72</v>
      </c>
      <c r="AF493" s="153" t="s">
        <v>51</v>
      </c>
      <c r="AG493" s="153" t="s">
        <v>604</v>
      </c>
      <c r="AH493" s="153">
        <v>4.4606476144770362</v>
      </c>
      <c r="AJ493" s="153" t="s">
        <v>52</v>
      </c>
      <c r="AK493" s="153" t="s">
        <v>17</v>
      </c>
      <c r="AL493" s="153" t="s">
        <v>28</v>
      </c>
      <c r="AM493" s="153" t="s">
        <v>51</v>
      </c>
      <c r="AN493" s="153" t="s">
        <v>592</v>
      </c>
      <c r="AO493" s="153">
        <v>1.5466842909494218</v>
      </c>
    </row>
    <row r="494" spans="29:41">
      <c r="AC494" s="153" t="s">
        <v>52</v>
      </c>
      <c r="AD494" s="153" t="s">
        <v>17</v>
      </c>
      <c r="AE494" s="153" t="s">
        <v>72</v>
      </c>
      <c r="AF494" s="153" t="s">
        <v>51</v>
      </c>
      <c r="AG494" s="153" t="s">
        <v>605</v>
      </c>
      <c r="AH494" s="153">
        <v>4.5132154108004903</v>
      </c>
      <c r="AJ494" s="153" t="s">
        <v>52</v>
      </c>
      <c r="AK494" s="153" t="s">
        <v>17</v>
      </c>
      <c r="AL494" s="153" t="s">
        <v>28</v>
      </c>
      <c r="AM494" s="153" t="s">
        <v>51</v>
      </c>
      <c r="AN494" s="153" t="s">
        <v>593</v>
      </c>
      <c r="AO494" s="153">
        <v>1.4957765937274012</v>
      </c>
    </row>
    <row r="495" spans="29:41">
      <c r="AC495" s="153" t="s">
        <v>52</v>
      </c>
      <c r="AD495" s="153" t="s">
        <v>17</v>
      </c>
      <c r="AE495" s="153" t="s">
        <v>72</v>
      </c>
      <c r="AF495" s="153" t="s">
        <v>51</v>
      </c>
      <c r="AG495" s="153" t="s">
        <v>606</v>
      </c>
      <c r="AH495" s="153">
        <v>4.4843419520413725</v>
      </c>
      <c r="AJ495" s="153" t="s">
        <v>52</v>
      </c>
      <c r="AK495" s="153" t="s">
        <v>17</v>
      </c>
      <c r="AL495" s="153" t="s">
        <v>28</v>
      </c>
      <c r="AM495" s="153" t="s">
        <v>51</v>
      </c>
      <c r="AN495" s="153" t="s">
        <v>594</v>
      </c>
      <c r="AO495" s="153">
        <v>1.5181274608901154</v>
      </c>
    </row>
    <row r="496" spans="29:41">
      <c r="AC496" s="153" t="s">
        <v>52</v>
      </c>
      <c r="AD496" s="153" t="s">
        <v>17</v>
      </c>
      <c r="AE496" s="153" t="s">
        <v>72</v>
      </c>
      <c r="AF496" s="153" t="s">
        <v>51</v>
      </c>
      <c r="AG496" s="153" t="s">
        <v>607</v>
      </c>
      <c r="AH496" s="153">
        <v>4.5362775837453722</v>
      </c>
      <c r="AJ496" s="153" t="s">
        <v>52</v>
      </c>
      <c r="AK496" s="153" t="s">
        <v>17</v>
      </c>
      <c r="AL496" s="153" t="s">
        <v>28</v>
      </c>
      <c r="AM496" s="153" t="s">
        <v>51</v>
      </c>
      <c r="AN496" s="153" t="s">
        <v>595</v>
      </c>
      <c r="AO496" s="153">
        <v>1.5704343249663042</v>
      </c>
    </row>
    <row r="497" spans="29:41">
      <c r="AC497" s="153" t="s">
        <v>52</v>
      </c>
      <c r="AD497" s="153" t="s">
        <v>17</v>
      </c>
      <c r="AE497" s="153" t="s">
        <v>72</v>
      </c>
      <c r="AF497" s="153" t="s">
        <v>51</v>
      </c>
      <c r="AG497" s="153" t="s">
        <v>608</v>
      </c>
      <c r="AH497" s="153">
        <v>4.6697188289968921</v>
      </c>
      <c r="AJ497" s="153" t="s">
        <v>52</v>
      </c>
      <c r="AK497" s="153" t="s">
        <v>17</v>
      </c>
      <c r="AL497" s="153" t="s">
        <v>28</v>
      </c>
      <c r="AM497" s="153" t="s">
        <v>51</v>
      </c>
      <c r="AN497" s="153" t="s">
        <v>596</v>
      </c>
      <c r="AO497" s="153">
        <v>1.5131547274617316</v>
      </c>
    </row>
    <row r="498" spans="29:41">
      <c r="AC498" s="153" t="s">
        <v>52</v>
      </c>
      <c r="AD498" s="153" t="s">
        <v>17</v>
      </c>
      <c r="AE498" s="153" t="s">
        <v>72</v>
      </c>
      <c r="AF498" s="153" t="s">
        <v>51</v>
      </c>
      <c r="AG498" s="153" t="s">
        <v>609</v>
      </c>
      <c r="AH498" s="153">
        <v>4.6382514892441318</v>
      </c>
      <c r="AJ498" s="153" t="s">
        <v>52</v>
      </c>
      <c r="AK498" s="153" t="s">
        <v>17</v>
      </c>
      <c r="AL498" s="153" t="s">
        <v>28</v>
      </c>
      <c r="AM498" s="153" t="s">
        <v>51</v>
      </c>
      <c r="AN498" s="153" t="s">
        <v>597</v>
      </c>
      <c r="AO498" s="153">
        <v>1.3999251196442464</v>
      </c>
    </row>
    <row r="499" spans="29:41">
      <c r="AC499" s="153" t="s">
        <v>52</v>
      </c>
      <c r="AD499" s="153" t="s">
        <v>17</v>
      </c>
      <c r="AE499" s="153" t="s">
        <v>72</v>
      </c>
      <c r="AF499" s="153" t="s">
        <v>51</v>
      </c>
      <c r="AG499" s="153" t="s">
        <v>610</v>
      </c>
      <c r="AH499" s="153">
        <v>4.7296245658857412</v>
      </c>
      <c r="AJ499" s="153" t="s">
        <v>52</v>
      </c>
      <c r="AK499" s="153" t="s">
        <v>17</v>
      </c>
      <c r="AL499" s="153" t="s">
        <v>28</v>
      </c>
      <c r="AM499" s="153" t="s">
        <v>51</v>
      </c>
      <c r="AN499" s="153" t="s">
        <v>598</v>
      </c>
      <c r="AO499" s="153">
        <v>1.4121765925473928</v>
      </c>
    </row>
    <row r="500" spans="29:41">
      <c r="AC500" s="153" t="s">
        <v>52</v>
      </c>
      <c r="AD500" s="153" t="s">
        <v>17</v>
      </c>
      <c r="AE500" s="153" t="s">
        <v>72</v>
      </c>
      <c r="AF500" s="153" t="s">
        <v>51</v>
      </c>
      <c r="AG500" s="153" t="s">
        <v>611</v>
      </c>
      <c r="AH500" s="153">
        <v>4.7467000313236047</v>
      </c>
      <c r="AJ500" s="153" t="s">
        <v>52</v>
      </c>
      <c r="AK500" s="153" t="s">
        <v>17</v>
      </c>
      <c r="AL500" s="153" t="s">
        <v>28</v>
      </c>
      <c r="AM500" s="153" t="s">
        <v>51</v>
      </c>
      <c r="AN500" s="153" t="s">
        <v>599</v>
      </c>
      <c r="AO500" s="153">
        <v>1.4606296528041998</v>
      </c>
    </row>
    <row r="501" spans="29:41">
      <c r="AC501" s="153" t="s">
        <v>52</v>
      </c>
      <c r="AD501" s="153" t="s">
        <v>17</v>
      </c>
      <c r="AE501" s="153" t="s">
        <v>72</v>
      </c>
      <c r="AF501" s="153" t="s">
        <v>51</v>
      </c>
      <c r="AG501" s="153" t="s">
        <v>612</v>
      </c>
      <c r="AH501" s="153">
        <v>4.7296245658857412</v>
      </c>
      <c r="AJ501" s="153" t="s">
        <v>52</v>
      </c>
      <c r="AK501" s="153" t="s">
        <v>17</v>
      </c>
      <c r="AL501" s="153" t="s">
        <v>28</v>
      </c>
      <c r="AM501" s="153" t="s">
        <v>51</v>
      </c>
      <c r="AN501" s="153" t="s">
        <v>600</v>
      </c>
      <c r="AO501" s="153">
        <v>1.3480286198091822</v>
      </c>
    </row>
    <row r="502" spans="29:41">
      <c r="AC502" s="153" t="s">
        <v>52</v>
      </c>
      <c r="AD502" s="153" t="s">
        <v>17</v>
      </c>
      <c r="AE502" s="153" t="s">
        <v>72</v>
      </c>
      <c r="AF502" s="153" t="s">
        <v>51</v>
      </c>
      <c r="AG502" s="153" t="s">
        <v>613</v>
      </c>
      <c r="AH502" s="153">
        <v>4.7632595449686468</v>
      </c>
      <c r="AJ502" s="153" t="s">
        <v>52</v>
      </c>
      <c r="AK502" s="153" t="s">
        <v>17</v>
      </c>
      <c r="AL502" s="153" t="s">
        <v>28</v>
      </c>
      <c r="AM502" s="153" t="s">
        <v>51</v>
      </c>
      <c r="AN502" s="153" t="s">
        <v>601</v>
      </c>
      <c r="AO502" s="153">
        <v>1.3695323199297238</v>
      </c>
    </row>
    <row r="503" spans="29:41">
      <c r="AC503" s="153" t="s">
        <v>52</v>
      </c>
      <c r="AD503" s="153" t="s">
        <v>17</v>
      </c>
      <c r="AE503" s="153" t="s">
        <v>72</v>
      </c>
      <c r="AF503" s="153" t="s">
        <v>51</v>
      </c>
      <c r="AG503" s="153" t="s">
        <v>614</v>
      </c>
      <c r="AH503" s="153">
        <v>4.82283571935921</v>
      </c>
      <c r="AJ503" s="153" t="s">
        <v>52</v>
      </c>
      <c r="AK503" s="153" t="s">
        <v>17</v>
      </c>
      <c r="AL503" s="153" t="s">
        <v>28</v>
      </c>
      <c r="AM503" s="153" t="s">
        <v>51</v>
      </c>
      <c r="AN503" s="153" t="s">
        <v>602</v>
      </c>
      <c r="AO503" s="153">
        <v>1.3082097105328854</v>
      </c>
    </row>
    <row r="504" spans="29:41">
      <c r="AC504" s="153" t="s">
        <v>52</v>
      </c>
      <c r="AD504" s="153" t="s">
        <v>17</v>
      </c>
      <c r="AE504" s="153" t="s">
        <v>72</v>
      </c>
      <c r="AF504" s="153" t="s">
        <v>51</v>
      </c>
      <c r="AG504" s="153" t="s">
        <v>615</v>
      </c>
      <c r="AH504" s="153">
        <v>4.7291177700692373</v>
      </c>
      <c r="AJ504" s="153" t="s">
        <v>52</v>
      </c>
      <c r="AK504" s="153" t="s">
        <v>17</v>
      </c>
      <c r="AL504" s="153" t="s">
        <v>28</v>
      </c>
      <c r="AM504" s="153" t="s">
        <v>51</v>
      </c>
      <c r="AN504" s="153" t="s">
        <v>603</v>
      </c>
      <c r="AO504" s="153">
        <v>1.29514596655613</v>
      </c>
    </row>
    <row r="505" spans="29:41">
      <c r="AC505" s="153" t="s">
        <v>52</v>
      </c>
      <c r="AD505" s="153" t="s">
        <v>17</v>
      </c>
      <c r="AE505" s="153" t="s">
        <v>72</v>
      </c>
      <c r="AF505" s="153" t="s">
        <v>51</v>
      </c>
      <c r="AG505" s="153" t="s">
        <v>616</v>
      </c>
      <c r="AH505" s="153">
        <v>4.5981142236570944</v>
      </c>
      <c r="AJ505" s="153" t="s">
        <v>52</v>
      </c>
      <c r="AK505" s="153" t="s">
        <v>17</v>
      </c>
      <c r="AL505" s="153" t="s">
        <v>28</v>
      </c>
      <c r="AM505" s="153" t="s">
        <v>51</v>
      </c>
      <c r="AN505" s="153" t="s">
        <v>604</v>
      </c>
      <c r="AO505" s="153">
        <v>1.3572184600929762</v>
      </c>
    </row>
    <row r="506" spans="29:41">
      <c r="AC506" s="153" t="s">
        <v>52</v>
      </c>
      <c r="AD506" s="153" t="s">
        <v>17</v>
      </c>
      <c r="AE506" s="153" t="s">
        <v>72</v>
      </c>
      <c r="AF506" s="153" t="s">
        <v>51</v>
      </c>
      <c r="AG506" s="153" t="s">
        <v>617</v>
      </c>
      <c r="AH506" s="153">
        <v>4.672576487151896</v>
      </c>
      <c r="AJ506" s="153" t="s">
        <v>52</v>
      </c>
      <c r="AK506" s="153" t="s">
        <v>17</v>
      </c>
      <c r="AL506" s="153" t="s">
        <v>28</v>
      </c>
      <c r="AM506" s="153" t="s">
        <v>51</v>
      </c>
      <c r="AN506" s="153" t="s">
        <v>605</v>
      </c>
      <c r="AO506" s="153">
        <v>1.3067951594597407</v>
      </c>
    </row>
    <row r="507" spans="29:41">
      <c r="AC507" s="153" t="s">
        <v>52</v>
      </c>
      <c r="AD507" s="153" t="s">
        <v>17</v>
      </c>
      <c r="AE507" s="153" t="s">
        <v>72</v>
      </c>
      <c r="AF507" s="153" t="s">
        <v>51</v>
      </c>
      <c r="AG507" s="153" t="s">
        <v>618</v>
      </c>
      <c r="AH507" s="153">
        <v>4.6554230186202066</v>
      </c>
      <c r="AJ507" s="153" t="s">
        <v>52</v>
      </c>
      <c r="AK507" s="153" t="s">
        <v>17</v>
      </c>
      <c r="AL507" s="153" t="s">
        <v>28</v>
      </c>
      <c r="AM507" s="153" t="s">
        <v>51</v>
      </c>
      <c r="AN507" s="153" t="s">
        <v>606</v>
      </c>
      <c r="AO507" s="153">
        <v>1.250066217934622</v>
      </c>
    </row>
    <row r="508" spans="29:41">
      <c r="AC508" s="153" t="s">
        <v>52</v>
      </c>
      <c r="AD508" s="153" t="s">
        <v>17</v>
      </c>
      <c r="AE508" s="153" t="s">
        <v>72</v>
      </c>
      <c r="AF508" s="153" t="s">
        <v>51</v>
      </c>
      <c r="AG508" s="153" t="s">
        <v>619</v>
      </c>
      <c r="AH508" s="153">
        <v>4.5895005442725276</v>
      </c>
      <c r="AJ508" s="153" t="s">
        <v>52</v>
      </c>
      <c r="AK508" s="153" t="s">
        <v>17</v>
      </c>
      <c r="AL508" s="153" t="s">
        <v>28</v>
      </c>
      <c r="AM508" s="153" t="s">
        <v>51</v>
      </c>
      <c r="AN508" s="153" t="s">
        <v>607</v>
      </c>
      <c r="AO508" s="153">
        <v>1.3042550474370029</v>
      </c>
    </row>
    <row r="509" spans="29:41">
      <c r="AC509" s="153" t="s">
        <v>52</v>
      </c>
      <c r="AD509" s="153" t="s">
        <v>17</v>
      </c>
      <c r="AE509" s="153" t="s">
        <v>72</v>
      </c>
      <c r="AF509" s="153" t="s">
        <v>51</v>
      </c>
      <c r="AG509" s="153" t="s">
        <v>620</v>
      </c>
      <c r="AH509" s="153">
        <v>4.4698861326727419</v>
      </c>
      <c r="AJ509" s="153" t="s">
        <v>52</v>
      </c>
      <c r="AK509" s="153" t="s">
        <v>17</v>
      </c>
      <c r="AL509" s="153" t="s">
        <v>28</v>
      </c>
      <c r="AM509" s="153" t="s">
        <v>51</v>
      </c>
      <c r="AN509" s="153" t="s">
        <v>608</v>
      </c>
      <c r="AO509" s="153">
        <v>1.4444841969796625</v>
      </c>
    </row>
    <row r="510" spans="29:41">
      <c r="AC510" s="153" t="s">
        <v>52</v>
      </c>
      <c r="AD510" s="153" t="s">
        <v>17</v>
      </c>
      <c r="AE510" s="153" t="s">
        <v>72</v>
      </c>
      <c r="AF510" s="153" t="s">
        <v>51</v>
      </c>
      <c r="AG510" s="153" t="s">
        <v>621</v>
      </c>
      <c r="AH510" s="153">
        <v>4.4808893946865291</v>
      </c>
      <c r="AJ510" s="153" t="s">
        <v>52</v>
      </c>
      <c r="AK510" s="153" t="s">
        <v>17</v>
      </c>
      <c r="AL510" s="153" t="s">
        <v>28</v>
      </c>
      <c r="AM510" s="153" t="s">
        <v>51</v>
      </c>
      <c r="AN510" s="153" t="s">
        <v>609</v>
      </c>
      <c r="AO510" s="153">
        <v>1.3950958872641417</v>
      </c>
    </row>
    <row r="511" spans="29:41">
      <c r="AC511" s="153" t="s">
        <v>52</v>
      </c>
      <c r="AD511" s="153" t="s">
        <v>17</v>
      </c>
      <c r="AE511" s="153" t="s">
        <v>72</v>
      </c>
      <c r="AF511" s="153" t="s">
        <v>51</v>
      </c>
      <c r="AG511" s="153" t="s">
        <v>622</v>
      </c>
      <c r="AH511" s="153">
        <v>4.4519648969237426</v>
      </c>
      <c r="AJ511" s="153" t="s">
        <v>52</v>
      </c>
      <c r="AK511" s="153" t="s">
        <v>17</v>
      </c>
      <c r="AL511" s="153" t="s">
        <v>28</v>
      </c>
      <c r="AM511" s="153" t="s">
        <v>51</v>
      </c>
      <c r="AN511" s="153" t="s">
        <v>610</v>
      </c>
      <c r="AO511" s="153">
        <v>1.4476493296255908</v>
      </c>
    </row>
    <row r="512" spans="29:41">
      <c r="AC512" s="153" t="s">
        <v>52</v>
      </c>
      <c r="AD512" s="153" t="s">
        <v>17</v>
      </c>
      <c r="AE512" s="153" t="s">
        <v>72</v>
      </c>
      <c r="AF512" s="153" t="s">
        <v>51</v>
      </c>
      <c r="AG512" s="153" t="s">
        <v>623</v>
      </c>
      <c r="AH512" s="153">
        <v>4.3244279887249375</v>
      </c>
      <c r="AJ512" s="153" t="s">
        <v>52</v>
      </c>
      <c r="AK512" s="153" t="s">
        <v>17</v>
      </c>
      <c r="AL512" s="153" t="s">
        <v>28</v>
      </c>
      <c r="AM512" s="153" t="s">
        <v>51</v>
      </c>
      <c r="AN512" s="153" t="s">
        <v>611</v>
      </c>
      <c r="AO512" s="153">
        <v>1.4060783640597243</v>
      </c>
    </row>
    <row r="513" spans="29:41">
      <c r="AC513" s="153" t="s">
        <v>52</v>
      </c>
      <c r="AD513" s="153" t="s">
        <v>17</v>
      </c>
      <c r="AE513" s="153" t="s">
        <v>72</v>
      </c>
      <c r="AF513" s="153" t="s">
        <v>51</v>
      </c>
      <c r="AG513" s="153" t="s">
        <v>624</v>
      </c>
      <c r="AH513" s="153">
        <v>4.3590620960775004</v>
      </c>
      <c r="AJ513" s="153" t="s">
        <v>52</v>
      </c>
      <c r="AK513" s="153" t="s">
        <v>17</v>
      </c>
      <c r="AL513" s="153" t="s">
        <v>28</v>
      </c>
      <c r="AM513" s="153" t="s">
        <v>51</v>
      </c>
      <c r="AN513" s="153" t="s">
        <v>612</v>
      </c>
      <c r="AO513" s="153">
        <v>1.4089320125728715</v>
      </c>
    </row>
    <row r="514" spans="29:41">
      <c r="AC514" s="153" t="s">
        <v>52</v>
      </c>
      <c r="AD514" s="153" t="s">
        <v>17</v>
      </c>
      <c r="AE514" s="153" t="s">
        <v>72</v>
      </c>
      <c r="AF514" s="153" t="s">
        <v>51</v>
      </c>
      <c r="AG514" s="153" t="s">
        <v>625</v>
      </c>
      <c r="AH514" s="153">
        <v>4.3415841982875039</v>
      </c>
      <c r="AJ514" s="153" t="s">
        <v>52</v>
      </c>
      <c r="AK514" s="153" t="s">
        <v>17</v>
      </c>
      <c r="AL514" s="153" t="s">
        <v>28</v>
      </c>
      <c r="AM514" s="153" t="s">
        <v>51</v>
      </c>
      <c r="AN514" s="153" t="s">
        <v>613</v>
      </c>
      <c r="AO514" s="153">
        <v>1.4087772051479068</v>
      </c>
    </row>
    <row r="515" spans="29:41">
      <c r="AC515" s="153" t="s">
        <v>52</v>
      </c>
      <c r="AD515" s="153" t="s">
        <v>17</v>
      </c>
      <c r="AE515" s="153" t="s">
        <v>72</v>
      </c>
      <c r="AF515" s="153" t="s">
        <v>51</v>
      </c>
      <c r="AG515" s="153" t="s">
        <v>626</v>
      </c>
      <c r="AH515" s="153">
        <v>4.3648839395113539</v>
      </c>
      <c r="AJ515" s="153" t="s">
        <v>52</v>
      </c>
      <c r="AK515" s="153" t="s">
        <v>17</v>
      </c>
      <c r="AL515" s="153" t="s">
        <v>28</v>
      </c>
      <c r="AM515" s="153" t="s">
        <v>51</v>
      </c>
      <c r="AN515" s="153" t="s">
        <v>614</v>
      </c>
      <c r="AO515" s="153">
        <v>1.4720887214127205</v>
      </c>
    </row>
    <row r="516" spans="29:41">
      <c r="AC516" s="153" t="s">
        <v>52</v>
      </c>
      <c r="AD516" s="153" t="s">
        <v>17</v>
      </c>
      <c r="AE516" s="153" t="s">
        <v>72</v>
      </c>
      <c r="AF516" s="153" t="s">
        <v>51</v>
      </c>
      <c r="AG516" s="153" t="s">
        <v>627</v>
      </c>
      <c r="AH516" s="153">
        <v>4.3707037231358203</v>
      </c>
      <c r="AJ516" s="153" t="s">
        <v>52</v>
      </c>
      <c r="AK516" s="153" t="s">
        <v>17</v>
      </c>
      <c r="AL516" s="153" t="s">
        <v>28</v>
      </c>
      <c r="AM516" s="153" t="s">
        <v>51</v>
      </c>
      <c r="AN516" s="153" t="s">
        <v>615</v>
      </c>
      <c r="AO516" s="153">
        <v>1.4836646997444767</v>
      </c>
    </row>
    <row r="517" spans="29:41">
      <c r="AC517" s="153" t="s">
        <v>52</v>
      </c>
      <c r="AD517" s="153" t="s">
        <v>17</v>
      </c>
      <c r="AE517" s="153" t="s">
        <v>72</v>
      </c>
      <c r="AF517" s="153" t="s">
        <v>51</v>
      </c>
      <c r="AG517" s="153" t="s">
        <v>628</v>
      </c>
      <c r="AH517" s="153">
        <v>4.4577538868375139</v>
      </c>
      <c r="AJ517" s="153" t="s">
        <v>52</v>
      </c>
      <c r="AK517" s="153" t="s">
        <v>17</v>
      </c>
      <c r="AL517" s="153" t="s">
        <v>28</v>
      </c>
      <c r="AM517" s="153" t="s">
        <v>51</v>
      </c>
      <c r="AN517" s="153" t="s">
        <v>616</v>
      </c>
      <c r="AO517" s="153">
        <v>1.3377099167117545</v>
      </c>
    </row>
    <row r="518" spans="29:41">
      <c r="AC518" s="153" t="s">
        <v>52</v>
      </c>
      <c r="AD518" s="153" t="s">
        <v>17</v>
      </c>
      <c r="AE518" s="153" t="s">
        <v>72</v>
      </c>
      <c r="AF518" s="153" t="s">
        <v>51</v>
      </c>
      <c r="AG518" s="153" t="s">
        <v>629</v>
      </c>
      <c r="AH518" s="153">
        <v>4.4026757525723266</v>
      </c>
      <c r="AJ518" s="153" t="s">
        <v>52</v>
      </c>
      <c r="AK518" s="153" t="s">
        <v>17</v>
      </c>
      <c r="AL518" s="153" t="s">
        <v>28</v>
      </c>
      <c r="AM518" s="153" t="s">
        <v>51</v>
      </c>
      <c r="AN518" s="153" t="s">
        <v>617</v>
      </c>
      <c r="AO518" s="153">
        <v>1.4354741054779359</v>
      </c>
    </row>
    <row r="519" spans="29:41">
      <c r="AC519" s="153" t="s">
        <v>52</v>
      </c>
      <c r="AD519" s="153" t="s">
        <v>17</v>
      </c>
      <c r="AE519" s="153" t="s">
        <v>72</v>
      </c>
      <c r="AF519" s="153" t="s">
        <v>51</v>
      </c>
      <c r="AG519" s="153" t="s">
        <v>630</v>
      </c>
      <c r="AH519" s="153">
        <v>4.425889099587673</v>
      </c>
      <c r="AJ519" s="153" t="s">
        <v>52</v>
      </c>
      <c r="AK519" s="153" t="s">
        <v>17</v>
      </c>
      <c r="AL519" s="153" t="s">
        <v>28</v>
      </c>
      <c r="AM519" s="153" t="s">
        <v>51</v>
      </c>
      <c r="AN519" s="153" t="s">
        <v>618</v>
      </c>
      <c r="AO519" s="153">
        <v>1.4393292591290372</v>
      </c>
    </row>
    <row r="520" spans="29:41">
      <c r="AC520" s="153" t="s">
        <v>52</v>
      </c>
      <c r="AD520" s="153" t="s">
        <v>17</v>
      </c>
      <c r="AE520" s="153" t="s">
        <v>72</v>
      </c>
      <c r="AF520" s="153" t="s">
        <v>51</v>
      </c>
      <c r="AG520" s="153" t="s">
        <v>631</v>
      </c>
      <c r="AH520" s="153">
        <v>4.3590620960775004</v>
      </c>
      <c r="AJ520" s="153" t="s">
        <v>52</v>
      </c>
      <c r="AK520" s="153" t="s">
        <v>17</v>
      </c>
      <c r="AL520" s="153" t="s">
        <v>28</v>
      </c>
      <c r="AM520" s="153" t="s">
        <v>51</v>
      </c>
      <c r="AN520" s="153" t="s">
        <v>619</v>
      </c>
      <c r="AO520" s="153">
        <v>1.4203376320181476</v>
      </c>
    </row>
    <row r="521" spans="29:41">
      <c r="AC521" s="153" t="s">
        <v>52</v>
      </c>
      <c r="AD521" s="153" t="s">
        <v>17</v>
      </c>
      <c r="AE521" s="153" t="s">
        <v>72</v>
      </c>
      <c r="AF521" s="153" t="s">
        <v>51</v>
      </c>
      <c r="AG521" s="153" t="s">
        <v>632</v>
      </c>
      <c r="AH521" s="153">
        <v>4.3910567572971591</v>
      </c>
      <c r="AJ521" s="153" t="s">
        <v>52</v>
      </c>
      <c r="AK521" s="153" t="s">
        <v>17</v>
      </c>
      <c r="AL521" s="153" t="s">
        <v>28</v>
      </c>
      <c r="AM521" s="153" t="s">
        <v>51</v>
      </c>
      <c r="AN521" s="153" t="s">
        <v>620</v>
      </c>
      <c r="AO521" s="153">
        <v>1.3338730459808019</v>
      </c>
    </row>
    <row r="522" spans="29:41">
      <c r="AC522" s="153" t="s">
        <v>52</v>
      </c>
      <c r="AD522" s="153" t="s">
        <v>17</v>
      </c>
      <c r="AE522" s="153" t="s">
        <v>72</v>
      </c>
      <c r="AF522" s="153" t="s">
        <v>51</v>
      </c>
      <c r="AG522" s="153" t="s">
        <v>633</v>
      </c>
      <c r="AH522" s="153">
        <v>4.3415841982875039</v>
      </c>
      <c r="AJ522" s="153" t="s">
        <v>52</v>
      </c>
      <c r="AK522" s="153" t="s">
        <v>17</v>
      </c>
      <c r="AL522" s="153" t="s">
        <v>28</v>
      </c>
      <c r="AM522" s="153" t="s">
        <v>51</v>
      </c>
      <c r="AN522" s="153" t="s">
        <v>621</v>
      </c>
      <c r="AO522" s="153">
        <v>1.3186079656491489</v>
      </c>
    </row>
    <row r="523" spans="29:41">
      <c r="AC523" s="153" t="s">
        <v>52</v>
      </c>
      <c r="AD523" s="153" t="s">
        <v>17</v>
      </c>
      <c r="AE523" s="153" t="s">
        <v>72</v>
      </c>
      <c r="AF523" s="153" t="s">
        <v>51</v>
      </c>
      <c r="AG523" s="153" t="s">
        <v>634</v>
      </c>
      <c r="AH523" s="153">
        <v>4.3419206196261708</v>
      </c>
      <c r="AJ523" s="153" t="s">
        <v>52</v>
      </c>
      <c r="AK523" s="153" t="s">
        <v>17</v>
      </c>
      <c r="AL523" s="153" t="s">
        <v>28</v>
      </c>
      <c r="AM523" s="153" t="s">
        <v>51</v>
      </c>
      <c r="AN523" s="153" t="s">
        <v>622</v>
      </c>
      <c r="AO523" s="153">
        <v>1.2961958161352025</v>
      </c>
    </row>
    <row r="524" spans="29:41">
      <c r="AC524" s="153" t="s">
        <v>52</v>
      </c>
      <c r="AD524" s="153" t="s">
        <v>17</v>
      </c>
      <c r="AE524" s="153" t="s">
        <v>72</v>
      </c>
      <c r="AF524" s="153" t="s">
        <v>51</v>
      </c>
      <c r="AG524" s="153" t="s">
        <v>635</v>
      </c>
      <c r="AH524" s="153">
        <v>4.2776897841265393</v>
      </c>
      <c r="AJ524" s="153" t="s">
        <v>52</v>
      </c>
      <c r="AK524" s="153" t="s">
        <v>17</v>
      </c>
      <c r="AL524" s="153" t="s">
        <v>28</v>
      </c>
      <c r="AM524" s="153" t="s">
        <v>51</v>
      </c>
      <c r="AN524" s="153" t="s">
        <v>623</v>
      </c>
      <c r="AO524" s="153">
        <v>1.198689795005317</v>
      </c>
    </row>
    <row r="525" spans="29:41">
      <c r="AC525" s="153" t="s">
        <v>52</v>
      </c>
      <c r="AD525" s="153" t="s">
        <v>17</v>
      </c>
      <c r="AE525" s="153" t="s">
        <v>72</v>
      </c>
      <c r="AF525" s="153" t="s">
        <v>51</v>
      </c>
      <c r="AG525" s="153" t="s">
        <v>636</v>
      </c>
      <c r="AH525" s="153">
        <v>4.2542708378161587</v>
      </c>
      <c r="AJ525" s="153" t="s">
        <v>52</v>
      </c>
      <c r="AK525" s="153" t="s">
        <v>17</v>
      </c>
      <c r="AL525" s="153" t="s">
        <v>28</v>
      </c>
      <c r="AM525" s="153" t="s">
        <v>51</v>
      </c>
      <c r="AN525" s="153" t="s">
        <v>624</v>
      </c>
      <c r="AO525" s="153">
        <v>1.1798515351649304</v>
      </c>
    </row>
    <row r="526" spans="29:41">
      <c r="AC526" s="153" t="s">
        <v>52</v>
      </c>
      <c r="AD526" s="153" t="s">
        <v>17</v>
      </c>
      <c r="AE526" s="153" t="s">
        <v>72</v>
      </c>
      <c r="AF526" s="153" t="s">
        <v>51</v>
      </c>
      <c r="AG526" s="153" t="s">
        <v>637</v>
      </c>
      <c r="AH526" s="153">
        <v>4.2981540865235441</v>
      </c>
      <c r="AJ526" s="153" t="s">
        <v>52</v>
      </c>
      <c r="AK526" s="153" t="s">
        <v>17</v>
      </c>
      <c r="AL526" s="153" t="s">
        <v>28</v>
      </c>
      <c r="AM526" s="153" t="s">
        <v>51</v>
      </c>
      <c r="AN526" s="153" t="s">
        <v>625</v>
      </c>
      <c r="AO526" s="153">
        <v>1.2000417529318734</v>
      </c>
    </row>
    <row r="527" spans="29:41">
      <c r="AC527" s="153" t="s">
        <v>52</v>
      </c>
      <c r="AD527" s="153" t="s">
        <v>17</v>
      </c>
      <c r="AE527" s="153" t="s">
        <v>72</v>
      </c>
      <c r="AF527" s="153" t="s">
        <v>51</v>
      </c>
      <c r="AG527" s="153" t="s">
        <v>638</v>
      </c>
      <c r="AH527" s="153">
        <v>4.2601286944480448</v>
      </c>
      <c r="AJ527" s="153" t="s">
        <v>52</v>
      </c>
      <c r="AK527" s="153" t="s">
        <v>17</v>
      </c>
      <c r="AL527" s="153" t="s">
        <v>28</v>
      </c>
      <c r="AM527" s="153" t="s">
        <v>51</v>
      </c>
      <c r="AN527" s="153" t="s">
        <v>626</v>
      </c>
      <c r="AO527" s="153">
        <v>1.1994707334075836</v>
      </c>
    </row>
    <row r="528" spans="29:41">
      <c r="AC528" s="153" t="s">
        <v>52</v>
      </c>
      <c r="AD528" s="153" t="s">
        <v>17</v>
      </c>
      <c r="AE528" s="153" t="s">
        <v>72</v>
      </c>
      <c r="AF528" s="153" t="s">
        <v>51</v>
      </c>
      <c r="AG528" s="153" t="s">
        <v>639</v>
      </c>
      <c r="AH528" s="153">
        <v>4.2132075105238744</v>
      </c>
      <c r="AJ528" s="153" t="s">
        <v>52</v>
      </c>
      <c r="AK528" s="153" t="s">
        <v>17</v>
      </c>
      <c r="AL528" s="153" t="s">
        <v>28</v>
      </c>
      <c r="AM528" s="153" t="s">
        <v>51</v>
      </c>
      <c r="AN528" s="153" t="s">
        <v>627</v>
      </c>
      <c r="AO528" s="153">
        <v>1.2242376896144407</v>
      </c>
    </row>
    <row r="529" spans="29:41">
      <c r="AC529" s="153" t="s">
        <v>52</v>
      </c>
      <c r="AD529" s="153" t="s">
        <v>17</v>
      </c>
      <c r="AE529" s="153" t="s">
        <v>72</v>
      </c>
      <c r="AF529" s="153" t="s">
        <v>51</v>
      </c>
      <c r="AG529" s="153" t="s">
        <v>640</v>
      </c>
      <c r="AH529" s="153">
        <v>4.2601286944480448</v>
      </c>
      <c r="AJ529" s="153" t="s">
        <v>52</v>
      </c>
      <c r="AK529" s="153" t="s">
        <v>17</v>
      </c>
      <c r="AL529" s="153" t="s">
        <v>28</v>
      </c>
      <c r="AM529" s="153" t="s">
        <v>51</v>
      </c>
      <c r="AN529" s="153" t="s">
        <v>628</v>
      </c>
      <c r="AO529" s="153">
        <v>1.3649838181592142</v>
      </c>
    </row>
    <row r="530" spans="29:41">
      <c r="AC530" s="153" t="s">
        <v>52</v>
      </c>
      <c r="AD530" s="153" t="s">
        <v>17</v>
      </c>
      <c r="AE530" s="153" t="s">
        <v>72</v>
      </c>
      <c r="AF530" s="153" t="s">
        <v>51</v>
      </c>
      <c r="AG530" s="153" t="s">
        <v>641</v>
      </c>
      <c r="AH530" s="153">
        <v>4.2308185875965627</v>
      </c>
      <c r="AJ530" s="153" t="s">
        <v>52</v>
      </c>
      <c r="AK530" s="153" t="s">
        <v>17</v>
      </c>
      <c r="AL530" s="153" t="s">
        <v>28</v>
      </c>
      <c r="AM530" s="153" t="s">
        <v>51</v>
      </c>
      <c r="AN530" s="153" t="s">
        <v>629</v>
      </c>
      <c r="AO530" s="153">
        <v>1.3172970205466266</v>
      </c>
    </row>
    <row r="531" spans="29:41">
      <c r="AC531" s="153" t="s">
        <v>52</v>
      </c>
      <c r="AD531" s="153" t="s">
        <v>17</v>
      </c>
      <c r="AE531" s="153" t="s">
        <v>72</v>
      </c>
      <c r="AF531" s="153" t="s">
        <v>51</v>
      </c>
      <c r="AG531" s="153" t="s">
        <v>642</v>
      </c>
      <c r="AH531" s="153">
        <v>4.2513411289951666</v>
      </c>
      <c r="AJ531" s="153" t="s">
        <v>52</v>
      </c>
      <c r="AK531" s="153" t="s">
        <v>17</v>
      </c>
      <c r="AL531" s="153" t="s">
        <v>28</v>
      </c>
      <c r="AM531" s="153" t="s">
        <v>51</v>
      </c>
      <c r="AN531" s="153" t="s">
        <v>630</v>
      </c>
      <c r="AO531" s="153">
        <v>1.3260666364242231</v>
      </c>
    </row>
    <row r="532" spans="29:41">
      <c r="AC532" s="153" t="s">
        <v>52</v>
      </c>
      <c r="AD532" s="153" t="s">
        <v>17</v>
      </c>
      <c r="AE532" s="153" t="s">
        <v>72</v>
      </c>
      <c r="AF532" s="153" t="s">
        <v>51</v>
      </c>
      <c r="AG532" s="153" t="s">
        <v>643</v>
      </c>
      <c r="AH532" s="153">
        <v>4.2630568424773081</v>
      </c>
      <c r="AJ532" s="153" t="s">
        <v>52</v>
      </c>
      <c r="AK532" s="153" t="s">
        <v>17</v>
      </c>
      <c r="AL532" s="153" t="s">
        <v>28</v>
      </c>
      <c r="AM532" s="153" t="s">
        <v>51</v>
      </c>
      <c r="AN532" s="153" t="s">
        <v>631</v>
      </c>
      <c r="AO532" s="153">
        <v>1.2783393903388507</v>
      </c>
    </row>
    <row r="533" spans="29:41">
      <c r="AC533" s="153" t="s">
        <v>52</v>
      </c>
      <c r="AD533" s="153" t="s">
        <v>17</v>
      </c>
      <c r="AE533" s="153" t="s">
        <v>72</v>
      </c>
      <c r="AF533" s="153" t="s">
        <v>51</v>
      </c>
      <c r="AG533" s="153" t="s">
        <v>644</v>
      </c>
      <c r="AH533" s="153">
        <v>4.3010754824792077</v>
      </c>
      <c r="AJ533" s="153" t="s">
        <v>52</v>
      </c>
      <c r="AK533" s="153" t="s">
        <v>17</v>
      </c>
      <c r="AL533" s="153" t="s">
        <v>28</v>
      </c>
      <c r="AM533" s="153" t="s">
        <v>51</v>
      </c>
      <c r="AN533" s="153" t="s">
        <v>632</v>
      </c>
      <c r="AO533" s="153">
        <v>1.270137833599299</v>
      </c>
    </row>
    <row r="534" spans="29:41">
      <c r="AC534" s="153" t="s">
        <v>52</v>
      </c>
      <c r="AD534" s="153" t="s">
        <v>17</v>
      </c>
      <c r="AE534" s="153" t="s">
        <v>72</v>
      </c>
      <c r="AF534" s="153" t="s">
        <v>51</v>
      </c>
      <c r="AG534" s="153" t="s">
        <v>645</v>
      </c>
      <c r="AH534" s="153">
        <v>4.2689115785087015</v>
      </c>
      <c r="AJ534" s="153" t="s">
        <v>52</v>
      </c>
      <c r="AK534" s="153" t="s">
        <v>17</v>
      </c>
      <c r="AL534" s="153" t="s">
        <v>28</v>
      </c>
      <c r="AM534" s="153" t="s">
        <v>51</v>
      </c>
      <c r="AN534" s="153" t="s">
        <v>633</v>
      </c>
      <c r="AO534" s="153">
        <v>1.2273877901021732</v>
      </c>
    </row>
    <row r="535" spans="29:41">
      <c r="AC535" s="153" t="s">
        <v>52</v>
      </c>
      <c r="AD535" s="153" t="s">
        <v>17</v>
      </c>
      <c r="AE535" s="153" t="s">
        <v>72</v>
      </c>
      <c r="AF535" s="153" t="s">
        <v>51</v>
      </c>
      <c r="AG535" s="153" t="s">
        <v>646</v>
      </c>
      <c r="AH535" s="153">
        <v>4.3448342476141146</v>
      </c>
      <c r="AJ535" s="153" t="s">
        <v>52</v>
      </c>
      <c r="AK535" s="153" t="s">
        <v>17</v>
      </c>
      <c r="AL535" s="153" t="s">
        <v>28</v>
      </c>
      <c r="AM535" s="153" t="s">
        <v>51</v>
      </c>
      <c r="AN535" s="153" t="s">
        <v>634</v>
      </c>
      <c r="AO535" s="153">
        <v>1.3044265947956613</v>
      </c>
    </row>
    <row r="536" spans="29:41">
      <c r="AC536" s="153" t="s">
        <v>52</v>
      </c>
      <c r="AD536" s="153" t="s">
        <v>17</v>
      </c>
      <c r="AE536" s="153" t="s">
        <v>72</v>
      </c>
      <c r="AF536" s="153" t="s">
        <v>51</v>
      </c>
      <c r="AG536" s="153" t="s">
        <v>647</v>
      </c>
      <c r="AH536" s="153">
        <v>4.3331766326070991</v>
      </c>
      <c r="AJ536" s="153" t="s">
        <v>52</v>
      </c>
      <c r="AK536" s="153" t="s">
        <v>17</v>
      </c>
      <c r="AL536" s="153" t="s">
        <v>28</v>
      </c>
      <c r="AM536" s="153" t="s">
        <v>51</v>
      </c>
      <c r="AN536" s="153" t="s">
        <v>635</v>
      </c>
      <c r="AO536" s="153">
        <v>1.2390955423824992</v>
      </c>
    </row>
    <row r="537" spans="29:41">
      <c r="AC537" s="153" t="s">
        <v>52</v>
      </c>
      <c r="AD537" s="153" t="s">
        <v>17</v>
      </c>
      <c r="AE537" s="153" t="s">
        <v>72</v>
      </c>
      <c r="AF537" s="153" t="s">
        <v>51</v>
      </c>
      <c r="AG537" s="153" t="s">
        <v>648</v>
      </c>
      <c r="AH537" s="153">
        <v>4.3623051624544651</v>
      </c>
      <c r="AJ537" s="153" t="s">
        <v>52</v>
      </c>
      <c r="AK537" s="153" t="s">
        <v>17</v>
      </c>
      <c r="AL537" s="153" t="s">
        <v>28</v>
      </c>
      <c r="AM537" s="153" t="s">
        <v>51</v>
      </c>
      <c r="AN537" s="153" t="s">
        <v>636</v>
      </c>
      <c r="AO537" s="153">
        <v>1.2788495774635189</v>
      </c>
    </row>
    <row r="538" spans="29:41">
      <c r="AC538" s="153" t="s">
        <v>52</v>
      </c>
      <c r="AD538" s="153" t="s">
        <v>17</v>
      </c>
      <c r="AE538" s="153" t="s">
        <v>72</v>
      </c>
      <c r="AF538" s="153" t="s">
        <v>51</v>
      </c>
      <c r="AG538" s="153" t="s">
        <v>649</v>
      </c>
      <c r="AH538" s="153">
        <v>4.3215107387307263</v>
      </c>
      <c r="AJ538" s="153" t="s">
        <v>52</v>
      </c>
      <c r="AK538" s="153" t="s">
        <v>17</v>
      </c>
      <c r="AL538" s="153" t="s">
        <v>28</v>
      </c>
      <c r="AM538" s="153" t="s">
        <v>51</v>
      </c>
      <c r="AN538" s="153" t="s">
        <v>637</v>
      </c>
      <c r="AO538" s="153">
        <v>1.3140547369717044</v>
      </c>
    </row>
    <row r="539" spans="29:41">
      <c r="AC539" s="153" t="s">
        <v>52</v>
      </c>
      <c r="AD539" s="153" t="s">
        <v>17</v>
      </c>
      <c r="AE539" s="153" t="s">
        <v>72</v>
      </c>
      <c r="AF539" s="153" t="s">
        <v>51</v>
      </c>
      <c r="AG539" s="153" t="s">
        <v>650</v>
      </c>
      <c r="AH539" s="153">
        <v>4.3794295383213715</v>
      </c>
      <c r="AJ539" s="153" t="s">
        <v>52</v>
      </c>
      <c r="AK539" s="153" t="s">
        <v>17</v>
      </c>
      <c r="AL539" s="153" t="s">
        <v>28</v>
      </c>
      <c r="AM539" s="153" t="s">
        <v>51</v>
      </c>
      <c r="AN539" s="153" t="s">
        <v>638</v>
      </c>
      <c r="AO539" s="153">
        <v>1.3350813843791349</v>
      </c>
    </row>
    <row r="540" spans="29:41">
      <c r="AC540" s="153" t="s">
        <v>52</v>
      </c>
      <c r="AD540" s="153" t="s">
        <v>17</v>
      </c>
      <c r="AE540" s="153" t="s">
        <v>72</v>
      </c>
      <c r="AF540" s="153" t="s">
        <v>51</v>
      </c>
      <c r="AG540" s="153" t="s">
        <v>651</v>
      </c>
      <c r="AH540" s="153">
        <v>4.3506599527151097</v>
      </c>
      <c r="AJ540" s="153" t="s">
        <v>52</v>
      </c>
      <c r="AK540" s="153" t="s">
        <v>17</v>
      </c>
      <c r="AL540" s="153" t="s">
        <v>28</v>
      </c>
      <c r="AM540" s="153" t="s">
        <v>51</v>
      </c>
      <c r="AN540" s="153" t="s">
        <v>639</v>
      </c>
      <c r="AO540" s="153">
        <v>1.2641202873879147</v>
      </c>
    </row>
    <row r="541" spans="29:41">
      <c r="AC541" s="153" t="s">
        <v>52</v>
      </c>
      <c r="AD541" s="153" t="s">
        <v>17</v>
      </c>
      <c r="AE541" s="153" t="s">
        <v>72</v>
      </c>
      <c r="AF541" s="153" t="s">
        <v>51</v>
      </c>
      <c r="AG541" s="153" t="s">
        <v>652</v>
      </c>
      <c r="AH541" s="153">
        <v>4.2542708378161587</v>
      </c>
      <c r="AJ541" s="153" t="s">
        <v>52</v>
      </c>
      <c r="AK541" s="153" t="s">
        <v>17</v>
      </c>
      <c r="AL541" s="153" t="s">
        <v>28</v>
      </c>
      <c r="AM541" s="153" t="s">
        <v>51</v>
      </c>
      <c r="AN541" s="153" t="s">
        <v>640</v>
      </c>
      <c r="AO541" s="153">
        <v>1.2719526417096247</v>
      </c>
    </row>
    <row r="542" spans="29:41">
      <c r="AC542" s="153" t="s">
        <v>52</v>
      </c>
      <c r="AD542" s="153" t="s">
        <v>17</v>
      </c>
      <c r="AE542" s="153" t="s">
        <v>72</v>
      </c>
      <c r="AF542" s="153" t="s">
        <v>51</v>
      </c>
      <c r="AG542" s="153" t="s">
        <v>653</v>
      </c>
      <c r="AH542" s="153">
        <v>4.2835393235273624</v>
      </c>
      <c r="AJ542" s="153" t="s">
        <v>52</v>
      </c>
      <c r="AK542" s="153" t="s">
        <v>17</v>
      </c>
      <c r="AL542" s="153" t="s">
        <v>28</v>
      </c>
      <c r="AM542" s="153" t="s">
        <v>51</v>
      </c>
      <c r="AN542" s="153" t="s">
        <v>641</v>
      </c>
      <c r="AO542" s="153">
        <v>1.2498326021651927</v>
      </c>
    </row>
    <row r="543" spans="29:41">
      <c r="AC543" s="153" t="s">
        <v>52</v>
      </c>
      <c r="AD543" s="153" t="s">
        <v>17</v>
      </c>
      <c r="AE543" s="153" t="s">
        <v>72</v>
      </c>
      <c r="AF543" s="153" t="s">
        <v>51</v>
      </c>
      <c r="AG543" s="153" t="s">
        <v>654</v>
      </c>
      <c r="AH543" s="153">
        <v>4.2835393235273624</v>
      </c>
      <c r="AJ543" s="153" t="s">
        <v>52</v>
      </c>
      <c r="AK543" s="153" t="s">
        <v>17</v>
      </c>
      <c r="AL543" s="153" t="s">
        <v>28</v>
      </c>
      <c r="AM543" s="153" t="s">
        <v>51</v>
      </c>
      <c r="AN543" s="153" t="s">
        <v>642</v>
      </c>
      <c r="AO543" s="153">
        <v>1.2343501574622469</v>
      </c>
    </row>
    <row r="544" spans="29:41">
      <c r="AC544" s="153" t="s">
        <v>52</v>
      </c>
      <c r="AD544" s="153" t="s">
        <v>17</v>
      </c>
      <c r="AE544" s="153" t="s">
        <v>72</v>
      </c>
      <c r="AF544" s="153" t="s">
        <v>51</v>
      </c>
      <c r="AG544" s="153" t="s">
        <v>655</v>
      </c>
      <c r="AH544" s="153">
        <v>4.2484108996908265</v>
      </c>
      <c r="AJ544" s="153" t="s">
        <v>52</v>
      </c>
      <c r="AK544" s="153" t="s">
        <v>17</v>
      </c>
      <c r="AL544" s="153" t="s">
        <v>28</v>
      </c>
      <c r="AM544" s="153" t="s">
        <v>51</v>
      </c>
      <c r="AN544" s="153" t="s">
        <v>643</v>
      </c>
      <c r="AO544" s="153">
        <v>1.1756221628853678</v>
      </c>
    </row>
    <row r="545" spans="29:41">
      <c r="AC545" s="153" t="s">
        <v>52</v>
      </c>
      <c r="AD545" s="153" t="s">
        <v>17</v>
      </c>
      <c r="AE545" s="153" t="s">
        <v>72</v>
      </c>
      <c r="AF545" s="153" t="s">
        <v>51</v>
      </c>
      <c r="AG545" s="153" t="s">
        <v>656</v>
      </c>
      <c r="AH545" s="153">
        <v>4.2747642352322801</v>
      </c>
      <c r="AJ545" s="153" t="s">
        <v>52</v>
      </c>
      <c r="AK545" s="153" t="s">
        <v>17</v>
      </c>
      <c r="AL545" s="153" t="s">
        <v>28</v>
      </c>
      <c r="AM545" s="153" t="s">
        <v>51</v>
      </c>
      <c r="AN545" s="153" t="s">
        <v>644</v>
      </c>
      <c r="AO545" s="153">
        <v>1.2408619033453472</v>
      </c>
    </row>
    <row r="546" spans="29:41">
      <c r="AC546" s="153" t="s">
        <v>52</v>
      </c>
      <c r="AD546" s="153" t="s">
        <v>17</v>
      </c>
      <c r="AE546" s="153" t="s">
        <v>72</v>
      </c>
      <c r="AF546" s="153" t="s">
        <v>51</v>
      </c>
      <c r="AG546" s="153" t="s">
        <v>657</v>
      </c>
      <c r="AH546" s="153">
        <v>4.2630568424773081</v>
      </c>
      <c r="AJ546" s="153" t="s">
        <v>52</v>
      </c>
      <c r="AK546" s="153" t="s">
        <v>17</v>
      </c>
      <c r="AL546" s="153" t="s">
        <v>28</v>
      </c>
      <c r="AM546" s="153" t="s">
        <v>51</v>
      </c>
      <c r="AN546" s="153" t="s">
        <v>645</v>
      </c>
      <c r="AO546" s="153">
        <v>1.2343358651929017</v>
      </c>
    </row>
    <row r="547" spans="29:41">
      <c r="AC547" s="153" t="s">
        <v>52</v>
      </c>
      <c r="AD547" s="153" t="s">
        <v>17</v>
      </c>
      <c r="AE547" s="153" t="s">
        <v>72</v>
      </c>
      <c r="AF547" s="153" t="s">
        <v>51</v>
      </c>
      <c r="AG547" s="153" t="s">
        <v>658</v>
      </c>
      <c r="AH547" s="153">
        <v>4.2144451362355886</v>
      </c>
      <c r="AJ547" s="153" t="s">
        <v>52</v>
      </c>
      <c r="AK547" s="153" t="s">
        <v>17</v>
      </c>
      <c r="AL547" s="153" t="s">
        <v>28</v>
      </c>
      <c r="AM547" s="153" t="s">
        <v>51</v>
      </c>
      <c r="AN547" s="153" t="s">
        <v>646</v>
      </c>
      <c r="AO547" s="153">
        <v>1.328024012171825</v>
      </c>
    </row>
    <row r="548" spans="29:41">
      <c r="AC548" s="153" t="s">
        <v>52</v>
      </c>
      <c r="AD548" s="153" t="s">
        <v>17</v>
      </c>
      <c r="AE548" s="153" t="s">
        <v>72</v>
      </c>
      <c r="AF548" s="153" t="s">
        <v>51</v>
      </c>
      <c r="AG548" s="153" t="s">
        <v>659</v>
      </c>
      <c r="AH548" s="153">
        <v>4.1732904617539637</v>
      </c>
      <c r="AJ548" s="153" t="s">
        <v>52</v>
      </c>
      <c r="AK548" s="153" t="s">
        <v>17</v>
      </c>
      <c r="AL548" s="153" t="s">
        <v>28</v>
      </c>
      <c r="AM548" s="153" t="s">
        <v>51</v>
      </c>
      <c r="AN548" s="153" t="s">
        <v>647</v>
      </c>
      <c r="AO548" s="153">
        <v>1.275120576977979</v>
      </c>
    </row>
    <row r="549" spans="29:41">
      <c r="AC549" s="153" t="s">
        <v>52</v>
      </c>
      <c r="AD549" s="153" t="s">
        <v>17</v>
      </c>
      <c r="AE549" s="153" t="s">
        <v>72</v>
      </c>
      <c r="AF549" s="153" t="s">
        <v>51</v>
      </c>
      <c r="AG549" s="153" t="s">
        <v>660</v>
      </c>
      <c r="AH549" s="153">
        <v>4.1732904617539637</v>
      </c>
      <c r="AJ549" s="153" t="s">
        <v>52</v>
      </c>
      <c r="AK549" s="153" t="s">
        <v>17</v>
      </c>
      <c r="AL549" s="153" t="s">
        <v>28</v>
      </c>
      <c r="AM549" s="153" t="s">
        <v>51</v>
      </c>
      <c r="AN549" s="153" t="s">
        <v>648</v>
      </c>
      <c r="AO549" s="153">
        <v>1.3403502642394955</v>
      </c>
    </row>
    <row r="550" spans="29:41">
      <c r="AC550" s="153" t="s">
        <v>52</v>
      </c>
      <c r="AD550" s="153" t="s">
        <v>17</v>
      </c>
      <c r="AE550" s="153" t="s">
        <v>72</v>
      </c>
      <c r="AF550" s="153" t="s">
        <v>51</v>
      </c>
      <c r="AG550" s="153" t="s">
        <v>661</v>
      </c>
      <c r="AH550" s="153">
        <v>4.1821179681285399</v>
      </c>
      <c r="AJ550" s="153" t="s">
        <v>52</v>
      </c>
      <c r="AK550" s="153" t="s">
        <v>17</v>
      </c>
      <c r="AL550" s="153" t="s">
        <v>28</v>
      </c>
      <c r="AM550" s="153" t="s">
        <v>51</v>
      </c>
      <c r="AN550" s="153" t="s">
        <v>649</v>
      </c>
      <c r="AO550" s="153">
        <v>1.2748197376825567</v>
      </c>
    </row>
    <row r="551" spans="29:41">
      <c r="AC551" s="153" t="s">
        <v>52</v>
      </c>
      <c r="AD551" s="153" t="s">
        <v>17</v>
      </c>
      <c r="AE551" s="153" t="s">
        <v>72</v>
      </c>
      <c r="AF551" s="153" t="s">
        <v>51</v>
      </c>
      <c r="AG551" s="153" t="s">
        <v>662</v>
      </c>
      <c r="AH551" s="153">
        <v>4.1674028340858227</v>
      </c>
      <c r="AJ551" s="153" t="s">
        <v>52</v>
      </c>
      <c r="AK551" s="153" t="s">
        <v>17</v>
      </c>
      <c r="AL551" s="153" t="s">
        <v>28</v>
      </c>
      <c r="AM551" s="153" t="s">
        <v>51</v>
      </c>
      <c r="AN551" s="153" t="s">
        <v>650</v>
      </c>
      <c r="AO551" s="153">
        <v>1.2956838910209414</v>
      </c>
    </row>
    <row r="552" spans="29:41">
      <c r="AC552" s="153" t="s">
        <v>52</v>
      </c>
      <c r="AD552" s="153" t="s">
        <v>17</v>
      </c>
      <c r="AE552" s="153" t="s">
        <v>72</v>
      </c>
      <c r="AF552" s="153" t="s">
        <v>51</v>
      </c>
      <c r="AG552" s="153" t="s">
        <v>663</v>
      </c>
      <c r="AH552" s="153">
        <v>4.1968199924512142</v>
      </c>
      <c r="AJ552" s="153" t="s">
        <v>52</v>
      </c>
      <c r="AK552" s="153" t="s">
        <v>17</v>
      </c>
      <c r="AL552" s="153" t="s">
        <v>28</v>
      </c>
      <c r="AM552" s="153" t="s">
        <v>51</v>
      </c>
      <c r="AN552" s="153" t="s">
        <v>651</v>
      </c>
      <c r="AO552" s="153">
        <v>1.2751571738159502</v>
      </c>
    </row>
    <row r="553" spans="29:41">
      <c r="AC553" s="153" t="s">
        <v>52</v>
      </c>
      <c r="AD553" s="153" t="s">
        <v>17</v>
      </c>
      <c r="AE553" s="153" t="s">
        <v>72</v>
      </c>
      <c r="AF553" s="153" t="s">
        <v>51</v>
      </c>
      <c r="AG553" s="153" t="s">
        <v>664</v>
      </c>
      <c r="AH553" s="153">
        <v>4.1556212785682742</v>
      </c>
      <c r="AJ553" s="153" t="s">
        <v>52</v>
      </c>
      <c r="AK553" s="153" t="s">
        <v>17</v>
      </c>
      <c r="AL553" s="153" t="s">
        <v>28</v>
      </c>
      <c r="AM553" s="153" t="s">
        <v>51</v>
      </c>
      <c r="AN553" s="153" t="s">
        <v>652</v>
      </c>
      <c r="AO553" s="153">
        <v>1.1617773092189592</v>
      </c>
    </row>
    <row r="554" spans="29:41">
      <c r="AC554" s="153" t="s">
        <v>52</v>
      </c>
      <c r="AD554" s="153" t="s">
        <v>17</v>
      </c>
      <c r="AE554" s="153" t="s">
        <v>72</v>
      </c>
      <c r="AF554" s="153" t="s">
        <v>51</v>
      </c>
      <c r="AG554" s="153" t="s">
        <v>665</v>
      </c>
      <c r="AH554" s="153">
        <v>4.2132075105238744</v>
      </c>
      <c r="AJ554" s="153" t="s">
        <v>52</v>
      </c>
      <c r="AK554" s="153" t="s">
        <v>17</v>
      </c>
      <c r="AL554" s="153" t="s">
        <v>28</v>
      </c>
      <c r="AM554" s="153" t="s">
        <v>51</v>
      </c>
      <c r="AN554" s="153" t="s">
        <v>653</v>
      </c>
      <c r="AO554" s="153">
        <v>1.1465166961607722</v>
      </c>
    </row>
    <row r="555" spans="29:41">
      <c r="AC555" s="153" t="s">
        <v>52</v>
      </c>
      <c r="AD555" s="153" t="s">
        <v>17</v>
      </c>
      <c r="AE555" s="153" t="s">
        <v>72</v>
      </c>
      <c r="AF555" s="153" t="s">
        <v>51</v>
      </c>
      <c r="AG555" s="153" t="s">
        <v>666</v>
      </c>
      <c r="AH555" s="153">
        <v>4.2320514457091392</v>
      </c>
      <c r="AJ555" s="153" t="s">
        <v>52</v>
      </c>
      <c r="AK555" s="153" t="s">
        <v>17</v>
      </c>
      <c r="AL555" s="153" t="s">
        <v>28</v>
      </c>
      <c r="AM555" s="153" t="s">
        <v>51</v>
      </c>
      <c r="AN555" s="153" t="s">
        <v>654</v>
      </c>
      <c r="AO555" s="153">
        <v>1.1499947656923026</v>
      </c>
    </row>
    <row r="556" spans="29:41">
      <c r="AC556" s="153" t="s">
        <v>52</v>
      </c>
      <c r="AD556" s="153" t="s">
        <v>17</v>
      </c>
      <c r="AE556" s="153" t="s">
        <v>72</v>
      </c>
      <c r="AF556" s="153" t="s">
        <v>51</v>
      </c>
      <c r="AG556" s="153" t="s">
        <v>667</v>
      </c>
      <c r="AH556" s="153">
        <v>4.224950314738753</v>
      </c>
      <c r="AJ556" s="153" t="s">
        <v>52</v>
      </c>
      <c r="AK556" s="153" t="s">
        <v>17</v>
      </c>
      <c r="AL556" s="153" t="s">
        <v>28</v>
      </c>
      <c r="AM556" s="153" t="s">
        <v>51</v>
      </c>
      <c r="AN556" s="153" t="s">
        <v>655</v>
      </c>
      <c r="AO556" s="153">
        <v>1.1980147965654164</v>
      </c>
    </row>
    <row r="557" spans="29:41">
      <c r="AC557" s="153" t="s">
        <v>52</v>
      </c>
      <c r="AD557" s="153" t="s">
        <v>17</v>
      </c>
      <c r="AE557" s="153" t="s">
        <v>72</v>
      </c>
      <c r="AF557" s="153" t="s">
        <v>51</v>
      </c>
      <c r="AG557" s="153" t="s">
        <v>668</v>
      </c>
      <c r="AH557" s="153">
        <v>4.1938806357020679</v>
      </c>
      <c r="AJ557" s="153" t="s">
        <v>52</v>
      </c>
      <c r="AK557" s="153" t="s">
        <v>17</v>
      </c>
      <c r="AL557" s="153" t="s">
        <v>28</v>
      </c>
      <c r="AM557" s="153" t="s">
        <v>51</v>
      </c>
      <c r="AN557" s="153" t="s">
        <v>656</v>
      </c>
      <c r="AO557" s="153">
        <v>1.2207385466150207</v>
      </c>
    </row>
    <row r="558" spans="29:41">
      <c r="AC558" s="153" t="s">
        <v>52</v>
      </c>
      <c r="AD558" s="153" t="s">
        <v>17</v>
      </c>
      <c r="AE558" s="153" t="s">
        <v>72</v>
      </c>
      <c r="AF558" s="153" t="s">
        <v>51</v>
      </c>
      <c r="AG558" s="153" t="s">
        <v>669</v>
      </c>
      <c r="AH558" s="153">
        <v>4.2144451362355886</v>
      </c>
      <c r="AJ558" s="153" t="s">
        <v>52</v>
      </c>
      <c r="AK558" s="153" t="s">
        <v>17</v>
      </c>
      <c r="AL558" s="153" t="s">
        <v>28</v>
      </c>
      <c r="AM558" s="153" t="s">
        <v>51</v>
      </c>
      <c r="AN558" s="153" t="s">
        <v>657</v>
      </c>
      <c r="AO558" s="153">
        <v>1.2262819733849579</v>
      </c>
    </row>
    <row r="559" spans="29:41">
      <c r="AC559" s="153" t="s">
        <v>52</v>
      </c>
      <c r="AD559" s="153" t="s">
        <v>17</v>
      </c>
      <c r="AE559" s="153" t="s">
        <v>72</v>
      </c>
      <c r="AF559" s="153" t="s">
        <v>51</v>
      </c>
      <c r="AG559" s="153" t="s">
        <v>670</v>
      </c>
      <c r="AH559" s="153">
        <v>4.1194058280557355</v>
      </c>
      <c r="AJ559" s="153" t="s">
        <v>52</v>
      </c>
      <c r="AK559" s="153" t="s">
        <v>17</v>
      </c>
      <c r="AL559" s="153" t="s">
        <v>28</v>
      </c>
      <c r="AM559" s="153" t="s">
        <v>51</v>
      </c>
      <c r="AN559" s="153" t="s">
        <v>658</v>
      </c>
      <c r="AO559" s="153">
        <v>1.288869194613709</v>
      </c>
    </row>
    <row r="560" spans="29:41">
      <c r="AC560" s="153" t="s">
        <v>52</v>
      </c>
      <c r="AD560" s="153" t="s">
        <v>17</v>
      </c>
      <c r="AE560" s="153" t="s">
        <v>72</v>
      </c>
      <c r="AF560" s="153" t="s">
        <v>51</v>
      </c>
      <c r="AG560" s="153" t="s">
        <v>671</v>
      </c>
      <c r="AH560" s="153">
        <v>4.1172731314723672</v>
      </c>
      <c r="AJ560" s="153" t="s">
        <v>52</v>
      </c>
      <c r="AK560" s="153" t="s">
        <v>17</v>
      </c>
      <c r="AL560" s="153" t="s">
        <v>28</v>
      </c>
      <c r="AM560" s="153" t="s">
        <v>51</v>
      </c>
      <c r="AN560" s="153" t="s">
        <v>659</v>
      </c>
      <c r="AO560" s="153">
        <v>1.2125112682388437</v>
      </c>
    </row>
    <row r="561" spans="29:41">
      <c r="AC561" s="153" t="s">
        <v>52</v>
      </c>
      <c r="AD561" s="153" t="s">
        <v>17</v>
      </c>
      <c r="AE561" s="153" t="s">
        <v>72</v>
      </c>
      <c r="AF561" s="153" t="s">
        <v>51</v>
      </c>
      <c r="AG561" s="153" t="s">
        <v>672</v>
      </c>
      <c r="AH561" s="153">
        <v>4.1084109241347946</v>
      </c>
      <c r="AJ561" s="153" t="s">
        <v>52</v>
      </c>
      <c r="AK561" s="153" t="s">
        <v>17</v>
      </c>
      <c r="AL561" s="153" t="s">
        <v>28</v>
      </c>
      <c r="AM561" s="153" t="s">
        <v>51</v>
      </c>
      <c r="AN561" s="153" t="s">
        <v>660</v>
      </c>
      <c r="AO561" s="153">
        <v>1.196084469041784</v>
      </c>
    </row>
    <row r="562" spans="29:41">
      <c r="AC562" s="153" t="s">
        <v>52</v>
      </c>
      <c r="AD562" s="153" t="s">
        <v>17</v>
      </c>
      <c r="AE562" s="153" t="s">
        <v>72</v>
      </c>
      <c r="AF562" s="153" t="s">
        <v>51</v>
      </c>
      <c r="AG562" s="153" t="s">
        <v>673</v>
      </c>
      <c r="AH562" s="153">
        <v>4.105455800854287</v>
      </c>
      <c r="AJ562" s="153" t="s">
        <v>52</v>
      </c>
      <c r="AK562" s="153" t="s">
        <v>17</v>
      </c>
      <c r="AL562" s="153" t="s">
        <v>28</v>
      </c>
      <c r="AM562" s="153" t="s">
        <v>51</v>
      </c>
      <c r="AN562" s="153" t="s">
        <v>661</v>
      </c>
      <c r="AO562" s="153">
        <v>1.1995849889305195</v>
      </c>
    </row>
    <row r="563" spans="29:41">
      <c r="AC563" s="153" t="s">
        <v>52</v>
      </c>
      <c r="AD563" s="153" t="s">
        <v>17</v>
      </c>
      <c r="AE563" s="153" t="s">
        <v>72</v>
      </c>
      <c r="AF563" s="153" t="s">
        <v>51</v>
      </c>
      <c r="AG563" s="153" t="s">
        <v>674</v>
      </c>
      <c r="AH563" s="153">
        <v>4.099543972372329</v>
      </c>
      <c r="AJ563" s="153" t="s">
        <v>52</v>
      </c>
      <c r="AK563" s="153" t="s">
        <v>17</v>
      </c>
      <c r="AL563" s="153" t="s">
        <v>28</v>
      </c>
      <c r="AM563" s="153" t="s">
        <v>51</v>
      </c>
      <c r="AN563" s="153" t="s">
        <v>662</v>
      </c>
      <c r="AO563" s="153">
        <v>1.1615328421105926</v>
      </c>
    </row>
    <row r="564" spans="29:41">
      <c r="AC564" s="153" t="s">
        <v>52</v>
      </c>
      <c r="AD564" s="153" t="s">
        <v>17</v>
      </c>
      <c r="AE564" s="153" t="s">
        <v>72</v>
      </c>
      <c r="AF564" s="153" t="s">
        <v>51</v>
      </c>
      <c r="AG564" s="153" t="s">
        <v>675</v>
      </c>
      <c r="AH564" s="153">
        <v>4.1320329420089141</v>
      </c>
      <c r="AJ564" s="153" t="s">
        <v>52</v>
      </c>
      <c r="AK564" s="153" t="s">
        <v>17</v>
      </c>
      <c r="AL564" s="153" t="s">
        <v>28</v>
      </c>
      <c r="AM564" s="153" t="s">
        <v>51</v>
      </c>
      <c r="AN564" s="153" t="s">
        <v>663</v>
      </c>
      <c r="AO564" s="153">
        <v>1.2118105481394641</v>
      </c>
    </row>
    <row r="565" spans="29:41">
      <c r="AC565" s="153" t="s">
        <v>52</v>
      </c>
      <c r="AD565" s="153" t="s">
        <v>17</v>
      </c>
      <c r="AE565" s="153" t="s">
        <v>72</v>
      </c>
      <c r="AF565" s="153" t="s">
        <v>51</v>
      </c>
      <c r="AG565" s="153" t="s">
        <v>676</v>
      </c>
      <c r="AH565" s="153">
        <v>4.0513625072186139</v>
      </c>
      <c r="AJ565" s="153" t="s">
        <v>52</v>
      </c>
      <c r="AK565" s="153" t="s">
        <v>17</v>
      </c>
      <c r="AL565" s="153" t="s">
        <v>28</v>
      </c>
      <c r="AM565" s="153" t="s">
        <v>51</v>
      </c>
      <c r="AN565" s="153" t="s">
        <v>664</v>
      </c>
      <c r="AO565" s="153">
        <v>1.1900221101394242</v>
      </c>
    </row>
    <row r="566" spans="29:41">
      <c r="AC566" s="153" t="s">
        <v>52</v>
      </c>
      <c r="AD566" s="153" t="s">
        <v>17</v>
      </c>
      <c r="AE566" s="153" t="s">
        <v>72</v>
      </c>
      <c r="AF566" s="153" t="s">
        <v>51</v>
      </c>
      <c r="AG566" s="153" t="s">
        <v>677</v>
      </c>
      <c r="AH566" s="153">
        <v>4.0928135241094665</v>
      </c>
      <c r="AJ566" s="153" t="s">
        <v>52</v>
      </c>
      <c r="AK566" s="153" t="s">
        <v>17</v>
      </c>
      <c r="AL566" s="153" t="s">
        <v>28</v>
      </c>
      <c r="AM566" s="153" t="s">
        <v>51</v>
      </c>
      <c r="AN566" s="153" t="s">
        <v>665</v>
      </c>
      <c r="AO566" s="153">
        <v>1.2759529340412146</v>
      </c>
    </row>
    <row r="567" spans="29:41">
      <c r="AC567" s="153" t="s">
        <v>52</v>
      </c>
      <c r="AD567" s="153" t="s">
        <v>17</v>
      </c>
      <c r="AE567" s="153" t="s">
        <v>72</v>
      </c>
      <c r="AF567" s="153" t="s">
        <v>51</v>
      </c>
      <c r="AG567" s="153" t="s">
        <v>678</v>
      </c>
      <c r="AH567" s="153">
        <v>4.1046376117541934</v>
      </c>
      <c r="AJ567" s="153" t="s">
        <v>52</v>
      </c>
      <c r="AK567" s="153" t="s">
        <v>17</v>
      </c>
      <c r="AL567" s="153" t="s">
        <v>28</v>
      </c>
      <c r="AM567" s="153" t="s">
        <v>51</v>
      </c>
      <c r="AN567" s="153" t="s">
        <v>666</v>
      </c>
      <c r="AO567" s="153">
        <v>1.3090303408648991</v>
      </c>
    </row>
    <row r="568" spans="29:41">
      <c r="AC568" s="153" t="s">
        <v>52</v>
      </c>
      <c r="AD568" s="153" t="s">
        <v>17</v>
      </c>
      <c r="AE568" s="153" t="s">
        <v>72</v>
      </c>
      <c r="AF568" s="153" t="s">
        <v>51</v>
      </c>
      <c r="AG568" s="153" t="s">
        <v>679</v>
      </c>
      <c r="AH568" s="153">
        <v>4.1526745765048156</v>
      </c>
      <c r="AJ568" s="153" t="s">
        <v>52</v>
      </c>
      <c r="AK568" s="153" t="s">
        <v>17</v>
      </c>
      <c r="AL568" s="153" t="s">
        <v>28</v>
      </c>
      <c r="AM568" s="153" t="s">
        <v>51</v>
      </c>
      <c r="AN568" s="153" t="s">
        <v>667</v>
      </c>
      <c r="AO568" s="153">
        <v>1.2760648084383437</v>
      </c>
    </row>
    <row r="569" spans="29:41">
      <c r="AC569" s="153" t="s">
        <v>52</v>
      </c>
      <c r="AD569" s="153" t="s">
        <v>17</v>
      </c>
      <c r="AE569" s="153" t="s">
        <v>72</v>
      </c>
      <c r="AF569" s="153" t="s">
        <v>51</v>
      </c>
      <c r="AG569" s="153" t="s">
        <v>680</v>
      </c>
      <c r="AH569" s="153">
        <v>4.1556212785682742</v>
      </c>
      <c r="AJ569" s="153" t="s">
        <v>52</v>
      </c>
      <c r="AK569" s="153" t="s">
        <v>17</v>
      </c>
      <c r="AL569" s="153" t="s">
        <v>28</v>
      </c>
      <c r="AM569" s="153" t="s">
        <v>51</v>
      </c>
      <c r="AN569" s="153" t="s">
        <v>668</v>
      </c>
      <c r="AO569" s="153">
        <v>1.293096117910328</v>
      </c>
    </row>
    <row r="570" spans="29:41">
      <c r="AC570" s="153" t="s">
        <v>52</v>
      </c>
      <c r="AD570" s="153" t="s">
        <v>17</v>
      </c>
      <c r="AE570" s="153" t="s">
        <v>72</v>
      </c>
      <c r="AF570" s="153" t="s">
        <v>51</v>
      </c>
      <c r="AG570" s="153" t="s">
        <v>681</v>
      </c>
      <c r="AH570" s="153">
        <v>4.1526745765048156</v>
      </c>
      <c r="AJ570" s="153" t="s">
        <v>52</v>
      </c>
      <c r="AK570" s="153" t="s">
        <v>17</v>
      </c>
      <c r="AL570" s="153" t="s">
        <v>28</v>
      </c>
      <c r="AM570" s="153" t="s">
        <v>51</v>
      </c>
      <c r="AN570" s="153" t="s">
        <v>669</v>
      </c>
      <c r="AO570" s="153">
        <v>1.3010389843425487</v>
      </c>
    </row>
    <row r="571" spans="29:41">
      <c r="AC571" s="153" t="s">
        <v>52</v>
      </c>
      <c r="AD571" s="153" t="s">
        <v>17</v>
      </c>
      <c r="AE571" s="153" t="s">
        <v>72</v>
      </c>
      <c r="AF571" s="153" t="s">
        <v>51</v>
      </c>
      <c r="AG571" s="153" t="s">
        <v>682</v>
      </c>
      <c r="AH571" s="153">
        <v>4.1164532413786334</v>
      </c>
      <c r="AJ571" s="153" t="s">
        <v>52</v>
      </c>
      <c r="AK571" s="153" t="s">
        <v>17</v>
      </c>
      <c r="AL571" s="153" t="s">
        <v>28</v>
      </c>
      <c r="AM571" s="153" t="s">
        <v>51</v>
      </c>
      <c r="AN571" s="153" t="s">
        <v>670</v>
      </c>
      <c r="AO571" s="153">
        <v>1.2421471525242755</v>
      </c>
    </row>
    <row r="572" spans="29:41">
      <c r="AC572" s="153" t="s">
        <v>52</v>
      </c>
      <c r="AD572" s="153" t="s">
        <v>17</v>
      </c>
      <c r="AE572" s="153" t="s">
        <v>72</v>
      </c>
      <c r="AF572" s="153" t="s">
        <v>51</v>
      </c>
      <c r="AG572" s="153" t="s">
        <v>683</v>
      </c>
      <c r="AH572" s="153">
        <v>4.1408825121982815</v>
      </c>
      <c r="AJ572" s="153" t="s">
        <v>52</v>
      </c>
      <c r="AK572" s="153" t="s">
        <v>17</v>
      </c>
      <c r="AL572" s="153" t="s">
        <v>28</v>
      </c>
      <c r="AM572" s="153" t="s">
        <v>51</v>
      </c>
      <c r="AN572" s="153" t="s">
        <v>671</v>
      </c>
      <c r="AO572" s="153">
        <v>1.2164767657020674</v>
      </c>
    </row>
    <row r="573" spans="29:41">
      <c r="AC573" s="153" t="s">
        <v>52</v>
      </c>
      <c r="AD573" s="153" t="s">
        <v>17</v>
      </c>
      <c r="AE573" s="153" t="s">
        <v>72</v>
      </c>
      <c r="AF573" s="153" t="s">
        <v>51</v>
      </c>
      <c r="AG573" s="153" t="s">
        <v>684</v>
      </c>
      <c r="AH573" s="153">
        <v>4.110546483372512</v>
      </c>
      <c r="AJ573" s="153" t="s">
        <v>52</v>
      </c>
      <c r="AK573" s="153" t="s">
        <v>17</v>
      </c>
      <c r="AL573" s="153" t="s">
        <v>28</v>
      </c>
      <c r="AM573" s="153" t="s">
        <v>51</v>
      </c>
      <c r="AN573" s="153" t="s">
        <v>672</v>
      </c>
      <c r="AO573" s="153">
        <v>1.1999747512491141</v>
      </c>
    </row>
    <row r="574" spans="29:41">
      <c r="AC574" s="153" t="s">
        <v>52</v>
      </c>
      <c r="AD574" s="153" t="s">
        <v>17</v>
      </c>
      <c r="AE574" s="153" t="s">
        <v>72</v>
      </c>
      <c r="AF574" s="153" t="s">
        <v>51</v>
      </c>
      <c r="AG574" s="153" t="s">
        <v>685</v>
      </c>
      <c r="AH574" s="153">
        <v>4.1379331815548976</v>
      </c>
      <c r="AJ574" s="153" t="s">
        <v>52</v>
      </c>
      <c r="AK574" s="153" t="s">
        <v>17</v>
      </c>
      <c r="AL574" s="153" t="s">
        <v>28</v>
      </c>
      <c r="AM574" s="153" t="s">
        <v>51</v>
      </c>
      <c r="AN574" s="153" t="s">
        <v>673</v>
      </c>
      <c r="AO574" s="153">
        <v>1.1805020685064671</v>
      </c>
    </row>
    <row r="575" spans="29:41">
      <c r="AC575" s="153" t="s">
        <v>52</v>
      </c>
      <c r="AD575" s="153" t="s">
        <v>17</v>
      </c>
      <c r="AE575" s="153" t="s">
        <v>72</v>
      </c>
      <c r="AF575" s="153" t="s">
        <v>51</v>
      </c>
      <c r="AG575" s="153" t="s">
        <v>686</v>
      </c>
      <c r="AH575" s="153">
        <v>4.179175990540184</v>
      </c>
      <c r="AJ575" s="153" t="s">
        <v>52</v>
      </c>
      <c r="AK575" s="153" t="s">
        <v>17</v>
      </c>
      <c r="AL575" s="153" t="s">
        <v>28</v>
      </c>
      <c r="AM575" s="153" t="s">
        <v>51</v>
      </c>
      <c r="AN575" s="153" t="s">
        <v>674</v>
      </c>
      <c r="AO575" s="153">
        <v>1.1569583675630193</v>
      </c>
    </row>
    <row r="576" spans="29:41">
      <c r="AC576" s="153" t="s">
        <v>52</v>
      </c>
      <c r="AD576" s="153" t="s">
        <v>17</v>
      </c>
      <c r="AE576" s="153" t="s">
        <v>72</v>
      </c>
      <c r="AF576" s="153" t="s">
        <v>51</v>
      </c>
      <c r="AG576" s="153" t="s">
        <v>687</v>
      </c>
      <c r="AH576" s="153">
        <v>4.1850594213293615</v>
      </c>
      <c r="AJ576" s="153" t="s">
        <v>52</v>
      </c>
      <c r="AK576" s="153" t="s">
        <v>17</v>
      </c>
      <c r="AL576" s="153" t="s">
        <v>28</v>
      </c>
      <c r="AM576" s="153" t="s">
        <v>51</v>
      </c>
      <c r="AN576" s="153" t="s">
        <v>675</v>
      </c>
      <c r="AO576" s="153">
        <v>1.192167450382384</v>
      </c>
    </row>
    <row r="577" spans="29:41">
      <c r="AC577" s="153" t="s">
        <v>52</v>
      </c>
      <c r="AD577" s="153" t="s">
        <v>17</v>
      </c>
      <c r="AE577" s="153" t="s">
        <v>72</v>
      </c>
      <c r="AF577" s="153" t="s">
        <v>51</v>
      </c>
      <c r="AG577" s="153" t="s">
        <v>688</v>
      </c>
      <c r="AH577" s="153">
        <v>4.1497273489473896</v>
      </c>
      <c r="AJ577" s="153" t="s">
        <v>52</v>
      </c>
      <c r="AK577" s="153" t="s">
        <v>17</v>
      </c>
      <c r="AL577" s="153" t="s">
        <v>28</v>
      </c>
      <c r="AM577" s="153" t="s">
        <v>51</v>
      </c>
      <c r="AN577" s="153" t="s">
        <v>676</v>
      </c>
      <c r="AO577" s="153">
        <v>1.1760676856338137</v>
      </c>
    </row>
    <row r="578" spans="29:41">
      <c r="AC578" s="153" t="s">
        <v>52</v>
      </c>
      <c r="AD578" s="153" t="s">
        <v>17</v>
      </c>
      <c r="AE578" s="153" t="s">
        <v>72</v>
      </c>
      <c r="AF578" s="153" t="s">
        <v>51</v>
      </c>
      <c r="AG578" s="153" t="s">
        <v>689</v>
      </c>
      <c r="AH578" s="153">
        <v>4.2437785335995981</v>
      </c>
      <c r="AJ578" s="153" t="s">
        <v>52</v>
      </c>
      <c r="AK578" s="153" t="s">
        <v>17</v>
      </c>
      <c r="AL578" s="153" t="s">
        <v>28</v>
      </c>
      <c r="AM578" s="153" t="s">
        <v>51</v>
      </c>
      <c r="AN578" s="153" t="s">
        <v>677</v>
      </c>
      <c r="AO578" s="153">
        <v>1.185246758274807</v>
      </c>
    </row>
    <row r="579" spans="29:41">
      <c r="AC579" s="153" t="s">
        <v>52</v>
      </c>
      <c r="AD579" s="153" t="s">
        <v>17</v>
      </c>
      <c r="AE579" s="153" t="s">
        <v>72</v>
      </c>
      <c r="AF579" s="153" t="s">
        <v>51</v>
      </c>
      <c r="AG579" s="153" t="s">
        <v>690</v>
      </c>
      <c r="AH579" s="153">
        <v>4.2467090001112977</v>
      </c>
      <c r="AJ579" s="153" t="s">
        <v>52</v>
      </c>
      <c r="AK579" s="153" t="s">
        <v>17</v>
      </c>
      <c r="AL579" s="153" t="s">
        <v>28</v>
      </c>
      <c r="AM579" s="153" t="s">
        <v>51</v>
      </c>
      <c r="AN579" s="153" t="s">
        <v>678</v>
      </c>
      <c r="AO579" s="153">
        <v>1.2075545772914937</v>
      </c>
    </row>
    <row r="580" spans="29:41">
      <c r="AC580" s="153" t="s">
        <v>52</v>
      </c>
      <c r="AD580" s="153" t="s">
        <v>17</v>
      </c>
      <c r="AE580" s="153" t="s">
        <v>72</v>
      </c>
      <c r="AF580" s="153" t="s">
        <v>51</v>
      </c>
      <c r="AG580" s="153" t="s">
        <v>691</v>
      </c>
      <c r="AH580" s="153">
        <v>4.2718381667285747</v>
      </c>
      <c r="AJ580" s="153" t="s">
        <v>52</v>
      </c>
      <c r="AK580" s="153" t="s">
        <v>17</v>
      </c>
      <c r="AL580" s="153" t="s">
        <v>28</v>
      </c>
      <c r="AM580" s="153" t="s">
        <v>51</v>
      </c>
      <c r="AN580" s="153" t="s">
        <v>679</v>
      </c>
      <c r="AO580" s="153">
        <v>1.229743612939866</v>
      </c>
    </row>
    <row r="581" spans="29:41">
      <c r="AC581" s="153" t="s">
        <v>52</v>
      </c>
      <c r="AD581" s="153" t="s">
        <v>17</v>
      </c>
      <c r="AE581" s="153" t="s">
        <v>72</v>
      </c>
      <c r="AF581" s="153" t="s">
        <v>51</v>
      </c>
      <c r="AG581" s="153" t="s">
        <v>692</v>
      </c>
      <c r="AH581" s="153">
        <v>4.3127558811293758</v>
      </c>
      <c r="AJ581" s="153" t="s">
        <v>52</v>
      </c>
      <c r="AK581" s="153" t="s">
        <v>17</v>
      </c>
      <c r="AL581" s="153" t="s">
        <v>28</v>
      </c>
      <c r="AM581" s="153" t="s">
        <v>51</v>
      </c>
      <c r="AN581" s="153" t="s">
        <v>680</v>
      </c>
      <c r="AO581" s="153">
        <v>1.2726383676814945</v>
      </c>
    </row>
    <row r="582" spans="29:41">
      <c r="AC582" s="153" t="s">
        <v>52</v>
      </c>
      <c r="AD582" s="153" t="s">
        <v>17</v>
      </c>
      <c r="AE582" s="153" t="s">
        <v>72</v>
      </c>
      <c r="AF582" s="153" t="s">
        <v>51</v>
      </c>
      <c r="AG582" s="153" t="s">
        <v>693</v>
      </c>
      <c r="AH582" s="153">
        <v>4.2718381667285747</v>
      </c>
      <c r="AJ582" s="153" t="s">
        <v>52</v>
      </c>
      <c r="AK582" s="153" t="s">
        <v>17</v>
      </c>
      <c r="AL582" s="153" t="s">
        <v>28</v>
      </c>
      <c r="AM582" s="153" t="s">
        <v>51</v>
      </c>
      <c r="AN582" s="153" t="s">
        <v>681</v>
      </c>
      <c r="AO582" s="153">
        <v>1.255905248983336</v>
      </c>
    </row>
    <row r="583" spans="29:41">
      <c r="AC583" s="153" t="s">
        <v>52</v>
      </c>
      <c r="AD583" s="153" t="s">
        <v>17</v>
      </c>
      <c r="AE583" s="153" t="s">
        <v>72</v>
      </c>
      <c r="AF583" s="153" t="s">
        <v>51</v>
      </c>
      <c r="AG583" s="153" t="s">
        <v>694</v>
      </c>
      <c r="AH583" s="153">
        <v>4.2161439941639536</v>
      </c>
      <c r="AJ583" s="153" t="s">
        <v>52</v>
      </c>
      <c r="AK583" s="153" t="s">
        <v>17</v>
      </c>
      <c r="AL583" s="153" t="s">
        <v>28</v>
      </c>
      <c r="AM583" s="153" t="s">
        <v>51</v>
      </c>
      <c r="AN583" s="153" t="s">
        <v>682</v>
      </c>
      <c r="AO583" s="153">
        <v>1.2214281283035935</v>
      </c>
    </row>
    <row r="584" spans="29:41">
      <c r="AC584" s="153" t="s">
        <v>52</v>
      </c>
      <c r="AD584" s="153" t="s">
        <v>17</v>
      </c>
      <c r="AE584" s="153" t="s">
        <v>72</v>
      </c>
      <c r="AF584" s="153" t="s">
        <v>51</v>
      </c>
      <c r="AG584" s="153" t="s">
        <v>695</v>
      </c>
      <c r="AH584" s="153">
        <v>4.2220153961616571</v>
      </c>
      <c r="AJ584" s="153" t="s">
        <v>52</v>
      </c>
      <c r="AK584" s="153" t="s">
        <v>17</v>
      </c>
      <c r="AL584" s="153" t="s">
        <v>28</v>
      </c>
      <c r="AM584" s="153" t="s">
        <v>51</v>
      </c>
      <c r="AN584" s="153" t="s">
        <v>683</v>
      </c>
      <c r="AO584" s="153">
        <v>1.2522931766629719</v>
      </c>
    </row>
    <row r="585" spans="29:41">
      <c r="AC585" s="153" t="s">
        <v>52</v>
      </c>
      <c r="AD585" s="153" t="s">
        <v>17</v>
      </c>
      <c r="AE585" s="153" t="s">
        <v>72</v>
      </c>
      <c r="AF585" s="153" t="s">
        <v>51</v>
      </c>
      <c r="AG585" s="153" t="s">
        <v>696</v>
      </c>
      <c r="AH585" s="153">
        <v>4.2026971345497621</v>
      </c>
      <c r="AJ585" s="153" t="s">
        <v>52</v>
      </c>
      <c r="AK585" s="153" t="s">
        <v>17</v>
      </c>
      <c r="AL585" s="153" t="s">
        <v>28</v>
      </c>
      <c r="AM585" s="153" t="s">
        <v>51</v>
      </c>
      <c r="AN585" s="153" t="s">
        <v>684</v>
      </c>
      <c r="AO585" s="153">
        <v>1.2319288010269918</v>
      </c>
    </row>
    <row r="586" spans="29:41">
      <c r="AC586" s="153" t="s">
        <v>52</v>
      </c>
      <c r="AD586" s="153" t="s">
        <v>17</v>
      </c>
      <c r="AE586" s="153" t="s">
        <v>72</v>
      </c>
      <c r="AF586" s="153" t="s">
        <v>51</v>
      </c>
      <c r="AG586" s="153" t="s">
        <v>697</v>
      </c>
      <c r="AH586" s="153">
        <v>4.2190799560072145</v>
      </c>
      <c r="AJ586" s="153" t="s">
        <v>52</v>
      </c>
      <c r="AK586" s="153" t="s">
        <v>17</v>
      </c>
      <c r="AL586" s="153" t="s">
        <v>28</v>
      </c>
      <c r="AM586" s="153" t="s">
        <v>51</v>
      </c>
      <c r="AN586" s="153" t="s">
        <v>685</v>
      </c>
      <c r="AO586" s="153">
        <v>1.2073394971163478</v>
      </c>
    </row>
    <row r="587" spans="29:41">
      <c r="AC587" s="153" t="s">
        <v>52</v>
      </c>
      <c r="AD587" s="153" t="s">
        <v>17</v>
      </c>
      <c r="AE587" s="153" t="s">
        <v>72</v>
      </c>
      <c r="AF587" s="153" t="s">
        <v>51</v>
      </c>
      <c r="AG587" s="153" t="s">
        <v>698</v>
      </c>
      <c r="AH587" s="153">
        <v>4.2144451362355886</v>
      </c>
      <c r="AJ587" s="153" t="s">
        <v>52</v>
      </c>
      <c r="AK587" s="153" t="s">
        <v>17</v>
      </c>
      <c r="AL587" s="153" t="s">
        <v>28</v>
      </c>
      <c r="AM587" s="153" t="s">
        <v>51</v>
      </c>
      <c r="AN587" s="153" t="s">
        <v>686</v>
      </c>
      <c r="AO587" s="153">
        <v>1.2387515884530342</v>
      </c>
    </row>
    <row r="588" spans="29:41">
      <c r="AC588" s="153" t="s">
        <v>52</v>
      </c>
      <c r="AD588" s="153" t="s">
        <v>17</v>
      </c>
      <c r="AE588" s="153" t="s">
        <v>72</v>
      </c>
      <c r="AF588" s="153" t="s">
        <v>51</v>
      </c>
      <c r="AG588" s="153" t="s">
        <v>699</v>
      </c>
      <c r="AH588" s="153">
        <v>4.2026971345497621</v>
      </c>
      <c r="AJ588" s="153" t="s">
        <v>52</v>
      </c>
      <c r="AK588" s="153" t="s">
        <v>17</v>
      </c>
      <c r="AL588" s="153" t="s">
        <v>28</v>
      </c>
      <c r="AM588" s="153" t="s">
        <v>51</v>
      </c>
      <c r="AN588" s="153" t="s">
        <v>687</v>
      </c>
      <c r="AO588" s="153">
        <v>1.2049713418378516</v>
      </c>
    </row>
    <row r="589" spans="29:41">
      <c r="AC589" s="153" t="s">
        <v>52</v>
      </c>
      <c r="AD589" s="153" t="s">
        <v>17</v>
      </c>
      <c r="AE589" s="153" t="s">
        <v>72</v>
      </c>
      <c r="AF589" s="153" t="s">
        <v>51</v>
      </c>
      <c r="AG589" s="153" t="s">
        <v>700</v>
      </c>
      <c r="AH589" s="153">
        <v>4.110546483372512</v>
      </c>
      <c r="AJ589" s="153" t="s">
        <v>52</v>
      </c>
      <c r="AK589" s="153" t="s">
        <v>17</v>
      </c>
      <c r="AL589" s="153" t="s">
        <v>28</v>
      </c>
      <c r="AM589" s="153" t="s">
        <v>51</v>
      </c>
      <c r="AN589" s="153" t="s">
        <v>688</v>
      </c>
      <c r="AO589" s="153">
        <v>1.1271129508062399</v>
      </c>
    </row>
    <row r="590" spans="29:41">
      <c r="AC590" s="153" t="s">
        <v>52</v>
      </c>
      <c r="AD590" s="153" t="s">
        <v>17</v>
      </c>
      <c r="AE590" s="153" t="s">
        <v>72</v>
      </c>
      <c r="AF590" s="153" t="s">
        <v>51</v>
      </c>
      <c r="AG590" s="153" t="s">
        <v>701</v>
      </c>
      <c r="AH590" s="153">
        <v>4.1467795957841771</v>
      </c>
      <c r="AJ590" s="153" t="s">
        <v>52</v>
      </c>
      <c r="AK590" s="153" t="s">
        <v>17</v>
      </c>
      <c r="AL590" s="153" t="s">
        <v>28</v>
      </c>
      <c r="AM590" s="153" t="s">
        <v>51</v>
      </c>
      <c r="AN590" s="153" t="s">
        <v>689</v>
      </c>
      <c r="AO590" s="153">
        <v>1.1699179224694483</v>
      </c>
    </row>
    <row r="591" spans="29:41">
      <c r="AC591" s="153" t="s">
        <v>52</v>
      </c>
      <c r="AD591" s="153" t="s">
        <v>17</v>
      </c>
      <c r="AE591" s="153" t="s">
        <v>72</v>
      </c>
      <c r="AF591" s="153" t="s">
        <v>51</v>
      </c>
      <c r="AG591" s="153" t="s">
        <v>702</v>
      </c>
      <c r="AH591" s="153">
        <v>4.1732904617539637</v>
      </c>
      <c r="AJ591" s="153" t="s">
        <v>52</v>
      </c>
      <c r="AK591" s="153" t="s">
        <v>17</v>
      </c>
      <c r="AL591" s="153" t="s">
        <v>28</v>
      </c>
      <c r="AM591" s="153" t="s">
        <v>51</v>
      </c>
      <c r="AN591" s="153" t="s">
        <v>690</v>
      </c>
      <c r="AO591" s="153">
        <v>1.1925092568833178</v>
      </c>
    </row>
    <row r="592" spans="29:41">
      <c r="AC592" s="153" t="s">
        <v>52</v>
      </c>
      <c r="AD592" s="153" t="s">
        <v>17</v>
      </c>
      <c r="AE592" s="153" t="s">
        <v>72</v>
      </c>
      <c r="AF592" s="153" t="s">
        <v>51</v>
      </c>
      <c r="AG592" s="153" t="s">
        <v>703</v>
      </c>
      <c r="AH592" s="153">
        <v>4.2203159975859652</v>
      </c>
      <c r="AJ592" s="153" t="s">
        <v>52</v>
      </c>
      <c r="AK592" s="153" t="s">
        <v>17</v>
      </c>
      <c r="AL592" s="153" t="s">
        <v>28</v>
      </c>
      <c r="AM592" s="153" t="s">
        <v>51</v>
      </c>
      <c r="AN592" s="153" t="s">
        <v>691</v>
      </c>
      <c r="AO592" s="153">
        <v>1.1657364137885846</v>
      </c>
    </row>
    <row r="593" spans="29:41">
      <c r="AC593" s="153" t="s">
        <v>52</v>
      </c>
      <c r="AD593" s="153" t="s">
        <v>17</v>
      </c>
      <c r="AE593" s="153" t="s">
        <v>72</v>
      </c>
      <c r="AF593" s="153" t="s">
        <v>51</v>
      </c>
      <c r="AG593" s="153" t="s">
        <v>704</v>
      </c>
      <c r="AH593" s="153">
        <v>4.1732904617539637</v>
      </c>
      <c r="AJ593" s="153" t="s">
        <v>52</v>
      </c>
      <c r="AK593" s="153" t="s">
        <v>17</v>
      </c>
      <c r="AL593" s="153" t="s">
        <v>28</v>
      </c>
      <c r="AM593" s="153" t="s">
        <v>51</v>
      </c>
      <c r="AN593" s="153" t="s">
        <v>692</v>
      </c>
      <c r="AO593" s="153">
        <v>1.2308894859033459</v>
      </c>
    </row>
    <row r="594" spans="29:41">
      <c r="AC594" s="153" t="s">
        <v>52</v>
      </c>
      <c r="AD594" s="153" t="s">
        <v>17</v>
      </c>
      <c r="AE594" s="153" t="s">
        <v>72</v>
      </c>
      <c r="AF594" s="153" t="s">
        <v>51</v>
      </c>
      <c r="AG594" s="153" t="s">
        <v>705</v>
      </c>
      <c r="AH594" s="153">
        <v>4.2232506437744561</v>
      </c>
      <c r="AJ594" s="153" t="s">
        <v>52</v>
      </c>
      <c r="AK594" s="153" t="s">
        <v>17</v>
      </c>
      <c r="AL594" s="153" t="s">
        <v>28</v>
      </c>
      <c r="AM594" s="153" t="s">
        <v>51</v>
      </c>
      <c r="AN594" s="153" t="s">
        <v>693</v>
      </c>
      <c r="AO594" s="153">
        <v>1.2026112774903446</v>
      </c>
    </row>
    <row r="595" spans="29:41">
      <c r="AC595" s="153" t="s">
        <v>52</v>
      </c>
      <c r="AD595" s="153" t="s">
        <v>17</v>
      </c>
      <c r="AE595" s="153" t="s">
        <v>72</v>
      </c>
      <c r="AF595" s="153" t="s">
        <v>51</v>
      </c>
      <c r="AG595" s="153" t="s">
        <v>706</v>
      </c>
      <c r="AH595" s="153">
        <v>4.2437785335995981</v>
      </c>
      <c r="AJ595" s="153" t="s">
        <v>52</v>
      </c>
      <c r="AK595" s="153" t="s">
        <v>17</v>
      </c>
      <c r="AL595" s="153" t="s">
        <v>28</v>
      </c>
      <c r="AM595" s="153" t="s">
        <v>51</v>
      </c>
      <c r="AN595" s="153" t="s">
        <v>694</v>
      </c>
      <c r="AO595" s="153">
        <v>1.2021074340013433</v>
      </c>
    </row>
    <row r="596" spans="29:41">
      <c r="AC596" s="153" t="s">
        <v>52</v>
      </c>
      <c r="AD596" s="153" t="s">
        <v>17</v>
      </c>
      <c r="AE596" s="153" t="s">
        <v>72</v>
      </c>
      <c r="AF596" s="153" t="s">
        <v>51</v>
      </c>
      <c r="AG596" s="153" t="s">
        <v>707</v>
      </c>
      <c r="AH596" s="153">
        <v>4.1821179681285399</v>
      </c>
      <c r="AJ596" s="153" t="s">
        <v>52</v>
      </c>
      <c r="AK596" s="153" t="s">
        <v>17</v>
      </c>
      <c r="AL596" s="153" t="s">
        <v>28</v>
      </c>
      <c r="AM596" s="153" t="s">
        <v>51</v>
      </c>
      <c r="AN596" s="153" t="s">
        <v>695</v>
      </c>
      <c r="AO596" s="153">
        <v>1.1893954078742268</v>
      </c>
    </row>
    <row r="597" spans="29:41">
      <c r="AC597" s="153" t="s">
        <v>52</v>
      </c>
      <c r="AD597" s="153" t="s">
        <v>17</v>
      </c>
      <c r="AE597" s="153" t="s">
        <v>72</v>
      </c>
      <c r="AF597" s="153" t="s">
        <v>51</v>
      </c>
      <c r="AG597" s="153" t="s">
        <v>708</v>
      </c>
      <c r="AH597" s="153">
        <v>4.1615131066523583</v>
      </c>
      <c r="AJ597" s="153" t="s">
        <v>52</v>
      </c>
      <c r="AK597" s="153" t="s">
        <v>17</v>
      </c>
      <c r="AL597" s="153" t="s">
        <v>28</v>
      </c>
      <c r="AM597" s="153" t="s">
        <v>51</v>
      </c>
      <c r="AN597" s="153" t="s">
        <v>696</v>
      </c>
      <c r="AO597" s="153">
        <v>1.1868759033304317</v>
      </c>
    </row>
    <row r="598" spans="29:41">
      <c r="AC598" s="153" t="s">
        <v>52</v>
      </c>
      <c r="AD598" s="153" t="s">
        <v>17</v>
      </c>
      <c r="AE598" s="153" t="s">
        <v>72</v>
      </c>
      <c r="AF598" s="153" t="s">
        <v>51</v>
      </c>
      <c r="AG598" s="153" t="s">
        <v>709</v>
      </c>
      <c r="AH598" s="153">
        <v>4.1290820328863767</v>
      </c>
      <c r="AJ598" s="153" t="s">
        <v>52</v>
      </c>
      <c r="AK598" s="153" t="s">
        <v>17</v>
      </c>
      <c r="AL598" s="153" t="s">
        <v>28</v>
      </c>
      <c r="AM598" s="153" t="s">
        <v>51</v>
      </c>
      <c r="AN598" s="153" t="s">
        <v>697</v>
      </c>
      <c r="AO598" s="153">
        <v>1.2144767276016748</v>
      </c>
    </row>
    <row r="599" spans="29:41">
      <c r="AC599" s="153" t="s">
        <v>52</v>
      </c>
      <c r="AD599" s="153" t="s">
        <v>17</v>
      </c>
      <c r="AE599" s="153" t="s">
        <v>72</v>
      </c>
      <c r="AF599" s="153" t="s">
        <v>51</v>
      </c>
      <c r="AG599" s="153" t="s">
        <v>710</v>
      </c>
      <c r="AH599" s="153">
        <v>4.1290820328863767</v>
      </c>
      <c r="AJ599" s="153" t="s">
        <v>52</v>
      </c>
      <c r="AK599" s="153" t="s">
        <v>17</v>
      </c>
      <c r="AL599" s="153" t="s">
        <v>28</v>
      </c>
      <c r="AM599" s="153" t="s">
        <v>51</v>
      </c>
      <c r="AN599" s="153" t="s">
        <v>698</v>
      </c>
      <c r="AO599" s="153">
        <v>1.2438808528610186</v>
      </c>
    </row>
    <row r="600" spans="29:41">
      <c r="AC600" s="153" t="s">
        <v>52</v>
      </c>
      <c r="AD600" s="153" t="s">
        <v>17</v>
      </c>
      <c r="AE600" s="153" t="s">
        <v>72</v>
      </c>
      <c r="AF600" s="153" t="s">
        <v>51</v>
      </c>
      <c r="AG600" s="153" t="s">
        <v>711</v>
      </c>
      <c r="AH600" s="153">
        <v>4.1349833248614178</v>
      </c>
      <c r="AJ600" s="153" t="s">
        <v>52</v>
      </c>
      <c r="AK600" s="153" t="s">
        <v>17</v>
      </c>
      <c r="AL600" s="153" t="s">
        <v>28</v>
      </c>
      <c r="AM600" s="153" t="s">
        <v>51</v>
      </c>
      <c r="AN600" s="153" t="s">
        <v>699</v>
      </c>
      <c r="AO600" s="153">
        <v>1.2302329760756421</v>
      </c>
    </row>
    <row r="601" spans="29:41">
      <c r="AC601" s="153" t="s">
        <v>52</v>
      </c>
      <c r="AD601" s="153" t="s">
        <v>17</v>
      </c>
      <c r="AE601" s="153" t="s">
        <v>72</v>
      </c>
      <c r="AF601" s="153" t="s">
        <v>51</v>
      </c>
      <c r="AG601" s="153" t="s">
        <v>712</v>
      </c>
      <c r="AH601" s="153">
        <v>4.1202261467859813</v>
      </c>
      <c r="AJ601" s="153" t="s">
        <v>52</v>
      </c>
      <c r="AK601" s="153" t="s">
        <v>17</v>
      </c>
      <c r="AL601" s="153" t="s">
        <v>28</v>
      </c>
      <c r="AM601" s="153" t="s">
        <v>51</v>
      </c>
      <c r="AN601" s="153" t="s">
        <v>700</v>
      </c>
      <c r="AO601" s="153">
        <v>1.1679713708306518</v>
      </c>
    </row>
    <row r="602" spans="29:41">
      <c r="AC602" s="153" t="s">
        <v>52</v>
      </c>
      <c r="AD602" s="153" t="s">
        <v>17</v>
      </c>
      <c r="AE602" s="153" t="s">
        <v>72</v>
      </c>
      <c r="AF602" s="153" t="s">
        <v>51</v>
      </c>
      <c r="AG602" s="153" t="s">
        <v>713</v>
      </c>
      <c r="AH602" s="153">
        <v>4.0957703393502847</v>
      </c>
      <c r="AJ602" s="153" t="s">
        <v>52</v>
      </c>
      <c r="AK602" s="153" t="s">
        <v>17</v>
      </c>
      <c r="AL602" s="153" t="s">
        <v>28</v>
      </c>
      <c r="AM602" s="153" t="s">
        <v>51</v>
      </c>
      <c r="AN602" s="153" t="s">
        <v>701</v>
      </c>
      <c r="AO602" s="153">
        <v>1.1928579304440572</v>
      </c>
    </row>
    <row r="603" spans="29:41">
      <c r="AC603" s="153" t="s">
        <v>52</v>
      </c>
      <c r="AD603" s="153" t="s">
        <v>17</v>
      </c>
      <c r="AE603" s="153" t="s">
        <v>72</v>
      </c>
      <c r="AF603" s="153" t="s">
        <v>51</v>
      </c>
      <c r="AG603" s="153" t="s">
        <v>714</v>
      </c>
      <c r="AH603" s="153">
        <v>4.1075923118200182</v>
      </c>
      <c r="AJ603" s="153" t="s">
        <v>52</v>
      </c>
      <c r="AK603" s="153" t="s">
        <v>17</v>
      </c>
      <c r="AL603" s="153" t="s">
        <v>28</v>
      </c>
      <c r="AM603" s="153" t="s">
        <v>51</v>
      </c>
      <c r="AN603" s="153" t="s">
        <v>702</v>
      </c>
      <c r="AO603" s="153">
        <v>1.1511360305840741</v>
      </c>
    </row>
    <row r="604" spans="29:41">
      <c r="AC604" s="153" t="s">
        <v>52</v>
      </c>
      <c r="AD604" s="153" t="s">
        <v>17</v>
      </c>
      <c r="AE604" s="153" t="s">
        <v>72</v>
      </c>
      <c r="AF604" s="153" t="s">
        <v>51</v>
      </c>
      <c r="AG604" s="153" t="s">
        <v>715</v>
      </c>
      <c r="AH604" s="153">
        <v>4.1075923118200182</v>
      </c>
      <c r="AJ604" s="153" t="s">
        <v>52</v>
      </c>
      <c r="AK604" s="153" t="s">
        <v>17</v>
      </c>
      <c r="AL604" s="153" t="s">
        <v>28</v>
      </c>
      <c r="AM604" s="153" t="s">
        <v>51</v>
      </c>
      <c r="AN604" s="153" t="s">
        <v>703</v>
      </c>
      <c r="AO604" s="153">
        <v>1.2502030074541353</v>
      </c>
    </row>
    <row r="605" spans="29:41">
      <c r="AC605" s="153" t="s">
        <v>52</v>
      </c>
      <c r="AD605" s="153" t="s">
        <v>17</v>
      </c>
      <c r="AE605" s="153" t="s">
        <v>72</v>
      </c>
      <c r="AF605" s="153" t="s">
        <v>51</v>
      </c>
      <c r="AG605" s="153" t="s">
        <v>716</v>
      </c>
      <c r="AH605" s="153">
        <v>4.0839399035018316</v>
      </c>
      <c r="AJ605" s="153" t="s">
        <v>52</v>
      </c>
      <c r="AK605" s="153" t="s">
        <v>17</v>
      </c>
      <c r="AL605" s="153" t="s">
        <v>28</v>
      </c>
      <c r="AM605" s="153" t="s">
        <v>51</v>
      </c>
      <c r="AN605" s="153" t="s">
        <v>704</v>
      </c>
      <c r="AO605" s="153">
        <v>1.1794634178543535</v>
      </c>
    </row>
    <row r="606" spans="29:41">
      <c r="AC606" s="153" t="s">
        <v>52</v>
      </c>
      <c r="AD606" s="153" t="s">
        <v>17</v>
      </c>
      <c r="AE606" s="153" t="s">
        <v>72</v>
      </c>
      <c r="AF606" s="153" t="s">
        <v>51</v>
      </c>
      <c r="AG606" s="153" t="s">
        <v>717</v>
      </c>
      <c r="AH606" s="153">
        <v>4.1194058280557355</v>
      </c>
      <c r="AJ606" s="153" t="s">
        <v>52</v>
      </c>
      <c r="AK606" s="153" t="s">
        <v>17</v>
      </c>
      <c r="AL606" s="153" t="s">
        <v>28</v>
      </c>
      <c r="AM606" s="153" t="s">
        <v>51</v>
      </c>
      <c r="AN606" s="153" t="s">
        <v>705</v>
      </c>
      <c r="AO606" s="153">
        <v>1.2492365704296258</v>
      </c>
    </row>
    <row r="607" spans="29:41">
      <c r="AC607" s="153" t="s">
        <v>52</v>
      </c>
      <c r="AD607" s="153" t="s">
        <v>17</v>
      </c>
      <c r="AE607" s="153" t="s">
        <v>72</v>
      </c>
      <c r="AF607" s="153" t="s">
        <v>51</v>
      </c>
      <c r="AG607" s="153" t="s">
        <v>718</v>
      </c>
      <c r="AH607" s="153">
        <v>4.1290820328863767</v>
      </c>
      <c r="AJ607" s="153" t="s">
        <v>52</v>
      </c>
      <c r="AK607" s="153" t="s">
        <v>17</v>
      </c>
      <c r="AL607" s="153" t="s">
        <v>28</v>
      </c>
      <c r="AM607" s="153" t="s">
        <v>51</v>
      </c>
      <c r="AN607" s="153" t="s">
        <v>706</v>
      </c>
      <c r="AO607" s="153">
        <v>1.2674022911424478</v>
      </c>
    </row>
    <row r="608" spans="29:41">
      <c r="AC608" s="153" t="s">
        <v>52</v>
      </c>
      <c r="AD608" s="153" t="s">
        <v>17</v>
      </c>
      <c r="AE608" s="153" t="s">
        <v>72</v>
      </c>
      <c r="AF608" s="153" t="s">
        <v>51</v>
      </c>
      <c r="AG608" s="153" t="s">
        <v>719</v>
      </c>
      <c r="AH608" s="153">
        <v>4.099543972372329</v>
      </c>
      <c r="AJ608" s="153" t="s">
        <v>52</v>
      </c>
      <c r="AK608" s="153" t="s">
        <v>17</v>
      </c>
      <c r="AL608" s="153" t="s">
        <v>28</v>
      </c>
      <c r="AM608" s="153" t="s">
        <v>51</v>
      </c>
      <c r="AN608" s="153" t="s">
        <v>707</v>
      </c>
      <c r="AO608" s="153">
        <v>1.2417512091488299</v>
      </c>
    </row>
    <row r="609" spans="29:41">
      <c r="AC609" s="153" t="s">
        <v>52</v>
      </c>
      <c r="AD609" s="153" t="s">
        <v>17</v>
      </c>
      <c r="AE609" s="153" t="s">
        <v>72</v>
      </c>
      <c r="AF609" s="153" t="s">
        <v>51</v>
      </c>
      <c r="AG609" s="153" t="s">
        <v>720</v>
      </c>
      <c r="AH609" s="153">
        <v>4.0839399035018316</v>
      </c>
      <c r="AJ609" s="153" t="s">
        <v>52</v>
      </c>
      <c r="AK609" s="153" t="s">
        <v>17</v>
      </c>
      <c r="AL609" s="153" t="s">
        <v>28</v>
      </c>
      <c r="AM609" s="153" t="s">
        <v>51</v>
      </c>
      <c r="AN609" s="153" t="s">
        <v>708</v>
      </c>
      <c r="AO609" s="153">
        <v>1.2136588870442981</v>
      </c>
    </row>
    <row r="610" spans="29:41">
      <c r="AC610" s="153" t="s">
        <v>52</v>
      </c>
      <c r="AD610" s="153" t="s">
        <v>17</v>
      </c>
      <c r="AE610" s="153" t="s">
        <v>72</v>
      </c>
      <c r="AF610" s="153" t="s">
        <v>51</v>
      </c>
      <c r="AG610" s="153" t="s">
        <v>721</v>
      </c>
      <c r="AH610" s="153">
        <v>4.105455800854287</v>
      </c>
      <c r="AJ610" s="153" t="s">
        <v>52</v>
      </c>
      <c r="AK610" s="153" t="s">
        <v>17</v>
      </c>
      <c r="AL610" s="153" t="s">
        <v>28</v>
      </c>
      <c r="AM610" s="153" t="s">
        <v>51</v>
      </c>
      <c r="AN610" s="153" t="s">
        <v>709</v>
      </c>
      <c r="AO610" s="153">
        <v>1.2100539817434766</v>
      </c>
    </row>
    <row r="611" spans="29:41">
      <c r="AC611" s="153" t="s">
        <v>52</v>
      </c>
      <c r="AD611" s="153" t="s">
        <v>17</v>
      </c>
      <c r="AE611" s="153" t="s">
        <v>72</v>
      </c>
      <c r="AF611" s="153" t="s">
        <v>51</v>
      </c>
      <c r="AG611" s="153" t="s">
        <v>722</v>
      </c>
      <c r="AH611" s="153">
        <v>4.0936300339223344</v>
      </c>
      <c r="AJ611" s="153" t="s">
        <v>52</v>
      </c>
      <c r="AK611" s="153" t="s">
        <v>17</v>
      </c>
      <c r="AL611" s="153" t="s">
        <v>28</v>
      </c>
      <c r="AM611" s="153" t="s">
        <v>51</v>
      </c>
      <c r="AN611" s="153" t="s">
        <v>710</v>
      </c>
      <c r="AO611" s="153">
        <v>1.1821410892237167</v>
      </c>
    </row>
    <row r="612" spans="29:41">
      <c r="AC612" s="153" t="s">
        <v>52</v>
      </c>
      <c r="AD612" s="153" t="s">
        <v>17</v>
      </c>
      <c r="AE612" s="153" t="s">
        <v>72</v>
      </c>
      <c r="AF612" s="153" t="s">
        <v>51</v>
      </c>
      <c r="AG612" s="153" t="s">
        <v>723</v>
      </c>
      <c r="AH612" s="153">
        <v>4.0936300339223344</v>
      </c>
      <c r="AJ612" s="153" t="s">
        <v>52</v>
      </c>
      <c r="AK612" s="153" t="s">
        <v>17</v>
      </c>
      <c r="AL612" s="153" t="s">
        <v>28</v>
      </c>
      <c r="AM612" s="153" t="s">
        <v>51</v>
      </c>
      <c r="AN612" s="153" t="s">
        <v>711</v>
      </c>
      <c r="AO612" s="153">
        <v>1.2012827856475985</v>
      </c>
    </row>
    <row r="613" spans="29:41">
      <c r="AC613" s="153" t="s">
        <v>52</v>
      </c>
      <c r="AD613" s="153" t="s">
        <v>17</v>
      </c>
      <c r="AE613" s="153" t="s">
        <v>72</v>
      </c>
      <c r="AF613" s="153" t="s">
        <v>51</v>
      </c>
      <c r="AG613" s="153" t="s">
        <v>724</v>
      </c>
      <c r="AH613" s="153">
        <v>4.0936300339223344</v>
      </c>
      <c r="AJ613" s="153" t="s">
        <v>52</v>
      </c>
      <c r="AK613" s="153" t="s">
        <v>17</v>
      </c>
      <c r="AL613" s="153" t="s">
        <v>28</v>
      </c>
      <c r="AM613" s="153" t="s">
        <v>51</v>
      </c>
      <c r="AN613" s="153" t="s">
        <v>712</v>
      </c>
      <c r="AO613" s="153">
        <v>1.1669483712051516</v>
      </c>
    </row>
    <row r="614" spans="29:41">
      <c r="AC614" s="153" t="s">
        <v>52</v>
      </c>
      <c r="AD614" s="153" t="s">
        <v>17</v>
      </c>
      <c r="AE614" s="153" t="s">
        <v>72</v>
      </c>
      <c r="AF614" s="153" t="s">
        <v>51</v>
      </c>
      <c r="AG614" s="153" t="s">
        <v>725</v>
      </c>
      <c r="AH614" s="153">
        <v>3.9979154753353749</v>
      </c>
      <c r="AJ614" s="153" t="s">
        <v>52</v>
      </c>
      <c r="AK614" s="153" t="s">
        <v>17</v>
      </c>
      <c r="AL614" s="153" t="s">
        <v>28</v>
      </c>
      <c r="AM614" s="153" t="s">
        <v>51</v>
      </c>
      <c r="AN614" s="153" t="s">
        <v>713</v>
      </c>
      <c r="AO614" s="153">
        <v>1.1808576127171746</v>
      </c>
    </row>
    <row r="615" spans="29:41">
      <c r="AC615" s="153" t="s">
        <v>52</v>
      </c>
      <c r="AD615" s="153" t="s">
        <v>17</v>
      </c>
      <c r="AE615" s="153" t="s">
        <v>72</v>
      </c>
      <c r="AF615" s="153" t="s">
        <v>51</v>
      </c>
      <c r="AG615" s="153" t="s">
        <v>726</v>
      </c>
      <c r="AH615" s="153">
        <v>3.9979154753353749</v>
      </c>
      <c r="AJ615" s="153" t="s">
        <v>52</v>
      </c>
      <c r="AK615" s="153" t="s">
        <v>17</v>
      </c>
      <c r="AL615" s="153" t="s">
        <v>28</v>
      </c>
      <c r="AM615" s="153" t="s">
        <v>51</v>
      </c>
      <c r="AN615" s="153" t="s">
        <v>714</v>
      </c>
      <c r="AO615" s="153">
        <v>1.201811041341988</v>
      </c>
    </row>
    <row r="616" spans="29:41">
      <c r="AC616" s="153" t="s">
        <v>52</v>
      </c>
      <c r="AD616" s="153" t="s">
        <v>17</v>
      </c>
      <c r="AE616" s="153" t="s">
        <v>72</v>
      </c>
      <c r="AF616" s="153" t="s">
        <v>51</v>
      </c>
      <c r="AG616" s="153" t="s">
        <v>426</v>
      </c>
      <c r="AH616" s="153">
        <v>4.0424666256249511</v>
      </c>
      <c r="AJ616" s="153" t="s">
        <v>52</v>
      </c>
      <c r="AK616" s="153" t="s">
        <v>17</v>
      </c>
      <c r="AL616" s="153" t="s">
        <v>28</v>
      </c>
      <c r="AM616" s="153" t="s">
        <v>51</v>
      </c>
      <c r="AN616" s="153" t="s">
        <v>715</v>
      </c>
      <c r="AO616" s="153">
        <v>1.2207484339035477</v>
      </c>
    </row>
    <row r="617" spans="29:41">
      <c r="AC617" s="153" t="s">
        <v>52</v>
      </c>
      <c r="AD617" s="153" t="s">
        <v>17</v>
      </c>
      <c r="AE617" s="153" t="s">
        <v>72</v>
      </c>
      <c r="AF617" s="153" t="s">
        <v>51</v>
      </c>
      <c r="AG617" s="153" t="s">
        <v>727</v>
      </c>
      <c r="AH617" s="153">
        <v>4.0305980159846175</v>
      </c>
      <c r="AJ617" s="153" t="s">
        <v>52</v>
      </c>
      <c r="AK617" s="153" t="s">
        <v>17</v>
      </c>
      <c r="AL617" s="153" t="s">
        <v>28</v>
      </c>
      <c r="AM617" s="153" t="s">
        <v>51</v>
      </c>
      <c r="AN617" s="153" t="s">
        <v>716</v>
      </c>
      <c r="AO617" s="153">
        <v>1.1849880184214012</v>
      </c>
    </row>
    <row r="618" spans="29:41">
      <c r="AC618" s="153" t="s">
        <v>52</v>
      </c>
      <c r="AD618" s="153" t="s">
        <v>17</v>
      </c>
      <c r="AE618" s="153" t="s">
        <v>72</v>
      </c>
      <c r="AF618" s="153" t="s">
        <v>51</v>
      </c>
      <c r="AG618" s="153" t="s">
        <v>728</v>
      </c>
      <c r="AH618" s="153">
        <v>4.0572904415645503</v>
      </c>
      <c r="AJ618" s="153" t="s">
        <v>52</v>
      </c>
      <c r="AK618" s="153" t="s">
        <v>17</v>
      </c>
      <c r="AL618" s="153" t="s">
        <v>28</v>
      </c>
      <c r="AM618" s="153" t="s">
        <v>51</v>
      </c>
      <c r="AN618" s="153" t="s">
        <v>717</v>
      </c>
      <c r="AO618" s="153">
        <v>1.1798982421953854</v>
      </c>
    </row>
    <row r="619" spans="29:41">
      <c r="AC619" s="153" t="s">
        <v>52</v>
      </c>
      <c r="AD619" s="153" t="s">
        <v>17</v>
      </c>
      <c r="AE619" s="153" t="s">
        <v>72</v>
      </c>
      <c r="AF619" s="153" t="s">
        <v>51</v>
      </c>
      <c r="AG619" s="153" t="s">
        <v>729</v>
      </c>
      <c r="AH619" s="153">
        <v>4.0572904415645503</v>
      </c>
      <c r="AJ619" s="153" t="s">
        <v>52</v>
      </c>
      <c r="AK619" s="153" t="s">
        <v>17</v>
      </c>
      <c r="AL619" s="153" t="s">
        <v>28</v>
      </c>
      <c r="AM619" s="153" t="s">
        <v>51</v>
      </c>
      <c r="AN619" s="153" t="s">
        <v>718</v>
      </c>
      <c r="AO619" s="153">
        <v>1.2257859634352768</v>
      </c>
    </row>
    <row r="620" spans="29:41">
      <c r="AC620" s="153" t="s">
        <v>52</v>
      </c>
      <c r="AD620" s="153" t="s">
        <v>17</v>
      </c>
      <c r="AE620" s="153" t="s">
        <v>72</v>
      </c>
      <c r="AF620" s="153" t="s">
        <v>51</v>
      </c>
      <c r="AG620" s="153" t="s">
        <v>730</v>
      </c>
      <c r="AH620" s="153">
        <v>4.0127791565443349</v>
      </c>
      <c r="AJ620" s="153" t="s">
        <v>52</v>
      </c>
      <c r="AK620" s="153" t="s">
        <v>17</v>
      </c>
      <c r="AL620" s="153" t="s">
        <v>28</v>
      </c>
      <c r="AM620" s="153" t="s">
        <v>51</v>
      </c>
      <c r="AN620" s="153" t="s">
        <v>719</v>
      </c>
      <c r="AO620" s="153">
        <v>1.2207110777677295</v>
      </c>
    </row>
    <row r="621" spans="29:41">
      <c r="AC621" s="153" t="s">
        <v>52</v>
      </c>
      <c r="AD621" s="153" t="s">
        <v>17</v>
      </c>
      <c r="AE621" s="153" t="s">
        <v>72</v>
      </c>
      <c r="AF621" s="153" t="s">
        <v>51</v>
      </c>
      <c r="AG621" s="153" t="s">
        <v>731</v>
      </c>
      <c r="AH621" s="153">
        <v>4.0157502960415918</v>
      </c>
      <c r="AJ621" s="153" t="s">
        <v>52</v>
      </c>
      <c r="AK621" s="153" t="s">
        <v>17</v>
      </c>
      <c r="AL621" s="153" t="s">
        <v>28</v>
      </c>
      <c r="AM621" s="153" t="s">
        <v>51</v>
      </c>
      <c r="AN621" s="153" t="s">
        <v>720</v>
      </c>
      <c r="AO621" s="153">
        <v>1.1990239385741313</v>
      </c>
    </row>
    <row r="622" spans="29:41">
      <c r="AC622" s="153" t="s">
        <v>52</v>
      </c>
      <c r="AD622" s="153" t="s">
        <v>17</v>
      </c>
      <c r="AE622" s="153" t="s">
        <v>72</v>
      </c>
      <c r="AF622" s="153" t="s">
        <v>51</v>
      </c>
      <c r="AG622" s="153" t="s">
        <v>732</v>
      </c>
      <c r="AH622" s="153">
        <v>4.0068352811424779</v>
      </c>
      <c r="AJ622" s="153" t="s">
        <v>52</v>
      </c>
      <c r="AK622" s="153" t="s">
        <v>17</v>
      </c>
      <c r="AL622" s="153" t="s">
        <v>28</v>
      </c>
      <c r="AM622" s="153" t="s">
        <v>51</v>
      </c>
      <c r="AN622" s="153" t="s">
        <v>721</v>
      </c>
      <c r="AO622" s="153">
        <v>1.201504537764247</v>
      </c>
    </row>
    <row r="623" spans="29:41">
      <c r="AC623" s="153" t="s">
        <v>52</v>
      </c>
      <c r="AD623" s="153" t="s">
        <v>17</v>
      </c>
      <c r="AE623" s="153" t="s">
        <v>72</v>
      </c>
      <c r="AF623" s="153" t="s">
        <v>51</v>
      </c>
      <c r="AG623" s="153" t="s">
        <v>733</v>
      </c>
      <c r="AH623" s="153">
        <v>4.0483977441432888</v>
      </c>
      <c r="AJ623" s="153" t="s">
        <v>52</v>
      </c>
      <c r="AK623" s="153" t="s">
        <v>17</v>
      </c>
      <c r="AL623" s="153" t="s">
        <v>28</v>
      </c>
      <c r="AM623" s="153" t="s">
        <v>51</v>
      </c>
      <c r="AN623" s="153" t="s">
        <v>722</v>
      </c>
      <c r="AO623" s="153">
        <v>1.2260657260059846</v>
      </c>
    </row>
    <row r="624" spans="29:41">
      <c r="AC624" s="153" t="s">
        <v>52</v>
      </c>
      <c r="AD624" s="153" t="s">
        <v>17</v>
      </c>
      <c r="AE624" s="153" t="s">
        <v>72</v>
      </c>
      <c r="AF624" s="153" t="s">
        <v>51</v>
      </c>
      <c r="AG624" s="153" t="s">
        <v>734</v>
      </c>
      <c r="AH624" s="153">
        <v>4.0898561797954418</v>
      </c>
      <c r="AJ624" s="153" t="s">
        <v>52</v>
      </c>
      <c r="AK624" s="153" t="s">
        <v>17</v>
      </c>
      <c r="AL624" s="153" t="s">
        <v>28</v>
      </c>
      <c r="AM624" s="153" t="s">
        <v>51</v>
      </c>
      <c r="AN624" s="153" t="s">
        <v>723</v>
      </c>
      <c r="AO624" s="153">
        <v>1.2121990520709245</v>
      </c>
    </row>
    <row r="625" spans="29:41">
      <c r="AC625" s="153" t="s">
        <v>52</v>
      </c>
      <c r="AD625" s="153" t="s">
        <v>17</v>
      </c>
      <c r="AE625" s="153" t="s">
        <v>72</v>
      </c>
      <c r="AF625" s="153" t="s">
        <v>51</v>
      </c>
      <c r="AG625" s="153" t="s">
        <v>735</v>
      </c>
      <c r="AH625" s="153">
        <v>4.0809809712996072</v>
      </c>
      <c r="AJ625" s="153" t="s">
        <v>52</v>
      </c>
      <c r="AK625" s="153" t="s">
        <v>17</v>
      </c>
      <c r="AL625" s="153" t="s">
        <v>28</v>
      </c>
      <c r="AM625" s="153" t="s">
        <v>51</v>
      </c>
      <c r="AN625" s="153" t="s">
        <v>724</v>
      </c>
      <c r="AO625" s="153">
        <v>1.2389230204002046</v>
      </c>
    </row>
    <row r="626" spans="29:41">
      <c r="AC626" s="153" t="s">
        <v>52</v>
      </c>
      <c r="AD626" s="153" t="s">
        <v>17</v>
      </c>
      <c r="AE626" s="153" t="s">
        <v>72</v>
      </c>
      <c r="AF626" s="153" t="s">
        <v>51</v>
      </c>
      <c r="AG626" s="153" t="s">
        <v>736</v>
      </c>
      <c r="AH626" s="153">
        <v>4.1046376117541934</v>
      </c>
      <c r="AJ626" s="153" t="s">
        <v>52</v>
      </c>
      <c r="AK626" s="153" t="s">
        <v>17</v>
      </c>
      <c r="AL626" s="153" t="s">
        <v>28</v>
      </c>
      <c r="AM626" s="153" t="s">
        <v>51</v>
      </c>
      <c r="AN626" s="153" t="s">
        <v>725</v>
      </c>
      <c r="AO626" s="153">
        <v>1.1523395659764752</v>
      </c>
    </row>
    <row r="627" spans="29:41">
      <c r="AC627" s="153" t="s">
        <v>52</v>
      </c>
      <c r="AD627" s="153" t="s">
        <v>17</v>
      </c>
      <c r="AE627" s="153" t="s">
        <v>72</v>
      </c>
      <c r="AF627" s="153" t="s">
        <v>51</v>
      </c>
      <c r="AG627" s="153" t="s">
        <v>737</v>
      </c>
      <c r="AH627" s="153">
        <v>4.1046376117541934</v>
      </c>
      <c r="AJ627" s="153" t="s">
        <v>52</v>
      </c>
      <c r="AK627" s="153" t="s">
        <v>17</v>
      </c>
      <c r="AL627" s="153" t="s">
        <v>28</v>
      </c>
      <c r="AM627" s="153" t="s">
        <v>51</v>
      </c>
      <c r="AN627" s="153" t="s">
        <v>726</v>
      </c>
      <c r="AO627" s="153">
        <v>1.1675657498559349</v>
      </c>
    </row>
    <row r="628" spans="29:41">
      <c r="AC628" s="153" t="s">
        <v>52</v>
      </c>
      <c r="AD628" s="153" t="s">
        <v>17</v>
      </c>
      <c r="AE628" s="153" t="s">
        <v>72</v>
      </c>
      <c r="AF628" s="153" t="s">
        <v>51</v>
      </c>
      <c r="AG628" s="153" t="s">
        <v>738</v>
      </c>
      <c r="AH628" s="153">
        <v>4.1113655202581336</v>
      </c>
      <c r="AJ628" s="153" t="s">
        <v>52</v>
      </c>
      <c r="AK628" s="153" t="s">
        <v>17</v>
      </c>
      <c r="AL628" s="153" t="s">
        <v>28</v>
      </c>
      <c r="AM628" s="153" t="s">
        <v>51</v>
      </c>
      <c r="AN628" s="153" t="s">
        <v>426</v>
      </c>
      <c r="AO628" s="153">
        <v>1.1998350939585112</v>
      </c>
    </row>
    <row r="629" spans="29:41">
      <c r="AC629" s="153" t="s">
        <v>52</v>
      </c>
      <c r="AD629" s="153" t="s">
        <v>17</v>
      </c>
      <c r="AE629" s="153" t="s">
        <v>72</v>
      </c>
      <c r="AF629" s="153" t="s">
        <v>51</v>
      </c>
      <c r="AG629" s="153" t="s">
        <v>739</v>
      </c>
      <c r="AH629" s="153">
        <v>4.0906722731815695</v>
      </c>
      <c r="AJ629" s="153" t="s">
        <v>52</v>
      </c>
      <c r="AK629" s="153" t="s">
        <v>17</v>
      </c>
      <c r="AL629" s="153" t="s">
        <v>28</v>
      </c>
      <c r="AM629" s="153" t="s">
        <v>51</v>
      </c>
      <c r="AN629" s="153" t="s">
        <v>727</v>
      </c>
      <c r="AO629" s="153">
        <v>1.2128599141699479</v>
      </c>
    </row>
    <row r="630" spans="29:41">
      <c r="AC630" s="153" t="s">
        <v>52</v>
      </c>
      <c r="AD630" s="153" t="s">
        <v>17</v>
      </c>
      <c r="AE630" s="153" t="s">
        <v>72</v>
      </c>
      <c r="AF630" s="153" t="s">
        <v>51</v>
      </c>
      <c r="AG630" s="153" t="s">
        <v>740</v>
      </c>
      <c r="AH630" s="153">
        <v>4.1379331815548976</v>
      </c>
      <c r="AJ630" s="153" t="s">
        <v>52</v>
      </c>
      <c r="AK630" s="153" t="s">
        <v>17</v>
      </c>
      <c r="AL630" s="153" t="s">
        <v>28</v>
      </c>
      <c r="AM630" s="153" t="s">
        <v>51</v>
      </c>
      <c r="AN630" s="153" t="s">
        <v>728</v>
      </c>
      <c r="AO630" s="153">
        <v>1.2067244800820505</v>
      </c>
    </row>
    <row r="631" spans="29:41">
      <c r="AC631" s="153" t="s">
        <v>52</v>
      </c>
      <c r="AD631" s="153" t="s">
        <v>17</v>
      </c>
      <c r="AE631" s="153" t="s">
        <v>72</v>
      </c>
      <c r="AF631" s="153" t="s">
        <v>51</v>
      </c>
      <c r="AG631" s="153" t="s">
        <v>741</v>
      </c>
      <c r="AH631" s="153">
        <v>4.158567455246458</v>
      </c>
      <c r="AJ631" s="153" t="s">
        <v>52</v>
      </c>
      <c r="AK631" s="153" t="s">
        <v>17</v>
      </c>
      <c r="AL631" s="153" t="s">
        <v>28</v>
      </c>
      <c r="AM631" s="153" t="s">
        <v>51</v>
      </c>
      <c r="AN631" s="153" t="s">
        <v>729</v>
      </c>
      <c r="AO631" s="153">
        <v>1.2886517029491604</v>
      </c>
    </row>
    <row r="632" spans="29:41">
      <c r="AC632" s="153" t="s">
        <v>52</v>
      </c>
      <c r="AD632" s="153" t="s">
        <v>17</v>
      </c>
      <c r="AE632" s="153" t="s">
        <v>72</v>
      </c>
      <c r="AF632" s="153" t="s">
        <v>51</v>
      </c>
      <c r="AG632" s="153" t="s">
        <v>742</v>
      </c>
      <c r="AH632" s="153">
        <v>4.1408825121982815</v>
      </c>
      <c r="AJ632" s="153" t="s">
        <v>52</v>
      </c>
      <c r="AK632" s="153" t="s">
        <v>17</v>
      </c>
      <c r="AL632" s="153" t="s">
        <v>28</v>
      </c>
      <c r="AM632" s="153" t="s">
        <v>51</v>
      </c>
      <c r="AN632" s="153" t="s">
        <v>730</v>
      </c>
      <c r="AO632" s="153">
        <v>1.1995294933465745</v>
      </c>
    </row>
    <row r="633" spans="29:41">
      <c r="AC633" s="153" t="s">
        <v>52</v>
      </c>
      <c r="AD633" s="153" t="s">
        <v>17</v>
      </c>
      <c r="AE633" s="153" t="s">
        <v>72</v>
      </c>
      <c r="AF633" s="153" t="s">
        <v>51</v>
      </c>
      <c r="AG633" s="153" t="s">
        <v>425</v>
      </c>
      <c r="AH633" s="153">
        <v>4.1379331815548976</v>
      </c>
      <c r="AJ633" s="153" t="s">
        <v>52</v>
      </c>
      <c r="AK633" s="153" t="s">
        <v>17</v>
      </c>
      <c r="AL633" s="153" t="s">
        <v>28</v>
      </c>
      <c r="AM633" s="153" t="s">
        <v>51</v>
      </c>
      <c r="AN633" s="153" t="s">
        <v>731</v>
      </c>
      <c r="AO633" s="153">
        <v>1.2468981308501919</v>
      </c>
    </row>
    <row r="634" spans="29:41">
      <c r="AC634" s="153" t="s">
        <v>52</v>
      </c>
      <c r="AD634" s="153" t="s">
        <v>17</v>
      </c>
      <c r="AE634" s="153" t="s">
        <v>72</v>
      </c>
      <c r="AF634" s="153" t="s">
        <v>51</v>
      </c>
      <c r="AG634" s="153" t="s">
        <v>743</v>
      </c>
      <c r="AH634" s="153">
        <v>4.1202261467859813</v>
      </c>
      <c r="AJ634" s="153" t="s">
        <v>52</v>
      </c>
      <c r="AK634" s="153" t="s">
        <v>17</v>
      </c>
      <c r="AL634" s="153" t="s">
        <v>28</v>
      </c>
      <c r="AM634" s="153" t="s">
        <v>51</v>
      </c>
      <c r="AN634" s="153" t="s">
        <v>732</v>
      </c>
      <c r="AO634" s="153">
        <v>1.2372468313498284</v>
      </c>
    </row>
    <row r="635" spans="29:41">
      <c r="AC635" s="153" t="s">
        <v>52</v>
      </c>
      <c r="AD635" s="153" t="s">
        <v>17</v>
      </c>
      <c r="AE635" s="153" t="s">
        <v>72</v>
      </c>
      <c r="AF635" s="153" t="s">
        <v>51</v>
      </c>
      <c r="AG635" s="153" t="s">
        <v>744</v>
      </c>
      <c r="AH635" s="153">
        <v>4.1644582328949262</v>
      </c>
      <c r="AJ635" s="153" t="s">
        <v>52</v>
      </c>
      <c r="AK635" s="153" t="s">
        <v>17</v>
      </c>
      <c r="AL635" s="153" t="s">
        <v>28</v>
      </c>
      <c r="AM635" s="153" t="s">
        <v>51</v>
      </c>
      <c r="AN635" s="153" t="s">
        <v>733</v>
      </c>
      <c r="AO635" s="153">
        <v>1.2150016967938386</v>
      </c>
    </row>
    <row r="636" spans="29:41">
      <c r="AC636" s="153" t="s">
        <v>52</v>
      </c>
      <c r="AD636" s="153" t="s">
        <v>17</v>
      </c>
      <c r="AE636" s="153" t="s">
        <v>72</v>
      </c>
      <c r="AF636" s="153" t="s">
        <v>51</v>
      </c>
      <c r="AG636" s="153" t="s">
        <v>745</v>
      </c>
      <c r="AH636" s="153">
        <v>4.1909407550050704</v>
      </c>
      <c r="AJ636" s="153" t="s">
        <v>52</v>
      </c>
      <c r="AK636" s="153" t="s">
        <v>17</v>
      </c>
      <c r="AL636" s="153" t="s">
        <v>28</v>
      </c>
      <c r="AM636" s="153" t="s">
        <v>51</v>
      </c>
      <c r="AN636" s="153" t="s">
        <v>734</v>
      </c>
      <c r="AO636" s="153">
        <v>1.2322096481190918</v>
      </c>
    </row>
    <row r="637" spans="29:41">
      <c r="AC637" s="153" t="s">
        <v>52</v>
      </c>
      <c r="AD637" s="153" t="s">
        <v>17</v>
      </c>
      <c r="AE637" s="153" t="s">
        <v>72</v>
      </c>
      <c r="AF637" s="153" t="s">
        <v>51</v>
      </c>
      <c r="AG637" s="153" t="s">
        <v>424</v>
      </c>
      <c r="AH637" s="153">
        <v>4.1408825121982815</v>
      </c>
      <c r="AJ637" s="153" t="s">
        <v>52</v>
      </c>
      <c r="AK637" s="153" t="s">
        <v>17</v>
      </c>
      <c r="AL637" s="153" t="s">
        <v>28</v>
      </c>
      <c r="AM637" s="153" t="s">
        <v>51</v>
      </c>
      <c r="AN637" s="153" t="s">
        <v>735</v>
      </c>
      <c r="AO637" s="153">
        <v>1.2079160764979071</v>
      </c>
    </row>
    <row r="638" spans="29:41">
      <c r="AC638" s="153" t="s">
        <v>52</v>
      </c>
      <c r="AD638" s="153" t="s">
        <v>17</v>
      </c>
      <c r="AE638" s="153" t="s">
        <v>72</v>
      </c>
      <c r="AF638" s="153" t="s">
        <v>51</v>
      </c>
      <c r="AG638" s="153" t="s">
        <v>427</v>
      </c>
      <c r="AH638" s="153">
        <v>4.1821179681285399</v>
      </c>
      <c r="AJ638" s="153" t="s">
        <v>52</v>
      </c>
      <c r="AK638" s="153" t="s">
        <v>17</v>
      </c>
      <c r="AL638" s="153" t="s">
        <v>28</v>
      </c>
      <c r="AM638" s="153" t="s">
        <v>51</v>
      </c>
      <c r="AN638" s="153" t="s">
        <v>736</v>
      </c>
      <c r="AO638" s="153">
        <v>1.2295087644849334</v>
      </c>
    </row>
    <row r="639" spans="29:41">
      <c r="AC639" s="153" t="s">
        <v>52</v>
      </c>
      <c r="AD639" s="153" t="s">
        <v>18</v>
      </c>
      <c r="AE639" s="153" t="s">
        <v>72</v>
      </c>
      <c r="AF639" s="153" t="s">
        <v>51</v>
      </c>
      <c r="AG639" s="153" t="s">
        <v>129</v>
      </c>
      <c r="AH639" s="153">
        <v>4.1543680910694123</v>
      </c>
      <c r="AJ639" s="153" t="s">
        <v>52</v>
      </c>
      <c r="AK639" s="153" t="s">
        <v>17</v>
      </c>
      <c r="AL639" s="153" t="s">
        <v>28</v>
      </c>
      <c r="AM639" s="153" t="s">
        <v>51</v>
      </c>
      <c r="AN639" s="153" t="s">
        <v>737</v>
      </c>
      <c r="AO639" s="153">
        <v>1.2240443410986634</v>
      </c>
    </row>
    <row r="640" spans="29:41">
      <c r="AC640" s="153" t="s">
        <v>52</v>
      </c>
      <c r="AD640" s="153" t="s">
        <v>18</v>
      </c>
      <c r="AE640" s="153" t="s">
        <v>72</v>
      </c>
      <c r="AF640" s="153" t="s">
        <v>51</v>
      </c>
      <c r="AG640" s="153" t="s">
        <v>130</v>
      </c>
      <c r="AH640" s="153">
        <v>4.1248698203088709</v>
      </c>
      <c r="AJ640" s="153" t="s">
        <v>52</v>
      </c>
      <c r="AK640" s="153" t="s">
        <v>17</v>
      </c>
      <c r="AL640" s="153" t="s">
        <v>28</v>
      </c>
      <c r="AM640" s="153" t="s">
        <v>51</v>
      </c>
      <c r="AN640" s="153" t="s">
        <v>738</v>
      </c>
      <c r="AO640" s="153">
        <v>1.205593123804463</v>
      </c>
    </row>
    <row r="641" spans="29:41">
      <c r="AC641" s="153" t="s">
        <v>52</v>
      </c>
      <c r="AD641" s="153" t="s">
        <v>18</v>
      </c>
      <c r="AE641" s="153" t="s">
        <v>72</v>
      </c>
      <c r="AF641" s="153" t="s">
        <v>51</v>
      </c>
      <c r="AG641" s="153" t="s">
        <v>131</v>
      </c>
      <c r="AH641" s="153">
        <v>4.0301218665618999</v>
      </c>
      <c r="AJ641" s="153" t="s">
        <v>52</v>
      </c>
      <c r="AK641" s="153" t="s">
        <v>17</v>
      </c>
      <c r="AL641" s="153" t="s">
        <v>28</v>
      </c>
      <c r="AM641" s="153" t="s">
        <v>51</v>
      </c>
      <c r="AN641" s="153" t="s">
        <v>739</v>
      </c>
      <c r="AO641" s="153">
        <v>1.186300705522729</v>
      </c>
    </row>
    <row r="642" spans="29:41">
      <c r="AC642" s="153" t="s">
        <v>52</v>
      </c>
      <c r="AD642" s="153" t="s">
        <v>18</v>
      </c>
      <c r="AE642" s="153" t="s">
        <v>72</v>
      </c>
      <c r="AF642" s="153" t="s">
        <v>51</v>
      </c>
      <c r="AG642" s="153" t="s">
        <v>132</v>
      </c>
      <c r="AH642" s="153">
        <v>4.0301218665618999</v>
      </c>
      <c r="AJ642" s="153" t="s">
        <v>52</v>
      </c>
      <c r="AK642" s="153" t="s">
        <v>17</v>
      </c>
      <c r="AL642" s="153" t="s">
        <v>28</v>
      </c>
      <c r="AM642" s="153" t="s">
        <v>51</v>
      </c>
      <c r="AN642" s="153" t="s">
        <v>740</v>
      </c>
      <c r="AO642" s="153">
        <v>1.1979808327654873</v>
      </c>
    </row>
    <row r="643" spans="29:41">
      <c r="AC643" s="153" t="s">
        <v>52</v>
      </c>
      <c r="AD643" s="153" t="s">
        <v>18</v>
      </c>
      <c r="AE643" s="153" t="s">
        <v>72</v>
      </c>
      <c r="AF643" s="153" t="s">
        <v>51</v>
      </c>
      <c r="AG643" s="153" t="s">
        <v>133</v>
      </c>
      <c r="AH643" s="153">
        <v>3.9987193359155064</v>
      </c>
      <c r="AJ643" s="153" t="s">
        <v>52</v>
      </c>
      <c r="AK643" s="153" t="s">
        <v>17</v>
      </c>
      <c r="AL643" s="153" t="s">
        <v>28</v>
      </c>
      <c r="AM643" s="153" t="s">
        <v>51</v>
      </c>
      <c r="AN643" s="153" t="s">
        <v>741</v>
      </c>
      <c r="AO643" s="153">
        <v>1.2202361955839884</v>
      </c>
    </row>
    <row r="644" spans="29:41">
      <c r="AC644" s="153" t="s">
        <v>52</v>
      </c>
      <c r="AD644" s="153" t="s">
        <v>18</v>
      </c>
      <c r="AE644" s="153" t="s">
        <v>72</v>
      </c>
      <c r="AF644" s="153" t="s">
        <v>51</v>
      </c>
      <c r="AG644" s="153" t="s">
        <v>134</v>
      </c>
      <c r="AH644" s="153">
        <v>3.968948344733974</v>
      </c>
      <c r="AJ644" s="153" t="s">
        <v>52</v>
      </c>
      <c r="AK644" s="153" t="s">
        <v>17</v>
      </c>
      <c r="AL644" s="153" t="s">
        <v>28</v>
      </c>
      <c r="AM644" s="153" t="s">
        <v>51</v>
      </c>
      <c r="AN644" s="153" t="s">
        <v>742</v>
      </c>
      <c r="AO644" s="153">
        <v>1.2167963394841017</v>
      </c>
    </row>
    <row r="645" spans="29:41">
      <c r="AC645" s="153" t="s">
        <v>52</v>
      </c>
      <c r="AD645" s="153" t="s">
        <v>18</v>
      </c>
      <c r="AE645" s="153" t="s">
        <v>72</v>
      </c>
      <c r="AF645" s="153" t="s">
        <v>51</v>
      </c>
      <c r="AG645" s="153" t="s">
        <v>135</v>
      </c>
      <c r="AH645" s="153">
        <v>3.968948344733974</v>
      </c>
      <c r="AJ645" s="153" t="s">
        <v>52</v>
      </c>
      <c r="AK645" s="153" t="s">
        <v>17</v>
      </c>
      <c r="AL645" s="153" t="s">
        <v>28</v>
      </c>
      <c r="AM645" s="153" t="s">
        <v>51</v>
      </c>
      <c r="AN645" s="153" t="s">
        <v>425</v>
      </c>
      <c r="AO645" s="153">
        <v>1.253868588468487</v>
      </c>
    </row>
    <row r="646" spans="29:41">
      <c r="AC646" s="153" t="s">
        <v>52</v>
      </c>
      <c r="AD646" s="153" t="s">
        <v>18</v>
      </c>
      <c r="AE646" s="153" t="s">
        <v>72</v>
      </c>
      <c r="AF646" s="153" t="s">
        <v>51</v>
      </c>
      <c r="AG646" s="153" t="s">
        <v>136</v>
      </c>
      <c r="AH646" s="153">
        <v>3.8725334437312955</v>
      </c>
      <c r="AJ646" s="153" t="s">
        <v>52</v>
      </c>
      <c r="AK646" s="153" t="s">
        <v>17</v>
      </c>
      <c r="AL646" s="153" t="s">
        <v>28</v>
      </c>
      <c r="AM646" s="153" t="s">
        <v>51</v>
      </c>
      <c r="AN646" s="153" t="s">
        <v>743</v>
      </c>
      <c r="AO646" s="153">
        <v>1.2324785003299117</v>
      </c>
    </row>
    <row r="647" spans="29:41">
      <c r="AC647" s="153" t="s">
        <v>52</v>
      </c>
      <c r="AD647" s="153" t="s">
        <v>18</v>
      </c>
      <c r="AE647" s="153" t="s">
        <v>72</v>
      </c>
      <c r="AF647" s="153" t="s">
        <v>51</v>
      </c>
      <c r="AG647" s="153" t="s">
        <v>137</v>
      </c>
      <c r="AH647" s="153">
        <v>3.9353424338077225</v>
      </c>
      <c r="AJ647" s="153" t="s">
        <v>52</v>
      </c>
      <c r="AK647" s="153" t="s">
        <v>17</v>
      </c>
      <c r="AL647" s="153" t="s">
        <v>28</v>
      </c>
      <c r="AM647" s="153" t="s">
        <v>51</v>
      </c>
      <c r="AN647" s="153" t="s">
        <v>744</v>
      </c>
      <c r="AO647" s="153">
        <v>1.2111552121090163</v>
      </c>
    </row>
    <row r="648" spans="29:41">
      <c r="AC648" s="153" t="s">
        <v>52</v>
      </c>
      <c r="AD648" s="153" t="s">
        <v>18</v>
      </c>
      <c r="AE648" s="153" t="s">
        <v>72</v>
      </c>
      <c r="AF648" s="153" t="s">
        <v>51</v>
      </c>
      <c r="AG648" s="153" t="s">
        <v>138</v>
      </c>
      <c r="AH648" s="153">
        <v>3.9361387568601574</v>
      </c>
      <c r="AJ648" s="153" t="s">
        <v>52</v>
      </c>
      <c r="AK648" s="153" t="s">
        <v>17</v>
      </c>
      <c r="AL648" s="153" t="s">
        <v>28</v>
      </c>
      <c r="AM648" s="153" t="s">
        <v>51</v>
      </c>
      <c r="AN648" s="153" t="s">
        <v>745</v>
      </c>
      <c r="AO648" s="153">
        <v>1.2520304192182503</v>
      </c>
    </row>
    <row r="649" spans="29:41">
      <c r="AC649" s="153" t="s">
        <v>52</v>
      </c>
      <c r="AD649" s="153" t="s">
        <v>18</v>
      </c>
      <c r="AE649" s="153" t="s">
        <v>72</v>
      </c>
      <c r="AF649" s="153" t="s">
        <v>51</v>
      </c>
      <c r="AG649" s="153" t="s">
        <v>139</v>
      </c>
      <c r="AH649" s="153">
        <v>3.9353424338077225</v>
      </c>
      <c r="AJ649" s="153" t="s">
        <v>52</v>
      </c>
      <c r="AK649" s="153" t="s">
        <v>17</v>
      </c>
      <c r="AL649" s="153" t="s">
        <v>28</v>
      </c>
      <c r="AM649" s="153" t="s">
        <v>51</v>
      </c>
      <c r="AN649" s="153" t="s">
        <v>424</v>
      </c>
      <c r="AO649" s="153">
        <v>1.1876722827307316</v>
      </c>
    </row>
    <row r="650" spans="29:41">
      <c r="AC650" s="153" t="s">
        <v>52</v>
      </c>
      <c r="AD650" s="153" t="s">
        <v>18</v>
      </c>
      <c r="AE650" s="153" t="s">
        <v>72</v>
      </c>
      <c r="AF650" s="153" t="s">
        <v>51</v>
      </c>
      <c r="AG650" s="153" t="s">
        <v>140</v>
      </c>
      <c r="AH650" s="153">
        <v>3.8425411667081901</v>
      </c>
      <c r="AJ650" s="153" t="s">
        <v>52</v>
      </c>
      <c r="AK650" s="153" t="s">
        <v>17</v>
      </c>
      <c r="AL650" s="153" t="s">
        <v>28</v>
      </c>
      <c r="AM650" s="153" t="s">
        <v>51</v>
      </c>
      <c r="AN650" s="153" t="s">
        <v>427</v>
      </c>
      <c r="AO650" s="153">
        <v>1.2243690850472895</v>
      </c>
    </row>
    <row r="651" spans="29:41">
      <c r="AC651" s="153" t="s">
        <v>52</v>
      </c>
      <c r="AD651" s="153" t="s">
        <v>18</v>
      </c>
      <c r="AE651" s="153" t="s">
        <v>72</v>
      </c>
      <c r="AF651" s="153" t="s">
        <v>51</v>
      </c>
      <c r="AG651" s="153" t="s">
        <v>141</v>
      </c>
      <c r="AH651" s="153">
        <v>3.812592661796018</v>
      </c>
      <c r="AJ651" s="153" t="s">
        <v>52</v>
      </c>
      <c r="AK651" s="153" t="s">
        <v>18</v>
      </c>
      <c r="AL651" s="153" t="s">
        <v>28</v>
      </c>
      <c r="AM651" s="153" t="s">
        <v>51</v>
      </c>
      <c r="AN651" s="153" t="s">
        <v>129</v>
      </c>
      <c r="AO651" s="153">
        <v>1.3201681510401224</v>
      </c>
    </row>
    <row r="652" spans="29:41">
      <c r="AC652" s="153" t="s">
        <v>52</v>
      </c>
      <c r="AD652" s="153" t="s">
        <v>18</v>
      </c>
      <c r="AE652" s="153" t="s">
        <v>72</v>
      </c>
      <c r="AF652" s="153" t="s">
        <v>51</v>
      </c>
      <c r="AG652" s="153" t="s">
        <v>142</v>
      </c>
      <c r="AH652" s="153">
        <v>3.8425411667081901</v>
      </c>
      <c r="AJ652" s="153" t="s">
        <v>52</v>
      </c>
      <c r="AK652" s="153" t="s">
        <v>18</v>
      </c>
      <c r="AL652" s="153" t="s">
        <v>28</v>
      </c>
      <c r="AM652" s="153" t="s">
        <v>51</v>
      </c>
      <c r="AN652" s="153" t="s">
        <v>130</v>
      </c>
      <c r="AO652" s="153">
        <v>1.3006860975554306</v>
      </c>
    </row>
    <row r="653" spans="29:41">
      <c r="AC653" s="153" t="s">
        <v>52</v>
      </c>
      <c r="AD653" s="153" t="s">
        <v>18</v>
      </c>
      <c r="AE653" s="153" t="s">
        <v>72</v>
      </c>
      <c r="AF653" s="153" t="s">
        <v>51</v>
      </c>
      <c r="AG653" s="153" t="s">
        <v>143</v>
      </c>
      <c r="AH653" s="153">
        <v>3.8425411667081901</v>
      </c>
      <c r="AJ653" s="153" t="s">
        <v>52</v>
      </c>
      <c r="AK653" s="153" t="s">
        <v>18</v>
      </c>
      <c r="AL653" s="153" t="s">
        <v>28</v>
      </c>
      <c r="AM653" s="153" t="s">
        <v>51</v>
      </c>
      <c r="AN653" s="153" t="s">
        <v>131</v>
      </c>
      <c r="AO653" s="153">
        <v>1.2145602915852296</v>
      </c>
    </row>
    <row r="654" spans="29:41">
      <c r="AC654" s="153" t="s">
        <v>52</v>
      </c>
      <c r="AD654" s="153" t="s">
        <v>18</v>
      </c>
      <c r="AE654" s="153" t="s">
        <v>72</v>
      </c>
      <c r="AF654" s="153" t="s">
        <v>51</v>
      </c>
      <c r="AG654" s="153" t="s">
        <v>144</v>
      </c>
      <c r="AH654" s="153">
        <v>3.8124950348616728</v>
      </c>
      <c r="AJ654" s="153" t="s">
        <v>52</v>
      </c>
      <c r="AK654" s="153" t="s">
        <v>18</v>
      </c>
      <c r="AL654" s="153" t="s">
        <v>28</v>
      </c>
      <c r="AM654" s="153" t="s">
        <v>51</v>
      </c>
      <c r="AN654" s="153" t="s">
        <v>132</v>
      </c>
      <c r="AO654" s="153">
        <v>1.09980485566</v>
      </c>
    </row>
    <row r="655" spans="29:41">
      <c r="AC655" s="153" t="s">
        <v>52</v>
      </c>
      <c r="AD655" s="153" t="s">
        <v>18</v>
      </c>
      <c r="AE655" s="153" t="s">
        <v>72</v>
      </c>
      <c r="AF655" s="153" t="s">
        <v>51</v>
      </c>
      <c r="AG655" s="153" t="s">
        <v>145</v>
      </c>
      <c r="AH655" s="153">
        <v>3.812592661796018</v>
      </c>
      <c r="AJ655" s="153" t="s">
        <v>52</v>
      </c>
      <c r="AK655" s="153" t="s">
        <v>18</v>
      </c>
      <c r="AL655" s="153" t="s">
        <v>28</v>
      </c>
      <c r="AM655" s="153" t="s">
        <v>51</v>
      </c>
      <c r="AN655" s="153" t="s">
        <v>133</v>
      </c>
      <c r="AO655" s="153">
        <v>1.0964918123855762</v>
      </c>
    </row>
    <row r="656" spans="29:41">
      <c r="AC656" s="153" t="s">
        <v>52</v>
      </c>
      <c r="AD656" s="153" t="s">
        <v>18</v>
      </c>
      <c r="AE656" s="153" t="s">
        <v>72</v>
      </c>
      <c r="AF656" s="153" t="s">
        <v>51</v>
      </c>
      <c r="AG656" s="153" t="s">
        <v>146</v>
      </c>
      <c r="AH656" s="153">
        <v>3.9054628819113248</v>
      </c>
      <c r="AJ656" s="153" t="s">
        <v>52</v>
      </c>
      <c r="AK656" s="153" t="s">
        <v>18</v>
      </c>
      <c r="AL656" s="153" t="s">
        <v>28</v>
      </c>
      <c r="AM656" s="153" t="s">
        <v>51</v>
      </c>
      <c r="AN656" s="153" t="s">
        <v>134</v>
      </c>
      <c r="AO656" s="153">
        <v>1.122598007927214</v>
      </c>
    </row>
    <row r="657" spans="29:41">
      <c r="AC657" s="153" t="s">
        <v>52</v>
      </c>
      <c r="AD657" s="153" t="s">
        <v>18</v>
      </c>
      <c r="AE657" s="153" t="s">
        <v>72</v>
      </c>
      <c r="AF657" s="153" t="s">
        <v>51</v>
      </c>
      <c r="AG657" s="153" t="s">
        <v>147</v>
      </c>
      <c r="AH657" s="153">
        <v>3.8725334437312955</v>
      </c>
      <c r="AJ657" s="153" t="s">
        <v>52</v>
      </c>
      <c r="AK657" s="153" t="s">
        <v>18</v>
      </c>
      <c r="AL657" s="153" t="s">
        <v>28</v>
      </c>
      <c r="AM657" s="153" t="s">
        <v>51</v>
      </c>
      <c r="AN657" s="153" t="s">
        <v>135</v>
      </c>
      <c r="AO657" s="153">
        <v>1.1411130414158539</v>
      </c>
    </row>
    <row r="658" spans="29:41">
      <c r="AC658" s="153" t="s">
        <v>52</v>
      </c>
      <c r="AD658" s="153" t="s">
        <v>18</v>
      </c>
      <c r="AE658" s="153" t="s">
        <v>72</v>
      </c>
      <c r="AF658" s="153" t="s">
        <v>51</v>
      </c>
      <c r="AG658" s="153" t="s">
        <v>148</v>
      </c>
      <c r="AH658" s="153">
        <v>3.8425411667081901</v>
      </c>
      <c r="AJ658" s="153" t="s">
        <v>52</v>
      </c>
      <c r="AK658" s="153" t="s">
        <v>18</v>
      </c>
      <c r="AL658" s="153" t="s">
        <v>28</v>
      </c>
      <c r="AM658" s="153" t="s">
        <v>51</v>
      </c>
      <c r="AN658" s="153" t="s">
        <v>136</v>
      </c>
      <c r="AO658" s="153">
        <v>1.0587143334773157</v>
      </c>
    </row>
    <row r="659" spans="29:41">
      <c r="AC659" s="153" t="s">
        <v>52</v>
      </c>
      <c r="AD659" s="153" t="s">
        <v>18</v>
      </c>
      <c r="AE659" s="153" t="s">
        <v>72</v>
      </c>
      <c r="AF659" s="153" t="s">
        <v>51</v>
      </c>
      <c r="AG659" s="153" t="s">
        <v>149</v>
      </c>
      <c r="AH659" s="153">
        <v>3.812592661796018</v>
      </c>
      <c r="AJ659" s="153" t="s">
        <v>52</v>
      </c>
      <c r="AK659" s="153" t="s">
        <v>18</v>
      </c>
      <c r="AL659" s="153" t="s">
        <v>28</v>
      </c>
      <c r="AM659" s="153" t="s">
        <v>51</v>
      </c>
      <c r="AN659" s="153" t="s">
        <v>137</v>
      </c>
      <c r="AO659" s="153">
        <v>1.1038366846652226</v>
      </c>
    </row>
    <row r="660" spans="29:41">
      <c r="AC660" s="153" t="s">
        <v>52</v>
      </c>
      <c r="AD660" s="153" t="s">
        <v>18</v>
      </c>
      <c r="AE660" s="153" t="s">
        <v>72</v>
      </c>
      <c r="AF660" s="153" t="s">
        <v>51</v>
      </c>
      <c r="AG660" s="153" t="s">
        <v>150</v>
      </c>
      <c r="AH660" s="153">
        <v>3.7493301282064344</v>
      </c>
      <c r="AJ660" s="153" t="s">
        <v>52</v>
      </c>
      <c r="AK660" s="153" t="s">
        <v>18</v>
      </c>
      <c r="AL660" s="153" t="s">
        <v>28</v>
      </c>
      <c r="AM660" s="153" t="s">
        <v>51</v>
      </c>
      <c r="AN660" s="153" t="s">
        <v>138</v>
      </c>
      <c r="AO660" s="153">
        <v>1.1119619050322371</v>
      </c>
    </row>
    <row r="661" spans="29:41">
      <c r="AC661" s="153" t="s">
        <v>52</v>
      </c>
      <c r="AD661" s="153" t="s">
        <v>18</v>
      </c>
      <c r="AE661" s="153" t="s">
        <v>72</v>
      </c>
      <c r="AF661" s="153" t="s">
        <v>51</v>
      </c>
      <c r="AG661" s="153" t="s">
        <v>151</v>
      </c>
      <c r="AH661" s="153">
        <v>3.7794849694083221</v>
      </c>
      <c r="AJ661" s="153" t="s">
        <v>52</v>
      </c>
      <c r="AK661" s="153" t="s">
        <v>18</v>
      </c>
      <c r="AL661" s="153" t="s">
        <v>28</v>
      </c>
      <c r="AM661" s="153" t="s">
        <v>51</v>
      </c>
      <c r="AN661" s="153" t="s">
        <v>139</v>
      </c>
      <c r="AO661" s="153">
        <v>1.1395014245030624</v>
      </c>
    </row>
    <row r="662" spans="29:41">
      <c r="AC662" s="153" t="s">
        <v>52</v>
      </c>
      <c r="AD662" s="153" t="s">
        <v>18</v>
      </c>
      <c r="AE662" s="153" t="s">
        <v>72</v>
      </c>
      <c r="AF662" s="153" t="s">
        <v>51</v>
      </c>
      <c r="AG662" s="153" t="s">
        <v>152</v>
      </c>
      <c r="AH662" s="153">
        <v>3.7493301282064344</v>
      </c>
      <c r="AJ662" s="153" t="s">
        <v>52</v>
      </c>
      <c r="AK662" s="153" t="s">
        <v>18</v>
      </c>
      <c r="AL662" s="153" t="s">
        <v>28</v>
      </c>
      <c r="AM662" s="153" t="s">
        <v>51</v>
      </c>
      <c r="AN662" s="153" t="s">
        <v>140</v>
      </c>
      <c r="AO662" s="153">
        <v>1.1496922636127707</v>
      </c>
    </row>
    <row r="663" spans="29:41">
      <c r="AC663" s="153" t="s">
        <v>52</v>
      </c>
      <c r="AD663" s="153" t="s">
        <v>18</v>
      </c>
      <c r="AE663" s="153" t="s">
        <v>72</v>
      </c>
      <c r="AF663" s="153" t="s">
        <v>51</v>
      </c>
      <c r="AG663" s="153" t="s">
        <v>153</v>
      </c>
      <c r="AH663" s="153">
        <v>3.812592661796018</v>
      </c>
      <c r="AJ663" s="153" t="s">
        <v>52</v>
      </c>
      <c r="AK663" s="153" t="s">
        <v>18</v>
      </c>
      <c r="AL663" s="153" t="s">
        <v>28</v>
      </c>
      <c r="AM663" s="153" t="s">
        <v>51</v>
      </c>
      <c r="AN663" s="153" t="s">
        <v>141</v>
      </c>
      <c r="AO663" s="153">
        <v>1.1030360980347382</v>
      </c>
    </row>
    <row r="664" spans="29:41">
      <c r="AC664" s="153" t="s">
        <v>52</v>
      </c>
      <c r="AD664" s="153" t="s">
        <v>18</v>
      </c>
      <c r="AE664" s="153" t="s">
        <v>72</v>
      </c>
      <c r="AF664" s="153" t="s">
        <v>51</v>
      </c>
      <c r="AG664" s="153" t="s">
        <v>154</v>
      </c>
      <c r="AH664" s="153">
        <v>3.8425411667081901</v>
      </c>
      <c r="AJ664" s="153" t="s">
        <v>52</v>
      </c>
      <c r="AK664" s="153" t="s">
        <v>18</v>
      </c>
      <c r="AL664" s="153" t="s">
        <v>28</v>
      </c>
      <c r="AM664" s="153" t="s">
        <v>51</v>
      </c>
      <c r="AN664" s="153" t="s">
        <v>142</v>
      </c>
      <c r="AO664" s="153">
        <v>1.1707682281644907</v>
      </c>
    </row>
    <row r="665" spans="29:41">
      <c r="AC665" s="153" t="s">
        <v>52</v>
      </c>
      <c r="AD665" s="153" t="s">
        <v>18</v>
      </c>
      <c r="AE665" s="153" t="s">
        <v>72</v>
      </c>
      <c r="AF665" s="153" t="s">
        <v>51</v>
      </c>
      <c r="AG665" s="153" t="s">
        <v>155</v>
      </c>
      <c r="AH665" s="153">
        <v>3.8124950348616728</v>
      </c>
      <c r="AJ665" s="153" t="s">
        <v>52</v>
      </c>
      <c r="AK665" s="153" t="s">
        <v>18</v>
      </c>
      <c r="AL665" s="153" t="s">
        <v>28</v>
      </c>
      <c r="AM665" s="153" t="s">
        <v>51</v>
      </c>
      <c r="AN665" s="153" t="s">
        <v>143</v>
      </c>
      <c r="AO665" s="153">
        <v>1.1850316887165302</v>
      </c>
    </row>
    <row r="666" spans="29:41">
      <c r="AC666" s="153" t="s">
        <v>52</v>
      </c>
      <c r="AD666" s="153" t="s">
        <v>18</v>
      </c>
      <c r="AE666" s="153" t="s">
        <v>72</v>
      </c>
      <c r="AF666" s="153" t="s">
        <v>51</v>
      </c>
      <c r="AG666" s="153" t="s">
        <v>156</v>
      </c>
      <c r="AH666" s="153">
        <v>3.812592661796018</v>
      </c>
      <c r="AJ666" s="153" t="s">
        <v>52</v>
      </c>
      <c r="AK666" s="153" t="s">
        <v>18</v>
      </c>
      <c r="AL666" s="153" t="s">
        <v>28</v>
      </c>
      <c r="AM666" s="153" t="s">
        <v>51</v>
      </c>
      <c r="AN666" s="153" t="s">
        <v>144</v>
      </c>
      <c r="AO666" s="153">
        <v>1.2026483193152928</v>
      </c>
    </row>
    <row r="667" spans="29:41">
      <c r="AC667" s="153" t="s">
        <v>52</v>
      </c>
      <c r="AD667" s="153" t="s">
        <v>18</v>
      </c>
      <c r="AE667" s="153" t="s">
        <v>72</v>
      </c>
      <c r="AF667" s="153" t="s">
        <v>51</v>
      </c>
      <c r="AG667" s="153" t="s">
        <v>157</v>
      </c>
      <c r="AH667" s="153">
        <v>3.8124950348616728</v>
      </c>
      <c r="AJ667" s="153" t="s">
        <v>52</v>
      </c>
      <c r="AK667" s="153" t="s">
        <v>18</v>
      </c>
      <c r="AL667" s="153" t="s">
        <v>28</v>
      </c>
      <c r="AM667" s="153" t="s">
        <v>51</v>
      </c>
      <c r="AN667" s="153" t="s">
        <v>145</v>
      </c>
      <c r="AO667" s="153">
        <v>1.1484232657506983</v>
      </c>
    </row>
    <row r="668" spans="29:41">
      <c r="AC668" s="153" t="s">
        <v>52</v>
      </c>
      <c r="AD668" s="153" t="s">
        <v>18</v>
      </c>
      <c r="AE668" s="153" t="s">
        <v>72</v>
      </c>
      <c r="AF668" s="153" t="s">
        <v>51</v>
      </c>
      <c r="AG668" s="153" t="s">
        <v>158</v>
      </c>
      <c r="AH668" s="153">
        <v>3.8425411667081901</v>
      </c>
      <c r="AJ668" s="153" t="s">
        <v>52</v>
      </c>
      <c r="AK668" s="153" t="s">
        <v>18</v>
      </c>
      <c r="AL668" s="153" t="s">
        <v>28</v>
      </c>
      <c r="AM668" s="153" t="s">
        <v>51</v>
      </c>
      <c r="AN668" s="153" t="s">
        <v>146</v>
      </c>
      <c r="AO668" s="153">
        <v>1.153463821632825</v>
      </c>
    </row>
    <row r="669" spans="29:41">
      <c r="AC669" s="153" t="s">
        <v>52</v>
      </c>
      <c r="AD669" s="153" t="s">
        <v>18</v>
      </c>
      <c r="AE669" s="153" t="s">
        <v>72</v>
      </c>
      <c r="AF669" s="153" t="s">
        <v>51</v>
      </c>
      <c r="AG669" s="153" t="s">
        <v>159</v>
      </c>
      <c r="AH669" s="153">
        <v>3.7794849694083221</v>
      </c>
      <c r="AJ669" s="153" t="s">
        <v>52</v>
      </c>
      <c r="AK669" s="153" t="s">
        <v>18</v>
      </c>
      <c r="AL669" s="153" t="s">
        <v>28</v>
      </c>
      <c r="AM669" s="153" t="s">
        <v>51</v>
      </c>
      <c r="AN669" s="153" t="s">
        <v>147</v>
      </c>
      <c r="AO669" s="153">
        <v>1.1790501974316359</v>
      </c>
    </row>
    <row r="670" spans="29:41">
      <c r="AC670" s="153" t="s">
        <v>52</v>
      </c>
      <c r="AD670" s="153" t="s">
        <v>18</v>
      </c>
      <c r="AE670" s="153" t="s">
        <v>72</v>
      </c>
      <c r="AF670" s="153" t="s">
        <v>51</v>
      </c>
      <c r="AG670" s="153" t="s">
        <v>160</v>
      </c>
      <c r="AH670" s="153">
        <v>3.812592661796018</v>
      </c>
      <c r="AJ670" s="153" t="s">
        <v>52</v>
      </c>
      <c r="AK670" s="153" t="s">
        <v>18</v>
      </c>
      <c r="AL670" s="153" t="s">
        <v>28</v>
      </c>
      <c r="AM670" s="153" t="s">
        <v>51</v>
      </c>
      <c r="AN670" s="153" t="s">
        <v>148</v>
      </c>
      <c r="AO670" s="153">
        <v>1.1519197362649205</v>
      </c>
    </row>
    <row r="671" spans="29:41">
      <c r="AC671" s="153" t="s">
        <v>52</v>
      </c>
      <c r="AD671" s="153" t="s">
        <v>18</v>
      </c>
      <c r="AE671" s="153" t="s">
        <v>72</v>
      </c>
      <c r="AF671" s="153" t="s">
        <v>51</v>
      </c>
      <c r="AG671" s="153" t="s">
        <v>161</v>
      </c>
      <c r="AH671" s="153">
        <v>3.812592661796018</v>
      </c>
      <c r="AJ671" s="153" t="s">
        <v>52</v>
      </c>
      <c r="AK671" s="153" t="s">
        <v>18</v>
      </c>
      <c r="AL671" s="153" t="s">
        <v>28</v>
      </c>
      <c r="AM671" s="153" t="s">
        <v>51</v>
      </c>
      <c r="AN671" s="153" t="s">
        <v>149</v>
      </c>
      <c r="AO671" s="153">
        <v>1.1515575005170779</v>
      </c>
    </row>
    <row r="672" spans="29:41">
      <c r="AC672" s="153" t="s">
        <v>52</v>
      </c>
      <c r="AD672" s="153" t="s">
        <v>18</v>
      </c>
      <c r="AE672" s="153" t="s">
        <v>72</v>
      </c>
      <c r="AF672" s="153" t="s">
        <v>51</v>
      </c>
      <c r="AG672" s="153" t="s">
        <v>162</v>
      </c>
      <c r="AH672" s="153">
        <v>3.812592661796018</v>
      </c>
      <c r="AJ672" s="153" t="s">
        <v>52</v>
      </c>
      <c r="AK672" s="153" t="s">
        <v>18</v>
      </c>
      <c r="AL672" s="153" t="s">
        <v>28</v>
      </c>
      <c r="AM672" s="153" t="s">
        <v>51</v>
      </c>
      <c r="AN672" s="153" t="s">
        <v>150</v>
      </c>
      <c r="AO672" s="153">
        <v>1.1500643528161443</v>
      </c>
    </row>
    <row r="673" spans="29:41">
      <c r="AC673" s="153" t="s">
        <v>52</v>
      </c>
      <c r="AD673" s="153" t="s">
        <v>18</v>
      </c>
      <c r="AE673" s="153" t="s">
        <v>72</v>
      </c>
      <c r="AF673" s="153" t="s">
        <v>51</v>
      </c>
      <c r="AG673" s="153" t="s">
        <v>163</v>
      </c>
      <c r="AH673" s="153">
        <v>3.7794849694083221</v>
      </c>
      <c r="AJ673" s="153" t="s">
        <v>52</v>
      </c>
      <c r="AK673" s="153" t="s">
        <v>18</v>
      </c>
      <c r="AL673" s="153" t="s">
        <v>28</v>
      </c>
      <c r="AM673" s="153" t="s">
        <v>51</v>
      </c>
      <c r="AN673" s="153" t="s">
        <v>151</v>
      </c>
      <c r="AO673" s="153">
        <v>1.128202301407712</v>
      </c>
    </row>
    <row r="674" spans="29:41">
      <c r="AC674" s="153" t="s">
        <v>52</v>
      </c>
      <c r="AD674" s="153" t="s">
        <v>18</v>
      </c>
      <c r="AE674" s="153" t="s">
        <v>72</v>
      </c>
      <c r="AF674" s="153" t="s">
        <v>51</v>
      </c>
      <c r="AG674" s="153" t="s">
        <v>164</v>
      </c>
      <c r="AH674" s="153">
        <v>3.7794849694083221</v>
      </c>
      <c r="AJ674" s="153" t="s">
        <v>52</v>
      </c>
      <c r="AK674" s="153" t="s">
        <v>18</v>
      </c>
      <c r="AL674" s="153" t="s">
        <v>28</v>
      </c>
      <c r="AM674" s="153" t="s">
        <v>51</v>
      </c>
      <c r="AN674" s="153" t="s">
        <v>152</v>
      </c>
      <c r="AO674" s="153">
        <v>1.1584417066706245</v>
      </c>
    </row>
    <row r="675" spans="29:41">
      <c r="AC675" s="153" t="s">
        <v>52</v>
      </c>
      <c r="AD675" s="153" t="s">
        <v>18</v>
      </c>
      <c r="AE675" s="153" t="s">
        <v>72</v>
      </c>
      <c r="AF675" s="153" t="s">
        <v>51</v>
      </c>
      <c r="AG675" s="153" t="s">
        <v>165</v>
      </c>
      <c r="AH675" s="153">
        <v>3.812592661796018</v>
      </c>
      <c r="AJ675" s="153" t="s">
        <v>52</v>
      </c>
      <c r="AK675" s="153" t="s">
        <v>18</v>
      </c>
      <c r="AL675" s="153" t="s">
        <v>28</v>
      </c>
      <c r="AM675" s="153" t="s">
        <v>51</v>
      </c>
      <c r="AN675" s="153" t="s">
        <v>153</v>
      </c>
      <c r="AO675" s="153">
        <v>1.1786755580554982</v>
      </c>
    </row>
    <row r="676" spans="29:41">
      <c r="AC676" s="153" t="s">
        <v>52</v>
      </c>
      <c r="AD676" s="153" t="s">
        <v>18</v>
      </c>
      <c r="AE676" s="153" t="s">
        <v>72</v>
      </c>
      <c r="AF676" s="153" t="s">
        <v>51</v>
      </c>
      <c r="AG676" s="153" t="s">
        <v>166</v>
      </c>
      <c r="AH676" s="153">
        <v>3.8425411667081901</v>
      </c>
      <c r="AJ676" s="153" t="s">
        <v>52</v>
      </c>
      <c r="AK676" s="153" t="s">
        <v>18</v>
      </c>
      <c r="AL676" s="153" t="s">
        <v>28</v>
      </c>
      <c r="AM676" s="153" t="s">
        <v>51</v>
      </c>
      <c r="AN676" s="153" t="s">
        <v>154</v>
      </c>
      <c r="AO676" s="153">
        <v>1.2137587078296703</v>
      </c>
    </row>
    <row r="677" spans="29:41">
      <c r="AC677" s="153" t="s">
        <v>52</v>
      </c>
      <c r="AD677" s="153" t="s">
        <v>18</v>
      </c>
      <c r="AE677" s="153" t="s">
        <v>72</v>
      </c>
      <c r="AF677" s="153" t="s">
        <v>51</v>
      </c>
      <c r="AG677" s="153" t="s">
        <v>167</v>
      </c>
      <c r="AH677" s="153">
        <v>3.8425411667081901</v>
      </c>
      <c r="AJ677" s="153" t="s">
        <v>52</v>
      </c>
      <c r="AK677" s="153" t="s">
        <v>18</v>
      </c>
      <c r="AL677" s="153" t="s">
        <v>28</v>
      </c>
      <c r="AM677" s="153" t="s">
        <v>51</v>
      </c>
      <c r="AN677" s="153" t="s">
        <v>155</v>
      </c>
      <c r="AO677" s="153">
        <v>1.1921735232104831</v>
      </c>
    </row>
    <row r="678" spans="29:41">
      <c r="AC678" s="153" t="s">
        <v>52</v>
      </c>
      <c r="AD678" s="153" t="s">
        <v>18</v>
      </c>
      <c r="AE678" s="153" t="s">
        <v>72</v>
      </c>
      <c r="AF678" s="153" t="s">
        <v>51</v>
      </c>
      <c r="AG678" s="153" t="s">
        <v>168</v>
      </c>
      <c r="AH678" s="153">
        <v>3.8124950348616728</v>
      </c>
      <c r="AJ678" s="153" t="s">
        <v>52</v>
      </c>
      <c r="AK678" s="153" t="s">
        <v>18</v>
      </c>
      <c r="AL678" s="153" t="s">
        <v>28</v>
      </c>
      <c r="AM678" s="153" t="s">
        <v>51</v>
      </c>
      <c r="AN678" s="153" t="s">
        <v>156</v>
      </c>
      <c r="AO678" s="153">
        <v>1.164934383367918</v>
      </c>
    </row>
    <row r="679" spans="29:41">
      <c r="AC679" s="153" t="s">
        <v>52</v>
      </c>
      <c r="AD679" s="153" t="s">
        <v>18</v>
      </c>
      <c r="AE679" s="153" t="s">
        <v>72</v>
      </c>
      <c r="AF679" s="153" t="s">
        <v>51</v>
      </c>
      <c r="AG679" s="153" t="s">
        <v>169</v>
      </c>
      <c r="AH679" s="153">
        <v>3.8425411667081901</v>
      </c>
      <c r="AJ679" s="153" t="s">
        <v>52</v>
      </c>
      <c r="AK679" s="153" t="s">
        <v>18</v>
      </c>
      <c r="AL679" s="153" t="s">
        <v>28</v>
      </c>
      <c r="AM679" s="153" t="s">
        <v>51</v>
      </c>
      <c r="AN679" s="153" t="s">
        <v>157</v>
      </c>
      <c r="AO679" s="153">
        <v>1.1451004723297626</v>
      </c>
    </row>
    <row r="680" spans="29:41">
      <c r="AC680" s="153" t="s">
        <v>52</v>
      </c>
      <c r="AD680" s="153" t="s">
        <v>18</v>
      </c>
      <c r="AE680" s="153" t="s">
        <v>72</v>
      </c>
      <c r="AF680" s="153" t="s">
        <v>51</v>
      </c>
      <c r="AG680" s="153" t="s">
        <v>170</v>
      </c>
      <c r="AH680" s="153">
        <v>3.9062558298878747</v>
      </c>
      <c r="AJ680" s="153" t="s">
        <v>52</v>
      </c>
      <c r="AK680" s="153" t="s">
        <v>18</v>
      </c>
      <c r="AL680" s="153" t="s">
        <v>28</v>
      </c>
      <c r="AM680" s="153" t="s">
        <v>51</v>
      </c>
      <c r="AN680" s="153" t="s">
        <v>158</v>
      </c>
      <c r="AO680" s="153">
        <v>1.2012007162912803</v>
      </c>
    </row>
    <row r="681" spans="29:41">
      <c r="AC681" s="153" t="s">
        <v>52</v>
      </c>
      <c r="AD681" s="153" t="s">
        <v>18</v>
      </c>
      <c r="AE681" s="153" t="s">
        <v>72</v>
      </c>
      <c r="AF681" s="153" t="s">
        <v>51</v>
      </c>
      <c r="AG681" s="153" t="s">
        <v>171</v>
      </c>
      <c r="AH681" s="153">
        <v>3.9353424338077225</v>
      </c>
      <c r="AJ681" s="153" t="s">
        <v>52</v>
      </c>
      <c r="AK681" s="153" t="s">
        <v>18</v>
      </c>
      <c r="AL681" s="153" t="s">
        <v>28</v>
      </c>
      <c r="AM681" s="153" t="s">
        <v>51</v>
      </c>
      <c r="AN681" s="153" t="s">
        <v>159</v>
      </c>
      <c r="AO681" s="153">
        <v>1.182626202146932</v>
      </c>
    </row>
    <row r="682" spans="29:41">
      <c r="AC682" s="153" t="s">
        <v>52</v>
      </c>
      <c r="AD682" s="153" t="s">
        <v>18</v>
      </c>
      <c r="AE682" s="153" t="s">
        <v>72</v>
      </c>
      <c r="AF682" s="153" t="s">
        <v>51</v>
      </c>
      <c r="AG682" s="153" t="s">
        <v>172</v>
      </c>
      <c r="AH682" s="153">
        <v>3.9353424338077225</v>
      </c>
      <c r="AJ682" s="153" t="s">
        <v>52</v>
      </c>
      <c r="AK682" s="153" t="s">
        <v>18</v>
      </c>
      <c r="AL682" s="153" t="s">
        <v>28</v>
      </c>
      <c r="AM682" s="153" t="s">
        <v>51</v>
      </c>
      <c r="AN682" s="153" t="s">
        <v>160</v>
      </c>
      <c r="AO682" s="153">
        <v>1.2278990772262279</v>
      </c>
    </row>
    <row r="683" spans="29:41">
      <c r="AC683" s="153" t="s">
        <v>52</v>
      </c>
      <c r="AD683" s="153" t="s">
        <v>18</v>
      </c>
      <c r="AE683" s="153" t="s">
        <v>72</v>
      </c>
      <c r="AF683" s="153" t="s">
        <v>51</v>
      </c>
      <c r="AG683" s="153" t="s">
        <v>173</v>
      </c>
      <c r="AH683" s="153">
        <v>3.968948344733974</v>
      </c>
      <c r="AJ683" s="153" t="s">
        <v>52</v>
      </c>
      <c r="AK683" s="153" t="s">
        <v>18</v>
      </c>
      <c r="AL683" s="153" t="s">
        <v>28</v>
      </c>
      <c r="AM683" s="153" t="s">
        <v>51</v>
      </c>
      <c r="AN683" s="153" t="s">
        <v>161</v>
      </c>
      <c r="AO683" s="153">
        <v>1.2366897199972682</v>
      </c>
    </row>
    <row r="684" spans="29:41">
      <c r="AC684" s="153" t="s">
        <v>52</v>
      </c>
      <c r="AD684" s="153" t="s">
        <v>18</v>
      </c>
      <c r="AE684" s="153" t="s">
        <v>72</v>
      </c>
      <c r="AF684" s="153" t="s">
        <v>51</v>
      </c>
      <c r="AG684" s="153" t="s">
        <v>174</v>
      </c>
      <c r="AH684" s="153">
        <v>4.0610656170015185</v>
      </c>
      <c r="AJ684" s="153" t="s">
        <v>52</v>
      </c>
      <c r="AK684" s="153" t="s">
        <v>18</v>
      </c>
      <c r="AL684" s="153" t="s">
        <v>28</v>
      </c>
      <c r="AM684" s="153" t="s">
        <v>51</v>
      </c>
      <c r="AN684" s="153" t="s">
        <v>162</v>
      </c>
      <c r="AO684" s="153">
        <v>1.245472241338248</v>
      </c>
    </row>
    <row r="685" spans="29:41">
      <c r="AC685" s="153" t="s">
        <v>52</v>
      </c>
      <c r="AD685" s="153" t="s">
        <v>18</v>
      </c>
      <c r="AE685" s="153" t="s">
        <v>72</v>
      </c>
      <c r="AF685" s="153" t="s">
        <v>51</v>
      </c>
      <c r="AG685" s="153" t="s">
        <v>175</v>
      </c>
      <c r="AH685" s="153">
        <v>4.0610656170015185</v>
      </c>
      <c r="AJ685" s="153" t="s">
        <v>52</v>
      </c>
      <c r="AK685" s="153" t="s">
        <v>18</v>
      </c>
      <c r="AL685" s="153" t="s">
        <v>28</v>
      </c>
      <c r="AM685" s="153" t="s">
        <v>51</v>
      </c>
      <c r="AN685" s="153" t="s">
        <v>163</v>
      </c>
      <c r="AO685" s="153">
        <v>1.1808957523380619</v>
      </c>
    </row>
    <row r="686" spans="29:41">
      <c r="AC686" s="153" t="s">
        <v>52</v>
      </c>
      <c r="AD686" s="153" t="s">
        <v>18</v>
      </c>
      <c r="AE686" s="153" t="s">
        <v>72</v>
      </c>
      <c r="AF686" s="153" t="s">
        <v>51</v>
      </c>
      <c r="AG686" s="153" t="s">
        <v>176</v>
      </c>
      <c r="AH686" s="153">
        <v>4.0284371983798186</v>
      </c>
      <c r="AJ686" s="153" t="s">
        <v>52</v>
      </c>
      <c r="AK686" s="153" t="s">
        <v>18</v>
      </c>
      <c r="AL686" s="153" t="s">
        <v>28</v>
      </c>
      <c r="AM686" s="153" t="s">
        <v>51</v>
      </c>
      <c r="AN686" s="153" t="s">
        <v>164</v>
      </c>
      <c r="AO686" s="153">
        <v>1.1569638893232519</v>
      </c>
    </row>
    <row r="687" spans="29:41">
      <c r="AC687" s="153" t="s">
        <v>52</v>
      </c>
      <c r="AD687" s="153" t="s">
        <v>18</v>
      </c>
      <c r="AE687" s="153" t="s">
        <v>72</v>
      </c>
      <c r="AF687" s="153" t="s">
        <v>51</v>
      </c>
      <c r="AG687" s="153" t="s">
        <v>177</v>
      </c>
      <c r="AH687" s="153">
        <v>3.9361387568601574</v>
      </c>
      <c r="AJ687" s="153" t="s">
        <v>52</v>
      </c>
      <c r="AK687" s="153" t="s">
        <v>18</v>
      </c>
      <c r="AL687" s="153" t="s">
        <v>28</v>
      </c>
      <c r="AM687" s="153" t="s">
        <v>51</v>
      </c>
      <c r="AN687" s="153" t="s">
        <v>165</v>
      </c>
      <c r="AO687" s="153">
        <v>1.1372662480492881</v>
      </c>
    </row>
    <row r="688" spans="29:41">
      <c r="AC688" s="153" t="s">
        <v>52</v>
      </c>
      <c r="AD688" s="153" t="s">
        <v>18</v>
      </c>
      <c r="AE688" s="153" t="s">
        <v>72</v>
      </c>
      <c r="AF688" s="153" t="s">
        <v>51</v>
      </c>
      <c r="AG688" s="153" t="s">
        <v>178</v>
      </c>
      <c r="AH688" s="153">
        <v>3.9987193359155064</v>
      </c>
      <c r="AJ688" s="153" t="s">
        <v>52</v>
      </c>
      <c r="AK688" s="153" t="s">
        <v>18</v>
      </c>
      <c r="AL688" s="153" t="s">
        <v>28</v>
      </c>
      <c r="AM688" s="153" t="s">
        <v>51</v>
      </c>
      <c r="AN688" s="153" t="s">
        <v>166</v>
      </c>
      <c r="AO688" s="153">
        <v>1.18625358517885</v>
      </c>
    </row>
    <row r="689" spans="29:41">
      <c r="AC689" s="153" t="s">
        <v>52</v>
      </c>
      <c r="AD689" s="153" t="s">
        <v>18</v>
      </c>
      <c r="AE689" s="153" t="s">
        <v>72</v>
      </c>
      <c r="AF689" s="153" t="s">
        <v>51</v>
      </c>
      <c r="AG689" s="153" t="s">
        <v>179</v>
      </c>
      <c r="AH689" s="153">
        <v>4.0284371983798186</v>
      </c>
      <c r="AJ689" s="153" t="s">
        <v>52</v>
      </c>
      <c r="AK689" s="153" t="s">
        <v>18</v>
      </c>
      <c r="AL689" s="153" t="s">
        <v>28</v>
      </c>
      <c r="AM689" s="153" t="s">
        <v>51</v>
      </c>
      <c r="AN689" s="153" t="s">
        <v>167</v>
      </c>
      <c r="AO689" s="153">
        <v>1.2129819489389504</v>
      </c>
    </row>
    <row r="690" spans="29:41">
      <c r="AC690" s="153" t="s">
        <v>52</v>
      </c>
      <c r="AD690" s="153" t="s">
        <v>18</v>
      </c>
      <c r="AE690" s="153" t="s">
        <v>72</v>
      </c>
      <c r="AF690" s="153" t="s">
        <v>51</v>
      </c>
      <c r="AG690" s="153" t="s">
        <v>180</v>
      </c>
      <c r="AH690" s="153">
        <v>4.0610656170015185</v>
      </c>
      <c r="AJ690" s="153" t="s">
        <v>52</v>
      </c>
      <c r="AK690" s="153" t="s">
        <v>18</v>
      </c>
      <c r="AL690" s="153" t="s">
        <v>28</v>
      </c>
      <c r="AM690" s="153" t="s">
        <v>51</v>
      </c>
      <c r="AN690" s="153" t="s">
        <v>168</v>
      </c>
      <c r="AO690" s="153">
        <v>1.1687611844429833</v>
      </c>
    </row>
    <row r="691" spans="29:41">
      <c r="AC691" s="153" t="s">
        <v>52</v>
      </c>
      <c r="AD691" s="153" t="s">
        <v>18</v>
      </c>
      <c r="AE691" s="153" t="s">
        <v>72</v>
      </c>
      <c r="AF691" s="153" t="s">
        <v>51</v>
      </c>
      <c r="AG691" s="153" t="s">
        <v>181</v>
      </c>
      <c r="AH691" s="153">
        <v>4.0301218665618999</v>
      </c>
      <c r="AJ691" s="153" t="s">
        <v>52</v>
      </c>
      <c r="AK691" s="153" t="s">
        <v>18</v>
      </c>
      <c r="AL691" s="153" t="s">
        <v>28</v>
      </c>
      <c r="AM691" s="153" t="s">
        <v>51</v>
      </c>
      <c r="AN691" s="153" t="s">
        <v>169</v>
      </c>
      <c r="AO691" s="153">
        <v>1.14339971207764</v>
      </c>
    </row>
    <row r="692" spans="29:41">
      <c r="AC692" s="153" t="s">
        <v>52</v>
      </c>
      <c r="AD692" s="153" t="s">
        <v>18</v>
      </c>
      <c r="AE692" s="153" t="s">
        <v>72</v>
      </c>
      <c r="AF692" s="153" t="s">
        <v>51</v>
      </c>
      <c r="AG692" s="153" t="s">
        <v>182</v>
      </c>
      <c r="AH692" s="153">
        <v>4.0284371983798186</v>
      </c>
      <c r="AJ692" s="153" t="s">
        <v>52</v>
      </c>
      <c r="AK692" s="153" t="s">
        <v>18</v>
      </c>
      <c r="AL692" s="153" t="s">
        <v>28</v>
      </c>
      <c r="AM692" s="153" t="s">
        <v>51</v>
      </c>
      <c r="AN692" s="153" t="s">
        <v>170</v>
      </c>
      <c r="AO692" s="153">
        <v>1.1595099583305548</v>
      </c>
    </row>
    <row r="693" spans="29:41">
      <c r="AC693" s="153" t="s">
        <v>52</v>
      </c>
      <c r="AD693" s="153" t="s">
        <v>18</v>
      </c>
      <c r="AE693" s="153" t="s">
        <v>72</v>
      </c>
      <c r="AF693" s="153" t="s">
        <v>51</v>
      </c>
      <c r="AG693" s="153" t="s">
        <v>183</v>
      </c>
      <c r="AH693" s="153">
        <v>3.9987193359155064</v>
      </c>
      <c r="AJ693" s="153" t="s">
        <v>52</v>
      </c>
      <c r="AK693" s="153" t="s">
        <v>18</v>
      </c>
      <c r="AL693" s="153" t="s">
        <v>28</v>
      </c>
      <c r="AM693" s="153" t="s">
        <v>51</v>
      </c>
      <c r="AN693" s="153" t="s">
        <v>171</v>
      </c>
      <c r="AO693" s="153">
        <v>1.1873277108407725</v>
      </c>
    </row>
    <row r="694" spans="29:41">
      <c r="AC694" s="153" t="s">
        <v>52</v>
      </c>
      <c r="AD694" s="153" t="s">
        <v>18</v>
      </c>
      <c r="AE694" s="153" t="s">
        <v>72</v>
      </c>
      <c r="AF694" s="153" t="s">
        <v>51</v>
      </c>
      <c r="AG694" s="153" t="s">
        <v>184</v>
      </c>
      <c r="AH694" s="153">
        <v>4.0936300339223344</v>
      </c>
      <c r="AJ694" s="153" t="s">
        <v>52</v>
      </c>
      <c r="AK694" s="153" t="s">
        <v>18</v>
      </c>
      <c r="AL694" s="153" t="s">
        <v>28</v>
      </c>
      <c r="AM694" s="153" t="s">
        <v>51</v>
      </c>
      <c r="AN694" s="153" t="s">
        <v>172</v>
      </c>
      <c r="AO694" s="153">
        <v>1.1289325267435621</v>
      </c>
    </row>
    <row r="695" spans="29:41">
      <c r="AC695" s="153" t="s">
        <v>52</v>
      </c>
      <c r="AD695" s="153" t="s">
        <v>18</v>
      </c>
      <c r="AE695" s="153" t="s">
        <v>72</v>
      </c>
      <c r="AF695" s="153" t="s">
        <v>51</v>
      </c>
      <c r="AG695" s="153" t="s">
        <v>185</v>
      </c>
      <c r="AH695" s="153">
        <v>4.0936300339223344</v>
      </c>
      <c r="AJ695" s="153" t="s">
        <v>52</v>
      </c>
      <c r="AK695" s="153" t="s">
        <v>18</v>
      </c>
      <c r="AL695" s="153" t="s">
        <v>28</v>
      </c>
      <c r="AM695" s="153" t="s">
        <v>51</v>
      </c>
      <c r="AN695" s="153" t="s">
        <v>173</v>
      </c>
      <c r="AO695" s="153">
        <v>1.1272723391193236</v>
      </c>
    </row>
    <row r="696" spans="29:41">
      <c r="AC696" s="153" t="s">
        <v>52</v>
      </c>
      <c r="AD696" s="153" t="s">
        <v>18</v>
      </c>
      <c r="AE696" s="153" t="s">
        <v>72</v>
      </c>
      <c r="AF696" s="153" t="s">
        <v>51</v>
      </c>
      <c r="AG696" s="153" t="s">
        <v>186</v>
      </c>
      <c r="AH696" s="153">
        <v>3.9987193359155064</v>
      </c>
      <c r="AJ696" s="153" t="s">
        <v>52</v>
      </c>
      <c r="AK696" s="153" t="s">
        <v>18</v>
      </c>
      <c r="AL696" s="153" t="s">
        <v>28</v>
      </c>
      <c r="AM696" s="153" t="s">
        <v>51</v>
      </c>
      <c r="AN696" s="153" t="s">
        <v>174</v>
      </c>
      <c r="AO696" s="153">
        <v>1.1854171415668284</v>
      </c>
    </row>
    <row r="697" spans="29:41">
      <c r="AC697" s="153" t="s">
        <v>52</v>
      </c>
      <c r="AD697" s="153" t="s">
        <v>18</v>
      </c>
      <c r="AE697" s="153" t="s">
        <v>72</v>
      </c>
      <c r="AF697" s="153" t="s">
        <v>51</v>
      </c>
      <c r="AG697" s="153" t="s">
        <v>187</v>
      </c>
      <c r="AH697" s="153">
        <v>4.0936300339223344</v>
      </c>
      <c r="AJ697" s="153" t="s">
        <v>52</v>
      </c>
      <c r="AK697" s="153" t="s">
        <v>18</v>
      </c>
      <c r="AL697" s="153" t="s">
        <v>28</v>
      </c>
      <c r="AM697" s="153" t="s">
        <v>51</v>
      </c>
      <c r="AN697" s="153" t="s">
        <v>175</v>
      </c>
      <c r="AO697" s="153">
        <v>1.1417604200449385</v>
      </c>
    </row>
    <row r="698" spans="29:41">
      <c r="AC698" s="153" t="s">
        <v>52</v>
      </c>
      <c r="AD698" s="153" t="s">
        <v>18</v>
      </c>
      <c r="AE698" s="153" t="s">
        <v>72</v>
      </c>
      <c r="AF698" s="153" t="s">
        <v>51</v>
      </c>
      <c r="AG698" s="153" t="s">
        <v>188</v>
      </c>
      <c r="AH698" s="153">
        <v>4.0284371983798186</v>
      </c>
      <c r="AJ698" s="153" t="s">
        <v>52</v>
      </c>
      <c r="AK698" s="153" t="s">
        <v>18</v>
      </c>
      <c r="AL698" s="153" t="s">
        <v>28</v>
      </c>
      <c r="AM698" s="153" t="s">
        <v>51</v>
      </c>
      <c r="AN698" s="153" t="s">
        <v>176</v>
      </c>
      <c r="AO698" s="153">
        <v>1.1666592303356988</v>
      </c>
    </row>
    <row r="699" spans="29:41">
      <c r="AC699" s="153" t="s">
        <v>52</v>
      </c>
      <c r="AD699" s="153" t="s">
        <v>18</v>
      </c>
      <c r="AE699" s="153" t="s">
        <v>72</v>
      </c>
      <c r="AF699" s="153" t="s">
        <v>51</v>
      </c>
      <c r="AG699" s="153" t="s">
        <v>189</v>
      </c>
      <c r="AH699" s="153">
        <v>3.9659683192190758</v>
      </c>
      <c r="AJ699" s="153" t="s">
        <v>52</v>
      </c>
      <c r="AK699" s="153" t="s">
        <v>18</v>
      </c>
      <c r="AL699" s="153" t="s">
        <v>28</v>
      </c>
      <c r="AM699" s="153" t="s">
        <v>51</v>
      </c>
      <c r="AN699" s="153" t="s">
        <v>177</v>
      </c>
      <c r="AO699" s="153">
        <v>1.1260310636068873</v>
      </c>
    </row>
    <row r="700" spans="29:41">
      <c r="AC700" s="153" t="s">
        <v>52</v>
      </c>
      <c r="AD700" s="153" t="s">
        <v>18</v>
      </c>
      <c r="AE700" s="153" t="s">
        <v>72</v>
      </c>
      <c r="AF700" s="153" t="s">
        <v>51</v>
      </c>
      <c r="AG700" s="153" t="s">
        <v>190</v>
      </c>
      <c r="AH700" s="153">
        <v>3.9659683192190758</v>
      </c>
      <c r="AJ700" s="153" t="s">
        <v>52</v>
      </c>
      <c r="AK700" s="153" t="s">
        <v>18</v>
      </c>
      <c r="AL700" s="153" t="s">
        <v>28</v>
      </c>
      <c r="AM700" s="153" t="s">
        <v>51</v>
      </c>
      <c r="AN700" s="153" t="s">
        <v>178</v>
      </c>
      <c r="AO700" s="153">
        <v>1.0787377454870266</v>
      </c>
    </row>
    <row r="701" spans="29:41">
      <c r="AC701" s="153" t="s">
        <v>52</v>
      </c>
      <c r="AD701" s="153" t="s">
        <v>18</v>
      </c>
      <c r="AE701" s="153" t="s">
        <v>72</v>
      </c>
      <c r="AF701" s="153" t="s">
        <v>51</v>
      </c>
      <c r="AG701" s="153" t="s">
        <v>191</v>
      </c>
      <c r="AH701" s="153">
        <v>3.9361387568601574</v>
      </c>
      <c r="AJ701" s="153" t="s">
        <v>52</v>
      </c>
      <c r="AK701" s="153" t="s">
        <v>18</v>
      </c>
      <c r="AL701" s="153" t="s">
        <v>28</v>
      </c>
      <c r="AM701" s="153" t="s">
        <v>51</v>
      </c>
      <c r="AN701" s="153" t="s">
        <v>179</v>
      </c>
      <c r="AO701" s="153">
        <v>1.0921474532674187</v>
      </c>
    </row>
    <row r="702" spans="29:41">
      <c r="AC702" s="153" t="s">
        <v>52</v>
      </c>
      <c r="AD702" s="153" t="s">
        <v>18</v>
      </c>
      <c r="AE702" s="153" t="s">
        <v>72</v>
      </c>
      <c r="AF702" s="153" t="s">
        <v>51</v>
      </c>
      <c r="AG702" s="153" t="s">
        <v>192</v>
      </c>
      <c r="AH702" s="153">
        <v>4.0284371983798186</v>
      </c>
      <c r="AJ702" s="153" t="s">
        <v>52</v>
      </c>
      <c r="AK702" s="153" t="s">
        <v>18</v>
      </c>
      <c r="AL702" s="153" t="s">
        <v>28</v>
      </c>
      <c r="AM702" s="153" t="s">
        <v>51</v>
      </c>
      <c r="AN702" s="153" t="s">
        <v>180</v>
      </c>
      <c r="AO702" s="153">
        <v>1.1024563517281987</v>
      </c>
    </row>
    <row r="703" spans="29:41">
      <c r="AC703" s="153" t="s">
        <v>52</v>
      </c>
      <c r="AD703" s="153" t="s">
        <v>18</v>
      </c>
      <c r="AE703" s="153" t="s">
        <v>72</v>
      </c>
      <c r="AF703" s="153" t="s">
        <v>51</v>
      </c>
      <c r="AG703" s="153" t="s">
        <v>193</v>
      </c>
      <c r="AH703" s="153">
        <v>4.0284371983798186</v>
      </c>
      <c r="AJ703" s="153" t="s">
        <v>52</v>
      </c>
      <c r="AK703" s="153" t="s">
        <v>18</v>
      </c>
      <c r="AL703" s="153" t="s">
        <v>28</v>
      </c>
      <c r="AM703" s="153" t="s">
        <v>51</v>
      </c>
      <c r="AN703" s="153" t="s">
        <v>181</v>
      </c>
      <c r="AO703" s="153">
        <v>1.1232313177685398</v>
      </c>
    </row>
    <row r="704" spans="29:41">
      <c r="AC704" s="153" t="s">
        <v>52</v>
      </c>
      <c r="AD704" s="153" t="s">
        <v>18</v>
      </c>
      <c r="AE704" s="153" t="s">
        <v>72</v>
      </c>
      <c r="AF704" s="153" t="s">
        <v>51</v>
      </c>
      <c r="AG704" s="153" t="s">
        <v>194</v>
      </c>
      <c r="AH704" s="153">
        <v>4.1248698203088709</v>
      </c>
      <c r="AJ704" s="153" t="s">
        <v>52</v>
      </c>
      <c r="AK704" s="153" t="s">
        <v>18</v>
      </c>
      <c r="AL704" s="153" t="s">
        <v>28</v>
      </c>
      <c r="AM704" s="153" t="s">
        <v>51</v>
      </c>
      <c r="AN704" s="153" t="s">
        <v>182</v>
      </c>
      <c r="AO704" s="153">
        <v>1.2021204993395886</v>
      </c>
    </row>
    <row r="705" spans="29:41">
      <c r="AC705" s="153" t="s">
        <v>52</v>
      </c>
      <c r="AD705" s="153" t="s">
        <v>18</v>
      </c>
      <c r="AE705" s="153" t="s">
        <v>72</v>
      </c>
      <c r="AF705" s="153" t="s">
        <v>51</v>
      </c>
      <c r="AG705" s="153" t="s">
        <v>195</v>
      </c>
      <c r="AH705" s="153">
        <v>4.1248698203088709</v>
      </c>
      <c r="AJ705" s="153" t="s">
        <v>52</v>
      </c>
      <c r="AK705" s="153" t="s">
        <v>18</v>
      </c>
      <c r="AL705" s="153" t="s">
        <v>28</v>
      </c>
      <c r="AM705" s="153" t="s">
        <v>51</v>
      </c>
      <c r="AN705" s="153" t="s">
        <v>183</v>
      </c>
      <c r="AO705" s="153">
        <v>1.1090394051208565</v>
      </c>
    </row>
    <row r="706" spans="29:41">
      <c r="AC706" s="153" t="s">
        <v>52</v>
      </c>
      <c r="AD706" s="153" t="s">
        <v>18</v>
      </c>
      <c r="AE706" s="153" t="s">
        <v>72</v>
      </c>
      <c r="AF706" s="153" t="s">
        <v>51</v>
      </c>
      <c r="AG706" s="153" t="s">
        <v>196</v>
      </c>
      <c r="AH706" s="153">
        <v>4.1539931569602002</v>
      </c>
      <c r="AJ706" s="153" t="s">
        <v>52</v>
      </c>
      <c r="AK706" s="153" t="s">
        <v>18</v>
      </c>
      <c r="AL706" s="153" t="s">
        <v>28</v>
      </c>
      <c r="AM706" s="153" t="s">
        <v>51</v>
      </c>
      <c r="AN706" s="153" t="s">
        <v>184</v>
      </c>
      <c r="AO706" s="153">
        <v>1.1721816785436447</v>
      </c>
    </row>
    <row r="707" spans="29:41">
      <c r="AC707" s="153" t="s">
        <v>52</v>
      </c>
      <c r="AD707" s="153" t="s">
        <v>18</v>
      </c>
      <c r="AE707" s="153" t="s">
        <v>72</v>
      </c>
      <c r="AF707" s="153" t="s">
        <v>51</v>
      </c>
      <c r="AG707" s="153" t="s">
        <v>197</v>
      </c>
      <c r="AH707" s="153">
        <v>4.1248698203088709</v>
      </c>
      <c r="AJ707" s="153" t="s">
        <v>52</v>
      </c>
      <c r="AK707" s="153" t="s">
        <v>18</v>
      </c>
      <c r="AL707" s="153" t="s">
        <v>28</v>
      </c>
      <c r="AM707" s="153" t="s">
        <v>51</v>
      </c>
      <c r="AN707" s="153" t="s">
        <v>185</v>
      </c>
      <c r="AO707" s="153">
        <v>1.1833677074112747</v>
      </c>
    </row>
    <row r="708" spans="29:41">
      <c r="AC708" s="153" t="s">
        <v>52</v>
      </c>
      <c r="AD708" s="153" t="s">
        <v>18</v>
      </c>
      <c r="AE708" s="153" t="s">
        <v>72</v>
      </c>
      <c r="AF708" s="153" t="s">
        <v>51</v>
      </c>
      <c r="AG708" s="153" t="s">
        <v>198</v>
      </c>
      <c r="AH708" s="153">
        <v>4.2161439941639536</v>
      </c>
      <c r="AJ708" s="153" t="s">
        <v>52</v>
      </c>
      <c r="AK708" s="153" t="s">
        <v>18</v>
      </c>
      <c r="AL708" s="153" t="s">
        <v>28</v>
      </c>
      <c r="AM708" s="153" t="s">
        <v>51</v>
      </c>
      <c r="AN708" s="153" t="s">
        <v>186</v>
      </c>
      <c r="AO708" s="153">
        <v>1.1387432923308964</v>
      </c>
    </row>
    <row r="709" spans="29:41">
      <c r="AC709" s="153" t="s">
        <v>52</v>
      </c>
      <c r="AD709" s="153" t="s">
        <v>18</v>
      </c>
      <c r="AE709" s="153" t="s">
        <v>72</v>
      </c>
      <c r="AF709" s="153" t="s">
        <v>51</v>
      </c>
      <c r="AG709" s="153" t="s">
        <v>199</v>
      </c>
      <c r="AH709" s="153">
        <v>4.2802651684494641</v>
      </c>
      <c r="AJ709" s="153" t="s">
        <v>52</v>
      </c>
      <c r="AK709" s="153" t="s">
        <v>18</v>
      </c>
      <c r="AL709" s="153" t="s">
        <v>28</v>
      </c>
      <c r="AM709" s="153" t="s">
        <v>51</v>
      </c>
      <c r="AN709" s="153" t="s">
        <v>187</v>
      </c>
      <c r="AO709" s="153">
        <v>1.2021090180919645</v>
      </c>
    </row>
    <row r="710" spans="29:41">
      <c r="AC710" s="153" t="s">
        <v>52</v>
      </c>
      <c r="AD710" s="153" t="s">
        <v>18</v>
      </c>
      <c r="AE710" s="153" t="s">
        <v>72</v>
      </c>
      <c r="AF710" s="153" t="s">
        <v>51</v>
      </c>
      <c r="AG710" s="153" t="s">
        <v>200</v>
      </c>
      <c r="AH710" s="153">
        <v>4.1867556587570789</v>
      </c>
      <c r="AJ710" s="153" t="s">
        <v>52</v>
      </c>
      <c r="AK710" s="153" t="s">
        <v>18</v>
      </c>
      <c r="AL710" s="153" t="s">
        <v>28</v>
      </c>
      <c r="AM710" s="153" t="s">
        <v>51</v>
      </c>
      <c r="AN710" s="153" t="s">
        <v>188</v>
      </c>
      <c r="AO710" s="153">
        <v>1.1783667597662388</v>
      </c>
    </row>
    <row r="711" spans="29:41">
      <c r="AC711" s="153" t="s">
        <v>52</v>
      </c>
      <c r="AD711" s="153" t="s">
        <v>18</v>
      </c>
      <c r="AE711" s="153" t="s">
        <v>72</v>
      </c>
      <c r="AF711" s="153" t="s">
        <v>51</v>
      </c>
      <c r="AG711" s="153" t="s">
        <v>201</v>
      </c>
      <c r="AH711" s="153">
        <v>4.2161439941639536</v>
      </c>
      <c r="AJ711" s="153" t="s">
        <v>52</v>
      </c>
      <c r="AK711" s="153" t="s">
        <v>18</v>
      </c>
      <c r="AL711" s="153" t="s">
        <v>28</v>
      </c>
      <c r="AM711" s="153" t="s">
        <v>51</v>
      </c>
      <c r="AN711" s="153" t="s">
        <v>189</v>
      </c>
      <c r="AO711" s="153">
        <v>1.1199017857261857</v>
      </c>
    </row>
    <row r="712" spans="29:41">
      <c r="AC712" s="153" t="s">
        <v>52</v>
      </c>
      <c r="AD712" s="153" t="s">
        <v>18</v>
      </c>
      <c r="AE712" s="153" t="s">
        <v>72</v>
      </c>
      <c r="AF712" s="153" t="s">
        <v>51</v>
      </c>
      <c r="AG712" s="153" t="s">
        <v>202</v>
      </c>
      <c r="AH712" s="153">
        <v>4.1543680910694123</v>
      </c>
      <c r="AJ712" s="153" t="s">
        <v>52</v>
      </c>
      <c r="AK712" s="153" t="s">
        <v>18</v>
      </c>
      <c r="AL712" s="153" t="s">
        <v>28</v>
      </c>
      <c r="AM712" s="153" t="s">
        <v>51</v>
      </c>
      <c r="AN712" s="153" t="s">
        <v>190</v>
      </c>
      <c r="AO712" s="153">
        <v>1.1246011040016359</v>
      </c>
    </row>
    <row r="713" spans="29:41">
      <c r="AC713" s="153" t="s">
        <v>52</v>
      </c>
      <c r="AD713" s="153" t="s">
        <v>18</v>
      </c>
      <c r="AE713" s="153" t="s">
        <v>72</v>
      </c>
      <c r="AF713" s="153" t="s">
        <v>51</v>
      </c>
      <c r="AG713" s="153" t="s">
        <v>203</v>
      </c>
      <c r="AH713" s="153">
        <v>4.1543680910694123</v>
      </c>
      <c r="AJ713" s="153" t="s">
        <v>52</v>
      </c>
      <c r="AK713" s="153" t="s">
        <v>18</v>
      </c>
      <c r="AL713" s="153" t="s">
        <v>28</v>
      </c>
      <c r="AM713" s="153" t="s">
        <v>51</v>
      </c>
      <c r="AN713" s="153" t="s">
        <v>191</v>
      </c>
      <c r="AO713" s="153">
        <v>1.1235798144236075</v>
      </c>
    </row>
    <row r="714" spans="29:41">
      <c r="AC714" s="153" t="s">
        <v>52</v>
      </c>
      <c r="AD714" s="153" t="s">
        <v>18</v>
      </c>
      <c r="AE714" s="153" t="s">
        <v>72</v>
      </c>
      <c r="AF714" s="153" t="s">
        <v>51</v>
      </c>
      <c r="AG714" s="153" t="s">
        <v>204</v>
      </c>
      <c r="AH714" s="153">
        <v>4.1543680910694123</v>
      </c>
      <c r="AJ714" s="153" t="s">
        <v>52</v>
      </c>
      <c r="AK714" s="153" t="s">
        <v>18</v>
      </c>
      <c r="AL714" s="153" t="s">
        <v>28</v>
      </c>
      <c r="AM714" s="153" t="s">
        <v>51</v>
      </c>
      <c r="AN714" s="153" t="s">
        <v>192</v>
      </c>
      <c r="AO714" s="153">
        <v>1.1411289268595988</v>
      </c>
    </row>
    <row r="715" spans="29:41">
      <c r="AC715" s="153" t="s">
        <v>52</v>
      </c>
      <c r="AD715" s="153" t="s">
        <v>18</v>
      </c>
      <c r="AE715" s="153" t="s">
        <v>72</v>
      </c>
      <c r="AF715" s="153" t="s">
        <v>51</v>
      </c>
      <c r="AG715" s="153" t="s">
        <v>205</v>
      </c>
      <c r="AH715" s="153">
        <v>4.1248698203088709</v>
      </c>
      <c r="AJ715" s="153" t="s">
        <v>52</v>
      </c>
      <c r="AK715" s="153" t="s">
        <v>18</v>
      </c>
      <c r="AL715" s="153" t="s">
        <v>28</v>
      </c>
      <c r="AM715" s="153" t="s">
        <v>51</v>
      </c>
      <c r="AN715" s="153" t="s">
        <v>193</v>
      </c>
      <c r="AO715" s="153">
        <v>1.0672020709535386</v>
      </c>
    </row>
    <row r="716" spans="29:41">
      <c r="AC716" s="153" t="s">
        <v>52</v>
      </c>
      <c r="AD716" s="153" t="s">
        <v>18</v>
      </c>
      <c r="AE716" s="153" t="s">
        <v>72</v>
      </c>
      <c r="AF716" s="153" t="s">
        <v>51</v>
      </c>
      <c r="AG716" s="153" t="s">
        <v>206</v>
      </c>
      <c r="AH716" s="153">
        <v>4.0627523635008007</v>
      </c>
      <c r="AJ716" s="153" t="s">
        <v>52</v>
      </c>
      <c r="AK716" s="153" t="s">
        <v>18</v>
      </c>
      <c r="AL716" s="153" t="s">
        <v>28</v>
      </c>
      <c r="AM716" s="153" t="s">
        <v>51</v>
      </c>
      <c r="AN716" s="153" t="s">
        <v>194</v>
      </c>
      <c r="AO716" s="153">
        <v>1.0504553887351207</v>
      </c>
    </row>
    <row r="717" spans="29:41">
      <c r="AC717" s="153" t="s">
        <v>52</v>
      </c>
      <c r="AD717" s="153" t="s">
        <v>18</v>
      </c>
      <c r="AE717" s="153" t="s">
        <v>72</v>
      </c>
      <c r="AF717" s="153" t="s">
        <v>51</v>
      </c>
      <c r="AG717" s="153" t="s">
        <v>207</v>
      </c>
      <c r="AH717" s="153">
        <v>4.1867556587570789</v>
      </c>
      <c r="AJ717" s="153" t="s">
        <v>52</v>
      </c>
      <c r="AK717" s="153" t="s">
        <v>18</v>
      </c>
      <c r="AL717" s="153" t="s">
        <v>28</v>
      </c>
      <c r="AM717" s="153" t="s">
        <v>51</v>
      </c>
      <c r="AN717" s="153" t="s">
        <v>195</v>
      </c>
      <c r="AO717" s="153">
        <v>1.0991949566938706</v>
      </c>
    </row>
    <row r="718" spans="29:41">
      <c r="AC718" s="153" t="s">
        <v>52</v>
      </c>
      <c r="AD718" s="153" t="s">
        <v>18</v>
      </c>
      <c r="AE718" s="153" t="s">
        <v>72</v>
      </c>
      <c r="AF718" s="153" t="s">
        <v>51</v>
      </c>
      <c r="AG718" s="153" t="s">
        <v>208</v>
      </c>
      <c r="AH718" s="153">
        <v>4.1539931569602002</v>
      </c>
      <c r="AJ718" s="153" t="s">
        <v>52</v>
      </c>
      <c r="AK718" s="153" t="s">
        <v>18</v>
      </c>
      <c r="AL718" s="153" t="s">
        <v>28</v>
      </c>
      <c r="AM718" s="153" t="s">
        <v>51</v>
      </c>
      <c r="AN718" s="153" t="s">
        <v>196</v>
      </c>
      <c r="AO718" s="153">
        <v>1.03545423184833</v>
      </c>
    </row>
    <row r="719" spans="29:41">
      <c r="AC719" s="153" t="s">
        <v>52</v>
      </c>
      <c r="AD719" s="153" t="s">
        <v>18</v>
      </c>
      <c r="AE719" s="153" t="s">
        <v>72</v>
      </c>
      <c r="AF719" s="153" t="s">
        <v>51</v>
      </c>
      <c r="AG719" s="153" t="s">
        <v>209</v>
      </c>
      <c r="AH719" s="153">
        <v>4.2161439941639536</v>
      </c>
      <c r="AJ719" s="153" t="s">
        <v>52</v>
      </c>
      <c r="AK719" s="153" t="s">
        <v>18</v>
      </c>
      <c r="AL719" s="153" t="s">
        <v>28</v>
      </c>
      <c r="AM719" s="153" t="s">
        <v>51</v>
      </c>
      <c r="AN719" s="153" t="s">
        <v>197</v>
      </c>
      <c r="AO719" s="153">
        <v>1.0396417487717906</v>
      </c>
    </row>
    <row r="720" spans="29:41">
      <c r="AC720" s="153" t="s">
        <v>52</v>
      </c>
      <c r="AD720" s="153" t="s">
        <v>18</v>
      </c>
      <c r="AE720" s="153" t="s">
        <v>72</v>
      </c>
      <c r="AF720" s="153" t="s">
        <v>51</v>
      </c>
      <c r="AG720" s="153" t="s">
        <v>210</v>
      </c>
      <c r="AH720" s="153">
        <v>4.2161439941639536</v>
      </c>
      <c r="AJ720" s="153" t="s">
        <v>52</v>
      </c>
      <c r="AK720" s="153" t="s">
        <v>18</v>
      </c>
      <c r="AL720" s="153" t="s">
        <v>28</v>
      </c>
      <c r="AM720" s="153" t="s">
        <v>51</v>
      </c>
      <c r="AN720" s="153" t="s">
        <v>198</v>
      </c>
      <c r="AO720" s="153">
        <v>1.0868444145393132</v>
      </c>
    </row>
    <row r="721" spans="29:41">
      <c r="AC721" s="153" t="s">
        <v>52</v>
      </c>
      <c r="AD721" s="153" t="s">
        <v>18</v>
      </c>
      <c r="AE721" s="153" t="s">
        <v>72</v>
      </c>
      <c r="AF721" s="153" t="s">
        <v>51</v>
      </c>
      <c r="AG721" s="153" t="s">
        <v>211</v>
      </c>
      <c r="AH721" s="153">
        <v>4.1863869638007634</v>
      </c>
      <c r="AJ721" s="153" t="s">
        <v>52</v>
      </c>
      <c r="AK721" s="153" t="s">
        <v>18</v>
      </c>
      <c r="AL721" s="153" t="s">
        <v>28</v>
      </c>
      <c r="AM721" s="153" t="s">
        <v>51</v>
      </c>
      <c r="AN721" s="153" t="s">
        <v>199</v>
      </c>
      <c r="AO721" s="153">
        <v>1.1029204924566245</v>
      </c>
    </row>
    <row r="722" spans="29:41">
      <c r="AC722" s="153" t="s">
        <v>52</v>
      </c>
      <c r="AD722" s="153" t="s">
        <v>18</v>
      </c>
      <c r="AE722" s="153" t="s">
        <v>72</v>
      </c>
      <c r="AF722" s="153" t="s">
        <v>51</v>
      </c>
      <c r="AG722" s="153" t="s">
        <v>212</v>
      </c>
      <c r="AH722" s="153">
        <v>4.1539931569602002</v>
      </c>
      <c r="AJ722" s="153" t="s">
        <v>52</v>
      </c>
      <c r="AK722" s="153" t="s">
        <v>18</v>
      </c>
      <c r="AL722" s="153" t="s">
        <v>28</v>
      </c>
      <c r="AM722" s="153" t="s">
        <v>51</v>
      </c>
      <c r="AN722" s="153" t="s">
        <v>200</v>
      </c>
      <c r="AO722" s="153">
        <v>1.1106403455520191</v>
      </c>
    </row>
    <row r="723" spans="29:41">
      <c r="AC723" s="153" t="s">
        <v>52</v>
      </c>
      <c r="AD723" s="153" t="s">
        <v>18</v>
      </c>
      <c r="AE723" s="153" t="s">
        <v>72</v>
      </c>
      <c r="AF723" s="153" t="s">
        <v>51</v>
      </c>
      <c r="AG723" s="153" t="s">
        <v>97</v>
      </c>
      <c r="AH723" s="153">
        <v>4.1539931569602002</v>
      </c>
      <c r="AJ723" s="153" t="s">
        <v>52</v>
      </c>
      <c r="AK723" s="153" t="s">
        <v>18</v>
      </c>
      <c r="AL723" s="153" t="s">
        <v>28</v>
      </c>
      <c r="AM723" s="153" t="s">
        <v>51</v>
      </c>
      <c r="AN723" s="153" t="s">
        <v>201</v>
      </c>
      <c r="AO723" s="153">
        <v>1.1242038661903935</v>
      </c>
    </row>
    <row r="724" spans="29:41">
      <c r="AC724" s="153" t="s">
        <v>52</v>
      </c>
      <c r="AD724" s="153" t="s">
        <v>18</v>
      </c>
      <c r="AE724" s="153" t="s">
        <v>72</v>
      </c>
      <c r="AF724" s="153" t="s">
        <v>51</v>
      </c>
      <c r="AG724" s="153" t="s">
        <v>95</v>
      </c>
      <c r="AH724" s="153">
        <v>4.1863869638007634</v>
      </c>
      <c r="AJ724" s="153" t="s">
        <v>52</v>
      </c>
      <c r="AK724" s="153" t="s">
        <v>18</v>
      </c>
      <c r="AL724" s="153" t="s">
        <v>28</v>
      </c>
      <c r="AM724" s="153" t="s">
        <v>51</v>
      </c>
      <c r="AN724" s="153" t="s">
        <v>202</v>
      </c>
      <c r="AO724" s="153">
        <v>1.0695195851191126</v>
      </c>
    </row>
    <row r="725" spans="29:41">
      <c r="AC725" s="153" t="s">
        <v>52</v>
      </c>
      <c r="AD725" s="153" t="s">
        <v>18</v>
      </c>
      <c r="AE725" s="153" t="s">
        <v>72</v>
      </c>
      <c r="AF725" s="153" t="s">
        <v>51</v>
      </c>
      <c r="AG725" s="153" t="s">
        <v>96</v>
      </c>
      <c r="AH725" s="153">
        <v>4.2161439941639536</v>
      </c>
      <c r="AJ725" s="153" t="s">
        <v>52</v>
      </c>
      <c r="AK725" s="153" t="s">
        <v>18</v>
      </c>
      <c r="AL725" s="153" t="s">
        <v>28</v>
      </c>
      <c r="AM725" s="153" t="s">
        <v>51</v>
      </c>
      <c r="AN725" s="153" t="s">
        <v>203</v>
      </c>
      <c r="AO725" s="153">
        <v>1.1006278008126524</v>
      </c>
    </row>
    <row r="726" spans="29:41">
      <c r="AC726" s="153" t="s">
        <v>52</v>
      </c>
      <c r="AD726" s="153" t="s">
        <v>18</v>
      </c>
      <c r="AE726" s="153" t="s">
        <v>72</v>
      </c>
      <c r="AF726" s="153" t="s">
        <v>51</v>
      </c>
      <c r="AG726" s="153" t="s">
        <v>100</v>
      </c>
      <c r="AH726" s="153">
        <v>4.1543680910694123</v>
      </c>
      <c r="AJ726" s="153" t="s">
        <v>52</v>
      </c>
      <c r="AK726" s="153" t="s">
        <v>18</v>
      </c>
      <c r="AL726" s="153" t="s">
        <v>28</v>
      </c>
      <c r="AM726" s="153" t="s">
        <v>51</v>
      </c>
      <c r="AN726" s="153" t="s">
        <v>204</v>
      </c>
      <c r="AO726" s="153">
        <v>1.1222065668344823</v>
      </c>
    </row>
    <row r="727" spans="29:41">
      <c r="AC727" s="153" t="s">
        <v>52</v>
      </c>
      <c r="AD727" s="153" t="s">
        <v>18</v>
      </c>
      <c r="AE727" s="153" t="s">
        <v>72</v>
      </c>
      <c r="AF727" s="153" t="s">
        <v>51</v>
      </c>
      <c r="AG727" s="153" t="s">
        <v>101</v>
      </c>
      <c r="AH727" s="153">
        <v>4.0923610563473902</v>
      </c>
      <c r="AJ727" s="153" t="s">
        <v>52</v>
      </c>
      <c r="AK727" s="153" t="s">
        <v>18</v>
      </c>
      <c r="AL727" s="153" t="s">
        <v>28</v>
      </c>
      <c r="AM727" s="153" t="s">
        <v>51</v>
      </c>
      <c r="AN727" s="153" t="s">
        <v>205</v>
      </c>
      <c r="AO727" s="153">
        <v>1.0780679075857009</v>
      </c>
    </row>
    <row r="728" spans="29:41">
      <c r="AC728" s="153" t="s">
        <v>52</v>
      </c>
      <c r="AD728" s="153" t="s">
        <v>18</v>
      </c>
      <c r="AE728" s="153" t="s">
        <v>72</v>
      </c>
      <c r="AF728" s="153" t="s">
        <v>51</v>
      </c>
      <c r="AG728" s="153" t="s">
        <v>102</v>
      </c>
      <c r="AH728" s="153">
        <v>4.0627523635008007</v>
      </c>
      <c r="AJ728" s="153" t="s">
        <v>52</v>
      </c>
      <c r="AK728" s="153" t="s">
        <v>18</v>
      </c>
      <c r="AL728" s="153" t="s">
        <v>28</v>
      </c>
      <c r="AM728" s="153" t="s">
        <v>51</v>
      </c>
      <c r="AN728" s="153" t="s">
        <v>206</v>
      </c>
      <c r="AO728" s="153">
        <v>1.0805349596090708</v>
      </c>
    </row>
    <row r="729" spans="29:41">
      <c r="AC729" s="153" t="s">
        <v>52</v>
      </c>
      <c r="AD729" s="153" t="s">
        <v>18</v>
      </c>
      <c r="AE729" s="153" t="s">
        <v>72</v>
      </c>
      <c r="AF729" s="153" t="s">
        <v>51</v>
      </c>
      <c r="AG729" s="153" t="s">
        <v>103</v>
      </c>
      <c r="AH729" s="153">
        <v>4.0627523635008007</v>
      </c>
      <c r="AJ729" s="153" t="s">
        <v>52</v>
      </c>
      <c r="AK729" s="153" t="s">
        <v>18</v>
      </c>
      <c r="AL729" s="153" t="s">
        <v>28</v>
      </c>
      <c r="AM729" s="153" t="s">
        <v>51</v>
      </c>
      <c r="AN729" s="153" t="s">
        <v>207</v>
      </c>
      <c r="AO729" s="153">
        <v>1.110598770041469</v>
      </c>
    </row>
    <row r="730" spans="29:41">
      <c r="AC730" s="153" t="s">
        <v>52</v>
      </c>
      <c r="AD730" s="153" t="s">
        <v>18</v>
      </c>
      <c r="AE730" s="153" t="s">
        <v>72</v>
      </c>
      <c r="AF730" s="153" t="s">
        <v>51</v>
      </c>
      <c r="AG730" s="153" t="s">
        <v>104</v>
      </c>
      <c r="AH730" s="153">
        <v>4.1867556587570789</v>
      </c>
      <c r="AJ730" s="153" t="s">
        <v>52</v>
      </c>
      <c r="AK730" s="153" t="s">
        <v>18</v>
      </c>
      <c r="AL730" s="153" t="s">
        <v>28</v>
      </c>
      <c r="AM730" s="153" t="s">
        <v>51</v>
      </c>
      <c r="AN730" s="153" t="s">
        <v>208</v>
      </c>
      <c r="AO730" s="153">
        <v>1.0320886358803201</v>
      </c>
    </row>
    <row r="731" spans="29:41">
      <c r="AC731" s="153" t="s">
        <v>52</v>
      </c>
      <c r="AD731" s="153" t="s">
        <v>18</v>
      </c>
      <c r="AE731" s="153" t="s">
        <v>72</v>
      </c>
      <c r="AF731" s="153" t="s">
        <v>51</v>
      </c>
      <c r="AG731" s="153" t="s">
        <v>105</v>
      </c>
      <c r="AH731" s="153">
        <v>4.1863869638007634</v>
      </c>
      <c r="AJ731" s="153" t="s">
        <v>52</v>
      </c>
      <c r="AK731" s="153" t="s">
        <v>18</v>
      </c>
      <c r="AL731" s="153" t="s">
        <v>28</v>
      </c>
      <c r="AM731" s="153" t="s">
        <v>51</v>
      </c>
      <c r="AN731" s="153" t="s">
        <v>209</v>
      </c>
      <c r="AO731" s="153">
        <v>1.124883383738843</v>
      </c>
    </row>
    <row r="732" spans="29:41">
      <c r="AC732" s="153" t="s">
        <v>52</v>
      </c>
      <c r="AD732" s="153" t="s">
        <v>18</v>
      </c>
      <c r="AE732" s="153" t="s">
        <v>72</v>
      </c>
      <c r="AF732" s="153" t="s">
        <v>51</v>
      </c>
      <c r="AG732" s="153" t="s">
        <v>106</v>
      </c>
      <c r="AH732" s="153">
        <v>4.1867556587570789</v>
      </c>
      <c r="AJ732" s="153" t="s">
        <v>52</v>
      </c>
      <c r="AK732" s="153" t="s">
        <v>18</v>
      </c>
      <c r="AL732" s="153" t="s">
        <v>28</v>
      </c>
      <c r="AM732" s="153" t="s">
        <v>51</v>
      </c>
      <c r="AN732" s="153" t="s">
        <v>210</v>
      </c>
      <c r="AO732" s="153">
        <v>1.100251686609413</v>
      </c>
    </row>
    <row r="733" spans="29:41">
      <c r="AC733" s="153" t="s">
        <v>52</v>
      </c>
      <c r="AD733" s="153" t="s">
        <v>18</v>
      </c>
      <c r="AE733" s="153" t="s">
        <v>72</v>
      </c>
      <c r="AF733" s="153" t="s">
        <v>51</v>
      </c>
      <c r="AG733" s="153" t="s">
        <v>107</v>
      </c>
      <c r="AH733" s="153">
        <v>4.1543680910694123</v>
      </c>
      <c r="AJ733" s="153" t="s">
        <v>52</v>
      </c>
      <c r="AK733" s="153" t="s">
        <v>18</v>
      </c>
      <c r="AL733" s="153" t="s">
        <v>28</v>
      </c>
      <c r="AM733" s="153" t="s">
        <v>51</v>
      </c>
      <c r="AN733" s="153" t="s">
        <v>211</v>
      </c>
      <c r="AO733" s="153">
        <v>0.9841181693674137</v>
      </c>
    </row>
    <row r="734" spans="29:41">
      <c r="AC734" s="153" t="s">
        <v>52</v>
      </c>
      <c r="AD734" s="153" t="s">
        <v>18</v>
      </c>
      <c r="AE734" s="153" t="s">
        <v>72</v>
      </c>
      <c r="AF734" s="153" t="s">
        <v>51</v>
      </c>
      <c r="AG734" s="153" t="s">
        <v>99</v>
      </c>
      <c r="AH734" s="153">
        <v>4.1248698203088709</v>
      </c>
      <c r="AJ734" s="153" t="s">
        <v>52</v>
      </c>
      <c r="AK734" s="153" t="s">
        <v>18</v>
      </c>
      <c r="AL734" s="153" t="s">
        <v>28</v>
      </c>
      <c r="AM734" s="153" t="s">
        <v>51</v>
      </c>
      <c r="AN734" s="153" t="s">
        <v>212</v>
      </c>
      <c r="AO734" s="153">
        <v>1.06880623699189</v>
      </c>
    </row>
    <row r="735" spans="29:41">
      <c r="AC735" s="153" t="s">
        <v>52</v>
      </c>
      <c r="AD735" s="153" t="s">
        <v>18</v>
      </c>
      <c r="AE735" s="153" t="s">
        <v>72</v>
      </c>
      <c r="AF735" s="153" t="s">
        <v>51</v>
      </c>
      <c r="AG735" s="153" t="s">
        <v>108</v>
      </c>
      <c r="AH735" s="153">
        <v>4.0627523635008007</v>
      </c>
      <c r="AJ735" s="153" t="s">
        <v>52</v>
      </c>
      <c r="AK735" s="153" t="s">
        <v>18</v>
      </c>
      <c r="AL735" s="153" t="s">
        <v>28</v>
      </c>
      <c r="AM735" s="153" t="s">
        <v>51</v>
      </c>
      <c r="AN735" s="153" t="s">
        <v>97</v>
      </c>
      <c r="AO735" s="153">
        <v>1.0807127136680399</v>
      </c>
    </row>
    <row r="736" spans="29:41">
      <c r="AC736" s="153" t="s">
        <v>52</v>
      </c>
      <c r="AD736" s="153" t="s">
        <v>18</v>
      </c>
      <c r="AE736" s="153" t="s">
        <v>72</v>
      </c>
      <c r="AF736" s="153" t="s">
        <v>51</v>
      </c>
      <c r="AG736" s="153" t="s">
        <v>109</v>
      </c>
      <c r="AH736" s="153">
        <v>4.0923610563473902</v>
      </c>
      <c r="AJ736" s="153" t="s">
        <v>52</v>
      </c>
      <c r="AK736" s="153" t="s">
        <v>18</v>
      </c>
      <c r="AL736" s="153" t="s">
        <v>28</v>
      </c>
      <c r="AM736" s="153" t="s">
        <v>51</v>
      </c>
      <c r="AN736" s="153" t="s">
        <v>95</v>
      </c>
      <c r="AO736" s="153">
        <v>1.0236217114382038</v>
      </c>
    </row>
    <row r="737" spans="29:41">
      <c r="AC737" s="153" t="s">
        <v>52</v>
      </c>
      <c r="AD737" s="153" t="s">
        <v>18</v>
      </c>
      <c r="AE737" s="153" t="s">
        <v>72</v>
      </c>
      <c r="AF737" s="153" t="s">
        <v>51</v>
      </c>
      <c r="AG737" s="153" t="s">
        <v>110</v>
      </c>
      <c r="AH737" s="153">
        <v>4.0923610563473902</v>
      </c>
      <c r="AJ737" s="153" t="s">
        <v>52</v>
      </c>
      <c r="AK737" s="153" t="s">
        <v>18</v>
      </c>
      <c r="AL737" s="153" t="s">
        <v>28</v>
      </c>
      <c r="AM737" s="153" t="s">
        <v>51</v>
      </c>
      <c r="AN737" s="153" t="s">
        <v>96</v>
      </c>
      <c r="AO737" s="153">
        <v>1.0831985963852633</v>
      </c>
    </row>
    <row r="738" spans="29:41">
      <c r="AC738" s="153" t="s">
        <v>52</v>
      </c>
      <c r="AD738" s="153" t="s">
        <v>18</v>
      </c>
      <c r="AE738" s="153" t="s">
        <v>72</v>
      </c>
      <c r="AF738" s="153" t="s">
        <v>51</v>
      </c>
      <c r="AG738" s="153" t="s">
        <v>98</v>
      </c>
      <c r="AH738" s="153">
        <v>4.1231786353861342</v>
      </c>
      <c r="AJ738" s="153" t="s">
        <v>52</v>
      </c>
      <c r="AK738" s="153" t="s">
        <v>18</v>
      </c>
      <c r="AL738" s="153" t="s">
        <v>28</v>
      </c>
      <c r="AM738" s="153" t="s">
        <v>51</v>
      </c>
      <c r="AN738" s="153" t="s">
        <v>100</v>
      </c>
      <c r="AO738" s="153">
        <v>1.1134053714828922</v>
      </c>
    </row>
    <row r="739" spans="29:41">
      <c r="AC739" s="153" t="s">
        <v>52</v>
      </c>
      <c r="AD739" s="153" t="s">
        <v>18</v>
      </c>
      <c r="AE739" s="153" t="s">
        <v>72</v>
      </c>
      <c r="AF739" s="153" t="s">
        <v>51</v>
      </c>
      <c r="AG739" s="153" t="s">
        <v>125</v>
      </c>
      <c r="AH739" s="153">
        <v>4.1231786353861342</v>
      </c>
      <c r="AJ739" s="153" t="s">
        <v>52</v>
      </c>
      <c r="AK739" s="153" t="s">
        <v>18</v>
      </c>
      <c r="AL739" s="153" t="s">
        <v>28</v>
      </c>
      <c r="AM739" s="153" t="s">
        <v>51</v>
      </c>
      <c r="AN739" s="153" t="s">
        <v>101</v>
      </c>
      <c r="AO739" s="153">
        <v>1.0825091444054298</v>
      </c>
    </row>
    <row r="740" spans="29:41">
      <c r="AC740" s="153" t="s">
        <v>52</v>
      </c>
      <c r="AD740" s="153" t="s">
        <v>18</v>
      </c>
      <c r="AE740" s="153" t="s">
        <v>72</v>
      </c>
      <c r="AF740" s="153" t="s">
        <v>51</v>
      </c>
      <c r="AG740" s="153" t="s">
        <v>123</v>
      </c>
      <c r="AH740" s="153">
        <v>4.0936300339223344</v>
      </c>
      <c r="AJ740" s="153" t="s">
        <v>52</v>
      </c>
      <c r="AK740" s="153" t="s">
        <v>18</v>
      </c>
      <c r="AL740" s="153" t="s">
        <v>28</v>
      </c>
      <c r="AM740" s="153" t="s">
        <v>51</v>
      </c>
      <c r="AN740" s="153" t="s">
        <v>102</v>
      </c>
      <c r="AO740" s="153">
        <v>1.083606967260841</v>
      </c>
    </row>
    <row r="741" spans="29:41">
      <c r="AC741" s="153" t="s">
        <v>52</v>
      </c>
      <c r="AD741" s="153" t="s">
        <v>18</v>
      </c>
      <c r="AE741" s="153" t="s">
        <v>72</v>
      </c>
      <c r="AF741" s="153" t="s">
        <v>51</v>
      </c>
      <c r="AG741" s="153" t="s">
        <v>126</v>
      </c>
      <c r="AH741" s="153">
        <v>4.0610656170015185</v>
      </c>
      <c r="AJ741" s="153" t="s">
        <v>52</v>
      </c>
      <c r="AK741" s="153" t="s">
        <v>18</v>
      </c>
      <c r="AL741" s="153" t="s">
        <v>28</v>
      </c>
      <c r="AM741" s="153" t="s">
        <v>51</v>
      </c>
      <c r="AN741" s="153" t="s">
        <v>103</v>
      </c>
      <c r="AO741" s="153">
        <v>1.010759557780011</v>
      </c>
    </row>
    <row r="742" spans="29:41">
      <c r="AC742" s="153" t="s">
        <v>52</v>
      </c>
      <c r="AD742" s="153" t="s">
        <v>18</v>
      </c>
      <c r="AE742" s="153" t="s">
        <v>72</v>
      </c>
      <c r="AF742" s="153" t="s">
        <v>51</v>
      </c>
      <c r="AG742" s="153" t="s">
        <v>127</v>
      </c>
      <c r="AH742" s="153">
        <v>4.0936300339223344</v>
      </c>
      <c r="AJ742" s="153" t="s">
        <v>52</v>
      </c>
      <c r="AK742" s="153" t="s">
        <v>18</v>
      </c>
      <c r="AL742" s="153" t="s">
        <v>28</v>
      </c>
      <c r="AM742" s="153" t="s">
        <v>51</v>
      </c>
      <c r="AN742" s="153" t="s">
        <v>104</v>
      </c>
      <c r="AO742" s="153">
        <v>1.0398411621313595</v>
      </c>
    </row>
    <row r="743" spans="29:41">
      <c r="AC743" s="153" t="s">
        <v>52</v>
      </c>
      <c r="AD743" s="153" t="s">
        <v>18</v>
      </c>
      <c r="AE743" s="153" t="s">
        <v>72</v>
      </c>
      <c r="AF743" s="153" t="s">
        <v>51</v>
      </c>
      <c r="AG743" s="153" t="s">
        <v>128</v>
      </c>
      <c r="AH743" s="153">
        <v>4.0936300339223344</v>
      </c>
      <c r="AJ743" s="153" t="s">
        <v>52</v>
      </c>
      <c r="AK743" s="153" t="s">
        <v>18</v>
      </c>
      <c r="AL743" s="153" t="s">
        <v>28</v>
      </c>
      <c r="AM743" s="153" t="s">
        <v>51</v>
      </c>
      <c r="AN743" s="153" t="s">
        <v>105</v>
      </c>
      <c r="AO743" s="153">
        <v>1.0423068026676641</v>
      </c>
    </row>
    <row r="744" spans="29:41">
      <c r="AC744" s="153" t="s">
        <v>52</v>
      </c>
      <c r="AD744" s="153" t="s">
        <v>18</v>
      </c>
      <c r="AE744" s="153" t="s">
        <v>72</v>
      </c>
      <c r="AF744" s="153" t="s">
        <v>51</v>
      </c>
      <c r="AG744" s="153" t="s">
        <v>122</v>
      </c>
      <c r="AH744" s="153">
        <v>4.0936300339223344</v>
      </c>
      <c r="AJ744" s="153" t="s">
        <v>52</v>
      </c>
      <c r="AK744" s="153" t="s">
        <v>18</v>
      </c>
      <c r="AL744" s="153" t="s">
        <v>28</v>
      </c>
      <c r="AM744" s="153" t="s">
        <v>51</v>
      </c>
      <c r="AN744" s="153" t="s">
        <v>106</v>
      </c>
      <c r="AO744" s="153">
        <v>1.0786491057373591</v>
      </c>
    </row>
    <row r="745" spans="29:41">
      <c r="AC745" s="153" t="s">
        <v>52</v>
      </c>
      <c r="AD745" s="153" t="s">
        <v>18</v>
      </c>
      <c r="AE745" s="153" t="s">
        <v>72</v>
      </c>
      <c r="AF745" s="153" t="s">
        <v>51</v>
      </c>
      <c r="AG745" s="153" t="s">
        <v>124</v>
      </c>
      <c r="AH745" s="153">
        <v>3.968948344733974</v>
      </c>
      <c r="AJ745" s="153" t="s">
        <v>52</v>
      </c>
      <c r="AK745" s="153" t="s">
        <v>18</v>
      </c>
      <c r="AL745" s="153" t="s">
        <v>28</v>
      </c>
      <c r="AM745" s="153" t="s">
        <v>51</v>
      </c>
      <c r="AN745" s="153" t="s">
        <v>107</v>
      </c>
      <c r="AO745" s="153">
        <v>1.0891799655927026</v>
      </c>
    </row>
    <row r="746" spans="29:41">
      <c r="AC746" s="153" t="s">
        <v>52</v>
      </c>
      <c r="AD746" s="153" t="s">
        <v>18</v>
      </c>
      <c r="AE746" s="153" t="s">
        <v>72</v>
      </c>
      <c r="AF746" s="153" t="s">
        <v>51</v>
      </c>
      <c r="AG746" s="153" t="s">
        <v>214</v>
      </c>
      <c r="AH746" s="153">
        <v>3.968948344733974</v>
      </c>
      <c r="AJ746" s="153" t="s">
        <v>52</v>
      </c>
      <c r="AK746" s="153" t="s">
        <v>18</v>
      </c>
      <c r="AL746" s="153" t="s">
        <v>28</v>
      </c>
      <c r="AM746" s="153" t="s">
        <v>51</v>
      </c>
      <c r="AN746" s="153" t="s">
        <v>99</v>
      </c>
      <c r="AO746" s="153">
        <v>1.0606327250559704</v>
      </c>
    </row>
    <row r="747" spans="29:41">
      <c r="AC747" s="153" t="s">
        <v>52</v>
      </c>
      <c r="AD747" s="153" t="s">
        <v>18</v>
      </c>
      <c r="AE747" s="153" t="s">
        <v>72</v>
      </c>
      <c r="AF747" s="153" t="s">
        <v>51</v>
      </c>
      <c r="AG747" s="153" t="s">
        <v>218</v>
      </c>
      <c r="AH747" s="153">
        <v>3.968948344733974</v>
      </c>
      <c r="AJ747" s="153" t="s">
        <v>52</v>
      </c>
      <c r="AK747" s="153" t="s">
        <v>18</v>
      </c>
      <c r="AL747" s="153" t="s">
        <v>28</v>
      </c>
      <c r="AM747" s="153" t="s">
        <v>51</v>
      </c>
      <c r="AN747" s="153" t="s">
        <v>108</v>
      </c>
      <c r="AO747" s="153">
        <v>1.0118874123115511</v>
      </c>
    </row>
    <row r="748" spans="29:41">
      <c r="AC748" s="153" t="s">
        <v>52</v>
      </c>
      <c r="AD748" s="153" t="s">
        <v>18</v>
      </c>
      <c r="AE748" s="153" t="s">
        <v>72</v>
      </c>
      <c r="AF748" s="153" t="s">
        <v>51</v>
      </c>
      <c r="AG748" s="153" t="s">
        <v>219</v>
      </c>
      <c r="AH748" s="153">
        <v>4.0936300339223344</v>
      </c>
      <c r="AJ748" s="153" t="s">
        <v>52</v>
      </c>
      <c r="AK748" s="153" t="s">
        <v>18</v>
      </c>
      <c r="AL748" s="153" t="s">
        <v>28</v>
      </c>
      <c r="AM748" s="153" t="s">
        <v>51</v>
      </c>
      <c r="AN748" s="153" t="s">
        <v>109</v>
      </c>
      <c r="AO748" s="153">
        <v>1.02209245388055</v>
      </c>
    </row>
    <row r="749" spans="29:41">
      <c r="AC749" s="153" t="s">
        <v>52</v>
      </c>
      <c r="AD749" s="153" t="s">
        <v>18</v>
      </c>
      <c r="AE749" s="153" t="s">
        <v>72</v>
      </c>
      <c r="AF749" s="153" t="s">
        <v>51</v>
      </c>
      <c r="AG749" s="153" t="s">
        <v>220</v>
      </c>
      <c r="AH749" s="153">
        <v>4.0610656170015185</v>
      </c>
      <c r="AJ749" s="153" t="s">
        <v>52</v>
      </c>
      <c r="AK749" s="153" t="s">
        <v>18</v>
      </c>
      <c r="AL749" s="153" t="s">
        <v>28</v>
      </c>
      <c r="AM749" s="153" t="s">
        <v>51</v>
      </c>
      <c r="AN749" s="153" t="s">
        <v>110</v>
      </c>
      <c r="AO749" s="153">
        <v>1.05136246705567</v>
      </c>
    </row>
    <row r="750" spans="29:41">
      <c r="AC750" s="153" t="s">
        <v>52</v>
      </c>
      <c r="AD750" s="153" t="s">
        <v>18</v>
      </c>
      <c r="AE750" s="153" t="s">
        <v>72</v>
      </c>
      <c r="AF750" s="153" t="s">
        <v>51</v>
      </c>
      <c r="AG750" s="153" t="s">
        <v>221</v>
      </c>
      <c r="AH750" s="153">
        <v>3.9987193359155064</v>
      </c>
      <c r="AJ750" s="153" t="s">
        <v>52</v>
      </c>
      <c r="AK750" s="153" t="s">
        <v>18</v>
      </c>
      <c r="AL750" s="153" t="s">
        <v>28</v>
      </c>
      <c r="AM750" s="153" t="s">
        <v>51</v>
      </c>
      <c r="AN750" s="153" t="s">
        <v>98</v>
      </c>
      <c r="AO750" s="153">
        <v>1.0959063610201645</v>
      </c>
    </row>
    <row r="751" spans="29:41">
      <c r="AC751" s="153" t="s">
        <v>52</v>
      </c>
      <c r="AD751" s="153" t="s">
        <v>18</v>
      </c>
      <c r="AE751" s="153" t="s">
        <v>72</v>
      </c>
      <c r="AF751" s="153" t="s">
        <v>51</v>
      </c>
      <c r="AG751" s="153" t="s">
        <v>222</v>
      </c>
      <c r="AH751" s="153">
        <v>4.0284371983798186</v>
      </c>
      <c r="AJ751" s="153" t="s">
        <v>52</v>
      </c>
      <c r="AK751" s="153" t="s">
        <v>18</v>
      </c>
      <c r="AL751" s="153" t="s">
        <v>28</v>
      </c>
      <c r="AM751" s="153" t="s">
        <v>51</v>
      </c>
      <c r="AN751" s="153" t="s">
        <v>125</v>
      </c>
      <c r="AO751" s="153">
        <v>1.1216542765386541</v>
      </c>
    </row>
    <row r="752" spans="29:41">
      <c r="AC752" s="153" t="s">
        <v>52</v>
      </c>
      <c r="AD752" s="153" t="s">
        <v>18</v>
      </c>
      <c r="AE752" s="153" t="s">
        <v>72</v>
      </c>
      <c r="AF752" s="153" t="s">
        <v>51</v>
      </c>
      <c r="AG752" s="153" t="s">
        <v>223</v>
      </c>
      <c r="AH752" s="153">
        <v>3.968948344733974</v>
      </c>
      <c r="AJ752" s="153" t="s">
        <v>52</v>
      </c>
      <c r="AK752" s="153" t="s">
        <v>18</v>
      </c>
      <c r="AL752" s="153" t="s">
        <v>28</v>
      </c>
      <c r="AM752" s="153" t="s">
        <v>51</v>
      </c>
      <c r="AN752" s="153" t="s">
        <v>123</v>
      </c>
      <c r="AO752" s="153">
        <v>1.0848226045065246</v>
      </c>
    </row>
    <row r="753" spans="29:41">
      <c r="AC753" s="153" t="s">
        <v>52</v>
      </c>
      <c r="AD753" s="153" t="s">
        <v>18</v>
      </c>
      <c r="AE753" s="153" t="s">
        <v>72</v>
      </c>
      <c r="AF753" s="153" t="s">
        <v>51</v>
      </c>
      <c r="AG753" s="153" t="s">
        <v>224</v>
      </c>
      <c r="AH753" s="153">
        <v>3.9361387568601574</v>
      </c>
      <c r="AJ753" s="153" t="s">
        <v>52</v>
      </c>
      <c r="AK753" s="153" t="s">
        <v>18</v>
      </c>
      <c r="AL753" s="153" t="s">
        <v>28</v>
      </c>
      <c r="AM753" s="153" t="s">
        <v>51</v>
      </c>
      <c r="AN753" s="153" t="s">
        <v>126</v>
      </c>
      <c r="AO753" s="153">
        <v>1.0841836356510286</v>
      </c>
    </row>
    <row r="754" spans="29:41">
      <c r="AC754" s="153" t="s">
        <v>52</v>
      </c>
      <c r="AD754" s="153" t="s">
        <v>18</v>
      </c>
      <c r="AE754" s="153" t="s">
        <v>72</v>
      </c>
      <c r="AF754" s="153" t="s">
        <v>51</v>
      </c>
      <c r="AG754" s="153" t="s">
        <v>225</v>
      </c>
      <c r="AH754" s="153">
        <v>3.9987193359155064</v>
      </c>
      <c r="AJ754" s="153" t="s">
        <v>52</v>
      </c>
      <c r="AK754" s="153" t="s">
        <v>18</v>
      </c>
      <c r="AL754" s="153" t="s">
        <v>28</v>
      </c>
      <c r="AM754" s="153" t="s">
        <v>51</v>
      </c>
      <c r="AN754" s="153" t="s">
        <v>127</v>
      </c>
      <c r="AO754" s="153">
        <v>1.1236026633522043</v>
      </c>
    </row>
    <row r="755" spans="29:41">
      <c r="AC755" s="153" t="s">
        <v>52</v>
      </c>
      <c r="AD755" s="153" t="s">
        <v>18</v>
      </c>
      <c r="AE755" s="153" t="s">
        <v>72</v>
      </c>
      <c r="AF755" s="153" t="s">
        <v>51</v>
      </c>
      <c r="AG755" s="153" t="s">
        <v>226</v>
      </c>
      <c r="AH755" s="153">
        <v>4.0284371983798186</v>
      </c>
      <c r="AJ755" s="153" t="s">
        <v>52</v>
      </c>
      <c r="AK755" s="153" t="s">
        <v>18</v>
      </c>
      <c r="AL755" s="153" t="s">
        <v>28</v>
      </c>
      <c r="AM755" s="153" t="s">
        <v>51</v>
      </c>
      <c r="AN755" s="153" t="s">
        <v>128</v>
      </c>
      <c r="AO755" s="153">
        <v>1.0984133460250745</v>
      </c>
    </row>
    <row r="756" spans="29:41">
      <c r="AC756" s="153" t="s">
        <v>52</v>
      </c>
      <c r="AD756" s="153" t="s">
        <v>18</v>
      </c>
      <c r="AE756" s="153" t="s">
        <v>72</v>
      </c>
      <c r="AF756" s="153" t="s">
        <v>51</v>
      </c>
      <c r="AG756" s="153" t="s">
        <v>227</v>
      </c>
      <c r="AH756" s="153">
        <v>4.0284371983798186</v>
      </c>
      <c r="AJ756" s="153" t="s">
        <v>52</v>
      </c>
      <c r="AK756" s="153" t="s">
        <v>18</v>
      </c>
      <c r="AL756" s="153" t="s">
        <v>28</v>
      </c>
      <c r="AM756" s="153" t="s">
        <v>51</v>
      </c>
      <c r="AN756" s="153" t="s">
        <v>122</v>
      </c>
      <c r="AO756" s="153">
        <v>1.0991844871188046</v>
      </c>
    </row>
    <row r="757" spans="29:41">
      <c r="AC757" s="153" t="s">
        <v>52</v>
      </c>
      <c r="AD757" s="153" t="s">
        <v>18</v>
      </c>
      <c r="AE757" s="153" t="s">
        <v>72</v>
      </c>
      <c r="AF757" s="153" t="s">
        <v>51</v>
      </c>
      <c r="AG757" s="153" t="s">
        <v>228</v>
      </c>
      <c r="AH757" s="153">
        <v>4.0610656170015185</v>
      </c>
      <c r="AJ757" s="153" t="s">
        <v>52</v>
      </c>
      <c r="AK757" s="153" t="s">
        <v>18</v>
      </c>
      <c r="AL757" s="153" t="s">
        <v>28</v>
      </c>
      <c r="AM757" s="153" t="s">
        <v>51</v>
      </c>
      <c r="AN757" s="153" t="s">
        <v>124</v>
      </c>
      <c r="AO757" s="153">
        <v>1.0534402187716043</v>
      </c>
    </row>
    <row r="758" spans="29:41">
      <c r="AC758" s="153" t="s">
        <v>52</v>
      </c>
      <c r="AD758" s="153" t="s">
        <v>18</v>
      </c>
      <c r="AE758" s="153" t="s">
        <v>72</v>
      </c>
      <c r="AF758" s="153" t="s">
        <v>51</v>
      </c>
      <c r="AG758" s="153" t="s">
        <v>229</v>
      </c>
      <c r="AH758" s="153">
        <v>3.9361387568601574</v>
      </c>
      <c r="AJ758" s="153" t="s">
        <v>52</v>
      </c>
      <c r="AK758" s="153" t="s">
        <v>18</v>
      </c>
      <c r="AL758" s="153" t="s">
        <v>28</v>
      </c>
      <c r="AM758" s="153" t="s">
        <v>51</v>
      </c>
      <c r="AN758" s="153" t="s">
        <v>214</v>
      </c>
      <c r="AO758" s="153">
        <v>1.082989461372704</v>
      </c>
    </row>
    <row r="759" spans="29:41">
      <c r="AC759" s="153" t="s">
        <v>52</v>
      </c>
      <c r="AD759" s="153" t="s">
        <v>18</v>
      </c>
      <c r="AE759" s="153" t="s">
        <v>72</v>
      </c>
      <c r="AF759" s="153" t="s">
        <v>51</v>
      </c>
      <c r="AG759" s="153" t="s">
        <v>216</v>
      </c>
      <c r="AH759" s="153">
        <v>3.9361387568601574</v>
      </c>
      <c r="AJ759" s="153" t="s">
        <v>52</v>
      </c>
      <c r="AK759" s="153" t="s">
        <v>18</v>
      </c>
      <c r="AL759" s="153" t="s">
        <v>28</v>
      </c>
      <c r="AM759" s="153" t="s">
        <v>51</v>
      </c>
      <c r="AN759" s="153" t="s">
        <v>218</v>
      </c>
      <c r="AO759" s="153">
        <v>1.009691633061184</v>
      </c>
    </row>
    <row r="760" spans="29:41">
      <c r="AC760" s="153" t="s">
        <v>52</v>
      </c>
      <c r="AD760" s="153" t="s">
        <v>18</v>
      </c>
      <c r="AE760" s="153" t="s">
        <v>72</v>
      </c>
      <c r="AF760" s="153" t="s">
        <v>51</v>
      </c>
      <c r="AG760" s="153" t="s">
        <v>230</v>
      </c>
      <c r="AH760" s="153">
        <v>3.9353424338077225</v>
      </c>
      <c r="AJ760" s="153" t="s">
        <v>52</v>
      </c>
      <c r="AK760" s="153" t="s">
        <v>18</v>
      </c>
      <c r="AL760" s="153" t="s">
        <v>28</v>
      </c>
      <c r="AM760" s="153" t="s">
        <v>51</v>
      </c>
      <c r="AN760" s="153" t="s">
        <v>219</v>
      </c>
      <c r="AO760" s="153">
        <v>1.0847185494418345</v>
      </c>
    </row>
    <row r="761" spans="29:41">
      <c r="AC761" s="153" t="s">
        <v>52</v>
      </c>
      <c r="AD761" s="153" t="s">
        <v>18</v>
      </c>
      <c r="AE761" s="153" t="s">
        <v>72</v>
      </c>
      <c r="AF761" s="153" t="s">
        <v>51</v>
      </c>
      <c r="AG761" s="153" t="s">
        <v>231</v>
      </c>
      <c r="AH761" s="153">
        <v>3.8124950348616728</v>
      </c>
      <c r="AJ761" s="153" t="s">
        <v>52</v>
      </c>
      <c r="AK761" s="153" t="s">
        <v>18</v>
      </c>
      <c r="AL761" s="153" t="s">
        <v>28</v>
      </c>
      <c r="AM761" s="153" t="s">
        <v>51</v>
      </c>
      <c r="AN761" s="153" t="s">
        <v>220</v>
      </c>
      <c r="AO761" s="153">
        <v>1.0891007670212787</v>
      </c>
    </row>
    <row r="762" spans="29:41">
      <c r="AC762" s="153" t="s">
        <v>52</v>
      </c>
      <c r="AD762" s="153" t="s">
        <v>18</v>
      </c>
      <c r="AE762" s="153" t="s">
        <v>72</v>
      </c>
      <c r="AF762" s="153" t="s">
        <v>51</v>
      </c>
      <c r="AG762" s="153" t="s">
        <v>232</v>
      </c>
      <c r="AH762" s="153">
        <v>3.9659683192190758</v>
      </c>
      <c r="AJ762" s="153" t="s">
        <v>52</v>
      </c>
      <c r="AK762" s="153" t="s">
        <v>18</v>
      </c>
      <c r="AL762" s="153" t="s">
        <v>28</v>
      </c>
      <c r="AM762" s="153" t="s">
        <v>51</v>
      </c>
      <c r="AN762" s="153" t="s">
        <v>221</v>
      </c>
      <c r="AO762" s="153">
        <v>1.0752174326660462</v>
      </c>
    </row>
    <row r="763" spans="29:41">
      <c r="AC763" s="153" t="s">
        <v>52</v>
      </c>
      <c r="AD763" s="153" t="s">
        <v>18</v>
      </c>
      <c r="AE763" s="153" t="s">
        <v>72</v>
      </c>
      <c r="AF763" s="153" t="s">
        <v>51</v>
      </c>
      <c r="AG763" s="153" t="s">
        <v>215</v>
      </c>
      <c r="AH763" s="153">
        <v>3.9987193359155064</v>
      </c>
      <c r="AJ763" s="153" t="s">
        <v>52</v>
      </c>
      <c r="AK763" s="153" t="s">
        <v>18</v>
      </c>
      <c r="AL763" s="153" t="s">
        <v>28</v>
      </c>
      <c r="AM763" s="153" t="s">
        <v>51</v>
      </c>
      <c r="AN763" s="153" t="s">
        <v>222</v>
      </c>
      <c r="AO763" s="153">
        <v>1.053136827768909</v>
      </c>
    </row>
    <row r="764" spans="29:41">
      <c r="AC764" s="153" t="s">
        <v>52</v>
      </c>
      <c r="AD764" s="153" t="s">
        <v>18</v>
      </c>
      <c r="AE764" s="153" t="s">
        <v>72</v>
      </c>
      <c r="AF764" s="153" t="s">
        <v>51</v>
      </c>
      <c r="AG764" s="153" t="s">
        <v>217</v>
      </c>
      <c r="AH764" s="153">
        <v>4.0284371983798186</v>
      </c>
      <c r="AJ764" s="153" t="s">
        <v>52</v>
      </c>
      <c r="AK764" s="153" t="s">
        <v>18</v>
      </c>
      <c r="AL764" s="153" t="s">
        <v>28</v>
      </c>
      <c r="AM764" s="153" t="s">
        <v>51</v>
      </c>
      <c r="AN764" s="153" t="s">
        <v>223</v>
      </c>
      <c r="AO764" s="153">
        <v>1.0794965655224138</v>
      </c>
    </row>
    <row r="765" spans="29:41">
      <c r="AC765" s="153" t="s">
        <v>52</v>
      </c>
      <c r="AD765" s="153" t="s">
        <v>18</v>
      </c>
      <c r="AE765" s="153" t="s">
        <v>72</v>
      </c>
      <c r="AF765" s="153" t="s">
        <v>51</v>
      </c>
      <c r="AG765" s="153" t="s">
        <v>237</v>
      </c>
      <c r="AH765" s="153">
        <v>3.9659683192190758</v>
      </c>
      <c r="AJ765" s="153" t="s">
        <v>52</v>
      </c>
      <c r="AK765" s="153" t="s">
        <v>18</v>
      </c>
      <c r="AL765" s="153" t="s">
        <v>28</v>
      </c>
      <c r="AM765" s="153" t="s">
        <v>51</v>
      </c>
      <c r="AN765" s="153" t="s">
        <v>224</v>
      </c>
      <c r="AO765" s="153">
        <v>1.0497955084503372</v>
      </c>
    </row>
    <row r="766" spans="29:41">
      <c r="AC766" s="153" t="s">
        <v>52</v>
      </c>
      <c r="AD766" s="153" t="s">
        <v>18</v>
      </c>
      <c r="AE766" s="153" t="s">
        <v>72</v>
      </c>
      <c r="AF766" s="153" t="s">
        <v>51</v>
      </c>
      <c r="AG766" s="153" t="s">
        <v>238</v>
      </c>
      <c r="AH766" s="153">
        <v>3.9659683192190758</v>
      </c>
      <c r="AJ766" s="153" t="s">
        <v>52</v>
      </c>
      <c r="AK766" s="153" t="s">
        <v>18</v>
      </c>
      <c r="AL766" s="153" t="s">
        <v>28</v>
      </c>
      <c r="AM766" s="153" t="s">
        <v>51</v>
      </c>
      <c r="AN766" s="153" t="s">
        <v>225</v>
      </c>
      <c r="AO766" s="153">
        <v>1.0571706690180465</v>
      </c>
    </row>
    <row r="767" spans="29:41">
      <c r="AC767" s="153" t="s">
        <v>52</v>
      </c>
      <c r="AD767" s="153" t="s">
        <v>18</v>
      </c>
      <c r="AE767" s="153" t="s">
        <v>72</v>
      </c>
      <c r="AF767" s="153" t="s">
        <v>51</v>
      </c>
      <c r="AG767" s="153" t="s">
        <v>239</v>
      </c>
      <c r="AH767" s="153">
        <v>3.9659683192190758</v>
      </c>
      <c r="AJ767" s="153" t="s">
        <v>52</v>
      </c>
      <c r="AK767" s="153" t="s">
        <v>18</v>
      </c>
      <c r="AL767" s="153" t="s">
        <v>28</v>
      </c>
      <c r="AM767" s="153" t="s">
        <v>51</v>
      </c>
      <c r="AN767" s="153" t="s">
        <v>226</v>
      </c>
      <c r="AO767" s="153">
        <v>1.0661538505845485</v>
      </c>
    </row>
    <row r="768" spans="29:41">
      <c r="AC768" s="153" t="s">
        <v>52</v>
      </c>
      <c r="AD768" s="153" t="s">
        <v>18</v>
      </c>
      <c r="AE768" s="153" t="s">
        <v>72</v>
      </c>
      <c r="AF768" s="153" t="s">
        <v>51</v>
      </c>
      <c r="AG768" s="153" t="s">
        <v>240</v>
      </c>
      <c r="AH768" s="153">
        <v>3.9987193359155064</v>
      </c>
      <c r="AJ768" s="153" t="s">
        <v>52</v>
      </c>
      <c r="AK768" s="153" t="s">
        <v>18</v>
      </c>
      <c r="AL768" s="153" t="s">
        <v>28</v>
      </c>
      <c r="AM768" s="153" t="s">
        <v>51</v>
      </c>
      <c r="AN768" s="153" t="s">
        <v>227</v>
      </c>
      <c r="AO768" s="153">
        <v>1.0926936661259188</v>
      </c>
    </row>
    <row r="769" spans="29:41">
      <c r="AC769" s="153" t="s">
        <v>52</v>
      </c>
      <c r="AD769" s="153" t="s">
        <v>18</v>
      </c>
      <c r="AE769" s="153" t="s">
        <v>72</v>
      </c>
      <c r="AF769" s="153" t="s">
        <v>51</v>
      </c>
      <c r="AG769" s="153" t="s">
        <v>241</v>
      </c>
      <c r="AH769" s="153">
        <v>3.9659683192190758</v>
      </c>
      <c r="AJ769" s="153" t="s">
        <v>52</v>
      </c>
      <c r="AK769" s="153" t="s">
        <v>18</v>
      </c>
      <c r="AL769" s="153" t="s">
        <v>28</v>
      </c>
      <c r="AM769" s="153" t="s">
        <v>51</v>
      </c>
      <c r="AN769" s="153" t="s">
        <v>228</v>
      </c>
      <c r="AO769" s="153">
        <v>1.1014073244279283</v>
      </c>
    </row>
    <row r="770" spans="29:41">
      <c r="AC770" s="153" t="s">
        <v>52</v>
      </c>
      <c r="AD770" s="153" t="s">
        <v>18</v>
      </c>
      <c r="AE770" s="153" t="s">
        <v>72</v>
      </c>
      <c r="AF770" s="153" t="s">
        <v>51</v>
      </c>
      <c r="AG770" s="153" t="s">
        <v>242</v>
      </c>
      <c r="AH770" s="153">
        <v>3.9361387568601574</v>
      </c>
      <c r="AJ770" s="153" t="s">
        <v>52</v>
      </c>
      <c r="AK770" s="153" t="s">
        <v>18</v>
      </c>
      <c r="AL770" s="153" t="s">
        <v>28</v>
      </c>
      <c r="AM770" s="153" t="s">
        <v>51</v>
      </c>
      <c r="AN770" s="153" t="s">
        <v>229</v>
      </c>
      <c r="AO770" s="153">
        <v>1.0462533810387376</v>
      </c>
    </row>
    <row r="771" spans="29:41">
      <c r="AC771" s="153" t="s">
        <v>52</v>
      </c>
      <c r="AD771" s="153" t="s">
        <v>18</v>
      </c>
      <c r="AE771" s="153" t="s">
        <v>72</v>
      </c>
      <c r="AF771" s="153" t="s">
        <v>51</v>
      </c>
      <c r="AG771" s="153" t="s">
        <v>243</v>
      </c>
      <c r="AH771" s="153">
        <v>4.0284371983798186</v>
      </c>
      <c r="AJ771" s="153" t="s">
        <v>52</v>
      </c>
      <c r="AK771" s="153" t="s">
        <v>18</v>
      </c>
      <c r="AL771" s="153" t="s">
        <v>28</v>
      </c>
      <c r="AM771" s="153" t="s">
        <v>51</v>
      </c>
      <c r="AN771" s="153" t="s">
        <v>216</v>
      </c>
      <c r="AO771" s="153">
        <v>1.0762713772350674</v>
      </c>
    </row>
    <row r="772" spans="29:41">
      <c r="AC772" s="153" t="s">
        <v>52</v>
      </c>
      <c r="AD772" s="153" t="s">
        <v>18</v>
      </c>
      <c r="AE772" s="153" t="s">
        <v>72</v>
      </c>
      <c r="AF772" s="153" t="s">
        <v>51</v>
      </c>
      <c r="AG772" s="153" t="s">
        <v>244</v>
      </c>
      <c r="AH772" s="153">
        <v>4.0284371983798186</v>
      </c>
      <c r="AJ772" s="153" t="s">
        <v>52</v>
      </c>
      <c r="AK772" s="153" t="s">
        <v>18</v>
      </c>
      <c r="AL772" s="153" t="s">
        <v>28</v>
      </c>
      <c r="AM772" s="153" t="s">
        <v>51</v>
      </c>
      <c r="AN772" s="153" t="s">
        <v>230</v>
      </c>
      <c r="AO772" s="153">
        <v>1.1008620450413127</v>
      </c>
    </row>
    <row r="773" spans="29:41">
      <c r="AC773" s="153" t="s">
        <v>52</v>
      </c>
      <c r="AD773" s="153" t="s">
        <v>18</v>
      </c>
      <c r="AE773" s="153" t="s">
        <v>72</v>
      </c>
      <c r="AF773" s="153" t="s">
        <v>51</v>
      </c>
      <c r="AG773" s="153" t="s">
        <v>245</v>
      </c>
      <c r="AH773" s="153">
        <v>3.9361387568601574</v>
      </c>
      <c r="AJ773" s="153" t="s">
        <v>52</v>
      </c>
      <c r="AK773" s="153" t="s">
        <v>18</v>
      </c>
      <c r="AL773" s="153" t="s">
        <v>28</v>
      </c>
      <c r="AM773" s="153" t="s">
        <v>51</v>
      </c>
      <c r="AN773" s="153" t="s">
        <v>231</v>
      </c>
      <c r="AO773" s="153">
        <v>1.0224515238070231</v>
      </c>
    </row>
    <row r="774" spans="29:41">
      <c r="AC774" s="153" t="s">
        <v>52</v>
      </c>
      <c r="AD774" s="153" t="s">
        <v>18</v>
      </c>
      <c r="AE774" s="153" t="s">
        <v>72</v>
      </c>
      <c r="AF774" s="153" t="s">
        <v>51</v>
      </c>
      <c r="AG774" s="153" t="s">
        <v>246</v>
      </c>
      <c r="AH774" s="153">
        <v>3.9361387568601574</v>
      </c>
      <c r="AJ774" s="153" t="s">
        <v>52</v>
      </c>
      <c r="AK774" s="153" t="s">
        <v>18</v>
      </c>
      <c r="AL774" s="153" t="s">
        <v>28</v>
      </c>
      <c r="AM774" s="153" t="s">
        <v>51</v>
      </c>
      <c r="AN774" s="153" t="s">
        <v>232</v>
      </c>
      <c r="AO774" s="153">
        <v>1.0578914480575556</v>
      </c>
    </row>
    <row r="775" spans="29:41">
      <c r="AC775" s="153" t="s">
        <v>52</v>
      </c>
      <c r="AD775" s="153" t="s">
        <v>18</v>
      </c>
      <c r="AE775" s="153" t="s">
        <v>72</v>
      </c>
      <c r="AF775" s="153" t="s">
        <v>51</v>
      </c>
      <c r="AG775" s="153" t="s">
        <v>247</v>
      </c>
      <c r="AH775" s="153">
        <v>3.9659683192190758</v>
      </c>
      <c r="AJ775" s="153" t="s">
        <v>52</v>
      </c>
      <c r="AK775" s="153" t="s">
        <v>18</v>
      </c>
      <c r="AL775" s="153" t="s">
        <v>28</v>
      </c>
      <c r="AM775" s="153" t="s">
        <v>51</v>
      </c>
      <c r="AN775" s="153" t="s">
        <v>215</v>
      </c>
      <c r="AO775" s="153">
        <v>1.0869250897682363</v>
      </c>
    </row>
    <row r="776" spans="29:41">
      <c r="AC776" s="153" t="s">
        <v>52</v>
      </c>
      <c r="AD776" s="153" t="s">
        <v>18</v>
      </c>
      <c r="AE776" s="153" t="s">
        <v>72</v>
      </c>
      <c r="AF776" s="153" t="s">
        <v>51</v>
      </c>
      <c r="AG776" s="153" t="s">
        <v>248</v>
      </c>
      <c r="AH776" s="153">
        <v>4.0610656170015185</v>
      </c>
      <c r="AJ776" s="153" t="s">
        <v>52</v>
      </c>
      <c r="AK776" s="153" t="s">
        <v>18</v>
      </c>
      <c r="AL776" s="153" t="s">
        <v>28</v>
      </c>
      <c r="AM776" s="153" t="s">
        <v>51</v>
      </c>
      <c r="AN776" s="153" t="s">
        <v>217</v>
      </c>
      <c r="AO776" s="153">
        <v>1.119891467204279</v>
      </c>
    </row>
    <row r="777" spans="29:41">
      <c r="AC777" s="153" t="s">
        <v>52</v>
      </c>
      <c r="AD777" s="153" t="s">
        <v>18</v>
      </c>
      <c r="AE777" s="153" t="s">
        <v>72</v>
      </c>
      <c r="AF777" s="153" t="s">
        <v>51</v>
      </c>
      <c r="AG777" s="153" t="s">
        <v>249</v>
      </c>
      <c r="AH777" s="153">
        <v>4.0936300339223344</v>
      </c>
      <c r="AJ777" s="153" t="s">
        <v>52</v>
      </c>
      <c r="AK777" s="153" t="s">
        <v>18</v>
      </c>
      <c r="AL777" s="153" t="s">
        <v>28</v>
      </c>
      <c r="AM777" s="153" t="s">
        <v>51</v>
      </c>
      <c r="AN777" s="153" t="s">
        <v>237</v>
      </c>
      <c r="AO777" s="153">
        <v>1.0528868902628454</v>
      </c>
    </row>
    <row r="778" spans="29:41">
      <c r="AC778" s="153" t="s">
        <v>52</v>
      </c>
      <c r="AD778" s="153" t="s">
        <v>18</v>
      </c>
      <c r="AE778" s="153" t="s">
        <v>72</v>
      </c>
      <c r="AF778" s="153" t="s">
        <v>51</v>
      </c>
      <c r="AG778" s="153" t="s">
        <v>250</v>
      </c>
      <c r="AH778" s="153">
        <v>3.9353424338077225</v>
      </c>
      <c r="AJ778" s="153" t="s">
        <v>52</v>
      </c>
      <c r="AK778" s="153" t="s">
        <v>18</v>
      </c>
      <c r="AL778" s="153" t="s">
        <v>28</v>
      </c>
      <c r="AM778" s="153" t="s">
        <v>51</v>
      </c>
      <c r="AN778" s="153" t="s">
        <v>238</v>
      </c>
      <c r="AO778" s="153">
        <v>1.0315212789850057</v>
      </c>
    </row>
    <row r="779" spans="29:41">
      <c r="AC779" s="153" t="s">
        <v>52</v>
      </c>
      <c r="AD779" s="153" t="s">
        <v>18</v>
      </c>
      <c r="AE779" s="153" t="s">
        <v>72</v>
      </c>
      <c r="AF779" s="153" t="s">
        <v>51</v>
      </c>
      <c r="AG779" s="153" t="s">
        <v>251</v>
      </c>
      <c r="AH779" s="153">
        <v>3.8725334437312955</v>
      </c>
      <c r="AJ779" s="153" t="s">
        <v>52</v>
      </c>
      <c r="AK779" s="153" t="s">
        <v>18</v>
      </c>
      <c r="AL779" s="153" t="s">
        <v>28</v>
      </c>
      <c r="AM779" s="153" t="s">
        <v>51</v>
      </c>
      <c r="AN779" s="153" t="s">
        <v>239</v>
      </c>
      <c r="AO779" s="153">
        <v>1.056288352934506</v>
      </c>
    </row>
    <row r="780" spans="29:41">
      <c r="AC780" s="153" t="s">
        <v>52</v>
      </c>
      <c r="AD780" s="153" t="s">
        <v>18</v>
      </c>
      <c r="AE780" s="153" t="s">
        <v>72</v>
      </c>
      <c r="AF780" s="153" t="s">
        <v>51</v>
      </c>
      <c r="AG780" s="153" t="s">
        <v>252</v>
      </c>
      <c r="AH780" s="153">
        <v>3.9353424338077225</v>
      </c>
      <c r="AJ780" s="153" t="s">
        <v>52</v>
      </c>
      <c r="AK780" s="153" t="s">
        <v>18</v>
      </c>
      <c r="AL780" s="153" t="s">
        <v>28</v>
      </c>
      <c r="AM780" s="153" t="s">
        <v>51</v>
      </c>
      <c r="AN780" s="153" t="s">
        <v>240</v>
      </c>
      <c r="AO780" s="153">
        <v>1.0628261913244663</v>
      </c>
    </row>
    <row r="781" spans="29:41">
      <c r="AC781" s="153" t="s">
        <v>52</v>
      </c>
      <c r="AD781" s="153" t="s">
        <v>18</v>
      </c>
      <c r="AE781" s="153" t="s">
        <v>72</v>
      </c>
      <c r="AF781" s="153" t="s">
        <v>51</v>
      </c>
      <c r="AG781" s="153" t="s">
        <v>253</v>
      </c>
      <c r="AH781" s="153">
        <v>3.9353424338077225</v>
      </c>
      <c r="AJ781" s="153" t="s">
        <v>52</v>
      </c>
      <c r="AK781" s="153" t="s">
        <v>18</v>
      </c>
      <c r="AL781" s="153" t="s">
        <v>28</v>
      </c>
      <c r="AM781" s="153" t="s">
        <v>51</v>
      </c>
      <c r="AN781" s="153" t="s">
        <v>241</v>
      </c>
      <c r="AO781" s="153">
        <v>1.0609788954392658</v>
      </c>
    </row>
    <row r="782" spans="29:41">
      <c r="AC782" s="153" t="s">
        <v>52</v>
      </c>
      <c r="AD782" s="153" t="s">
        <v>18</v>
      </c>
      <c r="AE782" s="153" t="s">
        <v>72</v>
      </c>
      <c r="AF782" s="153" t="s">
        <v>51</v>
      </c>
      <c r="AG782" s="153" t="s">
        <v>254</v>
      </c>
      <c r="AH782" s="153">
        <v>3.9054628819113248</v>
      </c>
      <c r="AJ782" s="153" t="s">
        <v>52</v>
      </c>
      <c r="AK782" s="153" t="s">
        <v>18</v>
      </c>
      <c r="AL782" s="153" t="s">
        <v>28</v>
      </c>
      <c r="AM782" s="153" t="s">
        <v>51</v>
      </c>
      <c r="AN782" s="153" t="s">
        <v>242</v>
      </c>
      <c r="AO782" s="153">
        <v>1.0573643295691275</v>
      </c>
    </row>
    <row r="783" spans="29:41">
      <c r="AC783" s="153" t="s">
        <v>52</v>
      </c>
      <c r="AD783" s="153" t="s">
        <v>18</v>
      </c>
      <c r="AE783" s="153" t="s">
        <v>72</v>
      </c>
      <c r="AF783" s="153" t="s">
        <v>51</v>
      </c>
      <c r="AG783" s="153" t="s">
        <v>255</v>
      </c>
      <c r="AH783" s="153">
        <v>3.9054628819113248</v>
      </c>
      <c r="AJ783" s="153" t="s">
        <v>52</v>
      </c>
      <c r="AK783" s="153" t="s">
        <v>18</v>
      </c>
      <c r="AL783" s="153" t="s">
        <v>28</v>
      </c>
      <c r="AM783" s="153" t="s">
        <v>51</v>
      </c>
      <c r="AN783" s="153" t="s">
        <v>243</v>
      </c>
      <c r="AO783" s="153">
        <v>1.109874475711339</v>
      </c>
    </row>
    <row r="784" spans="29:41">
      <c r="AC784" s="153" t="s">
        <v>52</v>
      </c>
      <c r="AD784" s="153" t="s">
        <v>18</v>
      </c>
      <c r="AE784" s="153" t="s">
        <v>72</v>
      </c>
      <c r="AF784" s="153" t="s">
        <v>51</v>
      </c>
      <c r="AG784" s="153" t="s">
        <v>256</v>
      </c>
      <c r="AH784" s="153">
        <v>3.968948344733974</v>
      </c>
      <c r="AJ784" s="153" t="s">
        <v>52</v>
      </c>
      <c r="AK784" s="153" t="s">
        <v>18</v>
      </c>
      <c r="AL784" s="153" t="s">
        <v>28</v>
      </c>
      <c r="AM784" s="153" t="s">
        <v>51</v>
      </c>
      <c r="AN784" s="153" t="s">
        <v>244</v>
      </c>
      <c r="AO784" s="153">
        <v>1.1256858462767485</v>
      </c>
    </row>
    <row r="785" spans="29:41">
      <c r="AC785" s="153" t="s">
        <v>52</v>
      </c>
      <c r="AD785" s="153" t="s">
        <v>18</v>
      </c>
      <c r="AE785" s="153" t="s">
        <v>72</v>
      </c>
      <c r="AF785" s="153" t="s">
        <v>51</v>
      </c>
      <c r="AG785" s="153" t="s">
        <v>257</v>
      </c>
      <c r="AH785" s="153">
        <v>3.9353424338077225</v>
      </c>
      <c r="AJ785" s="153" t="s">
        <v>52</v>
      </c>
      <c r="AK785" s="153" t="s">
        <v>18</v>
      </c>
      <c r="AL785" s="153" t="s">
        <v>28</v>
      </c>
      <c r="AM785" s="153" t="s">
        <v>51</v>
      </c>
      <c r="AN785" s="153" t="s">
        <v>245</v>
      </c>
      <c r="AO785" s="153">
        <v>1.0034157677120774</v>
      </c>
    </row>
    <row r="786" spans="29:41">
      <c r="AC786" s="153" t="s">
        <v>52</v>
      </c>
      <c r="AD786" s="153" t="s">
        <v>18</v>
      </c>
      <c r="AE786" s="153" t="s">
        <v>72</v>
      </c>
      <c r="AF786" s="153" t="s">
        <v>51</v>
      </c>
      <c r="AG786" s="153" t="s">
        <v>258</v>
      </c>
      <c r="AH786" s="153">
        <v>3.9054628819113248</v>
      </c>
      <c r="AJ786" s="153" t="s">
        <v>52</v>
      </c>
      <c r="AK786" s="153" t="s">
        <v>18</v>
      </c>
      <c r="AL786" s="153" t="s">
        <v>28</v>
      </c>
      <c r="AM786" s="153" t="s">
        <v>51</v>
      </c>
      <c r="AN786" s="153" t="s">
        <v>246</v>
      </c>
      <c r="AO786" s="153">
        <v>1.0206741739058272</v>
      </c>
    </row>
    <row r="787" spans="29:41">
      <c r="AC787" s="153" t="s">
        <v>52</v>
      </c>
      <c r="AD787" s="153" t="s">
        <v>18</v>
      </c>
      <c r="AE787" s="153" t="s">
        <v>72</v>
      </c>
      <c r="AF787" s="153" t="s">
        <v>51</v>
      </c>
      <c r="AG787" s="153" t="s">
        <v>259</v>
      </c>
      <c r="AH787" s="153">
        <v>3.8425411667081901</v>
      </c>
      <c r="AJ787" s="153" t="s">
        <v>52</v>
      </c>
      <c r="AK787" s="153" t="s">
        <v>18</v>
      </c>
      <c r="AL787" s="153" t="s">
        <v>28</v>
      </c>
      <c r="AM787" s="153" t="s">
        <v>51</v>
      </c>
      <c r="AN787" s="153" t="s">
        <v>247</v>
      </c>
      <c r="AO787" s="153">
        <v>1.057963251901626</v>
      </c>
    </row>
    <row r="788" spans="29:41">
      <c r="AC788" s="153" t="s">
        <v>52</v>
      </c>
      <c r="AD788" s="153" t="s">
        <v>18</v>
      </c>
      <c r="AE788" s="153" t="s">
        <v>72</v>
      </c>
      <c r="AF788" s="153" t="s">
        <v>51</v>
      </c>
      <c r="AG788" s="153" t="s">
        <v>260</v>
      </c>
      <c r="AH788" s="153">
        <v>3.8124950348616728</v>
      </c>
      <c r="AJ788" s="153" t="s">
        <v>52</v>
      </c>
      <c r="AK788" s="153" t="s">
        <v>18</v>
      </c>
      <c r="AL788" s="153" t="s">
        <v>28</v>
      </c>
      <c r="AM788" s="153" t="s">
        <v>51</v>
      </c>
      <c r="AN788" s="153" t="s">
        <v>248</v>
      </c>
      <c r="AO788" s="153">
        <v>1.0698547051501484</v>
      </c>
    </row>
    <row r="789" spans="29:41">
      <c r="AC789" s="153" t="s">
        <v>52</v>
      </c>
      <c r="AD789" s="153" t="s">
        <v>18</v>
      </c>
      <c r="AE789" s="153" t="s">
        <v>72</v>
      </c>
      <c r="AF789" s="153" t="s">
        <v>51</v>
      </c>
      <c r="AG789" s="153" t="s">
        <v>261</v>
      </c>
      <c r="AH789" s="153">
        <v>3.7160970281867178</v>
      </c>
      <c r="AJ789" s="153" t="s">
        <v>52</v>
      </c>
      <c r="AK789" s="153" t="s">
        <v>18</v>
      </c>
      <c r="AL789" s="153" t="s">
        <v>28</v>
      </c>
      <c r="AM789" s="153" t="s">
        <v>51</v>
      </c>
      <c r="AN789" s="153" t="s">
        <v>249</v>
      </c>
      <c r="AO789" s="153">
        <v>1.1009678727640544</v>
      </c>
    </row>
    <row r="790" spans="29:41">
      <c r="AC790" s="153" t="s">
        <v>52</v>
      </c>
      <c r="AD790" s="153" t="s">
        <v>18</v>
      </c>
      <c r="AE790" s="153" t="s">
        <v>72</v>
      </c>
      <c r="AF790" s="153" t="s">
        <v>51</v>
      </c>
      <c r="AG790" s="153" t="s">
        <v>262</v>
      </c>
      <c r="AH790" s="153">
        <v>3.812592661796018</v>
      </c>
      <c r="AJ790" s="153" t="s">
        <v>52</v>
      </c>
      <c r="AK790" s="153" t="s">
        <v>18</v>
      </c>
      <c r="AL790" s="153" t="s">
        <v>28</v>
      </c>
      <c r="AM790" s="153" t="s">
        <v>51</v>
      </c>
      <c r="AN790" s="153" t="s">
        <v>250</v>
      </c>
      <c r="AO790" s="153">
        <v>1.0407224945874525</v>
      </c>
    </row>
    <row r="791" spans="29:41">
      <c r="AC791" s="153" t="s">
        <v>52</v>
      </c>
      <c r="AD791" s="153" t="s">
        <v>18</v>
      </c>
      <c r="AE791" s="153" t="s">
        <v>72</v>
      </c>
      <c r="AF791" s="153" t="s">
        <v>51</v>
      </c>
      <c r="AG791" s="153" t="s">
        <v>263</v>
      </c>
      <c r="AH791" s="153">
        <v>3.8124950348616728</v>
      </c>
      <c r="AJ791" s="153" t="s">
        <v>52</v>
      </c>
      <c r="AK791" s="153" t="s">
        <v>18</v>
      </c>
      <c r="AL791" s="153" t="s">
        <v>28</v>
      </c>
      <c r="AM791" s="153" t="s">
        <v>51</v>
      </c>
      <c r="AN791" s="153" t="s">
        <v>251</v>
      </c>
      <c r="AO791" s="153">
        <v>1.0362452418587755</v>
      </c>
    </row>
    <row r="792" spans="29:41">
      <c r="AC792" s="153" t="s">
        <v>52</v>
      </c>
      <c r="AD792" s="153" t="s">
        <v>18</v>
      </c>
      <c r="AE792" s="153" t="s">
        <v>72</v>
      </c>
      <c r="AF792" s="153" t="s">
        <v>51</v>
      </c>
      <c r="AG792" s="153" t="s">
        <v>264</v>
      </c>
      <c r="AH792" s="153">
        <v>3.8124950348616728</v>
      </c>
      <c r="AJ792" s="153" t="s">
        <v>52</v>
      </c>
      <c r="AK792" s="153" t="s">
        <v>18</v>
      </c>
      <c r="AL792" s="153" t="s">
        <v>28</v>
      </c>
      <c r="AM792" s="153" t="s">
        <v>51</v>
      </c>
      <c r="AN792" s="153" t="s">
        <v>252</v>
      </c>
      <c r="AO792" s="153">
        <v>1.0204776737094423</v>
      </c>
    </row>
    <row r="793" spans="29:41">
      <c r="AC793" s="153" t="s">
        <v>52</v>
      </c>
      <c r="AD793" s="153" t="s">
        <v>18</v>
      </c>
      <c r="AE793" s="153" t="s">
        <v>72</v>
      </c>
      <c r="AF793" s="153" t="s">
        <v>51</v>
      </c>
      <c r="AG793" s="153" t="s">
        <v>265</v>
      </c>
      <c r="AH793" s="153">
        <v>3.8425411667081901</v>
      </c>
      <c r="AJ793" s="153" t="s">
        <v>52</v>
      </c>
      <c r="AK793" s="153" t="s">
        <v>18</v>
      </c>
      <c r="AL793" s="153" t="s">
        <v>28</v>
      </c>
      <c r="AM793" s="153" t="s">
        <v>51</v>
      </c>
      <c r="AN793" s="153" t="s">
        <v>253</v>
      </c>
      <c r="AO793" s="153">
        <v>1.0759072121841924</v>
      </c>
    </row>
    <row r="794" spans="29:41">
      <c r="AC794" s="153" t="s">
        <v>52</v>
      </c>
      <c r="AD794" s="153" t="s">
        <v>18</v>
      </c>
      <c r="AE794" s="153" t="s">
        <v>72</v>
      </c>
      <c r="AF794" s="153" t="s">
        <v>51</v>
      </c>
      <c r="AG794" s="153" t="s">
        <v>266</v>
      </c>
      <c r="AH794" s="153">
        <v>3.9353424338077225</v>
      </c>
      <c r="AJ794" s="153" t="s">
        <v>52</v>
      </c>
      <c r="AK794" s="153" t="s">
        <v>18</v>
      </c>
      <c r="AL794" s="153" t="s">
        <v>28</v>
      </c>
      <c r="AM794" s="153" t="s">
        <v>51</v>
      </c>
      <c r="AN794" s="153" t="s">
        <v>254</v>
      </c>
      <c r="AO794" s="153">
        <v>1.0319678254748648</v>
      </c>
    </row>
    <row r="795" spans="29:41">
      <c r="AC795" s="153" t="s">
        <v>52</v>
      </c>
      <c r="AD795" s="153" t="s">
        <v>18</v>
      </c>
      <c r="AE795" s="153" t="s">
        <v>72</v>
      </c>
      <c r="AF795" s="153" t="s">
        <v>51</v>
      </c>
      <c r="AG795" s="153" t="s">
        <v>267</v>
      </c>
      <c r="AH795" s="153">
        <v>3.8725334437312955</v>
      </c>
      <c r="AJ795" s="153" t="s">
        <v>52</v>
      </c>
      <c r="AK795" s="153" t="s">
        <v>18</v>
      </c>
      <c r="AL795" s="153" t="s">
        <v>28</v>
      </c>
      <c r="AM795" s="153" t="s">
        <v>51</v>
      </c>
      <c r="AN795" s="153" t="s">
        <v>255</v>
      </c>
      <c r="AO795" s="153">
        <v>1.034193373212295</v>
      </c>
    </row>
    <row r="796" spans="29:41">
      <c r="AC796" s="153" t="s">
        <v>52</v>
      </c>
      <c r="AD796" s="153" t="s">
        <v>18</v>
      </c>
      <c r="AE796" s="153" t="s">
        <v>72</v>
      </c>
      <c r="AF796" s="153" t="s">
        <v>51</v>
      </c>
      <c r="AG796" s="153" t="s">
        <v>268</v>
      </c>
      <c r="AH796" s="153">
        <v>3.8124950348616728</v>
      </c>
      <c r="AJ796" s="153" t="s">
        <v>52</v>
      </c>
      <c r="AK796" s="153" t="s">
        <v>18</v>
      </c>
      <c r="AL796" s="153" t="s">
        <v>28</v>
      </c>
      <c r="AM796" s="153" t="s">
        <v>51</v>
      </c>
      <c r="AN796" s="153" t="s">
        <v>256</v>
      </c>
      <c r="AO796" s="153">
        <v>1.070197700400594</v>
      </c>
    </row>
    <row r="797" spans="29:41">
      <c r="AC797" s="153" t="s">
        <v>52</v>
      </c>
      <c r="AD797" s="153" t="s">
        <v>18</v>
      </c>
      <c r="AE797" s="153" t="s">
        <v>72</v>
      </c>
      <c r="AF797" s="153" t="s">
        <v>51</v>
      </c>
      <c r="AG797" s="153" t="s">
        <v>269</v>
      </c>
      <c r="AH797" s="153">
        <v>3.8124950348616728</v>
      </c>
      <c r="AJ797" s="153" t="s">
        <v>52</v>
      </c>
      <c r="AK797" s="153" t="s">
        <v>18</v>
      </c>
      <c r="AL797" s="153" t="s">
        <v>28</v>
      </c>
      <c r="AM797" s="153" t="s">
        <v>51</v>
      </c>
      <c r="AN797" s="153" t="s">
        <v>257</v>
      </c>
      <c r="AO797" s="153">
        <v>1.0807076202557324</v>
      </c>
    </row>
    <row r="798" spans="29:41">
      <c r="AC798" s="153" t="s">
        <v>52</v>
      </c>
      <c r="AD798" s="153" t="s">
        <v>18</v>
      </c>
      <c r="AE798" s="153" t="s">
        <v>72</v>
      </c>
      <c r="AF798" s="153" t="s">
        <v>51</v>
      </c>
      <c r="AG798" s="153" t="s">
        <v>270</v>
      </c>
      <c r="AH798" s="153">
        <v>3.812592661796018</v>
      </c>
      <c r="AJ798" s="153" t="s">
        <v>52</v>
      </c>
      <c r="AK798" s="153" t="s">
        <v>18</v>
      </c>
      <c r="AL798" s="153" t="s">
        <v>28</v>
      </c>
      <c r="AM798" s="153" t="s">
        <v>51</v>
      </c>
      <c r="AN798" s="153" t="s">
        <v>258</v>
      </c>
      <c r="AO798" s="153">
        <v>1.0930113004870352</v>
      </c>
    </row>
    <row r="799" spans="29:41">
      <c r="AC799" s="153" t="s">
        <v>52</v>
      </c>
      <c r="AD799" s="153" t="s">
        <v>18</v>
      </c>
      <c r="AE799" s="153" t="s">
        <v>72</v>
      </c>
      <c r="AF799" s="153" t="s">
        <v>51</v>
      </c>
      <c r="AG799" s="153" t="s">
        <v>271</v>
      </c>
      <c r="AH799" s="153">
        <v>3.8425411667081901</v>
      </c>
      <c r="AJ799" s="153" t="s">
        <v>52</v>
      </c>
      <c r="AK799" s="153" t="s">
        <v>18</v>
      </c>
      <c r="AL799" s="153" t="s">
        <v>28</v>
      </c>
      <c r="AM799" s="153" t="s">
        <v>51</v>
      </c>
      <c r="AN799" s="153" t="s">
        <v>259</v>
      </c>
      <c r="AO799" s="153">
        <v>1.0406423605593402</v>
      </c>
    </row>
    <row r="800" spans="29:41">
      <c r="AC800" s="153" t="s">
        <v>52</v>
      </c>
      <c r="AD800" s="153" t="s">
        <v>18</v>
      </c>
      <c r="AE800" s="153" t="s">
        <v>72</v>
      </c>
      <c r="AF800" s="153" t="s">
        <v>51</v>
      </c>
      <c r="AG800" s="153" t="s">
        <v>272</v>
      </c>
      <c r="AH800" s="153">
        <v>3.8425411667081901</v>
      </c>
      <c r="AJ800" s="153" t="s">
        <v>52</v>
      </c>
      <c r="AK800" s="153" t="s">
        <v>18</v>
      </c>
      <c r="AL800" s="153" t="s">
        <v>28</v>
      </c>
      <c r="AM800" s="153" t="s">
        <v>51</v>
      </c>
      <c r="AN800" s="153" t="s">
        <v>260</v>
      </c>
      <c r="AO800" s="153">
        <v>1.0340848078308029</v>
      </c>
    </row>
    <row r="801" spans="29:41">
      <c r="AC801" s="153" t="s">
        <v>52</v>
      </c>
      <c r="AD801" s="153" t="s">
        <v>18</v>
      </c>
      <c r="AE801" s="153" t="s">
        <v>72</v>
      </c>
      <c r="AF801" s="153" t="s">
        <v>51</v>
      </c>
      <c r="AG801" s="153" t="s">
        <v>273</v>
      </c>
      <c r="AH801" s="153">
        <v>3.8425411667081901</v>
      </c>
      <c r="AJ801" s="153" t="s">
        <v>52</v>
      </c>
      <c r="AK801" s="153" t="s">
        <v>18</v>
      </c>
      <c r="AL801" s="153" t="s">
        <v>28</v>
      </c>
      <c r="AM801" s="153" t="s">
        <v>51</v>
      </c>
      <c r="AN801" s="153" t="s">
        <v>261</v>
      </c>
      <c r="AO801" s="153">
        <v>0.98646357301566778</v>
      </c>
    </row>
    <row r="802" spans="29:41">
      <c r="AC802" s="153" t="s">
        <v>52</v>
      </c>
      <c r="AD802" s="153" t="s">
        <v>18</v>
      </c>
      <c r="AE802" s="153" t="s">
        <v>72</v>
      </c>
      <c r="AF802" s="153" t="s">
        <v>51</v>
      </c>
      <c r="AG802" s="153" t="s">
        <v>274</v>
      </c>
      <c r="AH802" s="153">
        <v>3.8425411667081901</v>
      </c>
      <c r="AJ802" s="153" t="s">
        <v>52</v>
      </c>
      <c r="AK802" s="153" t="s">
        <v>18</v>
      </c>
      <c r="AL802" s="153" t="s">
        <v>28</v>
      </c>
      <c r="AM802" s="153" t="s">
        <v>51</v>
      </c>
      <c r="AN802" s="153" t="s">
        <v>262</v>
      </c>
      <c r="AO802" s="153">
        <v>1.0391714382397179</v>
      </c>
    </row>
    <row r="803" spans="29:41">
      <c r="AC803" s="153" t="s">
        <v>52</v>
      </c>
      <c r="AD803" s="153" t="s">
        <v>18</v>
      </c>
      <c r="AE803" s="153" t="s">
        <v>72</v>
      </c>
      <c r="AF803" s="153" t="s">
        <v>51</v>
      </c>
      <c r="AG803" s="153" t="s">
        <v>275</v>
      </c>
      <c r="AH803" s="153">
        <v>3.8425411667081901</v>
      </c>
      <c r="AJ803" s="153" t="s">
        <v>52</v>
      </c>
      <c r="AK803" s="153" t="s">
        <v>18</v>
      </c>
      <c r="AL803" s="153" t="s">
        <v>28</v>
      </c>
      <c r="AM803" s="153" t="s">
        <v>51</v>
      </c>
      <c r="AN803" s="153" t="s">
        <v>263</v>
      </c>
      <c r="AO803" s="153">
        <v>1.0554629489117933</v>
      </c>
    </row>
    <row r="804" spans="29:41">
      <c r="AC804" s="153" t="s">
        <v>52</v>
      </c>
      <c r="AD804" s="153" t="s">
        <v>18</v>
      </c>
      <c r="AE804" s="153" t="s">
        <v>72</v>
      </c>
      <c r="AF804" s="153" t="s">
        <v>51</v>
      </c>
      <c r="AG804" s="153" t="s">
        <v>276</v>
      </c>
      <c r="AH804" s="153">
        <v>3.8425411667081901</v>
      </c>
      <c r="AJ804" s="153" t="s">
        <v>52</v>
      </c>
      <c r="AK804" s="153" t="s">
        <v>18</v>
      </c>
      <c r="AL804" s="153" t="s">
        <v>28</v>
      </c>
      <c r="AM804" s="153" t="s">
        <v>51</v>
      </c>
      <c r="AN804" s="153" t="s">
        <v>264</v>
      </c>
      <c r="AO804" s="153">
        <v>1.0423922774307233</v>
      </c>
    </row>
    <row r="805" spans="29:41">
      <c r="AC805" s="153" t="s">
        <v>52</v>
      </c>
      <c r="AD805" s="153" t="s">
        <v>18</v>
      </c>
      <c r="AE805" s="153" t="s">
        <v>72</v>
      </c>
      <c r="AF805" s="153" t="s">
        <v>51</v>
      </c>
      <c r="AG805" s="153" t="s">
        <v>277</v>
      </c>
      <c r="AH805" s="153">
        <v>3.8124950348616728</v>
      </c>
      <c r="AJ805" s="153" t="s">
        <v>52</v>
      </c>
      <c r="AK805" s="153" t="s">
        <v>18</v>
      </c>
      <c r="AL805" s="153" t="s">
        <v>28</v>
      </c>
      <c r="AM805" s="153" t="s">
        <v>51</v>
      </c>
      <c r="AN805" s="153" t="s">
        <v>265</v>
      </c>
      <c r="AO805" s="153">
        <v>1.0276717947012202</v>
      </c>
    </row>
    <row r="806" spans="29:41">
      <c r="AC806" s="153" t="s">
        <v>52</v>
      </c>
      <c r="AD806" s="153" t="s">
        <v>18</v>
      </c>
      <c r="AE806" s="153" t="s">
        <v>72</v>
      </c>
      <c r="AF806" s="153" t="s">
        <v>51</v>
      </c>
      <c r="AG806" s="153" t="s">
        <v>278</v>
      </c>
      <c r="AH806" s="153">
        <v>3.8425411667081901</v>
      </c>
      <c r="AJ806" s="153" t="s">
        <v>52</v>
      </c>
      <c r="AK806" s="153" t="s">
        <v>18</v>
      </c>
      <c r="AL806" s="153" t="s">
        <v>28</v>
      </c>
      <c r="AM806" s="153" t="s">
        <v>51</v>
      </c>
      <c r="AN806" s="153" t="s">
        <v>266</v>
      </c>
      <c r="AO806" s="153">
        <v>1.1187749177383621</v>
      </c>
    </row>
    <row r="807" spans="29:41">
      <c r="AC807" s="153" t="s">
        <v>52</v>
      </c>
      <c r="AD807" s="153" t="s">
        <v>18</v>
      </c>
      <c r="AE807" s="153" t="s">
        <v>72</v>
      </c>
      <c r="AF807" s="153" t="s">
        <v>51</v>
      </c>
      <c r="AG807" s="153" t="s">
        <v>279</v>
      </c>
      <c r="AH807" s="153">
        <v>3.8725334437312955</v>
      </c>
      <c r="AJ807" s="153" t="s">
        <v>52</v>
      </c>
      <c r="AK807" s="153" t="s">
        <v>18</v>
      </c>
      <c r="AL807" s="153" t="s">
        <v>28</v>
      </c>
      <c r="AM807" s="153" t="s">
        <v>51</v>
      </c>
      <c r="AN807" s="153" t="s">
        <v>267</v>
      </c>
      <c r="AO807" s="153">
        <v>1.0833335036768956</v>
      </c>
    </row>
    <row r="808" spans="29:41">
      <c r="AC808" s="153" t="s">
        <v>52</v>
      </c>
      <c r="AD808" s="153" t="s">
        <v>18</v>
      </c>
      <c r="AE808" s="153" t="s">
        <v>72</v>
      </c>
      <c r="AF808" s="153" t="s">
        <v>51</v>
      </c>
      <c r="AG808" s="153" t="s">
        <v>280</v>
      </c>
      <c r="AH808" s="153">
        <v>3.9353424338077225</v>
      </c>
      <c r="AJ808" s="153" t="s">
        <v>52</v>
      </c>
      <c r="AK808" s="153" t="s">
        <v>18</v>
      </c>
      <c r="AL808" s="153" t="s">
        <v>28</v>
      </c>
      <c r="AM808" s="153" t="s">
        <v>51</v>
      </c>
      <c r="AN808" s="153" t="s">
        <v>268</v>
      </c>
      <c r="AO808" s="153">
        <v>1.1043914521501732</v>
      </c>
    </row>
    <row r="809" spans="29:41">
      <c r="AC809" s="153" t="s">
        <v>52</v>
      </c>
      <c r="AD809" s="153" t="s">
        <v>18</v>
      </c>
      <c r="AE809" s="153" t="s">
        <v>72</v>
      </c>
      <c r="AF809" s="153" t="s">
        <v>51</v>
      </c>
      <c r="AG809" s="153" t="s">
        <v>281</v>
      </c>
      <c r="AH809" s="153">
        <v>3.9353424338077225</v>
      </c>
      <c r="AJ809" s="153" t="s">
        <v>52</v>
      </c>
      <c r="AK809" s="153" t="s">
        <v>18</v>
      </c>
      <c r="AL809" s="153" t="s">
        <v>28</v>
      </c>
      <c r="AM809" s="153" t="s">
        <v>51</v>
      </c>
      <c r="AN809" s="153" t="s">
        <v>269</v>
      </c>
      <c r="AO809" s="153">
        <v>1.0820511121264931</v>
      </c>
    </row>
    <row r="810" spans="29:41">
      <c r="AC810" s="153" t="s">
        <v>52</v>
      </c>
      <c r="AD810" s="153" t="s">
        <v>18</v>
      </c>
      <c r="AE810" s="153" t="s">
        <v>72</v>
      </c>
      <c r="AF810" s="153" t="s">
        <v>51</v>
      </c>
      <c r="AG810" s="153" t="s">
        <v>282</v>
      </c>
      <c r="AH810" s="153">
        <v>3.9062558298878747</v>
      </c>
      <c r="AJ810" s="153" t="s">
        <v>52</v>
      </c>
      <c r="AK810" s="153" t="s">
        <v>18</v>
      </c>
      <c r="AL810" s="153" t="s">
        <v>28</v>
      </c>
      <c r="AM810" s="153" t="s">
        <v>51</v>
      </c>
      <c r="AN810" s="153" t="s">
        <v>270</v>
      </c>
      <c r="AO810" s="153">
        <v>1.0791198270748981</v>
      </c>
    </row>
    <row r="811" spans="29:41">
      <c r="AC811" s="153" t="s">
        <v>52</v>
      </c>
      <c r="AD811" s="153" t="s">
        <v>18</v>
      </c>
      <c r="AE811" s="153" t="s">
        <v>72</v>
      </c>
      <c r="AF811" s="153" t="s">
        <v>51</v>
      </c>
      <c r="AG811" s="153" t="s">
        <v>283</v>
      </c>
      <c r="AH811" s="153">
        <v>3.9361387568601574</v>
      </c>
      <c r="AJ811" s="153" t="s">
        <v>52</v>
      </c>
      <c r="AK811" s="153" t="s">
        <v>18</v>
      </c>
      <c r="AL811" s="153" t="s">
        <v>28</v>
      </c>
      <c r="AM811" s="153" t="s">
        <v>51</v>
      </c>
      <c r="AN811" s="153" t="s">
        <v>271</v>
      </c>
      <c r="AO811" s="153">
        <v>1.10733900700999</v>
      </c>
    </row>
    <row r="812" spans="29:41">
      <c r="AC812" s="153" t="s">
        <v>52</v>
      </c>
      <c r="AD812" s="153" t="s">
        <v>18</v>
      </c>
      <c r="AE812" s="153" t="s">
        <v>72</v>
      </c>
      <c r="AF812" s="153" t="s">
        <v>51</v>
      </c>
      <c r="AG812" s="153" t="s">
        <v>284</v>
      </c>
      <c r="AH812" s="153">
        <v>3.9659683192190758</v>
      </c>
      <c r="AJ812" s="153" t="s">
        <v>52</v>
      </c>
      <c r="AK812" s="153" t="s">
        <v>18</v>
      </c>
      <c r="AL812" s="153" t="s">
        <v>28</v>
      </c>
      <c r="AM812" s="153" t="s">
        <v>51</v>
      </c>
      <c r="AN812" s="153" t="s">
        <v>272</v>
      </c>
      <c r="AO812" s="153">
        <v>1.0696061705324202</v>
      </c>
    </row>
    <row r="813" spans="29:41">
      <c r="AC813" s="153" t="s">
        <v>52</v>
      </c>
      <c r="AD813" s="153" t="s">
        <v>18</v>
      </c>
      <c r="AE813" s="153" t="s">
        <v>72</v>
      </c>
      <c r="AF813" s="153" t="s">
        <v>51</v>
      </c>
      <c r="AG813" s="153" t="s">
        <v>285</v>
      </c>
      <c r="AH813" s="153">
        <v>4.0284371983798186</v>
      </c>
      <c r="AJ813" s="153" t="s">
        <v>52</v>
      </c>
      <c r="AK813" s="153" t="s">
        <v>18</v>
      </c>
      <c r="AL813" s="153" t="s">
        <v>28</v>
      </c>
      <c r="AM813" s="153" t="s">
        <v>51</v>
      </c>
      <c r="AN813" s="153" t="s">
        <v>273</v>
      </c>
      <c r="AO813" s="153">
        <v>1.0978648600144802</v>
      </c>
    </row>
    <row r="814" spans="29:41">
      <c r="AC814" s="153" t="s">
        <v>52</v>
      </c>
      <c r="AD814" s="153" t="s">
        <v>18</v>
      </c>
      <c r="AE814" s="153" t="s">
        <v>72</v>
      </c>
      <c r="AF814" s="153" t="s">
        <v>51</v>
      </c>
      <c r="AG814" s="153" t="s">
        <v>286</v>
      </c>
      <c r="AH814" s="153">
        <v>4.0936300339223344</v>
      </c>
      <c r="AJ814" s="153" t="s">
        <v>52</v>
      </c>
      <c r="AK814" s="153" t="s">
        <v>18</v>
      </c>
      <c r="AL814" s="153" t="s">
        <v>28</v>
      </c>
      <c r="AM814" s="153" t="s">
        <v>51</v>
      </c>
      <c r="AN814" s="153" t="s">
        <v>274</v>
      </c>
      <c r="AO814" s="153">
        <v>1.1251769013962403</v>
      </c>
    </row>
    <row r="815" spans="29:41">
      <c r="AC815" s="153" t="s">
        <v>52</v>
      </c>
      <c r="AD815" s="153" t="s">
        <v>18</v>
      </c>
      <c r="AE815" s="153" t="s">
        <v>72</v>
      </c>
      <c r="AF815" s="153" t="s">
        <v>51</v>
      </c>
      <c r="AG815" s="153" t="s">
        <v>287</v>
      </c>
      <c r="AH815" s="153">
        <v>4.0936300339223344</v>
      </c>
      <c r="AJ815" s="153" t="s">
        <v>52</v>
      </c>
      <c r="AK815" s="153" t="s">
        <v>18</v>
      </c>
      <c r="AL815" s="153" t="s">
        <v>28</v>
      </c>
      <c r="AM815" s="153" t="s">
        <v>51</v>
      </c>
      <c r="AN815" s="153" t="s">
        <v>275</v>
      </c>
      <c r="AO815" s="153">
        <v>1.0712657937763603</v>
      </c>
    </row>
    <row r="816" spans="29:41">
      <c r="AC816" s="153" t="s">
        <v>52</v>
      </c>
      <c r="AD816" s="153" t="s">
        <v>18</v>
      </c>
      <c r="AE816" s="153" t="s">
        <v>72</v>
      </c>
      <c r="AF816" s="153" t="s">
        <v>51</v>
      </c>
      <c r="AG816" s="153" t="s">
        <v>288</v>
      </c>
      <c r="AH816" s="153">
        <v>4.0936300339223344</v>
      </c>
      <c r="AJ816" s="153" t="s">
        <v>52</v>
      </c>
      <c r="AK816" s="153" t="s">
        <v>18</v>
      </c>
      <c r="AL816" s="153" t="s">
        <v>28</v>
      </c>
      <c r="AM816" s="153" t="s">
        <v>51</v>
      </c>
      <c r="AN816" s="153" t="s">
        <v>276</v>
      </c>
      <c r="AO816" s="153">
        <v>1.0866835802732404</v>
      </c>
    </row>
    <row r="817" spans="29:41">
      <c r="AC817" s="153" t="s">
        <v>52</v>
      </c>
      <c r="AD817" s="153" t="s">
        <v>18</v>
      </c>
      <c r="AE817" s="153" t="s">
        <v>72</v>
      </c>
      <c r="AF817" s="153" t="s">
        <v>51</v>
      </c>
      <c r="AG817" s="153" t="s">
        <v>289</v>
      </c>
      <c r="AH817" s="153">
        <v>4.0936300339223344</v>
      </c>
      <c r="AJ817" s="153" t="s">
        <v>52</v>
      </c>
      <c r="AK817" s="153" t="s">
        <v>18</v>
      </c>
      <c r="AL817" s="153" t="s">
        <v>28</v>
      </c>
      <c r="AM817" s="153" t="s">
        <v>51</v>
      </c>
      <c r="AN817" s="153" t="s">
        <v>277</v>
      </c>
      <c r="AO817" s="153">
        <v>1.0885117257946226</v>
      </c>
    </row>
    <row r="818" spans="29:41">
      <c r="AC818" s="153" t="s">
        <v>52</v>
      </c>
      <c r="AD818" s="153" t="s">
        <v>18</v>
      </c>
      <c r="AE818" s="153" t="s">
        <v>72</v>
      </c>
      <c r="AF818" s="153" t="s">
        <v>51</v>
      </c>
      <c r="AG818" s="153" t="s">
        <v>290</v>
      </c>
      <c r="AH818" s="153">
        <v>4.0610656170015185</v>
      </c>
      <c r="AJ818" s="153" t="s">
        <v>52</v>
      </c>
      <c r="AK818" s="153" t="s">
        <v>18</v>
      </c>
      <c r="AL818" s="153" t="s">
        <v>28</v>
      </c>
      <c r="AM818" s="153" t="s">
        <v>51</v>
      </c>
      <c r="AN818" s="153" t="s">
        <v>278</v>
      </c>
      <c r="AO818" s="153">
        <v>1.0467291214957302</v>
      </c>
    </row>
    <row r="819" spans="29:41">
      <c r="AC819" s="153" t="s">
        <v>52</v>
      </c>
      <c r="AD819" s="153" t="s">
        <v>18</v>
      </c>
      <c r="AE819" s="153" t="s">
        <v>72</v>
      </c>
      <c r="AF819" s="153" t="s">
        <v>51</v>
      </c>
      <c r="AG819" s="153" t="s">
        <v>291</v>
      </c>
      <c r="AH819" s="153">
        <v>4.0610656170015185</v>
      </c>
      <c r="AJ819" s="153" t="s">
        <v>52</v>
      </c>
      <c r="AK819" s="153" t="s">
        <v>18</v>
      </c>
      <c r="AL819" s="153" t="s">
        <v>28</v>
      </c>
      <c r="AM819" s="153" t="s">
        <v>51</v>
      </c>
      <c r="AN819" s="153" t="s">
        <v>279</v>
      </c>
      <c r="AO819" s="153">
        <v>0.9964904566794559</v>
      </c>
    </row>
    <row r="820" spans="29:41">
      <c r="AC820" s="153" t="s">
        <v>52</v>
      </c>
      <c r="AD820" s="153" t="s">
        <v>18</v>
      </c>
      <c r="AE820" s="153" t="s">
        <v>72</v>
      </c>
      <c r="AF820" s="153" t="s">
        <v>51</v>
      </c>
      <c r="AG820" s="153" t="s">
        <v>292</v>
      </c>
      <c r="AH820" s="153">
        <v>4.0610656170015185</v>
      </c>
      <c r="AJ820" s="153" t="s">
        <v>52</v>
      </c>
      <c r="AK820" s="153" t="s">
        <v>18</v>
      </c>
      <c r="AL820" s="153" t="s">
        <v>28</v>
      </c>
      <c r="AM820" s="153" t="s">
        <v>51</v>
      </c>
      <c r="AN820" s="153" t="s">
        <v>280</v>
      </c>
      <c r="AO820" s="153">
        <v>1.0909243312621324</v>
      </c>
    </row>
    <row r="821" spans="29:41">
      <c r="AC821" s="153" t="s">
        <v>52</v>
      </c>
      <c r="AD821" s="153" t="s">
        <v>18</v>
      </c>
      <c r="AE821" s="153" t="s">
        <v>72</v>
      </c>
      <c r="AF821" s="153" t="s">
        <v>51</v>
      </c>
      <c r="AG821" s="153" t="s">
        <v>293</v>
      </c>
      <c r="AH821" s="153">
        <v>4.0284371983798186</v>
      </c>
      <c r="AJ821" s="153" t="s">
        <v>52</v>
      </c>
      <c r="AK821" s="153" t="s">
        <v>18</v>
      </c>
      <c r="AL821" s="153" t="s">
        <v>28</v>
      </c>
      <c r="AM821" s="153" t="s">
        <v>51</v>
      </c>
      <c r="AN821" s="153" t="s">
        <v>281</v>
      </c>
      <c r="AO821" s="153">
        <v>1.0702956130149426</v>
      </c>
    </row>
    <row r="822" spans="29:41">
      <c r="AC822" s="153" t="s">
        <v>52</v>
      </c>
      <c r="AD822" s="153" t="s">
        <v>18</v>
      </c>
      <c r="AE822" s="153" t="s">
        <v>72</v>
      </c>
      <c r="AF822" s="153" t="s">
        <v>51</v>
      </c>
      <c r="AG822" s="153" t="s">
        <v>294</v>
      </c>
      <c r="AH822" s="153">
        <v>4.0284371983798186</v>
      </c>
      <c r="AJ822" s="153" t="s">
        <v>52</v>
      </c>
      <c r="AK822" s="153" t="s">
        <v>18</v>
      </c>
      <c r="AL822" s="153" t="s">
        <v>28</v>
      </c>
      <c r="AM822" s="153" t="s">
        <v>51</v>
      </c>
      <c r="AN822" s="153" t="s">
        <v>282</v>
      </c>
      <c r="AO822" s="153">
        <v>1.0079574446424944</v>
      </c>
    </row>
    <row r="823" spans="29:41">
      <c r="AC823" s="153" t="s">
        <v>52</v>
      </c>
      <c r="AD823" s="153" t="s">
        <v>18</v>
      </c>
      <c r="AE823" s="153" t="s">
        <v>72</v>
      </c>
      <c r="AF823" s="153" t="s">
        <v>51</v>
      </c>
      <c r="AG823" s="153" t="s">
        <v>235</v>
      </c>
      <c r="AH823" s="153">
        <v>4.0936300339223344</v>
      </c>
      <c r="AJ823" s="153" t="s">
        <v>52</v>
      </c>
      <c r="AK823" s="153" t="s">
        <v>18</v>
      </c>
      <c r="AL823" s="153" t="s">
        <v>28</v>
      </c>
      <c r="AM823" s="153" t="s">
        <v>51</v>
      </c>
      <c r="AN823" s="153" t="s">
        <v>283</v>
      </c>
      <c r="AO823" s="153">
        <v>1.0020757233933677</v>
      </c>
    </row>
    <row r="824" spans="29:41">
      <c r="AC824" s="153" t="s">
        <v>52</v>
      </c>
      <c r="AD824" s="153" t="s">
        <v>18</v>
      </c>
      <c r="AE824" s="153" t="s">
        <v>72</v>
      </c>
      <c r="AF824" s="153" t="s">
        <v>51</v>
      </c>
      <c r="AG824" s="153" t="s">
        <v>295</v>
      </c>
      <c r="AH824" s="153">
        <v>4.0284371983798186</v>
      </c>
      <c r="AJ824" s="153" t="s">
        <v>52</v>
      </c>
      <c r="AK824" s="153" t="s">
        <v>18</v>
      </c>
      <c r="AL824" s="153" t="s">
        <v>28</v>
      </c>
      <c r="AM824" s="153" t="s">
        <v>51</v>
      </c>
      <c r="AN824" s="153" t="s">
        <v>284</v>
      </c>
      <c r="AO824" s="153">
        <v>1.0271656338358255</v>
      </c>
    </row>
    <row r="825" spans="29:41">
      <c r="AC825" s="153" t="s">
        <v>52</v>
      </c>
      <c r="AD825" s="153" t="s">
        <v>18</v>
      </c>
      <c r="AE825" s="153" t="s">
        <v>72</v>
      </c>
      <c r="AF825" s="153" t="s">
        <v>51</v>
      </c>
      <c r="AG825" s="153" t="s">
        <v>296</v>
      </c>
      <c r="AH825" s="153">
        <v>4.0610656170015185</v>
      </c>
      <c r="AJ825" s="153" t="s">
        <v>52</v>
      </c>
      <c r="AK825" s="153" t="s">
        <v>18</v>
      </c>
      <c r="AL825" s="153" t="s">
        <v>28</v>
      </c>
      <c r="AM825" s="153" t="s">
        <v>51</v>
      </c>
      <c r="AN825" s="153" t="s">
        <v>285</v>
      </c>
      <c r="AO825" s="153">
        <v>1.015739202945859</v>
      </c>
    </row>
    <row r="826" spans="29:41">
      <c r="AC826" s="153" t="s">
        <v>52</v>
      </c>
      <c r="AD826" s="153" t="s">
        <v>18</v>
      </c>
      <c r="AE826" s="153" t="s">
        <v>72</v>
      </c>
      <c r="AF826" s="153" t="s">
        <v>51</v>
      </c>
      <c r="AG826" s="153" t="s">
        <v>297</v>
      </c>
      <c r="AH826" s="153">
        <v>4.0610656170015185</v>
      </c>
      <c r="AJ826" s="153" t="s">
        <v>52</v>
      </c>
      <c r="AK826" s="153" t="s">
        <v>18</v>
      </c>
      <c r="AL826" s="153" t="s">
        <v>28</v>
      </c>
      <c r="AM826" s="153" t="s">
        <v>51</v>
      </c>
      <c r="AN826" s="153" t="s">
        <v>286</v>
      </c>
      <c r="AO826" s="153">
        <v>1.0541586348790044</v>
      </c>
    </row>
    <row r="827" spans="29:41">
      <c r="AC827" s="153" t="s">
        <v>52</v>
      </c>
      <c r="AD827" s="153" t="s">
        <v>18</v>
      </c>
      <c r="AE827" s="153" t="s">
        <v>72</v>
      </c>
      <c r="AF827" s="153" t="s">
        <v>51</v>
      </c>
      <c r="AG827" s="153" t="s">
        <v>298</v>
      </c>
      <c r="AH827" s="153">
        <v>4.0610656170015185</v>
      </c>
      <c r="AJ827" s="153" t="s">
        <v>52</v>
      </c>
      <c r="AK827" s="153" t="s">
        <v>18</v>
      </c>
      <c r="AL827" s="153" t="s">
        <v>28</v>
      </c>
      <c r="AM827" s="153" t="s">
        <v>51</v>
      </c>
      <c r="AN827" s="153" t="s">
        <v>287</v>
      </c>
      <c r="AO827" s="153">
        <v>1.0695419304404443</v>
      </c>
    </row>
    <row r="828" spans="29:41">
      <c r="AC828" s="153" t="s">
        <v>52</v>
      </c>
      <c r="AD828" s="153" t="s">
        <v>18</v>
      </c>
      <c r="AE828" s="153" t="s">
        <v>72</v>
      </c>
      <c r="AF828" s="153" t="s">
        <v>51</v>
      </c>
      <c r="AG828" s="153" t="s">
        <v>299</v>
      </c>
      <c r="AH828" s="153">
        <v>4.0284371983798186</v>
      </c>
      <c r="AJ828" s="153" t="s">
        <v>52</v>
      </c>
      <c r="AK828" s="153" t="s">
        <v>18</v>
      </c>
      <c r="AL828" s="153" t="s">
        <v>28</v>
      </c>
      <c r="AM828" s="153" t="s">
        <v>51</v>
      </c>
      <c r="AN828" s="153" t="s">
        <v>288</v>
      </c>
      <c r="AO828" s="153">
        <v>1.0520796930475245</v>
      </c>
    </row>
    <row r="829" spans="29:41">
      <c r="AC829" s="153" t="s">
        <v>52</v>
      </c>
      <c r="AD829" s="153" t="s">
        <v>18</v>
      </c>
      <c r="AE829" s="153" t="s">
        <v>72</v>
      </c>
      <c r="AF829" s="153" t="s">
        <v>51</v>
      </c>
      <c r="AG829" s="153" t="s">
        <v>300</v>
      </c>
      <c r="AH829" s="153">
        <v>3.9659683192190758</v>
      </c>
      <c r="AJ829" s="153" t="s">
        <v>52</v>
      </c>
      <c r="AK829" s="153" t="s">
        <v>18</v>
      </c>
      <c r="AL829" s="153" t="s">
        <v>28</v>
      </c>
      <c r="AM829" s="153" t="s">
        <v>51</v>
      </c>
      <c r="AN829" s="153" t="s">
        <v>289</v>
      </c>
      <c r="AO829" s="153">
        <v>1.0904096572331747</v>
      </c>
    </row>
    <row r="830" spans="29:41">
      <c r="AC830" s="153" t="s">
        <v>52</v>
      </c>
      <c r="AD830" s="153" t="s">
        <v>18</v>
      </c>
      <c r="AE830" s="153" t="s">
        <v>72</v>
      </c>
      <c r="AF830" s="153" t="s">
        <v>51</v>
      </c>
      <c r="AG830" s="153" t="s">
        <v>301</v>
      </c>
      <c r="AH830" s="153">
        <v>4.0936300339223344</v>
      </c>
      <c r="AJ830" s="153" t="s">
        <v>52</v>
      </c>
      <c r="AK830" s="153" t="s">
        <v>18</v>
      </c>
      <c r="AL830" s="153" t="s">
        <v>28</v>
      </c>
      <c r="AM830" s="153" t="s">
        <v>51</v>
      </c>
      <c r="AN830" s="153" t="s">
        <v>290</v>
      </c>
      <c r="AO830" s="153">
        <v>1.0648306693390386</v>
      </c>
    </row>
    <row r="831" spans="29:41">
      <c r="AC831" s="153" t="s">
        <v>52</v>
      </c>
      <c r="AD831" s="153" t="s">
        <v>18</v>
      </c>
      <c r="AE831" s="153" t="s">
        <v>72</v>
      </c>
      <c r="AF831" s="153" t="s">
        <v>51</v>
      </c>
      <c r="AG831" s="153" t="s">
        <v>302</v>
      </c>
      <c r="AH831" s="153">
        <v>4.0936300339223344</v>
      </c>
      <c r="AJ831" s="153" t="s">
        <v>52</v>
      </c>
      <c r="AK831" s="153" t="s">
        <v>18</v>
      </c>
      <c r="AL831" s="153" t="s">
        <v>28</v>
      </c>
      <c r="AM831" s="153" t="s">
        <v>51</v>
      </c>
      <c r="AN831" s="153" t="s">
        <v>291</v>
      </c>
      <c r="AO831" s="153">
        <v>1.0781168177494285</v>
      </c>
    </row>
    <row r="832" spans="29:41">
      <c r="AC832" s="153" t="s">
        <v>52</v>
      </c>
      <c r="AD832" s="153" t="s">
        <v>18</v>
      </c>
      <c r="AE832" s="153" t="s">
        <v>72</v>
      </c>
      <c r="AF832" s="153" t="s">
        <v>51</v>
      </c>
      <c r="AG832" s="153" t="s">
        <v>303</v>
      </c>
      <c r="AH832" s="153">
        <v>4.0936300339223344</v>
      </c>
      <c r="AJ832" s="153" t="s">
        <v>52</v>
      </c>
      <c r="AK832" s="153" t="s">
        <v>18</v>
      </c>
      <c r="AL832" s="153" t="s">
        <v>28</v>
      </c>
      <c r="AM832" s="153" t="s">
        <v>51</v>
      </c>
      <c r="AN832" s="153" t="s">
        <v>292</v>
      </c>
      <c r="AO832" s="153">
        <v>1.0818429055219685</v>
      </c>
    </row>
    <row r="833" spans="29:41">
      <c r="AC833" s="153" t="s">
        <v>52</v>
      </c>
      <c r="AD833" s="153" t="s">
        <v>18</v>
      </c>
      <c r="AE833" s="153" t="s">
        <v>72</v>
      </c>
      <c r="AF833" s="153" t="s">
        <v>51</v>
      </c>
      <c r="AG833" s="153" t="s">
        <v>304</v>
      </c>
      <c r="AH833" s="153">
        <v>3.9987193359155064</v>
      </c>
      <c r="AJ833" s="153" t="s">
        <v>52</v>
      </c>
      <c r="AK833" s="153" t="s">
        <v>18</v>
      </c>
      <c r="AL833" s="153" t="s">
        <v>28</v>
      </c>
      <c r="AM833" s="153" t="s">
        <v>51</v>
      </c>
      <c r="AN833" s="153" t="s">
        <v>293</v>
      </c>
      <c r="AO833" s="153">
        <v>1.0716931602865889</v>
      </c>
    </row>
    <row r="834" spans="29:41">
      <c r="AC834" s="153" t="s">
        <v>52</v>
      </c>
      <c r="AD834" s="153" t="s">
        <v>18</v>
      </c>
      <c r="AE834" s="153" t="s">
        <v>72</v>
      </c>
      <c r="AF834" s="153" t="s">
        <v>51</v>
      </c>
      <c r="AG834" s="153" t="s">
        <v>305</v>
      </c>
      <c r="AH834" s="153">
        <v>4.0284371983798186</v>
      </c>
      <c r="AJ834" s="153" t="s">
        <v>52</v>
      </c>
      <c r="AK834" s="153" t="s">
        <v>18</v>
      </c>
      <c r="AL834" s="153" t="s">
        <v>28</v>
      </c>
      <c r="AM834" s="153" t="s">
        <v>51</v>
      </c>
      <c r="AN834" s="153" t="s">
        <v>294</v>
      </c>
      <c r="AO834" s="153">
        <v>1.0505556572993691</v>
      </c>
    </row>
    <row r="835" spans="29:41">
      <c r="AC835" s="153" t="s">
        <v>52</v>
      </c>
      <c r="AD835" s="153" t="s">
        <v>18</v>
      </c>
      <c r="AE835" s="153" t="s">
        <v>72</v>
      </c>
      <c r="AF835" s="153" t="s">
        <v>51</v>
      </c>
      <c r="AG835" s="153" t="s">
        <v>306</v>
      </c>
      <c r="AH835" s="153">
        <v>4.0284371983798186</v>
      </c>
      <c r="AJ835" s="153" t="s">
        <v>52</v>
      </c>
      <c r="AK835" s="153" t="s">
        <v>18</v>
      </c>
      <c r="AL835" s="153" t="s">
        <v>28</v>
      </c>
      <c r="AM835" s="153" t="s">
        <v>51</v>
      </c>
      <c r="AN835" s="153" t="s">
        <v>235</v>
      </c>
      <c r="AO835" s="153">
        <v>1.1152543712396248</v>
      </c>
    </row>
    <row r="836" spans="29:41">
      <c r="AC836" s="153" t="s">
        <v>52</v>
      </c>
      <c r="AD836" s="153" t="s">
        <v>18</v>
      </c>
      <c r="AE836" s="153" t="s">
        <v>72</v>
      </c>
      <c r="AF836" s="153" t="s">
        <v>51</v>
      </c>
      <c r="AG836" s="153" t="s">
        <v>307</v>
      </c>
      <c r="AH836" s="153">
        <v>4.0284371983798186</v>
      </c>
      <c r="AJ836" s="153" t="s">
        <v>52</v>
      </c>
      <c r="AK836" s="153" t="s">
        <v>18</v>
      </c>
      <c r="AL836" s="153" t="s">
        <v>28</v>
      </c>
      <c r="AM836" s="153" t="s">
        <v>51</v>
      </c>
      <c r="AN836" s="153" t="s">
        <v>295</v>
      </c>
      <c r="AO836" s="153">
        <v>1.0558221379197688</v>
      </c>
    </row>
    <row r="837" spans="29:41">
      <c r="AC837" s="153" t="s">
        <v>52</v>
      </c>
      <c r="AD837" s="153" t="s">
        <v>18</v>
      </c>
      <c r="AE837" s="153" t="s">
        <v>72</v>
      </c>
      <c r="AF837" s="153" t="s">
        <v>51</v>
      </c>
      <c r="AG837" s="153" t="s">
        <v>308</v>
      </c>
      <c r="AH837" s="153">
        <v>4.0610656170015185</v>
      </c>
      <c r="AJ837" s="153" t="s">
        <v>52</v>
      </c>
      <c r="AK837" s="153" t="s">
        <v>18</v>
      </c>
      <c r="AL837" s="153" t="s">
        <v>28</v>
      </c>
      <c r="AM837" s="153" t="s">
        <v>51</v>
      </c>
      <c r="AN837" s="153" t="s">
        <v>296</v>
      </c>
      <c r="AO837" s="153">
        <v>1.0910665761684382</v>
      </c>
    </row>
    <row r="838" spans="29:41">
      <c r="AC838" s="153" t="s">
        <v>52</v>
      </c>
      <c r="AD838" s="153" t="s">
        <v>18</v>
      </c>
      <c r="AE838" s="153" t="s">
        <v>72</v>
      </c>
      <c r="AF838" s="153" t="s">
        <v>51</v>
      </c>
      <c r="AG838" s="153" t="s">
        <v>309</v>
      </c>
      <c r="AH838" s="153">
        <v>4.0627523635008007</v>
      </c>
      <c r="AJ838" s="153" t="s">
        <v>52</v>
      </c>
      <c r="AK838" s="153" t="s">
        <v>18</v>
      </c>
      <c r="AL838" s="153" t="s">
        <v>28</v>
      </c>
      <c r="AM838" s="153" t="s">
        <v>51</v>
      </c>
      <c r="AN838" s="153" t="s">
        <v>297</v>
      </c>
      <c r="AO838" s="153">
        <v>1.0982657903298283</v>
      </c>
    </row>
    <row r="839" spans="29:41">
      <c r="AC839" s="153" t="s">
        <v>52</v>
      </c>
      <c r="AD839" s="153" t="s">
        <v>18</v>
      </c>
      <c r="AE839" s="153" t="s">
        <v>72</v>
      </c>
      <c r="AF839" s="153" t="s">
        <v>51</v>
      </c>
      <c r="AG839" s="153" t="s">
        <v>310</v>
      </c>
      <c r="AH839" s="153">
        <v>4.0923610563473902</v>
      </c>
      <c r="AJ839" s="153" t="s">
        <v>52</v>
      </c>
      <c r="AK839" s="153" t="s">
        <v>18</v>
      </c>
      <c r="AL839" s="153" t="s">
        <v>28</v>
      </c>
      <c r="AM839" s="153" t="s">
        <v>51</v>
      </c>
      <c r="AN839" s="153" t="s">
        <v>298</v>
      </c>
      <c r="AO839" s="153">
        <v>1.1135983511412983</v>
      </c>
    </row>
    <row r="840" spans="29:41">
      <c r="AC840" s="153" t="s">
        <v>52</v>
      </c>
      <c r="AD840" s="153" t="s">
        <v>18</v>
      </c>
      <c r="AE840" s="153" t="s">
        <v>72</v>
      </c>
      <c r="AF840" s="153" t="s">
        <v>51</v>
      </c>
      <c r="AG840" s="153" t="s">
        <v>234</v>
      </c>
      <c r="AH840" s="153">
        <v>4.0627523635008007</v>
      </c>
      <c r="AJ840" s="153" t="s">
        <v>52</v>
      </c>
      <c r="AK840" s="153" t="s">
        <v>18</v>
      </c>
      <c r="AL840" s="153" t="s">
        <v>28</v>
      </c>
      <c r="AM840" s="153" t="s">
        <v>51</v>
      </c>
      <c r="AN840" s="153" t="s">
        <v>299</v>
      </c>
      <c r="AO840" s="153">
        <v>1.1337073492354985</v>
      </c>
    </row>
    <row r="841" spans="29:41">
      <c r="AC841" s="153" t="s">
        <v>52</v>
      </c>
      <c r="AD841" s="153" t="s">
        <v>18</v>
      </c>
      <c r="AE841" s="153" t="s">
        <v>72</v>
      </c>
      <c r="AF841" s="153" t="s">
        <v>51</v>
      </c>
      <c r="AG841" s="153" t="s">
        <v>311</v>
      </c>
      <c r="AH841" s="153">
        <v>4.0610656170015185</v>
      </c>
      <c r="AJ841" s="153" t="s">
        <v>52</v>
      </c>
      <c r="AK841" s="153" t="s">
        <v>18</v>
      </c>
      <c r="AL841" s="153" t="s">
        <v>28</v>
      </c>
      <c r="AM841" s="153" t="s">
        <v>51</v>
      </c>
      <c r="AN841" s="153" t="s">
        <v>300</v>
      </c>
      <c r="AO841" s="153">
        <v>1.0494089721728754</v>
      </c>
    </row>
    <row r="842" spans="29:41">
      <c r="AC842" s="153" t="s">
        <v>52</v>
      </c>
      <c r="AD842" s="153" t="s">
        <v>18</v>
      </c>
      <c r="AE842" s="153" t="s">
        <v>72</v>
      </c>
      <c r="AF842" s="153" t="s">
        <v>51</v>
      </c>
      <c r="AG842" s="153" t="s">
        <v>312</v>
      </c>
      <c r="AH842" s="153">
        <v>4.0610656170015185</v>
      </c>
      <c r="AJ842" s="153" t="s">
        <v>52</v>
      </c>
      <c r="AK842" s="153" t="s">
        <v>18</v>
      </c>
      <c r="AL842" s="153" t="s">
        <v>28</v>
      </c>
      <c r="AM842" s="153" t="s">
        <v>51</v>
      </c>
      <c r="AN842" s="153" t="s">
        <v>301</v>
      </c>
      <c r="AO842" s="153">
        <v>1.0391993670193747</v>
      </c>
    </row>
    <row r="843" spans="29:41">
      <c r="AC843" s="153" t="s">
        <v>52</v>
      </c>
      <c r="AD843" s="153" t="s">
        <v>18</v>
      </c>
      <c r="AE843" s="153" t="s">
        <v>72</v>
      </c>
      <c r="AF843" s="153" t="s">
        <v>51</v>
      </c>
      <c r="AG843" s="153" t="s">
        <v>313</v>
      </c>
      <c r="AH843" s="153">
        <v>4.0936300339223344</v>
      </c>
      <c r="AJ843" s="153" t="s">
        <v>52</v>
      </c>
      <c r="AK843" s="153" t="s">
        <v>18</v>
      </c>
      <c r="AL843" s="153" t="s">
        <v>28</v>
      </c>
      <c r="AM843" s="153" t="s">
        <v>51</v>
      </c>
      <c r="AN843" s="153" t="s">
        <v>302</v>
      </c>
      <c r="AO843" s="153">
        <v>1.0969918504511147</v>
      </c>
    </row>
    <row r="844" spans="29:41">
      <c r="AC844" s="153" t="s">
        <v>52</v>
      </c>
      <c r="AD844" s="153" t="s">
        <v>18</v>
      </c>
      <c r="AE844" s="153" t="s">
        <v>72</v>
      </c>
      <c r="AF844" s="153" t="s">
        <v>51</v>
      </c>
      <c r="AG844" s="153" t="s">
        <v>233</v>
      </c>
      <c r="AH844" s="153">
        <v>4.0923610563473902</v>
      </c>
      <c r="AJ844" s="153" t="s">
        <v>52</v>
      </c>
      <c r="AK844" s="153" t="s">
        <v>18</v>
      </c>
      <c r="AL844" s="153" t="s">
        <v>28</v>
      </c>
      <c r="AM844" s="153" t="s">
        <v>51</v>
      </c>
      <c r="AN844" s="153" t="s">
        <v>303</v>
      </c>
      <c r="AO844" s="153">
        <v>1.1437313448721744</v>
      </c>
    </row>
    <row r="845" spans="29:41">
      <c r="AC845" s="153" t="s">
        <v>52</v>
      </c>
      <c r="AD845" s="153" t="s">
        <v>18</v>
      </c>
      <c r="AE845" s="153" t="s">
        <v>72</v>
      </c>
      <c r="AF845" s="153" t="s">
        <v>51</v>
      </c>
      <c r="AG845" s="153" t="s">
        <v>236</v>
      </c>
      <c r="AH845" s="153">
        <v>4.1248698203088709</v>
      </c>
      <c r="AJ845" s="153" t="s">
        <v>52</v>
      </c>
      <c r="AK845" s="153" t="s">
        <v>18</v>
      </c>
      <c r="AL845" s="153" t="s">
        <v>28</v>
      </c>
      <c r="AM845" s="153" t="s">
        <v>51</v>
      </c>
      <c r="AN845" s="153" t="s">
        <v>304</v>
      </c>
      <c r="AO845" s="153">
        <v>1.0237920370338864</v>
      </c>
    </row>
    <row r="846" spans="29:41">
      <c r="AC846" s="153" t="s">
        <v>52</v>
      </c>
      <c r="AD846" s="153" t="s">
        <v>18</v>
      </c>
      <c r="AE846" s="153" t="s">
        <v>72</v>
      </c>
      <c r="AF846" s="153" t="s">
        <v>51</v>
      </c>
      <c r="AG846" s="153" t="s">
        <v>318</v>
      </c>
      <c r="AH846" s="153">
        <v>4.0923610563473902</v>
      </c>
      <c r="AJ846" s="153" t="s">
        <v>52</v>
      </c>
      <c r="AK846" s="153" t="s">
        <v>18</v>
      </c>
      <c r="AL846" s="153" t="s">
        <v>28</v>
      </c>
      <c r="AM846" s="153" t="s">
        <v>51</v>
      </c>
      <c r="AN846" s="153" t="s">
        <v>305</v>
      </c>
      <c r="AO846" s="153">
        <v>1.0699809403240188</v>
      </c>
    </row>
    <row r="847" spans="29:41">
      <c r="AC847" s="153" t="s">
        <v>52</v>
      </c>
      <c r="AD847" s="153" t="s">
        <v>18</v>
      </c>
      <c r="AE847" s="153" t="s">
        <v>72</v>
      </c>
      <c r="AF847" s="153" t="s">
        <v>51</v>
      </c>
      <c r="AG847" s="153" t="s">
        <v>319</v>
      </c>
      <c r="AH847" s="153">
        <v>4.0923610563473902</v>
      </c>
      <c r="AJ847" s="153" t="s">
        <v>52</v>
      </c>
      <c r="AK847" s="153" t="s">
        <v>18</v>
      </c>
      <c r="AL847" s="153" t="s">
        <v>28</v>
      </c>
      <c r="AM847" s="153" t="s">
        <v>51</v>
      </c>
      <c r="AN847" s="153" t="s">
        <v>306</v>
      </c>
      <c r="AO847" s="153">
        <v>1.0309093696685387</v>
      </c>
    </row>
    <row r="848" spans="29:41">
      <c r="AC848" s="153" t="s">
        <v>52</v>
      </c>
      <c r="AD848" s="153" t="s">
        <v>18</v>
      </c>
      <c r="AE848" s="153" t="s">
        <v>72</v>
      </c>
      <c r="AF848" s="153" t="s">
        <v>51</v>
      </c>
      <c r="AG848" s="153" t="s">
        <v>320</v>
      </c>
      <c r="AH848" s="153">
        <v>4.0627523635008007</v>
      </c>
      <c r="AJ848" s="153" t="s">
        <v>52</v>
      </c>
      <c r="AK848" s="153" t="s">
        <v>18</v>
      </c>
      <c r="AL848" s="153" t="s">
        <v>28</v>
      </c>
      <c r="AM848" s="153" t="s">
        <v>51</v>
      </c>
      <c r="AN848" s="153" t="s">
        <v>307</v>
      </c>
      <c r="AO848" s="153">
        <v>1.0980494406465486</v>
      </c>
    </row>
    <row r="849" spans="29:41">
      <c r="AC849" s="153" t="s">
        <v>52</v>
      </c>
      <c r="AD849" s="153" t="s">
        <v>18</v>
      </c>
      <c r="AE849" s="153" t="s">
        <v>72</v>
      </c>
      <c r="AF849" s="153" t="s">
        <v>51</v>
      </c>
      <c r="AG849" s="153" t="s">
        <v>321</v>
      </c>
      <c r="AH849" s="153">
        <v>4.0936300339223344</v>
      </c>
      <c r="AJ849" s="153" t="s">
        <v>52</v>
      </c>
      <c r="AK849" s="153" t="s">
        <v>18</v>
      </c>
      <c r="AL849" s="153" t="s">
        <v>28</v>
      </c>
      <c r="AM849" s="153" t="s">
        <v>51</v>
      </c>
      <c r="AN849" s="153" t="s">
        <v>308</v>
      </c>
      <c r="AO849" s="153">
        <v>1.0653738508151083</v>
      </c>
    </row>
    <row r="850" spans="29:41">
      <c r="AC850" s="153" t="s">
        <v>52</v>
      </c>
      <c r="AD850" s="153" t="s">
        <v>18</v>
      </c>
      <c r="AE850" s="153" t="s">
        <v>72</v>
      </c>
      <c r="AF850" s="153" t="s">
        <v>51</v>
      </c>
      <c r="AG850" s="153" t="s">
        <v>322</v>
      </c>
      <c r="AH850" s="153">
        <v>4.0936300339223344</v>
      </c>
      <c r="AJ850" s="153" t="s">
        <v>52</v>
      </c>
      <c r="AK850" s="153" t="s">
        <v>18</v>
      </c>
      <c r="AL850" s="153" t="s">
        <v>28</v>
      </c>
      <c r="AM850" s="153" t="s">
        <v>51</v>
      </c>
      <c r="AN850" s="153" t="s">
        <v>309</v>
      </c>
      <c r="AO850" s="153">
        <v>1.0349978919639711</v>
      </c>
    </row>
    <row r="851" spans="29:41">
      <c r="AC851" s="153" t="s">
        <v>52</v>
      </c>
      <c r="AD851" s="153" t="s">
        <v>18</v>
      </c>
      <c r="AE851" s="153" t="s">
        <v>72</v>
      </c>
      <c r="AF851" s="153" t="s">
        <v>51</v>
      </c>
      <c r="AG851" s="153" t="s">
        <v>323</v>
      </c>
      <c r="AH851" s="153">
        <v>4.0610656170015185</v>
      </c>
      <c r="AJ851" s="153" t="s">
        <v>52</v>
      </c>
      <c r="AK851" s="153" t="s">
        <v>18</v>
      </c>
      <c r="AL851" s="153" t="s">
        <v>28</v>
      </c>
      <c r="AM851" s="153" t="s">
        <v>51</v>
      </c>
      <c r="AN851" s="153" t="s">
        <v>310</v>
      </c>
      <c r="AO851" s="153">
        <v>1.0586540391730501</v>
      </c>
    </row>
    <row r="852" spans="29:41">
      <c r="AC852" s="153" t="s">
        <v>52</v>
      </c>
      <c r="AD852" s="153" t="s">
        <v>18</v>
      </c>
      <c r="AE852" s="153" t="s">
        <v>72</v>
      </c>
      <c r="AF852" s="153" t="s">
        <v>51</v>
      </c>
      <c r="AG852" s="153" t="s">
        <v>324</v>
      </c>
      <c r="AH852" s="153">
        <v>3.9987193359155064</v>
      </c>
      <c r="AJ852" s="153" t="s">
        <v>52</v>
      </c>
      <c r="AK852" s="153" t="s">
        <v>18</v>
      </c>
      <c r="AL852" s="153" t="s">
        <v>28</v>
      </c>
      <c r="AM852" s="153" t="s">
        <v>51</v>
      </c>
      <c r="AN852" s="153" t="s">
        <v>234</v>
      </c>
      <c r="AO852" s="153">
        <v>1.0688980839161513</v>
      </c>
    </row>
    <row r="853" spans="29:41">
      <c r="AC853" s="153" t="s">
        <v>52</v>
      </c>
      <c r="AD853" s="153" t="s">
        <v>18</v>
      </c>
      <c r="AE853" s="153" t="s">
        <v>72</v>
      </c>
      <c r="AF853" s="153" t="s">
        <v>51</v>
      </c>
      <c r="AG853" s="153" t="s">
        <v>325</v>
      </c>
      <c r="AH853" s="153">
        <v>3.9987193359155064</v>
      </c>
      <c r="AJ853" s="153" t="s">
        <v>52</v>
      </c>
      <c r="AK853" s="153" t="s">
        <v>18</v>
      </c>
      <c r="AL853" s="153" t="s">
        <v>28</v>
      </c>
      <c r="AM853" s="153" t="s">
        <v>51</v>
      </c>
      <c r="AN853" s="153" t="s">
        <v>311</v>
      </c>
      <c r="AO853" s="153">
        <v>1.0956201350163781</v>
      </c>
    </row>
    <row r="854" spans="29:41">
      <c r="AC854" s="153" t="s">
        <v>52</v>
      </c>
      <c r="AD854" s="153" t="s">
        <v>18</v>
      </c>
      <c r="AE854" s="153" t="s">
        <v>72</v>
      </c>
      <c r="AF854" s="153" t="s">
        <v>51</v>
      </c>
      <c r="AG854" s="153" t="s">
        <v>326</v>
      </c>
      <c r="AH854" s="153">
        <v>3.968948344733974</v>
      </c>
      <c r="AJ854" s="153" t="s">
        <v>52</v>
      </c>
      <c r="AK854" s="153" t="s">
        <v>18</v>
      </c>
      <c r="AL854" s="153" t="s">
        <v>28</v>
      </c>
      <c r="AM854" s="153" t="s">
        <v>51</v>
      </c>
      <c r="AN854" s="153" t="s">
        <v>312</v>
      </c>
      <c r="AO854" s="153">
        <v>1.0879482133374581</v>
      </c>
    </row>
    <row r="855" spans="29:41">
      <c r="AC855" s="153" t="s">
        <v>52</v>
      </c>
      <c r="AD855" s="153" t="s">
        <v>18</v>
      </c>
      <c r="AE855" s="153" t="s">
        <v>72</v>
      </c>
      <c r="AF855" s="153" t="s">
        <v>51</v>
      </c>
      <c r="AG855" s="153" t="s">
        <v>327</v>
      </c>
      <c r="AH855" s="153">
        <v>3.9681481492823516</v>
      </c>
      <c r="AJ855" s="153" t="s">
        <v>52</v>
      </c>
      <c r="AK855" s="153" t="s">
        <v>18</v>
      </c>
      <c r="AL855" s="153" t="s">
        <v>28</v>
      </c>
      <c r="AM855" s="153" t="s">
        <v>51</v>
      </c>
      <c r="AN855" s="153" t="s">
        <v>313</v>
      </c>
      <c r="AO855" s="153">
        <v>1.0758703141671342</v>
      </c>
    </row>
    <row r="856" spans="29:41">
      <c r="AC856" s="153" t="s">
        <v>52</v>
      </c>
      <c r="AD856" s="153" t="s">
        <v>18</v>
      </c>
      <c r="AE856" s="153" t="s">
        <v>72</v>
      </c>
      <c r="AF856" s="153" t="s">
        <v>51</v>
      </c>
      <c r="AG856" s="153" t="s">
        <v>328</v>
      </c>
      <c r="AH856" s="153">
        <v>3.968948344733974</v>
      </c>
      <c r="AJ856" s="153" t="s">
        <v>52</v>
      </c>
      <c r="AK856" s="153" t="s">
        <v>18</v>
      </c>
      <c r="AL856" s="153" t="s">
        <v>28</v>
      </c>
      <c r="AM856" s="153" t="s">
        <v>51</v>
      </c>
      <c r="AN856" s="153" t="s">
        <v>233</v>
      </c>
      <c r="AO856" s="153">
        <v>1.0497530287677797</v>
      </c>
    </row>
    <row r="857" spans="29:41">
      <c r="AC857" s="153" t="s">
        <v>52</v>
      </c>
      <c r="AD857" s="153" t="s">
        <v>18</v>
      </c>
      <c r="AE857" s="153" t="s">
        <v>72</v>
      </c>
      <c r="AF857" s="153" t="s">
        <v>51</v>
      </c>
      <c r="AG857" s="153" t="s">
        <v>329</v>
      </c>
      <c r="AH857" s="153">
        <v>3.968948344733974</v>
      </c>
      <c r="AJ857" s="153" t="s">
        <v>52</v>
      </c>
      <c r="AK857" s="153" t="s">
        <v>18</v>
      </c>
      <c r="AL857" s="153" t="s">
        <v>28</v>
      </c>
      <c r="AM857" s="153" t="s">
        <v>51</v>
      </c>
      <c r="AN857" s="153" t="s">
        <v>236</v>
      </c>
      <c r="AO857" s="153">
        <v>1.0972931539022603</v>
      </c>
    </row>
    <row r="858" spans="29:41">
      <c r="AC858" s="153" t="s">
        <v>52</v>
      </c>
      <c r="AD858" s="153" t="s">
        <v>18</v>
      </c>
      <c r="AE858" s="153" t="s">
        <v>72</v>
      </c>
      <c r="AF858" s="153" t="s">
        <v>51</v>
      </c>
      <c r="AG858" s="153" t="s">
        <v>330</v>
      </c>
      <c r="AH858" s="153">
        <v>3.8755297138005318</v>
      </c>
      <c r="AJ858" s="153" t="s">
        <v>52</v>
      </c>
      <c r="AK858" s="153" t="s">
        <v>18</v>
      </c>
      <c r="AL858" s="153" t="s">
        <v>28</v>
      </c>
      <c r="AM858" s="153" t="s">
        <v>51</v>
      </c>
      <c r="AN858" s="153" t="s">
        <v>318</v>
      </c>
      <c r="AO858" s="153">
        <v>1.0893966078739599</v>
      </c>
    </row>
    <row r="859" spans="29:41">
      <c r="AC859" s="153" t="s">
        <v>52</v>
      </c>
      <c r="AD859" s="153" t="s">
        <v>18</v>
      </c>
      <c r="AE859" s="153" t="s">
        <v>72</v>
      </c>
      <c r="AF859" s="153" t="s">
        <v>51</v>
      </c>
      <c r="AG859" s="153" t="s">
        <v>331</v>
      </c>
      <c r="AH859" s="153">
        <v>3.9353424338077225</v>
      </c>
      <c r="AJ859" s="153" t="s">
        <v>52</v>
      </c>
      <c r="AK859" s="153" t="s">
        <v>18</v>
      </c>
      <c r="AL859" s="153" t="s">
        <v>28</v>
      </c>
      <c r="AM859" s="153" t="s">
        <v>51</v>
      </c>
      <c r="AN859" s="153" t="s">
        <v>319</v>
      </c>
      <c r="AO859" s="153">
        <v>1.03497276341456</v>
      </c>
    </row>
    <row r="860" spans="29:41">
      <c r="AC860" s="153" t="s">
        <v>52</v>
      </c>
      <c r="AD860" s="153" t="s">
        <v>18</v>
      </c>
      <c r="AE860" s="153" t="s">
        <v>72</v>
      </c>
      <c r="AF860" s="153" t="s">
        <v>51</v>
      </c>
      <c r="AG860" s="153" t="s">
        <v>332</v>
      </c>
      <c r="AH860" s="153">
        <v>3.9054628819113248</v>
      </c>
      <c r="AJ860" s="153" t="s">
        <v>52</v>
      </c>
      <c r="AK860" s="153" t="s">
        <v>18</v>
      </c>
      <c r="AL860" s="153" t="s">
        <v>28</v>
      </c>
      <c r="AM860" s="153" t="s">
        <v>51</v>
      </c>
      <c r="AN860" s="153" t="s">
        <v>316</v>
      </c>
      <c r="AO860" s="153">
        <v>1.03497276341456</v>
      </c>
    </row>
    <row r="861" spans="29:41">
      <c r="AC861" s="153" t="s">
        <v>52</v>
      </c>
      <c r="AD861" s="153" t="s">
        <v>18</v>
      </c>
      <c r="AE861" s="153" t="s">
        <v>72</v>
      </c>
      <c r="AF861" s="153" t="s">
        <v>51</v>
      </c>
      <c r="AG861" s="153" t="s">
        <v>333</v>
      </c>
      <c r="AH861" s="153">
        <v>3.9361387568601574</v>
      </c>
      <c r="AJ861" s="153" t="s">
        <v>52</v>
      </c>
      <c r="AK861" s="153" t="s">
        <v>18</v>
      </c>
      <c r="AL861" s="153" t="s">
        <v>28</v>
      </c>
      <c r="AM861" s="153" t="s">
        <v>51</v>
      </c>
      <c r="AN861" s="153" t="s">
        <v>320</v>
      </c>
      <c r="AO861" s="153">
        <v>1.0573629552190809</v>
      </c>
    </row>
    <row r="862" spans="29:41">
      <c r="AC862" s="153" t="s">
        <v>52</v>
      </c>
      <c r="AD862" s="153" t="s">
        <v>18</v>
      </c>
      <c r="AE862" s="153" t="s">
        <v>72</v>
      </c>
      <c r="AF862" s="153" t="s">
        <v>51</v>
      </c>
      <c r="AG862" s="153" t="s">
        <v>334</v>
      </c>
      <c r="AH862" s="153">
        <v>3.9361387568601574</v>
      </c>
      <c r="AJ862" s="153" t="s">
        <v>52</v>
      </c>
      <c r="AK862" s="153" t="s">
        <v>18</v>
      </c>
      <c r="AL862" s="153" t="s">
        <v>28</v>
      </c>
      <c r="AM862" s="153" t="s">
        <v>51</v>
      </c>
      <c r="AN862" s="153" t="s">
        <v>321</v>
      </c>
      <c r="AO862" s="153">
        <v>1.1001773487253346</v>
      </c>
    </row>
    <row r="863" spans="29:41">
      <c r="AC863" s="153" t="s">
        <v>52</v>
      </c>
      <c r="AD863" s="153" t="s">
        <v>18</v>
      </c>
      <c r="AE863" s="153" t="s">
        <v>72</v>
      </c>
      <c r="AF863" s="153" t="s">
        <v>51</v>
      </c>
      <c r="AG863" s="153" t="s">
        <v>335</v>
      </c>
      <c r="AH863" s="153">
        <v>3.9353424338077225</v>
      </c>
      <c r="AJ863" s="153" t="s">
        <v>52</v>
      </c>
      <c r="AK863" s="153" t="s">
        <v>18</v>
      </c>
      <c r="AL863" s="153" t="s">
        <v>28</v>
      </c>
      <c r="AM863" s="153" t="s">
        <v>51</v>
      </c>
      <c r="AN863" s="153" t="s">
        <v>322</v>
      </c>
      <c r="AO863" s="153">
        <v>1.0984927547126548</v>
      </c>
    </row>
    <row r="864" spans="29:41">
      <c r="AC864" s="153" t="s">
        <v>52</v>
      </c>
      <c r="AD864" s="153" t="s">
        <v>18</v>
      </c>
      <c r="AE864" s="153" t="s">
        <v>72</v>
      </c>
      <c r="AF864" s="153" t="s">
        <v>51</v>
      </c>
      <c r="AG864" s="153" t="s">
        <v>315</v>
      </c>
      <c r="AH864" s="153">
        <v>3.9054628819113248</v>
      </c>
      <c r="AJ864" s="153" t="s">
        <v>52</v>
      </c>
      <c r="AK864" s="153" t="s">
        <v>18</v>
      </c>
      <c r="AL864" s="153" t="s">
        <v>28</v>
      </c>
      <c r="AM864" s="153" t="s">
        <v>51</v>
      </c>
      <c r="AN864" s="153" t="s">
        <v>323</v>
      </c>
      <c r="AO864" s="153">
        <v>1.1276650968177586</v>
      </c>
    </row>
    <row r="865" spans="29:41">
      <c r="AC865" s="153" t="s">
        <v>52</v>
      </c>
      <c r="AD865" s="153" t="s">
        <v>18</v>
      </c>
      <c r="AE865" s="153" t="s">
        <v>72</v>
      </c>
      <c r="AF865" s="153" t="s">
        <v>51</v>
      </c>
      <c r="AG865" s="153" t="s">
        <v>336</v>
      </c>
      <c r="AH865" s="153">
        <v>3.9054628819113248</v>
      </c>
      <c r="AJ865" s="153" t="s">
        <v>52</v>
      </c>
      <c r="AK865" s="153" t="s">
        <v>18</v>
      </c>
      <c r="AL865" s="153" t="s">
        <v>28</v>
      </c>
      <c r="AM865" s="153" t="s">
        <v>51</v>
      </c>
      <c r="AN865" s="153" t="s">
        <v>324</v>
      </c>
      <c r="AO865" s="153">
        <v>1.0867686360165461</v>
      </c>
    </row>
    <row r="866" spans="29:41">
      <c r="AC866" s="153" t="s">
        <v>52</v>
      </c>
      <c r="AD866" s="153" t="s">
        <v>18</v>
      </c>
      <c r="AE866" s="153" t="s">
        <v>72</v>
      </c>
      <c r="AF866" s="153" t="s">
        <v>51</v>
      </c>
      <c r="AG866" s="153" t="s">
        <v>337</v>
      </c>
      <c r="AH866" s="153">
        <v>3.8425411667081901</v>
      </c>
      <c r="AJ866" s="153" t="s">
        <v>52</v>
      </c>
      <c r="AK866" s="153" t="s">
        <v>18</v>
      </c>
      <c r="AL866" s="153" t="s">
        <v>28</v>
      </c>
      <c r="AM866" s="153" t="s">
        <v>51</v>
      </c>
      <c r="AN866" s="153" t="s">
        <v>325</v>
      </c>
      <c r="AO866" s="153">
        <v>1.1132625280971964</v>
      </c>
    </row>
    <row r="867" spans="29:41">
      <c r="AC867" s="153" t="s">
        <v>52</v>
      </c>
      <c r="AD867" s="153" t="s">
        <v>18</v>
      </c>
      <c r="AE867" s="153" t="s">
        <v>72</v>
      </c>
      <c r="AF867" s="153" t="s">
        <v>51</v>
      </c>
      <c r="AG867" s="153" t="s">
        <v>338</v>
      </c>
      <c r="AH867" s="153">
        <v>3.812592661796018</v>
      </c>
      <c r="AJ867" s="153" t="s">
        <v>52</v>
      </c>
      <c r="AK867" s="153" t="s">
        <v>18</v>
      </c>
      <c r="AL867" s="153" t="s">
        <v>28</v>
      </c>
      <c r="AM867" s="153" t="s">
        <v>51</v>
      </c>
      <c r="AN867" s="153" t="s">
        <v>326</v>
      </c>
      <c r="AO867" s="153">
        <v>1.0711141137448741</v>
      </c>
    </row>
    <row r="868" spans="29:41">
      <c r="AC868" s="153" t="s">
        <v>52</v>
      </c>
      <c r="AD868" s="153" t="s">
        <v>18</v>
      </c>
      <c r="AE868" s="153" t="s">
        <v>72</v>
      </c>
      <c r="AF868" s="153" t="s">
        <v>51</v>
      </c>
      <c r="AG868" s="153" t="s">
        <v>314</v>
      </c>
      <c r="AH868" s="153">
        <v>3.812592661796018</v>
      </c>
      <c r="AJ868" s="153" t="s">
        <v>52</v>
      </c>
      <c r="AK868" s="153" t="s">
        <v>18</v>
      </c>
      <c r="AL868" s="153" t="s">
        <v>28</v>
      </c>
      <c r="AM868" s="153" t="s">
        <v>51</v>
      </c>
      <c r="AN868" s="153" t="s">
        <v>327</v>
      </c>
      <c r="AO868" s="153">
        <v>1.1256742603309715</v>
      </c>
    </row>
    <row r="869" spans="29:41">
      <c r="AC869" s="153" t="s">
        <v>52</v>
      </c>
      <c r="AD869" s="153" t="s">
        <v>18</v>
      </c>
      <c r="AE869" s="153" t="s">
        <v>72</v>
      </c>
      <c r="AF869" s="153" t="s">
        <v>51</v>
      </c>
      <c r="AG869" s="153" t="s">
        <v>317</v>
      </c>
      <c r="AH869" s="153">
        <v>3.812592661796018</v>
      </c>
      <c r="AJ869" s="153" t="s">
        <v>52</v>
      </c>
      <c r="AK869" s="153" t="s">
        <v>18</v>
      </c>
      <c r="AL869" s="153" t="s">
        <v>28</v>
      </c>
      <c r="AM869" s="153" t="s">
        <v>51</v>
      </c>
      <c r="AN869" s="153" t="s">
        <v>328</v>
      </c>
      <c r="AO869" s="153">
        <v>1.1561541814869041</v>
      </c>
    </row>
    <row r="870" spans="29:41">
      <c r="AC870" s="153" t="s">
        <v>52</v>
      </c>
      <c r="AD870" s="153" t="s">
        <v>18</v>
      </c>
      <c r="AE870" s="153" t="s">
        <v>72</v>
      </c>
      <c r="AF870" s="153" t="s">
        <v>51</v>
      </c>
      <c r="AG870" s="153" t="s">
        <v>344</v>
      </c>
      <c r="AH870" s="153">
        <v>3.812592661796018</v>
      </c>
      <c r="AJ870" s="153" t="s">
        <v>52</v>
      </c>
      <c r="AK870" s="153" t="s">
        <v>18</v>
      </c>
      <c r="AL870" s="153" t="s">
        <v>28</v>
      </c>
      <c r="AM870" s="153" t="s">
        <v>51</v>
      </c>
      <c r="AN870" s="153" t="s">
        <v>329</v>
      </c>
      <c r="AO870" s="153">
        <v>1.1432695767015839</v>
      </c>
    </row>
    <row r="871" spans="29:41">
      <c r="AC871" s="153" t="s">
        <v>52</v>
      </c>
      <c r="AD871" s="153" t="s">
        <v>18</v>
      </c>
      <c r="AE871" s="153" t="s">
        <v>72</v>
      </c>
      <c r="AF871" s="153" t="s">
        <v>51</v>
      </c>
      <c r="AG871" s="153" t="s">
        <v>342</v>
      </c>
      <c r="AH871" s="153">
        <v>3.7160970281867178</v>
      </c>
      <c r="AJ871" s="153" t="s">
        <v>52</v>
      </c>
      <c r="AK871" s="153" t="s">
        <v>18</v>
      </c>
      <c r="AL871" s="153" t="s">
        <v>28</v>
      </c>
      <c r="AM871" s="153" t="s">
        <v>51</v>
      </c>
      <c r="AN871" s="153" t="s">
        <v>330</v>
      </c>
      <c r="AO871" s="153">
        <v>1.0929717173047016</v>
      </c>
    </row>
    <row r="872" spans="29:41">
      <c r="AC872" s="153" t="s">
        <v>52</v>
      </c>
      <c r="AD872" s="153" t="s">
        <v>18</v>
      </c>
      <c r="AE872" s="153" t="s">
        <v>72</v>
      </c>
      <c r="AF872" s="153" t="s">
        <v>51</v>
      </c>
      <c r="AG872" s="153" t="s">
        <v>345</v>
      </c>
      <c r="AH872" s="153">
        <v>3.7493301282064344</v>
      </c>
      <c r="AJ872" s="153" t="s">
        <v>52</v>
      </c>
      <c r="AK872" s="153" t="s">
        <v>18</v>
      </c>
      <c r="AL872" s="153" t="s">
        <v>28</v>
      </c>
      <c r="AM872" s="153" t="s">
        <v>51</v>
      </c>
      <c r="AN872" s="153" t="s">
        <v>331</v>
      </c>
      <c r="AO872" s="153">
        <v>1.1469639552045423</v>
      </c>
    </row>
    <row r="873" spans="29:41">
      <c r="AC873" s="153" t="s">
        <v>52</v>
      </c>
      <c r="AD873" s="153" t="s">
        <v>18</v>
      </c>
      <c r="AE873" s="153" t="s">
        <v>72</v>
      </c>
      <c r="AF873" s="153" t="s">
        <v>51</v>
      </c>
      <c r="AG873" s="153" t="s">
        <v>346</v>
      </c>
      <c r="AH873" s="153">
        <v>3.6858279260181446</v>
      </c>
      <c r="AJ873" s="153" t="s">
        <v>52</v>
      </c>
      <c r="AK873" s="153" t="s">
        <v>18</v>
      </c>
      <c r="AL873" s="153" t="s">
        <v>28</v>
      </c>
      <c r="AM873" s="153" t="s">
        <v>51</v>
      </c>
      <c r="AN873" s="153" t="s">
        <v>332</v>
      </c>
      <c r="AO873" s="153">
        <v>1.165467299106145</v>
      </c>
    </row>
    <row r="874" spans="29:41">
      <c r="AC874" s="153" t="s">
        <v>52</v>
      </c>
      <c r="AD874" s="153" t="s">
        <v>18</v>
      </c>
      <c r="AE874" s="153" t="s">
        <v>72</v>
      </c>
      <c r="AF874" s="153" t="s">
        <v>51</v>
      </c>
      <c r="AG874" s="153" t="s">
        <v>343</v>
      </c>
      <c r="AH874" s="153">
        <v>3.6534718233992534</v>
      </c>
      <c r="AJ874" s="153" t="s">
        <v>52</v>
      </c>
      <c r="AK874" s="153" t="s">
        <v>18</v>
      </c>
      <c r="AL874" s="153" t="s">
        <v>28</v>
      </c>
      <c r="AM874" s="153" t="s">
        <v>51</v>
      </c>
      <c r="AN874" s="153" t="s">
        <v>333</v>
      </c>
      <c r="AO874" s="153">
        <v>1.1726669679850574</v>
      </c>
    </row>
    <row r="875" spans="29:41">
      <c r="AC875" s="153" t="s">
        <v>52</v>
      </c>
      <c r="AD875" s="153" t="s">
        <v>18</v>
      </c>
      <c r="AE875" s="153" t="s">
        <v>72</v>
      </c>
      <c r="AF875" s="153" t="s">
        <v>51</v>
      </c>
      <c r="AG875" s="153" t="s">
        <v>341</v>
      </c>
      <c r="AH875" s="153">
        <v>3.6868237838299476</v>
      </c>
      <c r="AJ875" s="153" t="s">
        <v>52</v>
      </c>
      <c r="AK875" s="153" t="s">
        <v>18</v>
      </c>
      <c r="AL875" s="153" t="s">
        <v>28</v>
      </c>
      <c r="AM875" s="153" t="s">
        <v>51</v>
      </c>
      <c r="AN875" s="153" t="s">
        <v>334</v>
      </c>
      <c r="AO875" s="153">
        <v>1.1476479449839376</v>
      </c>
    </row>
    <row r="876" spans="29:41">
      <c r="AC876" s="153" t="s">
        <v>52</v>
      </c>
      <c r="AD876" s="153" t="s">
        <v>18</v>
      </c>
      <c r="AE876" s="153" t="s">
        <v>72</v>
      </c>
      <c r="AF876" s="153" t="s">
        <v>51</v>
      </c>
      <c r="AG876" s="153" t="s">
        <v>347</v>
      </c>
      <c r="AH876" s="153">
        <v>3.59150520623463</v>
      </c>
      <c r="AJ876" s="153" t="s">
        <v>52</v>
      </c>
      <c r="AK876" s="153" t="s">
        <v>18</v>
      </c>
      <c r="AL876" s="153" t="s">
        <v>28</v>
      </c>
      <c r="AM876" s="153" t="s">
        <v>51</v>
      </c>
      <c r="AN876" s="153" t="s">
        <v>335</v>
      </c>
      <c r="AO876" s="153">
        <v>1.1651294925025324</v>
      </c>
    </row>
    <row r="877" spans="29:41">
      <c r="AC877" s="153" t="s">
        <v>52</v>
      </c>
      <c r="AD877" s="153" t="s">
        <v>18</v>
      </c>
      <c r="AE877" s="153" t="s">
        <v>72</v>
      </c>
      <c r="AF877" s="153" t="s">
        <v>51</v>
      </c>
      <c r="AG877" s="153" t="s">
        <v>348</v>
      </c>
      <c r="AH877" s="153">
        <v>3.6230942695247728</v>
      </c>
      <c r="AJ877" s="153" t="s">
        <v>52</v>
      </c>
      <c r="AK877" s="153" t="s">
        <v>18</v>
      </c>
      <c r="AL877" s="153" t="s">
        <v>28</v>
      </c>
      <c r="AM877" s="153" t="s">
        <v>51</v>
      </c>
      <c r="AN877" s="153" t="s">
        <v>315</v>
      </c>
      <c r="AO877" s="153">
        <v>1.1737796028533749</v>
      </c>
    </row>
    <row r="878" spans="29:41">
      <c r="AC878" s="153" t="s">
        <v>52</v>
      </c>
      <c r="AD878" s="153" t="s">
        <v>18</v>
      </c>
      <c r="AE878" s="153" t="s">
        <v>72</v>
      </c>
      <c r="AF878" s="153" t="s">
        <v>51</v>
      </c>
      <c r="AG878" s="153" t="s">
        <v>349</v>
      </c>
      <c r="AH878" s="153">
        <v>3.7160970281867178</v>
      </c>
      <c r="AJ878" s="153" t="s">
        <v>52</v>
      </c>
      <c r="AK878" s="153" t="s">
        <v>18</v>
      </c>
      <c r="AL878" s="153" t="s">
        <v>28</v>
      </c>
      <c r="AM878" s="153" t="s">
        <v>51</v>
      </c>
      <c r="AN878" s="153" t="s">
        <v>336</v>
      </c>
      <c r="AO878" s="153">
        <v>1.1697226760176551</v>
      </c>
    </row>
    <row r="879" spans="29:41">
      <c r="AC879" s="153" t="s">
        <v>52</v>
      </c>
      <c r="AD879" s="153" t="s">
        <v>18</v>
      </c>
      <c r="AE879" s="153" t="s">
        <v>72</v>
      </c>
      <c r="AF879" s="153" t="s">
        <v>51</v>
      </c>
      <c r="AG879" s="153" t="s">
        <v>350</v>
      </c>
      <c r="AH879" s="153">
        <v>3.7160970281867178</v>
      </c>
      <c r="AJ879" s="153" t="s">
        <v>52</v>
      </c>
      <c r="AK879" s="153" t="s">
        <v>18</v>
      </c>
      <c r="AL879" s="153" t="s">
        <v>28</v>
      </c>
      <c r="AM879" s="153" t="s">
        <v>51</v>
      </c>
      <c r="AN879" s="153" t="s">
        <v>337</v>
      </c>
      <c r="AO879" s="153">
        <v>1.1356887470905803</v>
      </c>
    </row>
    <row r="880" spans="29:41">
      <c r="AC880" s="153" t="s">
        <v>52</v>
      </c>
      <c r="AD880" s="153" t="s">
        <v>18</v>
      </c>
      <c r="AE880" s="153" t="s">
        <v>72</v>
      </c>
      <c r="AF880" s="153" t="s">
        <v>51</v>
      </c>
      <c r="AG880" s="153" t="s">
        <v>351</v>
      </c>
      <c r="AH880" s="153">
        <v>3.7160970281867178</v>
      </c>
      <c r="AJ880" s="153" t="s">
        <v>52</v>
      </c>
      <c r="AK880" s="153" t="s">
        <v>18</v>
      </c>
      <c r="AL880" s="153" t="s">
        <v>28</v>
      </c>
      <c r="AM880" s="153" t="s">
        <v>51</v>
      </c>
      <c r="AN880" s="153" t="s">
        <v>338</v>
      </c>
      <c r="AO880" s="153">
        <v>1.1650581385705781</v>
      </c>
    </row>
    <row r="881" spans="29:41">
      <c r="AC881" s="153" t="s">
        <v>52</v>
      </c>
      <c r="AD881" s="153" t="s">
        <v>18</v>
      </c>
      <c r="AE881" s="153" t="s">
        <v>72</v>
      </c>
      <c r="AF881" s="153" t="s">
        <v>51</v>
      </c>
      <c r="AG881" s="153" t="s">
        <v>352</v>
      </c>
      <c r="AH881" s="153">
        <v>3.6868237838299476</v>
      </c>
      <c r="AJ881" s="153" t="s">
        <v>52</v>
      </c>
      <c r="AK881" s="153" t="s">
        <v>18</v>
      </c>
      <c r="AL881" s="153" t="s">
        <v>28</v>
      </c>
      <c r="AM881" s="153" t="s">
        <v>51</v>
      </c>
      <c r="AN881" s="153" t="s">
        <v>314</v>
      </c>
      <c r="AO881" s="153">
        <v>1.1043179041025981</v>
      </c>
    </row>
    <row r="882" spans="29:41">
      <c r="AC882" s="153" t="s">
        <v>52</v>
      </c>
      <c r="AD882" s="153" t="s">
        <v>18</v>
      </c>
      <c r="AE882" s="153" t="s">
        <v>72</v>
      </c>
      <c r="AF882" s="153" t="s">
        <v>51</v>
      </c>
      <c r="AG882" s="153" t="s">
        <v>353</v>
      </c>
      <c r="AH882" s="153">
        <v>3.6868237838299476</v>
      </c>
      <c r="AJ882" s="153" t="s">
        <v>52</v>
      </c>
      <c r="AK882" s="153" t="s">
        <v>18</v>
      </c>
      <c r="AL882" s="153" t="s">
        <v>28</v>
      </c>
      <c r="AM882" s="153" t="s">
        <v>51</v>
      </c>
      <c r="AN882" s="153" t="s">
        <v>317</v>
      </c>
      <c r="AO882" s="153">
        <v>1.195303848560288</v>
      </c>
    </row>
    <row r="883" spans="29:41">
      <c r="AC883" s="153" t="s">
        <v>52</v>
      </c>
      <c r="AD883" s="153" t="s">
        <v>18</v>
      </c>
      <c r="AE883" s="153" t="s">
        <v>72</v>
      </c>
      <c r="AF883" s="153" t="s">
        <v>51</v>
      </c>
      <c r="AG883" s="153" t="s">
        <v>354</v>
      </c>
      <c r="AH883" s="153">
        <v>3.6858279260181446</v>
      </c>
      <c r="AJ883" s="153" t="s">
        <v>52</v>
      </c>
      <c r="AK883" s="153" t="s">
        <v>18</v>
      </c>
      <c r="AL883" s="153" t="s">
        <v>28</v>
      </c>
      <c r="AM883" s="153" t="s">
        <v>51</v>
      </c>
      <c r="AN883" s="153" t="s">
        <v>344</v>
      </c>
      <c r="AO883" s="153">
        <v>1.1974998460932178</v>
      </c>
    </row>
    <row r="884" spans="29:41">
      <c r="AC884" s="153" t="s">
        <v>52</v>
      </c>
      <c r="AD884" s="153" t="s">
        <v>18</v>
      </c>
      <c r="AE884" s="153" t="s">
        <v>72</v>
      </c>
      <c r="AF884" s="153" t="s">
        <v>51</v>
      </c>
      <c r="AG884" s="153" t="s">
        <v>355</v>
      </c>
      <c r="AH884" s="153">
        <v>3.6230942695247728</v>
      </c>
      <c r="AJ884" s="153" t="s">
        <v>52</v>
      </c>
      <c r="AK884" s="153" t="s">
        <v>18</v>
      </c>
      <c r="AL884" s="153" t="s">
        <v>28</v>
      </c>
      <c r="AM884" s="153" t="s">
        <v>51</v>
      </c>
      <c r="AN884" s="153" t="s">
        <v>342</v>
      </c>
      <c r="AO884" s="153">
        <v>1.0965743570676978</v>
      </c>
    </row>
    <row r="885" spans="29:41">
      <c r="AC885" s="153" t="s">
        <v>52</v>
      </c>
      <c r="AD885" s="153" t="s">
        <v>18</v>
      </c>
      <c r="AE885" s="153" t="s">
        <v>72</v>
      </c>
      <c r="AF885" s="153" t="s">
        <v>51</v>
      </c>
      <c r="AG885" s="153" t="s">
        <v>356</v>
      </c>
      <c r="AH885" s="153">
        <v>3.7191209404595797</v>
      </c>
      <c r="AJ885" s="153" t="s">
        <v>52</v>
      </c>
      <c r="AK885" s="153" t="s">
        <v>18</v>
      </c>
      <c r="AL885" s="153" t="s">
        <v>28</v>
      </c>
      <c r="AM885" s="153" t="s">
        <v>51</v>
      </c>
      <c r="AN885" s="153" t="s">
        <v>345</v>
      </c>
      <c r="AO885" s="153">
        <v>1.1390064735353245</v>
      </c>
    </row>
    <row r="886" spans="29:41">
      <c r="AC886" s="153" t="s">
        <v>52</v>
      </c>
      <c r="AD886" s="153" t="s">
        <v>18</v>
      </c>
      <c r="AE886" s="153" t="s">
        <v>72</v>
      </c>
      <c r="AF886" s="153" t="s">
        <v>51</v>
      </c>
      <c r="AG886" s="153" t="s">
        <v>357</v>
      </c>
      <c r="AH886" s="153">
        <v>3.6565065600402202</v>
      </c>
      <c r="AJ886" s="153" t="s">
        <v>52</v>
      </c>
      <c r="AK886" s="153" t="s">
        <v>18</v>
      </c>
      <c r="AL886" s="153" t="s">
        <v>28</v>
      </c>
      <c r="AM886" s="153" t="s">
        <v>51</v>
      </c>
      <c r="AN886" s="153" t="s">
        <v>346</v>
      </c>
      <c r="AO886" s="153">
        <v>1.1554846029530448</v>
      </c>
    </row>
    <row r="887" spans="29:41">
      <c r="AC887" s="153" t="s">
        <v>52</v>
      </c>
      <c r="AD887" s="153" t="s">
        <v>18</v>
      </c>
      <c r="AE887" s="153" t="s">
        <v>72</v>
      </c>
      <c r="AF887" s="153" t="s">
        <v>51</v>
      </c>
      <c r="AG887" s="153" t="s">
        <v>358</v>
      </c>
      <c r="AH887" s="153">
        <v>3.7191209404595797</v>
      </c>
      <c r="AJ887" s="153" t="s">
        <v>52</v>
      </c>
      <c r="AK887" s="153" t="s">
        <v>18</v>
      </c>
      <c r="AL887" s="153" t="s">
        <v>28</v>
      </c>
      <c r="AM887" s="153" t="s">
        <v>51</v>
      </c>
      <c r="AN887" s="153" t="s">
        <v>343</v>
      </c>
      <c r="AO887" s="153">
        <v>1.1487432205019334</v>
      </c>
    </row>
    <row r="888" spans="29:41">
      <c r="AC888" s="153" t="s">
        <v>52</v>
      </c>
      <c r="AD888" s="153" t="s">
        <v>18</v>
      </c>
      <c r="AE888" s="153" t="s">
        <v>72</v>
      </c>
      <c r="AF888" s="153" t="s">
        <v>51</v>
      </c>
      <c r="AG888" s="153" t="s">
        <v>359</v>
      </c>
      <c r="AH888" s="153">
        <v>3.7191209404595797</v>
      </c>
      <c r="AJ888" s="153" t="s">
        <v>52</v>
      </c>
      <c r="AK888" s="153" t="s">
        <v>18</v>
      </c>
      <c r="AL888" s="153" t="s">
        <v>28</v>
      </c>
      <c r="AM888" s="153" t="s">
        <v>51</v>
      </c>
      <c r="AN888" s="153" t="s">
        <v>341</v>
      </c>
      <c r="AO888" s="153">
        <v>1.204693507886218</v>
      </c>
    </row>
    <row r="889" spans="29:41">
      <c r="AC889" s="153" t="s">
        <v>52</v>
      </c>
      <c r="AD889" s="153" t="s">
        <v>18</v>
      </c>
      <c r="AE889" s="153" t="s">
        <v>72</v>
      </c>
      <c r="AF889" s="153" t="s">
        <v>51</v>
      </c>
      <c r="AG889" s="153" t="s">
        <v>360</v>
      </c>
      <c r="AH889" s="153">
        <v>3.7493301282064344</v>
      </c>
      <c r="AJ889" s="153" t="s">
        <v>52</v>
      </c>
      <c r="AK889" s="153" t="s">
        <v>18</v>
      </c>
      <c r="AL889" s="153" t="s">
        <v>28</v>
      </c>
      <c r="AM889" s="153" t="s">
        <v>51</v>
      </c>
      <c r="AN889" s="153" t="s">
        <v>347</v>
      </c>
      <c r="AO889" s="153">
        <v>1.1626887289739798</v>
      </c>
    </row>
    <row r="890" spans="29:41">
      <c r="AC890" s="153" t="s">
        <v>52</v>
      </c>
      <c r="AD890" s="153" t="s">
        <v>18</v>
      </c>
      <c r="AE890" s="153" t="s">
        <v>72</v>
      </c>
      <c r="AF890" s="153" t="s">
        <v>51</v>
      </c>
      <c r="AG890" s="153" t="s">
        <v>361</v>
      </c>
      <c r="AH890" s="153">
        <v>3.7191209404595797</v>
      </c>
      <c r="AJ890" s="153" t="s">
        <v>52</v>
      </c>
      <c r="AK890" s="153" t="s">
        <v>18</v>
      </c>
      <c r="AL890" s="153" t="s">
        <v>28</v>
      </c>
      <c r="AM890" s="153" t="s">
        <v>51</v>
      </c>
      <c r="AN890" s="153" t="s">
        <v>348</v>
      </c>
      <c r="AO890" s="153">
        <v>1.0673555571406728</v>
      </c>
    </row>
    <row r="891" spans="29:41">
      <c r="AC891" s="153" t="s">
        <v>52</v>
      </c>
      <c r="AD891" s="153" t="s">
        <v>18</v>
      </c>
      <c r="AE891" s="153" t="s">
        <v>72</v>
      </c>
      <c r="AF891" s="153" t="s">
        <v>51</v>
      </c>
      <c r="AG891" s="153" t="s">
        <v>362</v>
      </c>
      <c r="AH891" s="153">
        <v>3.7824974689009494</v>
      </c>
      <c r="AJ891" s="153" t="s">
        <v>52</v>
      </c>
      <c r="AK891" s="153" t="s">
        <v>18</v>
      </c>
      <c r="AL891" s="153" t="s">
        <v>28</v>
      </c>
      <c r="AM891" s="153" t="s">
        <v>51</v>
      </c>
      <c r="AN891" s="153" t="s">
        <v>349</v>
      </c>
      <c r="AO891" s="153">
        <v>1.1539520156768075</v>
      </c>
    </row>
    <row r="892" spans="29:41">
      <c r="AC892" s="153" t="s">
        <v>52</v>
      </c>
      <c r="AD892" s="153" t="s">
        <v>18</v>
      </c>
      <c r="AE892" s="153" t="s">
        <v>72</v>
      </c>
      <c r="AF892" s="153" t="s">
        <v>51</v>
      </c>
      <c r="AG892" s="153" t="s">
        <v>363</v>
      </c>
      <c r="AH892" s="153">
        <v>3.7493301282064344</v>
      </c>
      <c r="AJ892" s="153" t="s">
        <v>52</v>
      </c>
      <c r="AK892" s="153" t="s">
        <v>18</v>
      </c>
      <c r="AL892" s="153" t="s">
        <v>28</v>
      </c>
      <c r="AM892" s="153" t="s">
        <v>51</v>
      </c>
      <c r="AN892" s="153" t="s">
        <v>350</v>
      </c>
      <c r="AO892" s="153">
        <v>1.1127576419349978</v>
      </c>
    </row>
    <row r="893" spans="29:41">
      <c r="AC893" s="153" t="s">
        <v>52</v>
      </c>
      <c r="AD893" s="153" t="s">
        <v>18</v>
      </c>
      <c r="AE893" s="153" t="s">
        <v>72</v>
      </c>
      <c r="AF893" s="153" t="s">
        <v>51</v>
      </c>
      <c r="AG893" s="153" t="s">
        <v>364</v>
      </c>
      <c r="AH893" s="153">
        <v>3.812592661796018</v>
      </c>
      <c r="AJ893" s="153" t="s">
        <v>52</v>
      </c>
      <c r="AK893" s="153" t="s">
        <v>18</v>
      </c>
      <c r="AL893" s="153" t="s">
        <v>28</v>
      </c>
      <c r="AM893" s="153" t="s">
        <v>51</v>
      </c>
      <c r="AN893" s="153" t="s">
        <v>351</v>
      </c>
      <c r="AO893" s="153">
        <v>1.1717916759041775</v>
      </c>
    </row>
    <row r="894" spans="29:41">
      <c r="AC894" s="153" t="s">
        <v>52</v>
      </c>
      <c r="AD894" s="153" t="s">
        <v>18</v>
      </c>
      <c r="AE894" s="153" t="s">
        <v>72</v>
      </c>
      <c r="AF894" s="153" t="s">
        <v>51</v>
      </c>
      <c r="AG894" s="153" t="s">
        <v>365</v>
      </c>
      <c r="AH894" s="153">
        <v>3.812592661796018</v>
      </c>
      <c r="AJ894" s="153" t="s">
        <v>52</v>
      </c>
      <c r="AK894" s="153" t="s">
        <v>18</v>
      </c>
      <c r="AL894" s="153" t="s">
        <v>28</v>
      </c>
      <c r="AM894" s="153" t="s">
        <v>51</v>
      </c>
      <c r="AN894" s="153" t="s">
        <v>352</v>
      </c>
      <c r="AO894" s="153">
        <v>1.1418577916030577</v>
      </c>
    </row>
    <row r="895" spans="29:41">
      <c r="AC895" s="153" t="s">
        <v>52</v>
      </c>
      <c r="AD895" s="153" t="s">
        <v>18</v>
      </c>
      <c r="AE895" s="153" t="s">
        <v>72</v>
      </c>
      <c r="AF895" s="153" t="s">
        <v>51</v>
      </c>
      <c r="AG895" s="153" t="s">
        <v>366</v>
      </c>
      <c r="AH895" s="153">
        <v>3.812592661796018</v>
      </c>
      <c r="AJ895" s="153" t="s">
        <v>52</v>
      </c>
      <c r="AK895" s="153" t="s">
        <v>18</v>
      </c>
      <c r="AL895" s="153" t="s">
        <v>28</v>
      </c>
      <c r="AM895" s="153" t="s">
        <v>51</v>
      </c>
      <c r="AN895" s="153" t="s">
        <v>353</v>
      </c>
      <c r="AO895" s="153">
        <v>1.1327942367030379</v>
      </c>
    </row>
    <row r="896" spans="29:41">
      <c r="AC896" s="153" t="s">
        <v>52</v>
      </c>
      <c r="AD896" s="153" t="s">
        <v>18</v>
      </c>
      <c r="AE896" s="153" t="s">
        <v>72</v>
      </c>
      <c r="AF896" s="153" t="s">
        <v>51</v>
      </c>
      <c r="AG896" s="153" t="s">
        <v>367</v>
      </c>
      <c r="AH896" s="153">
        <v>3.8124950348616728</v>
      </c>
      <c r="AJ896" s="153" t="s">
        <v>52</v>
      </c>
      <c r="AK896" s="153" t="s">
        <v>18</v>
      </c>
      <c r="AL896" s="153" t="s">
        <v>28</v>
      </c>
      <c r="AM896" s="153" t="s">
        <v>51</v>
      </c>
      <c r="AN896" s="153" t="s">
        <v>354</v>
      </c>
      <c r="AO896" s="153">
        <v>1.1501611814590746</v>
      </c>
    </row>
    <row r="897" spans="29:41">
      <c r="AC897" s="153" t="s">
        <v>52</v>
      </c>
      <c r="AD897" s="153" t="s">
        <v>18</v>
      </c>
      <c r="AE897" s="153" t="s">
        <v>72</v>
      </c>
      <c r="AF897" s="153" t="s">
        <v>51</v>
      </c>
      <c r="AG897" s="153" t="s">
        <v>368</v>
      </c>
      <c r="AH897" s="153">
        <v>3.812592661796018</v>
      </c>
      <c r="AJ897" s="153" t="s">
        <v>52</v>
      </c>
      <c r="AK897" s="153" t="s">
        <v>18</v>
      </c>
      <c r="AL897" s="153" t="s">
        <v>28</v>
      </c>
      <c r="AM897" s="153" t="s">
        <v>51</v>
      </c>
      <c r="AN897" s="153" t="s">
        <v>416</v>
      </c>
      <c r="AO897" s="153">
        <v>1.1501611814590746</v>
      </c>
    </row>
    <row r="898" spans="29:41">
      <c r="AC898" s="153" t="s">
        <v>52</v>
      </c>
      <c r="AD898" s="153" t="s">
        <v>18</v>
      </c>
      <c r="AE898" s="153" t="s">
        <v>72</v>
      </c>
      <c r="AF898" s="153" t="s">
        <v>51</v>
      </c>
      <c r="AG898" s="153" t="s">
        <v>369</v>
      </c>
      <c r="AH898" s="153">
        <v>3.8124950348616728</v>
      </c>
      <c r="AJ898" s="153" t="s">
        <v>52</v>
      </c>
      <c r="AK898" s="153" t="s">
        <v>18</v>
      </c>
      <c r="AL898" s="153" t="s">
        <v>28</v>
      </c>
      <c r="AM898" s="153" t="s">
        <v>51</v>
      </c>
      <c r="AN898" s="153" t="s">
        <v>355</v>
      </c>
      <c r="AO898" s="153">
        <v>1.1294860575128729</v>
      </c>
    </row>
    <row r="899" spans="29:41">
      <c r="AC899" s="153" t="s">
        <v>52</v>
      </c>
      <c r="AD899" s="153" t="s">
        <v>18</v>
      </c>
      <c r="AE899" s="153" t="s">
        <v>72</v>
      </c>
      <c r="AF899" s="153" t="s">
        <v>51</v>
      </c>
      <c r="AG899" s="153" t="s">
        <v>370</v>
      </c>
      <c r="AH899" s="153">
        <v>3.7493301282064344</v>
      </c>
      <c r="AJ899" s="153" t="s">
        <v>52</v>
      </c>
      <c r="AK899" s="153" t="s">
        <v>18</v>
      </c>
      <c r="AL899" s="153" t="s">
        <v>28</v>
      </c>
      <c r="AM899" s="153" t="s">
        <v>51</v>
      </c>
      <c r="AN899" s="153" t="s">
        <v>356</v>
      </c>
      <c r="AO899" s="153">
        <v>1.1632098000119198</v>
      </c>
    </row>
    <row r="900" spans="29:41">
      <c r="AC900" s="153" t="s">
        <v>52</v>
      </c>
      <c r="AD900" s="153" t="s">
        <v>18</v>
      </c>
      <c r="AE900" s="153" t="s">
        <v>72</v>
      </c>
      <c r="AF900" s="153" t="s">
        <v>51</v>
      </c>
      <c r="AG900" s="153" t="s">
        <v>371</v>
      </c>
      <c r="AH900" s="153">
        <v>3.7493301282064344</v>
      </c>
      <c r="AJ900" s="153" t="s">
        <v>52</v>
      </c>
      <c r="AK900" s="153" t="s">
        <v>18</v>
      </c>
      <c r="AL900" s="153" t="s">
        <v>28</v>
      </c>
      <c r="AM900" s="153" t="s">
        <v>51</v>
      </c>
      <c r="AN900" s="153" t="s">
        <v>357</v>
      </c>
      <c r="AO900" s="153">
        <v>1.1291519868127</v>
      </c>
    </row>
    <row r="901" spans="29:41">
      <c r="AC901" s="153" t="s">
        <v>52</v>
      </c>
      <c r="AD901" s="153" t="s">
        <v>18</v>
      </c>
      <c r="AE901" s="153" t="s">
        <v>72</v>
      </c>
      <c r="AF901" s="153" t="s">
        <v>51</v>
      </c>
      <c r="AG901" s="153" t="s">
        <v>372</v>
      </c>
      <c r="AH901" s="153">
        <v>3.7824974689009494</v>
      </c>
      <c r="AJ901" s="153" t="s">
        <v>52</v>
      </c>
      <c r="AK901" s="153" t="s">
        <v>18</v>
      </c>
      <c r="AL901" s="153" t="s">
        <v>28</v>
      </c>
      <c r="AM901" s="153" t="s">
        <v>51</v>
      </c>
      <c r="AN901" s="153" t="s">
        <v>358</v>
      </c>
      <c r="AO901" s="153">
        <v>1.1031095535582995</v>
      </c>
    </row>
    <row r="902" spans="29:41">
      <c r="AC902" s="153" t="s">
        <v>52</v>
      </c>
      <c r="AD902" s="153" t="s">
        <v>18</v>
      </c>
      <c r="AE902" s="153" t="s">
        <v>72</v>
      </c>
      <c r="AF902" s="153" t="s">
        <v>51</v>
      </c>
      <c r="AG902" s="153" t="s">
        <v>373</v>
      </c>
      <c r="AH902" s="153">
        <v>3.812592661796018</v>
      </c>
      <c r="AJ902" s="153" t="s">
        <v>52</v>
      </c>
      <c r="AK902" s="153" t="s">
        <v>18</v>
      </c>
      <c r="AL902" s="153" t="s">
        <v>28</v>
      </c>
      <c r="AM902" s="153" t="s">
        <v>51</v>
      </c>
      <c r="AN902" s="153" t="s">
        <v>359</v>
      </c>
      <c r="AO902" s="153">
        <v>1.0819342645385497</v>
      </c>
    </row>
    <row r="903" spans="29:41">
      <c r="AC903" s="153" t="s">
        <v>52</v>
      </c>
      <c r="AD903" s="153" t="s">
        <v>18</v>
      </c>
      <c r="AE903" s="153" t="s">
        <v>72</v>
      </c>
      <c r="AF903" s="153" t="s">
        <v>51</v>
      </c>
      <c r="AG903" s="153" t="s">
        <v>374</v>
      </c>
      <c r="AH903" s="153">
        <v>3.8124950348616728</v>
      </c>
      <c r="AJ903" s="153" t="s">
        <v>52</v>
      </c>
      <c r="AK903" s="153" t="s">
        <v>18</v>
      </c>
      <c r="AL903" s="153" t="s">
        <v>28</v>
      </c>
      <c r="AM903" s="153" t="s">
        <v>51</v>
      </c>
      <c r="AN903" s="153" t="s">
        <v>360</v>
      </c>
      <c r="AO903" s="153">
        <v>1.1452985096947046</v>
      </c>
    </row>
    <row r="904" spans="29:41">
      <c r="AC904" s="153" t="s">
        <v>52</v>
      </c>
      <c r="AD904" s="153" t="s">
        <v>18</v>
      </c>
      <c r="AE904" s="153" t="s">
        <v>72</v>
      </c>
      <c r="AF904" s="153" t="s">
        <v>51</v>
      </c>
      <c r="AG904" s="153" t="s">
        <v>375</v>
      </c>
      <c r="AH904" s="153">
        <v>3.8124950348616728</v>
      </c>
      <c r="AJ904" s="153" t="s">
        <v>52</v>
      </c>
      <c r="AK904" s="153" t="s">
        <v>18</v>
      </c>
      <c r="AL904" s="153" t="s">
        <v>28</v>
      </c>
      <c r="AM904" s="153" t="s">
        <v>51</v>
      </c>
      <c r="AN904" s="153" t="s">
        <v>361</v>
      </c>
      <c r="AO904" s="153">
        <v>1.0734772274428099</v>
      </c>
    </row>
    <row r="905" spans="29:41">
      <c r="AC905" s="153" t="s">
        <v>52</v>
      </c>
      <c r="AD905" s="153" t="s">
        <v>18</v>
      </c>
      <c r="AE905" s="153" t="s">
        <v>72</v>
      </c>
      <c r="AF905" s="153" t="s">
        <v>51</v>
      </c>
      <c r="AG905" s="153" t="s">
        <v>376</v>
      </c>
      <c r="AH905" s="153">
        <v>3.7824974689009494</v>
      </c>
      <c r="AJ905" s="153" t="s">
        <v>52</v>
      </c>
      <c r="AK905" s="153" t="s">
        <v>18</v>
      </c>
      <c r="AL905" s="153" t="s">
        <v>28</v>
      </c>
      <c r="AM905" s="153" t="s">
        <v>51</v>
      </c>
      <c r="AN905" s="153" t="s">
        <v>362</v>
      </c>
      <c r="AO905" s="153">
        <v>1.102781518107889</v>
      </c>
    </row>
    <row r="906" spans="29:41">
      <c r="AC906" s="153" t="s">
        <v>52</v>
      </c>
      <c r="AD906" s="153" t="s">
        <v>18</v>
      </c>
      <c r="AE906" s="153" t="s">
        <v>72</v>
      </c>
      <c r="AF906" s="153" t="s">
        <v>51</v>
      </c>
      <c r="AG906" s="153" t="s">
        <v>377</v>
      </c>
      <c r="AH906" s="153">
        <v>3.6888572908327415</v>
      </c>
      <c r="AJ906" s="153" t="s">
        <v>52</v>
      </c>
      <c r="AK906" s="153" t="s">
        <v>18</v>
      </c>
      <c r="AL906" s="153" t="s">
        <v>28</v>
      </c>
      <c r="AM906" s="153" t="s">
        <v>51</v>
      </c>
      <c r="AN906" s="153" t="s">
        <v>363</v>
      </c>
      <c r="AO906" s="153">
        <v>1.1175054484595845</v>
      </c>
    </row>
    <row r="907" spans="29:41">
      <c r="AC907" s="153" t="s">
        <v>52</v>
      </c>
      <c r="AD907" s="153" t="s">
        <v>18</v>
      </c>
      <c r="AE907" s="153" t="s">
        <v>72</v>
      </c>
      <c r="AF907" s="153" t="s">
        <v>51</v>
      </c>
      <c r="AG907" s="153" t="s">
        <v>378</v>
      </c>
      <c r="AH907" s="153">
        <v>3.7201095290272148</v>
      </c>
      <c r="AJ907" s="153" t="s">
        <v>52</v>
      </c>
      <c r="AK907" s="153" t="s">
        <v>18</v>
      </c>
      <c r="AL907" s="153" t="s">
        <v>28</v>
      </c>
      <c r="AM907" s="153" t="s">
        <v>51</v>
      </c>
      <c r="AN907" s="153" t="s">
        <v>364</v>
      </c>
      <c r="AO907" s="153">
        <v>1.1132765796288584</v>
      </c>
    </row>
    <row r="908" spans="29:41">
      <c r="AC908" s="153" t="s">
        <v>52</v>
      </c>
      <c r="AD908" s="153" t="s">
        <v>18</v>
      </c>
      <c r="AE908" s="153" t="s">
        <v>72</v>
      </c>
      <c r="AF908" s="153" t="s">
        <v>51</v>
      </c>
      <c r="AG908" s="153" t="s">
        <v>379</v>
      </c>
      <c r="AH908" s="153">
        <v>3.6565065600402202</v>
      </c>
      <c r="AJ908" s="153" t="s">
        <v>52</v>
      </c>
      <c r="AK908" s="153" t="s">
        <v>18</v>
      </c>
      <c r="AL908" s="153" t="s">
        <v>28</v>
      </c>
      <c r="AM908" s="153" t="s">
        <v>51</v>
      </c>
      <c r="AN908" s="153" t="s">
        <v>365</v>
      </c>
      <c r="AO908" s="153">
        <v>1.1038925167043583</v>
      </c>
    </row>
    <row r="909" spans="29:41">
      <c r="AC909" s="153" t="s">
        <v>52</v>
      </c>
      <c r="AD909" s="153" t="s">
        <v>18</v>
      </c>
      <c r="AE909" s="153" t="s">
        <v>72</v>
      </c>
      <c r="AF909" s="153" t="s">
        <v>51</v>
      </c>
      <c r="AG909" s="153" t="s">
        <v>380</v>
      </c>
      <c r="AH909" s="153">
        <v>3.6261344965465785</v>
      </c>
      <c r="AJ909" s="153" t="s">
        <v>52</v>
      </c>
      <c r="AK909" s="153" t="s">
        <v>18</v>
      </c>
      <c r="AL909" s="153" t="s">
        <v>28</v>
      </c>
      <c r="AM909" s="153" t="s">
        <v>51</v>
      </c>
      <c r="AN909" s="153" t="s">
        <v>366</v>
      </c>
      <c r="AO909" s="153">
        <v>1.071406888145588</v>
      </c>
    </row>
    <row r="910" spans="29:41">
      <c r="AC910" s="153" t="s">
        <v>52</v>
      </c>
      <c r="AD910" s="153" t="s">
        <v>18</v>
      </c>
      <c r="AE910" s="153" t="s">
        <v>72</v>
      </c>
      <c r="AF910" s="153" t="s">
        <v>51</v>
      </c>
      <c r="AG910" s="153" t="s">
        <v>381</v>
      </c>
      <c r="AH910" s="153">
        <v>3.5926617476217717</v>
      </c>
      <c r="AJ910" s="153" t="s">
        <v>52</v>
      </c>
      <c r="AK910" s="153" t="s">
        <v>18</v>
      </c>
      <c r="AL910" s="153" t="s">
        <v>28</v>
      </c>
      <c r="AM910" s="153" t="s">
        <v>51</v>
      </c>
      <c r="AN910" s="153" t="s">
        <v>367</v>
      </c>
      <c r="AO910" s="153">
        <v>1.0822836916013732</v>
      </c>
    </row>
    <row r="911" spans="29:41">
      <c r="AC911" s="153" t="s">
        <v>52</v>
      </c>
      <c r="AD911" s="153" t="s">
        <v>18</v>
      </c>
      <c r="AE911" s="153" t="s">
        <v>72</v>
      </c>
      <c r="AF911" s="153" t="s">
        <v>51</v>
      </c>
      <c r="AG911" s="153" t="s">
        <v>382</v>
      </c>
      <c r="AH911" s="153">
        <v>3.6261344965465785</v>
      </c>
      <c r="AJ911" s="153" t="s">
        <v>52</v>
      </c>
      <c r="AK911" s="153" t="s">
        <v>18</v>
      </c>
      <c r="AL911" s="153" t="s">
        <v>28</v>
      </c>
      <c r="AM911" s="153" t="s">
        <v>51</v>
      </c>
      <c r="AN911" s="153" t="s">
        <v>368</v>
      </c>
      <c r="AO911" s="153">
        <v>1.0637258915736481</v>
      </c>
    </row>
    <row r="912" spans="29:41">
      <c r="AC912" s="153" t="s">
        <v>52</v>
      </c>
      <c r="AD912" s="153" t="s">
        <v>18</v>
      </c>
      <c r="AE912" s="153" t="s">
        <v>72</v>
      </c>
      <c r="AF912" s="153" t="s">
        <v>51</v>
      </c>
      <c r="AG912" s="153" t="s">
        <v>383</v>
      </c>
      <c r="AH912" s="153">
        <v>3.6261344965465785</v>
      </c>
      <c r="AJ912" s="153" t="s">
        <v>52</v>
      </c>
      <c r="AK912" s="153" t="s">
        <v>18</v>
      </c>
      <c r="AL912" s="153" t="s">
        <v>28</v>
      </c>
      <c r="AM912" s="153" t="s">
        <v>51</v>
      </c>
      <c r="AN912" s="153" t="s">
        <v>369</v>
      </c>
      <c r="AO912" s="153">
        <v>1.1135870429965131</v>
      </c>
    </row>
    <row r="913" spans="29:41">
      <c r="AC913" s="153" t="s">
        <v>52</v>
      </c>
      <c r="AD913" s="153" t="s">
        <v>18</v>
      </c>
      <c r="AE913" s="153" t="s">
        <v>72</v>
      </c>
      <c r="AF913" s="153" t="s">
        <v>51</v>
      </c>
      <c r="AG913" s="153" t="s">
        <v>384</v>
      </c>
      <c r="AH913" s="153">
        <v>3.6261344965465785</v>
      </c>
      <c r="AJ913" s="153" t="s">
        <v>52</v>
      </c>
      <c r="AK913" s="153" t="s">
        <v>18</v>
      </c>
      <c r="AL913" s="153" t="s">
        <v>28</v>
      </c>
      <c r="AM913" s="153" t="s">
        <v>51</v>
      </c>
      <c r="AN913" s="153" t="s">
        <v>370</v>
      </c>
      <c r="AO913" s="153">
        <v>1.0985656070168845</v>
      </c>
    </row>
    <row r="914" spans="29:41">
      <c r="AC914" s="153" t="s">
        <v>52</v>
      </c>
      <c r="AD914" s="153" t="s">
        <v>18</v>
      </c>
      <c r="AE914" s="153" t="s">
        <v>72</v>
      </c>
      <c r="AF914" s="153" t="s">
        <v>51</v>
      </c>
      <c r="AG914" s="153" t="s">
        <v>385</v>
      </c>
      <c r="AH914" s="153">
        <v>3.5926617476217717</v>
      </c>
      <c r="AJ914" s="153" t="s">
        <v>52</v>
      </c>
      <c r="AK914" s="153" t="s">
        <v>18</v>
      </c>
      <c r="AL914" s="153" t="s">
        <v>28</v>
      </c>
      <c r="AM914" s="153" t="s">
        <v>51</v>
      </c>
      <c r="AN914" s="153" t="s">
        <v>371</v>
      </c>
      <c r="AO914" s="153">
        <v>1.1049866241159743</v>
      </c>
    </row>
    <row r="915" spans="29:41">
      <c r="AC915" s="153" t="s">
        <v>52</v>
      </c>
      <c r="AD915" s="153" t="s">
        <v>18</v>
      </c>
      <c r="AE915" s="153" t="s">
        <v>72</v>
      </c>
      <c r="AF915" s="153" t="s">
        <v>51</v>
      </c>
      <c r="AG915" s="153" t="s">
        <v>386</v>
      </c>
      <c r="AH915" s="153">
        <v>3.5621741407473531</v>
      </c>
      <c r="AJ915" s="153" t="s">
        <v>52</v>
      </c>
      <c r="AK915" s="153" t="s">
        <v>18</v>
      </c>
      <c r="AL915" s="153" t="s">
        <v>28</v>
      </c>
      <c r="AM915" s="153" t="s">
        <v>51</v>
      </c>
      <c r="AN915" s="153" t="s">
        <v>372</v>
      </c>
      <c r="AO915" s="153">
        <v>1.0825170272663993</v>
      </c>
    </row>
    <row r="916" spans="29:41">
      <c r="AC916" s="153" t="s">
        <v>52</v>
      </c>
      <c r="AD916" s="153" t="s">
        <v>18</v>
      </c>
      <c r="AE916" s="153" t="s">
        <v>72</v>
      </c>
      <c r="AF916" s="153" t="s">
        <v>51</v>
      </c>
      <c r="AG916" s="153" t="s">
        <v>387</v>
      </c>
      <c r="AH916" s="153">
        <v>3.5926617476217717</v>
      </c>
      <c r="AJ916" s="153" t="s">
        <v>52</v>
      </c>
      <c r="AK916" s="153" t="s">
        <v>18</v>
      </c>
      <c r="AL916" s="153" t="s">
        <v>28</v>
      </c>
      <c r="AM916" s="153" t="s">
        <v>51</v>
      </c>
      <c r="AN916" s="153" t="s">
        <v>373</v>
      </c>
      <c r="AO916" s="153">
        <v>1.0944246665761481</v>
      </c>
    </row>
    <row r="917" spans="29:41">
      <c r="AC917" s="153" t="s">
        <v>52</v>
      </c>
      <c r="AD917" s="153" t="s">
        <v>18</v>
      </c>
      <c r="AE917" s="153" t="s">
        <v>72</v>
      </c>
      <c r="AF917" s="153" t="s">
        <v>51</v>
      </c>
      <c r="AG917" s="153" t="s">
        <v>388</v>
      </c>
      <c r="AH917" s="153">
        <v>3.6261344965465785</v>
      </c>
      <c r="AJ917" s="153" t="s">
        <v>52</v>
      </c>
      <c r="AK917" s="153" t="s">
        <v>18</v>
      </c>
      <c r="AL917" s="153" t="s">
        <v>28</v>
      </c>
      <c r="AM917" s="153" t="s">
        <v>51</v>
      </c>
      <c r="AN917" s="153" t="s">
        <v>374</v>
      </c>
      <c r="AO917" s="153">
        <v>1.1466483127256129</v>
      </c>
    </row>
    <row r="918" spans="29:41">
      <c r="AC918" s="153" t="s">
        <v>52</v>
      </c>
      <c r="AD918" s="153" t="s">
        <v>18</v>
      </c>
      <c r="AE918" s="153" t="s">
        <v>72</v>
      </c>
      <c r="AF918" s="153" t="s">
        <v>51</v>
      </c>
      <c r="AG918" s="153" t="s">
        <v>389</v>
      </c>
      <c r="AH918" s="153">
        <v>3.5926617476217717</v>
      </c>
      <c r="AJ918" s="153" t="s">
        <v>52</v>
      </c>
      <c r="AK918" s="153" t="s">
        <v>18</v>
      </c>
      <c r="AL918" s="153" t="s">
        <v>28</v>
      </c>
      <c r="AM918" s="153" t="s">
        <v>51</v>
      </c>
      <c r="AN918" s="153" t="s">
        <v>417</v>
      </c>
      <c r="AO918" s="153">
        <v>1.1466483127256129</v>
      </c>
    </row>
    <row r="919" spans="29:41">
      <c r="AC919" s="153" t="s">
        <v>52</v>
      </c>
      <c r="AD919" s="153" t="s">
        <v>18</v>
      </c>
      <c r="AE919" s="153" t="s">
        <v>72</v>
      </c>
      <c r="AF919" s="153" t="s">
        <v>51</v>
      </c>
      <c r="AG919" s="153" t="s">
        <v>418</v>
      </c>
      <c r="AH919" s="153">
        <v>3.6261344965465785</v>
      </c>
      <c r="AJ919" s="153" t="s">
        <v>52</v>
      </c>
      <c r="AK919" s="153" t="s">
        <v>18</v>
      </c>
      <c r="AL919" s="153" t="s">
        <v>28</v>
      </c>
      <c r="AM919" s="153" t="s">
        <v>51</v>
      </c>
      <c r="AN919" s="153" t="s">
        <v>375</v>
      </c>
      <c r="AO919" s="153">
        <v>1.1340377116418034</v>
      </c>
    </row>
    <row r="920" spans="29:41">
      <c r="AC920" s="153" t="s">
        <v>52</v>
      </c>
      <c r="AD920" s="153" t="s">
        <v>18</v>
      </c>
      <c r="AE920" s="153" t="s">
        <v>72</v>
      </c>
      <c r="AF920" s="153" t="s">
        <v>51</v>
      </c>
      <c r="AG920" s="153" t="s">
        <v>390</v>
      </c>
      <c r="AH920" s="153">
        <v>3.6261344965465785</v>
      </c>
      <c r="AJ920" s="153" t="s">
        <v>52</v>
      </c>
      <c r="AK920" s="153" t="s">
        <v>18</v>
      </c>
      <c r="AL920" s="153" t="s">
        <v>28</v>
      </c>
      <c r="AM920" s="153" t="s">
        <v>51</v>
      </c>
      <c r="AN920" s="153" t="s">
        <v>376</v>
      </c>
      <c r="AO920" s="153">
        <v>1.2006436348505196</v>
      </c>
    </row>
    <row r="921" spans="29:41">
      <c r="AC921" s="153" t="s">
        <v>52</v>
      </c>
      <c r="AD921" s="153" t="s">
        <v>18</v>
      </c>
      <c r="AE921" s="153" t="s">
        <v>72</v>
      </c>
      <c r="AF921" s="153" t="s">
        <v>51</v>
      </c>
      <c r="AG921" s="153" t="s">
        <v>419</v>
      </c>
      <c r="AH921" s="153">
        <v>3.6888572908327415</v>
      </c>
      <c r="AJ921" s="153" t="s">
        <v>52</v>
      </c>
      <c r="AK921" s="153" t="s">
        <v>18</v>
      </c>
      <c r="AL921" s="153" t="s">
        <v>28</v>
      </c>
      <c r="AM921" s="153" t="s">
        <v>51</v>
      </c>
      <c r="AN921" s="153" t="s">
        <v>377</v>
      </c>
      <c r="AO921" s="153">
        <v>1.0956440195352115</v>
      </c>
    </row>
    <row r="922" spans="29:41">
      <c r="AC922" s="153" t="s">
        <v>52</v>
      </c>
      <c r="AD922" s="153" t="s">
        <v>18</v>
      </c>
      <c r="AE922" s="153" t="s">
        <v>72</v>
      </c>
      <c r="AF922" s="153" t="s">
        <v>51</v>
      </c>
      <c r="AG922" s="153" t="s">
        <v>391</v>
      </c>
      <c r="AH922" s="153">
        <v>3.7201095290272148</v>
      </c>
      <c r="AJ922" s="153" t="s">
        <v>52</v>
      </c>
      <c r="AK922" s="153" t="s">
        <v>18</v>
      </c>
      <c r="AL922" s="153" t="s">
        <v>28</v>
      </c>
      <c r="AM922" s="153" t="s">
        <v>51</v>
      </c>
      <c r="AN922" s="153" t="s">
        <v>378</v>
      </c>
      <c r="AO922" s="153">
        <v>1.1803473736778651</v>
      </c>
    </row>
    <row r="923" spans="29:41">
      <c r="AC923" s="153" t="s">
        <v>52</v>
      </c>
      <c r="AD923" s="153" t="s">
        <v>18</v>
      </c>
      <c r="AE923" s="153" t="s">
        <v>72</v>
      </c>
      <c r="AF923" s="153" t="s">
        <v>51</v>
      </c>
      <c r="AG923" s="153" t="s">
        <v>392</v>
      </c>
      <c r="AH923" s="153">
        <v>3.6868237838299476</v>
      </c>
      <c r="AJ923" s="153" t="s">
        <v>52</v>
      </c>
      <c r="AK923" s="153" t="s">
        <v>18</v>
      </c>
      <c r="AL923" s="153" t="s">
        <v>28</v>
      </c>
      <c r="AM923" s="153" t="s">
        <v>51</v>
      </c>
      <c r="AN923" s="153" t="s">
        <v>379</v>
      </c>
      <c r="AO923" s="153">
        <v>1.1210936494456198</v>
      </c>
    </row>
    <row r="924" spans="29:41">
      <c r="AC924" s="153" t="s">
        <v>52</v>
      </c>
      <c r="AD924" s="153" t="s">
        <v>18</v>
      </c>
      <c r="AE924" s="153" t="s">
        <v>72</v>
      </c>
      <c r="AF924" s="153" t="s">
        <v>51</v>
      </c>
      <c r="AG924" s="153" t="s">
        <v>393</v>
      </c>
      <c r="AH924" s="153">
        <v>3.6565065600402202</v>
      </c>
      <c r="AJ924" s="153" t="s">
        <v>52</v>
      </c>
      <c r="AK924" s="153" t="s">
        <v>18</v>
      </c>
      <c r="AL924" s="153" t="s">
        <v>28</v>
      </c>
      <c r="AM924" s="153" t="s">
        <v>51</v>
      </c>
      <c r="AN924" s="153" t="s">
        <v>380</v>
      </c>
      <c r="AO924" s="153">
        <v>1.0989313991876983</v>
      </c>
    </row>
    <row r="925" spans="29:41">
      <c r="AC925" s="153" t="s">
        <v>52</v>
      </c>
      <c r="AD925" s="153" t="s">
        <v>18</v>
      </c>
      <c r="AE925" s="153" t="s">
        <v>72</v>
      </c>
      <c r="AF925" s="153" t="s">
        <v>51</v>
      </c>
      <c r="AG925" s="153" t="s">
        <v>394</v>
      </c>
      <c r="AH925" s="153">
        <v>3.6868237838299476</v>
      </c>
      <c r="AJ925" s="153" t="s">
        <v>52</v>
      </c>
      <c r="AK925" s="153" t="s">
        <v>18</v>
      </c>
      <c r="AL925" s="153" t="s">
        <v>28</v>
      </c>
      <c r="AM925" s="153" t="s">
        <v>51</v>
      </c>
      <c r="AN925" s="153" t="s">
        <v>381</v>
      </c>
      <c r="AO925" s="153">
        <v>1.1022159081018317</v>
      </c>
    </row>
    <row r="926" spans="29:41">
      <c r="AC926" s="153" t="s">
        <v>52</v>
      </c>
      <c r="AD926" s="153" t="s">
        <v>18</v>
      </c>
      <c r="AE926" s="153" t="s">
        <v>72</v>
      </c>
      <c r="AF926" s="153" t="s">
        <v>51</v>
      </c>
      <c r="AG926" s="153" t="s">
        <v>395</v>
      </c>
      <c r="AH926" s="153">
        <v>3.7201095290272148</v>
      </c>
      <c r="AJ926" s="153" t="s">
        <v>52</v>
      </c>
      <c r="AK926" s="153" t="s">
        <v>18</v>
      </c>
      <c r="AL926" s="153" t="s">
        <v>28</v>
      </c>
      <c r="AM926" s="153" t="s">
        <v>51</v>
      </c>
      <c r="AN926" s="153" t="s">
        <v>382</v>
      </c>
      <c r="AO926" s="153">
        <v>1.1054668741760483</v>
      </c>
    </row>
    <row r="927" spans="29:41">
      <c r="AC927" s="153" t="s">
        <v>52</v>
      </c>
      <c r="AD927" s="153" t="s">
        <v>18</v>
      </c>
      <c r="AE927" s="153" t="s">
        <v>72</v>
      </c>
      <c r="AF927" s="153" t="s">
        <v>51</v>
      </c>
      <c r="AG927" s="153" t="s">
        <v>396</v>
      </c>
      <c r="AH927" s="153">
        <v>3.6565065600402202</v>
      </c>
      <c r="AJ927" s="153" t="s">
        <v>52</v>
      </c>
      <c r="AK927" s="153" t="s">
        <v>18</v>
      </c>
      <c r="AL927" s="153" t="s">
        <v>28</v>
      </c>
      <c r="AM927" s="153" t="s">
        <v>51</v>
      </c>
      <c r="AN927" s="153" t="s">
        <v>383</v>
      </c>
      <c r="AO927" s="153">
        <v>1.1533454232746685</v>
      </c>
    </row>
    <row r="928" spans="29:41">
      <c r="AC928" s="153" t="s">
        <v>52</v>
      </c>
      <c r="AD928" s="153" t="s">
        <v>18</v>
      </c>
      <c r="AE928" s="153" t="s">
        <v>72</v>
      </c>
      <c r="AF928" s="153" t="s">
        <v>51</v>
      </c>
      <c r="AG928" s="153" t="s">
        <v>397</v>
      </c>
      <c r="AH928" s="153">
        <v>3.6565065600402202</v>
      </c>
      <c r="AJ928" s="153" t="s">
        <v>52</v>
      </c>
      <c r="AK928" s="153" t="s">
        <v>18</v>
      </c>
      <c r="AL928" s="153" t="s">
        <v>28</v>
      </c>
      <c r="AM928" s="153" t="s">
        <v>51</v>
      </c>
      <c r="AN928" s="153" t="s">
        <v>384</v>
      </c>
      <c r="AO928" s="153">
        <v>1.1497290111883385</v>
      </c>
    </row>
    <row r="929" spans="29:41">
      <c r="AC929" s="153" t="s">
        <v>52</v>
      </c>
      <c r="AD929" s="153" t="s">
        <v>18</v>
      </c>
      <c r="AE929" s="153" t="s">
        <v>72</v>
      </c>
      <c r="AF929" s="153" t="s">
        <v>51</v>
      </c>
      <c r="AG929" s="153" t="s">
        <v>398</v>
      </c>
      <c r="AH929" s="153">
        <v>3.5621741407473531</v>
      </c>
      <c r="AJ929" s="153" t="s">
        <v>52</v>
      </c>
      <c r="AK929" s="153" t="s">
        <v>18</v>
      </c>
      <c r="AL929" s="153" t="s">
        <v>28</v>
      </c>
      <c r="AM929" s="153" t="s">
        <v>51</v>
      </c>
      <c r="AN929" s="153" t="s">
        <v>385</v>
      </c>
      <c r="AO929" s="153">
        <v>1.1164670498938218</v>
      </c>
    </row>
    <row r="930" spans="29:41">
      <c r="AC930" s="153" t="s">
        <v>52</v>
      </c>
      <c r="AD930" s="153" t="s">
        <v>18</v>
      </c>
      <c r="AE930" s="153" t="s">
        <v>72</v>
      </c>
      <c r="AF930" s="153" t="s">
        <v>51</v>
      </c>
      <c r="AG930" s="153" t="s">
        <v>399</v>
      </c>
      <c r="AH930" s="153">
        <v>3.5621741407473531</v>
      </c>
      <c r="AJ930" s="153" t="s">
        <v>52</v>
      </c>
      <c r="AK930" s="153" t="s">
        <v>18</v>
      </c>
      <c r="AL930" s="153" t="s">
        <v>28</v>
      </c>
      <c r="AM930" s="153" t="s">
        <v>51</v>
      </c>
      <c r="AN930" s="153" t="s">
        <v>386</v>
      </c>
      <c r="AO930" s="153">
        <v>1.037029937267643</v>
      </c>
    </row>
    <row r="931" spans="29:41">
      <c r="AC931" s="153" t="s">
        <v>52</v>
      </c>
      <c r="AD931" s="153" t="s">
        <v>18</v>
      </c>
      <c r="AE931" s="153" t="s">
        <v>72</v>
      </c>
      <c r="AF931" s="153" t="s">
        <v>51</v>
      </c>
      <c r="AG931" s="153" t="s">
        <v>400</v>
      </c>
      <c r="AH931" s="153">
        <v>3.5926617476217717</v>
      </c>
      <c r="AJ931" s="153" t="s">
        <v>52</v>
      </c>
      <c r="AK931" s="153" t="s">
        <v>18</v>
      </c>
      <c r="AL931" s="153" t="s">
        <v>28</v>
      </c>
      <c r="AM931" s="153" t="s">
        <v>51</v>
      </c>
      <c r="AN931" s="153" t="s">
        <v>387</v>
      </c>
      <c r="AO931" s="153">
        <v>1.0805573979707421</v>
      </c>
    </row>
    <row r="932" spans="29:41">
      <c r="AC932" s="153" t="s">
        <v>52</v>
      </c>
      <c r="AD932" s="153" t="s">
        <v>18</v>
      </c>
      <c r="AE932" s="153" t="s">
        <v>72</v>
      </c>
      <c r="AF932" s="153" t="s">
        <v>51</v>
      </c>
      <c r="AG932" s="153" t="s">
        <v>401</v>
      </c>
      <c r="AH932" s="153">
        <v>3.5945506588933029</v>
      </c>
      <c r="AJ932" s="153" t="s">
        <v>52</v>
      </c>
      <c r="AK932" s="153" t="s">
        <v>18</v>
      </c>
      <c r="AL932" s="153" t="s">
        <v>28</v>
      </c>
      <c r="AM932" s="153" t="s">
        <v>51</v>
      </c>
      <c r="AN932" s="153" t="s">
        <v>388</v>
      </c>
      <c r="AO932" s="153">
        <v>1.1130625635595983</v>
      </c>
    </row>
    <row r="933" spans="29:41">
      <c r="AC933" s="153" t="s">
        <v>52</v>
      </c>
      <c r="AD933" s="153" t="s">
        <v>18</v>
      </c>
      <c r="AE933" s="153" t="s">
        <v>72</v>
      </c>
      <c r="AF933" s="153" t="s">
        <v>51</v>
      </c>
      <c r="AG933" s="153" t="s">
        <v>402</v>
      </c>
      <c r="AH933" s="153">
        <v>3.5945506588933029</v>
      </c>
      <c r="AJ933" s="153" t="s">
        <v>52</v>
      </c>
      <c r="AK933" s="153" t="s">
        <v>18</v>
      </c>
      <c r="AL933" s="153" t="s">
        <v>28</v>
      </c>
      <c r="AM933" s="153" t="s">
        <v>51</v>
      </c>
      <c r="AN933" s="153" t="s">
        <v>389</v>
      </c>
      <c r="AO933" s="153">
        <v>1.0843568702286219</v>
      </c>
    </row>
    <row r="934" spans="29:41">
      <c r="AC934" s="153" t="s">
        <v>52</v>
      </c>
      <c r="AD934" s="153" t="s">
        <v>18</v>
      </c>
      <c r="AE934" s="153" t="s">
        <v>72</v>
      </c>
      <c r="AF934" s="153" t="s">
        <v>51</v>
      </c>
      <c r="AG934" s="153" t="s">
        <v>403</v>
      </c>
      <c r="AH934" s="153">
        <v>3.5621741407473531</v>
      </c>
      <c r="AJ934" s="153" t="s">
        <v>52</v>
      </c>
      <c r="AK934" s="153" t="s">
        <v>18</v>
      </c>
      <c r="AL934" s="153" t="s">
        <v>28</v>
      </c>
      <c r="AM934" s="153" t="s">
        <v>51</v>
      </c>
      <c r="AN934" s="153" t="s">
        <v>418</v>
      </c>
      <c r="AO934" s="153">
        <v>1.1080212984452185</v>
      </c>
    </row>
    <row r="935" spans="29:41">
      <c r="AC935" s="153" t="s">
        <v>52</v>
      </c>
      <c r="AD935" s="153" t="s">
        <v>18</v>
      </c>
      <c r="AE935" s="153" t="s">
        <v>72</v>
      </c>
      <c r="AF935" s="153" t="s">
        <v>51</v>
      </c>
      <c r="AG935" s="153" t="s">
        <v>404</v>
      </c>
      <c r="AH935" s="153">
        <v>3.5621741407473531</v>
      </c>
      <c r="AJ935" s="153" t="s">
        <v>52</v>
      </c>
      <c r="AK935" s="153" t="s">
        <v>18</v>
      </c>
      <c r="AL935" s="153" t="s">
        <v>28</v>
      </c>
      <c r="AM935" s="153" t="s">
        <v>51</v>
      </c>
      <c r="AN935" s="153" t="s">
        <v>390</v>
      </c>
      <c r="AO935" s="153">
        <v>1.0824176959106184</v>
      </c>
    </row>
    <row r="936" spans="29:41">
      <c r="AC936" s="153" t="s">
        <v>52</v>
      </c>
      <c r="AD936" s="153" t="s">
        <v>18</v>
      </c>
      <c r="AE936" s="153" t="s">
        <v>72</v>
      </c>
      <c r="AF936" s="153" t="s">
        <v>51</v>
      </c>
      <c r="AG936" s="153" t="s">
        <v>405</v>
      </c>
      <c r="AH936" s="153">
        <v>3.5926617476217717</v>
      </c>
      <c r="AJ936" s="153" t="s">
        <v>52</v>
      </c>
      <c r="AK936" s="153" t="s">
        <v>18</v>
      </c>
      <c r="AL936" s="153" t="s">
        <v>28</v>
      </c>
      <c r="AM936" s="153" t="s">
        <v>51</v>
      </c>
      <c r="AN936" s="153" t="s">
        <v>419</v>
      </c>
      <c r="AO936" s="153">
        <v>1.0638025538925515</v>
      </c>
    </row>
    <row r="937" spans="29:41">
      <c r="AC937" s="153" t="s">
        <v>52</v>
      </c>
      <c r="AD937" s="153" t="s">
        <v>18</v>
      </c>
      <c r="AE937" s="153" t="s">
        <v>72</v>
      </c>
      <c r="AF937" s="153" t="s">
        <v>51</v>
      </c>
      <c r="AG937" s="153" t="s">
        <v>406</v>
      </c>
      <c r="AH937" s="153">
        <v>3.5926617476217717</v>
      </c>
      <c r="AJ937" s="153" t="s">
        <v>52</v>
      </c>
      <c r="AK937" s="153" t="s">
        <v>18</v>
      </c>
      <c r="AL937" s="153" t="s">
        <v>28</v>
      </c>
      <c r="AM937" s="153" t="s">
        <v>51</v>
      </c>
      <c r="AN937" s="153" t="s">
        <v>391</v>
      </c>
      <c r="AO937" s="153">
        <v>1.0796331232662648</v>
      </c>
    </row>
    <row r="938" spans="29:41">
      <c r="AC938" s="153" t="s">
        <v>52</v>
      </c>
      <c r="AD938" s="153" t="s">
        <v>18</v>
      </c>
      <c r="AE938" s="153" t="s">
        <v>72</v>
      </c>
      <c r="AF938" s="153" t="s">
        <v>51</v>
      </c>
      <c r="AG938" s="153" t="s">
        <v>407</v>
      </c>
      <c r="AH938" s="153">
        <v>3.5926617476217717</v>
      </c>
      <c r="AJ938" s="153" t="s">
        <v>52</v>
      </c>
      <c r="AK938" s="153" t="s">
        <v>18</v>
      </c>
      <c r="AL938" s="153" t="s">
        <v>28</v>
      </c>
      <c r="AM938" s="153" t="s">
        <v>51</v>
      </c>
      <c r="AN938" s="153" t="s">
        <v>392</v>
      </c>
      <c r="AO938" s="153">
        <v>1.0317992821507478</v>
      </c>
    </row>
    <row r="939" spans="29:41">
      <c r="AC939" s="153" t="s">
        <v>52</v>
      </c>
      <c r="AD939" s="153" t="s">
        <v>18</v>
      </c>
      <c r="AE939" s="153" t="s">
        <v>72</v>
      </c>
      <c r="AF939" s="153" t="s">
        <v>51</v>
      </c>
      <c r="AG939" s="153" t="s">
        <v>408</v>
      </c>
      <c r="AH939" s="153">
        <v>3.6261344965465785</v>
      </c>
      <c r="AJ939" s="153" t="s">
        <v>52</v>
      </c>
      <c r="AK939" s="153" t="s">
        <v>18</v>
      </c>
      <c r="AL939" s="153" t="s">
        <v>28</v>
      </c>
      <c r="AM939" s="153" t="s">
        <v>51</v>
      </c>
      <c r="AN939" s="153" t="s">
        <v>393</v>
      </c>
      <c r="AO939" s="153">
        <v>0.99498322897669034</v>
      </c>
    </row>
    <row r="940" spans="29:41">
      <c r="AC940" s="153" t="s">
        <v>52</v>
      </c>
      <c r="AD940" s="153" t="s">
        <v>18</v>
      </c>
      <c r="AE940" s="153" t="s">
        <v>72</v>
      </c>
      <c r="AF940" s="153" t="s">
        <v>51</v>
      </c>
      <c r="AG940" s="153" t="s">
        <v>409</v>
      </c>
      <c r="AH940" s="153">
        <v>3.7191209404595797</v>
      </c>
      <c r="AJ940" s="153" t="s">
        <v>52</v>
      </c>
      <c r="AK940" s="153" t="s">
        <v>18</v>
      </c>
      <c r="AL940" s="153" t="s">
        <v>28</v>
      </c>
      <c r="AM940" s="153" t="s">
        <v>51</v>
      </c>
      <c r="AN940" s="153" t="s">
        <v>394</v>
      </c>
      <c r="AO940" s="153">
        <v>1.0106576548794477</v>
      </c>
    </row>
    <row r="941" spans="29:41">
      <c r="AC941" s="153" t="s">
        <v>52</v>
      </c>
      <c r="AD941" s="153" t="s">
        <v>18</v>
      </c>
      <c r="AE941" s="153" t="s">
        <v>72</v>
      </c>
      <c r="AF941" s="153" t="s">
        <v>51</v>
      </c>
      <c r="AG941" s="153" t="s">
        <v>410</v>
      </c>
      <c r="AH941" s="153">
        <v>3.6888572908327415</v>
      </c>
      <c r="AJ941" s="153" t="s">
        <v>52</v>
      </c>
      <c r="AK941" s="153" t="s">
        <v>18</v>
      </c>
      <c r="AL941" s="153" t="s">
        <v>28</v>
      </c>
      <c r="AM941" s="153" t="s">
        <v>51</v>
      </c>
      <c r="AN941" s="153" t="s">
        <v>395</v>
      </c>
      <c r="AO941" s="153">
        <v>1.0900962920679051</v>
      </c>
    </row>
    <row r="942" spans="29:41">
      <c r="AC942" s="153" t="s">
        <v>52</v>
      </c>
      <c r="AD942" s="153" t="s">
        <v>18</v>
      </c>
      <c r="AE942" s="153" t="s">
        <v>72</v>
      </c>
      <c r="AF942" s="153" t="s">
        <v>51</v>
      </c>
      <c r="AG942" s="153" t="s">
        <v>411</v>
      </c>
      <c r="AH942" s="153">
        <v>3.7201095290272148</v>
      </c>
      <c r="AJ942" s="153" t="s">
        <v>52</v>
      </c>
      <c r="AK942" s="153" t="s">
        <v>18</v>
      </c>
      <c r="AL942" s="153" t="s">
        <v>28</v>
      </c>
      <c r="AM942" s="153" t="s">
        <v>51</v>
      </c>
      <c r="AN942" s="153" t="s">
        <v>396</v>
      </c>
      <c r="AO942" s="153">
        <v>1.0742161875798801</v>
      </c>
    </row>
    <row r="943" spans="29:41">
      <c r="AC943" s="153" t="s">
        <v>52</v>
      </c>
      <c r="AD943" s="153" t="s">
        <v>18</v>
      </c>
      <c r="AE943" s="153" t="s">
        <v>72</v>
      </c>
      <c r="AF943" s="153" t="s">
        <v>51</v>
      </c>
      <c r="AG943" s="153" t="s">
        <v>412</v>
      </c>
      <c r="AH943" s="153">
        <v>3.6868237838299476</v>
      </c>
      <c r="AJ943" s="153" t="s">
        <v>52</v>
      </c>
      <c r="AK943" s="153" t="s">
        <v>18</v>
      </c>
      <c r="AL943" s="153" t="s">
        <v>28</v>
      </c>
      <c r="AM943" s="153" t="s">
        <v>51</v>
      </c>
      <c r="AN943" s="153" t="s">
        <v>397</v>
      </c>
      <c r="AO943" s="153">
        <v>1.0918638603803603</v>
      </c>
    </row>
    <row r="944" spans="29:41">
      <c r="AC944" s="153" t="s">
        <v>52</v>
      </c>
      <c r="AD944" s="153" t="s">
        <v>18</v>
      </c>
      <c r="AE944" s="153" t="s">
        <v>72</v>
      </c>
      <c r="AF944" s="153" t="s">
        <v>51</v>
      </c>
      <c r="AG944" s="153" t="s">
        <v>413</v>
      </c>
      <c r="AH944" s="153">
        <v>3.6868237838299476</v>
      </c>
      <c r="AJ944" s="153" t="s">
        <v>52</v>
      </c>
      <c r="AK944" s="153" t="s">
        <v>18</v>
      </c>
      <c r="AL944" s="153" t="s">
        <v>28</v>
      </c>
      <c r="AM944" s="153" t="s">
        <v>51</v>
      </c>
      <c r="AN944" s="153" t="s">
        <v>420</v>
      </c>
      <c r="AO944" s="153">
        <v>1.0918638603803603</v>
      </c>
    </row>
    <row r="945" spans="29:41">
      <c r="AC945" s="153" t="s">
        <v>52</v>
      </c>
      <c r="AD945" s="153" t="s">
        <v>18</v>
      </c>
      <c r="AE945" s="153" t="s">
        <v>72</v>
      </c>
      <c r="AF945" s="153" t="s">
        <v>51</v>
      </c>
      <c r="AG945" s="153" t="s">
        <v>414</v>
      </c>
      <c r="AH945" s="153">
        <v>3.7191209404595797</v>
      </c>
      <c r="AJ945" s="153" t="s">
        <v>52</v>
      </c>
      <c r="AK945" s="153" t="s">
        <v>18</v>
      </c>
      <c r="AL945" s="153" t="s">
        <v>28</v>
      </c>
      <c r="AM945" s="153" t="s">
        <v>51</v>
      </c>
      <c r="AN945" s="153" t="s">
        <v>398</v>
      </c>
      <c r="AO945" s="153">
        <v>1.0146475668306232</v>
      </c>
    </row>
    <row r="946" spans="29:41">
      <c r="AC946" s="153" t="s">
        <v>52</v>
      </c>
      <c r="AD946" s="153" t="s">
        <v>18</v>
      </c>
      <c r="AE946" s="153" t="s">
        <v>72</v>
      </c>
      <c r="AF946" s="153" t="s">
        <v>51</v>
      </c>
      <c r="AG946" s="153" t="s">
        <v>415</v>
      </c>
      <c r="AH946" s="153">
        <v>3.7191209404595797</v>
      </c>
      <c r="AJ946" s="153" t="s">
        <v>52</v>
      </c>
      <c r="AK946" s="153" t="s">
        <v>18</v>
      </c>
      <c r="AL946" s="153" t="s">
        <v>28</v>
      </c>
      <c r="AM946" s="153" t="s">
        <v>51</v>
      </c>
      <c r="AN946" s="153" t="s">
        <v>399</v>
      </c>
      <c r="AO946" s="153">
        <v>1.0100288699706335</v>
      </c>
    </row>
    <row r="947" spans="29:41">
      <c r="AC947" s="153" t="s">
        <v>52</v>
      </c>
      <c r="AD947" s="153" t="s">
        <v>18</v>
      </c>
      <c r="AE947" s="153" t="s">
        <v>72</v>
      </c>
      <c r="AF947" s="153" t="s">
        <v>51</v>
      </c>
      <c r="AG947" s="153" t="s">
        <v>429</v>
      </c>
      <c r="AH947" s="153">
        <v>3.7201095290272148</v>
      </c>
      <c r="AJ947" s="153" t="s">
        <v>52</v>
      </c>
      <c r="AK947" s="153" t="s">
        <v>18</v>
      </c>
      <c r="AL947" s="153" t="s">
        <v>28</v>
      </c>
      <c r="AM947" s="153" t="s">
        <v>51</v>
      </c>
      <c r="AN947" s="153" t="s">
        <v>400</v>
      </c>
      <c r="AO947" s="153">
        <v>1.0761953616622724</v>
      </c>
    </row>
    <row r="948" spans="29:41">
      <c r="AC948" s="153" t="s">
        <v>52</v>
      </c>
      <c r="AD948" s="153" t="s">
        <v>18</v>
      </c>
      <c r="AE948" s="153" t="s">
        <v>72</v>
      </c>
      <c r="AF948" s="153" t="s">
        <v>51</v>
      </c>
      <c r="AG948" s="153" t="s">
        <v>430</v>
      </c>
      <c r="AH948" s="153">
        <v>3.7191209404595797</v>
      </c>
      <c r="AJ948" s="153" t="s">
        <v>52</v>
      </c>
      <c r="AK948" s="153" t="s">
        <v>18</v>
      </c>
      <c r="AL948" s="153" t="s">
        <v>28</v>
      </c>
      <c r="AM948" s="153" t="s">
        <v>51</v>
      </c>
      <c r="AN948" s="153" t="s">
        <v>401</v>
      </c>
      <c r="AO948" s="153">
        <v>1.0776281863832331</v>
      </c>
    </row>
    <row r="949" spans="29:41">
      <c r="AC949" s="153" t="s">
        <v>52</v>
      </c>
      <c r="AD949" s="153" t="s">
        <v>18</v>
      </c>
      <c r="AE949" s="153" t="s">
        <v>72</v>
      </c>
      <c r="AF949" s="153" t="s">
        <v>51</v>
      </c>
      <c r="AG949" s="153" t="s">
        <v>431</v>
      </c>
      <c r="AH949" s="153">
        <v>3.6868237838299476</v>
      </c>
      <c r="AJ949" s="153" t="s">
        <v>52</v>
      </c>
      <c r="AK949" s="153" t="s">
        <v>18</v>
      </c>
      <c r="AL949" s="153" t="s">
        <v>28</v>
      </c>
      <c r="AM949" s="153" t="s">
        <v>51</v>
      </c>
      <c r="AN949" s="153" t="s">
        <v>402</v>
      </c>
      <c r="AO949" s="153">
        <v>1.0918669300851032</v>
      </c>
    </row>
    <row r="950" spans="29:41">
      <c r="AC950" s="153" t="s">
        <v>52</v>
      </c>
      <c r="AD950" s="153" t="s">
        <v>18</v>
      </c>
      <c r="AE950" s="153" t="s">
        <v>72</v>
      </c>
      <c r="AF950" s="153" t="s">
        <v>51</v>
      </c>
      <c r="AG950" s="153" t="s">
        <v>432</v>
      </c>
      <c r="AH950" s="153">
        <v>3.7201095290272148</v>
      </c>
      <c r="AJ950" s="153" t="s">
        <v>52</v>
      </c>
      <c r="AK950" s="153" t="s">
        <v>18</v>
      </c>
      <c r="AL950" s="153" t="s">
        <v>28</v>
      </c>
      <c r="AM950" s="153" t="s">
        <v>51</v>
      </c>
      <c r="AN950" s="153" t="s">
        <v>403</v>
      </c>
      <c r="AO950" s="153">
        <v>1.0439668488149534</v>
      </c>
    </row>
    <row r="951" spans="29:41">
      <c r="AC951" s="153" t="s">
        <v>52</v>
      </c>
      <c r="AD951" s="153" t="s">
        <v>18</v>
      </c>
      <c r="AE951" s="153" t="s">
        <v>72</v>
      </c>
      <c r="AF951" s="153" t="s">
        <v>51</v>
      </c>
      <c r="AG951" s="153" t="s">
        <v>433</v>
      </c>
      <c r="AH951" s="153">
        <v>3.6261344965465785</v>
      </c>
      <c r="AJ951" s="153" t="s">
        <v>52</v>
      </c>
      <c r="AK951" s="153" t="s">
        <v>18</v>
      </c>
      <c r="AL951" s="153" t="s">
        <v>28</v>
      </c>
      <c r="AM951" s="153" t="s">
        <v>51</v>
      </c>
      <c r="AN951" s="153" t="s">
        <v>404</v>
      </c>
      <c r="AO951" s="153">
        <v>1.0484194461339433</v>
      </c>
    </row>
    <row r="952" spans="29:41">
      <c r="AC952" s="153" t="s">
        <v>52</v>
      </c>
      <c r="AD952" s="153" t="s">
        <v>18</v>
      </c>
      <c r="AE952" s="153" t="s">
        <v>72</v>
      </c>
      <c r="AF952" s="153" t="s">
        <v>51</v>
      </c>
      <c r="AG952" s="153" t="s">
        <v>434</v>
      </c>
      <c r="AH952" s="153">
        <v>3.5926617476217717</v>
      </c>
      <c r="AJ952" s="153" t="s">
        <v>52</v>
      </c>
      <c r="AK952" s="153" t="s">
        <v>18</v>
      </c>
      <c r="AL952" s="153" t="s">
        <v>28</v>
      </c>
      <c r="AM952" s="153" t="s">
        <v>51</v>
      </c>
      <c r="AN952" s="153" t="s">
        <v>405</v>
      </c>
      <c r="AO952" s="153">
        <v>1.0668656379541821</v>
      </c>
    </row>
    <row r="953" spans="29:41">
      <c r="AC953" s="153" t="s">
        <v>52</v>
      </c>
      <c r="AD953" s="153" t="s">
        <v>18</v>
      </c>
      <c r="AE953" s="153" t="s">
        <v>72</v>
      </c>
      <c r="AF953" s="153" t="s">
        <v>51</v>
      </c>
      <c r="AG953" s="153" t="s">
        <v>435</v>
      </c>
      <c r="AH953" s="153">
        <v>3.5621741407473531</v>
      </c>
      <c r="AJ953" s="153" t="s">
        <v>52</v>
      </c>
      <c r="AK953" s="153" t="s">
        <v>18</v>
      </c>
      <c r="AL953" s="153" t="s">
        <v>28</v>
      </c>
      <c r="AM953" s="153" t="s">
        <v>51</v>
      </c>
      <c r="AN953" s="153" t="s">
        <v>406</v>
      </c>
      <c r="AO953" s="153">
        <v>1.1091738910703315</v>
      </c>
    </row>
    <row r="954" spans="29:41">
      <c r="AC954" s="153" t="s">
        <v>52</v>
      </c>
      <c r="AD954" s="153" t="s">
        <v>18</v>
      </c>
      <c r="AE954" s="153" t="s">
        <v>72</v>
      </c>
      <c r="AF954" s="153" t="s">
        <v>51</v>
      </c>
      <c r="AG954" s="153" t="s">
        <v>436</v>
      </c>
      <c r="AH954" s="153">
        <v>3.5621741407473531</v>
      </c>
      <c r="AJ954" s="153" t="s">
        <v>52</v>
      </c>
      <c r="AK954" s="153" t="s">
        <v>18</v>
      </c>
      <c r="AL954" s="153" t="s">
        <v>28</v>
      </c>
      <c r="AM954" s="153" t="s">
        <v>51</v>
      </c>
      <c r="AN954" s="153" t="s">
        <v>407</v>
      </c>
      <c r="AO954" s="153">
        <v>1.068346421431092</v>
      </c>
    </row>
    <row r="955" spans="29:41">
      <c r="AC955" s="153" t="s">
        <v>52</v>
      </c>
      <c r="AD955" s="153" t="s">
        <v>18</v>
      </c>
      <c r="AE955" s="153" t="s">
        <v>72</v>
      </c>
      <c r="AF955" s="153" t="s">
        <v>51</v>
      </c>
      <c r="AG955" s="153" t="s">
        <v>437</v>
      </c>
      <c r="AH955" s="153">
        <v>3.5945506588933029</v>
      </c>
      <c r="AJ955" s="153" t="s">
        <v>52</v>
      </c>
      <c r="AK955" s="153" t="s">
        <v>18</v>
      </c>
      <c r="AL955" s="153" t="s">
        <v>28</v>
      </c>
      <c r="AM955" s="153" t="s">
        <v>51</v>
      </c>
      <c r="AN955" s="153" t="s">
        <v>408</v>
      </c>
      <c r="AO955" s="153">
        <v>1.0753933408547787</v>
      </c>
    </row>
    <row r="956" spans="29:41">
      <c r="AC956" s="153" t="s">
        <v>52</v>
      </c>
      <c r="AD956" s="153" t="s">
        <v>18</v>
      </c>
      <c r="AE956" s="153" t="s">
        <v>72</v>
      </c>
      <c r="AF956" s="153" t="s">
        <v>51</v>
      </c>
      <c r="AG956" s="153" t="s">
        <v>438</v>
      </c>
      <c r="AH956" s="153">
        <v>3.5945506588933029</v>
      </c>
      <c r="AJ956" s="153" t="s">
        <v>52</v>
      </c>
      <c r="AK956" s="153" t="s">
        <v>18</v>
      </c>
      <c r="AL956" s="153" t="s">
        <v>28</v>
      </c>
      <c r="AM956" s="153" t="s">
        <v>51</v>
      </c>
      <c r="AN956" s="153" t="s">
        <v>409</v>
      </c>
      <c r="AO956" s="153">
        <v>1.0603181847861693</v>
      </c>
    </row>
    <row r="957" spans="29:41">
      <c r="AC957" s="153" t="s">
        <v>52</v>
      </c>
      <c r="AD957" s="153" t="s">
        <v>18</v>
      </c>
      <c r="AE957" s="153" t="s">
        <v>72</v>
      </c>
      <c r="AF957" s="153" t="s">
        <v>51</v>
      </c>
      <c r="AG957" s="153" t="s">
        <v>439</v>
      </c>
      <c r="AH957" s="153">
        <v>3.5640712654731899</v>
      </c>
      <c r="AJ957" s="153" t="s">
        <v>52</v>
      </c>
      <c r="AK957" s="153" t="s">
        <v>18</v>
      </c>
      <c r="AL957" s="153" t="s">
        <v>28</v>
      </c>
      <c r="AM957" s="153" t="s">
        <v>51</v>
      </c>
      <c r="AN957" s="153" t="s">
        <v>410</v>
      </c>
      <c r="AO957" s="153">
        <v>1.0779775335627715</v>
      </c>
    </row>
    <row r="958" spans="29:41">
      <c r="AC958" s="153" t="s">
        <v>52</v>
      </c>
      <c r="AD958" s="153" t="s">
        <v>18</v>
      </c>
      <c r="AE958" s="153" t="s">
        <v>72</v>
      </c>
      <c r="AF958" s="153" t="s">
        <v>51</v>
      </c>
      <c r="AG958" s="153" t="s">
        <v>440</v>
      </c>
      <c r="AH958" s="153">
        <v>3.5304800171515964</v>
      </c>
      <c r="AJ958" s="153" t="s">
        <v>52</v>
      </c>
      <c r="AK958" s="153" t="s">
        <v>18</v>
      </c>
      <c r="AL958" s="153" t="s">
        <v>28</v>
      </c>
      <c r="AM958" s="153" t="s">
        <v>51</v>
      </c>
      <c r="AN958" s="153" t="s">
        <v>411</v>
      </c>
      <c r="AO958" s="153">
        <v>1.1056104518476446</v>
      </c>
    </row>
    <row r="959" spans="29:41">
      <c r="AC959" s="153" t="s">
        <v>52</v>
      </c>
      <c r="AD959" s="153" t="s">
        <v>18</v>
      </c>
      <c r="AE959" s="153" t="s">
        <v>72</v>
      </c>
      <c r="AF959" s="153" t="s">
        <v>51</v>
      </c>
      <c r="AG959" s="153" t="s">
        <v>441</v>
      </c>
      <c r="AH959" s="153">
        <v>3.5640712654731899</v>
      </c>
      <c r="AJ959" s="153" t="s">
        <v>52</v>
      </c>
      <c r="AK959" s="153" t="s">
        <v>18</v>
      </c>
      <c r="AL959" s="153" t="s">
        <v>28</v>
      </c>
      <c r="AM959" s="153" t="s">
        <v>51</v>
      </c>
      <c r="AN959" s="153" t="s">
        <v>412</v>
      </c>
      <c r="AO959" s="153">
        <v>1.0794449354127076</v>
      </c>
    </row>
    <row r="960" spans="29:41">
      <c r="AC960" s="153" t="s">
        <v>52</v>
      </c>
      <c r="AD960" s="153" t="s">
        <v>18</v>
      </c>
      <c r="AE960" s="153" t="s">
        <v>72</v>
      </c>
      <c r="AF960" s="153" t="s">
        <v>51</v>
      </c>
      <c r="AG960" s="153" t="s">
        <v>442</v>
      </c>
      <c r="AH960" s="153">
        <v>3.5304800171515964</v>
      </c>
      <c r="AJ960" s="153" t="s">
        <v>52</v>
      </c>
      <c r="AK960" s="153" t="s">
        <v>18</v>
      </c>
      <c r="AL960" s="153" t="s">
        <v>28</v>
      </c>
      <c r="AM960" s="153" t="s">
        <v>51</v>
      </c>
      <c r="AN960" s="153" t="s">
        <v>413</v>
      </c>
      <c r="AO960" s="153">
        <v>1.0628091652084275</v>
      </c>
    </row>
    <row r="961" spans="29:41">
      <c r="AC961" s="153" t="s">
        <v>52</v>
      </c>
      <c r="AD961" s="153" t="s">
        <v>18</v>
      </c>
      <c r="AE961" s="153" t="s">
        <v>72</v>
      </c>
      <c r="AF961" s="153" t="s">
        <v>51</v>
      </c>
      <c r="AG961" s="153" t="s">
        <v>443</v>
      </c>
      <c r="AH961" s="153">
        <v>3.5304800171515964</v>
      </c>
      <c r="AJ961" s="153" t="s">
        <v>52</v>
      </c>
      <c r="AK961" s="153" t="s">
        <v>18</v>
      </c>
      <c r="AL961" s="153" t="s">
        <v>28</v>
      </c>
      <c r="AM961" s="153" t="s">
        <v>51</v>
      </c>
      <c r="AN961" s="153" t="s">
        <v>414</v>
      </c>
      <c r="AO961" s="153">
        <v>1.0740045074258193</v>
      </c>
    </row>
    <row r="962" spans="29:41">
      <c r="AC962" s="153" t="s">
        <v>52</v>
      </c>
      <c r="AD962" s="153" t="s">
        <v>18</v>
      </c>
      <c r="AE962" s="153" t="s">
        <v>72</v>
      </c>
      <c r="AF962" s="153" t="s">
        <v>51</v>
      </c>
      <c r="AG962" s="153" t="s">
        <v>444</v>
      </c>
      <c r="AH962" s="153">
        <v>3.5945506588933029</v>
      </c>
      <c r="AJ962" s="153" t="s">
        <v>52</v>
      </c>
      <c r="AK962" s="153" t="s">
        <v>18</v>
      </c>
      <c r="AL962" s="153" t="s">
        <v>28</v>
      </c>
      <c r="AM962" s="153" t="s">
        <v>51</v>
      </c>
      <c r="AN962" s="153" t="s">
        <v>415</v>
      </c>
      <c r="AO962" s="153">
        <v>1.1199130643847195</v>
      </c>
    </row>
    <row r="963" spans="29:41">
      <c r="AC963" s="153" t="s">
        <v>52</v>
      </c>
      <c r="AD963" s="153" t="s">
        <v>18</v>
      </c>
      <c r="AE963" s="153" t="s">
        <v>72</v>
      </c>
      <c r="AF963" s="153" t="s">
        <v>51</v>
      </c>
      <c r="AG963" s="153" t="s">
        <v>445</v>
      </c>
      <c r="AH963" s="153">
        <v>3.5621741407473531</v>
      </c>
      <c r="AJ963" s="153" t="s">
        <v>52</v>
      </c>
      <c r="AK963" s="153" t="s">
        <v>18</v>
      </c>
      <c r="AL963" s="153" t="s">
        <v>28</v>
      </c>
      <c r="AM963" s="153" t="s">
        <v>51</v>
      </c>
      <c r="AN963" s="153" t="s">
        <v>429</v>
      </c>
      <c r="AO963" s="153">
        <v>1.1175160998672349</v>
      </c>
    </row>
    <row r="964" spans="29:41">
      <c r="AC964" s="153" t="s">
        <v>52</v>
      </c>
      <c r="AD964" s="153" t="s">
        <v>18</v>
      </c>
      <c r="AE964" s="153" t="s">
        <v>72</v>
      </c>
      <c r="AF964" s="153" t="s">
        <v>51</v>
      </c>
      <c r="AG964" s="153" t="s">
        <v>446</v>
      </c>
      <c r="AH964" s="153">
        <v>3.5926617476217717</v>
      </c>
      <c r="AJ964" s="153" t="s">
        <v>52</v>
      </c>
      <c r="AK964" s="153" t="s">
        <v>18</v>
      </c>
      <c r="AL964" s="153" t="s">
        <v>28</v>
      </c>
      <c r="AM964" s="153" t="s">
        <v>51</v>
      </c>
      <c r="AN964" s="153" t="s">
        <v>430</v>
      </c>
      <c r="AO964" s="153">
        <v>1.1278673145921099</v>
      </c>
    </row>
    <row r="965" spans="29:41">
      <c r="AC965" s="153" t="s">
        <v>52</v>
      </c>
      <c r="AD965" s="153" t="s">
        <v>18</v>
      </c>
      <c r="AE965" s="153" t="s">
        <v>72</v>
      </c>
      <c r="AF965" s="153" t="s">
        <v>51</v>
      </c>
      <c r="AG965" s="153" t="s">
        <v>447</v>
      </c>
      <c r="AH965" s="153">
        <v>3.6261344965465785</v>
      </c>
      <c r="AJ965" s="153" t="s">
        <v>52</v>
      </c>
      <c r="AK965" s="153" t="s">
        <v>18</v>
      </c>
      <c r="AL965" s="153" t="s">
        <v>28</v>
      </c>
      <c r="AM965" s="153" t="s">
        <v>51</v>
      </c>
      <c r="AN965" s="153" t="s">
        <v>431</v>
      </c>
      <c r="AO965" s="153">
        <v>1.0806729666363077</v>
      </c>
    </row>
    <row r="966" spans="29:41">
      <c r="AC966" s="153" t="s">
        <v>52</v>
      </c>
      <c r="AD966" s="153" t="s">
        <v>18</v>
      </c>
      <c r="AE966" s="153" t="s">
        <v>72</v>
      </c>
      <c r="AF966" s="153" t="s">
        <v>51</v>
      </c>
      <c r="AG966" s="153" t="s">
        <v>448</v>
      </c>
      <c r="AH966" s="153">
        <v>3.4998842856206775</v>
      </c>
      <c r="AJ966" s="153" t="s">
        <v>52</v>
      </c>
      <c r="AK966" s="153" t="s">
        <v>18</v>
      </c>
      <c r="AL966" s="153" t="s">
        <v>28</v>
      </c>
      <c r="AM966" s="153" t="s">
        <v>51</v>
      </c>
      <c r="AN966" s="153" t="s">
        <v>432</v>
      </c>
      <c r="AO966" s="153">
        <v>1.1249481083701551</v>
      </c>
    </row>
    <row r="967" spans="29:41">
      <c r="AC967" s="153" t="s">
        <v>52</v>
      </c>
      <c r="AD967" s="153" t="s">
        <v>18</v>
      </c>
      <c r="AE967" s="153" t="s">
        <v>72</v>
      </c>
      <c r="AF967" s="153" t="s">
        <v>51</v>
      </c>
      <c r="AG967" s="153" t="s">
        <v>449</v>
      </c>
      <c r="AH967" s="153">
        <v>3.4692329718342103</v>
      </c>
      <c r="AJ967" s="153" t="s">
        <v>52</v>
      </c>
      <c r="AK967" s="153" t="s">
        <v>18</v>
      </c>
      <c r="AL967" s="153" t="s">
        <v>28</v>
      </c>
      <c r="AM967" s="153" t="s">
        <v>51</v>
      </c>
      <c r="AN967" s="153" t="s">
        <v>433</v>
      </c>
      <c r="AO967" s="153">
        <v>1.1250271165308985</v>
      </c>
    </row>
    <row r="968" spans="29:41">
      <c r="AC968" s="153" t="s">
        <v>52</v>
      </c>
      <c r="AD968" s="153" t="s">
        <v>18</v>
      </c>
      <c r="AE968" s="153" t="s">
        <v>72</v>
      </c>
      <c r="AF968" s="153" t="s">
        <v>51</v>
      </c>
      <c r="AG968" s="153" t="s">
        <v>450</v>
      </c>
      <c r="AH968" s="153">
        <v>3.4385259572555285</v>
      </c>
      <c r="AJ968" s="153" t="s">
        <v>52</v>
      </c>
      <c r="AK968" s="153" t="s">
        <v>18</v>
      </c>
      <c r="AL968" s="153" t="s">
        <v>28</v>
      </c>
      <c r="AM968" s="153" t="s">
        <v>51</v>
      </c>
      <c r="AN968" s="153" t="s">
        <v>434</v>
      </c>
      <c r="AO968" s="153">
        <v>1.083754411915032</v>
      </c>
    </row>
    <row r="969" spans="29:41">
      <c r="AC969" s="153" t="s">
        <v>52</v>
      </c>
      <c r="AD969" s="153" t="s">
        <v>18</v>
      </c>
      <c r="AE969" s="153" t="s">
        <v>72</v>
      </c>
      <c r="AF969" s="153" t="s">
        <v>51</v>
      </c>
      <c r="AG969" s="153" t="s">
        <v>451</v>
      </c>
      <c r="AH969" s="153">
        <v>3.4692329718342103</v>
      </c>
      <c r="AJ969" s="153" t="s">
        <v>52</v>
      </c>
      <c r="AK969" s="153" t="s">
        <v>18</v>
      </c>
      <c r="AL969" s="153" t="s">
        <v>28</v>
      </c>
      <c r="AM969" s="153" t="s">
        <v>51</v>
      </c>
      <c r="AN969" s="153" t="s">
        <v>435</v>
      </c>
      <c r="AO969" s="153">
        <v>1.0537730207546232</v>
      </c>
    </row>
    <row r="970" spans="29:41">
      <c r="AC970" s="153" t="s">
        <v>52</v>
      </c>
      <c r="AD970" s="153" t="s">
        <v>18</v>
      </c>
      <c r="AE970" s="153" t="s">
        <v>72</v>
      </c>
      <c r="AF970" s="153" t="s">
        <v>51</v>
      </c>
      <c r="AG970" s="153" t="s">
        <v>452</v>
      </c>
      <c r="AH970" s="153">
        <v>3.4692329718342103</v>
      </c>
      <c r="AJ970" s="153" t="s">
        <v>52</v>
      </c>
      <c r="AK970" s="153" t="s">
        <v>18</v>
      </c>
      <c r="AL970" s="153" t="s">
        <v>28</v>
      </c>
      <c r="AM970" s="153" t="s">
        <v>51</v>
      </c>
      <c r="AN970" s="153" t="s">
        <v>436</v>
      </c>
      <c r="AO970" s="153">
        <v>1.0616663681083134</v>
      </c>
    </row>
    <row r="971" spans="29:41">
      <c r="AC971" s="153" t="s">
        <v>52</v>
      </c>
      <c r="AD971" s="153" t="s">
        <v>18</v>
      </c>
      <c r="AE971" s="153" t="s">
        <v>72</v>
      </c>
      <c r="AF971" s="153" t="s">
        <v>51</v>
      </c>
      <c r="AG971" s="153" t="s">
        <v>453</v>
      </c>
      <c r="AH971" s="153">
        <v>3.438254991858261</v>
      </c>
      <c r="AJ971" s="153" t="s">
        <v>52</v>
      </c>
      <c r="AK971" s="153" t="s">
        <v>18</v>
      </c>
      <c r="AL971" s="153" t="s">
        <v>28</v>
      </c>
      <c r="AM971" s="153" t="s">
        <v>51</v>
      </c>
      <c r="AN971" s="153" t="s">
        <v>437</v>
      </c>
      <c r="AO971" s="153">
        <v>1.1088175656374428</v>
      </c>
    </row>
    <row r="972" spans="29:41">
      <c r="AC972" s="153" t="s">
        <v>52</v>
      </c>
      <c r="AD972" s="153" t="s">
        <v>18</v>
      </c>
      <c r="AE972" s="153" t="s">
        <v>72</v>
      </c>
      <c r="AF972" s="153" t="s">
        <v>51</v>
      </c>
      <c r="AG972" s="153" t="s">
        <v>454</v>
      </c>
      <c r="AH972" s="153">
        <v>3.4074962925917163</v>
      </c>
      <c r="AJ972" s="153" t="s">
        <v>52</v>
      </c>
      <c r="AK972" s="153" t="s">
        <v>18</v>
      </c>
      <c r="AL972" s="153" t="s">
        <v>28</v>
      </c>
      <c r="AM972" s="153" t="s">
        <v>51</v>
      </c>
      <c r="AN972" s="153" t="s">
        <v>438</v>
      </c>
      <c r="AO972" s="153">
        <v>1.1250571977900727</v>
      </c>
    </row>
    <row r="973" spans="29:41">
      <c r="AC973" s="153" t="s">
        <v>52</v>
      </c>
      <c r="AD973" s="153" t="s">
        <v>18</v>
      </c>
      <c r="AE973" s="153" t="s">
        <v>72</v>
      </c>
      <c r="AF973" s="153" t="s">
        <v>51</v>
      </c>
      <c r="AG973" s="153" t="s">
        <v>455</v>
      </c>
      <c r="AH973" s="153">
        <v>3.3427203379813504</v>
      </c>
      <c r="AJ973" s="153" t="s">
        <v>52</v>
      </c>
      <c r="AK973" s="153" t="s">
        <v>18</v>
      </c>
      <c r="AL973" s="153" t="s">
        <v>28</v>
      </c>
      <c r="AM973" s="153" t="s">
        <v>51</v>
      </c>
      <c r="AN973" s="153" t="s">
        <v>439</v>
      </c>
      <c r="AO973" s="153">
        <v>1.1049865778372299</v>
      </c>
    </row>
    <row r="974" spans="29:41">
      <c r="AC974" s="153" t="s">
        <v>52</v>
      </c>
      <c r="AD974" s="153" t="s">
        <v>18</v>
      </c>
      <c r="AE974" s="153" t="s">
        <v>72</v>
      </c>
      <c r="AF974" s="153" t="s">
        <v>51</v>
      </c>
      <c r="AG974" s="153" t="s">
        <v>456</v>
      </c>
      <c r="AH974" s="153">
        <v>3.4074962925917163</v>
      </c>
      <c r="AJ974" s="153" t="s">
        <v>52</v>
      </c>
      <c r="AK974" s="153" t="s">
        <v>18</v>
      </c>
      <c r="AL974" s="153" t="s">
        <v>28</v>
      </c>
      <c r="AM974" s="153" t="s">
        <v>51</v>
      </c>
      <c r="AN974" s="153" t="s">
        <v>440</v>
      </c>
      <c r="AO974" s="153">
        <v>1.0627899063840867</v>
      </c>
    </row>
    <row r="975" spans="29:41">
      <c r="AC975" s="153" t="s">
        <v>52</v>
      </c>
      <c r="AD975" s="153" t="s">
        <v>18</v>
      </c>
      <c r="AE975" s="153" t="s">
        <v>72</v>
      </c>
      <c r="AF975" s="153" t="s">
        <v>51</v>
      </c>
      <c r="AG975" s="153" t="s">
        <v>457</v>
      </c>
      <c r="AH975" s="153">
        <v>3.4074962925917163</v>
      </c>
      <c r="AJ975" s="153" t="s">
        <v>52</v>
      </c>
      <c r="AK975" s="153" t="s">
        <v>18</v>
      </c>
      <c r="AL975" s="153" t="s">
        <v>28</v>
      </c>
      <c r="AM975" s="153" t="s">
        <v>51</v>
      </c>
      <c r="AN975" s="153" t="s">
        <v>441</v>
      </c>
      <c r="AO975" s="153">
        <v>1.1137011358651399</v>
      </c>
    </row>
    <row r="976" spans="29:41">
      <c r="AC976" s="153" t="s">
        <v>52</v>
      </c>
      <c r="AD976" s="153" t="s">
        <v>18</v>
      </c>
      <c r="AE976" s="153" t="s">
        <v>72</v>
      </c>
      <c r="AF976" s="153" t="s">
        <v>51</v>
      </c>
      <c r="AG976" s="153" t="s">
        <v>458</v>
      </c>
      <c r="AH976" s="153">
        <v>3.438254991858261</v>
      </c>
      <c r="AJ976" s="153" t="s">
        <v>52</v>
      </c>
      <c r="AK976" s="153" t="s">
        <v>18</v>
      </c>
      <c r="AL976" s="153" t="s">
        <v>28</v>
      </c>
      <c r="AM976" s="153" t="s">
        <v>51</v>
      </c>
      <c r="AN976" s="153" t="s">
        <v>442</v>
      </c>
      <c r="AO976" s="153">
        <v>1.0989538824408365</v>
      </c>
    </row>
    <row r="977" spans="29:41">
      <c r="AC977" s="153" t="s">
        <v>52</v>
      </c>
      <c r="AD977" s="153" t="s">
        <v>18</v>
      </c>
      <c r="AE977" s="153" t="s">
        <v>72</v>
      </c>
      <c r="AF977" s="153" t="s">
        <v>51</v>
      </c>
      <c r="AG977" s="153" t="s">
        <v>459</v>
      </c>
      <c r="AH977" s="153">
        <v>3.4385259572555285</v>
      </c>
      <c r="AJ977" s="153" t="s">
        <v>52</v>
      </c>
      <c r="AK977" s="153" t="s">
        <v>18</v>
      </c>
      <c r="AL977" s="153" t="s">
        <v>28</v>
      </c>
      <c r="AM977" s="153" t="s">
        <v>51</v>
      </c>
      <c r="AN977" s="153" t="s">
        <v>443</v>
      </c>
      <c r="AO977" s="153">
        <v>1.0514717940233866</v>
      </c>
    </row>
    <row r="978" spans="29:41">
      <c r="AC978" s="153" t="s">
        <v>52</v>
      </c>
      <c r="AD978" s="153" t="s">
        <v>18</v>
      </c>
      <c r="AE978" s="153" t="s">
        <v>72</v>
      </c>
      <c r="AF978" s="153" t="s">
        <v>51</v>
      </c>
      <c r="AG978" s="153" t="s">
        <v>460</v>
      </c>
      <c r="AH978" s="153">
        <v>3.4692329718342103</v>
      </c>
      <c r="AJ978" s="153" t="s">
        <v>52</v>
      </c>
      <c r="AK978" s="153" t="s">
        <v>18</v>
      </c>
      <c r="AL978" s="153" t="s">
        <v>28</v>
      </c>
      <c r="AM978" s="153" t="s">
        <v>51</v>
      </c>
      <c r="AN978" s="153" t="s">
        <v>444</v>
      </c>
      <c r="AO978" s="153">
        <v>1.0912665696551127</v>
      </c>
    </row>
    <row r="979" spans="29:41">
      <c r="AC979" s="153" t="s">
        <v>52</v>
      </c>
      <c r="AD979" s="153" t="s">
        <v>18</v>
      </c>
      <c r="AE979" s="153" t="s">
        <v>72</v>
      </c>
      <c r="AF979" s="153" t="s">
        <v>51</v>
      </c>
      <c r="AG979" s="153" t="s">
        <v>461</v>
      </c>
      <c r="AH979" s="153">
        <v>3.438254991858261</v>
      </c>
      <c r="AJ979" s="153" t="s">
        <v>52</v>
      </c>
      <c r="AK979" s="153" t="s">
        <v>18</v>
      </c>
      <c r="AL979" s="153" t="s">
        <v>28</v>
      </c>
      <c r="AM979" s="153" t="s">
        <v>51</v>
      </c>
      <c r="AN979" s="153" t="s">
        <v>445</v>
      </c>
      <c r="AO979" s="153">
        <v>1.0468444332822937</v>
      </c>
    </row>
    <row r="980" spans="29:41">
      <c r="AC980" s="153" t="s">
        <v>52</v>
      </c>
      <c r="AD980" s="153" t="s">
        <v>18</v>
      </c>
      <c r="AE980" s="153" t="s">
        <v>72</v>
      </c>
      <c r="AF980" s="153" t="s">
        <v>51</v>
      </c>
      <c r="AG980" s="153" t="s">
        <v>462</v>
      </c>
      <c r="AH980" s="153">
        <v>3.4689577298953638</v>
      </c>
      <c r="AJ980" s="153" t="s">
        <v>52</v>
      </c>
      <c r="AK980" s="153" t="s">
        <v>18</v>
      </c>
      <c r="AL980" s="153" t="s">
        <v>28</v>
      </c>
      <c r="AM980" s="153" t="s">
        <v>51</v>
      </c>
      <c r="AN980" s="153" t="s">
        <v>446</v>
      </c>
      <c r="AO980" s="153">
        <v>1.0822118009296819</v>
      </c>
    </row>
    <row r="981" spans="29:41">
      <c r="AC981" s="153" t="s">
        <v>52</v>
      </c>
      <c r="AD981" s="153" t="s">
        <v>18</v>
      </c>
      <c r="AE981" s="153" t="s">
        <v>72</v>
      </c>
      <c r="AF981" s="153" t="s">
        <v>51</v>
      </c>
      <c r="AG981" s="153" t="s">
        <v>463</v>
      </c>
      <c r="AH981" s="153">
        <v>3.438254991858261</v>
      </c>
      <c r="AJ981" s="153" t="s">
        <v>52</v>
      </c>
      <c r="AK981" s="153" t="s">
        <v>18</v>
      </c>
      <c r="AL981" s="153" t="s">
        <v>28</v>
      </c>
      <c r="AM981" s="153" t="s">
        <v>51</v>
      </c>
      <c r="AN981" s="153" t="s">
        <v>447</v>
      </c>
      <c r="AO981" s="153">
        <v>1.0932683439955886</v>
      </c>
    </row>
    <row r="982" spans="29:41">
      <c r="AC982" s="153" t="s">
        <v>52</v>
      </c>
      <c r="AD982" s="153" t="s">
        <v>18</v>
      </c>
      <c r="AE982" s="153" t="s">
        <v>72</v>
      </c>
      <c r="AF982" s="153" t="s">
        <v>51</v>
      </c>
      <c r="AG982" s="153" t="s">
        <v>464</v>
      </c>
      <c r="AH982" s="153">
        <v>3.4692329718342103</v>
      </c>
      <c r="AJ982" s="153" t="s">
        <v>52</v>
      </c>
      <c r="AK982" s="153" t="s">
        <v>18</v>
      </c>
      <c r="AL982" s="153" t="s">
        <v>28</v>
      </c>
      <c r="AM982" s="153" t="s">
        <v>51</v>
      </c>
      <c r="AN982" s="153" t="s">
        <v>448</v>
      </c>
      <c r="AO982" s="153">
        <v>1.0774964392437876</v>
      </c>
    </row>
    <row r="983" spans="29:41">
      <c r="AC983" s="153" t="s">
        <v>52</v>
      </c>
      <c r="AD983" s="153" t="s">
        <v>18</v>
      </c>
      <c r="AE983" s="153" t="s">
        <v>72</v>
      </c>
      <c r="AF983" s="153" t="s">
        <v>51</v>
      </c>
      <c r="AG983" s="153" t="s">
        <v>465</v>
      </c>
      <c r="AH983" s="153">
        <v>3.4998842856206775</v>
      </c>
      <c r="AJ983" s="153" t="s">
        <v>52</v>
      </c>
      <c r="AK983" s="153" t="s">
        <v>18</v>
      </c>
      <c r="AL983" s="153" t="s">
        <v>28</v>
      </c>
      <c r="AM983" s="153" t="s">
        <v>51</v>
      </c>
      <c r="AN983" s="153" t="s">
        <v>449</v>
      </c>
      <c r="AO983" s="153">
        <v>1.1794802542112803</v>
      </c>
    </row>
    <row r="984" spans="29:41">
      <c r="AC984" s="153" t="s">
        <v>52</v>
      </c>
      <c r="AD984" s="153" t="s">
        <v>18</v>
      </c>
      <c r="AE984" s="153" t="s">
        <v>72</v>
      </c>
      <c r="AF984" s="153" t="s">
        <v>51</v>
      </c>
      <c r="AG984" s="153" t="s">
        <v>466</v>
      </c>
      <c r="AH984" s="153">
        <v>3.4998842856206775</v>
      </c>
      <c r="AJ984" s="153" t="s">
        <v>52</v>
      </c>
      <c r="AK984" s="153" t="s">
        <v>18</v>
      </c>
      <c r="AL984" s="153" t="s">
        <v>28</v>
      </c>
      <c r="AM984" s="153" t="s">
        <v>51</v>
      </c>
      <c r="AN984" s="153" t="s">
        <v>450</v>
      </c>
      <c r="AO984" s="153">
        <v>1.1460330843509483</v>
      </c>
    </row>
    <row r="985" spans="29:41">
      <c r="AC985" s="153" t="s">
        <v>52</v>
      </c>
      <c r="AD985" s="153" t="s">
        <v>18</v>
      </c>
      <c r="AE985" s="153" t="s">
        <v>72</v>
      </c>
      <c r="AF985" s="153" t="s">
        <v>51</v>
      </c>
      <c r="AG985" s="153" t="s">
        <v>467</v>
      </c>
      <c r="AH985" s="153">
        <v>3.4692329718342103</v>
      </c>
      <c r="AJ985" s="153" t="s">
        <v>52</v>
      </c>
      <c r="AK985" s="153" t="s">
        <v>18</v>
      </c>
      <c r="AL985" s="153" t="s">
        <v>28</v>
      </c>
      <c r="AM985" s="153" t="s">
        <v>51</v>
      </c>
      <c r="AN985" s="153" t="s">
        <v>451</v>
      </c>
      <c r="AO985" s="153">
        <v>1.1826800023165103</v>
      </c>
    </row>
    <row r="986" spans="29:41">
      <c r="AC986" s="153" t="s">
        <v>52</v>
      </c>
      <c r="AD986" s="153" t="s">
        <v>18</v>
      </c>
      <c r="AE986" s="153" t="s">
        <v>72</v>
      </c>
      <c r="AF986" s="153" t="s">
        <v>51</v>
      </c>
      <c r="AG986" s="153" t="s">
        <v>468</v>
      </c>
      <c r="AH986" s="153">
        <v>3.5304800171515964</v>
      </c>
      <c r="AJ986" s="153" t="s">
        <v>52</v>
      </c>
      <c r="AK986" s="153" t="s">
        <v>18</v>
      </c>
      <c r="AL986" s="153" t="s">
        <v>28</v>
      </c>
      <c r="AM986" s="153" t="s">
        <v>51</v>
      </c>
      <c r="AN986" s="153" t="s">
        <v>452</v>
      </c>
      <c r="AO986" s="153">
        <v>1.2217466027100103</v>
      </c>
    </row>
    <row r="987" spans="29:41">
      <c r="AC987" s="153" t="s">
        <v>52</v>
      </c>
      <c r="AD987" s="153" t="s">
        <v>18</v>
      </c>
      <c r="AE987" s="153" t="s">
        <v>72</v>
      </c>
      <c r="AF987" s="153" t="s">
        <v>51</v>
      </c>
      <c r="AG987" s="153" t="s">
        <v>469</v>
      </c>
      <c r="AH987" s="153">
        <v>3.5640712654731899</v>
      </c>
      <c r="AJ987" s="153" t="s">
        <v>52</v>
      </c>
      <c r="AK987" s="153" t="s">
        <v>18</v>
      </c>
      <c r="AL987" s="153" t="s">
        <v>28</v>
      </c>
      <c r="AM987" s="153" t="s">
        <v>51</v>
      </c>
      <c r="AN987" s="153" t="s">
        <v>453</v>
      </c>
      <c r="AO987" s="153">
        <v>1.1984554692510612</v>
      </c>
    </row>
    <row r="988" spans="29:41">
      <c r="AC988" s="153" t="s">
        <v>52</v>
      </c>
      <c r="AD988" s="153" t="s">
        <v>18</v>
      </c>
      <c r="AE988" s="153" t="s">
        <v>72</v>
      </c>
      <c r="AF988" s="153" t="s">
        <v>51</v>
      </c>
      <c r="AG988" s="153" t="s">
        <v>470</v>
      </c>
      <c r="AH988" s="153">
        <v>3.4998842856206775</v>
      </c>
      <c r="AJ988" s="153" t="s">
        <v>52</v>
      </c>
      <c r="AK988" s="153" t="s">
        <v>18</v>
      </c>
      <c r="AL988" s="153" t="s">
        <v>28</v>
      </c>
      <c r="AM988" s="153" t="s">
        <v>51</v>
      </c>
      <c r="AN988" s="153" t="s">
        <v>454</v>
      </c>
      <c r="AO988" s="153">
        <v>1.2478728512891959</v>
      </c>
    </row>
    <row r="989" spans="29:41">
      <c r="AC989" s="153" t="s">
        <v>52</v>
      </c>
      <c r="AD989" s="153" t="s">
        <v>18</v>
      </c>
      <c r="AE989" s="153" t="s">
        <v>72</v>
      </c>
      <c r="AF989" s="153" t="s">
        <v>51</v>
      </c>
      <c r="AG989" s="153" t="s">
        <v>471</v>
      </c>
      <c r="AH989" s="153">
        <v>3.4385259572555285</v>
      </c>
      <c r="AJ989" s="153" t="s">
        <v>52</v>
      </c>
      <c r="AK989" s="153" t="s">
        <v>18</v>
      </c>
      <c r="AL989" s="153" t="s">
        <v>28</v>
      </c>
      <c r="AM989" s="153" t="s">
        <v>51</v>
      </c>
      <c r="AN989" s="153" t="s">
        <v>455</v>
      </c>
      <c r="AO989" s="153">
        <v>1.1438931609857304</v>
      </c>
    </row>
    <row r="990" spans="29:41">
      <c r="AC990" s="153" t="s">
        <v>52</v>
      </c>
      <c r="AD990" s="153" t="s">
        <v>18</v>
      </c>
      <c r="AE990" s="153" t="s">
        <v>72</v>
      </c>
      <c r="AF990" s="153" t="s">
        <v>51</v>
      </c>
      <c r="AG990" s="153" t="s">
        <v>472</v>
      </c>
      <c r="AH990" s="153">
        <v>3.4385259572555285</v>
      </c>
      <c r="AJ990" s="153" t="s">
        <v>52</v>
      </c>
      <c r="AK990" s="153" t="s">
        <v>18</v>
      </c>
      <c r="AL990" s="153" t="s">
        <v>28</v>
      </c>
      <c r="AM990" s="153" t="s">
        <v>51</v>
      </c>
      <c r="AN990" s="153" t="s">
        <v>456</v>
      </c>
      <c r="AO990" s="153">
        <v>1.1747607717142161</v>
      </c>
    </row>
    <row r="991" spans="29:41">
      <c r="AC991" s="153" t="s">
        <v>52</v>
      </c>
      <c r="AD991" s="153" t="s">
        <v>18</v>
      </c>
      <c r="AE991" s="153" t="s">
        <v>72</v>
      </c>
      <c r="AF991" s="153" t="s">
        <v>51</v>
      </c>
      <c r="AG991" s="153" t="s">
        <v>473</v>
      </c>
      <c r="AH991" s="153">
        <v>3.4692329718342103</v>
      </c>
      <c r="AJ991" s="153" t="s">
        <v>52</v>
      </c>
      <c r="AK991" s="153" t="s">
        <v>18</v>
      </c>
      <c r="AL991" s="153" t="s">
        <v>28</v>
      </c>
      <c r="AM991" s="153" t="s">
        <v>51</v>
      </c>
      <c r="AN991" s="153" t="s">
        <v>746</v>
      </c>
      <c r="AO991" s="153">
        <v>1.1747607717142161</v>
      </c>
    </row>
    <row r="992" spans="29:41">
      <c r="AC992" s="153" t="s">
        <v>52</v>
      </c>
      <c r="AD992" s="153" t="s">
        <v>18</v>
      </c>
      <c r="AE992" s="153" t="s">
        <v>72</v>
      </c>
      <c r="AF992" s="153" t="s">
        <v>51</v>
      </c>
      <c r="AG992" s="153" t="s">
        <v>474</v>
      </c>
      <c r="AH992" s="153">
        <v>3.4692329718342103</v>
      </c>
      <c r="AJ992" s="153" t="s">
        <v>52</v>
      </c>
      <c r="AK992" s="153" t="s">
        <v>18</v>
      </c>
      <c r="AL992" s="153" t="s">
        <v>28</v>
      </c>
      <c r="AM992" s="153" t="s">
        <v>51</v>
      </c>
      <c r="AN992" s="153" t="s">
        <v>457</v>
      </c>
      <c r="AO992" s="153">
        <v>1.1576126189903266</v>
      </c>
    </row>
    <row r="993" spans="29:41">
      <c r="AC993" s="153" t="s">
        <v>52</v>
      </c>
      <c r="AD993" s="153" t="s">
        <v>18</v>
      </c>
      <c r="AE993" s="153" t="s">
        <v>72</v>
      </c>
      <c r="AF993" s="153" t="s">
        <v>51</v>
      </c>
      <c r="AG993" s="153" t="s">
        <v>475</v>
      </c>
      <c r="AH993" s="153">
        <v>3.438254991858261</v>
      </c>
      <c r="AJ993" s="153" t="s">
        <v>52</v>
      </c>
      <c r="AK993" s="153" t="s">
        <v>18</v>
      </c>
      <c r="AL993" s="153" t="s">
        <v>28</v>
      </c>
      <c r="AM993" s="153" t="s">
        <v>51</v>
      </c>
      <c r="AN993" s="153" t="s">
        <v>458</v>
      </c>
      <c r="AO993" s="153">
        <v>1.1346576404554412</v>
      </c>
    </row>
    <row r="994" spans="29:41">
      <c r="AC994" s="153" t="s">
        <v>52</v>
      </c>
      <c r="AD994" s="153" t="s">
        <v>18</v>
      </c>
      <c r="AE994" s="153" t="s">
        <v>72</v>
      </c>
      <c r="AF994" s="153" t="s">
        <v>51</v>
      </c>
      <c r="AG994" s="153" t="s">
        <v>476</v>
      </c>
      <c r="AH994" s="153">
        <v>3.438254991858261</v>
      </c>
      <c r="AJ994" s="153" t="s">
        <v>52</v>
      </c>
      <c r="AK994" s="153" t="s">
        <v>18</v>
      </c>
      <c r="AL994" s="153" t="s">
        <v>28</v>
      </c>
      <c r="AM994" s="153" t="s">
        <v>51</v>
      </c>
      <c r="AN994" s="153" t="s">
        <v>459</v>
      </c>
      <c r="AO994" s="153">
        <v>1.160442446128888</v>
      </c>
    </row>
    <row r="995" spans="29:41">
      <c r="AC995" s="153" t="s">
        <v>52</v>
      </c>
      <c r="AD995" s="153" t="s">
        <v>18</v>
      </c>
      <c r="AE995" s="153" t="s">
        <v>72</v>
      </c>
      <c r="AF995" s="153" t="s">
        <v>51</v>
      </c>
      <c r="AG995" s="153" t="s">
        <v>477</v>
      </c>
      <c r="AH995" s="153">
        <v>3.4692329718342103</v>
      </c>
      <c r="AJ995" s="153" t="s">
        <v>52</v>
      </c>
      <c r="AK995" s="153" t="s">
        <v>18</v>
      </c>
      <c r="AL995" s="153" t="s">
        <v>28</v>
      </c>
      <c r="AM995" s="153" t="s">
        <v>51</v>
      </c>
      <c r="AN995" s="153" t="s">
        <v>460</v>
      </c>
      <c r="AO995" s="153">
        <v>1.15596010491687</v>
      </c>
    </row>
    <row r="996" spans="29:41">
      <c r="AC996" s="153" t="s">
        <v>52</v>
      </c>
      <c r="AD996" s="153" t="s">
        <v>18</v>
      </c>
      <c r="AE996" s="153" t="s">
        <v>72</v>
      </c>
      <c r="AF996" s="153" t="s">
        <v>51</v>
      </c>
      <c r="AG996" s="153" t="s">
        <v>478</v>
      </c>
      <c r="AH996" s="153">
        <v>3.4385259572555285</v>
      </c>
      <c r="AJ996" s="153" t="s">
        <v>52</v>
      </c>
      <c r="AK996" s="153" t="s">
        <v>18</v>
      </c>
      <c r="AL996" s="153" t="s">
        <v>28</v>
      </c>
      <c r="AM996" s="153" t="s">
        <v>51</v>
      </c>
      <c r="AN996" s="153" t="s">
        <v>461</v>
      </c>
      <c r="AO996" s="153">
        <v>1.0794977431249908</v>
      </c>
    </row>
    <row r="997" spans="29:41">
      <c r="AC997" s="153" t="s">
        <v>52</v>
      </c>
      <c r="AD997" s="153" t="s">
        <v>18</v>
      </c>
      <c r="AE997" s="153" t="s">
        <v>72</v>
      </c>
      <c r="AF997" s="153" t="s">
        <v>51</v>
      </c>
      <c r="AG997" s="153" t="s">
        <v>479</v>
      </c>
      <c r="AH997" s="153">
        <v>3.4074962925917163</v>
      </c>
      <c r="AJ997" s="153" t="s">
        <v>52</v>
      </c>
      <c r="AK997" s="153" t="s">
        <v>18</v>
      </c>
      <c r="AL997" s="153" t="s">
        <v>28</v>
      </c>
      <c r="AM997" s="153" t="s">
        <v>51</v>
      </c>
      <c r="AN997" s="153" t="s">
        <v>462</v>
      </c>
      <c r="AO997" s="153">
        <v>1.1142492773710642</v>
      </c>
    </row>
    <row r="998" spans="29:41">
      <c r="AC998" s="153" t="s">
        <v>52</v>
      </c>
      <c r="AD998" s="153" t="s">
        <v>18</v>
      </c>
      <c r="AE998" s="153" t="s">
        <v>72</v>
      </c>
      <c r="AF998" s="153" t="s">
        <v>51</v>
      </c>
      <c r="AG998" s="153" t="s">
        <v>480</v>
      </c>
      <c r="AH998" s="153">
        <v>3.4385259572555285</v>
      </c>
      <c r="AJ998" s="153" t="s">
        <v>52</v>
      </c>
      <c r="AK998" s="153" t="s">
        <v>18</v>
      </c>
      <c r="AL998" s="153" t="s">
        <v>28</v>
      </c>
      <c r="AM998" s="153" t="s">
        <v>51</v>
      </c>
      <c r="AN998" s="153" t="s">
        <v>463</v>
      </c>
      <c r="AO998" s="153">
        <v>1.1102219567386711</v>
      </c>
    </row>
    <row r="999" spans="29:41">
      <c r="AC999" s="153" t="s">
        <v>52</v>
      </c>
      <c r="AD999" s="153" t="s">
        <v>18</v>
      </c>
      <c r="AE999" s="153" t="s">
        <v>72</v>
      </c>
      <c r="AF999" s="153" t="s">
        <v>51</v>
      </c>
      <c r="AG999" s="153" t="s">
        <v>481</v>
      </c>
      <c r="AH999" s="153">
        <v>3.438254991858261</v>
      </c>
      <c r="AJ999" s="153" t="s">
        <v>52</v>
      </c>
      <c r="AK999" s="153" t="s">
        <v>18</v>
      </c>
      <c r="AL999" s="153" t="s">
        <v>28</v>
      </c>
      <c r="AM999" s="153" t="s">
        <v>51</v>
      </c>
      <c r="AN999" s="153" t="s">
        <v>464</v>
      </c>
      <c r="AO999" s="153">
        <v>1.1224549015727403</v>
      </c>
    </row>
    <row r="1000" spans="29:41">
      <c r="AC1000" s="153" t="s">
        <v>52</v>
      </c>
      <c r="AD1000" s="153" t="s">
        <v>18</v>
      </c>
      <c r="AE1000" s="153" t="s">
        <v>72</v>
      </c>
      <c r="AF1000" s="153" t="s">
        <v>51</v>
      </c>
      <c r="AG1000" s="153" t="s">
        <v>482</v>
      </c>
      <c r="AH1000" s="153">
        <v>3.4692329718342103</v>
      </c>
      <c r="AJ1000" s="153" t="s">
        <v>52</v>
      </c>
      <c r="AK1000" s="153" t="s">
        <v>18</v>
      </c>
      <c r="AL1000" s="153" t="s">
        <v>28</v>
      </c>
      <c r="AM1000" s="153" t="s">
        <v>51</v>
      </c>
      <c r="AN1000" s="153" t="s">
        <v>465</v>
      </c>
      <c r="AO1000" s="153">
        <v>1.1490185477786075</v>
      </c>
    </row>
    <row r="1001" spans="29:41">
      <c r="AC1001" s="153" t="s">
        <v>52</v>
      </c>
      <c r="AD1001" s="153" t="s">
        <v>18</v>
      </c>
      <c r="AE1001" s="153" t="s">
        <v>72</v>
      </c>
      <c r="AF1001" s="153" t="s">
        <v>51</v>
      </c>
      <c r="AG1001" s="153" t="s">
        <v>483</v>
      </c>
      <c r="AH1001" s="153">
        <v>3.4385259572555285</v>
      </c>
      <c r="AJ1001" s="153" t="s">
        <v>52</v>
      </c>
      <c r="AK1001" s="153" t="s">
        <v>18</v>
      </c>
      <c r="AL1001" s="153" t="s">
        <v>28</v>
      </c>
      <c r="AM1001" s="153" t="s">
        <v>51</v>
      </c>
      <c r="AN1001" s="153" t="s">
        <v>466</v>
      </c>
      <c r="AO1001" s="153">
        <v>1.1275163545347275</v>
      </c>
    </row>
    <row r="1002" spans="29:41">
      <c r="AC1002" s="153" t="s">
        <v>52</v>
      </c>
      <c r="AD1002" s="153" t="s">
        <v>18</v>
      </c>
      <c r="AE1002" s="153" t="s">
        <v>72</v>
      </c>
      <c r="AF1002" s="153" t="s">
        <v>51</v>
      </c>
      <c r="AG1002" s="153" t="s">
        <v>484</v>
      </c>
      <c r="AH1002" s="153">
        <v>3.4385259572555285</v>
      </c>
      <c r="AJ1002" s="153" t="s">
        <v>52</v>
      </c>
      <c r="AK1002" s="153" t="s">
        <v>18</v>
      </c>
      <c r="AL1002" s="153" t="s">
        <v>28</v>
      </c>
      <c r="AM1002" s="153" t="s">
        <v>51</v>
      </c>
      <c r="AN1002" s="153" t="s">
        <v>467</v>
      </c>
      <c r="AO1002" s="153">
        <v>1.0864989420722899</v>
      </c>
    </row>
    <row r="1003" spans="29:41">
      <c r="AC1003" s="153" t="s">
        <v>52</v>
      </c>
      <c r="AD1003" s="153" t="s">
        <v>18</v>
      </c>
      <c r="AE1003" s="153" t="s">
        <v>72</v>
      </c>
      <c r="AF1003" s="153" t="s">
        <v>51</v>
      </c>
      <c r="AG1003" s="153" t="s">
        <v>485</v>
      </c>
      <c r="AH1003" s="153">
        <v>3.4692329718342103</v>
      </c>
      <c r="AJ1003" s="153" t="s">
        <v>52</v>
      </c>
      <c r="AK1003" s="153" t="s">
        <v>18</v>
      </c>
      <c r="AL1003" s="153" t="s">
        <v>28</v>
      </c>
      <c r="AM1003" s="153" t="s">
        <v>51</v>
      </c>
      <c r="AN1003" s="153" t="s">
        <v>468</v>
      </c>
      <c r="AO1003" s="153">
        <v>1.1391654747505469</v>
      </c>
    </row>
    <row r="1004" spans="29:41">
      <c r="AC1004" s="153" t="s">
        <v>52</v>
      </c>
      <c r="AD1004" s="153" t="s">
        <v>18</v>
      </c>
      <c r="AE1004" s="153" t="s">
        <v>72</v>
      </c>
      <c r="AF1004" s="153" t="s">
        <v>51</v>
      </c>
      <c r="AG1004" s="153" t="s">
        <v>486</v>
      </c>
      <c r="AH1004" s="153">
        <v>3.4385259572555285</v>
      </c>
      <c r="AJ1004" s="153" t="s">
        <v>52</v>
      </c>
      <c r="AK1004" s="153" t="s">
        <v>18</v>
      </c>
      <c r="AL1004" s="153" t="s">
        <v>28</v>
      </c>
      <c r="AM1004" s="153" t="s">
        <v>51</v>
      </c>
      <c r="AN1004" s="153" t="s">
        <v>469</v>
      </c>
      <c r="AO1004" s="153">
        <v>1.22253160331532</v>
      </c>
    </row>
    <row r="1005" spans="29:41">
      <c r="AC1005" s="153" t="s">
        <v>52</v>
      </c>
      <c r="AD1005" s="153" t="s">
        <v>18</v>
      </c>
      <c r="AE1005" s="153" t="s">
        <v>72</v>
      </c>
      <c r="AF1005" s="153" t="s">
        <v>51</v>
      </c>
      <c r="AG1005" s="153" t="s">
        <v>487</v>
      </c>
      <c r="AH1005" s="153">
        <v>3.4385259572555285</v>
      </c>
      <c r="AJ1005" s="153" t="s">
        <v>52</v>
      </c>
      <c r="AK1005" s="153" t="s">
        <v>18</v>
      </c>
      <c r="AL1005" s="153" t="s">
        <v>28</v>
      </c>
      <c r="AM1005" s="153" t="s">
        <v>51</v>
      </c>
      <c r="AN1005" s="153" t="s">
        <v>470</v>
      </c>
      <c r="AO1005" s="153">
        <v>1.1783893744342675</v>
      </c>
    </row>
    <row r="1006" spans="29:41">
      <c r="AC1006" s="153" t="s">
        <v>52</v>
      </c>
      <c r="AD1006" s="153" t="s">
        <v>18</v>
      </c>
      <c r="AE1006" s="153" t="s">
        <v>72</v>
      </c>
      <c r="AF1006" s="153" t="s">
        <v>51</v>
      </c>
      <c r="AG1006" s="153" t="s">
        <v>488</v>
      </c>
      <c r="AH1006" s="153">
        <v>3.4692329718342103</v>
      </c>
      <c r="AJ1006" s="153" t="s">
        <v>52</v>
      </c>
      <c r="AK1006" s="153" t="s">
        <v>18</v>
      </c>
      <c r="AL1006" s="153" t="s">
        <v>28</v>
      </c>
      <c r="AM1006" s="153" t="s">
        <v>51</v>
      </c>
      <c r="AN1006" s="153" t="s">
        <v>471</v>
      </c>
      <c r="AO1006" s="153">
        <v>1.1726498867445381</v>
      </c>
    </row>
    <row r="1007" spans="29:41">
      <c r="AC1007" s="153" t="s">
        <v>52</v>
      </c>
      <c r="AD1007" s="153" t="s">
        <v>18</v>
      </c>
      <c r="AE1007" s="153" t="s">
        <v>72</v>
      </c>
      <c r="AF1007" s="153" t="s">
        <v>51</v>
      </c>
      <c r="AG1007" s="153" t="s">
        <v>489</v>
      </c>
      <c r="AH1007" s="153">
        <v>3.4385259572555285</v>
      </c>
      <c r="AJ1007" s="153" t="s">
        <v>52</v>
      </c>
      <c r="AK1007" s="153" t="s">
        <v>18</v>
      </c>
      <c r="AL1007" s="153" t="s">
        <v>28</v>
      </c>
      <c r="AM1007" s="153" t="s">
        <v>51</v>
      </c>
      <c r="AN1007" s="153" t="s">
        <v>472</v>
      </c>
      <c r="AO1007" s="153">
        <v>1.1482002606324884</v>
      </c>
    </row>
    <row r="1008" spans="29:41">
      <c r="AC1008" s="153" t="s">
        <v>52</v>
      </c>
      <c r="AD1008" s="153" t="s">
        <v>18</v>
      </c>
      <c r="AE1008" s="153" t="s">
        <v>72</v>
      </c>
      <c r="AF1008" s="153" t="s">
        <v>51</v>
      </c>
      <c r="AG1008" s="153" t="s">
        <v>423</v>
      </c>
      <c r="AH1008" s="153">
        <v>3.4692329718342103</v>
      </c>
      <c r="AJ1008" s="153" t="s">
        <v>52</v>
      </c>
      <c r="AK1008" s="153" t="s">
        <v>18</v>
      </c>
      <c r="AL1008" s="153" t="s">
        <v>28</v>
      </c>
      <c r="AM1008" s="153" t="s">
        <v>51</v>
      </c>
      <c r="AN1008" s="153" t="s">
        <v>473</v>
      </c>
      <c r="AO1008" s="153">
        <v>1.1407091852838405</v>
      </c>
    </row>
    <row r="1009" spans="29:41">
      <c r="AC1009" s="153" t="s">
        <v>52</v>
      </c>
      <c r="AD1009" s="153" t="s">
        <v>18</v>
      </c>
      <c r="AE1009" s="153" t="s">
        <v>72</v>
      </c>
      <c r="AF1009" s="153" t="s">
        <v>51</v>
      </c>
      <c r="AG1009" s="153" t="s">
        <v>490</v>
      </c>
      <c r="AH1009" s="153">
        <v>3.4692329718342103</v>
      </c>
      <c r="AJ1009" s="153" t="s">
        <v>52</v>
      </c>
      <c r="AK1009" s="153" t="s">
        <v>18</v>
      </c>
      <c r="AL1009" s="153" t="s">
        <v>28</v>
      </c>
      <c r="AM1009" s="153" t="s">
        <v>51</v>
      </c>
      <c r="AN1009" s="153" t="s">
        <v>474</v>
      </c>
      <c r="AO1009" s="153">
        <v>1.1337037111507802</v>
      </c>
    </row>
    <row r="1010" spans="29:41">
      <c r="AC1010" s="153" t="s">
        <v>52</v>
      </c>
      <c r="AD1010" s="153" t="s">
        <v>18</v>
      </c>
      <c r="AE1010" s="153" t="s">
        <v>72</v>
      </c>
      <c r="AF1010" s="153" t="s">
        <v>51</v>
      </c>
      <c r="AG1010" s="153" t="s">
        <v>491</v>
      </c>
      <c r="AH1010" s="153">
        <v>3.4689577298953638</v>
      </c>
      <c r="AJ1010" s="153" t="s">
        <v>52</v>
      </c>
      <c r="AK1010" s="153" t="s">
        <v>18</v>
      </c>
      <c r="AL1010" s="153" t="s">
        <v>28</v>
      </c>
      <c r="AM1010" s="153" t="s">
        <v>51</v>
      </c>
      <c r="AN1010" s="153" t="s">
        <v>475</v>
      </c>
      <c r="AO1010" s="153">
        <v>1.1420353482023411</v>
      </c>
    </row>
    <row r="1011" spans="29:41">
      <c r="AC1011" s="153" t="s">
        <v>52</v>
      </c>
      <c r="AD1011" s="153" t="s">
        <v>18</v>
      </c>
      <c r="AE1011" s="153" t="s">
        <v>72</v>
      </c>
      <c r="AF1011" s="153" t="s">
        <v>51</v>
      </c>
      <c r="AG1011" s="153" t="s">
        <v>492</v>
      </c>
      <c r="AH1011" s="153">
        <v>3.4689577298953638</v>
      </c>
      <c r="AJ1011" s="153" t="s">
        <v>52</v>
      </c>
      <c r="AK1011" s="153" t="s">
        <v>18</v>
      </c>
      <c r="AL1011" s="153" t="s">
        <v>28</v>
      </c>
      <c r="AM1011" s="153" t="s">
        <v>51</v>
      </c>
      <c r="AN1011" s="153" t="s">
        <v>476</v>
      </c>
      <c r="AO1011" s="153">
        <v>1.0764920948208412</v>
      </c>
    </row>
    <row r="1012" spans="29:41">
      <c r="AC1012" s="153" t="s">
        <v>52</v>
      </c>
      <c r="AD1012" s="153" t="s">
        <v>18</v>
      </c>
      <c r="AE1012" s="153" t="s">
        <v>72</v>
      </c>
      <c r="AF1012" s="153" t="s">
        <v>51</v>
      </c>
      <c r="AG1012" s="153" t="s">
        <v>493</v>
      </c>
      <c r="AH1012" s="153">
        <v>3.5640712654731899</v>
      </c>
      <c r="AJ1012" s="153" t="s">
        <v>52</v>
      </c>
      <c r="AK1012" s="153" t="s">
        <v>18</v>
      </c>
      <c r="AL1012" s="153" t="s">
        <v>28</v>
      </c>
      <c r="AM1012" s="153" t="s">
        <v>51</v>
      </c>
      <c r="AN1012" s="153" t="s">
        <v>477</v>
      </c>
      <c r="AO1012" s="153">
        <v>1.1001047754676905</v>
      </c>
    </row>
    <row r="1013" spans="29:41">
      <c r="AC1013" s="153" t="s">
        <v>52</v>
      </c>
      <c r="AD1013" s="153" t="s">
        <v>18</v>
      </c>
      <c r="AE1013" s="153" t="s">
        <v>72</v>
      </c>
      <c r="AF1013" s="153" t="s">
        <v>51</v>
      </c>
      <c r="AG1013" s="153" t="s">
        <v>494</v>
      </c>
      <c r="AH1013" s="153">
        <v>3.5304800171515964</v>
      </c>
      <c r="AJ1013" s="153" t="s">
        <v>52</v>
      </c>
      <c r="AK1013" s="153" t="s">
        <v>18</v>
      </c>
      <c r="AL1013" s="153" t="s">
        <v>28</v>
      </c>
      <c r="AM1013" s="153" t="s">
        <v>51</v>
      </c>
      <c r="AN1013" s="153" t="s">
        <v>478</v>
      </c>
      <c r="AO1013" s="153">
        <v>1.1073354793658983</v>
      </c>
    </row>
    <row r="1014" spans="29:41">
      <c r="AC1014" s="153" t="s">
        <v>52</v>
      </c>
      <c r="AD1014" s="153" t="s">
        <v>18</v>
      </c>
      <c r="AE1014" s="153" t="s">
        <v>72</v>
      </c>
      <c r="AF1014" s="153" t="s">
        <v>51</v>
      </c>
      <c r="AG1014" s="153" t="s">
        <v>495</v>
      </c>
      <c r="AH1014" s="153">
        <v>3.5304800171515964</v>
      </c>
      <c r="AJ1014" s="153" t="s">
        <v>52</v>
      </c>
      <c r="AK1014" s="153" t="s">
        <v>18</v>
      </c>
      <c r="AL1014" s="153" t="s">
        <v>28</v>
      </c>
      <c r="AM1014" s="153" t="s">
        <v>51</v>
      </c>
      <c r="AN1014" s="153" t="s">
        <v>479</v>
      </c>
      <c r="AO1014" s="153">
        <v>1.1134192426116161</v>
      </c>
    </row>
    <row r="1015" spans="29:41">
      <c r="AC1015" s="153" t="s">
        <v>52</v>
      </c>
      <c r="AD1015" s="153" t="s">
        <v>18</v>
      </c>
      <c r="AE1015" s="153" t="s">
        <v>72</v>
      </c>
      <c r="AF1015" s="153" t="s">
        <v>51</v>
      </c>
      <c r="AG1015" s="153" t="s">
        <v>496</v>
      </c>
      <c r="AH1015" s="153">
        <v>3.4998842856206775</v>
      </c>
      <c r="AJ1015" s="153" t="s">
        <v>52</v>
      </c>
      <c r="AK1015" s="153" t="s">
        <v>18</v>
      </c>
      <c r="AL1015" s="153" t="s">
        <v>28</v>
      </c>
      <c r="AM1015" s="153" t="s">
        <v>51</v>
      </c>
      <c r="AN1015" s="153" t="s">
        <v>747</v>
      </c>
      <c r="AO1015" s="153">
        <v>1.1134192426116161</v>
      </c>
    </row>
    <row r="1016" spans="29:41">
      <c r="AC1016" s="153" t="s">
        <v>52</v>
      </c>
      <c r="AD1016" s="153" t="s">
        <v>18</v>
      </c>
      <c r="AE1016" s="153" t="s">
        <v>72</v>
      </c>
      <c r="AF1016" s="153" t="s">
        <v>51</v>
      </c>
      <c r="AG1016" s="153" t="s">
        <v>497</v>
      </c>
      <c r="AH1016" s="153">
        <v>3.4998842856206775</v>
      </c>
      <c r="AJ1016" s="153" t="s">
        <v>52</v>
      </c>
      <c r="AK1016" s="153" t="s">
        <v>18</v>
      </c>
      <c r="AL1016" s="153" t="s">
        <v>28</v>
      </c>
      <c r="AM1016" s="153" t="s">
        <v>51</v>
      </c>
      <c r="AN1016" s="153" t="s">
        <v>748</v>
      </c>
      <c r="AO1016" s="153">
        <v>1.1134192426116161</v>
      </c>
    </row>
    <row r="1017" spans="29:41">
      <c r="AC1017" s="153" t="s">
        <v>52</v>
      </c>
      <c r="AD1017" s="153" t="s">
        <v>18</v>
      </c>
      <c r="AE1017" s="153" t="s">
        <v>72</v>
      </c>
      <c r="AF1017" s="153" t="s">
        <v>51</v>
      </c>
      <c r="AG1017" s="153" t="s">
        <v>498</v>
      </c>
      <c r="AH1017" s="153">
        <v>3.4998842856206775</v>
      </c>
      <c r="AJ1017" s="153" t="s">
        <v>52</v>
      </c>
      <c r="AK1017" s="153" t="s">
        <v>18</v>
      </c>
      <c r="AL1017" s="153" t="s">
        <v>28</v>
      </c>
      <c r="AM1017" s="153" t="s">
        <v>51</v>
      </c>
      <c r="AN1017" s="153" t="s">
        <v>480</v>
      </c>
      <c r="AO1017" s="153">
        <v>1.096516814140748</v>
      </c>
    </row>
    <row r="1018" spans="29:41">
      <c r="AC1018" s="153" t="s">
        <v>52</v>
      </c>
      <c r="AD1018" s="153" t="s">
        <v>18</v>
      </c>
      <c r="AE1018" s="153" t="s">
        <v>72</v>
      </c>
      <c r="AF1018" s="153" t="s">
        <v>51</v>
      </c>
      <c r="AG1018" s="153" t="s">
        <v>499</v>
      </c>
      <c r="AH1018" s="153">
        <v>3.5304800171515964</v>
      </c>
      <c r="AJ1018" s="153" t="s">
        <v>52</v>
      </c>
      <c r="AK1018" s="153" t="s">
        <v>18</v>
      </c>
      <c r="AL1018" s="153" t="s">
        <v>28</v>
      </c>
      <c r="AM1018" s="153" t="s">
        <v>51</v>
      </c>
      <c r="AN1018" s="153" t="s">
        <v>481</v>
      </c>
      <c r="AO1018" s="153">
        <v>1.0795077839054212</v>
      </c>
    </row>
    <row r="1019" spans="29:41">
      <c r="AC1019" s="153" t="s">
        <v>52</v>
      </c>
      <c r="AD1019" s="153" t="s">
        <v>18</v>
      </c>
      <c r="AE1019" s="153" t="s">
        <v>72</v>
      </c>
      <c r="AF1019" s="153" t="s">
        <v>51</v>
      </c>
      <c r="AG1019" s="153" t="s">
        <v>500</v>
      </c>
      <c r="AH1019" s="153">
        <v>3.5304800171515964</v>
      </c>
      <c r="AJ1019" s="153" t="s">
        <v>52</v>
      </c>
      <c r="AK1019" s="153" t="s">
        <v>18</v>
      </c>
      <c r="AL1019" s="153" t="s">
        <v>28</v>
      </c>
      <c r="AM1019" s="153" t="s">
        <v>51</v>
      </c>
      <c r="AN1019" s="153" t="s">
        <v>482</v>
      </c>
      <c r="AO1019" s="153">
        <v>1.1196269899735403</v>
      </c>
    </row>
    <row r="1020" spans="29:41">
      <c r="AC1020" s="153" t="s">
        <v>52</v>
      </c>
      <c r="AD1020" s="153" t="s">
        <v>18</v>
      </c>
      <c r="AE1020" s="153" t="s">
        <v>72</v>
      </c>
      <c r="AF1020" s="153" t="s">
        <v>51</v>
      </c>
      <c r="AG1020" s="153" t="s">
        <v>501</v>
      </c>
      <c r="AH1020" s="153">
        <v>3.5304800171515964</v>
      </c>
      <c r="AJ1020" s="153" t="s">
        <v>52</v>
      </c>
      <c r="AK1020" s="153" t="s">
        <v>18</v>
      </c>
      <c r="AL1020" s="153" t="s">
        <v>28</v>
      </c>
      <c r="AM1020" s="153" t="s">
        <v>51</v>
      </c>
      <c r="AN1020" s="153" t="s">
        <v>483</v>
      </c>
      <c r="AO1020" s="153">
        <v>1.1165102507157483</v>
      </c>
    </row>
    <row r="1021" spans="29:41">
      <c r="AC1021" s="153" t="s">
        <v>52</v>
      </c>
      <c r="AD1021" s="153" t="s">
        <v>18</v>
      </c>
      <c r="AE1021" s="153" t="s">
        <v>72</v>
      </c>
      <c r="AF1021" s="153" t="s">
        <v>51</v>
      </c>
      <c r="AG1021" s="153" t="s">
        <v>502</v>
      </c>
      <c r="AH1021" s="153">
        <v>3.4385259572555285</v>
      </c>
      <c r="AJ1021" s="153" t="s">
        <v>52</v>
      </c>
      <c r="AK1021" s="153" t="s">
        <v>18</v>
      </c>
      <c r="AL1021" s="153" t="s">
        <v>28</v>
      </c>
      <c r="AM1021" s="153" t="s">
        <v>51</v>
      </c>
      <c r="AN1021" s="153" t="s">
        <v>484</v>
      </c>
      <c r="AO1021" s="153">
        <v>1.0641180100263183</v>
      </c>
    </row>
    <row r="1022" spans="29:41">
      <c r="AC1022" s="153" t="s">
        <v>52</v>
      </c>
      <c r="AD1022" s="153" t="s">
        <v>18</v>
      </c>
      <c r="AE1022" s="153" t="s">
        <v>72</v>
      </c>
      <c r="AF1022" s="153" t="s">
        <v>51</v>
      </c>
      <c r="AG1022" s="153" t="s">
        <v>422</v>
      </c>
      <c r="AH1022" s="153">
        <v>3.4077631230667786</v>
      </c>
      <c r="AJ1022" s="153" t="s">
        <v>52</v>
      </c>
      <c r="AK1022" s="153" t="s">
        <v>18</v>
      </c>
      <c r="AL1022" s="153" t="s">
        <v>28</v>
      </c>
      <c r="AM1022" s="153" t="s">
        <v>51</v>
      </c>
      <c r="AN1022" s="153" t="s">
        <v>485</v>
      </c>
      <c r="AO1022" s="153">
        <v>1.11846685829513</v>
      </c>
    </row>
    <row r="1023" spans="29:41">
      <c r="AC1023" s="153" t="s">
        <v>52</v>
      </c>
      <c r="AD1023" s="153" t="s">
        <v>18</v>
      </c>
      <c r="AE1023" s="153" t="s">
        <v>72</v>
      </c>
      <c r="AF1023" s="153" t="s">
        <v>51</v>
      </c>
      <c r="AG1023" s="153" t="s">
        <v>503</v>
      </c>
      <c r="AH1023" s="153">
        <v>3.438254991858261</v>
      </c>
      <c r="AJ1023" s="153" t="s">
        <v>52</v>
      </c>
      <c r="AK1023" s="153" t="s">
        <v>18</v>
      </c>
      <c r="AL1023" s="153" t="s">
        <v>28</v>
      </c>
      <c r="AM1023" s="153" t="s">
        <v>51</v>
      </c>
      <c r="AN1023" s="153" t="s">
        <v>486</v>
      </c>
      <c r="AO1023" s="153">
        <v>1.0931312489135683</v>
      </c>
    </row>
    <row r="1024" spans="29:41">
      <c r="AC1024" s="153" t="s">
        <v>52</v>
      </c>
      <c r="AD1024" s="153" t="s">
        <v>18</v>
      </c>
      <c r="AE1024" s="153" t="s">
        <v>72</v>
      </c>
      <c r="AF1024" s="153" t="s">
        <v>51</v>
      </c>
      <c r="AG1024" s="153" t="s">
        <v>504</v>
      </c>
      <c r="AH1024" s="153">
        <v>3.4689577298953638</v>
      </c>
      <c r="AJ1024" s="153" t="s">
        <v>52</v>
      </c>
      <c r="AK1024" s="153" t="s">
        <v>18</v>
      </c>
      <c r="AL1024" s="153" t="s">
        <v>28</v>
      </c>
      <c r="AM1024" s="153" t="s">
        <v>51</v>
      </c>
      <c r="AN1024" s="153" t="s">
        <v>487</v>
      </c>
      <c r="AO1024" s="153">
        <v>1.0897081313744081</v>
      </c>
    </row>
    <row r="1025" spans="29:41">
      <c r="AC1025" s="153" t="s">
        <v>52</v>
      </c>
      <c r="AD1025" s="153" t="s">
        <v>18</v>
      </c>
      <c r="AE1025" s="153" t="s">
        <v>72</v>
      </c>
      <c r="AF1025" s="153" t="s">
        <v>51</v>
      </c>
      <c r="AG1025" s="153" t="s">
        <v>505</v>
      </c>
      <c r="AH1025" s="153">
        <v>3.4077631230667786</v>
      </c>
      <c r="AJ1025" s="153" t="s">
        <v>52</v>
      </c>
      <c r="AK1025" s="153" t="s">
        <v>18</v>
      </c>
      <c r="AL1025" s="153" t="s">
        <v>28</v>
      </c>
      <c r="AM1025" s="153" t="s">
        <v>51</v>
      </c>
      <c r="AN1025" s="153" t="s">
        <v>749</v>
      </c>
      <c r="AO1025" s="153">
        <v>1.0897081313744081</v>
      </c>
    </row>
    <row r="1026" spans="29:41">
      <c r="AC1026" s="153" t="s">
        <v>52</v>
      </c>
      <c r="AD1026" s="153" t="s">
        <v>18</v>
      </c>
      <c r="AE1026" s="153" t="s">
        <v>72</v>
      </c>
      <c r="AF1026" s="153" t="s">
        <v>51</v>
      </c>
      <c r="AG1026" s="153" t="s">
        <v>421</v>
      </c>
      <c r="AH1026" s="153">
        <v>3.4689577298953638</v>
      </c>
      <c r="AJ1026" s="153" t="s">
        <v>52</v>
      </c>
      <c r="AK1026" s="153" t="s">
        <v>18</v>
      </c>
      <c r="AL1026" s="153" t="s">
        <v>28</v>
      </c>
      <c r="AM1026" s="153" t="s">
        <v>51</v>
      </c>
      <c r="AN1026" s="153" t="s">
        <v>750</v>
      </c>
      <c r="AO1026" s="153">
        <v>1.0897081313744081</v>
      </c>
    </row>
    <row r="1027" spans="29:41">
      <c r="AC1027" s="153" t="s">
        <v>52</v>
      </c>
      <c r="AD1027" s="153" t="s">
        <v>18</v>
      </c>
      <c r="AE1027" s="153" t="s">
        <v>72</v>
      </c>
      <c r="AF1027" s="153" t="s">
        <v>51</v>
      </c>
      <c r="AG1027" s="153" t="s">
        <v>506</v>
      </c>
      <c r="AH1027" s="153">
        <v>3.4689577298953638</v>
      </c>
      <c r="AJ1027" s="153" t="s">
        <v>52</v>
      </c>
      <c r="AK1027" s="153" t="s">
        <v>18</v>
      </c>
      <c r="AL1027" s="153" t="s">
        <v>28</v>
      </c>
      <c r="AM1027" s="153" t="s">
        <v>51</v>
      </c>
      <c r="AN1027" s="153" t="s">
        <v>488</v>
      </c>
      <c r="AO1027" s="153">
        <v>1.1055538116441905</v>
      </c>
    </row>
    <row r="1028" spans="29:41">
      <c r="AC1028" s="153" t="s">
        <v>52</v>
      </c>
      <c r="AD1028" s="153" t="s">
        <v>18</v>
      </c>
      <c r="AE1028" s="153" t="s">
        <v>72</v>
      </c>
      <c r="AF1028" s="153" t="s">
        <v>51</v>
      </c>
      <c r="AG1028" s="153" t="s">
        <v>507</v>
      </c>
      <c r="AH1028" s="153">
        <v>3.4996046260141411</v>
      </c>
      <c r="AJ1028" s="153" t="s">
        <v>52</v>
      </c>
      <c r="AK1028" s="153" t="s">
        <v>18</v>
      </c>
      <c r="AL1028" s="153" t="s">
        <v>28</v>
      </c>
      <c r="AM1028" s="153" t="s">
        <v>51</v>
      </c>
      <c r="AN1028" s="153" t="s">
        <v>489</v>
      </c>
      <c r="AO1028" s="153">
        <v>1.0711365797189083</v>
      </c>
    </row>
    <row r="1029" spans="29:41">
      <c r="AC1029" s="153" t="s">
        <v>52</v>
      </c>
      <c r="AD1029" s="153" t="s">
        <v>18</v>
      </c>
      <c r="AE1029" s="153" t="s">
        <v>72</v>
      </c>
      <c r="AF1029" s="153" t="s">
        <v>51</v>
      </c>
      <c r="AG1029" s="153" t="s">
        <v>508</v>
      </c>
      <c r="AH1029" s="153">
        <v>3.4385259572555285</v>
      </c>
      <c r="AJ1029" s="153" t="s">
        <v>52</v>
      </c>
      <c r="AK1029" s="153" t="s">
        <v>18</v>
      </c>
      <c r="AL1029" s="153" t="s">
        <v>28</v>
      </c>
      <c r="AM1029" s="153" t="s">
        <v>51</v>
      </c>
      <c r="AN1029" s="153" t="s">
        <v>423</v>
      </c>
      <c r="AO1029" s="153">
        <v>1.1026194320411002</v>
      </c>
    </row>
    <row r="1030" spans="29:41">
      <c r="AC1030" s="153" t="s">
        <v>52</v>
      </c>
      <c r="AD1030" s="153" t="s">
        <v>18</v>
      </c>
      <c r="AE1030" s="153" t="s">
        <v>72</v>
      </c>
      <c r="AF1030" s="153" t="s">
        <v>51</v>
      </c>
      <c r="AG1030" s="153" t="s">
        <v>509</v>
      </c>
      <c r="AH1030" s="153">
        <v>3.4385259572555285</v>
      </c>
      <c r="AJ1030" s="153" t="s">
        <v>52</v>
      </c>
      <c r="AK1030" s="153" t="s">
        <v>18</v>
      </c>
      <c r="AL1030" s="153" t="s">
        <v>28</v>
      </c>
      <c r="AM1030" s="153" t="s">
        <v>51</v>
      </c>
      <c r="AN1030" s="153" t="s">
        <v>490</v>
      </c>
      <c r="AO1030" s="153">
        <v>1.08891727087594</v>
      </c>
    </row>
    <row r="1031" spans="29:41">
      <c r="AC1031" s="153" t="s">
        <v>52</v>
      </c>
      <c r="AD1031" s="153" t="s">
        <v>18</v>
      </c>
      <c r="AE1031" s="153" t="s">
        <v>72</v>
      </c>
      <c r="AF1031" s="153" t="s">
        <v>51</v>
      </c>
      <c r="AG1031" s="153" t="s">
        <v>510</v>
      </c>
      <c r="AH1031" s="153">
        <v>3.4692329718342103</v>
      </c>
      <c r="AJ1031" s="153" t="s">
        <v>52</v>
      </c>
      <c r="AK1031" s="153" t="s">
        <v>18</v>
      </c>
      <c r="AL1031" s="153" t="s">
        <v>28</v>
      </c>
      <c r="AM1031" s="153" t="s">
        <v>51</v>
      </c>
      <c r="AN1031" s="153" t="s">
        <v>751</v>
      </c>
      <c r="AO1031" s="153">
        <v>1.08891727087594</v>
      </c>
    </row>
    <row r="1032" spans="29:41">
      <c r="AC1032" s="153" t="s">
        <v>52</v>
      </c>
      <c r="AD1032" s="153" t="s">
        <v>18</v>
      </c>
      <c r="AE1032" s="153" t="s">
        <v>72</v>
      </c>
      <c r="AF1032" s="153" t="s">
        <v>51</v>
      </c>
      <c r="AG1032" s="153" t="s">
        <v>511</v>
      </c>
      <c r="AH1032" s="153">
        <v>3.4998842856206775</v>
      </c>
      <c r="AJ1032" s="153" t="s">
        <v>52</v>
      </c>
      <c r="AK1032" s="153" t="s">
        <v>18</v>
      </c>
      <c r="AL1032" s="153" t="s">
        <v>28</v>
      </c>
      <c r="AM1032" s="153" t="s">
        <v>51</v>
      </c>
      <c r="AN1032" s="153" t="s">
        <v>752</v>
      </c>
      <c r="AO1032" s="153">
        <v>1.08891727087594</v>
      </c>
    </row>
    <row r="1033" spans="29:41">
      <c r="AC1033" s="153" t="s">
        <v>52</v>
      </c>
      <c r="AD1033" s="153" t="s">
        <v>18</v>
      </c>
      <c r="AE1033" s="153" t="s">
        <v>72</v>
      </c>
      <c r="AF1033" s="153" t="s">
        <v>51</v>
      </c>
      <c r="AG1033" s="153" t="s">
        <v>512</v>
      </c>
      <c r="AH1033" s="153">
        <v>3.5304800171515964</v>
      </c>
      <c r="AJ1033" s="153" t="s">
        <v>52</v>
      </c>
      <c r="AK1033" s="153" t="s">
        <v>18</v>
      </c>
      <c r="AL1033" s="153" t="s">
        <v>28</v>
      </c>
      <c r="AM1033" s="153" t="s">
        <v>51</v>
      </c>
      <c r="AN1033" s="153" t="s">
        <v>491</v>
      </c>
      <c r="AO1033" s="153">
        <v>1.1237419098930539</v>
      </c>
    </row>
    <row r="1034" spans="29:41">
      <c r="AC1034" s="153" t="s">
        <v>52</v>
      </c>
      <c r="AD1034" s="153" t="s">
        <v>18</v>
      </c>
      <c r="AE1034" s="153" t="s">
        <v>72</v>
      </c>
      <c r="AF1034" s="153" t="s">
        <v>51</v>
      </c>
      <c r="AG1034" s="153" t="s">
        <v>513</v>
      </c>
      <c r="AH1034" s="153">
        <v>3.4998842856206775</v>
      </c>
      <c r="AJ1034" s="153" t="s">
        <v>52</v>
      </c>
      <c r="AK1034" s="153" t="s">
        <v>18</v>
      </c>
      <c r="AL1034" s="153" t="s">
        <v>28</v>
      </c>
      <c r="AM1034" s="153" t="s">
        <v>51</v>
      </c>
      <c r="AN1034" s="153" t="s">
        <v>492</v>
      </c>
      <c r="AO1034" s="153">
        <v>1.0846704469712636</v>
      </c>
    </row>
    <row r="1035" spans="29:41">
      <c r="AC1035" s="153" t="s">
        <v>52</v>
      </c>
      <c r="AD1035" s="153" t="s">
        <v>18</v>
      </c>
      <c r="AE1035" s="153" t="s">
        <v>72</v>
      </c>
      <c r="AF1035" s="153" t="s">
        <v>51</v>
      </c>
      <c r="AG1035" s="153" t="s">
        <v>514</v>
      </c>
      <c r="AH1035" s="153">
        <v>3.4998842856206775</v>
      </c>
      <c r="AJ1035" s="153" t="s">
        <v>52</v>
      </c>
      <c r="AK1035" s="153" t="s">
        <v>18</v>
      </c>
      <c r="AL1035" s="153" t="s">
        <v>28</v>
      </c>
      <c r="AM1035" s="153" t="s">
        <v>51</v>
      </c>
      <c r="AN1035" s="153" t="s">
        <v>753</v>
      </c>
      <c r="AO1035" s="153">
        <v>1.0846704469712636</v>
      </c>
    </row>
    <row r="1036" spans="29:41">
      <c r="AC1036" s="153" t="s">
        <v>52</v>
      </c>
      <c r="AD1036" s="153" t="s">
        <v>18</v>
      </c>
      <c r="AE1036" s="153" t="s">
        <v>72</v>
      </c>
      <c r="AF1036" s="153" t="s">
        <v>51</v>
      </c>
      <c r="AG1036" s="153" t="s">
        <v>515</v>
      </c>
      <c r="AH1036" s="153">
        <v>3.5640712654731899</v>
      </c>
      <c r="AJ1036" s="153" t="s">
        <v>52</v>
      </c>
      <c r="AK1036" s="153" t="s">
        <v>18</v>
      </c>
      <c r="AL1036" s="153" t="s">
        <v>28</v>
      </c>
      <c r="AM1036" s="153" t="s">
        <v>51</v>
      </c>
      <c r="AN1036" s="153" t="s">
        <v>493</v>
      </c>
      <c r="AO1036" s="153">
        <v>1.1212107289698299</v>
      </c>
    </row>
    <row r="1037" spans="29:41">
      <c r="AC1037" s="153" t="s">
        <v>52</v>
      </c>
      <c r="AD1037" s="153" t="s">
        <v>18</v>
      </c>
      <c r="AE1037" s="153" t="s">
        <v>72</v>
      </c>
      <c r="AF1037" s="153" t="s">
        <v>51</v>
      </c>
      <c r="AG1037" s="153" t="s">
        <v>516</v>
      </c>
      <c r="AH1037" s="153">
        <v>3.5304800171515964</v>
      </c>
      <c r="AJ1037" s="153" t="s">
        <v>52</v>
      </c>
      <c r="AK1037" s="153" t="s">
        <v>18</v>
      </c>
      <c r="AL1037" s="153" t="s">
        <v>28</v>
      </c>
      <c r="AM1037" s="153" t="s">
        <v>51</v>
      </c>
      <c r="AN1037" s="153" t="s">
        <v>494</v>
      </c>
      <c r="AO1037" s="153">
        <v>1.0545304140737364</v>
      </c>
    </row>
    <row r="1038" spans="29:41">
      <c r="AC1038" s="153" t="s">
        <v>52</v>
      </c>
      <c r="AD1038" s="153" t="s">
        <v>18</v>
      </c>
      <c r="AE1038" s="153" t="s">
        <v>72</v>
      </c>
      <c r="AF1038" s="153" t="s">
        <v>51</v>
      </c>
      <c r="AG1038" s="153" t="s">
        <v>517</v>
      </c>
      <c r="AH1038" s="153">
        <v>3.5640712654731899</v>
      </c>
      <c r="AJ1038" s="153" t="s">
        <v>52</v>
      </c>
      <c r="AK1038" s="153" t="s">
        <v>18</v>
      </c>
      <c r="AL1038" s="153" t="s">
        <v>28</v>
      </c>
      <c r="AM1038" s="153" t="s">
        <v>51</v>
      </c>
      <c r="AN1038" s="153" t="s">
        <v>495</v>
      </c>
      <c r="AO1038" s="153">
        <v>1.0852304543630467</v>
      </c>
    </row>
    <row r="1039" spans="29:41">
      <c r="AC1039" s="153" t="s">
        <v>52</v>
      </c>
      <c r="AD1039" s="153" t="s">
        <v>18</v>
      </c>
      <c r="AE1039" s="153" t="s">
        <v>72</v>
      </c>
      <c r="AF1039" s="153" t="s">
        <v>51</v>
      </c>
      <c r="AG1039" s="153" t="s">
        <v>518</v>
      </c>
      <c r="AH1039" s="153">
        <v>3.5304800171515964</v>
      </c>
      <c r="AJ1039" s="153" t="s">
        <v>52</v>
      </c>
      <c r="AK1039" s="153" t="s">
        <v>18</v>
      </c>
      <c r="AL1039" s="153" t="s">
        <v>28</v>
      </c>
      <c r="AM1039" s="153" t="s">
        <v>51</v>
      </c>
      <c r="AN1039" s="153" t="s">
        <v>496</v>
      </c>
      <c r="AO1039" s="153">
        <v>1.0458406437092573</v>
      </c>
    </row>
    <row r="1040" spans="29:41">
      <c r="AC1040" s="153" t="s">
        <v>52</v>
      </c>
      <c r="AD1040" s="153" t="s">
        <v>18</v>
      </c>
      <c r="AE1040" s="153" t="s">
        <v>72</v>
      </c>
      <c r="AF1040" s="153" t="s">
        <v>51</v>
      </c>
      <c r="AG1040" s="153" t="s">
        <v>519</v>
      </c>
      <c r="AH1040" s="153">
        <v>3.5304800171515964</v>
      </c>
      <c r="AJ1040" s="153" t="s">
        <v>52</v>
      </c>
      <c r="AK1040" s="153" t="s">
        <v>18</v>
      </c>
      <c r="AL1040" s="153" t="s">
        <v>28</v>
      </c>
      <c r="AM1040" s="153" t="s">
        <v>51</v>
      </c>
      <c r="AN1040" s="153" t="s">
        <v>497</v>
      </c>
      <c r="AO1040" s="153">
        <v>1.0451792806122573</v>
      </c>
    </row>
    <row r="1041" spans="29:41">
      <c r="AC1041" s="153" t="s">
        <v>52</v>
      </c>
      <c r="AD1041" s="153" t="s">
        <v>18</v>
      </c>
      <c r="AE1041" s="153" t="s">
        <v>72</v>
      </c>
      <c r="AF1041" s="153" t="s">
        <v>51</v>
      </c>
      <c r="AG1041" s="153" t="s">
        <v>520</v>
      </c>
      <c r="AH1041" s="153">
        <v>3.4998842856206775</v>
      </c>
      <c r="AJ1041" s="153" t="s">
        <v>52</v>
      </c>
      <c r="AK1041" s="153" t="s">
        <v>18</v>
      </c>
      <c r="AL1041" s="153" t="s">
        <v>28</v>
      </c>
      <c r="AM1041" s="153" t="s">
        <v>51</v>
      </c>
      <c r="AN1041" s="153" t="s">
        <v>498</v>
      </c>
      <c r="AO1041" s="153">
        <v>1.0293642573802775</v>
      </c>
    </row>
    <row r="1042" spans="29:41">
      <c r="AC1042" s="153" t="s">
        <v>52</v>
      </c>
      <c r="AD1042" s="153" t="s">
        <v>18</v>
      </c>
      <c r="AE1042" s="153" t="s">
        <v>72</v>
      </c>
      <c r="AF1042" s="153" t="s">
        <v>51</v>
      </c>
      <c r="AG1042" s="153" t="s">
        <v>521</v>
      </c>
      <c r="AH1042" s="153">
        <v>3.5640712654731899</v>
      </c>
      <c r="AJ1042" s="78" t="s">
        <v>52</v>
      </c>
      <c r="AK1042" s="78" t="s">
        <v>18</v>
      </c>
      <c r="AL1042" s="78" t="s">
        <v>28</v>
      </c>
      <c r="AM1042" s="78" t="s">
        <v>51</v>
      </c>
      <c r="AN1042" s="78" t="s">
        <v>499</v>
      </c>
      <c r="AO1042" s="78">
        <v>1.0627365600968768</v>
      </c>
    </row>
    <row r="1043" spans="29:41">
      <c r="AC1043" s="153" t="s">
        <v>52</v>
      </c>
      <c r="AD1043" s="153" t="s">
        <v>18</v>
      </c>
      <c r="AE1043" s="153" t="s">
        <v>72</v>
      </c>
      <c r="AF1043" s="153" t="s">
        <v>51</v>
      </c>
      <c r="AG1043" s="153" t="s">
        <v>522</v>
      </c>
      <c r="AH1043" s="153">
        <v>3.5945506588933029</v>
      </c>
      <c r="AJ1043" s="78" t="s">
        <v>52</v>
      </c>
      <c r="AK1043" s="78" t="s">
        <v>18</v>
      </c>
      <c r="AL1043" s="78" t="s">
        <v>28</v>
      </c>
      <c r="AM1043" s="78" t="s">
        <v>51</v>
      </c>
      <c r="AN1043" s="78" t="s">
        <v>500</v>
      </c>
      <c r="AO1043" s="78">
        <v>1.0832501928305167</v>
      </c>
    </row>
    <row r="1044" spans="29:41">
      <c r="AC1044" s="153" t="s">
        <v>52</v>
      </c>
      <c r="AD1044" s="153" t="s">
        <v>18</v>
      </c>
      <c r="AE1044" s="153" t="s">
        <v>72</v>
      </c>
      <c r="AF1044" s="153" t="s">
        <v>51</v>
      </c>
      <c r="AG1044" s="153" t="s">
        <v>523</v>
      </c>
      <c r="AH1044" s="153">
        <v>3.5316313316850221</v>
      </c>
      <c r="AJ1044" s="78" t="s">
        <v>52</v>
      </c>
      <c r="AK1044" s="78" t="s">
        <v>18</v>
      </c>
      <c r="AL1044" s="78" t="s">
        <v>28</v>
      </c>
      <c r="AM1044" s="78" t="s">
        <v>51</v>
      </c>
      <c r="AN1044" s="78" t="s">
        <v>501</v>
      </c>
      <c r="AO1044" s="78">
        <v>1.1074901405411268</v>
      </c>
    </row>
    <row r="1045" spans="29:41">
      <c r="AC1045" s="153" t="s">
        <v>52</v>
      </c>
      <c r="AD1045" s="153" t="s">
        <v>18</v>
      </c>
      <c r="AE1045" s="153" t="s">
        <v>72</v>
      </c>
      <c r="AF1045" s="153" t="s">
        <v>51</v>
      </c>
      <c r="AG1045" s="153" t="s">
        <v>524</v>
      </c>
      <c r="AH1045" s="153">
        <v>3.5621741407473531</v>
      </c>
      <c r="AJ1045" s="78" t="s">
        <v>52</v>
      </c>
      <c r="AK1045" s="78" t="s">
        <v>18</v>
      </c>
      <c r="AL1045" s="78" t="s">
        <v>28</v>
      </c>
      <c r="AM1045" s="78" t="s">
        <v>51</v>
      </c>
      <c r="AN1045" s="78" t="s">
        <v>502</v>
      </c>
      <c r="AO1045" s="78">
        <v>1.0843488668870183</v>
      </c>
    </row>
    <row r="1046" spans="29:41">
      <c r="AC1046" s="153" t="s">
        <v>52</v>
      </c>
      <c r="AD1046" s="153" t="s">
        <v>18</v>
      </c>
      <c r="AE1046" s="153" t="s">
        <v>72</v>
      </c>
      <c r="AF1046" s="153" t="s">
        <v>51</v>
      </c>
      <c r="AG1046" s="153" t="s">
        <v>525</v>
      </c>
      <c r="AH1046" s="153">
        <v>3.5316313316850221</v>
      </c>
      <c r="AJ1046" s="78" t="s">
        <v>52</v>
      </c>
      <c r="AK1046" s="78" t="s">
        <v>18</v>
      </c>
      <c r="AL1046" s="78" t="s">
        <v>28</v>
      </c>
      <c r="AM1046" s="78" t="s">
        <v>51</v>
      </c>
      <c r="AN1046" s="78" t="s">
        <v>422</v>
      </c>
      <c r="AO1046" s="78">
        <v>1.0873032653466885</v>
      </c>
    </row>
    <row r="1047" spans="29:41">
      <c r="AC1047" s="153" t="s">
        <v>52</v>
      </c>
      <c r="AD1047" s="153" t="s">
        <v>18</v>
      </c>
      <c r="AE1047" s="153" t="s">
        <v>72</v>
      </c>
      <c r="AF1047" s="153" t="s">
        <v>51</v>
      </c>
      <c r="AG1047" s="153" t="s">
        <v>526</v>
      </c>
      <c r="AH1047" s="153">
        <v>3.5621741407473531</v>
      </c>
      <c r="AJ1047" s="78" t="s">
        <v>52</v>
      </c>
      <c r="AK1047" s="78" t="s">
        <v>18</v>
      </c>
      <c r="AL1047" s="78" t="s">
        <v>28</v>
      </c>
      <c r="AM1047" s="78" t="s">
        <v>51</v>
      </c>
      <c r="AN1047" s="78" t="s">
        <v>503</v>
      </c>
      <c r="AO1047" s="78">
        <v>1.1346454452883414</v>
      </c>
    </row>
    <row r="1048" spans="29:41">
      <c r="AC1048" s="153" t="s">
        <v>52</v>
      </c>
      <c r="AD1048" s="153" t="s">
        <v>18</v>
      </c>
      <c r="AE1048" s="153" t="s">
        <v>72</v>
      </c>
      <c r="AF1048" s="153" t="s">
        <v>51</v>
      </c>
      <c r="AG1048" s="153" t="s">
        <v>527</v>
      </c>
      <c r="AH1048" s="153">
        <v>3.5316313316850221</v>
      </c>
      <c r="AJ1048" s="78" t="s">
        <v>52</v>
      </c>
      <c r="AK1048" s="78" t="s">
        <v>18</v>
      </c>
      <c r="AL1048" s="78" t="s">
        <v>28</v>
      </c>
      <c r="AM1048" s="78" t="s">
        <v>51</v>
      </c>
      <c r="AN1048" s="78" t="s">
        <v>504</v>
      </c>
      <c r="AO1048" s="78">
        <v>1.1514012053440839</v>
      </c>
    </row>
    <row r="1049" spans="29:41">
      <c r="AC1049" s="153" t="s">
        <v>52</v>
      </c>
      <c r="AD1049" s="153" t="s">
        <v>18</v>
      </c>
      <c r="AE1049" s="153" t="s">
        <v>72</v>
      </c>
      <c r="AF1049" s="153" t="s">
        <v>51</v>
      </c>
      <c r="AG1049" s="153" t="s">
        <v>528</v>
      </c>
      <c r="AH1049" s="153">
        <v>3.5621741407473531</v>
      </c>
      <c r="AJ1049" s="78" t="s">
        <v>52</v>
      </c>
      <c r="AK1049" s="78" t="s">
        <v>18</v>
      </c>
      <c r="AL1049" s="78" t="s">
        <v>28</v>
      </c>
      <c r="AM1049" s="78" t="s">
        <v>51</v>
      </c>
      <c r="AN1049" s="78" t="s">
        <v>505</v>
      </c>
      <c r="AO1049" s="78">
        <v>1.0919694963497886</v>
      </c>
    </row>
    <row r="1050" spans="29:41">
      <c r="AC1050" s="153" t="s">
        <v>52</v>
      </c>
      <c r="AD1050" s="153" t="s">
        <v>18</v>
      </c>
      <c r="AE1050" s="153" t="s">
        <v>72</v>
      </c>
      <c r="AF1050" s="153" t="s">
        <v>51</v>
      </c>
      <c r="AG1050" s="153" t="s">
        <v>529</v>
      </c>
      <c r="AH1050" s="153">
        <v>3.5621741407473531</v>
      </c>
      <c r="AJ1050" s="78" t="s">
        <v>52</v>
      </c>
      <c r="AK1050" s="78" t="s">
        <v>18</v>
      </c>
      <c r="AL1050" s="78" t="s">
        <v>28</v>
      </c>
      <c r="AM1050" s="78" t="s">
        <v>51</v>
      </c>
      <c r="AN1050" s="78" t="s">
        <v>421</v>
      </c>
      <c r="AO1050" s="78">
        <v>1.1239330023850136</v>
      </c>
    </row>
    <row r="1051" spans="29:41">
      <c r="AC1051" s="153" t="s">
        <v>52</v>
      </c>
      <c r="AD1051" s="153" t="s">
        <v>18</v>
      </c>
      <c r="AE1051" s="153" t="s">
        <v>72</v>
      </c>
      <c r="AF1051" s="153" t="s">
        <v>51</v>
      </c>
      <c r="AG1051" s="153" t="s">
        <v>530</v>
      </c>
      <c r="AH1051" s="153">
        <v>3.5316313316850221</v>
      </c>
      <c r="AJ1051" s="78" t="s">
        <v>52</v>
      </c>
      <c r="AK1051" s="78" t="s">
        <v>18</v>
      </c>
      <c r="AL1051" s="78" t="s">
        <v>28</v>
      </c>
      <c r="AM1051" s="78" t="s">
        <v>51</v>
      </c>
      <c r="AN1051" s="78" t="s">
        <v>506</v>
      </c>
      <c r="AO1051" s="78">
        <v>1.1096346938575739</v>
      </c>
    </row>
    <row r="1052" spans="29:41">
      <c r="AC1052" s="153" t="s">
        <v>52</v>
      </c>
      <c r="AD1052" s="153" t="s">
        <v>18</v>
      </c>
      <c r="AE1052" s="153" t="s">
        <v>72</v>
      </c>
      <c r="AF1052" s="153" t="s">
        <v>51</v>
      </c>
      <c r="AG1052" s="153" t="s">
        <v>531</v>
      </c>
      <c r="AH1052" s="153">
        <v>3.5945506588933029</v>
      </c>
      <c r="AJ1052" s="78" t="s">
        <v>52</v>
      </c>
      <c r="AK1052" s="78" t="s">
        <v>18</v>
      </c>
      <c r="AL1052" s="78" t="s">
        <v>28</v>
      </c>
      <c r="AM1052" s="78" t="s">
        <v>51</v>
      </c>
      <c r="AN1052" s="78" t="s">
        <v>507</v>
      </c>
      <c r="AO1052" s="78">
        <v>1.098867837763061</v>
      </c>
    </row>
    <row r="1053" spans="29:41">
      <c r="AC1053" s="153" t="s">
        <v>52</v>
      </c>
      <c r="AD1053" s="153" t="s">
        <v>18</v>
      </c>
      <c r="AE1053" s="153" t="s">
        <v>72</v>
      </c>
      <c r="AF1053" s="153" t="s">
        <v>51</v>
      </c>
      <c r="AG1053" s="153" t="s">
        <v>532</v>
      </c>
      <c r="AH1053" s="153">
        <v>3.6888572908327415</v>
      </c>
      <c r="AJ1053" s="78" t="s">
        <v>52</v>
      </c>
      <c r="AK1053" s="78" t="s">
        <v>18</v>
      </c>
      <c r="AL1053" s="78" t="s">
        <v>28</v>
      </c>
      <c r="AM1053" s="78" t="s">
        <v>51</v>
      </c>
      <c r="AN1053" s="78" t="s">
        <v>508</v>
      </c>
      <c r="AO1053" s="78">
        <v>1.0154294588052579</v>
      </c>
    </row>
    <row r="1054" spans="29:41">
      <c r="AC1054" s="153" t="s">
        <v>52</v>
      </c>
      <c r="AD1054" s="153" t="s">
        <v>18</v>
      </c>
      <c r="AE1054" s="153" t="s">
        <v>72</v>
      </c>
      <c r="AF1054" s="153" t="s">
        <v>51</v>
      </c>
      <c r="AG1054" s="153" t="s">
        <v>533</v>
      </c>
      <c r="AH1054" s="153">
        <v>3.8124950348616728</v>
      </c>
      <c r="AJ1054" s="78" t="s">
        <v>52</v>
      </c>
      <c r="AK1054" s="78" t="s">
        <v>18</v>
      </c>
      <c r="AL1054" s="78" t="s">
        <v>28</v>
      </c>
      <c r="AM1054" s="78" t="s">
        <v>51</v>
      </c>
      <c r="AN1054" s="78" t="s">
        <v>509</v>
      </c>
      <c r="AO1054" s="78">
        <v>0.9959698253516579</v>
      </c>
    </row>
    <row r="1055" spans="29:41">
      <c r="AC1055" s="153" t="s">
        <v>52</v>
      </c>
      <c r="AD1055" s="153" t="s">
        <v>18</v>
      </c>
      <c r="AE1055" s="153" t="s">
        <v>72</v>
      </c>
      <c r="AF1055" s="153" t="s">
        <v>51</v>
      </c>
      <c r="AG1055" s="153" t="s">
        <v>534</v>
      </c>
      <c r="AH1055" s="153">
        <v>3.9361387568601574</v>
      </c>
      <c r="AJ1055" s="78" t="s">
        <v>52</v>
      </c>
      <c r="AK1055" s="78" t="s">
        <v>18</v>
      </c>
      <c r="AL1055" s="78" t="s">
        <v>28</v>
      </c>
      <c r="AM1055" s="78" t="s">
        <v>51</v>
      </c>
      <c r="AN1055" s="78" t="s">
        <v>510</v>
      </c>
      <c r="AO1055" s="78">
        <v>1.0197593871967805</v>
      </c>
    </row>
    <row r="1056" spans="29:41">
      <c r="AC1056" s="153" t="s">
        <v>52</v>
      </c>
      <c r="AD1056" s="153" t="s">
        <v>18</v>
      </c>
      <c r="AE1056" s="153" t="s">
        <v>72</v>
      </c>
      <c r="AF1056" s="153" t="s">
        <v>51</v>
      </c>
      <c r="AG1056" s="153" t="s">
        <v>535</v>
      </c>
      <c r="AH1056" s="153">
        <v>4.0314060668582723</v>
      </c>
      <c r="AJ1056" s="78" t="s">
        <v>52</v>
      </c>
      <c r="AK1056" s="78" t="s">
        <v>18</v>
      </c>
      <c r="AL1056" s="78" t="s">
        <v>28</v>
      </c>
      <c r="AM1056" s="78" t="s">
        <v>51</v>
      </c>
      <c r="AN1056" s="78" t="s">
        <v>511</v>
      </c>
      <c r="AO1056" s="78">
        <v>1.0263601653900074</v>
      </c>
    </row>
    <row r="1057" spans="29:41">
      <c r="AC1057" s="153" t="s">
        <v>52</v>
      </c>
      <c r="AD1057" s="153" t="s">
        <v>18</v>
      </c>
      <c r="AE1057" s="153" t="s">
        <v>72</v>
      </c>
      <c r="AF1057" s="153" t="s">
        <v>51</v>
      </c>
      <c r="AG1057" s="153" t="s">
        <v>536</v>
      </c>
      <c r="AH1057" s="153">
        <v>3.9361387568601574</v>
      </c>
      <c r="AJ1057" s="78" t="s">
        <v>52</v>
      </c>
      <c r="AK1057" s="78" t="s">
        <v>18</v>
      </c>
      <c r="AL1057" s="78" t="s">
        <v>28</v>
      </c>
      <c r="AM1057" s="78" t="s">
        <v>51</v>
      </c>
      <c r="AN1057" s="78" t="s">
        <v>512</v>
      </c>
      <c r="AO1057" s="78">
        <v>1.0395852648610167</v>
      </c>
    </row>
    <row r="1058" spans="29:41">
      <c r="AC1058" s="153" t="s">
        <v>52</v>
      </c>
      <c r="AD1058" s="153" t="s">
        <v>18</v>
      </c>
      <c r="AE1058" s="153" t="s">
        <v>72</v>
      </c>
      <c r="AF1058" s="153" t="s">
        <v>51</v>
      </c>
      <c r="AG1058" s="153" t="s">
        <v>537</v>
      </c>
      <c r="AH1058" s="153">
        <v>3.968948344733974</v>
      </c>
      <c r="AJ1058" s="78" t="s">
        <v>52</v>
      </c>
      <c r="AK1058" s="78" t="s">
        <v>18</v>
      </c>
      <c r="AL1058" s="78" t="s">
        <v>28</v>
      </c>
      <c r="AM1058" s="78" t="s">
        <v>51</v>
      </c>
      <c r="AN1058" s="78" t="s">
        <v>513</v>
      </c>
      <c r="AO1058" s="78">
        <v>1.0432134251107676</v>
      </c>
    </row>
    <row r="1059" spans="29:41">
      <c r="AC1059" s="153" t="s">
        <v>52</v>
      </c>
      <c r="AD1059" s="153" t="s">
        <v>18</v>
      </c>
      <c r="AE1059" s="153" t="s">
        <v>72</v>
      </c>
      <c r="AF1059" s="153" t="s">
        <v>51</v>
      </c>
      <c r="AG1059" s="153" t="s">
        <v>538</v>
      </c>
      <c r="AH1059" s="153">
        <v>4.0936300339223344</v>
      </c>
      <c r="AJ1059" s="78" t="s">
        <v>52</v>
      </c>
      <c r="AK1059" s="78" t="s">
        <v>18</v>
      </c>
      <c r="AL1059" s="78" t="s">
        <v>28</v>
      </c>
      <c r="AM1059" s="78" t="s">
        <v>51</v>
      </c>
      <c r="AN1059" s="78" t="s">
        <v>514</v>
      </c>
      <c r="AO1059" s="78">
        <v>0.99673044091928742</v>
      </c>
    </row>
    <row r="1060" spans="29:41">
      <c r="AC1060" s="153" t="s">
        <v>52</v>
      </c>
      <c r="AD1060" s="153" t="s">
        <v>18</v>
      </c>
      <c r="AE1060" s="153" t="s">
        <v>72</v>
      </c>
      <c r="AF1060" s="153" t="s">
        <v>51</v>
      </c>
      <c r="AG1060" s="153" t="s">
        <v>539</v>
      </c>
      <c r="AH1060" s="153">
        <v>4.0301218665618999</v>
      </c>
      <c r="AJ1060" s="78" t="s">
        <v>52</v>
      </c>
      <c r="AK1060" s="78" t="s">
        <v>18</v>
      </c>
      <c r="AL1060" s="78" t="s">
        <v>28</v>
      </c>
      <c r="AM1060" s="78" t="s">
        <v>51</v>
      </c>
      <c r="AN1060" s="78" t="s">
        <v>515</v>
      </c>
      <c r="AO1060" s="78">
        <v>1.0774207673016498</v>
      </c>
    </row>
    <row r="1061" spans="29:41">
      <c r="AC1061" s="153" t="s">
        <v>52</v>
      </c>
      <c r="AD1061" s="153" t="s">
        <v>18</v>
      </c>
      <c r="AE1061" s="153" t="s">
        <v>72</v>
      </c>
      <c r="AF1061" s="153" t="s">
        <v>51</v>
      </c>
      <c r="AG1061" s="153" t="s">
        <v>540</v>
      </c>
      <c r="AH1061" s="153">
        <v>4.0301218665618999</v>
      </c>
      <c r="AJ1061" s="78" t="s">
        <v>52</v>
      </c>
      <c r="AK1061" s="78" t="s">
        <v>18</v>
      </c>
      <c r="AL1061" s="78" t="s">
        <v>28</v>
      </c>
      <c r="AM1061" s="78" t="s">
        <v>51</v>
      </c>
      <c r="AN1061" s="78" t="s">
        <v>516</v>
      </c>
      <c r="AO1061" s="78">
        <v>1.0649613458642664</v>
      </c>
    </row>
    <row r="1062" spans="29:41">
      <c r="AC1062" s="153" t="s">
        <v>52</v>
      </c>
      <c r="AD1062" s="153" t="s">
        <v>18</v>
      </c>
      <c r="AE1062" s="153" t="s">
        <v>72</v>
      </c>
      <c r="AF1062" s="153" t="s">
        <v>51</v>
      </c>
      <c r="AG1062" s="153" t="s">
        <v>541</v>
      </c>
      <c r="AH1062" s="153">
        <v>4.1867556587570789</v>
      </c>
      <c r="AJ1062" s="78" t="s">
        <v>52</v>
      </c>
      <c r="AK1062" s="78" t="s">
        <v>18</v>
      </c>
      <c r="AL1062" s="78" t="s">
        <v>28</v>
      </c>
      <c r="AM1062" s="78" t="s">
        <v>51</v>
      </c>
      <c r="AN1062" s="78" t="s">
        <v>517</v>
      </c>
      <c r="AO1062" s="78">
        <v>1.1001135648727498</v>
      </c>
    </row>
    <row r="1063" spans="29:41">
      <c r="AC1063" s="153" t="s">
        <v>52</v>
      </c>
      <c r="AD1063" s="153" t="s">
        <v>18</v>
      </c>
      <c r="AE1063" s="153" t="s">
        <v>72</v>
      </c>
      <c r="AF1063" s="153" t="s">
        <v>51</v>
      </c>
      <c r="AG1063" s="153" t="s">
        <v>542</v>
      </c>
      <c r="AH1063" s="153">
        <v>4.1573150337364799</v>
      </c>
      <c r="AJ1063" s="78" t="s">
        <v>52</v>
      </c>
      <c r="AK1063" s="78" t="s">
        <v>18</v>
      </c>
      <c r="AL1063" s="78" t="s">
        <v>28</v>
      </c>
      <c r="AM1063" s="78" t="s">
        <v>51</v>
      </c>
      <c r="AN1063" s="78" t="s">
        <v>518</v>
      </c>
      <c r="AO1063" s="78">
        <v>1.0722086307612364</v>
      </c>
    </row>
    <row r="1064" spans="29:41">
      <c r="AC1064" s="153" t="s">
        <v>52</v>
      </c>
      <c r="AD1064" s="153" t="s">
        <v>18</v>
      </c>
      <c r="AE1064" s="153" t="s">
        <v>72</v>
      </c>
      <c r="AF1064" s="153" t="s">
        <v>51</v>
      </c>
      <c r="AG1064" s="153" t="s">
        <v>543</v>
      </c>
      <c r="AH1064" s="153">
        <v>4.1248698203088709</v>
      </c>
      <c r="AJ1064" s="78" t="s">
        <v>52</v>
      </c>
      <c r="AK1064" s="78" t="s">
        <v>18</v>
      </c>
      <c r="AL1064" s="78" t="s">
        <v>28</v>
      </c>
      <c r="AM1064" s="78" t="s">
        <v>51</v>
      </c>
      <c r="AN1064" s="78" t="s">
        <v>519</v>
      </c>
      <c r="AO1064" s="78">
        <v>1.0818023125929368</v>
      </c>
    </row>
    <row r="1065" spans="29:41">
      <c r="AC1065" s="153" t="s">
        <v>52</v>
      </c>
      <c r="AD1065" s="153" t="s">
        <v>18</v>
      </c>
      <c r="AE1065" s="153" t="s">
        <v>72</v>
      </c>
      <c r="AF1065" s="153" t="s">
        <v>51</v>
      </c>
      <c r="AG1065" s="153" t="s">
        <v>544</v>
      </c>
      <c r="AH1065" s="153">
        <v>4.0627523635008007</v>
      </c>
      <c r="AJ1065" s="78" t="s">
        <v>52</v>
      </c>
      <c r="AK1065" s="78" t="s">
        <v>18</v>
      </c>
      <c r="AL1065" s="78" t="s">
        <v>28</v>
      </c>
      <c r="AM1065" s="78" t="s">
        <v>51</v>
      </c>
      <c r="AN1065" s="78" t="s">
        <v>520</v>
      </c>
      <c r="AO1065" s="78">
        <v>1.0346193161617876</v>
      </c>
    </row>
    <row r="1066" spans="29:41">
      <c r="AC1066" s="153" t="s">
        <v>52</v>
      </c>
      <c r="AD1066" s="153" t="s">
        <v>18</v>
      </c>
      <c r="AE1066" s="153" t="s">
        <v>72</v>
      </c>
      <c r="AF1066" s="153" t="s">
        <v>51</v>
      </c>
      <c r="AG1066" s="153" t="s">
        <v>545</v>
      </c>
      <c r="AH1066" s="153">
        <v>4.1248698203088709</v>
      </c>
      <c r="AJ1066" s="78" t="s">
        <v>52</v>
      </c>
      <c r="AK1066" s="78" t="s">
        <v>18</v>
      </c>
      <c r="AL1066" s="78" t="s">
        <v>28</v>
      </c>
      <c r="AM1066" s="78" t="s">
        <v>51</v>
      </c>
      <c r="AN1066" s="78" t="s">
        <v>521</v>
      </c>
      <c r="AO1066" s="78">
        <v>1.0979406220724397</v>
      </c>
    </row>
    <row r="1067" spans="29:41">
      <c r="AC1067" s="153" t="s">
        <v>52</v>
      </c>
      <c r="AD1067" s="153" t="s">
        <v>18</v>
      </c>
      <c r="AE1067" s="153" t="s">
        <v>72</v>
      </c>
      <c r="AF1067" s="153" t="s">
        <v>51</v>
      </c>
      <c r="AG1067" s="153" t="s">
        <v>546</v>
      </c>
      <c r="AH1067" s="153">
        <v>4.1863869638007634</v>
      </c>
      <c r="AJ1067" s="78" t="s">
        <v>52</v>
      </c>
      <c r="AK1067" s="78" t="s">
        <v>18</v>
      </c>
      <c r="AL1067" s="78" t="s">
        <v>28</v>
      </c>
      <c r="AM1067" s="78" t="s">
        <v>51</v>
      </c>
      <c r="AN1067" s="78" t="s">
        <v>522</v>
      </c>
      <c r="AO1067" s="78">
        <v>1.1084931615159233</v>
      </c>
    </row>
    <row r="1068" spans="29:41">
      <c r="AC1068" s="153" t="s">
        <v>52</v>
      </c>
      <c r="AD1068" s="153" t="s">
        <v>18</v>
      </c>
      <c r="AE1068" s="153" t="s">
        <v>72</v>
      </c>
      <c r="AF1068" s="153" t="s">
        <v>51</v>
      </c>
      <c r="AG1068" s="153" t="s">
        <v>547</v>
      </c>
      <c r="AH1068" s="153">
        <v>4.1573150337364799</v>
      </c>
      <c r="AJ1068" s="78" t="s">
        <v>52</v>
      </c>
      <c r="AK1068" s="78" t="s">
        <v>18</v>
      </c>
      <c r="AL1068" s="78" t="s">
        <v>28</v>
      </c>
      <c r="AM1068" s="78" t="s">
        <v>51</v>
      </c>
      <c r="AN1068" s="78" t="s">
        <v>523</v>
      </c>
      <c r="AO1068" s="78">
        <v>1.0017208628304419</v>
      </c>
    </row>
    <row r="1069" spans="29:41">
      <c r="AC1069" s="153" t="s">
        <v>52</v>
      </c>
      <c r="AD1069" s="153" t="s">
        <v>18</v>
      </c>
      <c r="AE1069" s="153" t="s">
        <v>72</v>
      </c>
      <c r="AF1069" s="153" t="s">
        <v>51</v>
      </c>
      <c r="AG1069" s="153" t="s">
        <v>548</v>
      </c>
      <c r="AH1069" s="153">
        <v>4.1573150337364799</v>
      </c>
      <c r="AJ1069" s="78" t="s">
        <v>52</v>
      </c>
      <c r="AK1069" s="78" t="s">
        <v>18</v>
      </c>
      <c r="AL1069" s="78" t="s">
        <v>28</v>
      </c>
      <c r="AM1069" s="78" t="s">
        <v>51</v>
      </c>
      <c r="AN1069" s="78" t="s">
        <v>524</v>
      </c>
      <c r="AO1069" s="78">
        <v>1.0290097680838033</v>
      </c>
    </row>
    <row r="1070" spans="29:41">
      <c r="AC1070" s="153" t="s">
        <v>52</v>
      </c>
      <c r="AD1070" s="153" t="s">
        <v>18</v>
      </c>
      <c r="AE1070" s="153" t="s">
        <v>72</v>
      </c>
      <c r="AF1070" s="153" t="s">
        <v>51</v>
      </c>
      <c r="AG1070" s="153" t="s">
        <v>549</v>
      </c>
      <c r="AH1070" s="153">
        <v>4.1248698203088709</v>
      </c>
      <c r="AJ1070" s="78" t="s">
        <v>52</v>
      </c>
      <c r="AK1070" s="78" t="s">
        <v>18</v>
      </c>
      <c r="AL1070" s="78" t="s">
        <v>28</v>
      </c>
      <c r="AM1070" s="78" t="s">
        <v>51</v>
      </c>
      <c r="AN1070" s="78" t="s">
        <v>525</v>
      </c>
      <c r="AO1070" s="78">
        <v>0.99802186203282217</v>
      </c>
    </row>
    <row r="1071" spans="29:41">
      <c r="AC1071" s="153" t="s">
        <v>52</v>
      </c>
      <c r="AD1071" s="153" t="s">
        <v>18</v>
      </c>
      <c r="AE1071" s="153" t="s">
        <v>72</v>
      </c>
      <c r="AF1071" s="153" t="s">
        <v>51</v>
      </c>
      <c r="AG1071" s="153" t="s">
        <v>550</v>
      </c>
      <c r="AH1071" s="153">
        <v>4.1248698203088709</v>
      </c>
      <c r="AJ1071" s="78" t="s">
        <v>52</v>
      </c>
      <c r="AK1071" s="78" t="s">
        <v>18</v>
      </c>
      <c r="AL1071" s="78" t="s">
        <v>28</v>
      </c>
      <c r="AM1071" s="78" t="s">
        <v>51</v>
      </c>
      <c r="AN1071" s="78" t="s">
        <v>526</v>
      </c>
      <c r="AO1071" s="78">
        <v>1.0325301181684434</v>
      </c>
    </row>
    <row r="1072" spans="29:41">
      <c r="AC1072" s="153" t="s">
        <v>52</v>
      </c>
      <c r="AD1072" s="153" t="s">
        <v>18</v>
      </c>
      <c r="AE1072" s="153" t="s">
        <v>72</v>
      </c>
      <c r="AF1072" s="153" t="s">
        <v>51</v>
      </c>
      <c r="AG1072" s="153" t="s">
        <v>551</v>
      </c>
      <c r="AH1072" s="153">
        <v>4.1573150337364799</v>
      </c>
      <c r="AJ1072" s="78" t="s">
        <v>52</v>
      </c>
      <c r="AK1072" s="78" t="s">
        <v>18</v>
      </c>
      <c r="AL1072" s="78" t="s">
        <v>28</v>
      </c>
      <c r="AM1072" s="78" t="s">
        <v>51</v>
      </c>
      <c r="AN1072" s="78" t="s">
        <v>527</v>
      </c>
      <c r="AO1072" s="78">
        <v>1.0073626861510521</v>
      </c>
    </row>
    <row r="1073" spans="29:41">
      <c r="AC1073" s="153" t="s">
        <v>52</v>
      </c>
      <c r="AD1073" s="153" t="s">
        <v>18</v>
      </c>
      <c r="AE1073" s="153" t="s">
        <v>72</v>
      </c>
      <c r="AF1073" s="153" t="s">
        <v>51</v>
      </c>
      <c r="AG1073" s="153" t="s">
        <v>552</v>
      </c>
      <c r="AH1073" s="153">
        <v>4.1248698203088709</v>
      </c>
      <c r="AJ1073" s="78" t="s">
        <v>52</v>
      </c>
      <c r="AK1073" s="78" t="s">
        <v>18</v>
      </c>
      <c r="AL1073" s="78" t="s">
        <v>28</v>
      </c>
      <c r="AM1073" s="78" t="s">
        <v>51</v>
      </c>
      <c r="AN1073" s="78" t="s">
        <v>528</v>
      </c>
      <c r="AO1073" s="78">
        <v>1.0296558142471233</v>
      </c>
    </row>
    <row r="1074" spans="29:41">
      <c r="AC1074" s="153" t="s">
        <v>52</v>
      </c>
      <c r="AD1074" s="153" t="s">
        <v>18</v>
      </c>
      <c r="AE1074" s="153" t="s">
        <v>72</v>
      </c>
      <c r="AF1074" s="153" t="s">
        <v>51</v>
      </c>
      <c r="AG1074" s="153" t="s">
        <v>553</v>
      </c>
      <c r="AH1074" s="153">
        <v>4.2190799560072145</v>
      </c>
      <c r="AJ1074" s="78" t="s">
        <v>52</v>
      </c>
      <c r="AK1074" s="78" t="s">
        <v>18</v>
      </c>
      <c r="AL1074" s="78" t="s">
        <v>28</v>
      </c>
      <c r="AM1074" s="78" t="s">
        <v>51</v>
      </c>
      <c r="AN1074" s="78" t="s">
        <v>529</v>
      </c>
      <c r="AO1074" s="78">
        <v>1.0451930671642633</v>
      </c>
    </row>
    <row r="1075" spans="29:41">
      <c r="AC1075" s="153" t="s">
        <v>52</v>
      </c>
      <c r="AD1075" s="153" t="s">
        <v>18</v>
      </c>
      <c r="AE1075" s="153" t="s">
        <v>72</v>
      </c>
      <c r="AF1075" s="153" t="s">
        <v>51</v>
      </c>
      <c r="AG1075" s="153" t="s">
        <v>554</v>
      </c>
      <c r="AH1075" s="153">
        <v>4.1573150337364799</v>
      </c>
      <c r="AJ1075" s="78" t="s">
        <v>52</v>
      </c>
      <c r="AK1075" s="78" t="s">
        <v>18</v>
      </c>
      <c r="AL1075" s="78" t="s">
        <v>28</v>
      </c>
      <c r="AM1075" s="78" t="s">
        <v>51</v>
      </c>
      <c r="AN1075" s="78" t="s">
        <v>530</v>
      </c>
      <c r="AO1075" s="78">
        <v>0.98788025956727221</v>
      </c>
    </row>
    <row r="1076" spans="29:41">
      <c r="AC1076" s="153" t="s">
        <v>52</v>
      </c>
      <c r="AD1076" s="153" t="s">
        <v>18</v>
      </c>
      <c r="AE1076" s="153" t="s">
        <v>72</v>
      </c>
      <c r="AF1076" s="153" t="s">
        <v>51</v>
      </c>
      <c r="AG1076" s="153" t="s">
        <v>555</v>
      </c>
      <c r="AH1076" s="153">
        <v>4.2187176588090702</v>
      </c>
      <c r="AJ1076" s="78" t="s">
        <v>52</v>
      </c>
      <c r="AK1076" s="78" t="s">
        <v>18</v>
      </c>
      <c r="AL1076" s="78" t="s">
        <v>28</v>
      </c>
      <c r="AM1076" s="78" t="s">
        <v>51</v>
      </c>
      <c r="AN1076" s="78" t="s">
        <v>531</v>
      </c>
      <c r="AO1076" s="78">
        <v>1.013001408786363</v>
      </c>
    </row>
    <row r="1077" spans="29:41">
      <c r="AC1077" s="153" t="s">
        <v>52</v>
      </c>
      <c r="AD1077" s="153" t="s">
        <v>18</v>
      </c>
      <c r="AE1077" s="153" t="s">
        <v>72</v>
      </c>
      <c r="AF1077" s="153" t="s">
        <v>51</v>
      </c>
      <c r="AG1077" s="153" t="s">
        <v>556</v>
      </c>
      <c r="AH1077" s="153">
        <v>4.3450385992509455</v>
      </c>
      <c r="AJ1077" s="78" t="s">
        <v>52</v>
      </c>
      <c r="AK1077" s="78" t="s">
        <v>18</v>
      </c>
      <c r="AL1077" s="78" t="s">
        <v>28</v>
      </c>
      <c r="AM1077" s="78" t="s">
        <v>51</v>
      </c>
      <c r="AN1077" s="78" t="s">
        <v>532</v>
      </c>
      <c r="AO1077" s="78">
        <v>0.93102382186482158</v>
      </c>
    </row>
    <row r="1078" spans="29:41">
      <c r="AC1078" s="153" t="s">
        <v>52</v>
      </c>
      <c r="AD1078" s="153" t="s">
        <v>18</v>
      </c>
      <c r="AE1078" s="153" t="s">
        <v>72</v>
      </c>
      <c r="AF1078" s="153" t="s">
        <v>51</v>
      </c>
      <c r="AG1078" s="153" t="s">
        <v>557</v>
      </c>
      <c r="AH1078" s="153">
        <v>4.3129484261880471</v>
      </c>
      <c r="AJ1078" s="78" t="s">
        <v>52</v>
      </c>
      <c r="AK1078" s="78" t="s">
        <v>18</v>
      </c>
      <c r="AL1078" s="78" t="s">
        <v>28</v>
      </c>
      <c r="AM1078" s="78" t="s">
        <v>51</v>
      </c>
      <c r="AN1078" s="78" t="s">
        <v>533</v>
      </c>
      <c r="AO1078" s="78">
        <v>0.99215212201111302</v>
      </c>
    </row>
    <row r="1079" spans="29:41">
      <c r="AC1079" s="153" t="s">
        <v>52</v>
      </c>
      <c r="AD1079" s="153" t="s">
        <v>18</v>
      </c>
      <c r="AE1079" s="153" t="s">
        <v>72</v>
      </c>
      <c r="AF1079" s="153" t="s">
        <v>51</v>
      </c>
      <c r="AG1079" s="153" t="s">
        <v>558</v>
      </c>
      <c r="AH1079" s="153">
        <v>4.3124130917521919</v>
      </c>
      <c r="AJ1079" s="78" t="s">
        <v>52</v>
      </c>
      <c r="AK1079" s="78" t="s">
        <v>18</v>
      </c>
      <c r="AL1079" s="78" t="s">
        <v>28</v>
      </c>
      <c r="AM1079" s="78" t="s">
        <v>51</v>
      </c>
      <c r="AN1079" s="78" t="s">
        <v>534</v>
      </c>
      <c r="AO1079" s="78">
        <v>0.98428800579627751</v>
      </c>
    </row>
    <row r="1080" spans="29:41">
      <c r="AC1080" s="153" t="s">
        <v>52</v>
      </c>
      <c r="AD1080" s="153" t="s">
        <v>18</v>
      </c>
      <c r="AE1080" s="153" t="s">
        <v>72</v>
      </c>
      <c r="AF1080" s="153" t="s">
        <v>51</v>
      </c>
      <c r="AG1080" s="153" t="s">
        <v>559</v>
      </c>
      <c r="AH1080" s="153">
        <v>4.3124130917521919</v>
      </c>
      <c r="AJ1080" s="78" t="s">
        <v>52</v>
      </c>
      <c r="AK1080" s="78" t="s">
        <v>18</v>
      </c>
      <c r="AL1080" s="78" t="s">
        <v>28</v>
      </c>
      <c r="AM1080" s="78" t="s">
        <v>51</v>
      </c>
      <c r="AN1080" s="78" t="s">
        <v>535</v>
      </c>
      <c r="AO1080" s="78">
        <v>1.0925907855002723</v>
      </c>
    </row>
    <row r="1081" spans="29:41">
      <c r="AC1081" s="153" t="s">
        <v>52</v>
      </c>
      <c r="AD1081" s="153" t="s">
        <v>18</v>
      </c>
      <c r="AE1081" s="153" t="s">
        <v>72</v>
      </c>
      <c r="AF1081" s="153" t="s">
        <v>51</v>
      </c>
      <c r="AG1081" s="153" t="s">
        <v>560</v>
      </c>
      <c r="AH1081" s="153">
        <v>4.3129484261880471</v>
      </c>
      <c r="AJ1081" s="78" t="s">
        <v>52</v>
      </c>
      <c r="AK1081" s="78" t="s">
        <v>18</v>
      </c>
      <c r="AL1081" s="78" t="s">
        <v>28</v>
      </c>
      <c r="AM1081" s="78" t="s">
        <v>51</v>
      </c>
      <c r="AN1081" s="78" t="s">
        <v>536</v>
      </c>
      <c r="AO1081" s="78">
        <v>1.0180845870952873</v>
      </c>
    </row>
    <row r="1082" spans="29:41">
      <c r="AC1082" s="153" t="s">
        <v>52</v>
      </c>
      <c r="AD1082" s="153" t="s">
        <v>18</v>
      </c>
      <c r="AE1082" s="153" t="s">
        <v>72</v>
      </c>
      <c r="AF1082" s="153" t="s">
        <v>51</v>
      </c>
      <c r="AG1082" s="153" t="s">
        <v>561</v>
      </c>
      <c r="AH1082" s="153">
        <v>4.3124130917521919</v>
      </c>
      <c r="AJ1082" s="78" t="s">
        <v>52</v>
      </c>
      <c r="AK1082" s="78" t="s">
        <v>18</v>
      </c>
      <c r="AL1082" s="78" t="s">
        <v>28</v>
      </c>
      <c r="AM1082" s="78" t="s">
        <v>51</v>
      </c>
      <c r="AN1082" s="78" t="s">
        <v>537</v>
      </c>
      <c r="AO1082" s="78">
        <v>1.0110129635372838</v>
      </c>
    </row>
    <row r="1083" spans="29:41">
      <c r="AC1083" s="153" t="s">
        <v>52</v>
      </c>
      <c r="AD1083" s="153" t="s">
        <v>18</v>
      </c>
      <c r="AE1083" s="153" t="s">
        <v>72</v>
      </c>
      <c r="AF1083" s="153" t="s">
        <v>51</v>
      </c>
      <c r="AG1083" s="153" t="s">
        <v>562</v>
      </c>
      <c r="AH1083" s="153">
        <v>4.2802651684494641</v>
      </c>
      <c r="AJ1083" s="78" t="s">
        <v>52</v>
      </c>
      <c r="AK1083" s="78" t="s">
        <v>18</v>
      </c>
      <c r="AL1083" s="78" t="s">
        <v>28</v>
      </c>
      <c r="AM1083" s="78" t="s">
        <v>51</v>
      </c>
      <c r="AN1083" s="78" t="s">
        <v>538</v>
      </c>
      <c r="AO1083" s="78">
        <v>1.0619387161731446</v>
      </c>
    </row>
    <row r="1084" spans="29:41">
      <c r="AC1084" s="153" t="s">
        <v>52</v>
      </c>
      <c r="AD1084" s="153" t="s">
        <v>18</v>
      </c>
      <c r="AE1084" s="153" t="s">
        <v>72</v>
      </c>
      <c r="AF1084" s="153" t="s">
        <v>51</v>
      </c>
      <c r="AG1084" s="153" t="s">
        <v>563</v>
      </c>
      <c r="AH1084" s="153">
        <v>4.3129484261880471</v>
      </c>
      <c r="AJ1084" s="78" t="s">
        <v>52</v>
      </c>
      <c r="AK1084" s="78" t="s">
        <v>18</v>
      </c>
      <c r="AL1084" s="78" t="s">
        <v>28</v>
      </c>
      <c r="AM1084" s="78" t="s">
        <v>51</v>
      </c>
      <c r="AN1084" s="78" t="s">
        <v>539</v>
      </c>
      <c r="AO1084" s="78">
        <v>0.98782896692780964</v>
      </c>
    </row>
    <row r="1085" spans="29:41">
      <c r="AC1085" s="153" t="s">
        <v>52</v>
      </c>
      <c r="AD1085" s="153" t="s">
        <v>18</v>
      </c>
      <c r="AE1085" s="153" t="s">
        <v>72</v>
      </c>
      <c r="AF1085" s="153" t="s">
        <v>51</v>
      </c>
      <c r="AG1085" s="153" t="s">
        <v>564</v>
      </c>
      <c r="AH1085" s="153">
        <v>4.2509853875527766</v>
      </c>
      <c r="AJ1085" s="78" t="s">
        <v>52</v>
      </c>
      <c r="AK1085" s="78" t="s">
        <v>18</v>
      </c>
      <c r="AL1085" s="78" t="s">
        <v>28</v>
      </c>
      <c r="AM1085" s="78" t="s">
        <v>51</v>
      </c>
      <c r="AN1085" s="78" t="s">
        <v>540</v>
      </c>
      <c r="AO1085" s="78">
        <v>1.0047459196822199</v>
      </c>
    </row>
    <row r="1086" spans="29:41">
      <c r="AC1086" s="153" t="s">
        <v>52</v>
      </c>
      <c r="AD1086" s="153" t="s">
        <v>18</v>
      </c>
      <c r="AE1086" s="153" t="s">
        <v>72</v>
      </c>
      <c r="AF1086" s="153" t="s">
        <v>51</v>
      </c>
      <c r="AG1086" s="153" t="s">
        <v>565</v>
      </c>
      <c r="AH1086" s="153">
        <v>4.1863869638007634</v>
      </c>
      <c r="AJ1086" s="78" t="s">
        <v>52</v>
      </c>
      <c r="AK1086" s="78" t="s">
        <v>18</v>
      </c>
      <c r="AL1086" s="78" t="s">
        <v>28</v>
      </c>
      <c r="AM1086" s="78" t="s">
        <v>51</v>
      </c>
      <c r="AN1086" s="78" t="s">
        <v>541</v>
      </c>
      <c r="AO1086" s="78">
        <v>1.1056143194848593</v>
      </c>
    </row>
    <row r="1087" spans="29:41">
      <c r="AC1087" s="153" t="s">
        <v>52</v>
      </c>
      <c r="AD1087" s="153" t="s">
        <v>18</v>
      </c>
      <c r="AE1087" s="153" t="s">
        <v>72</v>
      </c>
      <c r="AF1087" s="153" t="s">
        <v>51</v>
      </c>
      <c r="AG1087" s="153" t="s">
        <v>566</v>
      </c>
      <c r="AH1087" s="153">
        <v>4.2190799560072145</v>
      </c>
      <c r="AJ1087" s="78" t="s">
        <v>52</v>
      </c>
      <c r="AK1087" s="78" t="s">
        <v>18</v>
      </c>
      <c r="AL1087" s="78" t="s">
        <v>28</v>
      </c>
      <c r="AM1087" s="78" t="s">
        <v>51</v>
      </c>
      <c r="AN1087" s="78" t="s">
        <v>542</v>
      </c>
      <c r="AO1087" s="78">
        <v>1.0447914703016501</v>
      </c>
    </row>
    <row r="1088" spans="29:41">
      <c r="AC1088" s="153" t="s">
        <v>52</v>
      </c>
      <c r="AD1088" s="153" t="s">
        <v>18</v>
      </c>
      <c r="AE1088" s="153" t="s">
        <v>72</v>
      </c>
      <c r="AF1088" s="153" t="s">
        <v>51</v>
      </c>
      <c r="AG1088" s="153" t="s">
        <v>567</v>
      </c>
      <c r="AH1088" s="153">
        <v>4.1863869638007634</v>
      </c>
      <c r="AJ1088" s="78" t="s">
        <v>52</v>
      </c>
      <c r="AK1088" s="78" t="s">
        <v>18</v>
      </c>
      <c r="AL1088" s="78" t="s">
        <v>28</v>
      </c>
      <c r="AM1088" s="78" t="s">
        <v>51</v>
      </c>
      <c r="AN1088" s="78" t="s">
        <v>543</v>
      </c>
      <c r="AO1088" s="78">
        <v>1.1015976453571008</v>
      </c>
    </row>
    <row r="1089" spans="29:41">
      <c r="AC1089" s="153" t="s">
        <v>52</v>
      </c>
      <c r="AD1089" s="153" t="s">
        <v>18</v>
      </c>
      <c r="AE1089" s="153" t="s">
        <v>72</v>
      </c>
      <c r="AF1089" s="153" t="s">
        <v>51</v>
      </c>
      <c r="AG1089" s="153" t="s">
        <v>568</v>
      </c>
      <c r="AH1089" s="153">
        <v>4.2190799560072145</v>
      </c>
      <c r="AJ1089" s="78" t="s">
        <v>52</v>
      </c>
      <c r="AK1089" s="78" t="s">
        <v>18</v>
      </c>
      <c r="AL1089" s="78" t="s">
        <v>28</v>
      </c>
      <c r="AM1089" s="78" t="s">
        <v>51</v>
      </c>
      <c r="AN1089" s="78" t="s">
        <v>544</v>
      </c>
      <c r="AO1089" s="78">
        <v>1.0595419340631911</v>
      </c>
    </row>
    <row r="1090" spans="29:41">
      <c r="AC1090" s="153" t="s">
        <v>52</v>
      </c>
      <c r="AD1090" s="153" t="s">
        <v>18</v>
      </c>
      <c r="AE1090" s="153" t="s">
        <v>72</v>
      </c>
      <c r="AF1090" s="153" t="s">
        <v>51</v>
      </c>
      <c r="AG1090" s="153" t="s">
        <v>569</v>
      </c>
      <c r="AH1090" s="153">
        <v>4.0953190284509828</v>
      </c>
      <c r="AJ1090" s="78" t="s">
        <v>52</v>
      </c>
      <c r="AK1090" s="78" t="s">
        <v>18</v>
      </c>
      <c r="AL1090" s="78" t="s">
        <v>28</v>
      </c>
      <c r="AM1090" s="78" t="s">
        <v>51</v>
      </c>
      <c r="AN1090" s="78" t="s">
        <v>545</v>
      </c>
      <c r="AO1090" s="78">
        <v>1.0648666813524703</v>
      </c>
    </row>
    <row r="1091" spans="29:41">
      <c r="AC1091" s="153" t="s">
        <v>52</v>
      </c>
      <c r="AD1091" s="153" t="s">
        <v>18</v>
      </c>
      <c r="AE1091" s="153" t="s">
        <v>72</v>
      </c>
      <c r="AF1091" s="153" t="s">
        <v>51</v>
      </c>
      <c r="AG1091" s="153" t="s">
        <v>570</v>
      </c>
      <c r="AH1091" s="153">
        <v>4.1573150337364799</v>
      </c>
      <c r="AJ1091" s="78" t="s">
        <v>52</v>
      </c>
      <c r="AK1091" s="78" t="s">
        <v>18</v>
      </c>
      <c r="AL1091" s="78" t="s">
        <v>28</v>
      </c>
      <c r="AM1091" s="78" t="s">
        <v>51</v>
      </c>
      <c r="AN1091" s="78" t="s">
        <v>546</v>
      </c>
      <c r="AO1091" s="78">
        <v>1.0503908585148838</v>
      </c>
    </row>
    <row r="1092" spans="29:41">
      <c r="AC1092" s="153" t="s">
        <v>52</v>
      </c>
      <c r="AD1092" s="153" t="s">
        <v>18</v>
      </c>
      <c r="AE1092" s="153" t="s">
        <v>72</v>
      </c>
      <c r="AF1092" s="153" t="s">
        <v>51</v>
      </c>
      <c r="AG1092" s="153" t="s">
        <v>571</v>
      </c>
      <c r="AH1092" s="153">
        <v>4.1248698203088709</v>
      </c>
      <c r="AJ1092" s="78" t="s">
        <v>52</v>
      </c>
      <c r="AK1092" s="78" t="s">
        <v>18</v>
      </c>
      <c r="AL1092" s="78" t="s">
        <v>28</v>
      </c>
      <c r="AM1092" s="78" t="s">
        <v>51</v>
      </c>
      <c r="AN1092" s="78" t="s">
        <v>547</v>
      </c>
      <c r="AO1092" s="78">
        <v>1.0739616915847701</v>
      </c>
    </row>
    <row r="1093" spans="29:41">
      <c r="AC1093" s="153" t="s">
        <v>52</v>
      </c>
      <c r="AD1093" s="153" t="s">
        <v>18</v>
      </c>
      <c r="AE1093" s="153" t="s">
        <v>72</v>
      </c>
      <c r="AF1093" s="153" t="s">
        <v>51</v>
      </c>
      <c r="AG1093" s="153" t="s">
        <v>572</v>
      </c>
      <c r="AH1093" s="153">
        <v>4.1248698203088709</v>
      </c>
      <c r="AJ1093" s="78" t="s">
        <v>52</v>
      </c>
      <c r="AK1093" s="78" t="s">
        <v>18</v>
      </c>
      <c r="AL1093" s="78" t="s">
        <v>28</v>
      </c>
      <c r="AM1093" s="78" t="s">
        <v>51</v>
      </c>
      <c r="AN1093" s="78" t="s">
        <v>548</v>
      </c>
      <c r="AO1093" s="78">
        <v>1.0736866095526396</v>
      </c>
    </row>
    <row r="1094" spans="29:41">
      <c r="AC1094" s="153" t="s">
        <v>52</v>
      </c>
      <c r="AD1094" s="153" t="s">
        <v>18</v>
      </c>
      <c r="AE1094" s="153" t="s">
        <v>72</v>
      </c>
      <c r="AF1094" s="153" t="s">
        <v>51</v>
      </c>
      <c r="AG1094" s="153" t="s">
        <v>573</v>
      </c>
      <c r="AH1094" s="153">
        <v>4.0953190284509828</v>
      </c>
      <c r="AJ1094" s="78" t="s">
        <v>52</v>
      </c>
      <c r="AK1094" s="78" t="s">
        <v>18</v>
      </c>
      <c r="AL1094" s="78" t="s">
        <v>28</v>
      </c>
      <c r="AM1094" s="78" t="s">
        <v>51</v>
      </c>
      <c r="AN1094" s="78" t="s">
        <v>549</v>
      </c>
      <c r="AO1094" s="78">
        <v>1.0409256902381303</v>
      </c>
    </row>
    <row r="1095" spans="29:41">
      <c r="AC1095" s="153" t="s">
        <v>52</v>
      </c>
      <c r="AD1095" s="153" t="s">
        <v>18</v>
      </c>
      <c r="AE1095" s="153" t="s">
        <v>72</v>
      </c>
      <c r="AF1095" s="153" t="s">
        <v>51</v>
      </c>
      <c r="AG1095" s="153" t="s">
        <v>574</v>
      </c>
      <c r="AH1095" s="153">
        <v>4.0627523635008007</v>
      </c>
      <c r="AJ1095" s="78" t="s">
        <v>52</v>
      </c>
      <c r="AK1095" s="78" t="s">
        <v>18</v>
      </c>
      <c r="AL1095" s="78" t="s">
        <v>28</v>
      </c>
      <c r="AM1095" s="78" t="s">
        <v>51</v>
      </c>
      <c r="AN1095" s="78" t="s">
        <v>550</v>
      </c>
      <c r="AO1095" s="78">
        <v>1.0960589317115903</v>
      </c>
    </row>
    <row r="1096" spans="29:41">
      <c r="AC1096" s="153" t="s">
        <v>52</v>
      </c>
      <c r="AD1096" s="153" t="s">
        <v>18</v>
      </c>
      <c r="AE1096" s="153" t="s">
        <v>72</v>
      </c>
      <c r="AF1096" s="153" t="s">
        <v>51</v>
      </c>
      <c r="AG1096" s="153" t="s">
        <v>575</v>
      </c>
      <c r="AH1096" s="153">
        <v>4.0953190284509828</v>
      </c>
      <c r="AJ1096" s="78" t="s">
        <v>52</v>
      </c>
      <c r="AK1096" s="78" t="s">
        <v>18</v>
      </c>
      <c r="AL1096" s="78" t="s">
        <v>28</v>
      </c>
      <c r="AM1096" s="78" t="s">
        <v>51</v>
      </c>
      <c r="AN1096" s="78" t="s">
        <v>551</v>
      </c>
      <c r="AO1096" s="78">
        <v>1.1000879775249199</v>
      </c>
    </row>
    <row r="1097" spans="29:41">
      <c r="AC1097" s="153" t="s">
        <v>52</v>
      </c>
      <c r="AD1097" s="153" t="s">
        <v>18</v>
      </c>
      <c r="AE1097" s="153" t="s">
        <v>72</v>
      </c>
      <c r="AF1097" s="153" t="s">
        <v>51</v>
      </c>
      <c r="AG1097" s="153" t="s">
        <v>576</v>
      </c>
      <c r="AH1097" s="153">
        <v>4.0953190284509828</v>
      </c>
      <c r="AJ1097" s="78" t="s">
        <v>52</v>
      </c>
      <c r="AK1097" s="78" t="s">
        <v>18</v>
      </c>
      <c r="AL1097" s="78" t="s">
        <v>28</v>
      </c>
      <c r="AM1097" s="78" t="s">
        <v>51</v>
      </c>
      <c r="AN1097" s="78" t="s">
        <v>552</v>
      </c>
      <c r="AO1097" s="78">
        <v>0.98200458410523106</v>
      </c>
    </row>
    <row r="1098" spans="29:41">
      <c r="AC1098" s="153" t="s">
        <v>52</v>
      </c>
      <c r="AD1098" s="153" t="s">
        <v>18</v>
      </c>
      <c r="AE1098" s="153" t="s">
        <v>72</v>
      </c>
      <c r="AF1098" s="153" t="s">
        <v>51</v>
      </c>
      <c r="AG1098" s="153" t="s">
        <v>577</v>
      </c>
      <c r="AH1098" s="153">
        <v>4.1248698203088709</v>
      </c>
      <c r="AJ1098" s="78" t="s">
        <v>52</v>
      </c>
      <c r="AK1098" s="78" t="s">
        <v>18</v>
      </c>
      <c r="AL1098" s="78" t="s">
        <v>28</v>
      </c>
      <c r="AM1098" s="78" t="s">
        <v>51</v>
      </c>
      <c r="AN1098" s="78" t="s">
        <v>553</v>
      </c>
      <c r="AO1098" s="78">
        <v>1.0688454564159746</v>
      </c>
    </row>
    <row r="1099" spans="29:41">
      <c r="AC1099" s="153" t="s">
        <v>52</v>
      </c>
      <c r="AD1099" s="153" t="s">
        <v>18</v>
      </c>
      <c r="AE1099" s="153" t="s">
        <v>72</v>
      </c>
      <c r="AF1099" s="153" t="s">
        <v>51</v>
      </c>
      <c r="AG1099" s="153" t="s">
        <v>578</v>
      </c>
      <c r="AH1099" s="153">
        <v>4.2187176588090702</v>
      </c>
      <c r="AJ1099" s="78" t="s">
        <v>52</v>
      </c>
      <c r="AK1099" s="78" t="s">
        <v>18</v>
      </c>
      <c r="AL1099" s="78" t="s">
        <v>28</v>
      </c>
      <c r="AM1099" s="78" t="s">
        <v>51</v>
      </c>
      <c r="AN1099" s="78" t="s">
        <v>554</v>
      </c>
      <c r="AO1099" s="78">
        <v>0.99515749829287992</v>
      </c>
    </row>
    <row r="1100" spans="29:41">
      <c r="AC1100" s="153" t="s">
        <v>52</v>
      </c>
      <c r="AD1100" s="153" t="s">
        <v>18</v>
      </c>
      <c r="AE1100" s="153" t="s">
        <v>72</v>
      </c>
      <c r="AF1100" s="153" t="s">
        <v>51</v>
      </c>
      <c r="AG1100" s="153" t="s">
        <v>579</v>
      </c>
      <c r="AH1100" s="153">
        <v>4.2509853875527766</v>
      </c>
      <c r="AJ1100" s="78" t="s">
        <v>52</v>
      </c>
      <c r="AK1100" s="78" t="s">
        <v>18</v>
      </c>
      <c r="AL1100" s="78" t="s">
        <v>28</v>
      </c>
      <c r="AM1100" s="78" t="s">
        <v>51</v>
      </c>
      <c r="AN1100" s="78" t="s">
        <v>555</v>
      </c>
      <c r="AO1100" s="78">
        <v>1.0008895993119402</v>
      </c>
    </row>
    <row r="1101" spans="29:41">
      <c r="AC1101" s="153" t="s">
        <v>52</v>
      </c>
      <c r="AD1101" s="153" t="s">
        <v>18</v>
      </c>
      <c r="AE1101" s="153" t="s">
        <v>72</v>
      </c>
      <c r="AF1101" s="153" t="s">
        <v>51</v>
      </c>
      <c r="AG1101" s="153" t="s">
        <v>580</v>
      </c>
      <c r="AH1101" s="153">
        <v>4.2190799560072145</v>
      </c>
      <c r="AJ1101" s="78" t="s">
        <v>52</v>
      </c>
      <c r="AK1101" s="78" t="s">
        <v>18</v>
      </c>
      <c r="AL1101" s="78" t="s">
        <v>28</v>
      </c>
      <c r="AM1101" s="78" t="s">
        <v>51</v>
      </c>
      <c r="AN1101" s="78" t="s">
        <v>556</v>
      </c>
      <c r="AO1101" s="78">
        <v>1.0399861597508053</v>
      </c>
    </row>
    <row r="1102" spans="29:41">
      <c r="AC1102" s="153" t="s">
        <v>52</v>
      </c>
      <c r="AD1102" s="153" t="s">
        <v>18</v>
      </c>
      <c r="AE1102" s="153" t="s">
        <v>72</v>
      </c>
      <c r="AF1102" s="153" t="s">
        <v>51</v>
      </c>
      <c r="AG1102" s="153" t="s">
        <v>581</v>
      </c>
      <c r="AH1102" s="153">
        <v>4.2190799560072145</v>
      </c>
      <c r="AJ1102" s="78" t="s">
        <v>52</v>
      </c>
      <c r="AK1102" s="78" t="s">
        <v>18</v>
      </c>
      <c r="AL1102" s="78" t="s">
        <v>28</v>
      </c>
      <c r="AM1102" s="78" t="s">
        <v>51</v>
      </c>
      <c r="AN1102" s="78" t="s">
        <v>557</v>
      </c>
      <c r="AO1102" s="78">
        <v>0.98242728531913737</v>
      </c>
    </row>
    <row r="1103" spans="29:41">
      <c r="AC1103" s="153" t="s">
        <v>52</v>
      </c>
      <c r="AD1103" s="153" t="s">
        <v>18</v>
      </c>
      <c r="AE1103" s="153" t="s">
        <v>72</v>
      </c>
      <c r="AF1103" s="153" t="s">
        <v>51</v>
      </c>
      <c r="AG1103" s="153" t="s">
        <v>582</v>
      </c>
      <c r="AH1103" s="153">
        <v>4.2509853875527766</v>
      </c>
      <c r="AJ1103" s="78" t="s">
        <v>52</v>
      </c>
      <c r="AK1103" s="78" t="s">
        <v>18</v>
      </c>
      <c r="AL1103" s="78" t="s">
        <v>28</v>
      </c>
      <c r="AM1103" s="78" t="s">
        <v>51</v>
      </c>
      <c r="AN1103" s="78" t="s">
        <v>558</v>
      </c>
      <c r="AO1103" s="78">
        <v>1.0388500004098424</v>
      </c>
    </row>
    <row r="1104" spans="29:41">
      <c r="AC1104" s="153" t="s">
        <v>52</v>
      </c>
      <c r="AD1104" s="153" t="s">
        <v>18</v>
      </c>
      <c r="AE1104" s="153" t="s">
        <v>72</v>
      </c>
      <c r="AF1104" s="153" t="s">
        <v>51</v>
      </c>
      <c r="AG1104" s="153" t="s">
        <v>583</v>
      </c>
      <c r="AH1104" s="153">
        <v>4.2802651684494641</v>
      </c>
      <c r="AJ1104" s="78" t="s">
        <v>52</v>
      </c>
      <c r="AK1104" s="78" t="s">
        <v>18</v>
      </c>
      <c r="AL1104" s="78" t="s">
        <v>28</v>
      </c>
      <c r="AM1104" s="78" t="s">
        <v>51</v>
      </c>
      <c r="AN1104" s="78" t="s">
        <v>559</v>
      </c>
      <c r="AO1104" s="78">
        <v>1.0240105021356625</v>
      </c>
    </row>
    <row r="1105" spans="29:41">
      <c r="AC1105" s="153" t="s">
        <v>52</v>
      </c>
      <c r="AD1105" s="153" t="s">
        <v>18</v>
      </c>
      <c r="AE1105" s="153" t="s">
        <v>72</v>
      </c>
      <c r="AF1105" s="153" t="s">
        <v>51</v>
      </c>
      <c r="AG1105" s="153" t="s">
        <v>584</v>
      </c>
      <c r="AH1105" s="153">
        <v>4.2509853875527766</v>
      </c>
      <c r="AJ1105" s="78" t="s">
        <v>52</v>
      </c>
      <c r="AK1105" s="78" t="s">
        <v>18</v>
      </c>
      <c r="AL1105" s="78" t="s">
        <v>28</v>
      </c>
      <c r="AM1105" s="78" t="s">
        <v>51</v>
      </c>
      <c r="AN1105" s="78" t="s">
        <v>560</v>
      </c>
      <c r="AO1105" s="78">
        <v>1.0540281126411373</v>
      </c>
    </row>
    <row r="1106" spans="29:41">
      <c r="AC1106" s="153" t="s">
        <v>52</v>
      </c>
      <c r="AD1106" s="153" t="s">
        <v>18</v>
      </c>
      <c r="AE1106" s="153" t="s">
        <v>72</v>
      </c>
      <c r="AF1106" s="153" t="s">
        <v>51</v>
      </c>
      <c r="AG1106" s="153" t="s">
        <v>585</v>
      </c>
      <c r="AH1106" s="153">
        <v>4.2509853875527766</v>
      </c>
      <c r="AJ1106" s="78" t="s">
        <v>52</v>
      </c>
      <c r="AK1106" s="78" t="s">
        <v>18</v>
      </c>
      <c r="AL1106" s="78" t="s">
        <v>28</v>
      </c>
      <c r="AM1106" s="78" t="s">
        <v>51</v>
      </c>
      <c r="AN1106" s="78" t="s">
        <v>561</v>
      </c>
      <c r="AO1106" s="78">
        <v>1.0579176398533923</v>
      </c>
    </row>
    <row r="1107" spans="29:41">
      <c r="AC1107" s="153" t="s">
        <v>52</v>
      </c>
      <c r="AD1107" s="153" t="s">
        <v>18</v>
      </c>
      <c r="AE1107" s="153" t="s">
        <v>72</v>
      </c>
      <c r="AF1107" s="153" t="s">
        <v>51</v>
      </c>
      <c r="AG1107" s="153" t="s">
        <v>586</v>
      </c>
      <c r="AH1107" s="153">
        <v>4.2509853875527766</v>
      </c>
      <c r="AJ1107" s="78" t="s">
        <v>52</v>
      </c>
      <c r="AK1107" s="78" t="s">
        <v>18</v>
      </c>
      <c r="AL1107" s="78" t="s">
        <v>28</v>
      </c>
      <c r="AM1107" s="78" t="s">
        <v>51</v>
      </c>
      <c r="AN1107" s="78" t="s">
        <v>562</v>
      </c>
      <c r="AO1107" s="78">
        <v>1.0248508715811746</v>
      </c>
    </row>
    <row r="1108" spans="29:41">
      <c r="AC1108" s="153" t="s">
        <v>52</v>
      </c>
      <c r="AD1108" s="153" t="s">
        <v>18</v>
      </c>
      <c r="AE1108" s="153" t="s">
        <v>72</v>
      </c>
      <c r="AF1108" s="153" t="s">
        <v>51</v>
      </c>
      <c r="AG1108" s="153" t="s">
        <v>587</v>
      </c>
      <c r="AH1108" s="153">
        <v>4.2509853875527766</v>
      </c>
      <c r="AJ1108" s="78" t="s">
        <v>52</v>
      </c>
      <c r="AK1108" s="78" t="s">
        <v>18</v>
      </c>
      <c r="AL1108" s="78" t="s">
        <v>28</v>
      </c>
      <c r="AM1108" s="78" t="s">
        <v>51</v>
      </c>
      <c r="AN1108" s="78" t="s">
        <v>563</v>
      </c>
      <c r="AO1108" s="78">
        <v>1.0403656029829373</v>
      </c>
    </row>
    <row r="1109" spans="29:41">
      <c r="AC1109" s="153" t="s">
        <v>52</v>
      </c>
      <c r="AD1109" s="153" t="s">
        <v>18</v>
      </c>
      <c r="AE1109" s="153" t="s">
        <v>72</v>
      </c>
      <c r="AF1109" s="153" t="s">
        <v>51</v>
      </c>
      <c r="AG1109" s="153" t="s">
        <v>588</v>
      </c>
      <c r="AH1109" s="153">
        <v>4.2509853875527766</v>
      </c>
      <c r="AJ1109" s="78" t="s">
        <v>52</v>
      </c>
      <c r="AK1109" s="78" t="s">
        <v>18</v>
      </c>
      <c r="AL1109" s="78" t="s">
        <v>28</v>
      </c>
      <c r="AM1109" s="78" t="s">
        <v>51</v>
      </c>
      <c r="AN1109" s="78" t="s">
        <v>564</v>
      </c>
      <c r="AO1109" s="78">
        <v>1.0427077361206072</v>
      </c>
    </row>
    <row r="1110" spans="29:41">
      <c r="AC1110" s="153" t="s">
        <v>52</v>
      </c>
      <c r="AD1110" s="153" t="s">
        <v>18</v>
      </c>
      <c r="AE1110" s="153" t="s">
        <v>72</v>
      </c>
      <c r="AF1110" s="153" t="s">
        <v>51</v>
      </c>
      <c r="AG1110" s="153" t="s">
        <v>589</v>
      </c>
      <c r="AH1110" s="153">
        <v>4.2509853875527766</v>
      </c>
      <c r="AJ1110" s="78" t="s">
        <v>52</v>
      </c>
      <c r="AK1110" s="78" t="s">
        <v>18</v>
      </c>
      <c r="AL1110" s="78" t="s">
        <v>28</v>
      </c>
      <c r="AM1110" s="78" t="s">
        <v>51</v>
      </c>
      <c r="AN1110" s="78" t="s">
        <v>565</v>
      </c>
      <c r="AO1110" s="78">
        <v>1.0309530705895138</v>
      </c>
    </row>
    <row r="1111" spans="29:41">
      <c r="AC1111" s="153" t="s">
        <v>52</v>
      </c>
      <c r="AD1111" s="153" t="s">
        <v>18</v>
      </c>
      <c r="AE1111" s="153" t="s">
        <v>72</v>
      </c>
      <c r="AF1111" s="153" t="s">
        <v>51</v>
      </c>
      <c r="AG1111" s="153" t="s">
        <v>590</v>
      </c>
      <c r="AH1111" s="153">
        <v>4.2509853875527766</v>
      </c>
      <c r="AJ1111" s="78" t="s">
        <v>52</v>
      </c>
      <c r="AK1111" s="78" t="s">
        <v>18</v>
      </c>
      <c r="AL1111" s="78" t="s">
        <v>28</v>
      </c>
      <c r="AM1111" s="78" t="s">
        <v>51</v>
      </c>
      <c r="AN1111" s="78" t="s">
        <v>566</v>
      </c>
      <c r="AO1111" s="78">
        <v>1.1241493348290346</v>
      </c>
    </row>
    <row r="1112" spans="29:41">
      <c r="AC1112" s="153" t="s">
        <v>52</v>
      </c>
      <c r="AD1112" s="153" t="s">
        <v>18</v>
      </c>
      <c r="AE1112" s="153" t="s">
        <v>72</v>
      </c>
      <c r="AF1112" s="153" t="s">
        <v>51</v>
      </c>
      <c r="AG1112" s="153" t="s">
        <v>591</v>
      </c>
      <c r="AH1112" s="153">
        <v>4.2509853875527766</v>
      </c>
      <c r="AJ1112" s="78" t="s">
        <v>52</v>
      </c>
      <c r="AK1112" s="78" t="s">
        <v>18</v>
      </c>
      <c r="AL1112" s="78" t="s">
        <v>28</v>
      </c>
      <c r="AM1112" s="78" t="s">
        <v>51</v>
      </c>
      <c r="AN1112" s="78" t="s">
        <v>567</v>
      </c>
      <c r="AO1112" s="78">
        <v>1.0649154552522337</v>
      </c>
    </row>
    <row r="1113" spans="29:41">
      <c r="AC1113" s="153" t="s">
        <v>52</v>
      </c>
      <c r="AD1113" s="153" t="s">
        <v>18</v>
      </c>
      <c r="AE1113" s="153" t="s">
        <v>72</v>
      </c>
      <c r="AF1113" s="153" t="s">
        <v>51</v>
      </c>
      <c r="AG1113" s="153" t="s">
        <v>592</v>
      </c>
      <c r="AH1113" s="153">
        <v>4.2509853875527766</v>
      </c>
      <c r="AJ1113" s="78" t="s">
        <v>52</v>
      </c>
      <c r="AK1113" s="78" t="s">
        <v>18</v>
      </c>
      <c r="AL1113" s="78" t="s">
        <v>28</v>
      </c>
      <c r="AM1113" s="78" t="s">
        <v>51</v>
      </c>
      <c r="AN1113" s="78" t="s">
        <v>568</v>
      </c>
      <c r="AO1113" s="78">
        <v>1.0805803208827853</v>
      </c>
    </row>
    <row r="1114" spans="29:41">
      <c r="AC1114" s="153" t="s">
        <v>52</v>
      </c>
      <c r="AD1114" s="153" t="s">
        <v>18</v>
      </c>
      <c r="AE1114" s="153" t="s">
        <v>72</v>
      </c>
      <c r="AF1114" s="153" t="s">
        <v>51</v>
      </c>
      <c r="AG1114" s="153" t="s">
        <v>593</v>
      </c>
      <c r="AH1114" s="153">
        <v>4.2509853875527766</v>
      </c>
      <c r="AJ1114" s="78" t="s">
        <v>52</v>
      </c>
      <c r="AK1114" s="78" t="s">
        <v>18</v>
      </c>
      <c r="AL1114" s="78" t="s">
        <v>28</v>
      </c>
      <c r="AM1114" s="78" t="s">
        <v>51</v>
      </c>
      <c r="AN1114" s="78" t="s">
        <v>569</v>
      </c>
      <c r="AO1114" s="78">
        <v>1.0502075297398625</v>
      </c>
    </row>
    <row r="1115" spans="29:41">
      <c r="AC1115" s="153" t="s">
        <v>52</v>
      </c>
      <c r="AD1115" s="153" t="s">
        <v>18</v>
      </c>
      <c r="AE1115" s="153" t="s">
        <v>72</v>
      </c>
      <c r="AF1115" s="153" t="s">
        <v>51</v>
      </c>
      <c r="AG1115" s="153" t="s">
        <v>594</v>
      </c>
      <c r="AH1115" s="153">
        <v>4.2190799560072145</v>
      </c>
      <c r="AJ1115" s="78" t="s">
        <v>52</v>
      </c>
      <c r="AK1115" s="78" t="s">
        <v>18</v>
      </c>
      <c r="AL1115" s="78" t="s">
        <v>28</v>
      </c>
      <c r="AM1115" s="78" t="s">
        <v>51</v>
      </c>
      <c r="AN1115" s="78" t="s">
        <v>570</v>
      </c>
      <c r="AO1115" s="78">
        <v>1.0541678227380298</v>
      </c>
    </row>
    <row r="1116" spans="29:41">
      <c r="AC1116" s="153" t="s">
        <v>52</v>
      </c>
      <c r="AD1116" s="153" t="s">
        <v>18</v>
      </c>
      <c r="AE1116" s="153" t="s">
        <v>72</v>
      </c>
      <c r="AF1116" s="153" t="s">
        <v>51</v>
      </c>
      <c r="AG1116" s="153" t="s">
        <v>595</v>
      </c>
      <c r="AH1116" s="153">
        <v>4.2509853875527766</v>
      </c>
      <c r="AJ1116" s="78" t="s">
        <v>52</v>
      </c>
      <c r="AK1116" s="78" t="s">
        <v>18</v>
      </c>
      <c r="AL1116" s="78" t="s">
        <v>28</v>
      </c>
      <c r="AM1116" s="78" t="s">
        <v>51</v>
      </c>
      <c r="AN1116" s="78" t="s">
        <v>571</v>
      </c>
      <c r="AO1116" s="78">
        <v>1.0486758135726506</v>
      </c>
    </row>
    <row r="1117" spans="29:41">
      <c r="AC1117" s="153" t="s">
        <v>52</v>
      </c>
      <c r="AD1117" s="153" t="s">
        <v>18</v>
      </c>
      <c r="AE1117" s="153" t="s">
        <v>72</v>
      </c>
      <c r="AF1117" s="153" t="s">
        <v>51</v>
      </c>
      <c r="AG1117" s="153" t="s">
        <v>596</v>
      </c>
      <c r="AH1117" s="153">
        <v>4.2509853875527766</v>
      </c>
      <c r="AJ1117" s="78" t="s">
        <v>52</v>
      </c>
      <c r="AK1117" s="78" t="s">
        <v>18</v>
      </c>
      <c r="AL1117" s="78" t="s">
        <v>28</v>
      </c>
      <c r="AM1117" s="78" t="s">
        <v>51</v>
      </c>
      <c r="AN1117" s="78" t="s">
        <v>572</v>
      </c>
      <c r="AO1117" s="78">
        <v>1.0516806281868907</v>
      </c>
    </row>
    <row r="1118" spans="29:41">
      <c r="AC1118" s="153" t="s">
        <v>52</v>
      </c>
      <c r="AD1118" s="153" t="s">
        <v>18</v>
      </c>
      <c r="AE1118" s="153" t="s">
        <v>72</v>
      </c>
      <c r="AF1118" s="153" t="s">
        <v>51</v>
      </c>
      <c r="AG1118" s="153" t="s">
        <v>597</v>
      </c>
      <c r="AH1118" s="153">
        <v>4.1863869638007634</v>
      </c>
      <c r="AJ1118" s="78" t="s">
        <v>52</v>
      </c>
      <c r="AK1118" s="78" t="s">
        <v>18</v>
      </c>
      <c r="AL1118" s="78" t="s">
        <v>28</v>
      </c>
      <c r="AM1118" s="78" t="s">
        <v>51</v>
      </c>
      <c r="AN1118" s="78" t="s">
        <v>573</v>
      </c>
      <c r="AO1118" s="78">
        <v>1.0422332566388728</v>
      </c>
    </row>
    <row r="1119" spans="29:41">
      <c r="AC1119" s="153" t="s">
        <v>52</v>
      </c>
      <c r="AD1119" s="153" t="s">
        <v>18</v>
      </c>
      <c r="AE1119" s="153" t="s">
        <v>72</v>
      </c>
      <c r="AF1119" s="153" t="s">
        <v>51</v>
      </c>
      <c r="AG1119" s="153" t="s">
        <v>598</v>
      </c>
      <c r="AH1119" s="153">
        <v>4.1248698203088709</v>
      </c>
      <c r="AJ1119" s="78" t="s">
        <v>52</v>
      </c>
      <c r="AK1119" s="78" t="s">
        <v>18</v>
      </c>
      <c r="AL1119" s="78" t="s">
        <v>28</v>
      </c>
      <c r="AM1119" s="78" t="s">
        <v>51</v>
      </c>
      <c r="AN1119" s="78" t="s">
        <v>574</v>
      </c>
      <c r="AO1119" s="78">
        <v>1.013705478252501</v>
      </c>
    </row>
    <row r="1120" spans="29:41">
      <c r="AC1120" s="153" t="s">
        <v>52</v>
      </c>
      <c r="AD1120" s="153" t="s">
        <v>18</v>
      </c>
      <c r="AE1120" s="153" t="s">
        <v>72</v>
      </c>
      <c r="AF1120" s="153" t="s">
        <v>51</v>
      </c>
      <c r="AG1120" s="153" t="s">
        <v>599</v>
      </c>
      <c r="AH1120" s="153">
        <v>4.2190799560072145</v>
      </c>
      <c r="AJ1120" s="78" t="s">
        <v>52</v>
      </c>
      <c r="AK1120" s="78" t="s">
        <v>18</v>
      </c>
      <c r="AL1120" s="78" t="s">
        <v>28</v>
      </c>
      <c r="AM1120" s="78" t="s">
        <v>51</v>
      </c>
      <c r="AN1120" s="78" t="s">
        <v>575</v>
      </c>
      <c r="AO1120" s="78">
        <v>1.0131420154561126</v>
      </c>
    </row>
    <row r="1121" spans="29:41">
      <c r="AC1121" s="153" t="s">
        <v>52</v>
      </c>
      <c r="AD1121" s="153" t="s">
        <v>18</v>
      </c>
      <c r="AE1121" s="153" t="s">
        <v>72</v>
      </c>
      <c r="AF1121" s="153" t="s">
        <v>51</v>
      </c>
      <c r="AG1121" s="153" t="s">
        <v>600</v>
      </c>
      <c r="AH1121" s="153">
        <v>4.1573150337364799</v>
      </c>
      <c r="AJ1121" s="78" t="s">
        <v>52</v>
      </c>
      <c r="AK1121" s="78" t="s">
        <v>18</v>
      </c>
      <c r="AL1121" s="78" t="s">
        <v>28</v>
      </c>
      <c r="AM1121" s="78" t="s">
        <v>51</v>
      </c>
      <c r="AN1121" s="78" t="s">
        <v>576</v>
      </c>
      <c r="AO1121" s="78">
        <v>1.0574813461902228</v>
      </c>
    </row>
    <row r="1122" spans="29:41">
      <c r="AC1122" s="153" t="s">
        <v>52</v>
      </c>
      <c r="AD1122" s="153" t="s">
        <v>18</v>
      </c>
      <c r="AE1122" s="153" t="s">
        <v>72</v>
      </c>
      <c r="AF1122" s="153" t="s">
        <v>51</v>
      </c>
      <c r="AG1122" s="153" t="s">
        <v>601</v>
      </c>
      <c r="AH1122" s="153">
        <v>4.1248698203088709</v>
      </c>
      <c r="AJ1122" s="78" t="s">
        <v>52</v>
      </c>
      <c r="AK1122" s="78" t="s">
        <v>18</v>
      </c>
      <c r="AL1122" s="78" t="s">
        <v>28</v>
      </c>
      <c r="AM1122" s="78" t="s">
        <v>51</v>
      </c>
      <c r="AN1122" s="78" t="s">
        <v>577</v>
      </c>
      <c r="AO1122" s="78">
        <v>1.0018233324099308</v>
      </c>
    </row>
    <row r="1123" spans="29:41">
      <c r="AC1123" s="153" t="s">
        <v>52</v>
      </c>
      <c r="AD1123" s="153" t="s">
        <v>18</v>
      </c>
      <c r="AE1123" s="153" t="s">
        <v>72</v>
      </c>
      <c r="AF1123" s="153" t="s">
        <v>51</v>
      </c>
      <c r="AG1123" s="153" t="s">
        <v>602</v>
      </c>
      <c r="AH1123" s="153">
        <v>4.0627523635008007</v>
      </c>
      <c r="AJ1123" s="78" t="s">
        <v>52</v>
      </c>
      <c r="AK1123" s="78" t="s">
        <v>18</v>
      </c>
      <c r="AL1123" s="78" t="s">
        <v>28</v>
      </c>
      <c r="AM1123" s="78" t="s">
        <v>51</v>
      </c>
      <c r="AN1123" s="78" t="s">
        <v>578</v>
      </c>
      <c r="AO1123" s="78">
        <v>1.0326107241848903</v>
      </c>
    </row>
    <row r="1124" spans="29:41">
      <c r="AC1124" s="153" t="s">
        <v>52</v>
      </c>
      <c r="AD1124" s="153" t="s">
        <v>18</v>
      </c>
      <c r="AE1124" s="153" t="s">
        <v>72</v>
      </c>
      <c r="AF1124" s="153" t="s">
        <v>51</v>
      </c>
      <c r="AG1124" s="153" t="s">
        <v>603</v>
      </c>
      <c r="AH1124" s="153">
        <v>4.0627523635008007</v>
      </c>
      <c r="AJ1124" s="78" t="s">
        <v>52</v>
      </c>
      <c r="AK1124" s="78" t="s">
        <v>18</v>
      </c>
      <c r="AL1124" s="78" t="s">
        <v>28</v>
      </c>
      <c r="AM1124" s="78" t="s">
        <v>51</v>
      </c>
      <c r="AN1124" s="78" t="s">
        <v>579</v>
      </c>
      <c r="AO1124" s="78">
        <v>1.0674185607297166</v>
      </c>
    </row>
    <row r="1125" spans="29:41">
      <c r="AC1125" s="153" t="s">
        <v>52</v>
      </c>
      <c r="AD1125" s="153" t="s">
        <v>18</v>
      </c>
      <c r="AE1125" s="153" t="s">
        <v>72</v>
      </c>
      <c r="AF1125" s="153" t="s">
        <v>51</v>
      </c>
      <c r="AG1125" s="153" t="s">
        <v>604</v>
      </c>
      <c r="AH1125" s="153">
        <v>4.1248698203088709</v>
      </c>
      <c r="AJ1125" s="78" t="s">
        <v>52</v>
      </c>
      <c r="AK1125" s="78" t="s">
        <v>18</v>
      </c>
      <c r="AL1125" s="78" t="s">
        <v>28</v>
      </c>
      <c r="AM1125" s="78" t="s">
        <v>51</v>
      </c>
      <c r="AN1125" s="78" t="s">
        <v>580</v>
      </c>
      <c r="AO1125" s="78">
        <v>1.1057127071361548</v>
      </c>
    </row>
    <row r="1126" spans="29:41">
      <c r="AC1126" s="153" t="s">
        <v>52</v>
      </c>
      <c r="AD1126" s="153" t="s">
        <v>18</v>
      </c>
      <c r="AE1126" s="153" t="s">
        <v>72</v>
      </c>
      <c r="AF1126" s="153" t="s">
        <v>51</v>
      </c>
      <c r="AG1126" s="153" t="s">
        <v>605</v>
      </c>
      <c r="AH1126" s="153">
        <v>4.2187176588090702</v>
      </c>
      <c r="AJ1126" s="78" t="s">
        <v>52</v>
      </c>
      <c r="AK1126" s="78" t="s">
        <v>18</v>
      </c>
      <c r="AL1126" s="78" t="s">
        <v>28</v>
      </c>
      <c r="AM1126" s="78" t="s">
        <v>51</v>
      </c>
      <c r="AN1126" s="78" t="s">
        <v>581</v>
      </c>
      <c r="AO1126" s="78">
        <v>1.0361666616253449</v>
      </c>
    </row>
    <row r="1127" spans="29:41">
      <c r="AC1127" s="153" t="s">
        <v>52</v>
      </c>
      <c r="AD1127" s="153" t="s">
        <v>18</v>
      </c>
      <c r="AE1127" s="153" t="s">
        <v>72</v>
      </c>
      <c r="AF1127" s="153" t="s">
        <v>51</v>
      </c>
      <c r="AG1127" s="153" t="s">
        <v>606</v>
      </c>
      <c r="AH1127" s="153">
        <v>4.2187176588090702</v>
      </c>
      <c r="AJ1127" s="78" t="s">
        <v>52</v>
      </c>
      <c r="AK1127" s="78" t="s">
        <v>18</v>
      </c>
      <c r="AL1127" s="78" t="s">
        <v>28</v>
      </c>
      <c r="AM1127" s="78" t="s">
        <v>51</v>
      </c>
      <c r="AN1127" s="78" t="s">
        <v>582</v>
      </c>
      <c r="AO1127" s="78">
        <v>1.0186904539920167</v>
      </c>
    </row>
    <row r="1128" spans="29:41">
      <c r="AC1128" s="153" t="s">
        <v>52</v>
      </c>
      <c r="AD1128" s="153" t="s">
        <v>18</v>
      </c>
      <c r="AE1128" s="153" t="s">
        <v>72</v>
      </c>
      <c r="AF1128" s="153" t="s">
        <v>51</v>
      </c>
      <c r="AG1128" s="153" t="s">
        <v>607</v>
      </c>
      <c r="AH1128" s="153">
        <v>4.2187176588090702</v>
      </c>
      <c r="AJ1128" s="78" t="s">
        <v>52</v>
      </c>
      <c r="AK1128" s="78" t="s">
        <v>18</v>
      </c>
      <c r="AL1128" s="78" t="s">
        <v>28</v>
      </c>
      <c r="AM1128" s="78" t="s">
        <v>51</v>
      </c>
      <c r="AN1128" s="78" t="s">
        <v>583</v>
      </c>
      <c r="AO1128" s="78">
        <v>1.0622162909724744</v>
      </c>
    </row>
    <row r="1129" spans="29:41">
      <c r="AC1129" s="153" t="s">
        <v>52</v>
      </c>
      <c r="AD1129" s="153" t="s">
        <v>18</v>
      </c>
      <c r="AE1129" s="153" t="s">
        <v>72</v>
      </c>
      <c r="AF1129" s="153" t="s">
        <v>51</v>
      </c>
      <c r="AG1129" s="153" t="s">
        <v>608</v>
      </c>
      <c r="AH1129" s="153">
        <v>4.2190799560072145</v>
      </c>
      <c r="AJ1129" s="78" t="s">
        <v>52</v>
      </c>
      <c r="AK1129" s="78" t="s">
        <v>18</v>
      </c>
      <c r="AL1129" s="78" t="s">
        <v>28</v>
      </c>
      <c r="AM1129" s="78" t="s">
        <v>51</v>
      </c>
      <c r="AN1129" s="78" t="s">
        <v>584</v>
      </c>
      <c r="AO1129" s="78">
        <v>1.0602227066576868</v>
      </c>
    </row>
    <row r="1130" spans="29:41">
      <c r="AC1130" s="153" t="s">
        <v>52</v>
      </c>
      <c r="AD1130" s="153" t="s">
        <v>18</v>
      </c>
      <c r="AE1130" s="153" t="s">
        <v>72</v>
      </c>
      <c r="AF1130" s="153" t="s">
        <v>51</v>
      </c>
      <c r="AG1130" s="153" t="s">
        <v>609</v>
      </c>
      <c r="AH1130" s="153">
        <v>4.1863869638007634</v>
      </c>
      <c r="AJ1130" s="78" t="s">
        <v>52</v>
      </c>
      <c r="AK1130" s="78" t="s">
        <v>18</v>
      </c>
      <c r="AL1130" s="78" t="s">
        <v>28</v>
      </c>
      <c r="AM1130" s="78" t="s">
        <v>51</v>
      </c>
      <c r="AN1130" s="78" t="s">
        <v>585</v>
      </c>
      <c r="AO1130" s="78">
        <v>1.0668835757179571</v>
      </c>
    </row>
    <row r="1131" spans="29:41">
      <c r="AC1131" s="153" t="s">
        <v>52</v>
      </c>
      <c r="AD1131" s="153" t="s">
        <v>18</v>
      </c>
      <c r="AE1131" s="153" t="s">
        <v>72</v>
      </c>
      <c r="AF1131" s="153" t="s">
        <v>51</v>
      </c>
      <c r="AG1131" s="153" t="s">
        <v>610</v>
      </c>
      <c r="AH1131" s="153">
        <v>4.2802651684494641</v>
      </c>
      <c r="AJ1131" s="78" t="s">
        <v>52</v>
      </c>
      <c r="AK1131" s="78" t="s">
        <v>18</v>
      </c>
      <c r="AL1131" s="78" t="s">
        <v>28</v>
      </c>
      <c r="AM1131" s="78" t="s">
        <v>51</v>
      </c>
      <c r="AN1131" s="78" t="s">
        <v>586</v>
      </c>
      <c r="AO1131" s="78">
        <v>1.0861394296920068</v>
      </c>
    </row>
    <row r="1132" spans="29:41">
      <c r="AC1132" s="153" t="s">
        <v>52</v>
      </c>
      <c r="AD1132" s="153" t="s">
        <v>18</v>
      </c>
      <c r="AE1132" s="153" t="s">
        <v>72</v>
      </c>
      <c r="AF1132" s="153" t="s">
        <v>51</v>
      </c>
      <c r="AG1132" s="153" t="s">
        <v>611</v>
      </c>
      <c r="AH1132" s="153">
        <v>4.2802651684494641</v>
      </c>
      <c r="AJ1132" s="78" t="s">
        <v>52</v>
      </c>
      <c r="AK1132" s="78" t="s">
        <v>18</v>
      </c>
      <c r="AL1132" s="78" t="s">
        <v>28</v>
      </c>
      <c r="AM1132" s="78" t="s">
        <v>51</v>
      </c>
      <c r="AN1132" s="78" t="s">
        <v>587</v>
      </c>
      <c r="AO1132" s="78">
        <v>1.0618103965055068</v>
      </c>
    </row>
    <row r="1133" spans="29:41">
      <c r="AC1133" s="153" t="s">
        <v>52</v>
      </c>
      <c r="AD1133" s="153" t="s">
        <v>18</v>
      </c>
      <c r="AE1133" s="153" t="s">
        <v>72</v>
      </c>
      <c r="AF1133" s="153" t="s">
        <v>51</v>
      </c>
      <c r="AG1133" s="153" t="s">
        <v>612</v>
      </c>
      <c r="AH1133" s="153">
        <v>4.3129484261880471</v>
      </c>
      <c r="AJ1133" s="78" t="s">
        <v>52</v>
      </c>
      <c r="AK1133" s="78" t="s">
        <v>18</v>
      </c>
      <c r="AL1133" s="78" t="s">
        <v>28</v>
      </c>
      <c r="AM1133" s="78" t="s">
        <v>51</v>
      </c>
      <c r="AN1133" s="78" t="s">
        <v>588</v>
      </c>
      <c r="AO1133" s="78">
        <v>1.075760540298347</v>
      </c>
    </row>
    <row r="1134" spans="29:41">
      <c r="AC1134" s="153" t="s">
        <v>52</v>
      </c>
      <c r="AD1134" s="153" t="s">
        <v>18</v>
      </c>
      <c r="AE1134" s="153" t="s">
        <v>72</v>
      </c>
      <c r="AF1134" s="153" t="s">
        <v>51</v>
      </c>
      <c r="AG1134" s="153" t="s">
        <v>613</v>
      </c>
      <c r="AH1134" s="153">
        <v>4.3129484261880471</v>
      </c>
      <c r="AJ1134" s="78" t="s">
        <v>52</v>
      </c>
      <c r="AK1134" s="78" t="s">
        <v>18</v>
      </c>
      <c r="AL1134" s="78" t="s">
        <v>28</v>
      </c>
      <c r="AM1134" s="78" t="s">
        <v>51</v>
      </c>
      <c r="AN1134" s="78" t="s">
        <v>589</v>
      </c>
      <c r="AO1134" s="78">
        <v>1.0572844827191772</v>
      </c>
    </row>
    <row r="1135" spans="29:41">
      <c r="AC1135" s="153" t="s">
        <v>52</v>
      </c>
      <c r="AD1135" s="153" t="s">
        <v>18</v>
      </c>
      <c r="AE1135" s="153" t="s">
        <v>72</v>
      </c>
      <c r="AF1135" s="153" t="s">
        <v>51</v>
      </c>
      <c r="AG1135" s="153" t="s">
        <v>614</v>
      </c>
      <c r="AH1135" s="153">
        <v>4.3741574696848291</v>
      </c>
      <c r="AJ1135" s="78" t="s">
        <v>52</v>
      </c>
      <c r="AK1135" s="78" t="s">
        <v>18</v>
      </c>
      <c r="AL1135" s="78" t="s">
        <v>28</v>
      </c>
      <c r="AM1135" s="78" t="s">
        <v>51</v>
      </c>
      <c r="AN1135" s="78" t="s">
        <v>590</v>
      </c>
      <c r="AO1135" s="78">
        <v>1.1253471679149265</v>
      </c>
    </row>
    <row r="1136" spans="29:41">
      <c r="AC1136" s="153" t="s">
        <v>52</v>
      </c>
      <c r="AD1136" s="153" t="s">
        <v>18</v>
      </c>
      <c r="AE1136" s="153" t="s">
        <v>72</v>
      </c>
      <c r="AF1136" s="153" t="s">
        <v>51</v>
      </c>
      <c r="AG1136" s="153" t="s">
        <v>615</v>
      </c>
      <c r="AH1136" s="153">
        <v>4.2802651684494641</v>
      </c>
      <c r="AJ1136" s="78" t="s">
        <v>52</v>
      </c>
      <c r="AK1136" s="78" t="s">
        <v>18</v>
      </c>
      <c r="AL1136" s="78" t="s">
        <v>28</v>
      </c>
      <c r="AM1136" s="78" t="s">
        <v>51</v>
      </c>
      <c r="AN1136" s="78" t="s">
        <v>591</v>
      </c>
      <c r="AO1136" s="78">
        <v>1.1395370428212568</v>
      </c>
    </row>
    <row r="1137" spans="29:41">
      <c r="AC1137" s="153" t="s">
        <v>52</v>
      </c>
      <c r="AD1137" s="153" t="s">
        <v>18</v>
      </c>
      <c r="AE1137" s="153" t="s">
        <v>72</v>
      </c>
      <c r="AF1137" s="153" t="s">
        <v>51</v>
      </c>
      <c r="AG1137" s="153" t="s">
        <v>616</v>
      </c>
      <c r="AH1137" s="153">
        <v>4.2509853875527766</v>
      </c>
      <c r="AJ1137" s="78" t="s">
        <v>52</v>
      </c>
      <c r="AK1137" s="78" t="s">
        <v>18</v>
      </c>
      <c r="AL1137" s="78" t="s">
        <v>28</v>
      </c>
      <c r="AM1137" s="78" t="s">
        <v>51</v>
      </c>
      <c r="AN1137" s="78" t="s">
        <v>592</v>
      </c>
      <c r="AO1137" s="78">
        <v>1.1895318305976967</v>
      </c>
    </row>
    <row r="1138" spans="29:41">
      <c r="AC1138" s="153" t="s">
        <v>52</v>
      </c>
      <c r="AD1138" s="153" t="s">
        <v>18</v>
      </c>
      <c r="AE1138" s="153" t="s">
        <v>72</v>
      </c>
      <c r="AF1138" s="153" t="s">
        <v>51</v>
      </c>
      <c r="AG1138" s="153" t="s">
        <v>617</v>
      </c>
      <c r="AH1138" s="153">
        <v>4.1863869638007634</v>
      </c>
      <c r="AJ1138" s="78" t="s">
        <v>52</v>
      </c>
      <c r="AK1138" s="78" t="s">
        <v>18</v>
      </c>
      <c r="AL1138" s="78" t="s">
        <v>28</v>
      </c>
      <c r="AM1138" s="78" t="s">
        <v>51</v>
      </c>
      <c r="AN1138" s="78" t="s">
        <v>593</v>
      </c>
      <c r="AO1138" s="78">
        <v>1.1242899848281169</v>
      </c>
    </row>
    <row r="1139" spans="29:41">
      <c r="AC1139" s="153" t="s">
        <v>52</v>
      </c>
      <c r="AD1139" s="153" t="s">
        <v>18</v>
      </c>
      <c r="AE1139" s="153" t="s">
        <v>72</v>
      </c>
      <c r="AF1139" s="153" t="s">
        <v>51</v>
      </c>
      <c r="AG1139" s="153" t="s">
        <v>618</v>
      </c>
      <c r="AH1139" s="153">
        <v>4.1863869638007634</v>
      </c>
      <c r="AJ1139" s="78" t="s">
        <v>52</v>
      </c>
      <c r="AK1139" s="78" t="s">
        <v>18</v>
      </c>
      <c r="AL1139" s="78" t="s">
        <v>28</v>
      </c>
      <c r="AM1139" s="78" t="s">
        <v>51</v>
      </c>
      <c r="AN1139" s="78" t="s">
        <v>594</v>
      </c>
      <c r="AO1139" s="78">
        <v>1.0732054078175748</v>
      </c>
    </row>
    <row r="1140" spans="29:41">
      <c r="AC1140" s="153" t="s">
        <v>52</v>
      </c>
      <c r="AD1140" s="153" t="s">
        <v>18</v>
      </c>
      <c r="AE1140" s="153" t="s">
        <v>72</v>
      </c>
      <c r="AF1140" s="153" t="s">
        <v>51</v>
      </c>
      <c r="AG1140" s="153" t="s">
        <v>619</v>
      </c>
      <c r="AH1140" s="153">
        <v>4.1248698203088709</v>
      </c>
      <c r="AJ1140" s="78" t="s">
        <v>52</v>
      </c>
      <c r="AK1140" s="78" t="s">
        <v>18</v>
      </c>
      <c r="AL1140" s="78" t="s">
        <v>28</v>
      </c>
      <c r="AM1140" s="78" t="s">
        <v>51</v>
      </c>
      <c r="AN1140" s="78" t="s">
        <v>595</v>
      </c>
      <c r="AO1140" s="78">
        <v>1.0747196811954769</v>
      </c>
    </row>
    <row r="1141" spans="29:41">
      <c r="AC1141" s="153" t="s">
        <v>52</v>
      </c>
      <c r="AD1141" s="153" t="s">
        <v>18</v>
      </c>
      <c r="AE1141" s="153" t="s">
        <v>72</v>
      </c>
      <c r="AF1141" s="153" t="s">
        <v>51</v>
      </c>
      <c r="AG1141" s="153" t="s">
        <v>620</v>
      </c>
      <c r="AH1141" s="153">
        <v>4.1248698203088709</v>
      </c>
      <c r="AJ1141" s="78" t="s">
        <v>52</v>
      </c>
      <c r="AK1141" s="78" t="s">
        <v>18</v>
      </c>
      <c r="AL1141" s="78" t="s">
        <v>28</v>
      </c>
      <c r="AM1141" s="78" t="s">
        <v>51</v>
      </c>
      <c r="AN1141" s="78" t="s">
        <v>596</v>
      </c>
      <c r="AO1141" s="78">
        <v>1.0345155491287672</v>
      </c>
    </row>
    <row r="1142" spans="29:41">
      <c r="AC1142" s="153" t="s">
        <v>52</v>
      </c>
      <c r="AD1142" s="153" t="s">
        <v>18</v>
      </c>
      <c r="AE1142" s="153" t="s">
        <v>72</v>
      </c>
      <c r="AF1142" s="153" t="s">
        <v>51</v>
      </c>
      <c r="AG1142" s="153" t="s">
        <v>621</v>
      </c>
      <c r="AH1142" s="153">
        <v>4.0953190284509828</v>
      </c>
      <c r="AJ1142" s="78" t="s">
        <v>52</v>
      </c>
      <c r="AK1142" s="78" t="s">
        <v>18</v>
      </c>
      <c r="AL1142" s="78" t="s">
        <v>28</v>
      </c>
      <c r="AM1142" s="78" t="s">
        <v>51</v>
      </c>
      <c r="AN1142" s="78" t="s">
        <v>597</v>
      </c>
      <c r="AO1142" s="78">
        <v>1.0212524369134037</v>
      </c>
    </row>
    <row r="1143" spans="29:41">
      <c r="AC1143" s="153" t="s">
        <v>52</v>
      </c>
      <c r="AD1143" s="153" t="s">
        <v>18</v>
      </c>
      <c r="AE1143" s="153" t="s">
        <v>72</v>
      </c>
      <c r="AF1143" s="153" t="s">
        <v>51</v>
      </c>
      <c r="AG1143" s="153" t="s">
        <v>622</v>
      </c>
      <c r="AH1143" s="153">
        <v>4.1248698203088709</v>
      </c>
      <c r="AJ1143" s="78" t="s">
        <v>52</v>
      </c>
      <c r="AK1143" s="78" t="s">
        <v>18</v>
      </c>
      <c r="AL1143" s="78" t="s">
        <v>28</v>
      </c>
      <c r="AM1143" s="78" t="s">
        <v>51</v>
      </c>
      <c r="AN1143" s="78" t="s">
        <v>598</v>
      </c>
      <c r="AO1143" s="78">
        <v>0.98349351025733067</v>
      </c>
    </row>
    <row r="1144" spans="29:41">
      <c r="AC1144" s="153" t="s">
        <v>52</v>
      </c>
      <c r="AD1144" s="153" t="s">
        <v>18</v>
      </c>
      <c r="AE1144" s="153" t="s">
        <v>72</v>
      </c>
      <c r="AF1144" s="153" t="s">
        <v>51</v>
      </c>
      <c r="AG1144" s="153" t="s">
        <v>623</v>
      </c>
      <c r="AH1144" s="153">
        <v>4.0953190284509828</v>
      </c>
      <c r="AJ1144" s="78" t="s">
        <v>52</v>
      </c>
      <c r="AK1144" s="78" t="s">
        <v>18</v>
      </c>
      <c r="AL1144" s="78" t="s">
        <v>28</v>
      </c>
      <c r="AM1144" s="78" t="s">
        <v>51</v>
      </c>
      <c r="AN1144" s="78" t="s">
        <v>599</v>
      </c>
      <c r="AO1144" s="78">
        <v>1.0629697585629552</v>
      </c>
    </row>
    <row r="1145" spans="29:41">
      <c r="AC1145" s="153" t="s">
        <v>52</v>
      </c>
      <c r="AD1145" s="153" t="s">
        <v>18</v>
      </c>
      <c r="AE1145" s="153" t="s">
        <v>72</v>
      </c>
      <c r="AF1145" s="153" t="s">
        <v>51</v>
      </c>
      <c r="AG1145" s="153" t="s">
        <v>624</v>
      </c>
      <c r="AH1145" s="153">
        <v>4.1573150337364799</v>
      </c>
      <c r="AJ1145" s="78" t="s">
        <v>52</v>
      </c>
      <c r="AK1145" s="78" t="s">
        <v>18</v>
      </c>
      <c r="AL1145" s="78" t="s">
        <v>28</v>
      </c>
      <c r="AM1145" s="78" t="s">
        <v>51</v>
      </c>
      <c r="AN1145" s="78" t="s">
        <v>600</v>
      </c>
      <c r="AO1145" s="78">
        <v>1.0042375006402198</v>
      </c>
    </row>
    <row r="1146" spans="29:41">
      <c r="AC1146" s="153" t="s">
        <v>52</v>
      </c>
      <c r="AD1146" s="153" t="s">
        <v>18</v>
      </c>
      <c r="AE1146" s="153" t="s">
        <v>72</v>
      </c>
      <c r="AF1146" s="153" t="s">
        <v>51</v>
      </c>
      <c r="AG1146" s="153" t="s">
        <v>625</v>
      </c>
      <c r="AH1146" s="153">
        <v>4.1573150337364799</v>
      </c>
      <c r="AJ1146" s="78" t="s">
        <v>52</v>
      </c>
      <c r="AK1146" s="78" t="s">
        <v>18</v>
      </c>
      <c r="AL1146" s="78" t="s">
        <v>28</v>
      </c>
      <c r="AM1146" s="78" t="s">
        <v>51</v>
      </c>
      <c r="AN1146" s="78" t="s">
        <v>601</v>
      </c>
      <c r="AO1146" s="78">
        <v>1.0048453588236705</v>
      </c>
    </row>
    <row r="1147" spans="29:41">
      <c r="AC1147" s="153" t="s">
        <v>52</v>
      </c>
      <c r="AD1147" s="153" t="s">
        <v>18</v>
      </c>
      <c r="AE1147" s="153" t="s">
        <v>72</v>
      </c>
      <c r="AF1147" s="153" t="s">
        <v>51</v>
      </c>
      <c r="AG1147" s="153" t="s">
        <v>626</v>
      </c>
      <c r="AH1147" s="153">
        <v>4.1248698203088709</v>
      </c>
      <c r="AJ1147" s="78" t="s">
        <v>52</v>
      </c>
      <c r="AK1147" s="78" t="s">
        <v>18</v>
      </c>
      <c r="AL1147" s="78" t="s">
        <v>28</v>
      </c>
      <c r="AM1147" s="78" t="s">
        <v>51</v>
      </c>
      <c r="AN1147" s="78" t="s">
        <v>602</v>
      </c>
      <c r="AO1147" s="78">
        <v>1.0148116723705007</v>
      </c>
    </row>
    <row r="1148" spans="29:41">
      <c r="AC1148" s="153" t="s">
        <v>52</v>
      </c>
      <c r="AD1148" s="153" t="s">
        <v>18</v>
      </c>
      <c r="AE1148" s="153" t="s">
        <v>72</v>
      </c>
      <c r="AF1148" s="153" t="s">
        <v>51</v>
      </c>
      <c r="AG1148" s="153" t="s">
        <v>627</v>
      </c>
      <c r="AH1148" s="153">
        <v>4.1248698203088709</v>
      </c>
      <c r="AJ1148" s="78" t="s">
        <v>52</v>
      </c>
      <c r="AK1148" s="78" t="s">
        <v>18</v>
      </c>
      <c r="AL1148" s="78" t="s">
        <v>28</v>
      </c>
      <c r="AM1148" s="78" t="s">
        <v>51</v>
      </c>
      <c r="AN1148" s="78" t="s">
        <v>603</v>
      </c>
      <c r="AO1148" s="78">
        <v>0.95231911281055126</v>
      </c>
    </row>
    <row r="1149" spans="29:41">
      <c r="AC1149" s="153" t="s">
        <v>52</v>
      </c>
      <c r="AD1149" s="153" t="s">
        <v>18</v>
      </c>
      <c r="AE1149" s="153" t="s">
        <v>72</v>
      </c>
      <c r="AF1149" s="153" t="s">
        <v>51</v>
      </c>
      <c r="AG1149" s="153" t="s">
        <v>628</v>
      </c>
      <c r="AH1149" s="153">
        <v>4.0627523635008007</v>
      </c>
      <c r="AJ1149" s="78" t="s">
        <v>52</v>
      </c>
      <c r="AK1149" s="78" t="s">
        <v>18</v>
      </c>
      <c r="AL1149" s="78" t="s">
        <v>28</v>
      </c>
      <c r="AM1149" s="78" t="s">
        <v>51</v>
      </c>
      <c r="AN1149" s="78" t="s">
        <v>604</v>
      </c>
      <c r="AO1149" s="78">
        <v>1.0214406659248105</v>
      </c>
    </row>
    <row r="1150" spans="29:41">
      <c r="AC1150" s="153" t="s">
        <v>52</v>
      </c>
      <c r="AD1150" s="153" t="s">
        <v>18</v>
      </c>
      <c r="AE1150" s="153" t="s">
        <v>72</v>
      </c>
      <c r="AF1150" s="153" t="s">
        <v>51</v>
      </c>
      <c r="AG1150" s="153" t="s">
        <v>629</v>
      </c>
      <c r="AH1150" s="153">
        <v>4.0640286610076064</v>
      </c>
      <c r="AJ1150" s="78" t="s">
        <v>52</v>
      </c>
      <c r="AK1150" s="78" t="s">
        <v>18</v>
      </c>
      <c r="AL1150" s="78" t="s">
        <v>28</v>
      </c>
      <c r="AM1150" s="78" t="s">
        <v>51</v>
      </c>
      <c r="AN1150" s="78" t="s">
        <v>605</v>
      </c>
      <c r="AO1150" s="78">
        <v>1.0122974074683204</v>
      </c>
    </row>
    <row r="1151" spans="29:41">
      <c r="AC1151" s="153" t="s">
        <v>52</v>
      </c>
      <c r="AD1151" s="153" t="s">
        <v>18</v>
      </c>
      <c r="AE1151" s="153" t="s">
        <v>72</v>
      </c>
      <c r="AF1151" s="153" t="s">
        <v>51</v>
      </c>
      <c r="AG1151" s="153" t="s">
        <v>630</v>
      </c>
      <c r="AH1151" s="153">
        <v>4.0936300339223344</v>
      </c>
      <c r="AJ1151" s="78" t="s">
        <v>52</v>
      </c>
      <c r="AK1151" s="78" t="s">
        <v>18</v>
      </c>
      <c r="AL1151" s="78" t="s">
        <v>28</v>
      </c>
      <c r="AM1151" s="78" t="s">
        <v>51</v>
      </c>
      <c r="AN1151" s="78" t="s">
        <v>606</v>
      </c>
      <c r="AO1151" s="78">
        <v>0.98444192470232006</v>
      </c>
    </row>
    <row r="1152" spans="29:41">
      <c r="AC1152" s="153" t="s">
        <v>52</v>
      </c>
      <c r="AD1152" s="153" t="s">
        <v>18</v>
      </c>
      <c r="AE1152" s="153" t="s">
        <v>72</v>
      </c>
      <c r="AF1152" s="153" t="s">
        <v>51</v>
      </c>
      <c r="AG1152" s="153" t="s">
        <v>631</v>
      </c>
      <c r="AH1152" s="153">
        <v>4.0936300339223344</v>
      </c>
      <c r="AJ1152" s="78" t="s">
        <v>52</v>
      </c>
      <c r="AK1152" s="78" t="s">
        <v>18</v>
      </c>
      <c r="AL1152" s="78" t="s">
        <v>28</v>
      </c>
      <c r="AM1152" s="78" t="s">
        <v>51</v>
      </c>
      <c r="AN1152" s="78" t="s">
        <v>607</v>
      </c>
      <c r="AO1152" s="78">
        <v>0.98669512250070046</v>
      </c>
    </row>
    <row r="1153" spans="29:41">
      <c r="AC1153" s="153" t="s">
        <v>52</v>
      </c>
      <c r="AD1153" s="153" t="s">
        <v>18</v>
      </c>
      <c r="AE1153" s="153" t="s">
        <v>72</v>
      </c>
      <c r="AF1153" s="153" t="s">
        <v>51</v>
      </c>
      <c r="AG1153" s="153" t="s">
        <v>632</v>
      </c>
      <c r="AH1153" s="153">
        <v>4.0627523635008007</v>
      </c>
      <c r="AJ1153" s="78" t="s">
        <v>52</v>
      </c>
      <c r="AK1153" s="78" t="s">
        <v>18</v>
      </c>
      <c r="AL1153" s="78" t="s">
        <v>28</v>
      </c>
      <c r="AM1153" s="78" t="s">
        <v>51</v>
      </c>
      <c r="AN1153" s="78" t="s">
        <v>608</v>
      </c>
      <c r="AO1153" s="78">
        <v>0.99384532398998493</v>
      </c>
    </row>
    <row r="1154" spans="29:41">
      <c r="AC1154" s="153" t="s">
        <v>52</v>
      </c>
      <c r="AD1154" s="153" t="s">
        <v>18</v>
      </c>
      <c r="AE1154" s="153" t="s">
        <v>72</v>
      </c>
      <c r="AF1154" s="153" t="s">
        <v>51</v>
      </c>
      <c r="AG1154" s="153" t="s">
        <v>633</v>
      </c>
      <c r="AH1154" s="153">
        <v>4.0627523635008007</v>
      </c>
      <c r="AJ1154" s="78" t="s">
        <v>52</v>
      </c>
      <c r="AK1154" s="78" t="s">
        <v>18</v>
      </c>
      <c r="AL1154" s="78" t="s">
        <v>28</v>
      </c>
      <c r="AM1154" s="78" t="s">
        <v>51</v>
      </c>
      <c r="AN1154" s="78" t="s">
        <v>609</v>
      </c>
      <c r="AO1154" s="78">
        <v>0.94323136182077394</v>
      </c>
    </row>
    <row r="1155" spans="29:41">
      <c r="AC1155" s="153" t="s">
        <v>52</v>
      </c>
      <c r="AD1155" s="153" t="s">
        <v>18</v>
      </c>
      <c r="AE1155" s="153" t="s">
        <v>72</v>
      </c>
      <c r="AF1155" s="153" t="s">
        <v>51</v>
      </c>
      <c r="AG1155" s="153" t="s">
        <v>634</v>
      </c>
      <c r="AH1155" s="153">
        <v>4.0640286610076064</v>
      </c>
      <c r="AJ1155" s="78" t="s">
        <v>52</v>
      </c>
      <c r="AK1155" s="78" t="s">
        <v>18</v>
      </c>
      <c r="AL1155" s="78" t="s">
        <v>28</v>
      </c>
      <c r="AM1155" s="78" t="s">
        <v>51</v>
      </c>
      <c r="AN1155" s="78" t="s">
        <v>610</v>
      </c>
      <c r="AO1155" s="78">
        <v>0.99828993218931406</v>
      </c>
    </row>
    <row r="1156" spans="29:41">
      <c r="AC1156" s="153" t="s">
        <v>52</v>
      </c>
      <c r="AD1156" s="153" t="s">
        <v>18</v>
      </c>
      <c r="AE1156" s="153" t="s">
        <v>72</v>
      </c>
      <c r="AF1156" s="153" t="s">
        <v>51</v>
      </c>
      <c r="AG1156" s="153" t="s">
        <v>635</v>
      </c>
      <c r="AH1156" s="153">
        <v>3.9987193359155064</v>
      </c>
      <c r="AJ1156" s="78" t="s">
        <v>52</v>
      </c>
      <c r="AK1156" s="78" t="s">
        <v>18</v>
      </c>
      <c r="AL1156" s="78" t="s">
        <v>28</v>
      </c>
      <c r="AM1156" s="78" t="s">
        <v>51</v>
      </c>
      <c r="AN1156" s="78" t="s">
        <v>611</v>
      </c>
      <c r="AO1156" s="78">
        <v>0.93964350118558437</v>
      </c>
    </row>
    <row r="1157" spans="29:41">
      <c r="AC1157" s="153" t="s">
        <v>52</v>
      </c>
      <c r="AD1157" s="153" t="s">
        <v>18</v>
      </c>
      <c r="AE1157" s="153" t="s">
        <v>72</v>
      </c>
      <c r="AF1157" s="153" t="s">
        <v>51</v>
      </c>
      <c r="AG1157" s="153" t="s">
        <v>636</v>
      </c>
      <c r="AH1157" s="153">
        <v>3.9361387568601574</v>
      </c>
      <c r="AJ1157" s="78" t="s">
        <v>52</v>
      </c>
      <c r="AK1157" s="78" t="s">
        <v>18</v>
      </c>
      <c r="AL1157" s="78" t="s">
        <v>28</v>
      </c>
      <c r="AM1157" s="78" t="s">
        <v>51</v>
      </c>
      <c r="AN1157" s="78" t="s">
        <v>612</v>
      </c>
      <c r="AO1157" s="78">
        <v>0.99225587287517725</v>
      </c>
    </row>
    <row r="1158" spans="29:41">
      <c r="AC1158" s="153" t="s">
        <v>52</v>
      </c>
      <c r="AD1158" s="153" t="s">
        <v>18</v>
      </c>
      <c r="AE1158" s="153" t="s">
        <v>72</v>
      </c>
      <c r="AF1158" s="153" t="s">
        <v>51</v>
      </c>
      <c r="AG1158" s="153" t="s">
        <v>637</v>
      </c>
      <c r="AH1158" s="153">
        <v>3.9681481492823516</v>
      </c>
      <c r="AJ1158" s="78" t="s">
        <v>52</v>
      </c>
      <c r="AK1158" s="78" t="s">
        <v>18</v>
      </c>
      <c r="AL1158" s="78" t="s">
        <v>28</v>
      </c>
      <c r="AM1158" s="78" t="s">
        <v>51</v>
      </c>
      <c r="AN1158" s="78" t="s">
        <v>613</v>
      </c>
      <c r="AO1158" s="78">
        <v>0.95846608636730724</v>
      </c>
    </row>
    <row r="1159" spans="29:41">
      <c r="AC1159" s="153" t="s">
        <v>52</v>
      </c>
      <c r="AD1159" s="153" t="s">
        <v>18</v>
      </c>
      <c r="AE1159" s="153" t="s">
        <v>72</v>
      </c>
      <c r="AF1159" s="153" t="s">
        <v>51</v>
      </c>
      <c r="AG1159" s="153" t="s">
        <v>638</v>
      </c>
      <c r="AH1159" s="153">
        <v>3.9383274444660326</v>
      </c>
      <c r="AJ1159" s="78" t="s">
        <v>52</v>
      </c>
      <c r="AK1159" s="78" t="s">
        <v>18</v>
      </c>
      <c r="AL1159" s="78" t="s">
        <v>28</v>
      </c>
      <c r="AM1159" s="78" t="s">
        <v>51</v>
      </c>
      <c r="AN1159" s="78" t="s">
        <v>614</v>
      </c>
      <c r="AO1159" s="78">
        <v>1.0234104717383397</v>
      </c>
    </row>
    <row r="1160" spans="29:41">
      <c r="AC1160" s="153" t="s">
        <v>52</v>
      </c>
      <c r="AD1160" s="153" t="s">
        <v>18</v>
      </c>
      <c r="AE1160" s="153" t="s">
        <v>72</v>
      </c>
      <c r="AF1160" s="153" t="s">
        <v>51</v>
      </c>
      <c r="AG1160" s="153" t="s">
        <v>639</v>
      </c>
      <c r="AH1160" s="153">
        <v>3.9383274444660326</v>
      </c>
      <c r="AJ1160" s="78" t="s">
        <v>52</v>
      </c>
      <c r="AK1160" s="78" t="s">
        <v>18</v>
      </c>
      <c r="AL1160" s="78" t="s">
        <v>28</v>
      </c>
      <c r="AM1160" s="78" t="s">
        <v>51</v>
      </c>
      <c r="AN1160" s="78" t="s">
        <v>615</v>
      </c>
      <c r="AO1160" s="78">
        <v>1.0348120981247044</v>
      </c>
    </row>
    <row r="1161" spans="29:41">
      <c r="AC1161" s="153" t="s">
        <v>52</v>
      </c>
      <c r="AD1161" s="153" t="s">
        <v>18</v>
      </c>
      <c r="AE1161" s="153" t="s">
        <v>72</v>
      </c>
      <c r="AF1161" s="153" t="s">
        <v>51</v>
      </c>
      <c r="AG1161" s="153" t="s">
        <v>640</v>
      </c>
      <c r="AH1161" s="153">
        <v>3.9361387568601574</v>
      </c>
      <c r="AJ1161" s="78" t="s">
        <v>52</v>
      </c>
      <c r="AK1161" s="78" t="s">
        <v>18</v>
      </c>
      <c r="AL1161" s="78" t="s">
        <v>28</v>
      </c>
      <c r="AM1161" s="78" t="s">
        <v>51</v>
      </c>
      <c r="AN1161" s="78" t="s">
        <v>616</v>
      </c>
      <c r="AO1161" s="78">
        <v>0.99058108060743677</v>
      </c>
    </row>
    <row r="1162" spans="29:41">
      <c r="AC1162" s="153" t="s">
        <v>52</v>
      </c>
      <c r="AD1162" s="153" t="s">
        <v>18</v>
      </c>
      <c r="AE1162" s="153" t="s">
        <v>72</v>
      </c>
      <c r="AF1162" s="153" t="s">
        <v>51</v>
      </c>
      <c r="AG1162" s="153" t="s">
        <v>641</v>
      </c>
      <c r="AH1162" s="153">
        <v>3.9361387568601574</v>
      </c>
      <c r="AJ1162" s="78" t="s">
        <v>52</v>
      </c>
      <c r="AK1162" s="78" t="s">
        <v>18</v>
      </c>
      <c r="AL1162" s="78" t="s">
        <v>28</v>
      </c>
      <c r="AM1162" s="78" t="s">
        <v>51</v>
      </c>
      <c r="AN1162" s="78" t="s">
        <v>617</v>
      </c>
      <c r="AO1162" s="78">
        <v>0.94928458212680389</v>
      </c>
    </row>
    <row r="1163" spans="29:41">
      <c r="AC1163" s="153" t="s">
        <v>52</v>
      </c>
      <c r="AD1163" s="153" t="s">
        <v>18</v>
      </c>
      <c r="AE1163" s="153" t="s">
        <v>72</v>
      </c>
      <c r="AF1163" s="153" t="s">
        <v>51</v>
      </c>
      <c r="AG1163" s="153" t="s">
        <v>642</v>
      </c>
      <c r="AH1163" s="153">
        <v>3.9987193359155064</v>
      </c>
      <c r="AJ1163" s="78" t="s">
        <v>52</v>
      </c>
      <c r="AK1163" s="78" t="s">
        <v>18</v>
      </c>
      <c r="AL1163" s="78" t="s">
        <v>28</v>
      </c>
      <c r="AM1163" s="78" t="s">
        <v>51</v>
      </c>
      <c r="AN1163" s="78" t="s">
        <v>618</v>
      </c>
      <c r="AO1163" s="78">
        <v>0.97029320430959409</v>
      </c>
    </row>
    <row r="1164" spans="29:41">
      <c r="AC1164" s="153" t="s">
        <v>52</v>
      </c>
      <c r="AD1164" s="153" t="s">
        <v>18</v>
      </c>
      <c r="AE1164" s="153" t="s">
        <v>72</v>
      </c>
      <c r="AF1164" s="153" t="s">
        <v>51</v>
      </c>
      <c r="AG1164" s="153" t="s">
        <v>643</v>
      </c>
      <c r="AH1164" s="153">
        <v>3.9987193359155064</v>
      </c>
      <c r="AJ1164" s="78" t="s">
        <v>52</v>
      </c>
      <c r="AK1164" s="78" t="s">
        <v>18</v>
      </c>
      <c r="AL1164" s="78" t="s">
        <v>28</v>
      </c>
      <c r="AM1164" s="78" t="s">
        <v>51</v>
      </c>
      <c r="AN1164" s="78" t="s">
        <v>619</v>
      </c>
      <c r="AO1164" s="78">
        <v>0.95570690805449054</v>
      </c>
    </row>
    <row r="1165" spans="29:41">
      <c r="AC1165" s="153" t="s">
        <v>52</v>
      </c>
      <c r="AD1165" s="153" t="s">
        <v>18</v>
      </c>
      <c r="AE1165" s="153" t="s">
        <v>72</v>
      </c>
      <c r="AF1165" s="153" t="s">
        <v>51</v>
      </c>
      <c r="AG1165" s="153" t="s">
        <v>644</v>
      </c>
      <c r="AH1165" s="153">
        <v>4.0640286610076064</v>
      </c>
      <c r="AJ1165" s="78" t="s">
        <v>52</v>
      </c>
      <c r="AK1165" s="78" t="s">
        <v>18</v>
      </c>
      <c r="AL1165" s="78" t="s">
        <v>28</v>
      </c>
      <c r="AM1165" s="78" t="s">
        <v>51</v>
      </c>
      <c r="AN1165" s="78" t="s">
        <v>620</v>
      </c>
      <c r="AO1165" s="78">
        <v>0.98885673361693083</v>
      </c>
    </row>
    <row r="1166" spans="29:41">
      <c r="AC1166" s="153" t="s">
        <v>52</v>
      </c>
      <c r="AD1166" s="153" t="s">
        <v>18</v>
      </c>
      <c r="AE1166" s="153" t="s">
        <v>72</v>
      </c>
      <c r="AF1166" s="153" t="s">
        <v>51</v>
      </c>
      <c r="AG1166" s="153" t="s">
        <v>645</v>
      </c>
      <c r="AH1166" s="153">
        <v>4.0314060668582723</v>
      </c>
      <c r="AJ1166" s="78" t="s">
        <v>52</v>
      </c>
      <c r="AK1166" s="78" t="s">
        <v>18</v>
      </c>
      <c r="AL1166" s="78" t="s">
        <v>28</v>
      </c>
      <c r="AM1166" s="78" t="s">
        <v>51</v>
      </c>
      <c r="AN1166" s="78" t="s">
        <v>621</v>
      </c>
      <c r="AO1166" s="78">
        <v>0.93303759941360254</v>
      </c>
    </row>
    <row r="1167" spans="29:41">
      <c r="AC1167" s="153" t="s">
        <v>52</v>
      </c>
      <c r="AD1167" s="153" t="s">
        <v>18</v>
      </c>
      <c r="AE1167" s="153" t="s">
        <v>72</v>
      </c>
      <c r="AF1167" s="153" t="s">
        <v>51</v>
      </c>
      <c r="AG1167" s="153" t="s">
        <v>646</v>
      </c>
      <c r="AH1167" s="153">
        <v>4.0314060668582723</v>
      </c>
      <c r="AJ1167" s="78" t="s">
        <v>52</v>
      </c>
      <c r="AK1167" s="78" t="s">
        <v>18</v>
      </c>
      <c r="AL1167" s="78" t="s">
        <v>28</v>
      </c>
      <c r="AM1167" s="78" t="s">
        <v>51</v>
      </c>
      <c r="AN1167" s="78" t="s">
        <v>622</v>
      </c>
      <c r="AO1167" s="78">
        <v>0.96910073952033016</v>
      </c>
    </row>
    <row r="1168" spans="29:41">
      <c r="AC1168" s="153" t="s">
        <v>52</v>
      </c>
      <c r="AD1168" s="153" t="s">
        <v>18</v>
      </c>
      <c r="AE1168" s="153" t="s">
        <v>72</v>
      </c>
      <c r="AF1168" s="153" t="s">
        <v>51</v>
      </c>
      <c r="AG1168" s="153" t="s">
        <v>647</v>
      </c>
      <c r="AH1168" s="153">
        <v>3.968948344733974</v>
      </c>
      <c r="AJ1168" s="78" t="s">
        <v>52</v>
      </c>
      <c r="AK1168" s="78" t="s">
        <v>18</v>
      </c>
      <c r="AL1168" s="78" t="s">
        <v>28</v>
      </c>
      <c r="AM1168" s="78" t="s">
        <v>51</v>
      </c>
      <c r="AN1168" s="78" t="s">
        <v>623</v>
      </c>
      <c r="AO1168" s="78">
        <v>0.96958083473136225</v>
      </c>
    </row>
    <row r="1169" spans="29:41">
      <c r="AC1169" s="153" t="s">
        <v>52</v>
      </c>
      <c r="AD1169" s="153" t="s">
        <v>18</v>
      </c>
      <c r="AE1169" s="153" t="s">
        <v>72</v>
      </c>
      <c r="AF1169" s="153" t="s">
        <v>51</v>
      </c>
      <c r="AG1169" s="153" t="s">
        <v>648</v>
      </c>
      <c r="AH1169" s="153">
        <v>4.0314060668582723</v>
      </c>
      <c r="AJ1169" s="78" t="s">
        <v>52</v>
      </c>
      <c r="AK1169" s="78" t="s">
        <v>18</v>
      </c>
      <c r="AL1169" s="78" t="s">
        <v>28</v>
      </c>
      <c r="AM1169" s="78" t="s">
        <v>51</v>
      </c>
      <c r="AN1169" s="78" t="s">
        <v>624</v>
      </c>
      <c r="AO1169" s="78">
        <v>0.97810447282390967</v>
      </c>
    </row>
    <row r="1170" spans="29:41">
      <c r="AC1170" s="153" t="s">
        <v>52</v>
      </c>
      <c r="AD1170" s="153" t="s">
        <v>18</v>
      </c>
      <c r="AE1170" s="153" t="s">
        <v>72</v>
      </c>
      <c r="AF1170" s="153" t="s">
        <v>51</v>
      </c>
      <c r="AG1170" s="153" t="s">
        <v>649</v>
      </c>
      <c r="AH1170" s="153">
        <v>3.9987193359155064</v>
      </c>
      <c r="AJ1170" s="78" t="s">
        <v>52</v>
      </c>
      <c r="AK1170" s="78" t="s">
        <v>18</v>
      </c>
      <c r="AL1170" s="78" t="s">
        <v>28</v>
      </c>
      <c r="AM1170" s="78" t="s">
        <v>51</v>
      </c>
      <c r="AN1170" s="78" t="s">
        <v>625</v>
      </c>
      <c r="AO1170" s="78">
        <v>1.0157725883808497</v>
      </c>
    </row>
    <row r="1171" spans="29:41">
      <c r="AC1171" s="153" t="s">
        <v>52</v>
      </c>
      <c r="AD1171" s="153" t="s">
        <v>18</v>
      </c>
      <c r="AE1171" s="153" t="s">
        <v>72</v>
      </c>
      <c r="AF1171" s="153" t="s">
        <v>51</v>
      </c>
      <c r="AG1171" s="153" t="s">
        <v>650</v>
      </c>
      <c r="AH1171" s="153">
        <v>4.0640286610076064</v>
      </c>
      <c r="AJ1171" s="78" t="s">
        <v>52</v>
      </c>
      <c r="AK1171" s="78" t="s">
        <v>18</v>
      </c>
      <c r="AL1171" s="78" t="s">
        <v>28</v>
      </c>
      <c r="AM1171" s="78" t="s">
        <v>51</v>
      </c>
      <c r="AN1171" s="78" t="s">
        <v>626</v>
      </c>
      <c r="AO1171" s="78">
        <v>0.9594566142051002</v>
      </c>
    </row>
    <row r="1172" spans="29:41">
      <c r="AC1172" s="153" t="s">
        <v>52</v>
      </c>
      <c r="AD1172" s="153" t="s">
        <v>18</v>
      </c>
      <c r="AE1172" s="153" t="s">
        <v>72</v>
      </c>
      <c r="AF1172" s="153" t="s">
        <v>51</v>
      </c>
      <c r="AG1172" s="153" t="s">
        <v>651</v>
      </c>
      <c r="AH1172" s="153">
        <v>4.0314060668582723</v>
      </c>
      <c r="AJ1172" s="78" t="s">
        <v>52</v>
      </c>
      <c r="AK1172" s="78" t="s">
        <v>18</v>
      </c>
      <c r="AL1172" s="78" t="s">
        <v>28</v>
      </c>
      <c r="AM1172" s="78" t="s">
        <v>51</v>
      </c>
      <c r="AN1172" s="78" t="s">
        <v>627</v>
      </c>
      <c r="AO1172" s="78">
        <v>0.97840378678749063</v>
      </c>
    </row>
    <row r="1173" spans="29:41">
      <c r="AC1173" s="153" t="s">
        <v>52</v>
      </c>
      <c r="AD1173" s="153" t="s">
        <v>18</v>
      </c>
      <c r="AE1173" s="153" t="s">
        <v>72</v>
      </c>
      <c r="AF1173" s="153" t="s">
        <v>51</v>
      </c>
      <c r="AG1173" s="153" t="s">
        <v>652</v>
      </c>
      <c r="AH1173" s="153">
        <v>4.0314060668582723</v>
      </c>
      <c r="AJ1173" s="78" t="s">
        <v>52</v>
      </c>
      <c r="AK1173" s="78" t="s">
        <v>18</v>
      </c>
      <c r="AL1173" s="78" t="s">
        <v>28</v>
      </c>
      <c r="AM1173" s="78" t="s">
        <v>51</v>
      </c>
      <c r="AN1173" s="78" t="s">
        <v>628</v>
      </c>
      <c r="AO1173" s="78">
        <v>0.96998229482250098</v>
      </c>
    </row>
    <row r="1174" spans="29:41">
      <c r="AC1174" s="153" t="s">
        <v>52</v>
      </c>
      <c r="AD1174" s="153" t="s">
        <v>18</v>
      </c>
      <c r="AE1174" s="153" t="s">
        <v>72</v>
      </c>
      <c r="AF1174" s="153" t="s">
        <v>51</v>
      </c>
      <c r="AG1174" s="153" t="s">
        <v>653</v>
      </c>
      <c r="AH1174" s="153">
        <v>4.0640286610076064</v>
      </c>
      <c r="AJ1174" s="78" t="s">
        <v>52</v>
      </c>
      <c r="AK1174" s="78" t="s">
        <v>18</v>
      </c>
      <c r="AL1174" s="78" t="s">
        <v>28</v>
      </c>
      <c r="AM1174" s="78" t="s">
        <v>51</v>
      </c>
      <c r="AN1174" s="78" t="s">
        <v>629</v>
      </c>
      <c r="AO1174" s="78">
        <v>0.9786499289819065</v>
      </c>
    </row>
    <row r="1175" spans="29:41">
      <c r="AC1175" s="153" t="s">
        <v>52</v>
      </c>
      <c r="AD1175" s="153" t="s">
        <v>18</v>
      </c>
      <c r="AE1175" s="153" t="s">
        <v>72</v>
      </c>
      <c r="AF1175" s="153" t="s">
        <v>51</v>
      </c>
      <c r="AG1175" s="153" t="s">
        <v>654</v>
      </c>
      <c r="AH1175" s="153">
        <v>4.0640286610076064</v>
      </c>
      <c r="AJ1175" s="78" t="s">
        <v>52</v>
      </c>
      <c r="AK1175" s="78" t="s">
        <v>18</v>
      </c>
      <c r="AL1175" s="78" t="s">
        <v>28</v>
      </c>
      <c r="AM1175" s="78" t="s">
        <v>51</v>
      </c>
      <c r="AN1175" s="78" t="s">
        <v>630</v>
      </c>
      <c r="AO1175" s="78">
        <v>0.9938075707588846</v>
      </c>
    </row>
    <row r="1176" spans="29:41">
      <c r="AC1176" s="153" t="s">
        <v>52</v>
      </c>
      <c r="AD1176" s="153" t="s">
        <v>18</v>
      </c>
      <c r="AE1176" s="153" t="s">
        <v>72</v>
      </c>
      <c r="AF1176" s="153" t="s">
        <v>51</v>
      </c>
      <c r="AG1176" s="153" t="s">
        <v>655</v>
      </c>
      <c r="AH1176" s="153">
        <v>4.0314060668582723</v>
      </c>
      <c r="AJ1176" s="78" t="s">
        <v>52</v>
      </c>
      <c r="AK1176" s="78" t="s">
        <v>18</v>
      </c>
      <c r="AL1176" s="78" t="s">
        <v>28</v>
      </c>
      <c r="AM1176" s="78" t="s">
        <v>51</v>
      </c>
      <c r="AN1176" s="78" t="s">
        <v>631</v>
      </c>
      <c r="AO1176" s="78">
        <v>1.0129073281836849</v>
      </c>
    </row>
    <row r="1177" spans="29:41">
      <c r="AC1177" s="153" t="s">
        <v>52</v>
      </c>
      <c r="AD1177" s="153" t="s">
        <v>18</v>
      </c>
      <c r="AE1177" s="153" t="s">
        <v>72</v>
      </c>
      <c r="AF1177" s="153" t="s">
        <v>51</v>
      </c>
      <c r="AG1177" s="153" t="s">
        <v>656</v>
      </c>
      <c r="AH1177" s="153">
        <v>3.9987193359155064</v>
      </c>
      <c r="AJ1177" s="78" t="s">
        <v>52</v>
      </c>
      <c r="AK1177" s="78" t="s">
        <v>18</v>
      </c>
      <c r="AL1177" s="78" t="s">
        <v>28</v>
      </c>
      <c r="AM1177" s="78" t="s">
        <v>51</v>
      </c>
      <c r="AN1177" s="78" t="s">
        <v>632</v>
      </c>
      <c r="AO1177" s="78">
        <v>0.94183343980294087</v>
      </c>
    </row>
    <row r="1178" spans="29:41">
      <c r="AC1178" s="153" t="s">
        <v>52</v>
      </c>
      <c r="AD1178" s="153" t="s">
        <v>18</v>
      </c>
      <c r="AE1178" s="153" t="s">
        <v>72</v>
      </c>
      <c r="AF1178" s="153" t="s">
        <v>51</v>
      </c>
      <c r="AG1178" s="153" t="s">
        <v>657</v>
      </c>
      <c r="AH1178" s="153">
        <v>3.9987193359155064</v>
      </c>
      <c r="AJ1178" s="78" t="s">
        <v>52</v>
      </c>
      <c r="AK1178" s="78" t="s">
        <v>18</v>
      </c>
      <c r="AL1178" s="78" t="s">
        <v>28</v>
      </c>
      <c r="AM1178" s="78" t="s">
        <v>51</v>
      </c>
      <c r="AN1178" s="78" t="s">
        <v>633</v>
      </c>
      <c r="AO1178" s="78">
        <v>0.94855595531547077</v>
      </c>
    </row>
    <row r="1179" spans="29:41">
      <c r="AC1179" s="153" t="s">
        <v>52</v>
      </c>
      <c r="AD1179" s="153" t="s">
        <v>18</v>
      </c>
      <c r="AE1179" s="153" t="s">
        <v>72</v>
      </c>
      <c r="AF1179" s="153" t="s">
        <v>51</v>
      </c>
      <c r="AG1179" s="153" t="s">
        <v>658</v>
      </c>
      <c r="AH1179" s="153">
        <v>3.9361387568601574</v>
      </c>
      <c r="AJ1179" s="78" t="s">
        <v>52</v>
      </c>
      <c r="AK1179" s="78" t="s">
        <v>18</v>
      </c>
      <c r="AL1179" s="78" t="s">
        <v>28</v>
      </c>
      <c r="AM1179" s="78" t="s">
        <v>51</v>
      </c>
      <c r="AN1179" s="78" t="s">
        <v>634</v>
      </c>
      <c r="AO1179" s="78">
        <v>1.0265346361770966</v>
      </c>
    </row>
    <row r="1180" spans="29:41">
      <c r="AC1180" s="153" t="s">
        <v>52</v>
      </c>
      <c r="AD1180" s="153" t="s">
        <v>18</v>
      </c>
      <c r="AE1180" s="153" t="s">
        <v>72</v>
      </c>
      <c r="AF1180" s="153" t="s">
        <v>51</v>
      </c>
      <c r="AG1180" s="153" t="s">
        <v>659</v>
      </c>
      <c r="AH1180" s="153">
        <v>3.8755297138005318</v>
      </c>
      <c r="AJ1180" s="78" t="s">
        <v>52</v>
      </c>
      <c r="AK1180" s="78" t="s">
        <v>18</v>
      </c>
      <c r="AL1180" s="78" t="s">
        <v>28</v>
      </c>
      <c r="AM1180" s="78" t="s">
        <v>51</v>
      </c>
      <c r="AN1180" s="78" t="s">
        <v>635</v>
      </c>
      <c r="AO1180" s="78">
        <v>0.9601250941714663</v>
      </c>
    </row>
    <row r="1181" spans="29:41">
      <c r="AC1181" s="153" t="s">
        <v>52</v>
      </c>
      <c r="AD1181" s="153" t="s">
        <v>18</v>
      </c>
      <c r="AE1181" s="153" t="s">
        <v>72</v>
      </c>
      <c r="AF1181" s="153" t="s">
        <v>51</v>
      </c>
      <c r="AG1181" s="153" t="s">
        <v>660</v>
      </c>
      <c r="AH1181" s="153">
        <v>3.9383274444660326</v>
      </c>
      <c r="AJ1181" s="78" t="s">
        <v>52</v>
      </c>
      <c r="AK1181" s="78" t="s">
        <v>18</v>
      </c>
      <c r="AL1181" s="78" t="s">
        <v>28</v>
      </c>
      <c r="AM1181" s="78" t="s">
        <v>51</v>
      </c>
      <c r="AN1181" s="78" t="s">
        <v>636</v>
      </c>
      <c r="AO1181" s="78">
        <v>0.96071749650751725</v>
      </c>
    </row>
    <row r="1182" spans="29:41">
      <c r="AC1182" s="153" t="s">
        <v>52</v>
      </c>
      <c r="AD1182" s="153" t="s">
        <v>18</v>
      </c>
      <c r="AE1182" s="153" t="s">
        <v>72</v>
      </c>
      <c r="AF1182" s="153" t="s">
        <v>51</v>
      </c>
      <c r="AG1182" s="153" t="s">
        <v>661</v>
      </c>
      <c r="AH1182" s="153">
        <v>3.9383274444660326</v>
      </c>
      <c r="AJ1182" s="78" t="s">
        <v>52</v>
      </c>
      <c r="AK1182" s="78" t="s">
        <v>18</v>
      </c>
      <c r="AL1182" s="78" t="s">
        <v>28</v>
      </c>
      <c r="AM1182" s="78" t="s">
        <v>51</v>
      </c>
      <c r="AN1182" s="78" t="s">
        <v>637</v>
      </c>
      <c r="AO1182" s="78">
        <v>0.98404879973051151</v>
      </c>
    </row>
    <row r="1183" spans="29:41">
      <c r="AC1183" s="153" t="s">
        <v>52</v>
      </c>
      <c r="AD1183" s="153" t="s">
        <v>18</v>
      </c>
      <c r="AE1183" s="153" t="s">
        <v>72</v>
      </c>
      <c r="AF1183" s="153" t="s">
        <v>51</v>
      </c>
      <c r="AG1183" s="153" t="s">
        <v>662</v>
      </c>
      <c r="AH1183" s="153">
        <v>3.9383274444660326</v>
      </c>
      <c r="AJ1183" s="78" t="s">
        <v>52</v>
      </c>
      <c r="AK1183" s="78" t="s">
        <v>18</v>
      </c>
      <c r="AL1183" s="78" t="s">
        <v>28</v>
      </c>
      <c r="AM1183" s="78" t="s">
        <v>51</v>
      </c>
      <c r="AN1183" s="78" t="s">
        <v>638</v>
      </c>
      <c r="AO1183" s="78">
        <v>1.0132801343971227</v>
      </c>
    </row>
    <row r="1184" spans="29:41">
      <c r="AC1184" s="153" t="s">
        <v>52</v>
      </c>
      <c r="AD1184" s="153" t="s">
        <v>18</v>
      </c>
      <c r="AE1184" s="153" t="s">
        <v>72</v>
      </c>
      <c r="AF1184" s="153" t="s">
        <v>51</v>
      </c>
      <c r="AG1184" s="153" t="s">
        <v>663</v>
      </c>
      <c r="AH1184" s="153">
        <v>3.9383274444660326</v>
      </c>
      <c r="AJ1184" s="78" t="s">
        <v>52</v>
      </c>
      <c r="AK1184" s="78" t="s">
        <v>18</v>
      </c>
      <c r="AL1184" s="78" t="s">
        <v>28</v>
      </c>
      <c r="AM1184" s="78" t="s">
        <v>51</v>
      </c>
      <c r="AN1184" s="78" t="s">
        <v>639</v>
      </c>
      <c r="AO1184" s="78">
        <v>0.98924022133007261</v>
      </c>
    </row>
    <row r="1185" spans="29:41">
      <c r="AC1185" s="153" t="s">
        <v>52</v>
      </c>
      <c r="AD1185" s="153" t="s">
        <v>18</v>
      </c>
      <c r="AE1185" s="153" t="s">
        <v>72</v>
      </c>
      <c r="AF1185" s="153" t="s">
        <v>51</v>
      </c>
      <c r="AG1185" s="153" t="s">
        <v>664</v>
      </c>
      <c r="AH1185" s="153">
        <v>3.9383274444660326</v>
      </c>
      <c r="AJ1185" s="78" t="s">
        <v>52</v>
      </c>
      <c r="AK1185" s="78" t="s">
        <v>18</v>
      </c>
      <c r="AL1185" s="78" t="s">
        <v>28</v>
      </c>
      <c r="AM1185" s="78" t="s">
        <v>51</v>
      </c>
      <c r="AN1185" s="78" t="s">
        <v>640</v>
      </c>
      <c r="AO1185" s="78">
        <v>0.94796270412173744</v>
      </c>
    </row>
    <row r="1186" spans="29:41">
      <c r="AC1186" s="153" t="s">
        <v>52</v>
      </c>
      <c r="AD1186" s="153" t="s">
        <v>18</v>
      </c>
      <c r="AE1186" s="153" t="s">
        <v>72</v>
      </c>
      <c r="AF1186" s="153" t="s">
        <v>51</v>
      </c>
      <c r="AG1186" s="153" t="s">
        <v>665</v>
      </c>
      <c r="AH1186" s="153">
        <v>3.9383274444660326</v>
      </c>
      <c r="AJ1186" s="78" t="s">
        <v>52</v>
      </c>
      <c r="AK1186" s="78" t="s">
        <v>18</v>
      </c>
      <c r="AL1186" s="78" t="s">
        <v>28</v>
      </c>
      <c r="AM1186" s="78" t="s">
        <v>51</v>
      </c>
      <c r="AN1186" s="78" t="s">
        <v>641</v>
      </c>
      <c r="AO1186" s="78">
        <v>0.95515277142878763</v>
      </c>
    </row>
    <row r="1187" spans="29:41">
      <c r="AC1187" s="153" t="s">
        <v>52</v>
      </c>
      <c r="AD1187" s="153" t="s">
        <v>18</v>
      </c>
      <c r="AE1187" s="153" t="s">
        <v>72</v>
      </c>
      <c r="AF1187" s="153" t="s">
        <v>51</v>
      </c>
      <c r="AG1187" s="153" t="s">
        <v>666</v>
      </c>
      <c r="AH1187" s="153">
        <v>3.9383274444660326</v>
      </c>
      <c r="AJ1187" s="78" t="s">
        <v>52</v>
      </c>
      <c r="AK1187" s="78" t="s">
        <v>18</v>
      </c>
      <c r="AL1187" s="78" t="s">
        <v>28</v>
      </c>
      <c r="AM1187" s="78" t="s">
        <v>51</v>
      </c>
      <c r="AN1187" s="78" t="s">
        <v>642</v>
      </c>
      <c r="AO1187" s="78">
        <v>0.98172836438258637</v>
      </c>
    </row>
    <row r="1188" spans="29:41">
      <c r="AC1188" s="153" t="s">
        <v>52</v>
      </c>
      <c r="AD1188" s="153" t="s">
        <v>18</v>
      </c>
      <c r="AE1188" s="153" t="s">
        <v>72</v>
      </c>
      <c r="AF1188" s="153" t="s">
        <v>51</v>
      </c>
      <c r="AG1188" s="153" t="s">
        <v>667</v>
      </c>
      <c r="AH1188" s="153">
        <v>3.9383274444660326</v>
      </c>
      <c r="AJ1188" s="78" t="s">
        <v>52</v>
      </c>
      <c r="AK1188" s="78" t="s">
        <v>18</v>
      </c>
      <c r="AL1188" s="78" t="s">
        <v>28</v>
      </c>
      <c r="AM1188" s="78" t="s">
        <v>51</v>
      </c>
      <c r="AN1188" s="78" t="s">
        <v>643</v>
      </c>
      <c r="AO1188" s="78">
        <v>0.91128465632356637</v>
      </c>
    </row>
    <row r="1189" spans="29:41">
      <c r="AC1189" s="153" t="s">
        <v>52</v>
      </c>
      <c r="AD1189" s="153" t="s">
        <v>18</v>
      </c>
      <c r="AE1189" s="153" t="s">
        <v>72</v>
      </c>
      <c r="AF1189" s="153" t="s">
        <v>51</v>
      </c>
      <c r="AG1189" s="153" t="s">
        <v>668</v>
      </c>
      <c r="AH1189" s="153">
        <v>3.8425411667081901</v>
      </c>
      <c r="AJ1189" s="78" t="s">
        <v>52</v>
      </c>
      <c r="AK1189" s="78" t="s">
        <v>18</v>
      </c>
      <c r="AL1189" s="78" t="s">
        <v>28</v>
      </c>
      <c r="AM1189" s="78" t="s">
        <v>51</v>
      </c>
      <c r="AN1189" s="78" t="s">
        <v>644</v>
      </c>
      <c r="AO1189" s="78">
        <v>1.0038150818737464</v>
      </c>
    </row>
    <row r="1190" spans="29:41">
      <c r="AC1190" s="153" t="s">
        <v>52</v>
      </c>
      <c r="AD1190" s="153" t="s">
        <v>18</v>
      </c>
      <c r="AE1190" s="153" t="s">
        <v>72</v>
      </c>
      <c r="AF1190" s="153" t="s">
        <v>51</v>
      </c>
      <c r="AG1190" s="153" t="s">
        <v>669</v>
      </c>
      <c r="AH1190" s="153">
        <v>3.9383274444660326</v>
      </c>
      <c r="AJ1190" s="78" t="s">
        <v>52</v>
      </c>
      <c r="AK1190" s="78" t="s">
        <v>18</v>
      </c>
      <c r="AL1190" s="78" t="s">
        <v>28</v>
      </c>
      <c r="AM1190" s="78" t="s">
        <v>51</v>
      </c>
      <c r="AN1190" s="78" t="s">
        <v>645</v>
      </c>
      <c r="AO1190" s="78">
        <v>0.99683035354247229</v>
      </c>
    </row>
    <row r="1191" spans="29:41">
      <c r="AC1191" s="153" t="s">
        <v>52</v>
      </c>
      <c r="AD1191" s="153" t="s">
        <v>18</v>
      </c>
      <c r="AE1191" s="153" t="s">
        <v>72</v>
      </c>
      <c r="AF1191" s="153" t="s">
        <v>51</v>
      </c>
      <c r="AG1191" s="153" t="s">
        <v>670</v>
      </c>
      <c r="AH1191" s="153">
        <v>3.9383274444660326</v>
      </c>
      <c r="AJ1191" s="78" t="s">
        <v>52</v>
      </c>
      <c r="AK1191" s="78" t="s">
        <v>18</v>
      </c>
      <c r="AL1191" s="78" t="s">
        <v>28</v>
      </c>
      <c r="AM1191" s="78" t="s">
        <v>51</v>
      </c>
      <c r="AN1191" s="78" t="s">
        <v>646</v>
      </c>
      <c r="AO1191" s="78">
        <v>1.0145958314159824</v>
      </c>
    </row>
    <row r="1192" spans="29:41">
      <c r="AC1192" s="153" t="s">
        <v>52</v>
      </c>
      <c r="AD1192" s="153" t="s">
        <v>18</v>
      </c>
      <c r="AE1192" s="153" t="s">
        <v>72</v>
      </c>
      <c r="AF1192" s="153" t="s">
        <v>51</v>
      </c>
      <c r="AG1192" s="153" t="s">
        <v>671</v>
      </c>
      <c r="AH1192" s="153">
        <v>3.9383274444660326</v>
      </c>
      <c r="AJ1192" s="78" t="s">
        <v>52</v>
      </c>
      <c r="AK1192" s="78" t="s">
        <v>18</v>
      </c>
      <c r="AL1192" s="78" t="s">
        <v>28</v>
      </c>
      <c r="AM1192" s="78" t="s">
        <v>51</v>
      </c>
      <c r="AN1192" s="78" t="s">
        <v>647</v>
      </c>
      <c r="AO1192" s="78">
        <v>0.91089228910485387</v>
      </c>
    </row>
    <row r="1193" spans="29:41">
      <c r="AC1193" s="153" t="s">
        <v>52</v>
      </c>
      <c r="AD1193" s="153" t="s">
        <v>18</v>
      </c>
      <c r="AE1193" s="153" t="s">
        <v>72</v>
      </c>
      <c r="AF1193" s="153" t="s">
        <v>51</v>
      </c>
      <c r="AG1193" s="153" t="s">
        <v>672</v>
      </c>
      <c r="AH1193" s="153">
        <v>3.9383274444660326</v>
      </c>
      <c r="AJ1193" s="163" t="s">
        <v>52</v>
      </c>
      <c r="AK1193" s="163" t="s">
        <v>18</v>
      </c>
      <c r="AL1193" s="163" t="s">
        <v>28</v>
      </c>
      <c r="AM1193" s="163" t="s">
        <v>51</v>
      </c>
      <c r="AN1193" s="163" t="s">
        <v>648</v>
      </c>
      <c r="AO1193" s="163">
        <v>1.0094511686433023</v>
      </c>
    </row>
    <row r="1194" spans="29:41">
      <c r="AC1194" s="153" t="s">
        <v>52</v>
      </c>
      <c r="AD1194" s="153" t="s">
        <v>18</v>
      </c>
      <c r="AE1194" s="153" t="s">
        <v>72</v>
      </c>
      <c r="AF1194" s="153" t="s">
        <v>51</v>
      </c>
      <c r="AG1194" s="153" t="s">
        <v>673</v>
      </c>
      <c r="AH1194" s="153">
        <v>3.8425411667081901</v>
      </c>
      <c r="AJ1194" s="163" t="s">
        <v>52</v>
      </c>
      <c r="AK1194" s="163" t="s">
        <v>18</v>
      </c>
      <c r="AL1194" s="163" t="s">
        <v>28</v>
      </c>
      <c r="AM1194" s="163" t="s">
        <v>51</v>
      </c>
      <c r="AN1194" s="163" t="s">
        <v>649</v>
      </c>
      <c r="AO1194" s="163">
        <v>0.95202833486733651</v>
      </c>
    </row>
    <row r="1195" spans="29:41">
      <c r="AC1195" s="153" t="s">
        <v>52</v>
      </c>
      <c r="AD1195" s="153" t="s">
        <v>18</v>
      </c>
      <c r="AE1195" s="153" t="s">
        <v>72</v>
      </c>
      <c r="AF1195" s="153" t="s">
        <v>51</v>
      </c>
      <c r="AG1195" s="153" t="s">
        <v>674</v>
      </c>
      <c r="AH1195" s="153">
        <v>3.8755297138005318</v>
      </c>
      <c r="AJ1195" s="163" t="s">
        <v>52</v>
      </c>
      <c r="AK1195" s="163" t="s">
        <v>18</v>
      </c>
      <c r="AL1195" s="163" t="s">
        <v>28</v>
      </c>
      <c r="AM1195" s="163" t="s">
        <v>51</v>
      </c>
      <c r="AN1195" s="163" t="s">
        <v>650</v>
      </c>
      <c r="AO1195" s="163">
        <v>0.98028301370717619</v>
      </c>
    </row>
    <row r="1196" spans="29:41">
      <c r="AC1196" s="153" t="s">
        <v>52</v>
      </c>
      <c r="AD1196" s="153" t="s">
        <v>18</v>
      </c>
      <c r="AE1196" s="153" t="s">
        <v>72</v>
      </c>
      <c r="AF1196" s="153" t="s">
        <v>51</v>
      </c>
      <c r="AG1196" s="153" t="s">
        <v>675</v>
      </c>
      <c r="AH1196" s="153">
        <v>3.8755297138005318</v>
      </c>
      <c r="AJ1196" s="163" t="s">
        <v>52</v>
      </c>
      <c r="AK1196" s="163" t="s">
        <v>18</v>
      </c>
      <c r="AL1196" s="163" t="s">
        <v>28</v>
      </c>
      <c r="AM1196" s="163" t="s">
        <v>51</v>
      </c>
      <c r="AN1196" s="163" t="s">
        <v>651</v>
      </c>
      <c r="AO1196" s="163">
        <v>0.95590328795911239</v>
      </c>
    </row>
    <row r="1197" spans="29:41">
      <c r="AC1197" s="153" t="s">
        <v>52</v>
      </c>
      <c r="AD1197" s="153" t="s">
        <v>18</v>
      </c>
      <c r="AE1197" s="153" t="s">
        <v>72</v>
      </c>
      <c r="AF1197" s="153" t="s">
        <v>51</v>
      </c>
      <c r="AG1197" s="153" t="s">
        <v>676</v>
      </c>
      <c r="AH1197" s="153">
        <v>3.812592661796018</v>
      </c>
      <c r="AJ1197" s="163" t="s">
        <v>52</v>
      </c>
      <c r="AK1197" s="163" t="s">
        <v>18</v>
      </c>
      <c r="AL1197" s="163" t="s">
        <v>28</v>
      </c>
      <c r="AM1197" s="163" t="s">
        <v>51</v>
      </c>
      <c r="AN1197" s="163" t="s">
        <v>652</v>
      </c>
      <c r="AO1197" s="163">
        <v>0.93891253826107224</v>
      </c>
    </row>
    <row r="1198" spans="29:41">
      <c r="AC1198" s="153" t="s">
        <v>52</v>
      </c>
      <c r="AD1198" s="153" t="s">
        <v>18</v>
      </c>
      <c r="AE1198" s="153" t="s">
        <v>72</v>
      </c>
      <c r="AF1198" s="153" t="s">
        <v>51</v>
      </c>
      <c r="AG1198" s="153" t="s">
        <v>677</v>
      </c>
      <c r="AH1198" s="153">
        <v>3.8124950348616728</v>
      </c>
      <c r="AJ1198" s="163" t="s">
        <v>52</v>
      </c>
      <c r="AK1198" s="163" t="s">
        <v>18</v>
      </c>
      <c r="AL1198" s="163" t="s">
        <v>28</v>
      </c>
      <c r="AM1198" s="163" t="s">
        <v>51</v>
      </c>
      <c r="AN1198" s="163" t="s">
        <v>653</v>
      </c>
      <c r="AO1198" s="163">
        <v>0.92700603364101597</v>
      </c>
    </row>
    <row r="1199" spans="29:41">
      <c r="AC1199" s="153" t="s">
        <v>52</v>
      </c>
      <c r="AD1199" s="153" t="s">
        <v>18</v>
      </c>
      <c r="AE1199" s="153" t="s">
        <v>72</v>
      </c>
      <c r="AF1199" s="153" t="s">
        <v>51</v>
      </c>
      <c r="AG1199" s="153" t="s">
        <v>678</v>
      </c>
      <c r="AH1199" s="153">
        <v>3.8425411667081901</v>
      </c>
      <c r="AJ1199" s="163" t="s">
        <v>52</v>
      </c>
      <c r="AK1199" s="163" t="s">
        <v>18</v>
      </c>
      <c r="AL1199" s="163" t="s">
        <v>28</v>
      </c>
      <c r="AM1199" s="163" t="s">
        <v>51</v>
      </c>
      <c r="AN1199" s="163" t="s">
        <v>654</v>
      </c>
      <c r="AO1199" s="163">
        <v>0.93048410317254637</v>
      </c>
    </row>
    <row r="1200" spans="29:41">
      <c r="AC1200" s="153" t="s">
        <v>52</v>
      </c>
      <c r="AD1200" s="153" t="s">
        <v>18</v>
      </c>
      <c r="AE1200" s="153" t="s">
        <v>72</v>
      </c>
      <c r="AF1200" s="153" t="s">
        <v>51</v>
      </c>
      <c r="AG1200" s="153" t="s">
        <v>679</v>
      </c>
      <c r="AH1200" s="153">
        <v>3.8425411667081901</v>
      </c>
      <c r="AJ1200" s="163" t="s">
        <v>52</v>
      </c>
      <c r="AK1200" s="163" t="s">
        <v>18</v>
      </c>
      <c r="AL1200" s="163" t="s">
        <v>28</v>
      </c>
      <c r="AM1200" s="163" t="s">
        <v>51</v>
      </c>
      <c r="AN1200" s="163" t="s">
        <v>655</v>
      </c>
      <c r="AO1200" s="163">
        <v>0.98100996373286231</v>
      </c>
    </row>
    <row r="1201" spans="29:41">
      <c r="AC1201" s="153" t="s">
        <v>52</v>
      </c>
      <c r="AD1201" s="153" t="s">
        <v>18</v>
      </c>
      <c r="AE1201" s="153" t="s">
        <v>72</v>
      </c>
      <c r="AF1201" s="153" t="s">
        <v>51</v>
      </c>
      <c r="AG1201" s="153" t="s">
        <v>680</v>
      </c>
      <c r="AH1201" s="153">
        <v>3.8425411667081901</v>
      </c>
      <c r="AJ1201" s="163" t="s">
        <v>52</v>
      </c>
      <c r="AK1201" s="163" t="s">
        <v>18</v>
      </c>
      <c r="AL1201" s="163" t="s">
        <v>28</v>
      </c>
      <c r="AM1201" s="163" t="s">
        <v>51</v>
      </c>
      <c r="AN1201" s="163" t="s">
        <v>656</v>
      </c>
      <c r="AO1201" s="163">
        <v>0.94469364729824656</v>
      </c>
    </row>
    <row r="1202" spans="29:41">
      <c r="AC1202" s="153" t="s">
        <v>52</v>
      </c>
      <c r="AD1202" s="153" t="s">
        <v>18</v>
      </c>
      <c r="AE1202" s="153" t="s">
        <v>72</v>
      </c>
      <c r="AF1202" s="153" t="s">
        <v>51</v>
      </c>
      <c r="AG1202" s="153" t="s">
        <v>681</v>
      </c>
      <c r="AH1202" s="153">
        <v>3.8124950348616728</v>
      </c>
      <c r="AJ1202" s="163" t="s">
        <v>52</v>
      </c>
      <c r="AK1202" s="163" t="s">
        <v>18</v>
      </c>
      <c r="AL1202" s="163" t="s">
        <v>28</v>
      </c>
      <c r="AM1202" s="163" t="s">
        <v>51</v>
      </c>
      <c r="AN1202" s="163" t="s">
        <v>657</v>
      </c>
      <c r="AO1202" s="163">
        <v>0.96194446682315649</v>
      </c>
    </row>
    <row r="1203" spans="29:41">
      <c r="AC1203" s="153" t="s">
        <v>52</v>
      </c>
      <c r="AD1203" s="153" t="s">
        <v>18</v>
      </c>
      <c r="AE1203" s="153" t="s">
        <v>72</v>
      </c>
      <c r="AF1203" s="153" t="s">
        <v>51</v>
      </c>
      <c r="AG1203" s="153" t="s">
        <v>682</v>
      </c>
      <c r="AH1203" s="153">
        <v>3.8124950348616728</v>
      </c>
      <c r="AJ1203" s="163" t="s">
        <v>52</v>
      </c>
      <c r="AK1203" s="163" t="s">
        <v>18</v>
      </c>
      <c r="AL1203" s="163" t="s">
        <v>28</v>
      </c>
      <c r="AM1203" s="163" t="s">
        <v>51</v>
      </c>
      <c r="AN1203" s="163" t="s">
        <v>658</v>
      </c>
      <c r="AO1203" s="163">
        <v>1.0105628152382775</v>
      </c>
    </row>
    <row r="1204" spans="29:41">
      <c r="AC1204" s="153" t="s">
        <v>52</v>
      </c>
      <c r="AD1204" s="153" t="s">
        <v>18</v>
      </c>
      <c r="AE1204" s="153" t="s">
        <v>72</v>
      </c>
      <c r="AF1204" s="153" t="s">
        <v>51</v>
      </c>
      <c r="AG1204" s="153" t="s">
        <v>683</v>
      </c>
      <c r="AH1204" s="153">
        <v>3.8124950348616728</v>
      </c>
      <c r="AJ1204" s="163" t="s">
        <v>52</v>
      </c>
      <c r="AK1204" s="163" t="s">
        <v>18</v>
      </c>
      <c r="AL1204" s="163" t="s">
        <v>28</v>
      </c>
      <c r="AM1204" s="163" t="s">
        <v>51</v>
      </c>
      <c r="AN1204" s="163" t="s">
        <v>659</v>
      </c>
      <c r="AO1204" s="163">
        <v>0.91475052028541159</v>
      </c>
    </row>
    <row r="1205" spans="29:41">
      <c r="AC1205" s="153" t="s">
        <v>52</v>
      </c>
      <c r="AD1205" s="153" t="s">
        <v>18</v>
      </c>
      <c r="AE1205" s="153" t="s">
        <v>72</v>
      </c>
      <c r="AF1205" s="153" t="s">
        <v>51</v>
      </c>
      <c r="AG1205" s="153" t="s">
        <v>684</v>
      </c>
      <c r="AH1205" s="153">
        <v>3.812592661796018</v>
      </c>
      <c r="AJ1205" s="163" t="s">
        <v>52</v>
      </c>
      <c r="AK1205" s="163" t="s">
        <v>18</v>
      </c>
      <c r="AL1205" s="163" t="s">
        <v>28</v>
      </c>
      <c r="AM1205" s="163" t="s">
        <v>51</v>
      </c>
      <c r="AN1205" s="163" t="s">
        <v>660</v>
      </c>
      <c r="AO1205" s="163">
        <v>0.96112145175385255</v>
      </c>
    </row>
    <row r="1206" spans="29:41">
      <c r="AC1206" s="153" t="s">
        <v>52</v>
      </c>
      <c r="AD1206" s="153" t="s">
        <v>18</v>
      </c>
      <c r="AE1206" s="153" t="s">
        <v>72</v>
      </c>
      <c r="AF1206" s="153" t="s">
        <v>51</v>
      </c>
      <c r="AG1206" s="153" t="s">
        <v>685</v>
      </c>
      <c r="AH1206" s="153">
        <v>3.8425411667081901</v>
      </c>
      <c r="AJ1206" s="163" t="s">
        <v>52</v>
      </c>
      <c r="AK1206" s="163" t="s">
        <v>18</v>
      </c>
      <c r="AL1206" s="163" t="s">
        <v>28</v>
      </c>
      <c r="AM1206" s="163" t="s">
        <v>51</v>
      </c>
      <c r="AN1206" s="163" t="s">
        <v>661</v>
      </c>
      <c r="AO1206" s="163">
        <v>0.95579446526801237</v>
      </c>
    </row>
    <row r="1207" spans="29:41">
      <c r="AC1207" s="153" t="s">
        <v>52</v>
      </c>
      <c r="AD1207" s="153" t="s">
        <v>18</v>
      </c>
      <c r="AE1207" s="153" t="s">
        <v>72</v>
      </c>
      <c r="AF1207" s="153" t="s">
        <v>51</v>
      </c>
      <c r="AG1207" s="153" t="s">
        <v>686</v>
      </c>
      <c r="AH1207" s="153">
        <v>3.8755297138005318</v>
      </c>
      <c r="AJ1207" s="163" t="s">
        <v>52</v>
      </c>
      <c r="AK1207" s="163" t="s">
        <v>18</v>
      </c>
      <c r="AL1207" s="163" t="s">
        <v>28</v>
      </c>
      <c r="AM1207" s="163" t="s">
        <v>51</v>
      </c>
      <c r="AN1207" s="163" t="s">
        <v>662</v>
      </c>
      <c r="AO1207" s="163">
        <v>0.93245745249080259</v>
      </c>
    </row>
    <row r="1208" spans="29:41">
      <c r="AC1208" s="153" t="s">
        <v>52</v>
      </c>
      <c r="AD1208" s="153" t="s">
        <v>18</v>
      </c>
      <c r="AE1208" s="153" t="s">
        <v>72</v>
      </c>
      <c r="AF1208" s="153" t="s">
        <v>51</v>
      </c>
      <c r="AG1208" s="153" t="s">
        <v>687</v>
      </c>
      <c r="AH1208" s="153">
        <v>3.9054628819113248</v>
      </c>
      <c r="AJ1208" s="163" t="s">
        <v>52</v>
      </c>
      <c r="AK1208" s="163" t="s">
        <v>18</v>
      </c>
      <c r="AL1208" s="163" t="s">
        <v>28</v>
      </c>
      <c r="AM1208" s="163" t="s">
        <v>51</v>
      </c>
      <c r="AN1208" s="163" t="s">
        <v>663</v>
      </c>
      <c r="AO1208" s="163">
        <v>0.9533180001542827</v>
      </c>
    </row>
    <row r="1209" spans="29:41">
      <c r="AC1209" s="153" t="s">
        <v>52</v>
      </c>
      <c r="AD1209" s="153" t="s">
        <v>18</v>
      </c>
      <c r="AE1209" s="153" t="s">
        <v>72</v>
      </c>
      <c r="AF1209" s="153" t="s">
        <v>51</v>
      </c>
      <c r="AG1209" s="153" t="s">
        <v>688</v>
      </c>
      <c r="AH1209" s="153">
        <v>3.9383274444660326</v>
      </c>
      <c r="AJ1209" s="163" t="s">
        <v>52</v>
      </c>
      <c r="AK1209" s="163" t="s">
        <v>18</v>
      </c>
      <c r="AL1209" s="163" t="s">
        <v>28</v>
      </c>
      <c r="AM1209" s="163" t="s">
        <v>51</v>
      </c>
      <c r="AN1209" s="163" t="s">
        <v>664</v>
      </c>
      <c r="AO1209" s="163">
        <v>0.97272827603718248</v>
      </c>
    </row>
    <row r="1210" spans="29:41">
      <c r="AC1210" s="153" t="s">
        <v>52</v>
      </c>
      <c r="AD1210" s="153" t="s">
        <v>18</v>
      </c>
      <c r="AE1210" s="153" t="s">
        <v>72</v>
      </c>
      <c r="AF1210" s="153" t="s">
        <v>51</v>
      </c>
      <c r="AG1210" s="153" t="s">
        <v>689</v>
      </c>
      <c r="AH1210" s="153">
        <v>3.9383274444660326</v>
      </c>
      <c r="AJ1210" s="163" t="s">
        <v>52</v>
      </c>
      <c r="AK1210" s="163" t="s">
        <v>18</v>
      </c>
      <c r="AL1210" s="163" t="s">
        <v>28</v>
      </c>
      <c r="AM1210" s="163" t="s">
        <v>51</v>
      </c>
      <c r="AN1210" s="163" t="s">
        <v>665</v>
      </c>
      <c r="AO1210" s="163">
        <v>1.0010728679833725</v>
      </c>
    </row>
    <row r="1211" spans="29:41">
      <c r="AC1211" s="153" t="s">
        <v>52</v>
      </c>
      <c r="AD1211" s="153" t="s">
        <v>18</v>
      </c>
      <c r="AE1211" s="153" t="s">
        <v>72</v>
      </c>
      <c r="AF1211" s="153" t="s">
        <v>51</v>
      </c>
      <c r="AG1211" s="153" t="s">
        <v>690</v>
      </c>
      <c r="AH1211" s="153">
        <v>3.968948344733974</v>
      </c>
      <c r="AJ1211" s="163" t="s">
        <v>52</v>
      </c>
      <c r="AK1211" s="163" t="s">
        <v>18</v>
      </c>
      <c r="AL1211" s="163" t="s">
        <v>28</v>
      </c>
      <c r="AM1211" s="163" t="s">
        <v>51</v>
      </c>
      <c r="AN1211" s="163" t="s">
        <v>666</v>
      </c>
      <c r="AO1211" s="163">
        <v>1.0153063396217927</v>
      </c>
    </row>
    <row r="1212" spans="29:41">
      <c r="AC1212" s="153" t="s">
        <v>52</v>
      </c>
      <c r="AD1212" s="153" t="s">
        <v>18</v>
      </c>
      <c r="AE1212" s="153" t="s">
        <v>72</v>
      </c>
      <c r="AF1212" s="153" t="s">
        <v>51</v>
      </c>
      <c r="AG1212" s="153" t="s">
        <v>691</v>
      </c>
      <c r="AH1212" s="153">
        <v>3.968948344733974</v>
      </c>
      <c r="AJ1212" s="163" t="s">
        <v>52</v>
      </c>
      <c r="AK1212" s="163" t="s">
        <v>18</v>
      </c>
      <c r="AL1212" s="163" t="s">
        <v>28</v>
      </c>
      <c r="AM1212" s="163" t="s">
        <v>51</v>
      </c>
      <c r="AN1212" s="163" t="s">
        <v>667</v>
      </c>
      <c r="AO1212" s="163">
        <v>0.98944193816562287</v>
      </c>
    </row>
    <row r="1213" spans="29:41">
      <c r="AC1213" s="153" t="s">
        <v>52</v>
      </c>
      <c r="AD1213" s="153" t="s">
        <v>18</v>
      </c>
      <c r="AE1213" s="153" t="s">
        <v>72</v>
      </c>
      <c r="AF1213" s="153" t="s">
        <v>51</v>
      </c>
      <c r="AG1213" s="153" t="s">
        <v>692</v>
      </c>
      <c r="AH1213" s="153">
        <v>3.968948344733974</v>
      </c>
      <c r="AJ1213" s="163" t="s">
        <v>52</v>
      </c>
      <c r="AK1213" s="163" t="s">
        <v>18</v>
      </c>
      <c r="AL1213" s="163" t="s">
        <v>28</v>
      </c>
      <c r="AM1213" s="163" t="s">
        <v>51</v>
      </c>
      <c r="AN1213" s="163" t="s">
        <v>668</v>
      </c>
      <c r="AO1213" s="163">
        <v>0.94175664891645028</v>
      </c>
    </row>
    <row r="1214" spans="29:41">
      <c r="AC1214" s="153" t="s">
        <v>52</v>
      </c>
      <c r="AD1214" s="153" t="s">
        <v>18</v>
      </c>
      <c r="AE1214" s="153" t="s">
        <v>72</v>
      </c>
      <c r="AF1214" s="153" t="s">
        <v>51</v>
      </c>
      <c r="AG1214" s="153" t="s">
        <v>693</v>
      </c>
      <c r="AH1214" s="153">
        <v>3.968948344733974</v>
      </c>
      <c r="AJ1214" s="163" t="s">
        <v>52</v>
      </c>
      <c r="AK1214" s="163" t="s">
        <v>18</v>
      </c>
      <c r="AL1214" s="163" t="s">
        <v>28</v>
      </c>
      <c r="AM1214" s="163" t="s">
        <v>51</v>
      </c>
      <c r="AN1214" s="163" t="s">
        <v>669</v>
      </c>
      <c r="AO1214" s="163">
        <v>1.0249212925729925</v>
      </c>
    </row>
    <row r="1215" spans="29:41">
      <c r="AC1215" s="153" t="s">
        <v>52</v>
      </c>
      <c r="AD1215" s="153" t="s">
        <v>18</v>
      </c>
      <c r="AE1215" s="153" t="s">
        <v>72</v>
      </c>
      <c r="AF1215" s="153" t="s">
        <v>51</v>
      </c>
      <c r="AG1215" s="153" t="s">
        <v>694</v>
      </c>
      <c r="AH1215" s="153">
        <v>3.9681481492823516</v>
      </c>
      <c r="AJ1215" s="163" t="s">
        <v>52</v>
      </c>
      <c r="AK1215" s="163" t="s">
        <v>18</v>
      </c>
      <c r="AL1215" s="163" t="s">
        <v>28</v>
      </c>
      <c r="AM1215" s="163" t="s">
        <v>51</v>
      </c>
      <c r="AN1215" s="163" t="s">
        <v>670</v>
      </c>
      <c r="AO1215" s="163">
        <v>1.0610687689345726</v>
      </c>
    </row>
    <row r="1216" spans="29:41">
      <c r="AC1216" s="153" t="s">
        <v>52</v>
      </c>
      <c r="AD1216" s="153" t="s">
        <v>18</v>
      </c>
      <c r="AE1216" s="153" t="s">
        <v>72</v>
      </c>
      <c r="AF1216" s="153" t="s">
        <v>51</v>
      </c>
      <c r="AG1216" s="153" t="s">
        <v>695</v>
      </c>
      <c r="AH1216" s="153">
        <v>3.9681481492823516</v>
      </c>
      <c r="AJ1216" s="163" t="s">
        <v>52</v>
      </c>
      <c r="AK1216" s="163" t="s">
        <v>18</v>
      </c>
      <c r="AL1216" s="163" t="s">
        <v>28</v>
      </c>
      <c r="AM1216" s="163" t="s">
        <v>51</v>
      </c>
      <c r="AN1216" s="163" t="s">
        <v>671</v>
      </c>
      <c r="AO1216" s="163">
        <v>1.0375310786957324</v>
      </c>
    </row>
    <row r="1217" spans="29:41">
      <c r="AC1217" s="153" t="s">
        <v>52</v>
      </c>
      <c r="AD1217" s="153" t="s">
        <v>18</v>
      </c>
      <c r="AE1217" s="153" t="s">
        <v>72</v>
      </c>
      <c r="AF1217" s="153" t="s">
        <v>51</v>
      </c>
      <c r="AG1217" s="153" t="s">
        <v>696</v>
      </c>
      <c r="AH1217" s="153">
        <v>3.9054628819113248</v>
      </c>
      <c r="AJ1217" s="163" t="s">
        <v>52</v>
      </c>
      <c r="AK1217" s="163" t="s">
        <v>18</v>
      </c>
      <c r="AL1217" s="163" t="s">
        <v>28</v>
      </c>
      <c r="AM1217" s="163" t="s">
        <v>51</v>
      </c>
      <c r="AN1217" s="163" t="s">
        <v>672</v>
      </c>
      <c r="AO1217" s="163">
        <v>1.0298912715803525</v>
      </c>
    </row>
    <row r="1218" spans="29:41">
      <c r="AC1218" s="153" t="s">
        <v>52</v>
      </c>
      <c r="AD1218" s="153" t="s">
        <v>18</v>
      </c>
      <c r="AE1218" s="153" t="s">
        <v>72</v>
      </c>
      <c r="AF1218" s="153" t="s">
        <v>51</v>
      </c>
      <c r="AG1218" s="153" t="s">
        <v>697</v>
      </c>
      <c r="AH1218" s="153">
        <v>3.9383274444660326</v>
      </c>
      <c r="AJ1218" s="163" t="s">
        <v>52</v>
      </c>
      <c r="AK1218" s="163" t="s">
        <v>18</v>
      </c>
      <c r="AL1218" s="163" t="s">
        <v>28</v>
      </c>
      <c r="AM1218" s="163" t="s">
        <v>51</v>
      </c>
      <c r="AN1218" s="163" t="s">
        <v>673</v>
      </c>
      <c r="AO1218" s="163">
        <v>0.91758743436037016</v>
      </c>
    </row>
    <row r="1219" spans="29:41">
      <c r="AC1219" s="153" t="s">
        <v>52</v>
      </c>
      <c r="AD1219" s="153" t="s">
        <v>18</v>
      </c>
      <c r="AE1219" s="153" t="s">
        <v>72</v>
      </c>
      <c r="AF1219" s="153" t="s">
        <v>51</v>
      </c>
      <c r="AG1219" s="153" t="s">
        <v>698</v>
      </c>
      <c r="AH1219" s="153">
        <v>3.9054628819113248</v>
      </c>
      <c r="AJ1219" s="163" t="s">
        <v>52</v>
      </c>
      <c r="AK1219" s="163" t="s">
        <v>18</v>
      </c>
      <c r="AL1219" s="163" t="s">
        <v>28</v>
      </c>
      <c r="AM1219" s="163" t="s">
        <v>51</v>
      </c>
      <c r="AN1219" s="163" t="s">
        <v>674</v>
      </c>
      <c r="AO1219" s="163">
        <v>0.93294410899122171</v>
      </c>
    </row>
    <row r="1220" spans="29:41">
      <c r="AC1220" s="153" t="s">
        <v>52</v>
      </c>
      <c r="AD1220" s="153" t="s">
        <v>18</v>
      </c>
      <c r="AE1220" s="153" t="s">
        <v>72</v>
      </c>
      <c r="AF1220" s="153" t="s">
        <v>51</v>
      </c>
      <c r="AG1220" s="153" t="s">
        <v>699</v>
      </c>
      <c r="AH1220" s="153">
        <v>3.9054628819113248</v>
      </c>
      <c r="AJ1220" s="163" t="s">
        <v>52</v>
      </c>
      <c r="AK1220" s="163" t="s">
        <v>18</v>
      </c>
      <c r="AL1220" s="163" t="s">
        <v>28</v>
      </c>
      <c r="AM1220" s="163" t="s">
        <v>51</v>
      </c>
      <c r="AN1220" s="163" t="s">
        <v>675</v>
      </c>
      <c r="AO1220" s="163">
        <v>0.93566422217400169</v>
      </c>
    </row>
    <row r="1221" spans="29:41">
      <c r="AC1221" s="153" t="s">
        <v>52</v>
      </c>
      <c r="AD1221" s="153" t="s">
        <v>18</v>
      </c>
      <c r="AE1221" s="153" t="s">
        <v>72</v>
      </c>
      <c r="AF1221" s="153" t="s">
        <v>51</v>
      </c>
      <c r="AG1221" s="153" t="s">
        <v>700</v>
      </c>
      <c r="AH1221" s="153">
        <v>3.8755297138005318</v>
      </c>
      <c r="AJ1221" s="163" t="s">
        <v>52</v>
      </c>
      <c r="AK1221" s="163" t="s">
        <v>18</v>
      </c>
      <c r="AL1221" s="163" t="s">
        <v>28</v>
      </c>
      <c r="AM1221" s="163" t="s">
        <v>51</v>
      </c>
      <c r="AN1221" s="163" t="s">
        <v>676</v>
      </c>
      <c r="AO1221" s="163">
        <v>0.93729784021121809</v>
      </c>
    </row>
    <row r="1222" spans="29:41">
      <c r="AC1222" s="153" t="s">
        <v>52</v>
      </c>
      <c r="AD1222" s="153" t="s">
        <v>18</v>
      </c>
      <c r="AE1222" s="153" t="s">
        <v>72</v>
      </c>
      <c r="AF1222" s="153" t="s">
        <v>51</v>
      </c>
      <c r="AG1222" s="153" t="s">
        <v>701</v>
      </c>
      <c r="AH1222" s="153">
        <v>3.8124950348616728</v>
      </c>
      <c r="AJ1222" s="163" t="s">
        <v>52</v>
      </c>
      <c r="AK1222" s="163" t="s">
        <v>18</v>
      </c>
      <c r="AL1222" s="163" t="s">
        <v>28</v>
      </c>
      <c r="AM1222" s="163" t="s">
        <v>51</v>
      </c>
      <c r="AN1222" s="163" t="s">
        <v>677</v>
      </c>
      <c r="AO1222" s="163">
        <v>0.90492826902701318</v>
      </c>
    </row>
    <row r="1223" spans="29:41">
      <c r="AC1223" s="153" t="s">
        <v>52</v>
      </c>
      <c r="AD1223" s="153" t="s">
        <v>18</v>
      </c>
      <c r="AE1223" s="153" t="s">
        <v>72</v>
      </c>
      <c r="AF1223" s="153" t="s">
        <v>51</v>
      </c>
      <c r="AG1223" s="153" t="s">
        <v>702</v>
      </c>
      <c r="AH1223" s="153">
        <v>3.8425411667081901</v>
      </c>
      <c r="AJ1223" s="163" t="s">
        <v>52</v>
      </c>
      <c r="AK1223" s="163" t="s">
        <v>18</v>
      </c>
      <c r="AL1223" s="163" t="s">
        <v>28</v>
      </c>
      <c r="AM1223" s="163" t="s">
        <v>51</v>
      </c>
      <c r="AN1223" s="163" t="s">
        <v>678</v>
      </c>
      <c r="AO1223" s="163">
        <v>0.94545813224549036</v>
      </c>
    </row>
    <row r="1224" spans="29:41">
      <c r="AC1224" s="153" t="s">
        <v>52</v>
      </c>
      <c r="AD1224" s="153" t="s">
        <v>18</v>
      </c>
      <c r="AE1224" s="153" t="s">
        <v>72</v>
      </c>
      <c r="AF1224" s="153" t="s">
        <v>51</v>
      </c>
      <c r="AG1224" s="153" t="s">
        <v>703</v>
      </c>
      <c r="AH1224" s="153">
        <v>3.9054628819113248</v>
      </c>
      <c r="AJ1224" s="163" t="s">
        <v>52</v>
      </c>
      <c r="AK1224" s="163" t="s">
        <v>18</v>
      </c>
      <c r="AL1224" s="163" t="s">
        <v>28</v>
      </c>
      <c r="AM1224" s="163" t="s">
        <v>51</v>
      </c>
      <c r="AN1224" s="163" t="s">
        <v>679</v>
      </c>
      <c r="AO1224" s="163">
        <v>0.91961020314324027</v>
      </c>
    </row>
    <row r="1225" spans="29:41">
      <c r="AC1225" s="153" t="s">
        <v>52</v>
      </c>
      <c r="AD1225" s="153" t="s">
        <v>18</v>
      </c>
      <c r="AE1225" s="153" t="s">
        <v>72</v>
      </c>
      <c r="AF1225" s="153" t="s">
        <v>51</v>
      </c>
      <c r="AG1225" s="153" t="s">
        <v>704</v>
      </c>
      <c r="AH1225" s="153">
        <v>3.8425411667081901</v>
      </c>
      <c r="AJ1225" s="163" t="s">
        <v>52</v>
      </c>
      <c r="AK1225" s="163" t="s">
        <v>18</v>
      </c>
      <c r="AL1225" s="163" t="s">
        <v>28</v>
      </c>
      <c r="AM1225" s="163" t="s">
        <v>51</v>
      </c>
      <c r="AN1225" s="163" t="s">
        <v>680</v>
      </c>
      <c r="AO1225" s="163">
        <v>0.95955825582141052</v>
      </c>
    </row>
    <row r="1226" spans="29:41">
      <c r="AC1226" s="153" t="s">
        <v>52</v>
      </c>
      <c r="AD1226" s="153" t="s">
        <v>18</v>
      </c>
      <c r="AE1226" s="153" t="s">
        <v>72</v>
      </c>
      <c r="AF1226" s="153" t="s">
        <v>51</v>
      </c>
      <c r="AG1226" s="153" t="s">
        <v>705</v>
      </c>
      <c r="AH1226" s="153">
        <v>3.8755297138005318</v>
      </c>
      <c r="AJ1226" s="163" t="s">
        <v>52</v>
      </c>
      <c r="AK1226" s="163" t="s">
        <v>18</v>
      </c>
      <c r="AL1226" s="163" t="s">
        <v>28</v>
      </c>
      <c r="AM1226" s="163" t="s">
        <v>51</v>
      </c>
      <c r="AN1226" s="163" t="s">
        <v>681</v>
      </c>
      <c r="AO1226" s="163">
        <v>0.91572570734019287</v>
      </c>
    </row>
    <row r="1227" spans="29:41">
      <c r="AC1227" s="153" t="s">
        <v>52</v>
      </c>
      <c r="AD1227" s="153" t="s">
        <v>18</v>
      </c>
      <c r="AE1227" s="153" t="s">
        <v>72</v>
      </c>
      <c r="AF1227" s="153" t="s">
        <v>51</v>
      </c>
      <c r="AG1227" s="153" t="s">
        <v>706</v>
      </c>
      <c r="AH1227" s="153">
        <v>3.8425411667081901</v>
      </c>
      <c r="AJ1227" s="163" t="s">
        <v>52</v>
      </c>
      <c r="AK1227" s="163" t="s">
        <v>18</v>
      </c>
      <c r="AL1227" s="163" t="s">
        <v>28</v>
      </c>
      <c r="AM1227" s="163" t="s">
        <v>51</v>
      </c>
      <c r="AN1227" s="163" t="s">
        <v>682</v>
      </c>
      <c r="AO1227" s="163">
        <v>0.91746992178663311</v>
      </c>
    </row>
    <row r="1228" spans="29:41">
      <c r="AC1228" s="153" t="s">
        <v>52</v>
      </c>
      <c r="AD1228" s="153" t="s">
        <v>18</v>
      </c>
      <c r="AE1228" s="153" t="s">
        <v>72</v>
      </c>
      <c r="AF1228" s="153" t="s">
        <v>51</v>
      </c>
      <c r="AG1228" s="153" t="s">
        <v>707</v>
      </c>
      <c r="AH1228" s="153">
        <v>3.8425411667081901</v>
      </c>
      <c r="AJ1228" s="163" t="s">
        <v>52</v>
      </c>
      <c r="AK1228" s="163" t="s">
        <v>18</v>
      </c>
      <c r="AL1228" s="163" t="s">
        <v>28</v>
      </c>
      <c r="AM1228" s="163" t="s">
        <v>51</v>
      </c>
      <c r="AN1228" s="163" t="s">
        <v>683</v>
      </c>
      <c r="AO1228" s="163">
        <v>0.92390569932636335</v>
      </c>
    </row>
    <row r="1229" spans="29:41">
      <c r="AC1229" s="153" t="s">
        <v>52</v>
      </c>
      <c r="AD1229" s="153" t="s">
        <v>18</v>
      </c>
      <c r="AE1229" s="153" t="s">
        <v>72</v>
      </c>
      <c r="AF1229" s="153" t="s">
        <v>51</v>
      </c>
      <c r="AG1229" s="153" t="s">
        <v>708</v>
      </c>
      <c r="AH1229" s="153">
        <v>3.8124950348616728</v>
      </c>
      <c r="AJ1229" s="163" t="s">
        <v>52</v>
      </c>
      <c r="AK1229" s="163" t="s">
        <v>18</v>
      </c>
      <c r="AL1229" s="163" t="s">
        <v>28</v>
      </c>
      <c r="AM1229" s="163" t="s">
        <v>51</v>
      </c>
      <c r="AN1229" s="163" t="s">
        <v>684</v>
      </c>
      <c r="AO1229" s="163">
        <v>0.93397497945049801</v>
      </c>
    </row>
    <row r="1230" spans="29:41">
      <c r="AC1230" s="153" t="s">
        <v>52</v>
      </c>
      <c r="AD1230" s="153" t="s">
        <v>18</v>
      </c>
      <c r="AE1230" s="153" t="s">
        <v>72</v>
      </c>
      <c r="AF1230" s="153" t="s">
        <v>51</v>
      </c>
      <c r="AG1230" s="153" t="s">
        <v>709</v>
      </c>
      <c r="AH1230" s="153">
        <v>3.8426337494806249</v>
      </c>
      <c r="AJ1230" s="163" t="s">
        <v>52</v>
      </c>
      <c r="AK1230" s="163" t="s">
        <v>18</v>
      </c>
      <c r="AL1230" s="163" t="s">
        <v>28</v>
      </c>
      <c r="AM1230" s="163" t="s">
        <v>51</v>
      </c>
      <c r="AN1230" s="163" t="s">
        <v>685</v>
      </c>
      <c r="AO1230" s="163">
        <v>0.91194748226964062</v>
      </c>
    </row>
    <row r="1231" spans="29:41">
      <c r="AC1231" s="153" t="s">
        <v>52</v>
      </c>
      <c r="AD1231" s="153" t="s">
        <v>18</v>
      </c>
      <c r="AE1231" s="153" t="s">
        <v>72</v>
      </c>
      <c r="AF1231" s="153" t="s">
        <v>51</v>
      </c>
      <c r="AG1231" s="153" t="s">
        <v>710</v>
      </c>
      <c r="AH1231" s="153">
        <v>3.8124950348616728</v>
      </c>
      <c r="AJ1231" s="163" t="s">
        <v>52</v>
      </c>
      <c r="AK1231" s="163" t="s">
        <v>18</v>
      </c>
      <c r="AL1231" s="163" t="s">
        <v>28</v>
      </c>
      <c r="AM1231" s="163" t="s">
        <v>51</v>
      </c>
      <c r="AN1231" s="163" t="s">
        <v>686</v>
      </c>
      <c r="AO1231" s="163">
        <v>0.93510531171338185</v>
      </c>
    </row>
    <row r="1232" spans="29:41">
      <c r="AC1232" s="153" t="s">
        <v>52</v>
      </c>
      <c r="AD1232" s="153" t="s">
        <v>18</v>
      </c>
      <c r="AE1232" s="153" t="s">
        <v>72</v>
      </c>
      <c r="AF1232" s="153" t="s">
        <v>51</v>
      </c>
      <c r="AG1232" s="153" t="s">
        <v>711</v>
      </c>
      <c r="AH1232" s="153">
        <v>3.8425411667081901</v>
      </c>
      <c r="AJ1232" s="163" t="s">
        <v>52</v>
      </c>
      <c r="AK1232" s="163" t="s">
        <v>18</v>
      </c>
      <c r="AL1232" s="163" t="s">
        <v>28</v>
      </c>
      <c r="AM1232" s="163" t="s">
        <v>51</v>
      </c>
      <c r="AN1232" s="163" t="s">
        <v>687</v>
      </c>
      <c r="AO1232" s="163">
        <v>0.92537480241981496</v>
      </c>
    </row>
    <row r="1233" spans="29:41">
      <c r="AC1233" s="153" t="s">
        <v>52</v>
      </c>
      <c r="AD1233" s="153" t="s">
        <v>18</v>
      </c>
      <c r="AE1233" s="153" t="s">
        <v>72</v>
      </c>
      <c r="AF1233" s="153" t="s">
        <v>51</v>
      </c>
      <c r="AG1233" s="153" t="s">
        <v>712</v>
      </c>
      <c r="AH1233" s="153">
        <v>3.8124950348616728</v>
      </c>
      <c r="AJ1233" s="163" t="s">
        <v>52</v>
      </c>
      <c r="AK1233" s="163" t="s">
        <v>18</v>
      </c>
      <c r="AL1233" s="163" t="s">
        <v>28</v>
      </c>
      <c r="AM1233" s="163" t="s">
        <v>51</v>
      </c>
      <c r="AN1233" s="163" t="s">
        <v>688</v>
      </c>
      <c r="AO1233" s="163">
        <v>0.91571304632488237</v>
      </c>
    </row>
    <row r="1234" spans="29:41">
      <c r="AC1234" s="153" t="s">
        <v>52</v>
      </c>
      <c r="AD1234" s="153" t="s">
        <v>18</v>
      </c>
      <c r="AE1234" s="153" t="s">
        <v>72</v>
      </c>
      <c r="AF1234" s="153" t="s">
        <v>51</v>
      </c>
      <c r="AG1234" s="153" t="s">
        <v>713</v>
      </c>
      <c r="AH1234" s="153">
        <v>3.8426337494806249</v>
      </c>
      <c r="AJ1234" s="163" t="s">
        <v>52</v>
      </c>
      <c r="AK1234" s="163" t="s">
        <v>18</v>
      </c>
      <c r="AL1234" s="163" t="s">
        <v>28</v>
      </c>
      <c r="AM1234" s="163" t="s">
        <v>51</v>
      </c>
      <c r="AN1234" s="163" t="s">
        <v>689</v>
      </c>
      <c r="AO1234" s="163">
        <v>0.86446683333588281</v>
      </c>
    </row>
    <row r="1235" spans="29:41">
      <c r="AC1235" s="153" t="s">
        <v>52</v>
      </c>
      <c r="AD1235" s="153" t="s">
        <v>18</v>
      </c>
      <c r="AE1235" s="153" t="s">
        <v>72</v>
      </c>
      <c r="AF1235" s="153" t="s">
        <v>51</v>
      </c>
      <c r="AG1235" s="153" t="s">
        <v>714</v>
      </c>
      <c r="AH1235" s="153">
        <v>3.8124950348616728</v>
      </c>
      <c r="AJ1235" s="163" t="s">
        <v>52</v>
      </c>
      <c r="AK1235" s="163" t="s">
        <v>18</v>
      </c>
      <c r="AL1235" s="163" t="s">
        <v>28</v>
      </c>
      <c r="AM1235" s="163" t="s">
        <v>51</v>
      </c>
      <c r="AN1235" s="163" t="s">
        <v>690</v>
      </c>
      <c r="AO1235" s="163">
        <v>0.91474860150599391</v>
      </c>
    </row>
    <row r="1236" spans="29:41">
      <c r="AC1236" s="153" t="s">
        <v>52</v>
      </c>
      <c r="AD1236" s="153" t="s">
        <v>18</v>
      </c>
      <c r="AE1236" s="153" t="s">
        <v>72</v>
      </c>
      <c r="AF1236" s="153" t="s">
        <v>51</v>
      </c>
      <c r="AG1236" s="153" t="s">
        <v>715</v>
      </c>
      <c r="AH1236" s="153">
        <v>3.812592661796018</v>
      </c>
      <c r="AJ1236" s="163" t="s">
        <v>52</v>
      </c>
      <c r="AK1236" s="163" t="s">
        <v>18</v>
      </c>
      <c r="AL1236" s="163" t="s">
        <v>28</v>
      </c>
      <c r="AM1236" s="163" t="s">
        <v>51</v>
      </c>
      <c r="AN1236" s="163" t="s">
        <v>691</v>
      </c>
      <c r="AO1236" s="163">
        <v>0.86284659179398371</v>
      </c>
    </row>
    <row r="1237" spans="29:41">
      <c r="AC1237" s="153" t="s">
        <v>52</v>
      </c>
      <c r="AD1237" s="153" t="s">
        <v>18</v>
      </c>
      <c r="AE1237" s="153" t="s">
        <v>72</v>
      </c>
      <c r="AF1237" s="153" t="s">
        <v>51</v>
      </c>
      <c r="AG1237" s="153" t="s">
        <v>716</v>
      </c>
      <c r="AH1237" s="153">
        <v>3.812592661796018</v>
      </c>
      <c r="AJ1237" s="163" t="s">
        <v>52</v>
      </c>
      <c r="AK1237" s="163" t="s">
        <v>18</v>
      </c>
      <c r="AL1237" s="163" t="s">
        <v>28</v>
      </c>
      <c r="AM1237" s="163" t="s">
        <v>51</v>
      </c>
      <c r="AN1237" s="163" t="s">
        <v>692</v>
      </c>
      <c r="AO1237" s="163">
        <v>0.88708194950794417</v>
      </c>
    </row>
    <row r="1238" spans="29:41">
      <c r="AC1238" s="153" t="s">
        <v>52</v>
      </c>
      <c r="AD1238" s="153" t="s">
        <v>18</v>
      </c>
      <c r="AE1238" s="153" t="s">
        <v>72</v>
      </c>
      <c r="AF1238" s="153" t="s">
        <v>51</v>
      </c>
      <c r="AG1238" s="153" t="s">
        <v>717</v>
      </c>
      <c r="AH1238" s="153">
        <v>3.8425411667081901</v>
      </c>
      <c r="AJ1238" s="163" t="s">
        <v>52</v>
      </c>
      <c r="AK1238" s="163" t="s">
        <v>18</v>
      </c>
      <c r="AL1238" s="163" t="s">
        <v>28</v>
      </c>
      <c r="AM1238" s="163" t="s">
        <v>51</v>
      </c>
      <c r="AN1238" s="163" t="s">
        <v>693</v>
      </c>
      <c r="AO1238" s="163">
        <v>0.89972145549574378</v>
      </c>
    </row>
    <row r="1239" spans="29:41">
      <c r="AC1239" s="153" t="s">
        <v>52</v>
      </c>
      <c r="AD1239" s="153" t="s">
        <v>18</v>
      </c>
      <c r="AE1239" s="153" t="s">
        <v>72</v>
      </c>
      <c r="AF1239" s="153" t="s">
        <v>51</v>
      </c>
      <c r="AG1239" s="153" t="s">
        <v>718</v>
      </c>
      <c r="AH1239" s="153">
        <v>3.8425411667081901</v>
      </c>
      <c r="AJ1239" s="163" t="s">
        <v>52</v>
      </c>
      <c r="AK1239" s="163" t="s">
        <v>18</v>
      </c>
      <c r="AL1239" s="163" t="s">
        <v>28</v>
      </c>
      <c r="AM1239" s="163" t="s">
        <v>51</v>
      </c>
      <c r="AN1239" s="163" t="s">
        <v>694</v>
      </c>
      <c r="AO1239" s="163">
        <v>0.9541115891197417</v>
      </c>
    </row>
    <row r="1240" spans="29:41">
      <c r="AC1240" s="153" t="s">
        <v>52</v>
      </c>
      <c r="AD1240" s="153" t="s">
        <v>18</v>
      </c>
      <c r="AE1240" s="153" t="s">
        <v>72</v>
      </c>
      <c r="AF1240" s="153" t="s">
        <v>51</v>
      </c>
      <c r="AG1240" s="153" t="s">
        <v>719</v>
      </c>
      <c r="AH1240" s="153">
        <v>3.8124950348616728</v>
      </c>
      <c r="AJ1240" s="163" t="s">
        <v>52</v>
      </c>
      <c r="AK1240" s="163" t="s">
        <v>18</v>
      </c>
      <c r="AL1240" s="163" t="s">
        <v>28</v>
      </c>
      <c r="AM1240" s="163" t="s">
        <v>51</v>
      </c>
      <c r="AN1240" s="163" t="s">
        <v>695</v>
      </c>
      <c r="AO1240" s="163">
        <v>0.93552816099492164</v>
      </c>
    </row>
    <row r="1241" spans="29:41">
      <c r="AC1241" s="153" t="s">
        <v>52</v>
      </c>
      <c r="AD1241" s="153" t="s">
        <v>18</v>
      </c>
      <c r="AE1241" s="153" t="s">
        <v>72</v>
      </c>
      <c r="AF1241" s="153" t="s">
        <v>51</v>
      </c>
      <c r="AG1241" s="153" t="s">
        <v>720</v>
      </c>
      <c r="AH1241" s="153">
        <v>3.812592661796018</v>
      </c>
      <c r="AJ1241" s="163" t="s">
        <v>52</v>
      </c>
      <c r="AK1241" s="163" t="s">
        <v>18</v>
      </c>
      <c r="AL1241" s="163" t="s">
        <v>28</v>
      </c>
      <c r="AM1241" s="163" t="s">
        <v>51</v>
      </c>
      <c r="AN1241" s="163" t="s">
        <v>696</v>
      </c>
      <c r="AO1241" s="163">
        <v>0.88964165069199475</v>
      </c>
    </row>
    <row r="1242" spans="29:41">
      <c r="AC1242" s="153" t="s">
        <v>52</v>
      </c>
      <c r="AD1242" s="153" t="s">
        <v>18</v>
      </c>
      <c r="AE1242" s="153" t="s">
        <v>72</v>
      </c>
      <c r="AF1242" s="153" t="s">
        <v>51</v>
      </c>
      <c r="AG1242" s="153" t="s">
        <v>721</v>
      </c>
      <c r="AH1242" s="153">
        <v>3.8124950348616728</v>
      </c>
      <c r="AJ1242" s="163" t="s">
        <v>52</v>
      </c>
      <c r="AK1242" s="163" t="s">
        <v>18</v>
      </c>
      <c r="AL1242" s="163" t="s">
        <v>28</v>
      </c>
      <c r="AM1242" s="163" t="s">
        <v>51</v>
      </c>
      <c r="AN1242" s="163" t="s">
        <v>697</v>
      </c>
      <c r="AO1242" s="163">
        <v>0.93372421606049238</v>
      </c>
    </row>
    <row r="1243" spans="29:41">
      <c r="AC1243" s="153" t="s">
        <v>52</v>
      </c>
      <c r="AD1243" s="153" t="s">
        <v>18</v>
      </c>
      <c r="AE1243" s="153" t="s">
        <v>72</v>
      </c>
      <c r="AF1243" s="153" t="s">
        <v>51</v>
      </c>
      <c r="AG1243" s="153" t="s">
        <v>722</v>
      </c>
      <c r="AH1243" s="153">
        <v>3.812592661796018</v>
      </c>
      <c r="AJ1243" s="163" t="s">
        <v>52</v>
      </c>
      <c r="AK1243" s="163" t="s">
        <v>18</v>
      </c>
      <c r="AL1243" s="163" t="s">
        <v>28</v>
      </c>
      <c r="AM1243" s="163" t="s">
        <v>51</v>
      </c>
      <c r="AN1243" s="163" t="s">
        <v>698</v>
      </c>
      <c r="AO1243" s="163">
        <v>0.93489859853675483</v>
      </c>
    </row>
    <row r="1244" spans="29:41">
      <c r="AC1244" s="153" t="s">
        <v>52</v>
      </c>
      <c r="AD1244" s="153" t="s">
        <v>18</v>
      </c>
      <c r="AE1244" s="153" t="s">
        <v>72</v>
      </c>
      <c r="AF1244" s="153" t="s">
        <v>51</v>
      </c>
      <c r="AG1244" s="153" t="s">
        <v>723</v>
      </c>
      <c r="AH1244" s="153">
        <v>3.812592661796018</v>
      </c>
      <c r="AJ1244" s="163" t="s">
        <v>52</v>
      </c>
      <c r="AK1244" s="163" t="s">
        <v>18</v>
      </c>
      <c r="AL1244" s="163" t="s">
        <v>28</v>
      </c>
      <c r="AM1244" s="163" t="s">
        <v>51</v>
      </c>
      <c r="AN1244" s="163" t="s">
        <v>699</v>
      </c>
      <c r="AO1244" s="163">
        <v>0.93299872343720514</v>
      </c>
    </row>
    <row r="1245" spans="29:41">
      <c r="AC1245" s="153" t="s">
        <v>52</v>
      </c>
      <c r="AD1245" s="153" t="s">
        <v>18</v>
      </c>
      <c r="AE1245" s="153" t="s">
        <v>72</v>
      </c>
      <c r="AF1245" s="153" t="s">
        <v>51</v>
      </c>
      <c r="AG1245" s="153" t="s">
        <v>724</v>
      </c>
      <c r="AH1245" s="153">
        <v>3.812592661796018</v>
      </c>
      <c r="AJ1245" s="163" t="s">
        <v>52</v>
      </c>
      <c r="AK1245" s="163" t="s">
        <v>18</v>
      </c>
      <c r="AL1245" s="163" t="s">
        <v>28</v>
      </c>
      <c r="AM1245" s="163" t="s">
        <v>51</v>
      </c>
      <c r="AN1245" s="163" t="s">
        <v>700</v>
      </c>
      <c r="AO1245" s="163">
        <v>0.9329546012586718</v>
      </c>
    </row>
    <row r="1246" spans="29:41">
      <c r="AC1246" s="153" t="s">
        <v>52</v>
      </c>
      <c r="AD1246" s="153" t="s">
        <v>18</v>
      </c>
      <c r="AE1246" s="153" t="s">
        <v>72</v>
      </c>
      <c r="AF1246" s="153" t="s">
        <v>51</v>
      </c>
      <c r="AG1246" s="153" t="s">
        <v>725</v>
      </c>
      <c r="AH1246" s="153">
        <v>3.7824974689009494</v>
      </c>
      <c r="AJ1246" s="163" t="s">
        <v>52</v>
      </c>
      <c r="AK1246" s="163" t="s">
        <v>18</v>
      </c>
      <c r="AL1246" s="163" t="s">
        <v>28</v>
      </c>
      <c r="AM1246" s="163" t="s">
        <v>51</v>
      </c>
      <c r="AN1246" s="163" t="s">
        <v>701</v>
      </c>
      <c r="AO1246" s="163">
        <v>0.85857336952155294</v>
      </c>
    </row>
    <row r="1247" spans="29:41">
      <c r="AC1247" s="153" t="s">
        <v>52</v>
      </c>
      <c r="AD1247" s="153" t="s">
        <v>18</v>
      </c>
      <c r="AE1247" s="153" t="s">
        <v>72</v>
      </c>
      <c r="AF1247" s="153" t="s">
        <v>51</v>
      </c>
      <c r="AG1247" s="153" t="s">
        <v>726</v>
      </c>
      <c r="AH1247" s="153">
        <v>3.7191209404595797</v>
      </c>
      <c r="AJ1247" s="163" t="s">
        <v>52</v>
      </c>
      <c r="AK1247" s="163" t="s">
        <v>18</v>
      </c>
      <c r="AL1247" s="163" t="s">
        <v>28</v>
      </c>
      <c r="AM1247" s="163" t="s">
        <v>51</v>
      </c>
      <c r="AN1247" s="163" t="s">
        <v>702</v>
      </c>
      <c r="AO1247" s="163">
        <v>0.82038673553830044</v>
      </c>
    </row>
    <row r="1248" spans="29:41">
      <c r="AC1248" s="153" t="s">
        <v>52</v>
      </c>
      <c r="AD1248" s="153" t="s">
        <v>18</v>
      </c>
      <c r="AE1248" s="153" t="s">
        <v>72</v>
      </c>
      <c r="AF1248" s="153" t="s">
        <v>51</v>
      </c>
      <c r="AG1248" s="153" t="s">
        <v>426</v>
      </c>
      <c r="AH1248" s="153">
        <v>3.7493301282064344</v>
      </c>
      <c r="AJ1248" s="163" t="s">
        <v>52</v>
      </c>
      <c r="AK1248" s="163" t="s">
        <v>18</v>
      </c>
      <c r="AL1248" s="163" t="s">
        <v>28</v>
      </c>
      <c r="AM1248" s="163" t="s">
        <v>51</v>
      </c>
      <c r="AN1248" s="163" t="s">
        <v>703</v>
      </c>
      <c r="AO1248" s="163">
        <v>0.9353498917794949</v>
      </c>
    </row>
    <row r="1249" spans="29:41">
      <c r="AC1249" s="153" t="s">
        <v>52</v>
      </c>
      <c r="AD1249" s="153" t="s">
        <v>18</v>
      </c>
      <c r="AE1249" s="153" t="s">
        <v>72</v>
      </c>
      <c r="AF1249" s="153" t="s">
        <v>51</v>
      </c>
      <c r="AG1249" s="153" t="s">
        <v>727</v>
      </c>
      <c r="AH1249" s="153">
        <v>3.7493301282064344</v>
      </c>
      <c r="AJ1249" s="163" t="s">
        <v>52</v>
      </c>
      <c r="AK1249" s="163" t="s">
        <v>18</v>
      </c>
      <c r="AL1249" s="163" t="s">
        <v>28</v>
      </c>
      <c r="AM1249" s="163" t="s">
        <v>51</v>
      </c>
      <c r="AN1249" s="163" t="s">
        <v>704</v>
      </c>
      <c r="AO1249" s="163">
        <v>0.84871412280858005</v>
      </c>
    </row>
    <row r="1250" spans="29:41">
      <c r="AC1250" s="153" t="s">
        <v>52</v>
      </c>
      <c r="AD1250" s="153" t="s">
        <v>18</v>
      </c>
      <c r="AE1250" s="153" t="s">
        <v>72</v>
      </c>
      <c r="AF1250" s="153" t="s">
        <v>51</v>
      </c>
      <c r="AG1250" s="153" t="s">
        <v>728</v>
      </c>
      <c r="AH1250" s="153">
        <v>3.7191209404595797</v>
      </c>
      <c r="AJ1250" s="163" t="s">
        <v>52</v>
      </c>
      <c r="AK1250" s="163" t="s">
        <v>18</v>
      </c>
      <c r="AL1250" s="163" t="s">
        <v>28</v>
      </c>
      <c r="AM1250" s="163" t="s">
        <v>51</v>
      </c>
      <c r="AN1250" s="163" t="s">
        <v>705</v>
      </c>
      <c r="AO1250" s="163">
        <v>0.90151564045570165</v>
      </c>
    </row>
    <row r="1251" spans="29:41">
      <c r="AC1251" s="153" t="s">
        <v>52</v>
      </c>
      <c r="AD1251" s="153" t="s">
        <v>18</v>
      </c>
      <c r="AE1251" s="153" t="s">
        <v>72</v>
      </c>
      <c r="AF1251" s="153" t="s">
        <v>51</v>
      </c>
      <c r="AG1251" s="153" t="s">
        <v>729</v>
      </c>
      <c r="AH1251" s="153">
        <v>3.7191209404595797</v>
      </c>
      <c r="AJ1251" s="163" t="s">
        <v>52</v>
      </c>
      <c r="AK1251" s="163" t="s">
        <v>18</v>
      </c>
      <c r="AL1251" s="163" t="s">
        <v>28</v>
      </c>
      <c r="AM1251" s="163" t="s">
        <v>51</v>
      </c>
      <c r="AN1251" s="163" t="s">
        <v>706</v>
      </c>
      <c r="AO1251" s="163">
        <v>0.86616492425104008</v>
      </c>
    </row>
    <row r="1252" spans="29:41">
      <c r="AC1252" s="153" t="s">
        <v>52</v>
      </c>
      <c r="AD1252" s="153" t="s">
        <v>18</v>
      </c>
      <c r="AE1252" s="153" t="s">
        <v>72</v>
      </c>
      <c r="AF1252" s="153" t="s">
        <v>51</v>
      </c>
      <c r="AG1252" s="153" t="s">
        <v>730</v>
      </c>
      <c r="AH1252" s="153">
        <v>3.6888572908327415</v>
      </c>
      <c r="AJ1252" s="163" t="s">
        <v>52</v>
      </c>
      <c r="AK1252" s="163" t="s">
        <v>18</v>
      </c>
      <c r="AL1252" s="163" t="s">
        <v>28</v>
      </c>
      <c r="AM1252" s="163" t="s">
        <v>51</v>
      </c>
      <c r="AN1252" s="163" t="s">
        <v>707</v>
      </c>
      <c r="AO1252" s="163">
        <v>0.90217440772848057</v>
      </c>
    </row>
    <row r="1253" spans="29:41">
      <c r="AC1253" s="153" t="s">
        <v>52</v>
      </c>
      <c r="AD1253" s="153" t="s">
        <v>18</v>
      </c>
      <c r="AE1253" s="153" t="s">
        <v>72</v>
      </c>
      <c r="AF1253" s="153" t="s">
        <v>51</v>
      </c>
      <c r="AG1253" s="153" t="s">
        <v>731</v>
      </c>
      <c r="AH1253" s="153">
        <v>3.6888572908327415</v>
      </c>
      <c r="AJ1253" s="163" t="s">
        <v>52</v>
      </c>
      <c r="AK1253" s="163" t="s">
        <v>18</v>
      </c>
      <c r="AL1253" s="163" t="s">
        <v>28</v>
      </c>
      <c r="AM1253" s="163" t="s">
        <v>51</v>
      </c>
      <c r="AN1253" s="163" t="s">
        <v>708</v>
      </c>
      <c r="AO1253" s="163">
        <v>0.86464081525361269</v>
      </c>
    </row>
    <row r="1254" spans="29:41">
      <c r="AC1254" s="153" t="s">
        <v>52</v>
      </c>
      <c r="AD1254" s="153" t="s">
        <v>18</v>
      </c>
      <c r="AE1254" s="153" t="s">
        <v>72</v>
      </c>
      <c r="AF1254" s="153" t="s">
        <v>51</v>
      </c>
      <c r="AG1254" s="153" t="s">
        <v>732</v>
      </c>
      <c r="AH1254" s="153">
        <v>3.6868237838299476</v>
      </c>
      <c r="AJ1254" s="163" t="s">
        <v>52</v>
      </c>
      <c r="AK1254" s="163" t="s">
        <v>18</v>
      </c>
      <c r="AL1254" s="163" t="s">
        <v>28</v>
      </c>
      <c r="AM1254" s="163" t="s">
        <v>51</v>
      </c>
      <c r="AN1254" s="163" t="s">
        <v>709</v>
      </c>
      <c r="AO1254" s="163">
        <v>0.92360569833772477</v>
      </c>
    </row>
    <row r="1255" spans="29:41">
      <c r="AC1255" s="153" t="s">
        <v>52</v>
      </c>
      <c r="AD1255" s="153" t="s">
        <v>18</v>
      </c>
      <c r="AE1255" s="153" t="s">
        <v>72</v>
      </c>
      <c r="AF1255" s="153" t="s">
        <v>51</v>
      </c>
      <c r="AG1255" s="153" t="s">
        <v>733</v>
      </c>
      <c r="AH1255" s="153">
        <v>3.7191209404595797</v>
      </c>
      <c r="AJ1255" s="163" t="s">
        <v>52</v>
      </c>
      <c r="AK1255" s="163" t="s">
        <v>18</v>
      </c>
      <c r="AL1255" s="163" t="s">
        <v>28</v>
      </c>
      <c r="AM1255" s="163" t="s">
        <v>51</v>
      </c>
      <c r="AN1255" s="163" t="s">
        <v>710</v>
      </c>
      <c r="AO1255" s="163">
        <v>0.86555409119901294</v>
      </c>
    </row>
    <row r="1256" spans="29:41">
      <c r="AC1256" s="153" t="s">
        <v>52</v>
      </c>
      <c r="AD1256" s="153" t="s">
        <v>18</v>
      </c>
      <c r="AE1256" s="153" t="s">
        <v>72</v>
      </c>
      <c r="AF1256" s="153" t="s">
        <v>51</v>
      </c>
      <c r="AG1256" s="153" t="s">
        <v>734</v>
      </c>
      <c r="AH1256" s="153">
        <v>3.7493301282064344</v>
      </c>
      <c r="AJ1256" s="163" t="s">
        <v>52</v>
      </c>
      <c r="AK1256" s="163" t="s">
        <v>18</v>
      </c>
      <c r="AL1256" s="163" t="s">
        <v>28</v>
      </c>
      <c r="AM1256" s="163" t="s">
        <v>51</v>
      </c>
      <c r="AN1256" s="163" t="s">
        <v>711</v>
      </c>
      <c r="AO1256" s="163">
        <v>0.90884062749437067</v>
      </c>
    </row>
    <row r="1257" spans="29:41">
      <c r="AC1257" s="153" t="s">
        <v>52</v>
      </c>
      <c r="AD1257" s="153" t="s">
        <v>18</v>
      </c>
      <c r="AE1257" s="153" t="s">
        <v>72</v>
      </c>
      <c r="AF1257" s="153" t="s">
        <v>51</v>
      </c>
      <c r="AG1257" s="153" t="s">
        <v>735</v>
      </c>
      <c r="AH1257" s="153">
        <v>3.7493301282064344</v>
      </c>
      <c r="AJ1257" s="163" t="s">
        <v>52</v>
      </c>
      <c r="AK1257" s="163" t="s">
        <v>18</v>
      </c>
      <c r="AL1257" s="163" t="s">
        <v>28</v>
      </c>
      <c r="AM1257" s="163" t="s">
        <v>51</v>
      </c>
      <c r="AN1257" s="163" t="s">
        <v>712</v>
      </c>
      <c r="AO1257" s="163">
        <v>0.85921725928084292</v>
      </c>
    </row>
    <row r="1258" spans="29:41">
      <c r="AC1258" s="153" t="s">
        <v>52</v>
      </c>
      <c r="AD1258" s="153" t="s">
        <v>18</v>
      </c>
      <c r="AE1258" s="153" t="s">
        <v>72</v>
      </c>
      <c r="AF1258" s="153" t="s">
        <v>51</v>
      </c>
      <c r="AG1258" s="153" t="s">
        <v>736</v>
      </c>
      <c r="AH1258" s="153">
        <v>3.7824974689009494</v>
      </c>
      <c r="AJ1258" s="163" t="s">
        <v>52</v>
      </c>
      <c r="AK1258" s="163" t="s">
        <v>18</v>
      </c>
      <c r="AL1258" s="163" t="s">
        <v>28</v>
      </c>
      <c r="AM1258" s="163" t="s">
        <v>51</v>
      </c>
      <c r="AN1258" s="163" t="s">
        <v>713</v>
      </c>
      <c r="AO1258" s="163">
        <v>0.92772102284751501</v>
      </c>
    </row>
    <row r="1259" spans="29:41">
      <c r="AC1259" s="153" t="s">
        <v>52</v>
      </c>
      <c r="AD1259" s="153" t="s">
        <v>18</v>
      </c>
      <c r="AE1259" s="153" t="s">
        <v>72</v>
      </c>
      <c r="AF1259" s="153" t="s">
        <v>51</v>
      </c>
      <c r="AG1259" s="153" t="s">
        <v>737</v>
      </c>
      <c r="AH1259" s="153">
        <v>3.7824974689009494</v>
      </c>
      <c r="AJ1259" s="163" t="s">
        <v>52</v>
      </c>
      <c r="AK1259" s="163" t="s">
        <v>18</v>
      </c>
      <c r="AL1259" s="163" t="s">
        <v>28</v>
      </c>
      <c r="AM1259" s="163" t="s">
        <v>51</v>
      </c>
      <c r="AN1259" s="163" t="s">
        <v>714</v>
      </c>
      <c r="AO1259" s="163">
        <v>0.90671376438364315</v>
      </c>
    </row>
    <row r="1260" spans="29:41">
      <c r="AC1260" s="153" t="s">
        <v>52</v>
      </c>
      <c r="AD1260" s="153" t="s">
        <v>18</v>
      </c>
      <c r="AE1260" s="153" t="s">
        <v>72</v>
      </c>
      <c r="AF1260" s="153" t="s">
        <v>51</v>
      </c>
      <c r="AG1260" s="153" t="s">
        <v>738</v>
      </c>
      <c r="AH1260" s="153">
        <v>3.812592661796018</v>
      </c>
      <c r="AJ1260" s="163" t="s">
        <v>52</v>
      </c>
      <c r="AK1260" s="163" t="s">
        <v>18</v>
      </c>
      <c r="AL1260" s="163" t="s">
        <v>28</v>
      </c>
      <c r="AM1260" s="163" t="s">
        <v>51</v>
      </c>
      <c r="AN1260" s="163" t="s">
        <v>715</v>
      </c>
      <c r="AO1260" s="163">
        <v>0.92574878387954795</v>
      </c>
    </row>
    <row r="1261" spans="29:41">
      <c r="AC1261" s="153" t="s">
        <v>52</v>
      </c>
      <c r="AD1261" s="153" t="s">
        <v>18</v>
      </c>
      <c r="AE1261" s="153" t="s">
        <v>72</v>
      </c>
      <c r="AF1261" s="153" t="s">
        <v>51</v>
      </c>
      <c r="AG1261" s="153" t="s">
        <v>739</v>
      </c>
      <c r="AH1261" s="153">
        <v>3.8124950348616728</v>
      </c>
      <c r="AJ1261" s="163" t="s">
        <v>52</v>
      </c>
      <c r="AK1261" s="163" t="s">
        <v>18</v>
      </c>
      <c r="AL1261" s="163" t="s">
        <v>28</v>
      </c>
      <c r="AM1261" s="163" t="s">
        <v>51</v>
      </c>
      <c r="AN1261" s="163" t="s">
        <v>716</v>
      </c>
      <c r="AO1261" s="163">
        <v>0.91364077671558797</v>
      </c>
    </row>
    <row r="1262" spans="29:41">
      <c r="AC1262" s="153" t="s">
        <v>52</v>
      </c>
      <c r="AD1262" s="153" t="s">
        <v>18</v>
      </c>
      <c r="AE1262" s="153" t="s">
        <v>72</v>
      </c>
      <c r="AF1262" s="153" t="s">
        <v>51</v>
      </c>
      <c r="AG1262" s="153" t="s">
        <v>740</v>
      </c>
      <c r="AH1262" s="153">
        <v>3.8124950348616728</v>
      </c>
      <c r="AJ1262" s="163" t="s">
        <v>52</v>
      </c>
      <c r="AK1262" s="163" t="s">
        <v>18</v>
      </c>
      <c r="AL1262" s="163" t="s">
        <v>28</v>
      </c>
      <c r="AM1262" s="163" t="s">
        <v>51</v>
      </c>
      <c r="AN1262" s="163" t="s">
        <v>717</v>
      </c>
      <c r="AO1262" s="163">
        <v>0.90303358084784024</v>
      </c>
    </row>
    <row r="1263" spans="29:41">
      <c r="AC1263" s="153" t="s">
        <v>52</v>
      </c>
      <c r="AD1263" s="153" t="s">
        <v>18</v>
      </c>
      <c r="AE1263" s="153" t="s">
        <v>72</v>
      </c>
      <c r="AF1263" s="153" t="s">
        <v>51</v>
      </c>
      <c r="AG1263" s="153" t="s">
        <v>741</v>
      </c>
      <c r="AH1263" s="153">
        <v>3.8124950348616728</v>
      </c>
      <c r="AJ1263" s="163" t="s">
        <v>52</v>
      </c>
      <c r="AK1263" s="163" t="s">
        <v>18</v>
      </c>
      <c r="AL1263" s="163" t="s">
        <v>28</v>
      </c>
      <c r="AM1263" s="163" t="s">
        <v>51</v>
      </c>
      <c r="AN1263" s="163" t="s">
        <v>718</v>
      </c>
      <c r="AO1263" s="163">
        <v>0.93924509725709027</v>
      </c>
    </row>
    <row r="1264" spans="29:41">
      <c r="AC1264" s="153" t="s">
        <v>52</v>
      </c>
      <c r="AD1264" s="153" t="s">
        <v>18</v>
      </c>
      <c r="AE1264" s="153" t="s">
        <v>72</v>
      </c>
      <c r="AF1264" s="153" t="s">
        <v>51</v>
      </c>
      <c r="AG1264" s="153" t="s">
        <v>742</v>
      </c>
      <c r="AH1264" s="153">
        <v>3.8124950348616728</v>
      </c>
      <c r="AJ1264" s="163" t="s">
        <v>52</v>
      </c>
      <c r="AK1264" s="163" t="s">
        <v>18</v>
      </c>
      <c r="AL1264" s="163" t="s">
        <v>28</v>
      </c>
      <c r="AM1264" s="163" t="s">
        <v>51</v>
      </c>
      <c r="AN1264" s="163" t="s">
        <v>719</v>
      </c>
      <c r="AO1264" s="163">
        <v>0.93366214025707339</v>
      </c>
    </row>
    <row r="1265" spans="29:41">
      <c r="AC1265" s="153" t="s">
        <v>52</v>
      </c>
      <c r="AD1265" s="153" t="s">
        <v>18</v>
      </c>
      <c r="AE1265" s="153" t="s">
        <v>72</v>
      </c>
      <c r="AF1265" s="153" t="s">
        <v>51</v>
      </c>
      <c r="AG1265" s="153" t="s">
        <v>425</v>
      </c>
      <c r="AH1265" s="153">
        <v>3.8124950348616728</v>
      </c>
      <c r="AJ1265" s="163" t="s">
        <v>52</v>
      </c>
      <c r="AK1265" s="163" t="s">
        <v>18</v>
      </c>
      <c r="AL1265" s="163" t="s">
        <v>28</v>
      </c>
      <c r="AM1265" s="163" t="s">
        <v>51</v>
      </c>
      <c r="AN1265" s="163" t="s">
        <v>720</v>
      </c>
      <c r="AO1265" s="163">
        <v>0.92767669686831811</v>
      </c>
    </row>
    <row r="1266" spans="29:41">
      <c r="AC1266" s="153" t="s">
        <v>52</v>
      </c>
      <c r="AD1266" s="153" t="s">
        <v>18</v>
      </c>
      <c r="AE1266" s="153" t="s">
        <v>72</v>
      </c>
      <c r="AF1266" s="153" t="s">
        <v>51</v>
      </c>
      <c r="AG1266" s="153" t="s">
        <v>743</v>
      </c>
      <c r="AH1266" s="153">
        <v>3.812592661796018</v>
      </c>
      <c r="AJ1266" s="163" t="s">
        <v>52</v>
      </c>
      <c r="AK1266" s="163" t="s">
        <v>18</v>
      </c>
      <c r="AL1266" s="163" t="s">
        <v>28</v>
      </c>
      <c r="AM1266" s="163" t="s">
        <v>51</v>
      </c>
      <c r="AN1266" s="163" t="s">
        <v>721</v>
      </c>
      <c r="AO1266" s="163">
        <v>0.90854377177163292</v>
      </c>
    </row>
    <row r="1267" spans="29:41">
      <c r="AC1267" s="153" t="s">
        <v>52</v>
      </c>
      <c r="AD1267" s="153" t="s">
        <v>18</v>
      </c>
      <c r="AE1267" s="153" t="s">
        <v>72</v>
      </c>
      <c r="AF1267" s="153" t="s">
        <v>51</v>
      </c>
      <c r="AG1267" s="153" t="s">
        <v>744</v>
      </c>
      <c r="AH1267" s="153">
        <v>3.8124950348616728</v>
      </c>
      <c r="AJ1267" s="163" t="s">
        <v>52</v>
      </c>
      <c r="AK1267" s="163" t="s">
        <v>18</v>
      </c>
      <c r="AL1267" s="163" t="s">
        <v>28</v>
      </c>
      <c r="AM1267" s="163" t="s">
        <v>51</v>
      </c>
      <c r="AN1267" s="163" t="s">
        <v>722</v>
      </c>
      <c r="AO1267" s="163">
        <v>0.9450283538796681</v>
      </c>
    </row>
    <row r="1268" spans="29:41">
      <c r="AC1268" s="153" t="s">
        <v>52</v>
      </c>
      <c r="AD1268" s="153" t="s">
        <v>18</v>
      </c>
      <c r="AE1268" s="153" t="s">
        <v>72</v>
      </c>
      <c r="AF1268" s="153" t="s">
        <v>51</v>
      </c>
      <c r="AG1268" s="153" t="s">
        <v>745</v>
      </c>
      <c r="AH1268" s="153">
        <v>3.8425411667081901</v>
      </c>
      <c r="AJ1268" s="163" t="s">
        <v>52</v>
      </c>
      <c r="AK1268" s="163" t="s">
        <v>18</v>
      </c>
      <c r="AL1268" s="163" t="s">
        <v>28</v>
      </c>
      <c r="AM1268" s="163" t="s">
        <v>51</v>
      </c>
      <c r="AN1268" s="163" t="s">
        <v>723</v>
      </c>
      <c r="AO1268" s="163">
        <v>0.93116167994460808</v>
      </c>
    </row>
    <row r="1269" spans="29:41">
      <c r="AC1269" s="153" t="s">
        <v>52</v>
      </c>
      <c r="AD1269" s="153" t="s">
        <v>18</v>
      </c>
      <c r="AE1269" s="153" t="s">
        <v>72</v>
      </c>
      <c r="AF1269" s="153" t="s">
        <v>51</v>
      </c>
      <c r="AG1269" s="153" t="s">
        <v>424</v>
      </c>
      <c r="AH1269" s="153">
        <v>3.8426337494806249</v>
      </c>
      <c r="AJ1269" s="163" t="s">
        <v>52</v>
      </c>
      <c r="AK1269" s="163" t="s">
        <v>18</v>
      </c>
      <c r="AL1269" s="163" t="s">
        <v>28</v>
      </c>
      <c r="AM1269" s="163" t="s">
        <v>51</v>
      </c>
      <c r="AN1269" s="163" t="s">
        <v>724</v>
      </c>
      <c r="AO1269" s="163">
        <v>0.957885648273888</v>
      </c>
    </row>
    <row r="1270" spans="29:41">
      <c r="AC1270" s="153" t="s">
        <v>52</v>
      </c>
      <c r="AD1270" s="153" t="s">
        <v>18</v>
      </c>
      <c r="AE1270" s="153" t="s">
        <v>72</v>
      </c>
      <c r="AF1270" s="153" t="s">
        <v>51</v>
      </c>
      <c r="AG1270" s="153" t="s">
        <v>427</v>
      </c>
      <c r="AH1270" s="153">
        <v>3.8425411667081901</v>
      </c>
      <c r="AJ1270" s="163" t="s">
        <v>52</v>
      </c>
      <c r="AK1270" s="163" t="s">
        <v>18</v>
      </c>
      <c r="AL1270" s="163" t="s">
        <v>28</v>
      </c>
      <c r="AM1270" s="163" t="s">
        <v>51</v>
      </c>
      <c r="AN1270" s="163" t="s">
        <v>725</v>
      </c>
      <c r="AO1270" s="163">
        <v>0.93692155954204948</v>
      </c>
    </row>
    <row r="1271" spans="29:41">
      <c r="AC1271" s="153" t="s">
        <v>52</v>
      </c>
      <c r="AD1271" s="153" t="s">
        <v>19</v>
      </c>
      <c r="AE1271" s="153" t="s">
        <v>72</v>
      </c>
      <c r="AF1271" s="153" t="s">
        <v>51</v>
      </c>
      <c r="AG1271" s="153" t="s">
        <v>129</v>
      </c>
      <c r="AH1271" s="153">
        <v>4.2722196725487462</v>
      </c>
      <c r="AJ1271" s="163" t="s">
        <v>52</v>
      </c>
      <c r="AK1271" s="163" t="s">
        <v>18</v>
      </c>
      <c r="AL1271" s="163" t="s">
        <v>28</v>
      </c>
      <c r="AM1271" s="163" t="s">
        <v>51</v>
      </c>
      <c r="AN1271" s="163" t="s">
        <v>726</v>
      </c>
      <c r="AO1271" s="163">
        <v>0.88877121498013956</v>
      </c>
    </row>
    <row r="1272" spans="29:41">
      <c r="AC1272" s="153" t="s">
        <v>52</v>
      </c>
      <c r="AD1272" s="153" t="s">
        <v>19</v>
      </c>
      <c r="AE1272" s="153" t="s">
        <v>72</v>
      </c>
      <c r="AF1272" s="153" t="s">
        <v>51</v>
      </c>
      <c r="AG1272" s="153" t="s">
        <v>130</v>
      </c>
      <c r="AH1272" s="153">
        <v>4.2722152605049795</v>
      </c>
      <c r="AJ1272" s="163" t="s">
        <v>52</v>
      </c>
      <c r="AK1272" s="163" t="s">
        <v>18</v>
      </c>
      <c r="AL1272" s="163" t="s">
        <v>28</v>
      </c>
      <c r="AM1272" s="163" t="s">
        <v>51</v>
      </c>
      <c r="AN1272" s="163" t="s">
        <v>426</v>
      </c>
      <c r="AO1272" s="163">
        <v>0.90669859653999441</v>
      </c>
    </row>
    <row r="1273" spans="29:41">
      <c r="AC1273" s="153" t="s">
        <v>52</v>
      </c>
      <c r="AD1273" s="153" t="s">
        <v>19</v>
      </c>
      <c r="AE1273" s="153" t="s">
        <v>72</v>
      </c>
      <c r="AF1273" s="153" t="s">
        <v>51</v>
      </c>
      <c r="AG1273" s="153" t="s">
        <v>131</v>
      </c>
      <c r="AH1273" s="153">
        <v>4.2722152605049795</v>
      </c>
      <c r="AJ1273" s="163" t="s">
        <v>52</v>
      </c>
      <c r="AK1273" s="163" t="s">
        <v>18</v>
      </c>
      <c r="AL1273" s="163" t="s">
        <v>28</v>
      </c>
      <c r="AM1273" s="163" t="s">
        <v>51</v>
      </c>
      <c r="AN1273" s="163" t="s">
        <v>727</v>
      </c>
      <c r="AO1273" s="163">
        <v>0.93159202639176464</v>
      </c>
    </row>
    <row r="1274" spans="29:41">
      <c r="AC1274" s="153" t="s">
        <v>52</v>
      </c>
      <c r="AD1274" s="153" t="s">
        <v>19</v>
      </c>
      <c r="AE1274" s="153" t="s">
        <v>72</v>
      </c>
      <c r="AF1274" s="153" t="s">
        <v>51</v>
      </c>
      <c r="AG1274" s="153" t="s">
        <v>132</v>
      </c>
      <c r="AH1274" s="153">
        <v>4.356765969784167</v>
      </c>
      <c r="AJ1274" s="163" t="s">
        <v>52</v>
      </c>
      <c r="AK1274" s="163" t="s">
        <v>18</v>
      </c>
      <c r="AL1274" s="163" t="s">
        <v>28</v>
      </c>
      <c r="AM1274" s="163" t="s">
        <v>51</v>
      </c>
      <c r="AN1274" s="163" t="s">
        <v>728</v>
      </c>
      <c r="AO1274" s="163">
        <v>0.86855497897707978</v>
      </c>
    </row>
    <row r="1275" spans="29:41">
      <c r="AC1275" s="153" t="s">
        <v>52</v>
      </c>
      <c r="AD1275" s="153" t="s">
        <v>19</v>
      </c>
      <c r="AE1275" s="153" t="s">
        <v>72</v>
      </c>
      <c r="AF1275" s="153" t="s">
        <v>51</v>
      </c>
      <c r="AG1275" s="153" t="s">
        <v>133</v>
      </c>
      <c r="AH1275" s="153">
        <v>4.3975094107446839</v>
      </c>
      <c r="AJ1275" s="163" t="s">
        <v>52</v>
      </c>
      <c r="AK1275" s="163" t="s">
        <v>18</v>
      </c>
      <c r="AL1275" s="163" t="s">
        <v>28</v>
      </c>
      <c r="AM1275" s="163" t="s">
        <v>51</v>
      </c>
      <c r="AN1275" s="163" t="s">
        <v>729</v>
      </c>
      <c r="AO1275" s="163">
        <v>0.95048220184418963</v>
      </c>
    </row>
    <row r="1276" spans="29:41">
      <c r="AC1276" s="153" t="s">
        <v>52</v>
      </c>
      <c r="AD1276" s="153" t="s">
        <v>19</v>
      </c>
      <c r="AE1276" s="153" t="s">
        <v>72</v>
      </c>
      <c r="AF1276" s="153" t="s">
        <v>51</v>
      </c>
      <c r="AG1276" s="153" t="s">
        <v>134</v>
      </c>
      <c r="AH1276" s="153">
        <v>4.3364393474588088</v>
      </c>
      <c r="AJ1276" s="163" t="s">
        <v>52</v>
      </c>
      <c r="AK1276" s="163" t="s">
        <v>18</v>
      </c>
      <c r="AL1276" s="163" t="s">
        <v>28</v>
      </c>
      <c r="AM1276" s="163" t="s">
        <v>51</v>
      </c>
      <c r="AN1276" s="163" t="s">
        <v>730</v>
      </c>
      <c r="AO1276" s="163">
        <v>0.87560762763498123</v>
      </c>
    </row>
    <row r="1277" spans="29:41">
      <c r="AC1277" s="153" t="s">
        <v>52</v>
      </c>
      <c r="AD1277" s="153" t="s">
        <v>19</v>
      </c>
      <c r="AE1277" s="153" t="s">
        <v>72</v>
      </c>
      <c r="AF1277" s="153" t="s">
        <v>51</v>
      </c>
      <c r="AG1277" s="153" t="s">
        <v>135</v>
      </c>
      <c r="AH1277" s="153">
        <v>4.3043588303271259</v>
      </c>
      <c r="AJ1277" s="163" t="s">
        <v>52</v>
      </c>
      <c r="AK1277" s="163" t="s">
        <v>18</v>
      </c>
      <c r="AL1277" s="163" t="s">
        <v>28</v>
      </c>
      <c r="AM1277" s="163" t="s">
        <v>51</v>
      </c>
      <c r="AN1277" s="163" t="s">
        <v>731</v>
      </c>
      <c r="AO1277" s="163">
        <v>0.92000512564134151</v>
      </c>
    </row>
    <row r="1278" spans="29:41">
      <c r="AC1278" s="153" t="s">
        <v>52</v>
      </c>
      <c r="AD1278" s="153" t="s">
        <v>19</v>
      </c>
      <c r="AE1278" s="153" t="s">
        <v>72</v>
      </c>
      <c r="AF1278" s="153" t="s">
        <v>51</v>
      </c>
      <c r="AG1278" s="153" t="s">
        <v>136</v>
      </c>
      <c r="AH1278" s="153">
        <v>4.2722196725487462</v>
      </c>
      <c r="AJ1278" s="163" t="s">
        <v>52</v>
      </c>
      <c r="AK1278" s="163" t="s">
        <v>18</v>
      </c>
      <c r="AL1278" s="163" t="s">
        <v>28</v>
      </c>
      <c r="AM1278" s="163" t="s">
        <v>51</v>
      </c>
      <c r="AN1278" s="163" t="s">
        <v>732</v>
      </c>
      <c r="AO1278" s="163">
        <v>0.91723533403729773</v>
      </c>
    </row>
    <row r="1279" spans="29:41">
      <c r="AC1279" s="153" t="s">
        <v>52</v>
      </c>
      <c r="AD1279" s="153" t="s">
        <v>19</v>
      </c>
      <c r="AE1279" s="153" t="s">
        <v>72</v>
      </c>
      <c r="AF1279" s="153" t="s">
        <v>51</v>
      </c>
      <c r="AG1279" s="153" t="s">
        <v>137</v>
      </c>
      <c r="AH1279" s="153">
        <v>4.3043588303271259</v>
      </c>
      <c r="AJ1279" s="163" t="s">
        <v>52</v>
      </c>
      <c r="AK1279" s="163" t="s">
        <v>18</v>
      </c>
      <c r="AL1279" s="163" t="s">
        <v>28</v>
      </c>
      <c r="AM1279" s="163" t="s">
        <v>51</v>
      </c>
      <c r="AN1279" s="163" t="s">
        <v>733</v>
      </c>
      <c r="AO1279" s="163">
        <v>0.88572489311012947</v>
      </c>
    </row>
    <row r="1280" spans="29:41">
      <c r="AC1280" s="153" t="s">
        <v>52</v>
      </c>
      <c r="AD1280" s="153" t="s">
        <v>19</v>
      </c>
      <c r="AE1280" s="153" t="s">
        <v>72</v>
      </c>
      <c r="AF1280" s="153" t="s">
        <v>51</v>
      </c>
      <c r="AG1280" s="153" t="s">
        <v>138</v>
      </c>
      <c r="AH1280" s="153">
        <v>4.2722152605049795</v>
      </c>
      <c r="AJ1280" s="163" t="s">
        <v>52</v>
      </c>
      <c r="AK1280" s="163" t="s">
        <v>18</v>
      </c>
      <c r="AL1280" s="163" t="s">
        <v>28</v>
      </c>
      <c r="AM1280" s="163" t="s">
        <v>51</v>
      </c>
      <c r="AN1280" s="163" t="s">
        <v>734</v>
      </c>
      <c r="AO1280" s="163">
        <v>0.89168359653008444</v>
      </c>
    </row>
    <row r="1281" spans="29:41">
      <c r="AC1281" s="153" t="s">
        <v>52</v>
      </c>
      <c r="AD1281" s="153" t="s">
        <v>19</v>
      </c>
      <c r="AE1281" s="153" t="s">
        <v>72</v>
      </c>
      <c r="AF1281" s="153" t="s">
        <v>51</v>
      </c>
      <c r="AG1281" s="153" t="s">
        <v>139</v>
      </c>
      <c r="AH1281" s="153">
        <v>4.2722196725487462</v>
      </c>
      <c r="AJ1281" s="163" t="s">
        <v>52</v>
      </c>
      <c r="AK1281" s="163" t="s">
        <v>18</v>
      </c>
      <c r="AL1281" s="163" t="s">
        <v>28</v>
      </c>
      <c r="AM1281" s="163" t="s">
        <v>51</v>
      </c>
      <c r="AN1281" s="163" t="s">
        <v>735</v>
      </c>
      <c r="AO1281" s="163">
        <v>0.87626523340473406</v>
      </c>
    </row>
    <row r="1282" spans="29:41">
      <c r="AC1282" s="153" t="s">
        <v>52</v>
      </c>
      <c r="AD1282" s="153" t="s">
        <v>19</v>
      </c>
      <c r="AE1282" s="153" t="s">
        <v>72</v>
      </c>
      <c r="AF1282" s="153" t="s">
        <v>51</v>
      </c>
      <c r="AG1282" s="153" t="s">
        <v>140</v>
      </c>
      <c r="AH1282" s="153">
        <v>4.1164931032788781</v>
      </c>
      <c r="AJ1282" s="163" t="s">
        <v>52</v>
      </c>
      <c r="AK1282" s="163" t="s">
        <v>18</v>
      </c>
      <c r="AL1282" s="163" t="s">
        <v>28</v>
      </c>
      <c r="AM1282" s="163" t="s">
        <v>51</v>
      </c>
      <c r="AN1282" s="163" t="s">
        <v>736</v>
      </c>
      <c r="AO1282" s="163">
        <v>0.90736862163168885</v>
      </c>
    </row>
    <row r="1283" spans="29:41">
      <c r="AC1283" s="153" t="s">
        <v>52</v>
      </c>
      <c r="AD1283" s="153" t="s">
        <v>19</v>
      </c>
      <c r="AE1283" s="153" t="s">
        <v>72</v>
      </c>
      <c r="AF1283" s="153" t="s">
        <v>51</v>
      </c>
      <c r="AG1283" s="153" t="s">
        <v>141</v>
      </c>
      <c r="AH1283" s="153">
        <v>4.1164931032788781</v>
      </c>
      <c r="AJ1283" s="163" t="s">
        <v>52</v>
      </c>
      <c r="AK1283" s="163" t="s">
        <v>18</v>
      </c>
      <c r="AL1283" s="163" t="s">
        <v>28</v>
      </c>
      <c r="AM1283" s="163" t="s">
        <v>51</v>
      </c>
      <c r="AN1283" s="163" t="s">
        <v>737</v>
      </c>
      <c r="AO1283" s="163">
        <v>0.9019041982454189</v>
      </c>
    </row>
    <row r="1284" spans="29:41">
      <c r="AC1284" s="153" t="s">
        <v>52</v>
      </c>
      <c r="AD1284" s="153" t="s">
        <v>19</v>
      </c>
      <c r="AE1284" s="153" t="s">
        <v>72</v>
      </c>
      <c r="AF1284" s="153" t="s">
        <v>51</v>
      </c>
      <c r="AG1284" s="153" t="s">
        <v>142</v>
      </c>
      <c r="AH1284" s="153">
        <v>4.1489354754111796</v>
      </c>
      <c r="AJ1284" s="163" t="s">
        <v>52</v>
      </c>
      <c r="AK1284" s="163" t="s">
        <v>18</v>
      </c>
      <c r="AL1284" s="163" t="s">
        <v>28</v>
      </c>
      <c r="AM1284" s="163" t="s">
        <v>51</v>
      </c>
      <c r="AN1284" s="163" t="s">
        <v>738</v>
      </c>
      <c r="AO1284" s="163">
        <v>0.90682026534234794</v>
      </c>
    </row>
    <row r="1285" spans="29:41">
      <c r="AC1285" s="153" t="s">
        <v>52</v>
      </c>
      <c r="AD1285" s="153" t="s">
        <v>19</v>
      </c>
      <c r="AE1285" s="153" t="s">
        <v>72</v>
      </c>
      <c r="AF1285" s="153" t="s">
        <v>51</v>
      </c>
      <c r="AG1285" s="153" t="s">
        <v>143</v>
      </c>
      <c r="AH1285" s="153">
        <v>4.1164931032788781</v>
      </c>
      <c r="AJ1285" s="163" t="s">
        <v>52</v>
      </c>
      <c r="AK1285" s="163" t="s">
        <v>18</v>
      </c>
      <c r="AL1285" s="163" t="s">
        <v>28</v>
      </c>
      <c r="AM1285" s="163" t="s">
        <v>51</v>
      </c>
      <c r="AN1285" s="163" t="s">
        <v>739</v>
      </c>
      <c r="AO1285" s="163">
        <v>0.90812346720283288</v>
      </c>
    </row>
    <row r="1286" spans="29:41">
      <c r="AC1286" s="153" t="s">
        <v>52</v>
      </c>
      <c r="AD1286" s="153" t="s">
        <v>19</v>
      </c>
      <c r="AE1286" s="153" t="s">
        <v>72</v>
      </c>
      <c r="AF1286" s="153" t="s">
        <v>51</v>
      </c>
      <c r="AG1286" s="153" t="s">
        <v>144</v>
      </c>
      <c r="AH1286" s="153">
        <v>4.0839866621698553</v>
      </c>
      <c r="AJ1286" s="163" t="s">
        <v>52</v>
      </c>
      <c r="AK1286" s="163" t="s">
        <v>18</v>
      </c>
      <c r="AL1286" s="163" t="s">
        <v>28</v>
      </c>
      <c r="AM1286" s="163" t="s">
        <v>51</v>
      </c>
      <c r="AN1286" s="163" t="s">
        <v>740</v>
      </c>
      <c r="AO1286" s="163">
        <v>0.87254268607226304</v>
      </c>
    </row>
    <row r="1287" spans="29:41">
      <c r="AC1287" s="153" t="s">
        <v>52</v>
      </c>
      <c r="AD1287" s="153" t="s">
        <v>19</v>
      </c>
      <c r="AE1287" s="153" t="s">
        <v>72</v>
      </c>
      <c r="AF1287" s="153" t="s">
        <v>51</v>
      </c>
      <c r="AG1287" s="153" t="s">
        <v>145</v>
      </c>
      <c r="AH1287" s="153">
        <v>4.1164931032788781</v>
      </c>
      <c r="AJ1287" s="163" t="s">
        <v>52</v>
      </c>
      <c r="AK1287" s="163" t="s">
        <v>18</v>
      </c>
      <c r="AL1287" s="163" t="s">
        <v>28</v>
      </c>
      <c r="AM1287" s="163" t="s">
        <v>51</v>
      </c>
      <c r="AN1287" s="163" t="s">
        <v>741</v>
      </c>
      <c r="AO1287" s="163">
        <v>0.87416377519920307</v>
      </c>
    </row>
    <row r="1288" spans="29:41">
      <c r="AC1288" s="153" t="s">
        <v>52</v>
      </c>
      <c r="AD1288" s="153" t="s">
        <v>19</v>
      </c>
      <c r="AE1288" s="153" t="s">
        <v>72</v>
      </c>
      <c r="AF1288" s="153" t="s">
        <v>51</v>
      </c>
      <c r="AG1288" s="153" t="s">
        <v>146</v>
      </c>
      <c r="AH1288" s="153">
        <v>4.2429503753802189</v>
      </c>
      <c r="AJ1288" s="163" t="s">
        <v>52</v>
      </c>
      <c r="AK1288" s="163" t="s">
        <v>18</v>
      </c>
      <c r="AL1288" s="163" t="s">
        <v>28</v>
      </c>
      <c r="AM1288" s="163" t="s">
        <v>51</v>
      </c>
      <c r="AN1288" s="163" t="s">
        <v>742</v>
      </c>
      <c r="AO1288" s="163">
        <v>0.88840886214749326</v>
      </c>
    </row>
    <row r="1289" spans="29:41">
      <c r="AC1289" s="153" t="s">
        <v>52</v>
      </c>
      <c r="AD1289" s="153" t="s">
        <v>19</v>
      </c>
      <c r="AE1289" s="153" t="s">
        <v>72</v>
      </c>
      <c r="AF1289" s="153" t="s">
        <v>51</v>
      </c>
      <c r="AG1289" s="153" t="s">
        <v>147</v>
      </c>
      <c r="AH1289" s="153">
        <v>4.1783730691905516</v>
      </c>
      <c r="AJ1289" s="163" t="s">
        <v>52</v>
      </c>
      <c r="AK1289" s="163" t="s">
        <v>18</v>
      </c>
      <c r="AL1289" s="163" t="s">
        <v>28</v>
      </c>
      <c r="AM1289" s="163" t="s">
        <v>51</v>
      </c>
      <c r="AN1289" s="163" t="s">
        <v>425</v>
      </c>
      <c r="AO1289" s="163">
        <v>0.92843044177526279</v>
      </c>
    </row>
    <row r="1290" spans="29:41">
      <c r="AC1290" s="153" t="s">
        <v>52</v>
      </c>
      <c r="AD1290" s="153" t="s">
        <v>19</v>
      </c>
      <c r="AE1290" s="153" t="s">
        <v>72</v>
      </c>
      <c r="AF1290" s="153" t="s">
        <v>51</v>
      </c>
      <c r="AG1290" s="153" t="s">
        <v>148</v>
      </c>
      <c r="AH1290" s="153">
        <v>4.1783730691905516</v>
      </c>
      <c r="AJ1290" s="163" t="s">
        <v>52</v>
      </c>
      <c r="AK1290" s="163" t="s">
        <v>18</v>
      </c>
      <c r="AL1290" s="163" t="s">
        <v>28</v>
      </c>
      <c r="AM1290" s="163" t="s">
        <v>51</v>
      </c>
      <c r="AN1290" s="163" t="s">
        <v>743</v>
      </c>
      <c r="AO1290" s="163">
        <v>0.9248450153399479</v>
      </c>
    </row>
    <row r="1291" spans="29:41">
      <c r="AC1291" s="153" t="s">
        <v>52</v>
      </c>
      <c r="AD1291" s="153" t="s">
        <v>19</v>
      </c>
      <c r="AE1291" s="153" t="s">
        <v>72</v>
      </c>
      <c r="AF1291" s="153" t="s">
        <v>51</v>
      </c>
      <c r="AG1291" s="153" t="s">
        <v>149</v>
      </c>
      <c r="AH1291" s="153">
        <v>4.1489354754111796</v>
      </c>
      <c r="AJ1291" s="163" t="s">
        <v>52</v>
      </c>
      <c r="AK1291" s="163" t="s">
        <v>18</v>
      </c>
      <c r="AL1291" s="163" t="s">
        <v>28</v>
      </c>
      <c r="AM1291" s="163" t="s">
        <v>51</v>
      </c>
      <c r="AN1291" s="163" t="s">
        <v>744</v>
      </c>
      <c r="AO1291" s="163">
        <v>0.85919201407576307</v>
      </c>
    </row>
    <row r="1292" spans="29:41">
      <c r="AC1292" s="153" t="s">
        <v>52</v>
      </c>
      <c r="AD1292" s="153" t="s">
        <v>19</v>
      </c>
      <c r="AE1292" s="153" t="s">
        <v>72</v>
      </c>
      <c r="AF1292" s="153" t="s">
        <v>51</v>
      </c>
      <c r="AG1292" s="153" t="s">
        <v>150</v>
      </c>
      <c r="AH1292" s="153">
        <v>4.0543796294704109</v>
      </c>
      <c r="AJ1292" s="163" t="s">
        <v>52</v>
      </c>
      <c r="AK1292" s="163" t="s">
        <v>18</v>
      </c>
      <c r="AL1292" s="163" t="s">
        <v>28</v>
      </c>
      <c r="AM1292" s="163" t="s">
        <v>51</v>
      </c>
      <c r="AN1292" s="163" t="s">
        <v>745</v>
      </c>
      <c r="AO1292" s="163">
        <v>0.90363083092137031</v>
      </c>
    </row>
    <row r="1293" spans="29:41">
      <c r="AC1293" s="153" t="s">
        <v>52</v>
      </c>
      <c r="AD1293" s="153" t="s">
        <v>19</v>
      </c>
      <c r="AE1293" s="153" t="s">
        <v>72</v>
      </c>
      <c r="AF1293" s="153" t="s">
        <v>51</v>
      </c>
      <c r="AG1293" s="153" t="s">
        <v>151</v>
      </c>
      <c r="AH1293" s="153">
        <v>4.0543796294704109</v>
      </c>
      <c r="AJ1293" s="163" t="s">
        <v>52</v>
      </c>
      <c r="AK1293" s="163" t="s">
        <v>18</v>
      </c>
      <c r="AL1293" s="163" t="s">
        <v>28</v>
      </c>
      <c r="AM1293" s="163" t="s">
        <v>51</v>
      </c>
      <c r="AN1293" s="163" t="s">
        <v>424</v>
      </c>
      <c r="AO1293" s="163">
        <v>0.8894235200130749</v>
      </c>
    </row>
    <row r="1294" spans="29:41">
      <c r="AC1294" s="153" t="s">
        <v>52</v>
      </c>
      <c r="AD1294" s="153" t="s">
        <v>19</v>
      </c>
      <c r="AE1294" s="153" t="s">
        <v>72</v>
      </c>
      <c r="AF1294" s="153" t="s">
        <v>51</v>
      </c>
      <c r="AG1294" s="153" t="s">
        <v>152</v>
      </c>
      <c r="AH1294" s="153">
        <v>4.1173811756101593</v>
      </c>
      <c r="AJ1294" s="163" t="s">
        <v>52</v>
      </c>
      <c r="AK1294" s="163" t="s">
        <v>18</v>
      </c>
      <c r="AL1294" s="163" t="s">
        <v>28</v>
      </c>
      <c r="AM1294" s="163" t="s">
        <v>51</v>
      </c>
      <c r="AN1294" s="163" t="s">
        <v>427</v>
      </c>
      <c r="AO1294" s="163">
        <v>0.88479228362694018</v>
      </c>
    </row>
    <row r="1295" spans="29:41">
      <c r="AC1295" s="153" t="s">
        <v>52</v>
      </c>
      <c r="AD1295" s="153" t="s">
        <v>19</v>
      </c>
      <c r="AE1295" s="153" t="s">
        <v>72</v>
      </c>
      <c r="AF1295" s="153" t="s">
        <v>51</v>
      </c>
      <c r="AG1295" s="153" t="s">
        <v>153</v>
      </c>
      <c r="AH1295" s="153">
        <v>4.1173811756101593</v>
      </c>
      <c r="AJ1295" s="163" t="s">
        <v>52</v>
      </c>
      <c r="AK1295" s="163" t="s">
        <v>19</v>
      </c>
      <c r="AL1295" s="163" t="s">
        <v>28</v>
      </c>
      <c r="AM1295" s="163" t="s">
        <v>51</v>
      </c>
      <c r="AN1295" s="163" t="s">
        <v>129</v>
      </c>
      <c r="AO1295" s="163">
        <v>1.4380197325194559</v>
      </c>
    </row>
    <row r="1296" spans="29:41">
      <c r="AC1296" s="153" t="s">
        <v>52</v>
      </c>
      <c r="AD1296" s="153" t="s">
        <v>19</v>
      </c>
      <c r="AE1296" s="153" t="s">
        <v>72</v>
      </c>
      <c r="AF1296" s="153" t="s">
        <v>51</v>
      </c>
      <c r="AG1296" s="153" t="s">
        <v>154</v>
      </c>
      <c r="AH1296" s="153">
        <v>4.1164931032788781</v>
      </c>
      <c r="AJ1296" s="163" t="s">
        <v>52</v>
      </c>
      <c r="AK1296" s="163" t="s">
        <v>19</v>
      </c>
      <c r="AL1296" s="163" t="s">
        <v>28</v>
      </c>
      <c r="AM1296" s="163" t="s">
        <v>51</v>
      </c>
      <c r="AN1296" s="163" t="s">
        <v>130</v>
      </c>
      <c r="AO1296" s="163">
        <v>1.4480315377515394</v>
      </c>
    </row>
    <row r="1297" spans="29:41">
      <c r="AC1297" s="153" t="s">
        <v>52</v>
      </c>
      <c r="AD1297" s="153" t="s">
        <v>19</v>
      </c>
      <c r="AE1297" s="153" t="s">
        <v>72</v>
      </c>
      <c r="AF1297" s="153" t="s">
        <v>51</v>
      </c>
      <c r="AG1297" s="153" t="s">
        <v>155</v>
      </c>
      <c r="AH1297" s="153">
        <v>4.0839866621698553</v>
      </c>
      <c r="AJ1297" s="163" t="s">
        <v>52</v>
      </c>
      <c r="AK1297" s="163" t="s">
        <v>19</v>
      </c>
      <c r="AL1297" s="163" t="s">
        <v>28</v>
      </c>
      <c r="AM1297" s="163" t="s">
        <v>51</v>
      </c>
      <c r="AN1297" s="163" t="s">
        <v>131</v>
      </c>
      <c r="AO1297" s="163">
        <v>1.4566536855283092</v>
      </c>
    </row>
    <row r="1298" spans="29:41">
      <c r="AC1298" s="153" t="s">
        <v>52</v>
      </c>
      <c r="AD1298" s="153" t="s">
        <v>19</v>
      </c>
      <c r="AE1298" s="153" t="s">
        <v>72</v>
      </c>
      <c r="AF1298" s="153" t="s">
        <v>51</v>
      </c>
      <c r="AG1298" s="153" t="s">
        <v>156</v>
      </c>
      <c r="AH1298" s="153">
        <v>4.1164931032788781</v>
      </c>
      <c r="AJ1298" s="163" t="s">
        <v>52</v>
      </c>
      <c r="AK1298" s="163" t="s">
        <v>19</v>
      </c>
      <c r="AL1298" s="163" t="s">
        <v>28</v>
      </c>
      <c r="AM1298" s="163" t="s">
        <v>51</v>
      </c>
      <c r="AN1298" s="163" t="s">
        <v>132</v>
      </c>
      <c r="AO1298" s="163">
        <v>1.4264489588822669</v>
      </c>
    </row>
    <row r="1299" spans="29:41">
      <c r="AC1299" s="153" t="s">
        <v>52</v>
      </c>
      <c r="AD1299" s="153" t="s">
        <v>19</v>
      </c>
      <c r="AE1299" s="153" t="s">
        <v>72</v>
      </c>
      <c r="AF1299" s="153" t="s">
        <v>51</v>
      </c>
      <c r="AG1299" s="153" t="s">
        <v>157</v>
      </c>
      <c r="AH1299" s="153">
        <v>4.1468684016219548</v>
      </c>
      <c r="AJ1299" s="163" t="s">
        <v>52</v>
      </c>
      <c r="AK1299" s="163" t="s">
        <v>19</v>
      </c>
      <c r="AL1299" s="163" t="s">
        <v>28</v>
      </c>
      <c r="AM1299" s="163" t="s">
        <v>51</v>
      </c>
      <c r="AN1299" s="163" t="s">
        <v>133</v>
      </c>
      <c r="AO1299" s="163">
        <v>1.4952818872147542</v>
      </c>
    </row>
    <row r="1300" spans="29:41">
      <c r="AC1300" s="153" t="s">
        <v>52</v>
      </c>
      <c r="AD1300" s="153" t="s">
        <v>19</v>
      </c>
      <c r="AE1300" s="153" t="s">
        <v>72</v>
      </c>
      <c r="AF1300" s="153" t="s">
        <v>51</v>
      </c>
      <c r="AG1300" s="153" t="s">
        <v>158</v>
      </c>
      <c r="AH1300" s="153">
        <v>4.0839866621698553</v>
      </c>
      <c r="AJ1300" s="163" t="s">
        <v>52</v>
      </c>
      <c r="AK1300" s="163" t="s">
        <v>19</v>
      </c>
      <c r="AL1300" s="163" t="s">
        <v>28</v>
      </c>
      <c r="AM1300" s="163" t="s">
        <v>51</v>
      </c>
      <c r="AN1300" s="163" t="s">
        <v>134</v>
      </c>
      <c r="AO1300" s="163">
        <v>1.4900890106520488</v>
      </c>
    </row>
    <row r="1301" spans="29:41">
      <c r="AC1301" s="153" t="s">
        <v>52</v>
      </c>
      <c r="AD1301" s="153" t="s">
        <v>19</v>
      </c>
      <c r="AE1301" s="153" t="s">
        <v>72</v>
      </c>
      <c r="AF1301" s="153" t="s">
        <v>51</v>
      </c>
      <c r="AG1301" s="153" t="s">
        <v>159</v>
      </c>
      <c r="AH1301" s="153">
        <v>4.0848839185997514</v>
      </c>
      <c r="AJ1301" s="163" t="s">
        <v>52</v>
      </c>
      <c r="AK1301" s="163" t="s">
        <v>19</v>
      </c>
      <c r="AL1301" s="163" t="s">
        <v>28</v>
      </c>
      <c r="AM1301" s="163" t="s">
        <v>51</v>
      </c>
      <c r="AN1301" s="163" t="s">
        <v>135</v>
      </c>
      <c r="AO1301" s="163">
        <v>1.4765235270090056</v>
      </c>
    </row>
    <row r="1302" spans="29:41">
      <c r="AC1302" s="153" t="s">
        <v>52</v>
      </c>
      <c r="AD1302" s="153" t="s">
        <v>19</v>
      </c>
      <c r="AE1302" s="153" t="s">
        <v>72</v>
      </c>
      <c r="AF1302" s="153" t="s">
        <v>51</v>
      </c>
      <c r="AG1302" s="153" t="s">
        <v>160</v>
      </c>
      <c r="AH1302" s="153">
        <v>4.0848839185997514</v>
      </c>
      <c r="AJ1302" s="163" t="s">
        <v>52</v>
      </c>
      <c r="AK1302" s="163" t="s">
        <v>19</v>
      </c>
      <c r="AL1302" s="163" t="s">
        <v>28</v>
      </c>
      <c r="AM1302" s="163" t="s">
        <v>51</v>
      </c>
      <c r="AN1302" s="163" t="s">
        <v>136</v>
      </c>
      <c r="AO1302" s="163">
        <v>1.458400562294766</v>
      </c>
    </row>
    <row r="1303" spans="29:41">
      <c r="AC1303" s="153" t="s">
        <v>52</v>
      </c>
      <c r="AD1303" s="153" t="s">
        <v>19</v>
      </c>
      <c r="AE1303" s="153" t="s">
        <v>72</v>
      </c>
      <c r="AF1303" s="153" t="s">
        <v>51</v>
      </c>
      <c r="AG1303" s="153" t="s">
        <v>161</v>
      </c>
      <c r="AH1303" s="153">
        <v>4.0848839185997514</v>
      </c>
      <c r="AJ1303" s="163" t="s">
        <v>52</v>
      </c>
      <c r="AK1303" s="163" t="s">
        <v>19</v>
      </c>
      <c r="AL1303" s="163" t="s">
        <v>28</v>
      </c>
      <c r="AM1303" s="163" t="s">
        <v>51</v>
      </c>
      <c r="AN1303" s="163" t="s">
        <v>137</v>
      </c>
      <c r="AO1303" s="163">
        <v>1.4728530811846257</v>
      </c>
    </row>
    <row r="1304" spans="29:41">
      <c r="AC1304" s="153" t="s">
        <v>52</v>
      </c>
      <c r="AD1304" s="153" t="s">
        <v>19</v>
      </c>
      <c r="AE1304" s="153" t="s">
        <v>72</v>
      </c>
      <c r="AF1304" s="153" t="s">
        <v>51</v>
      </c>
      <c r="AG1304" s="153" t="s">
        <v>162</v>
      </c>
      <c r="AH1304" s="153">
        <v>4.0848839185997514</v>
      </c>
      <c r="AJ1304" s="163" t="s">
        <v>52</v>
      </c>
      <c r="AK1304" s="163" t="s">
        <v>19</v>
      </c>
      <c r="AL1304" s="163" t="s">
        <v>28</v>
      </c>
      <c r="AM1304" s="163" t="s">
        <v>51</v>
      </c>
      <c r="AN1304" s="163" t="s">
        <v>138</v>
      </c>
      <c r="AO1304" s="163">
        <v>1.4480384086770592</v>
      </c>
    </row>
    <row r="1305" spans="29:41">
      <c r="AC1305" s="153" t="s">
        <v>52</v>
      </c>
      <c r="AD1305" s="153" t="s">
        <v>19</v>
      </c>
      <c r="AE1305" s="153" t="s">
        <v>72</v>
      </c>
      <c r="AF1305" s="153" t="s">
        <v>51</v>
      </c>
      <c r="AG1305" s="153" t="s">
        <v>163</v>
      </c>
      <c r="AH1305" s="153">
        <v>4.0848839185997514</v>
      </c>
      <c r="AJ1305" s="163" t="s">
        <v>52</v>
      </c>
      <c r="AK1305" s="163" t="s">
        <v>19</v>
      </c>
      <c r="AL1305" s="163" t="s">
        <v>28</v>
      </c>
      <c r="AM1305" s="163" t="s">
        <v>51</v>
      </c>
      <c r="AN1305" s="163" t="s">
        <v>139</v>
      </c>
      <c r="AO1305" s="163">
        <v>1.4763786632440858</v>
      </c>
    </row>
    <row r="1306" spans="29:41">
      <c r="AC1306" s="153" t="s">
        <v>52</v>
      </c>
      <c r="AD1306" s="153" t="s">
        <v>19</v>
      </c>
      <c r="AE1306" s="153" t="s">
        <v>72</v>
      </c>
      <c r="AF1306" s="153" t="s">
        <v>51</v>
      </c>
      <c r="AG1306" s="153" t="s">
        <v>164</v>
      </c>
      <c r="AH1306" s="153">
        <v>4.1173811756101593</v>
      </c>
      <c r="AJ1306" s="163" t="s">
        <v>52</v>
      </c>
      <c r="AK1306" s="163" t="s">
        <v>19</v>
      </c>
      <c r="AL1306" s="163" t="s">
        <v>28</v>
      </c>
      <c r="AM1306" s="163" t="s">
        <v>51</v>
      </c>
      <c r="AN1306" s="163" t="s">
        <v>140</v>
      </c>
      <c r="AO1306" s="163">
        <v>1.4236442001834584</v>
      </c>
    </row>
    <row r="1307" spans="29:41">
      <c r="AC1307" s="153" t="s">
        <v>52</v>
      </c>
      <c r="AD1307" s="153" t="s">
        <v>19</v>
      </c>
      <c r="AE1307" s="153" t="s">
        <v>72</v>
      </c>
      <c r="AF1307" s="153" t="s">
        <v>51</v>
      </c>
      <c r="AG1307" s="153" t="s">
        <v>165</v>
      </c>
      <c r="AH1307" s="153">
        <v>4.1468684016219548</v>
      </c>
      <c r="AJ1307" s="163" t="s">
        <v>52</v>
      </c>
      <c r="AK1307" s="163" t="s">
        <v>19</v>
      </c>
      <c r="AL1307" s="163" t="s">
        <v>28</v>
      </c>
      <c r="AM1307" s="163" t="s">
        <v>51</v>
      </c>
      <c r="AN1307" s="163" t="s">
        <v>141</v>
      </c>
      <c r="AO1307" s="163">
        <v>1.4069365395175983</v>
      </c>
    </row>
    <row r="1308" spans="29:41">
      <c r="AC1308" s="153" t="s">
        <v>52</v>
      </c>
      <c r="AD1308" s="153" t="s">
        <v>19</v>
      </c>
      <c r="AE1308" s="153" t="s">
        <v>72</v>
      </c>
      <c r="AF1308" s="153" t="s">
        <v>51</v>
      </c>
      <c r="AG1308" s="153" t="s">
        <v>166</v>
      </c>
      <c r="AH1308" s="153">
        <v>4.0839866621698553</v>
      </c>
      <c r="AJ1308" s="163" t="s">
        <v>52</v>
      </c>
      <c r="AK1308" s="163" t="s">
        <v>19</v>
      </c>
      <c r="AL1308" s="163" t="s">
        <v>28</v>
      </c>
      <c r="AM1308" s="163" t="s">
        <v>51</v>
      </c>
      <c r="AN1308" s="163" t="s">
        <v>142</v>
      </c>
      <c r="AO1308" s="163">
        <v>1.4771625368674803</v>
      </c>
    </row>
    <row r="1309" spans="29:41">
      <c r="AC1309" s="153" t="s">
        <v>52</v>
      </c>
      <c r="AD1309" s="153" t="s">
        <v>19</v>
      </c>
      <c r="AE1309" s="153" t="s">
        <v>72</v>
      </c>
      <c r="AF1309" s="153" t="s">
        <v>51</v>
      </c>
      <c r="AG1309" s="153" t="s">
        <v>167</v>
      </c>
      <c r="AH1309" s="153">
        <v>4.0839866621698553</v>
      </c>
      <c r="AJ1309" s="163" t="s">
        <v>52</v>
      </c>
      <c r="AK1309" s="163" t="s">
        <v>19</v>
      </c>
      <c r="AL1309" s="163" t="s">
        <v>28</v>
      </c>
      <c r="AM1309" s="163" t="s">
        <v>51</v>
      </c>
      <c r="AN1309" s="163" t="s">
        <v>143</v>
      </c>
      <c r="AO1309" s="163">
        <v>1.4589836252872179</v>
      </c>
    </row>
    <row r="1310" spans="29:41">
      <c r="AC1310" s="153" t="s">
        <v>52</v>
      </c>
      <c r="AD1310" s="153" t="s">
        <v>19</v>
      </c>
      <c r="AE1310" s="153" t="s">
        <v>72</v>
      </c>
      <c r="AF1310" s="153" t="s">
        <v>51</v>
      </c>
      <c r="AG1310" s="153" t="s">
        <v>168</v>
      </c>
      <c r="AH1310" s="153">
        <v>4.0543796294704109</v>
      </c>
      <c r="AJ1310" s="163" t="s">
        <v>52</v>
      </c>
      <c r="AK1310" s="163" t="s">
        <v>19</v>
      </c>
      <c r="AL1310" s="163" t="s">
        <v>28</v>
      </c>
      <c r="AM1310" s="163" t="s">
        <v>51</v>
      </c>
      <c r="AN1310" s="163" t="s">
        <v>144</v>
      </c>
      <c r="AO1310" s="163">
        <v>1.4741399466234748</v>
      </c>
    </row>
    <row r="1311" spans="29:41">
      <c r="AC1311" s="153" t="s">
        <v>52</v>
      </c>
      <c r="AD1311" s="153" t="s">
        <v>19</v>
      </c>
      <c r="AE1311" s="153" t="s">
        <v>72</v>
      </c>
      <c r="AF1311" s="153" t="s">
        <v>51</v>
      </c>
      <c r="AG1311" s="153" t="s">
        <v>169</v>
      </c>
      <c r="AH1311" s="153">
        <v>4.1164931032788781</v>
      </c>
      <c r="AJ1311" s="163" t="s">
        <v>52</v>
      </c>
      <c r="AK1311" s="163" t="s">
        <v>19</v>
      </c>
      <c r="AL1311" s="163" t="s">
        <v>28</v>
      </c>
      <c r="AM1311" s="163" t="s">
        <v>51</v>
      </c>
      <c r="AN1311" s="163" t="s">
        <v>145</v>
      </c>
      <c r="AO1311" s="163">
        <v>1.4523237072335584</v>
      </c>
    </row>
    <row r="1312" spans="29:41">
      <c r="AC1312" s="153" t="s">
        <v>52</v>
      </c>
      <c r="AD1312" s="153" t="s">
        <v>19</v>
      </c>
      <c r="AE1312" s="153" t="s">
        <v>72</v>
      </c>
      <c r="AF1312" s="153" t="s">
        <v>51</v>
      </c>
      <c r="AG1312" s="153" t="s">
        <v>170</v>
      </c>
      <c r="AH1312" s="153">
        <v>4.2722196725487462</v>
      </c>
      <c r="AJ1312" s="163" t="s">
        <v>52</v>
      </c>
      <c r="AK1312" s="163" t="s">
        <v>19</v>
      </c>
      <c r="AL1312" s="163" t="s">
        <v>28</v>
      </c>
      <c r="AM1312" s="163" t="s">
        <v>51</v>
      </c>
      <c r="AN1312" s="163" t="s">
        <v>146</v>
      </c>
      <c r="AO1312" s="163">
        <v>1.4909513151017189</v>
      </c>
    </row>
    <row r="1313" spans="29:41">
      <c r="AC1313" s="153" t="s">
        <v>52</v>
      </c>
      <c r="AD1313" s="153" t="s">
        <v>19</v>
      </c>
      <c r="AE1313" s="153" t="s">
        <v>72</v>
      </c>
      <c r="AF1313" s="153" t="s">
        <v>51</v>
      </c>
      <c r="AG1313" s="153" t="s">
        <v>171</v>
      </c>
      <c r="AH1313" s="153">
        <v>4.2722196725487462</v>
      </c>
      <c r="AJ1313" s="163" t="s">
        <v>52</v>
      </c>
      <c r="AK1313" s="163" t="s">
        <v>19</v>
      </c>
      <c r="AL1313" s="163" t="s">
        <v>28</v>
      </c>
      <c r="AM1313" s="163" t="s">
        <v>51</v>
      </c>
      <c r="AN1313" s="163" t="s">
        <v>147</v>
      </c>
      <c r="AO1313" s="163">
        <v>1.4848898228908918</v>
      </c>
    </row>
    <row r="1314" spans="29:41">
      <c r="AC1314" s="153" t="s">
        <v>52</v>
      </c>
      <c r="AD1314" s="153" t="s">
        <v>19</v>
      </c>
      <c r="AE1314" s="153" t="s">
        <v>72</v>
      </c>
      <c r="AF1314" s="153" t="s">
        <v>51</v>
      </c>
      <c r="AG1314" s="153" t="s">
        <v>172</v>
      </c>
      <c r="AH1314" s="153">
        <v>4.2429503753802189</v>
      </c>
      <c r="AJ1314" s="163" t="s">
        <v>52</v>
      </c>
      <c r="AK1314" s="163" t="s">
        <v>19</v>
      </c>
      <c r="AL1314" s="163" t="s">
        <v>28</v>
      </c>
      <c r="AM1314" s="163" t="s">
        <v>51</v>
      </c>
      <c r="AN1314" s="163" t="s">
        <v>148</v>
      </c>
      <c r="AO1314" s="163">
        <v>1.4877516387472818</v>
      </c>
    </row>
    <row r="1315" spans="29:41">
      <c r="AC1315" s="153" t="s">
        <v>52</v>
      </c>
      <c r="AD1315" s="153" t="s">
        <v>19</v>
      </c>
      <c r="AE1315" s="153" t="s">
        <v>72</v>
      </c>
      <c r="AF1315" s="153" t="s">
        <v>51</v>
      </c>
      <c r="AG1315" s="153" t="s">
        <v>173</v>
      </c>
      <c r="AH1315" s="153">
        <v>4.2722152605049795</v>
      </c>
      <c r="AJ1315" s="163" t="s">
        <v>52</v>
      </c>
      <c r="AK1315" s="163" t="s">
        <v>19</v>
      </c>
      <c r="AL1315" s="163" t="s">
        <v>28</v>
      </c>
      <c r="AM1315" s="163" t="s">
        <v>51</v>
      </c>
      <c r="AN1315" s="163" t="s">
        <v>149</v>
      </c>
      <c r="AO1315" s="163">
        <v>1.48790031413224</v>
      </c>
    </row>
    <row r="1316" spans="29:41">
      <c r="AC1316" s="153" t="s">
        <v>52</v>
      </c>
      <c r="AD1316" s="153" t="s">
        <v>19</v>
      </c>
      <c r="AE1316" s="153" t="s">
        <v>72</v>
      </c>
      <c r="AF1316" s="153" t="s">
        <v>51</v>
      </c>
      <c r="AG1316" s="153" t="s">
        <v>174</v>
      </c>
      <c r="AH1316" s="153">
        <v>4.3364393474588088</v>
      </c>
      <c r="AJ1316" s="163" t="s">
        <v>52</v>
      </c>
      <c r="AK1316" s="163" t="s">
        <v>19</v>
      </c>
      <c r="AL1316" s="163" t="s">
        <v>28</v>
      </c>
      <c r="AM1316" s="163" t="s">
        <v>51</v>
      </c>
      <c r="AN1316" s="163" t="s">
        <v>150</v>
      </c>
      <c r="AO1316" s="163">
        <v>1.4551138540801207</v>
      </c>
    </row>
    <row r="1317" spans="29:41">
      <c r="AC1317" s="153" t="s">
        <v>52</v>
      </c>
      <c r="AD1317" s="153" t="s">
        <v>19</v>
      </c>
      <c r="AE1317" s="153" t="s">
        <v>72</v>
      </c>
      <c r="AF1317" s="153" t="s">
        <v>51</v>
      </c>
      <c r="AG1317" s="153" t="s">
        <v>175</v>
      </c>
      <c r="AH1317" s="153">
        <v>4.2955298466319416</v>
      </c>
      <c r="AJ1317" s="163" t="s">
        <v>52</v>
      </c>
      <c r="AK1317" s="163" t="s">
        <v>19</v>
      </c>
      <c r="AL1317" s="163" t="s">
        <v>28</v>
      </c>
      <c r="AM1317" s="163" t="s">
        <v>51</v>
      </c>
      <c r="AN1317" s="163" t="s">
        <v>151</v>
      </c>
      <c r="AO1317" s="163">
        <v>1.4030969614698008</v>
      </c>
    </row>
    <row r="1318" spans="29:41">
      <c r="AC1318" s="153" t="s">
        <v>52</v>
      </c>
      <c r="AD1318" s="153" t="s">
        <v>19</v>
      </c>
      <c r="AE1318" s="153" t="s">
        <v>72</v>
      </c>
      <c r="AF1318" s="153" t="s">
        <v>51</v>
      </c>
      <c r="AG1318" s="153" t="s">
        <v>176</v>
      </c>
      <c r="AH1318" s="153">
        <v>4.3247184562130432</v>
      </c>
      <c r="AJ1318" s="163" t="s">
        <v>52</v>
      </c>
      <c r="AK1318" s="163" t="s">
        <v>19</v>
      </c>
      <c r="AL1318" s="163" t="s">
        <v>28</v>
      </c>
      <c r="AM1318" s="163" t="s">
        <v>51</v>
      </c>
      <c r="AN1318" s="163" t="s">
        <v>152</v>
      </c>
      <c r="AO1318" s="163">
        <v>1.5264927540743496</v>
      </c>
    </row>
    <row r="1319" spans="29:41">
      <c r="AC1319" s="153" t="s">
        <v>52</v>
      </c>
      <c r="AD1319" s="153" t="s">
        <v>19</v>
      </c>
      <c r="AE1319" s="153" t="s">
        <v>72</v>
      </c>
      <c r="AF1319" s="153" t="s">
        <v>51</v>
      </c>
      <c r="AG1319" s="153" t="s">
        <v>177</v>
      </c>
      <c r="AH1319" s="153">
        <v>4.2722196725487462</v>
      </c>
      <c r="AJ1319" s="163" t="s">
        <v>52</v>
      </c>
      <c r="AK1319" s="163" t="s">
        <v>19</v>
      </c>
      <c r="AL1319" s="163" t="s">
        <v>28</v>
      </c>
      <c r="AM1319" s="163" t="s">
        <v>51</v>
      </c>
      <c r="AN1319" s="163" t="s">
        <v>153</v>
      </c>
      <c r="AO1319" s="163">
        <v>1.4834640718696397</v>
      </c>
    </row>
    <row r="1320" spans="29:41">
      <c r="AC1320" s="153" t="s">
        <v>52</v>
      </c>
      <c r="AD1320" s="153" t="s">
        <v>19</v>
      </c>
      <c r="AE1320" s="153" t="s">
        <v>72</v>
      </c>
      <c r="AF1320" s="153" t="s">
        <v>51</v>
      </c>
      <c r="AG1320" s="153" t="s">
        <v>178</v>
      </c>
      <c r="AH1320" s="153">
        <v>4.3247184562130432</v>
      </c>
      <c r="AJ1320" s="163" t="s">
        <v>52</v>
      </c>
      <c r="AK1320" s="163" t="s">
        <v>19</v>
      </c>
      <c r="AL1320" s="163" t="s">
        <v>28</v>
      </c>
      <c r="AM1320" s="163" t="s">
        <v>51</v>
      </c>
      <c r="AN1320" s="163" t="s">
        <v>154</v>
      </c>
      <c r="AO1320" s="163">
        <v>1.4877106444003581</v>
      </c>
    </row>
    <row r="1321" spans="29:41">
      <c r="AC1321" s="153" t="s">
        <v>52</v>
      </c>
      <c r="AD1321" s="153" t="s">
        <v>19</v>
      </c>
      <c r="AE1321" s="153" t="s">
        <v>72</v>
      </c>
      <c r="AF1321" s="153" t="s">
        <v>51</v>
      </c>
      <c r="AG1321" s="153" t="s">
        <v>179</v>
      </c>
      <c r="AH1321" s="153">
        <v>4.356765969784167</v>
      </c>
      <c r="AJ1321" s="163" t="s">
        <v>52</v>
      </c>
      <c r="AK1321" s="163" t="s">
        <v>19</v>
      </c>
      <c r="AL1321" s="163" t="s">
        <v>28</v>
      </c>
      <c r="AM1321" s="163" t="s">
        <v>51</v>
      </c>
      <c r="AN1321" s="163" t="s">
        <v>155</v>
      </c>
      <c r="AO1321" s="163">
        <v>1.4636651505186651</v>
      </c>
    </row>
    <row r="1322" spans="29:41">
      <c r="AC1322" s="153" t="s">
        <v>52</v>
      </c>
      <c r="AD1322" s="153" t="s">
        <v>19</v>
      </c>
      <c r="AE1322" s="153" t="s">
        <v>72</v>
      </c>
      <c r="AF1322" s="153" t="s">
        <v>51</v>
      </c>
      <c r="AG1322" s="153" t="s">
        <v>180</v>
      </c>
      <c r="AH1322" s="153">
        <v>4.3247184562130432</v>
      </c>
      <c r="AJ1322" s="163" t="s">
        <v>52</v>
      </c>
      <c r="AK1322" s="163" t="s">
        <v>19</v>
      </c>
      <c r="AL1322" s="163" t="s">
        <v>28</v>
      </c>
      <c r="AM1322" s="163" t="s">
        <v>51</v>
      </c>
      <c r="AN1322" s="163" t="s">
        <v>156</v>
      </c>
      <c r="AO1322" s="163">
        <v>1.4688348248507781</v>
      </c>
    </row>
    <row r="1323" spans="29:41">
      <c r="AC1323" s="153" t="s">
        <v>52</v>
      </c>
      <c r="AD1323" s="153" t="s">
        <v>19</v>
      </c>
      <c r="AE1323" s="153" t="s">
        <v>72</v>
      </c>
      <c r="AF1323" s="153" t="s">
        <v>51</v>
      </c>
      <c r="AG1323" s="153" t="s">
        <v>181</v>
      </c>
      <c r="AH1323" s="153">
        <v>4.356765969784167</v>
      </c>
      <c r="AJ1323" s="163" t="s">
        <v>52</v>
      </c>
      <c r="AK1323" s="163" t="s">
        <v>19</v>
      </c>
      <c r="AL1323" s="163" t="s">
        <v>28</v>
      </c>
      <c r="AM1323" s="163" t="s">
        <v>51</v>
      </c>
      <c r="AN1323" s="163" t="s">
        <v>157</v>
      </c>
      <c r="AO1323" s="163">
        <v>1.4794738390900448</v>
      </c>
    </row>
    <row r="1324" spans="29:41">
      <c r="AC1324" s="153" t="s">
        <v>52</v>
      </c>
      <c r="AD1324" s="153" t="s">
        <v>19</v>
      </c>
      <c r="AE1324" s="153" t="s">
        <v>72</v>
      </c>
      <c r="AF1324" s="153" t="s">
        <v>51</v>
      </c>
      <c r="AG1324" s="153" t="s">
        <v>182</v>
      </c>
      <c r="AH1324" s="153">
        <v>4.3364393474588088</v>
      </c>
      <c r="AJ1324" s="163" t="s">
        <v>52</v>
      </c>
      <c r="AK1324" s="163" t="s">
        <v>19</v>
      </c>
      <c r="AL1324" s="163" t="s">
        <v>28</v>
      </c>
      <c r="AM1324" s="163" t="s">
        <v>51</v>
      </c>
      <c r="AN1324" s="163" t="s">
        <v>158</v>
      </c>
      <c r="AO1324" s="163">
        <v>1.4426462117529448</v>
      </c>
    </row>
    <row r="1325" spans="29:41">
      <c r="AC1325" s="153" t="s">
        <v>52</v>
      </c>
      <c r="AD1325" s="153" t="s">
        <v>19</v>
      </c>
      <c r="AE1325" s="153" t="s">
        <v>72</v>
      </c>
      <c r="AF1325" s="153" t="s">
        <v>51</v>
      </c>
      <c r="AG1325" s="153" t="s">
        <v>183</v>
      </c>
      <c r="AH1325" s="153">
        <v>4.3655488616966043</v>
      </c>
      <c r="AJ1325" s="163" t="s">
        <v>52</v>
      </c>
      <c r="AK1325" s="163" t="s">
        <v>19</v>
      </c>
      <c r="AL1325" s="163" t="s">
        <v>28</v>
      </c>
      <c r="AM1325" s="163" t="s">
        <v>51</v>
      </c>
      <c r="AN1325" s="163" t="s">
        <v>159</v>
      </c>
      <c r="AO1325" s="163">
        <v>1.4880251513383613</v>
      </c>
    </row>
    <row r="1326" spans="29:41">
      <c r="AC1326" s="153" t="s">
        <v>52</v>
      </c>
      <c r="AD1326" s="153" t="s">
        <v>19</v>
      </c>
      <c r="AE1326" s="153" t="s">
        <v>72</v>
      </c>
      <c r="AF1326" s="153" t="s">
        <v>51</v>
      </c>
      <c r="AG1326" s="153" t="s">
        <v>184</v>
      </c>
      <c r="AH1326" s="153">
        <v>4.356765969784167</v>
      </c>
      <c r="AJ1326" s="163" t="s">
        <v>52</v>
      </c>
      <c r="AK1326" s="163" t="s">
        <v>19</v>
      </c>
      <c r="AL1326" s="163" t="s">
        <v>28</v>
      </c>
      <c r="AM1326" s="163" t="s">
        <v>51</v>
      </c>
      <c r="AN1326" s="163" t="s">
        <v>160</v>
      </c>
      <c r="AO1326" s="163">
        <v>1.5001903340299612</v>
      </c>
    </row>
    <row r="1327" spans="29:41">
      <c r="AC1327" s="153" t="s">
        <v>52</v>
      </c>
      <c r="AD1327" s="153" t="s">
        <v>19</v>
      </c>
      <c r="AE1327" s="153" t="s">
        <v>72</v>
      </c>
      <c r="AF1327" s="153" t="s">
        <v>51</v>
      </c>
      <c r="AG1327" s="153" t="s">
        <v>185</v>
      </c>
      <c r="AH1327" s="153">
        <v>4.3247184562130432</v>
      </c>
      <c r="AJ1327" s="163" t="s">
        <v>52</v>
      </c>
      <c r="AK1327" s="163" t="s">
        <v>19</v>
      </c>
      <c r="AL1327" s="163" t="s">
        <v>28</v>
      </c>
      <c r="AM1327" s="163" t="s">
        <v>51</v>
      </c>
      <c r="AN1327" s="163" t="s">
        <v>161</v>
      </c>
      <c r="AO1327" s="163">
        <v>1.5089809768010016</v>
      </c>
    </row>
    <row r="1328" spans="29:41">
      <c r="AC1328" s="153" t="s">
        <v>52</v>
      </c>
      <c r="AD1328" s="153" t="s">
        <v>19</v>
      </c>
      <c r="AE1328" s="153" t="s">
        <v>72</v>
      </c>
      <c r="AF1328" s="153" t="s">
        <v>51</v>
      </c>
      <c r="AG1328" s="153" t="s">
        <v>186</v>
      </c>
      <c r="AH1328" s="153">
        <v>4.3247184562130432</v>
      </c>
      <c r="AJ1328" s="163" t="s">
        <v>52</v>
      </c>
      <c r="AK1328" s="163" t="s">
        <v>19</v>
      </c>
      <c r="AL1328" s="163" t="s">
        <v>28</v>
      </c>
      <c r="AM1328" s="163" t="s">
        <v>51</v>
      </c>
      <c r="AN1328" s="163" t="s">
        <v>162</v>
      </c>
      <c r="AO1328" s="163">
        <v>1.5177634981419812</v>
      </c>
    </row>
    <row r="1329" spans="29:41">
      <c r="AC1329" s="153" t="s">
        <v>52</v>
      </c>
      <c r="AD1329" s="153" t="s">
        <v>19</v>
      </c>
      <c r="AE1329" s="153" t="s">
        <v>72</v>
      </c>
      <c r="AF1329" s="153" t="s">
        <v>51</v>
      </c>
      <c r="AG1329" s="153" t="s">
        <v>187</v>
      </c>
      <c r="AH1329" s="153">
        <v>4.3655488616966043</v>
      </c>
      <c r="AJ1329" s="163" t="s">
        <v>52</v>
      </c>
      <c r="AK1329" s="163" t="s">
        <v>19</v>
      </c>
      <c r="AL1329" s="163" t="s">
        <v>28</v>
      </c>
      <c r="AM1329" s="163" t="s">
        <v>51</v>
      </c>
      <c r="AN1329" s="163" t="s">
        <v>163</v>
      </c>
      <c r="AO1329" s="163">
        <v>1.4862947015294912</v>
      </c>
    </row>
    <row r="1330" spans="29:41">
      <c r="AC1330" s="153" t="s">
        <v>52</v>
      </c>
      <c r="AD1330" s="153" t="s">
        <v>19</v>
      </c>
      <c r="AE1330" s="153" t="s">
        <v>72</v>
      </c>
      <c r="AF1330" s="153" t="s">
        <v>51</v>
      </c>
      <c r="AG1330" s="153" t="s">
        <v>188</v>
      </c>
      <c r="AH1330" s="153">
        <v>4.3975094107446839</v>
      </c>
      <c r="AJ1330" s="163" t="s">
        <v>52</v>
      </c>
      <c r="AK1330" s="163" t="s">
        <v>19</v>
      </c>
      <c r="AL1330" s="163" t="s">
        <v>28</v>
      </c>
      <c r="AM1330" s="163" t="s">
        <v>51</v>
      </c>
      <c r="AN1330" s="163" t="s">
        <v>164</v>
      </c>
      <c r="AO1330" s="163">
        <v>1.4948600955250895</v>
      </c>
    </row>
    <row r="1331" spans="29:41">
      <c r="AC1331" s="153" t="s">
        <v>52</v>
      </c>
      <c r="AD1331" s="153" t="s">
        <v>19</v>
      </c>
      <c r="AE1331" s="153" t="s">
        <v>72</v>
      </c>
      <c r="AF1331" s="153" t="s">
        <v>51</v>
      </c>
      <c r="AG1331" s="153" t="s">
        <v>189</v>
      </c>
      <c r="AH1331" s="153">
        <v>4.3364393474588088</v>
      </c>
      <c r="AJ1331" s="163" t="s">
        <v>52</v>
      </c>
      <c r="AK1331" s="163" t="s">
        <v>19</v>
      </c>
      <c r="AL1331" s="163" t="s">
        <v>28</v>
      </c>
      <c r="AM1331" s="163" t="s">
        <v>51</v>
      </c>
      <c r="AN1331" s="163" t="s">
        <v>165</v>
      </c>
      <c r="AO1331" s="163">
        <v>1.4715419878752252</v>
      </c>
    </row>
    <row r="1332" spans="29:41">
      <c r="AC1332" s="153" t="s">
        <v>52</v>
      </c>
      <c r="AD1332" s="153" t="s">
        <v>19</v>
      </c>
      <c r="AE1332" s="153" t="s">
        <v>72</v>
      </c>
      <c r="AF1332" s="153" t="s">
        <v>51</v>
      </c>
      <c r="AG1332" s="153" t="s">
        <v>190</v>
      </c>
      <c r="AH1332" s="153">
        <v>4.3364393474588088</v>
      </c>
      <c r="AJ1332" s="163" t="s">
        <v>52</v>
      </c>
      <c r="AK1332" s="163" t="s">
        <v>19</v>
      </c>
      <c r="AL1332" s="163" t="s">
        <v>28</v>
      </c>
      <c r="AM1332" s="163" t="s">
        <v>51</v>
      </c>
      <c r="AN1332" s="163" t="s">
        <v>166</v>
      </c>
      <c r="AO1332" s="163">
        <v>1.4276990806405148</v>
      </c>
    </row>
    <row r="1333" spans="29:41">
      <c r="AC1333" s="153" t="s">
        <v>52</v>
      </c>
      <c r="AD1333" s="153" t="s">
        <v>19</v>
      </c>
      <c r="AE1333" s="153" t="s">
        <v>72</v>
      </c>
      <c r="AF1333" s="153" t="s">
        <v>51</v>
      </c>
      <c r="AG1333" s="153" t="s">
        <v>191</v>
      </c>
      <c r="AH1333" s="153">
        <v>4.3043588303271259</v>
      </c>
      <c r="AJ1333" s="163" t="s">
        <v>52</v>
      </c>
      <c r="AK1333" s="163" t="s">
        <v>19</v>
      </c>
      <c r="AL1333" s="163" t="s">
        <v>28</v>
      </c>
      <c r="AM1333" s="163" t="s">
        <v>51</v>
      </c>
      <c r="AN1333" s="163" t="s">
        <v>167</v>
      </c>
      <c r="AO1333" s="163">
        <v>1.4544274444006151</v>
      </c>
    </row>
    <row r="1334" spans="29:41">
      <c r="AC1334" s="153" t="s">
        <v>52</v>
      </c>
      <c r="AD1334" s="153" t="s">
        <v>19</v>
      </c>
      <c r="AE1334" s="153" t="s">
        <v>72</v>
      </c>
      <c r="AF1334" s="153" t="s">
        <v>51</v>
      </c>
      <c r="AG1334" s="153" t="s">
        <v>192</v>
      </c>
      <c r="AH1334" s="153">
        <v>4.4177736793579685</v>
      </c>
      <c r="AJ1334" s="163" t="s">
        <v>52</v>
      </c>
      <c r="AK1334" s="163" t="s">
        <v>19</v>
      </c>
      <c r="AL1334" s="163" t="s">
        <v>28</v>
      </c>
      <c r="AM1334" s="163" t="s">
        <v>51</v>
      </c>
      <c r="AN1334" s="163" t="s">
        <v>168</v>
      </c>
      <c r="AO1334" s="163">
        <v>1.4106457790517211</v>
      </c>
    </row>
    <row r="1335" spans="29:41">
      <c r="AC1335" s="153" t="s">
        <v>52</v>
      </c>
      <c r="AD1335" s="153" t="s">
        <v>19</v>
      </c>
      <c r="AE1335" s="153" t="s">
        <v>72</v>
      </c>
      <c r="AF1335" s="153" t="s">
        <v>51</v>
      </c>
      <c r="AG1335" s="153" t="s">
        <v>193</v>
      </c>
      <c r="AH1335" s="153">
        <v>4.4177736793579685</v>
      </c>
      <c r="AJ1335" s="163" t="s">
        <v>52</v>
      </c>
      <c r="AK1335" s="163" t="s">
        <v>19</v>
      </c>
      <c r="AL1335" s="163" t="s">
        <v>28</v>
      </c>
      <c r="AM1335" s="163" t="s">
        <v>51</v>
      </c>
      <c r="AN1335" s="163" t="s">
        <v>169</v>
      </c>
      <c r="AO1335" s="163">
        <v>1.4173516486483277</v>
      </c>
    </row>
    <row r="1336" spans="29:41">
      <c r="AC1336" s="153" t="s">
        <v>52</v>
      </c>
      <c r="AD1336" s="153" t="s">
        <v>19</v>
      </c>
      <c r="AE1336" s="153" t="s">
        <v>72</v>
      </c>
      <c r="AF1336" s="153" t="s">
        <v>51</v>
      </c>
      <c r="AG1336" s="153" t="s">
        <v>194</v>
      </c>
      <c r="AH1336" s="153">
        <v>4.5215920109797576</v>
      </c>
      <c r="AJ1336" s="163" t="s">
        <v>52</v>
      </c>
      <c r="AK1336" s="163" t="s">
        <v>19</v>
      </c>
      <c r="AL1336" s="163" t="s">
        <v>28</v>
      </c>
      <c r="AM1336" s="163" t="s">
        <v>51</v>
      </c>
      <c r="AN1336" s="163" t="s">
        <v>170</v>
      </c>
      <c r="AO1336" s="163">
        <v>1.5254738009914262</v>
      </c>
    </row>
    <row r="1337" spans="29:41">
      <c r="AC1337" s="153" t="s">
        <v>52</v>
      </c>
      <c r="AD1337" s="153" t="s">
        <v>19</v>
      </c>
      <c r="AE1337" s="153" t="s">
        <v>72</v>
      </c>
      <c r="AF1337" s="153" t="s">
        <v>51</v>
      </c>
      <c r="AG1337" s="153" t="s">
        <v>195</v>
      </c>
      <c r="AH1337" s="153">
        <v>4.51007164418104</v>
      </c>
      <c r="AJ1337" s="163" t="s">
        <v>52</v>
      </c>
      <c r="AK1337" s="163" t="s">
        <v>19</v>
      </c>
      <c r="AL1337" s="163" t="s">
        <v>28</v>
      </c>
      <c r="AM1337" s="163" t="s">
        <v>51</v>
      </c>
      <c r="AN1337" s="163" t="s">
        <v>171</v>
      </c>
      <c r="AO1337" s="163">
        <v>1.524204949581796</v>
      </c>
    </row>
    <row r="1338" spans="29:41">
      <c r="AC1338" s="153" t="s">
        <v>52</v>
      </c>
      <c r="AD1338" s="153" t="s">
        <v>19</v>
      </c>
      <c r="AE1338" s="153" t="s">
        <v>72</v>
      </c>
      <c r="AF1338" s="153" t="s">
        <v>51</v>
      </c>
      <c r="AG1338" s="153" t="s">
        <v>196</v>
      </c>
      <c r="AH1338" s="153">
        <v>4.5733883757567257</v>
      </c>
      <c r="AJ1338" s="163" t="s">
        <v>52</v>
      </c>
      <c r="AK1338" s="163" t="s">
        <v>19</v>
      </c>
      <c r="AL1338" s="163" t="s">
        <v>28</v>
      </c>
      <c r="AM1338" s="163" t="s">
        <v>51</v>
      </c>
      <c r="AN1338" s="163" t="s">
        <v>172</v>
      </c>
      <c r="AO1338" s="163">
        <v>1.4365404683160585</v>
      </c>
    </row>
    <row r="1339" spans="29:41">
      <c r="AC1339" s="153" t="s">
        <v>52</v>
      </c>
      <c r="AD1339" s="153" t="s">
        <v>19</v>
      </c>
      <c r="AE1339" s="153" t="s">
        <v>72</v>
      </c>
      <c r="AF1339" s="153" t="s">
        <v>51</v>
      </c>
      <c r="AG1339" s="153" t="s">
        <v>197</v>
      </c>
      <c r="AH1339" s="153">
        <v>4.5733883757567257</v>
      </c>
      <c r="AJ1339" s="163" t="s">
        <v>52</v>
      </c>
      <c r="AK1339" s="163" t="s">
        <v>19</v>
      </c>
      <c r="AL1339" s="163" t="s">
        <v>28</v>
      </c>
      <c r="AM1339" s="163" t="s">
        <v>51</v>
      </c>
      <c r="AN1339" s="163" t="s">
        <v>173</v>
      </c>
      <c r="AO1339" s="163">
        <v>1.4305392548903291</v>
      </c>
    </row>
    <row r="1340" spans="29:41">
      <c r="AC1340" s="153" t="s">
        <v>52</v>
      </c>
      <c r="AD1340" s="153" t="s">
        <v>19</v>
      </c>
      <c r="AE1340" s="153" t="s">
        <v>72</v>
      </c>
      <c r="AF1340" s="153" t="s">
        <v>51</v>
      </c>
      <c r="AG1340" s="153" t="s">
        <v>198</v>
      </c>
      <c r="AH1340" s="153">
        <v>4.5733883757567257</v>
      </c>
      <c r="AJ1340" s="163" t="s">
        <v>52</v>
      </c>
      <c r="AK1340" s="163" t="s">
        <v>19</v>
      </c>
      <c r="AL1340" s="163" t="s">
        <v>28</v>
      </c>
      <c r="AM1340" s="163" t="s">
        <v>51</v>
      </c>
      <c r="AN1340" s="163" t="s">
        <v>174</v>
      </c>
      <c r="AO1340" s="163">
        <v>1.4607908720241185</v>
      </c>
    </row>
    <row r="1341" spans="29:41">
      <c r="AC1341" s="153" t="s">
        <v>52</v>
      </c>
      <c r="AD1341" s="153" t="s">
        <v>19</v>
      </c>
      <c r="AE1341" s="153" t="s">
        <v>72</v>
      </c>
      <c r="AF1341" s="153" t="s">
        <v>51</v>
      </c>
      <c r="AG1341" s="153" t="s">
        <v>199</v>
      </c>
      <c r="AH1341" s="153">
        <v>4.58487342616412</v>
      </c>
      <c r="AJ1341" s="163" t="s">
        <v>52</v>
      </c>
      <c r="AK1341" s="163" t="s">
        <v>19</v>
      </c>
      <c r="AL1341" s="163" t="s">
        <v>28</v>
      </c>
      <c r="AM1341" s="163" t="s">
        <v>51</v>
      </c>
      <c r="AN1341" s="163" t="s">
        <v>175</v>
      </c>
      <c r="AO1341" s="163">
        <v>1.3762246496753616</v>
      </c>
    </row>
    <row r="1342" spans="29:41">
      <c r="AC1342" s="153" t="s">
        <v>52</v>
      </c>
      <c r="AD1342" s="153" t="s">
        <v>19</v>
      </c>
      <c r="AE1342" s="153" t="s">
        <v>72</v>
      </c>
      <c r="AF1342" s="153" t="s">
        <v>51</v>
      </c>
      <c r="AG1342" s="153" t="s">
        <v>200</v>
      </c>
      <c r="AH1342" s="153">
        <v>4.5733883757567257</v>
      </c>
      <c r="AJ1342" s="163" t="s">
        <v>52</v>
      </c>
      <c r="AK1342" s="163" t="s">
        <v>19</v>
      </c>
      <c r="AL1342" s="163" t="s">
        <v>28</v>
      </c>
      <c r="AM1342" s="163" t="s">
        <v>51</v>
      </c>
      <c r="AN1342" s="163" t="s">
        <v>176</v>
      </c>
      <c r="AO1342" s="163">
        <v>1.4629404881689234</v>
      </c>
    </row>
    <row r="1343" spans="29:41">
      <c r="AC1343" s="153" t="s">
        <v>52</v>
      </c>
      <c r="AD1343" s="153" t="s">
        <v>19</v>
      </c>
      <c r="AE1343" s="153" t="s">
        <v>72</v>
      </c>
      <c r="AF1343" s="153" t="s">
        <v>51</v>
      </c>
      <c r="AG1343" s="153" t="s">
        <v>201</v>
      </c>
      <c r="AH1343" s="153">
        <v>4.5417608906253868</v>
      </c>
      <c r="AJ1343" s="163" t="s">
        <v>52</v>
      </c>
      <c r="AK1343" s="163" t="s">
        <v>19</v>
      </c>
      <c r="AL1343" s="163" t="s">
        <v>28</v>
      </c>
      <c r="AM1343" s="163" t="s">
        <v>51</v>
      </c>
      <c r="AN1343" s="163" t="s">
        <v>177</v>
      </c>
      <c r="AO1343" s="163">
        <v>1.462111979295476</v>
      </c>
    </row>
    <row r="1344" spans="29:41">
      <c r="AC1344" s="153" t="s">
        <v>52</v>
      </c>
      <c r="AD1344" s="153" t="s">
        <v>19</v>
      </c>
      <c r="AE1344" s="153" t="s">
        <v>72</v>
      </c>
      <c r="AF1344" s="153" t="s">
        <v>51</v>
      </c>
      <c r="AG1344" s="153" t="s">
        <v>202</v>
      </c>
      <c r="AH1344" s="153">
        <v>4.51007164418104</v>
      </c>
      <c r="AJ1344" s="163" t="s">
        <v>52</v>
      </c>
      <c r="AK1344" s="163" t="s">
        <v>19</v>
      </c>
      <c r="AL1344" s="163" t="s">
        <v>28</v>
      </c>
      <c r="AM1344" s="163" t="s">
        <v>51</v>
      </c>
      <c r="AN1344" s="163" t="s">
        <v>178</v>
      </c>
      <c r="AO1344" s="163">
        <v>1.4047368657845636</v>
      </c>
    </row>
    <row r="1345" spans="29:41">
      <c r="AC1345" s="153" t="s">
        <v>52</v>
      </c>
      <c r="AD1345" s="153" t="s">
        <v>19</v>
      </c>
      <c r="AE1345" s="153" t="s">
        <v>72</v>
      </c>
      <c r="AF1345" s="153" t="s">
        <v>51</v>
      </c>
      <c r="AG1345" s="153" t="s">
        <v>203</v>
      </c>
      <c r="AH1345" s="153">
        <v>4.5417608906253868</v>
      </c>
      <c r="AJ1345" s="163" t="s">
        <v>52</v>
      </c>
      <c r="AK1345" s="163" t="s">
        <v>19</v>
      </c>
      <c r="AL1345" s="163" t="s">
        <v>28</v>
      </c>
      <c r="AM1345" s="163" t="s">
        <v>51</v>
      </c>
      <c r="AN1345" s="163" t="s">
        <v>179</v>
      </c>
      <c r="AO1345" s="163">
        <v>1.4204762246717666</v>
      </c>
    </row>
    <row r="1346" spans="29:41">
      <c r="AC1346" s="153" t="s">
        <v>52</v>
      </c>
      <c r="AD1346" s="153" t="s">
        <v>19</v>
      </c>
      <c r="AE1346" s="153" t="s">
        <v>72</v>
      </c>
      <c r="AF1346" s="153" t="s">
        <v>51</v>
      </c>
      <c r="AG1346" s="153" t="s">
        <v>204</v>
      </c>
      <c r="AH1346" s="153">
        <v>4.5417608906253868</v>
      </c>
      <c r="AJ1346" s="163" t="s">
        <v>52</v>
      </c>
      <c r="AK1346" s="163" t="s">
        <v>19</v>
      </c>
      <c r="AL1346" s="163" t="s">
        <v>28</v>
      </c>
      <c r="AM1346" s="163" t="s">
        <v>51</v>
      </c>
      <c r="AN1346" s="163" t="s">
        <v>180</v>
      </c>
      <c r="AO1346" s="163">
        <v>1.3661091909397234</v>
      </c>
    </row>
    <row r="1347" spans="29:41">
      <c r="AC1347" s="153" t="s">
        <v>52</v>
      </c>
      <c r="AD1347" s="153" t="s">
        <v>19</v>
      </c>
      <c r="AE1347" s="153" t="s">
        <v>72</v>
      </c>
      <c r="AF1347" s="153" t="s">
        <v>51</v>
      </c>
      <c r="AG1347" s="153" t="s">
        <v>205</v>
      </c>
      <c r="AH1347" s="153">
        <v>4.5131838688757515</v>
      </c>
      <c r="AJ1347" s="163" t="s">
        <v>52</v>
      </c>
      <c r="AK1347" s="163" t="s">
        <v>19</v>
      </c>
      <c r="AL1347" s="163" t="s">
        <v>28</v>
      </c>
      <c r="AM1347" s="163" t="s">
        <v>51</v>
      </c>
      <c r="AN1347" s="163" t="s">
        <v>181</v>
      </c>
      <c r="AO1347" s="163">
        <v>1.4498754209908069</v>
      </c>
    </row>
    <row r="1348" spans="29:41">
      <c r="AC1348" s="153" t="s">
        <v>52</v>
      </c>
      <c r="AD1348" s="153" t="s">
        <v>19</v>
      </c>
      <c r="AE1348" s="153" t="s">
        <v>72</v>
      </c>
      <c r="AF1348" s="153" t="s">
        <v>51</v>
      </c>
      <c r="AG1348" s="153" t="s">
        <v>206</v>
      </c>
      <c r="AH1348" s="153">
        <v>4.449639278675031</v>
      </c>
      <c r="AJ1348" s="163" t="s">
        <v>52</v>
      </c>
      <c r="AK1348" s="163" t="s">
        <v>19</v>
      </c>
      <c r="AL1348" s="163" t="s">
        <v>28</v>
      </c>
      <c r="AM1348" s="163" t="s">
        <v>51</v>
      </c>
      <c r="AN1348" s="163" t="s">
        <v>182</v>
      </c>
      <c r="AO1348" s="163">
        <v>1.5101226484185784</v>
      </c>
    </row>
    <row r="1349" spans="29:41">
      <c r="AC1349" s="153" t="s">
        <v>52</v>
      </c>
      <c r="AD1349" s="153" t="s">
        <v>19</v>
      </c>
      <c r="AE1349" s="153" t="s">
        <v>72</v>
      </c>
      <c r="AF1349" s="153" t="s">
        <v>51</v>
      </c>
      <c r="AG1349" s="153" t="s">
        <v>207</v>
      </c>
      <c r="AH1349" s="153">
        <v>4.4783204935797372</v>
      </c>
      <c r="AJ1349" s="163" t="s">
        <v>52</v>
      </c>
      <c r="AK1349" s="163" t="s">
        <v>19</v>
      </c>
      <c r="AL1349" s="163" t="s">
        <v>28</v>
      </c>
      <c r="AM1349" s="163" t="s">
        <v>51</v>
      </c>
      <c r="AN1349" s="163" t="s">
        <v>183</v>
      </c>
      <c r="AO1349" s="163">
        <v>1.4758689309019548</v>
      </c>
    </row>
    <row r="1350" spans="29:41">
      <c r="AC1350" s="153" t="s">
        <v>52</v>
      </c>
      <c r="AD1350" s="153" t="s">
        <v>19</v>
      </c>
      <c r="AE1350" s="153" t="s">
        <v>72</v>
      </c>
      <c r="AF1350" s="153" t="s">
        <v>51</v>
      </c>
      <c r="AG1350" s="153" t="s">
        <v>208</v>
      </c>
      <c r="AH1350" s="153">
        <v>4.5215920109797576</v>
      </c>
      <c r="AJ1350" s="163" t="s">
        <v>52</v>
      </c>
      <c r="AK1350" s="163" t="s">
        <v>19</v>
      </c>
      <c r="AL1350" s="163" t="s">
        <v>28</v>
      </c>
      <c r="AM1350" s="163" t="s">
        <v>51</v>
      </c>
      <c r="AN1350" s="163" t="s">
        <v>184</v>
      </c>
      <c r="AO1350" s="163">
        <v>1.4353176144054771</v>
      </c>
    </row>
    <row r="1351" spans="29:41">
      <c r="AC1351" s="153" t="s">
        <v>52</v>
      </c>
      <c r="AD1351" s="153" t="s">
        <v>19</v>
      </c>
      <c r="AE1351" s="153" t="s">
        <v>72</v>
      </c>
      <c r="AF1351" s="153" t="s">
        <v>51</v>
      </c>
      <c r="AG1351" s="153" t="s">
        <v>209</v>
      </c>
      <c r="AH1351" s="153">
        <v>4.5215920109797576</v>
      </c>
      <c r="AJ1351" s="163" t="s">
        <v>52</v>
      </c>
      <c r="AK1351" s="163" t="s">
        <v>19</v>
      </c>
      <c r="AL1351" s="163" t="s">
        <v>28</v>
      </c>
      <c r="AM1351" s="163" t="s">
        <v>51</v>
      </c>
      <c r="AN1351" s="163" t="s">
        <v>185</v>
      </c>
      <c r="AO1351" s="163">
        <v>1.4144561297019835</v>
      </c>
    </row>
    <row r="1352" spans="29:41">
      <c r="AC1352" s="153" t="s">
        <v>52</v>
      </c>
      <c r="AD1352" s="153" t="s">
        <v>19</v>
      </c>
      <c r="AE1352" s="153" t="s">
        <v>72</v>
      </c>
      <c r="AF1352" s="153" t="s">
        <v>51</v>
      </c>
      <c r="AG1352" s="153" t="s">
        <v>210</v>
      </c>
      <c r="AH1352" s="153">
        <v>4.5215920109797576</v>
      </c>
      <c r="AJ1352" s="163" t="s">
        <v>52</v>
      </c>
      <c r="AK1352" s="163" t="s">
        <v>19</v>
      </c>
      <c r="AL1352" s="163" t="s">
        <v>28</v>
      </c>
      <c r="AM1352" s="163" t="s">
        <v>51</v>
      </c>
      <c r="AN1352" s="163" t="s">
        <v>186</v>
      </c>
      <c r="AO1352" s="163">
        <v>1.4647424126284332</v>
      </c>
    </row>
    <row r="1353" spans="29:41">
      <c r="AC1353" s="153" t="s">
        <v>52</v>
      </c>
      <c r="AD1353" s="153" t="s">
        <v>19</v>
      </c>
      <c r="AE1353" s="153" t="s">
        <v>72</v>
      </c>
      <c r="AF1353" s="153" t="s">
        <v>51</v>
      </c>
      <c r="AG1353" s="153" t="s">
        <v>211</v>
      </c>
      <c r="AH1353" s="153">
        <v>4.58487342616412</v>
      </c>
      <c r="AJ1353" s="163" t="s">
        <v>52</v>
      </c>
      <c r="AK1353" s="163" t="s">
        <v>19</v>
      </c>
      <c r="AL1353" s="163" t="s">
        <v>28</v>
      </c>
      <c r="AM1353" s="163" t="s">
        <v>51</v>
      </c>
      <c r="AN1353" s="163" t="s">
        <v>187</v>
      </c>
      <c r="AO1353" s="163">
        <v>1.4740278458662346</v>
      </c>
    </row>
    <row r="1354" spans="29:41">
      <c r="AC1354" s="153" t="s">
        <v>52</v>
      </c>
      <c r="AD1354" s="153" t="s">
        <v>19</v>
      </c>
      <c r="AE1354" s="153" t="s">
        <v>72</v>
      </c>
      <c r="AF1354" s="153" t="s">
        <v>51</v>
      </c>
      <c r="AG1354" s="153" t="s">
        <v>212</v>
      </c>
      <c r="AH1354" s="153">
        <v>4.5215920109797576</v>
      </c>
      <c r="AJ1354" s="163" t="s">
        <v>52</v>
      </c>
      <c r="AK1354" s="163" t="s">
        <v>19</v>
      </c>
      <c r="AL1354" s="163" t="s">
        <v>28</v>
      </c>
      <c r="AM1354" s="163" t="s">
        <v>51</v>
      </c>
      <c r="AN1354" s="163" t="s">
        <v>188</v>
      </c>
      <c r="AO1354" s="163">
        <v>1.5474389721311044</v>
      </c>
    </row>
    <row r="1355" spans="29:41">
      <c r="AC1355" s="153" t="s">
        <v>52</v>
      </c>
      <c r="AD1355" s="153" t="s">
        <v>19</v>
      </c>
      <c r="AE1355" s="153" t="s">
        <v>72</v>
      </c>
      <c r="AF1355" s="153" t="s">
        <v>51</v>
      </c>
      <c r="AG1355" s="153" t="s">
        <v>97</v>
      </c>
      <c r="AH1355" s="153">
        <v>4.5215920109797576</v>
      </c>
      <c r="AJ1355" s="163" t="s">
        <v>52</v>
      </c>
      <c r="AK1355" s="163" t="s">
        <v>19</v>
      </c>
      <c r="AL1355" s="163" t="s">
        <v>28</v>
      </c>
      <c r="AM1355" s="163" t="s">
        <v>51</v>
      </c>
      <c r="AN1355" s="163" t="s">
        <v>189</v>
      </c>
      <c r="AO1355" s="163">
        <v>1.4903728139659185</v>
      </c>
    </row>
    <row r="1356" spans="29:41">
      <c r="AC1356" s="153" t="s">
        <v>52</v>
      </c>
      <c r="AD1356" s="153" t="s">
        <v>19</v>
      </c>
      <c r="AE1356" s="153" t="s">
        <v>72</v>
      </c>
      <c r="AF1356" s="153" t="s">
        <v>51</v>
      </c>
      <c r="AG1356" s="153" t="s">
        <v>95</v>
      </c>
      <c r="AH1356" s="153">
        <v>4.58487342616412</v>
      </c>
      <c r="AJ1356" s="163" t="s">
        <v>52</v>
      </c>
      <c r="AK1356" s="163" t="s">
        <v>19</v>
      </c>
      <c r="AL1356" s="163" t="s">
        <v>28</v>
      </c>
      <c r="AM1356" s="163" t="s">
        <v>51</v>
      </c>
      <c r="AN1356" s="163" t="s">
        <v>190</v>
      </c>
      <c r="AO1356" s="163">
        <v>1.4950721322413687</v>
      </c>
    </row>
    <row r="1357" spans="29:41">
      <c r="AC1357" s="153" t="s">
        <v>52</v>
      </c>
      <c r="AD1357" s="153" t="s">
        <v>19</v>
      </c>
      <c r="AE1357" s="153" t="s">
        <v>72</v>
      </c>
      <c r="AF1357" s="153" t="s">
        <v>51</v>
      </c>
      <c r="AG1357" s="153" t="s">
        <v>96</v>
      </c>
      <c r="AH1357" s="153">
        <v>4.5215920109797576</v>
      </c>
      <c r="AJ1357" s="163" t="s">
        <v>52</v>
      </c>
      <c r="AK1357" s="163" t="s">
        <v>19</v>
      </c>
      <c r="AL1357" s="163" t="s">
        <v>28</v>
      </c>
      <c r="AM1357" s="163" t="s">
        <v>51</v>
      </c>
      <c r="AN1357" s="163" t="s">
        <v>191</v>
      </c>
      <c r="AO1357" s="163">
        <v>1.4917998878905758</v>
      </c>
    </row>
    <row r="1358" spans="29:41">
      <c r="AC1358" s="153" t="s">
        <v>52</v>
      </c>
      <c r="AD1358" s="153" t="s">
        <v>19</v>
      </c>
      <c r="AE1358" s="153" t="s">
        <v>72</v>
      </c>
      <c r="AF1358" s="153" t="s">
        <v>51</v>
      </c>
      <c r="AG1358" s="153" t="s">
        <v>100</v>
      </c>
      <c r="AH1358" s="153">
        <v>4.5733883757567257</v>
      </c>
      <c r="AJ1358" s="163" t="s">
        <v>52</v>
      </c>
      <c r="AK1358" s="163" t="s">
        <v>19</v>
      </c>
      <c r="AL1358" s="163" t="s">
        <v>28</v>
      </c>
      <c r="AM1358" s="163" t="s">
        <v>51</v>
      </c>
      <c r="AN1358" s="163" t="s">
        <v>192</v>
      </c>
      <c r="AO1358" s="163">
        <v>1.5304654078377482</v>
      </c>
    </row>
    <row r="1359" spans="29:41">
      <c r="AC1359" s="153" t="s">
        <v>52</v>
      </c>
      <c r="AD1359" s="153" t="s">
        <v>19</v>
      </c>
      <c r="AE1359" s="153" t="s">
        <v>72</v>
      </c>
      <c r="AF1359" s="153" t="s">
        <v>51</v>
      </c>
      <c r="AG1359" s="153" t="s">
        <v>101</v>
      </c>
      <c r="AH1359" s="153">
        <v>4.5131838688757515</v>
      </c>
      <c r="AJ1359" s="163" t="s">
        <v>52</v>
      </c>
      <c r="AK1359" s="163" t="s">
        <v>19</v>
      </c>
      <c r="AL1359" s="163" t="s">
        <v>28</v>
      </c>
      <c r="AM1359" s="163" t="s">
        <v>51</v>
      </c>
      <c r="AN1359" s="163" t="s">
        <v>193</v>
      </c>
      <c r="AO1359" s="163">
        <v>1.456538551931688</v>
      </c>
    </row>
    <row r="1360" spans="29:41">
      <c r="AC1360" s="153" t="s">
        <v>52</v>
      </c>
      <c r="AD1360" s="153" t="s">
        <v>19</v>
      </c>
      <c r="AE1360" s="153" t="s">
        <v>72</v>
      </c>
      <c r="AF1360" s="153" t="s">
        <v>51</v>
      </c>
      <c r="AG1360" s="153" t="s">
        <v>102</v>
      </c>
      <c r="AH1360" s="153">
        <v>4.5417608906253868</v>
      </c>
      <c r="AJ1360" s="163" t="s">
        <v>52</v>
      </c>
      <c r="AK1360" s="163" t="s">
        <v>19</v>
      </c>
      <c r="AL1360" s="163" t="s">
        <v>28</v>
      </c>
      <c r="AM1360" s="163" t="s">
        <v>51</v>
      </c>
      <c r="AN1360" s="163" t="s">
        <v>194</v>
      </c>
      <c r="AO1360" s="163">
        <v>1.4471775794060073</v>
      </c>
    </row>
    <row r="1361" spans="29:41">
      <c r="AC1361" s="153" t="s">
        <v>52</v>
      </c>
      <c r="AD1361" s="153" t="s">
        <v>19</v>
      </c>
      <c r="AE1361" s="153" t="s">
        <v>72</v>
      </c>
      <c r="AF1361" s="153" t="s">
        <v>51</v>
      </c>
      <c r="AG1361" s="153" t="s">
        <v>103</v>
      </c>
      <c r="AH1361" s="153">
        <v>4.6278726141585871</v>
      </c>
      <c r="AJ1361" s="163" t="s">
        <v>52</v>
      </c>
      <c r="AK1361" s="163" t="s">
        <v>19</v>
      </c>
      <c r="AL1361" s="163" t="s">
        <v>28</v>
      </c>
      <c r="AM1361" s="163" t="s">
        <v>51</v>
      </c>
      <c r="AN1361" s="163" t="s">
        <v>195</v>
      </c>
      <c r="AO1361" s="163">
        <v>1.4843967805660399</v>
      </c>
    </row>
    <row r="1362" spans="29:41">
      <c r="AC1362" s="153" t="s">
        <v>52</v>
      </c>
      <c r="AD1362" s="153" t="s">
        <v>19</v>
      </c>
      <c r="AE1362" s="153" t="s">
        <v>72</v>
      </c>
      <c r="AF1362" s="153" t="s">
        <v>51</v>
      </c>
      <c r="AG1362" s="153" t="s">
        <v>104</v>
      </c>
      <c r="AH1362" s="153">
        <v>4.6393276238687271</v>
      </c>
      <c r="AJ1362" s="163" t="s">
        <v>52</v>
      </c>
      <c r="AK1362" s="163" t="s">
        <v>19</v>
      </c>
      <c r="AL1362" s="163" t="s">
        <v>28</v>
      </c>
      <c r="AM1362" s="163" t="s">
        <v>51</v>
      </c>
      <c r="AN1362" s="163" t="s">
        <v>196</v>
      </c>
      <c r="AO1362" s="163">
        <v>1.4548494506448555</v>
      </c>
    </row>
    <row r="1363" spans="29:41">
      <c r="AC1363" s="153" t="s">
        <v>52</v>
      </c>
      <c r="AD1363" s="153" t="s">
        <v>19</v>
      </c>
      <c r="AE1363" s="153" t="s">
        <v>72</v>
      </c>
      <c r="AF1363" s="153" t="s">
        <v>51</v>
      </c>
      <c r="AG1363" s="153" t="s">
        <v>105</v>
      </c>
      <c r="AH1363" s="153">
        <v>4.623303488160051</v>
      </c>
      <c r="AJ1363" s="163" t="s">
        <v>52</v>
      </c>
      <c r="AK1363" s="163" t="s">
        <v>19</v>
      </c>
      <c r="AL1363" s="163" t="s">
        <v>28</v>
      </c>
      <c r="AM1363" s="163" t="s">
        <v>51</v>
      </c>
      <c r="AN1363" s="163" t="s">
        <v>197</v>
      </c>
      <c r="AO1363" s="163">
        <v>1.4881603042196454</v>
      </c>
    </row>
    <row r="1364" spans="29:41">
      <c r="AC1364" s="153" t="s">
        <v>52</v>
      </c>
      <c r="AD1364" s="153" t="s">
        <v>19</v>
      </c>
      <c r="AE1364" s="153" t="s">
        <v>72</v>
      </c>
      <c r="AF1364" s="153" t="s">
        <v>51</v>
      </c>
      <c r="AG1364" s="153" t="s">
        <v>106</v>
      </c>
      <c r="AH1364" s="153">
        <v>4.5647651580417525</v>
      </c>
      <c r="AJ1364" s="163" t="s">
        <v>52</v>
      </c>
      <c r="AK1364" s="163" t="s">
        <v>19</v>
      </c>
      <c r="AL1364" s="163" t="s">
        <v>28</v>
      </c>
      <c r="AM1364" s="163" t="s">
        <v>51</v>
      </c>
      <c r="AN1364" s="163" t="s">
        <v>198</v>
      </c>
      <c r="AO1364" s="163">
        <v>1.4440887961320856</v>
      </c>
    </row>
    <row r="1365" spans="29:41">
      <c r="AC1365" s="153" t="s">
        <v>52</v>
      </c>
      <c r="AD1365" s="153" t="s">
        <v>19</v>
      </c>
      <c r="AE1365" s="153" t="s">
        <v>72</v>
      </c>
      <c r="AF1365" s="153" t="s">
        <v>51</v>
      </c>
      <c r="AG1365" s="153" t="s">
        <v>107</v>
      </c>
      <c r="AH1365" s="153">
        <v>4.61355243920144</v>
      </c>
      <c r="AJ1365" s="163" t="s">
        <v>52</v>
      </c>
      <c r="AK1365" s="163" t="s">
        <v>19</v>
      </c>
      <c r="AL1365" s="163" t="s">
        <v>28</v>
      </c>
      <c r="AM1365" s="163" t="s">
        <v>51</v>
      </c>
      <c r="AN1365" s="163" t="s">
        <v>199</v>
      </c>
      <c r="AO1365" s="163">
        <v>1.4075287501712803</v>
      </c>
    </row>
    <row r="1366" spans="29:41">
      <c r="AC1366" s="153" t="s">
        <v>52</v>
      </c>
      <c r="AD1366" s="153" t="s">
        <v>19</v>
      </c>
      <c r="AE1366" s="153" t="s">
        <v>72</v>
      </c>
      <c r="AF1366" s="153" t="s">
        <v>51</v>
      </c>
      <c r="AG1366" s="153" t="s">
        <v>99</v>
      </c>
      <c r="AH1366" s="153">
        <v>4.5590153608656223</v>
      </c>
      <c r="AJ1366" s="163" t="s">
        <v>52</v>
      </c>
      <c r="AK1366" s="163" t="s">
        <v>19</v>
      </c>
      <c r="AL1366" s="163" t="s">
        <v>28</v>
      </c>
      <c r="AM1366" s="163" t="s">
        <v>51</v>
      </c>
      <c r="AN1366" s="163" t="s">
        <v>200</v>
      </c>
      <c r="AO1366" s="163">
        <v>1.4972730625516655</v>
      </c>
    </row>
    <row r="1367" spans="29:41">
      <c r="AC1367" s="153" t="s">
        <v>52</v>
      </c>
      <c r="AD1367" s="153" t="s">
        <v>19</v>
      </c>
      <c r="AE1367" s="153" t="s">
        <v>72</v>
      </c>
      <c r="AF1367" s="153" t="s">
        <v>51</v>
      </c>
      <c r="AG1367" s="153" t="s">
        <v>108</v>
      </c>
      <c r="AH1367" s="153">
        <v>4.5244737897027454</v>
      </c>
      <c r="AJ1367" s="163" t="s">
        <v>52</v>
      </c>
      <c r="AK1367" s="163" t="s">
        <v>19</v>
      </c>
      <c r="AL1367" s="163" t="s">
        <v>28</v>
      </c>
      <c r="AM1367" s="163" t="s">
        <v>51</v>
      </c>
      <c r="AN1367" s="163" t="s">
        <v>201</v>
      </c>
      <c r="AO1367" s="163">
        <v>1.4498207626518271</v>
      </c>
    </row>
    <row r="1368" spans="29:41">
      <c r="AC1368" s="153" t="s">
        <v>52</v>
      </c>
      <c r="AD1368" s="153" t="s">
        <v>19</v>
      </c>
      <c r="AE1368" s="153" t="s">
        <v>72</v>
      </c>
      <c r="AF1368" s="153" t="s">
        <v>51</v>
      </c>
      <c r="AG1368" s="153" t="s">
        <v>109</v>
      </c>
      <c r="AH1368" s="153">
        <v>4.6020892685877657</v>
      </c>
      <c r="AJ1368" s="163" t="s">
        <v>52</v>
      </c>
      <c r="AK1368" s="163" t="s">
        <v>19</v>
      </c>
      <c r="AL1368" s="163" t="s">
        <v>28</v>
      </c>
      <c r="AM1368" s="163" t="s">
        <v>51</v>
      </c>
      <c r="AN1368" s="163" t="s">
        <v>202</v>
      </c>
      <c r="AO1368" s="163">
        <v>1.4252231382307401</v>
      </c>
    </row>
    <row r="1369" spans="29:41">
      <c r="AC1369" s="153" t="s">
        <v>52</v>
      </c>
      <c r="AD1369" s="153" t="s">
        <v>19</v>
      </c>
      <c r="AE1369" s="153" t="s">
        <v>72</v>
      </c>
      <c r="AF1369" s="153" t="s">
        <v>51</v>
      </c>
      <c r="AG1369" s="153" t="s">
        <v>110</v>
      </c>
      <c r="AH1369" s="153">
        <v>4.6307417564501678</v>
      </c>
      <c r="AJ1369" s="163" t="s">
        <v>52</v>
      </c>
      <c r="AK1369" s="163" t="s">
        <v>19</v>
      </c>
      <c r="AL1369" s="163" t="s">
        <v>28</v>
      </c>
      <c r="AM1369" s="163" t="s">
        <v>51</v>
      </c>
      <c r="AN1369" s="163" t="s">
        <v>203</v>
      </c>
      <c r="AO1369" s="163">
        <v>1.4880206003686269</v>
      </c>
    </row>
    <row r="1370" spans="29:41">
      <c r="AC1370" s="153" t="s">
        <v>52</v>
      </c>
      <c r="AD1370" s="153" t="s">
        <v>19</v>
      </c>
      <c r="AE1370" s="153" t="s">
        <v>72</v>
      </c>
      <c r="AF1370" s="153" t="s">
        <v>51</v>
      </c>
      <c r="AG1370" s="153" t="s">
        <v>98</v>
      </c>
      <c r="AH1370" s="153">
        <v>4.61355243920144</v>
      </c>
      <c r="AJ1370" s="163" t="s">
        <v>52</v>
      </c>
      <c r="AK1370" s="163" t="s">
        <v>19</v>
      </c>
      <c r="AL1370" s="163" t="s">
        <v>28</v>
      </c>
      <c r="AM1370" s="163" t="s">
        <v>51</v>
      </c>
      <c r="AN1370" s="163" t="s">
        <v>204</v>
      </c>
      <c r="AO1370" s="163">
        <v>1.5095993663904568</v>
      </c>
    </row>
    <row r="1371" spans="29:41">
      <c r="AC1371" s="153" t="s">
        <v>52</v>
      </c>
      <c r="AD1371" s="153" t="s">
        <v>19</v>
      </c>
      <c r="AE1371" s="153" t="s">
        <v>72</v>
      </c>
      <c r="AF1371" s="153" t="s">
        <v>51</v>
      </c>
      <c r="AG1371" s="153" t="s">
        <v>125</v>
      </c>
      <c r="AH1371" s="153">
        <v>4.6421801086296943</v>
      </c>
      <c r="AJ1371" s="163" t="s">
        <v>52</v>
      </c>
      <c r="AK1371" s="163" t="s">
        <v>19</v>
      </c>
      <c r="AL1371" s="163" t="s">
        <v>28</v>
      </c>
      <c r="AM1371" s="163" t="s">
        <v>51</v>
      </c>
      <c r="AN1371" s="163" t="s">
        <v>205</v>
      </c>
      <c r="AO1371" s="163">
        <v>1.4663819561525822</v>
      </c>
    </row>
    <row r="1372" spans="29:41">
      <c r="AC1372" s="153" t="s">
        <v>52</v>
      </c>
      <c r="AD1372" s="153" t="s">
        <v>19</v>
      </c>
      <c r="AE1372" s="153" t="s">
        <v>72</v>
      </c>
      <c r="AF1372" s="153" t="s">
        <v>51</v>
      </c>
      <c r="AG1372" s="153" t="s">
        <v>123</v>
      </c>
      <c r="AH1372" s="153">
        <v>4.5388826043032733</v>
      </c>
      <c r="AJ1372" s="163" t="s">
        <v>52</v>
      </c>
      <c r="AK1372" s="163" t="s">
        <v>19</v>
      </c>
      <c r="AL1372" s="163" t="s">
        <v>28</v>
      </c>
      <c r="AM1372" s="163" t="s">
        <v>51</v>
      </c>
      <c r="AN1372" s="163" t="s">
        <v>206</v>
      </c>
      <c r="AO1372" s="163">
        <v>1.467421874783301</v>
      </c>
    </row>
    <row r="1373" spans="29:41">
      <c r="AC1373" s="153" t="s">
        <v>52</v>
      </c>
      <c r="AD1373" s="153" t="s">
        <v>19</v>
      </c>
      <c r="AE1373" s="153" t="s">
        <v>72</v>
      </c>
      <c r="AF1373" s="153" t="s">
        <v>51</v>
      </c>
      <c r="AG1373" s="153" t="s">
        <v>126</v>
      </c>
      <c r="AH1373" s="153">
        <v>4.5391078806773386</v>
      </c>
      <c r="AJ1373" s="163" t="s">
        <v>52</v>
      </c>
      <c r="AK1373" s="163" t="s">
        <v>19</v>
      </c>
      <c r="AL1373" s="163" t="s">
        <v>28</v>
      </c>
      <c r="AM1373" s="163" t="s">
        <v>51</v>
      </c>
      <c r="AN1373" s="163" t="s">
        <v>207</v>
      </c>
      <c r="AO1373" s="163">
        <v>1.4021636048641268</v>
      </c>
    </row>
    <row r="1374" spans="29:41">
      <c r="AC1374" s="153" t="s">
        <v>52</v>
      </c>
      <c r="AD1374" s="153" t="s">
        <v>19</v>
      </c>
      <c r="AE1374" s="153" t="s">
        <v>72</v>
      </c>
      <c r="AF1374" s="153" t="s">
        <v>51</v>
      </c>
      <c r="AG1374" s="153" t="s">
        <v>127</v>
      </c>
      <c r="AH1374" s="153">
        <v>4.5360038074512801</v>
      </c>
      <c r="AJ1374" s="163" t="s">
        <v>52</v>
      </c>
      <c r="AK1374" s="163" t="s">
        <v>19</v>
      </c>
      <c r="AL1374" s="163" t="s">
        <v>28</v>
      </c>
      <c r="AM1374" s="163" t="s">
        <v>51</v>
      </c>
      <c r="AN1374" s="163" t="s">
        <v>208</v>
      </c>
      <c r="AO1374" s="163">
        <v>1.3996874898998775</v>
      </c>
    </row>
    <row r="1375" spans="29:41">
      <c r="AC1375" s="153" t="s">
        <v>52</v>
      </c>
      <c r="AD1375" s="153" t="s">
        <v>19</v>
      </c>
      <c r="AE1375" s="153" t="s">
        <v>72</v>
      </c>
      <c r="AF1375" s="153" t="s">
        <v>51</v>
      </c>
      <c r="AG1375" s="153" t="s">
        <v>128</v>
      </c>
      <c r="AH1375" s="153">
        <v>4.5331244999599418</v>
      </c>
      <c r="AJ1375" s="163" t="s">
        <v>52</v>
      </c>
      <c r="AK1375" s="163" t="s">
        <v>19</v>
      </c>
      <c r="AL1375" s="163" t="s">
        <v>28</v>
      </c>
      <c r="AM1375" s="163" t="s">
        <v>51</v>
      </c>
      <c r="AN1375" s="163" t="s">
        <v>209</v>
      </c>
      <c r="AO1375" s="163">
        <v>1.430331400554647</v>
      </c>
    </row>
    <row r="1376" spans="29:41">
      <c r="AC1376" s="153" t="s">
        <v>52</v>
      </c>
      <c r="AD1376" s="153" t="s">
        <v>19</v>
      </c>
      <c r="AE1376" s="153" t="s">
        <v>72</v>
      </c>
      <c r="AF1376" s="153" t="s">
        <v>51</v>
      </c>
      <c r="AG1376" s="153" t="s">
        <v>122</v>
      </c>
      <c r="AH1376" s="153">
        <v>4.5618946090091974</v>
      </c>
      <c r="AJ1376" s="163" t="s">
        <v>52</v>
      </c>
      <c r="AK1376" s="163" t="s">
        <v>19</v>
      </c>
      <c r="AL1376" s="163" t="s">
        <v>28</v>
      </c>
      <c r="AM1376" s="163" t="s">
        <v>51</v>
      </c>
      <c r="AN1376" s="163" t="s">
        <v>210</v>
      </c>
      <c r="AO1376" s="163">
        <v>1.4056997034252172</v>
      </c>
    </row>
    <row r="1377" spans="29:41">
      <c r="AC1377" s="153" t="s">
        <v>52</v>
      </c>
      <c r="AD1377" s="153" t="s">
        <v>19</v>
      </c>
      <c r="AE1377" s="153" t="s">
        <v>72</v>
      </c>
      <c r="AF1377" s="153" t="s">
        <v>51</v>
      </c>
      <c r="AG1377" s="153" t="s">
        <v>124</v>
      </c>
      <c r="AH1377" s="153">
        <v>4.4987637218053917</v>
      </c>
      <c r="AJ1377" s="163" t="s">
        <v>52</v>
      </c>
      <c r="AK1377" s="163" t="s">
        <v>19</v>
      </c>
      <c r="AL1377" s="163" t="s">
        <v>28</v>
      </c>
      <c r="AM1377" s="163" t="s">
        <v>51</v>
      </c>
      <c r="AN1377" s="163" t="s">
        <v>211</v>
      </c>
      <c r="AO1377" s="163">
        <v>1.3826046317307703</v>
      </c>
    </row>
    <row r="1378" spans="29:41">
      <c r="AC1378" s="153" t="s">
        <v>52</v>
      </c>
      <c r="AD1378" s="153" t="s">
        <v>19</v>
      </c>
      <c r="AE1378" s="153" t="s">
        <v>72</v>
      </c>
      <c r="AF1378" s="153" t="s">
        <v>51</v>
      </c>
      <c r="AG1378" s="153" t="s">
        <v>214</v>
      </c>
      <c r="AH1378" s="153">
        <v>4.455426331689484</v>
      </c>
      <c r="AJ1378" s="163" t="s">
        <v>52</v>
      </c>
      <c r="AK1378" s="163" t="s">
        <v>19</v>
      </c>
      <c r="AL1378" s="163" t="s">
        <v>28</v>
      </c>
      <c r="AM1378" s="163" t="s">
        <v>51</v>
      </c>
      <c r="AN1378" s="163" t="s">
        <v>212</v>
      </c>
      <c r="AO1378" s="163">
        <v>1.4364050910114474</v>
      </c>
    </row>
    <row r="1379" spans="29:41">
      <c r="AC1379" s="153" t="s">
        <v>52</v>
      </c>
      <c r="AD1379" s="153" t="s">
        <v>19</v>
      </c>
      <c r="AE1379" s="153" t="s">
        <v>72</v>
      </c>
      <c r="AF1379" s="153" t="s">
        <v>51</v>
      </c>
      <c r="AG1379" s="153" t="s">
        <v>218</v>
      </c>
      <c r="AH1379" s="153">
        <v>4.455426331689484</v>
      </c>
      <c r="AJ1379" s="163" t="s">
        <v>52</v>
      </c>
      <c r="AK1379" s="163" t="s">
        <v>19</v>
      </c>
      <c r="AL1379" s="163" t="s">
        <v>28</v>
      </c>
      <c r="AM1379" s="163" t="s">
        <v>51</v>
      </c>
      <c r="AN1379" s="163" t="s">
        <v>97</v>
      </c>
      <c r="AO1379" s="163">
        <v>1.4483115676875973</v>
      </c>
    </row>
    <row r="1380" spans="29:41">
      <c r="AC1380" s="153" t="s">
        <v>52</v>
      </c>
      <c r="AD1380" s="153" t="s">
        <v>19</v>
      </c>
      <c r="AE1380" s="153" t="s">
        <v>72</v>
      </c>
      <c r="AF1380" s="153" t="s">
        <v>51</v>
      </c>
      <c r="AG1380" s="153" t="s">
        <v>219</v>
      </c>
      <c r="AH1380" s="153">
        <v>4.51007164418104</v>
      </c>
      <c r="AJ1380" s="163" t="s">
        <v>52</v>
      </c>
      <c r="AK1380" s="163" t="s">
        <v>19</v>
      </c>
      <c r="AL1380" s="163" t="s">
        <v>28</v>
      </c>
      <c r="AM1380" s="163" t="s">
        <v>51</v>
      </c>
      <c r="AN1380" s="163" t="s">
        <v>95</v>
      </c>
      <c r="AO1380" s="163">
        <v>1.4221081738015604</v>
      </c>
    </row>
    <row r="1381" spans="29:41">
      <c r="AC1381" s="153" t="s">
        <v>52</v>
      </c>
      <c r="AD1381" s="153" t="s">
        <v>19</v>
      </c>
      <c r="AE1381" s="153" t="s">
        <v>72</v>
      </c>
      <c r="AF1381" s="153" t="s">
        <v>51</v>
      </c>
      <c r="AG1381" s="153" t="s">
        <v>220</v>
      </c>
      <c r="AH1381" s="153">
        <v>4.51007164418104</v>
      </c>
      <c r="AJ1381" s="163" t="s">
        <v>52</v>
      </c>
      <c r="AK1381" s="163" t="s">
        <v>19</v>
      </c>
      <c r="AL1381" s="163" t="s">
        <v>28</v>
      </c>
      <c r="AM1381" s="163" t="s">
        <v>51</v>
      </c>
      <c r="AN1381" s="163" t="s">
        <v>96</v>
      </c>
      <c r="AO1381" s="163">
        <v>1.3886466132010673</v>
      </c>
    </row>
    <row r="1382" spans="29:41">
      <c r="AC1382" s="153" t="s">
        <v>52</v>
      </c>
      <c r="AD1382" s="153" t="s">
        <v>19</v>
      </c>
      <c r="AE1382" s="153" t="s">
        <v>72</v>
      </c>
      <c r="AF1382" s="153" t="s">
        <v>51</v>
      </c>
      <c r="AG1382" s="153" t="s">
        <v>221</v>
      </c>
      <c r="AH1382" s="153">
        <v>4.5103008640814553</v>
      </c>
      <c r="AJ1382" s="163" t="s">
        <v>52</v>
      </c>
      <c r="AK1382" s="163" t="s">
        <v>19</v>
      </c>
      <c r="AL1382" s="163" t="s">
        <v>28</v>
      </c>
      <c r="AM1382" s="163" t="s">
        <v>51</v>
      </c>
      <c r="AN1382" s="163" t="s">
        <v>100</v>
      </c>
      <c r="AO1382" s="163">
        <v>1.5324256561702054</v>
      </c>
    </row>
    <row r="1383" spans="29:41">
      <c r="AC1383" s="153" t="s">
        <v>52</v>
      </c>
      <c r="AD1383" s="153" t="s">
        <v>19</v>
      </c>
      <c r="AE1383" s="153" t="s">
        <v>72</v>
      </c>
      <c r="AF1383" s="153" t="s">
        <v>51</v>
      </c>
      <c r="AG1383" s="153" t="s">
        <v>222</v>
      </c>
      <c r="AH1383" s="153">
        <v>4.5016487760545134</v>
      </c>
      <c r="AJ1383" s="163" t="s">
        <v>52</v>
      </c>
      <c r="AK1383" s="163" t="s">
        <v>19</v>
      </c>
      <c r="AL1383" s="163" t="s">
        <v>28</v>
      </c>
      <c r="AM1383" s="163" t="s">
        <v>51</v>
      </c>
      <c r="AN1383" s="163" t="s">
        <v>101</v>
      </c>
      <c r="AO1383" s="163">
        <v>1.5033319569337917</v>
      </c>
    </row>
    <row r="1384" spans="29:41">
      <c r="AC1384" s="153" t="s">
        <v>52</v>
      </c>
      <c r="AD1384" s="153" t="s">
        <v>19</v>
      </c>
      <c r="AE1384" s="153" t="s">
        <v>72</v>
      </c>
      <c r="AF1384" s="153" t="s">
        <v>51</v>
      </c>
      <c r="AG1384" s="153" t="s">
        <v>223</v>
      </c>
      <c r="AH1384" s="153">
        <v>4.4032686982864488</v>
      </c>
      <c r="AJ1384" s="163" t="s">
        <v>52</v>
      </c>
      <c r="AK1384" s="163" t="s">
        <v>19</v>
      </c>
      <c r="AL1384" s="163" t="s">
        <v>28</v>
      </c>
      <c r="AM1384" s="163" t="s">
        <v>51</v>
      </c>
      <c r="AN1384" s="163" t="s">
        <v>102</v>
      </c>
      <c r="AO1384" s="163">
        <v>1.5626154943854269</v>
      </c>
    </row>
    <row r="1385" spans="29:41">
      <c r="AC1385" s="153" t="s">
        <v>52</v>
      </c>
      <c r="AD1385" s="153" t="s">
        <v>19</v>
      </c>
      <c r="AE1385" s="153" t="s">
        <v>72</v>
      </c>
      <c r="AF1385" s="153" t="s">
        <v>51</v>
      </c>
      <c r="AG1385" s="153" t="s">
        <v>224</v>
      </c>
      <c r="AH1385" s="153">
        <v>4.4120162205622693</v>
      </c>
      <c r="AJ1385" s="78" t="s">
        <v>52</v>
      </c>
      <c r="AK1385" s="78" t="s">
        <v>19</v>
      </c>
      <c r="AL1385" s="78" t="s">
        <v>28</v>
      </c>
      <c r="AM1385" s="78" t="s">
        <v>51</v>
      </c>
      <c r="AN1385" s="78" t="s">
        <v>103</v>
      </c>
      <c r="AO1385" s="78">
        <v>1.5758798084377967</v>
      </c>
    </row>
    <row r="1386" spans="29:41">
      <c r="AC1386" s="153" t="s">
        <v>52</v>
      </c>
      <c r="AD1386" s="153" t="s">
        <v>19</v>
      </c>
      <c r="AE1386" s="153" t="s">
        <v>72</v>
      </c>
      <c r="AF1386" s="153" t="s">
        <v>51</v>
      </c>
      <c r="AG1386" s="153" t="s">
        <v>225</v>
      </c>
      <c r="AH1386" s="153">
        <v>4.3974630931963619</v>
      </c>
      <c r="AJ1386" s="78" t="s">
        <v>52</v>
      </c>
      <c r="AK1386" s="78" t="s">
        <v>19</v>
      </c>
      <c r="AL1386" s="78" t="s">
        <v>28</v>
      </c>
      <c r="AM1386" s="78" t="s">
        <v>51</v>
      </c>
      <c r="AN1386" s="78" t="s">
        <v>104</v>
      </c>
      <c r="AO1386" s="78">
        <v>1.4924131272430072</v>
      </c>
    </row>
    <row r="1387" spans="29:41">
      <c r="AC1387" s="153" t="s">
        <v>52</v>
      </c>
      <c r="AD1387" s="153" t="s">
        <v>19</v>
      </c>
      <c r="AE1387" s="153" t="s">
        <v>72</v>
      </c>
      <c r="AF1387" s="153" t="s">
        <v>51</v>
      </c>
      <c r="AG1387" s="153" t="s">
        <v>226</v>
      </c>
      <c r="AH1387" s="153">
        <v>4.4583190867639022</v>
      </c>
      <c r="AJ1387" s="78" t="s">
        <v>52</v>
      </c>
      <c r="AK1387" s="78" t="s">
        <v>19</v>
      </c>
      <c r="AL1387" s="78" t="s">
        <v>28</v>
      </c>
      <c r="AM1387" s="78" t="s">
        <v>51</v>
      </c>
      <c r="AN1387" s="78" t="s">
        <v>105</v>
      </c>
      <c r="AO1387" s="78">
        <v>1.4792233270269517</v>
      </c>
    </row>
    <row r="1388" spans="29:41">
      <c r="AC1388" s="153" t="s">
        <v>52</v>
      </c>
      <c r="AD1388" s="153" t="s">
        <v>19</v>
      </c>
      <c r="AE1388" s="153" t="s">
        <v>72</v>
      </c>
      <c r="AF1388" s="153" t="s">
        <v>51</v>
      </c>
      <c r="AG1388" s="153" t="s">
        <v>227</v>
      </c>
      <c r="AH1388" s="153">
        <v>4.53622948086214</v>
      </c>
      <c r="AJ1388" s="78" t="s">
        <v>52</v>
      </c>
      <c r="AK1388" s="78" t="s">
        <v>19</v>
      </c>
      <c r="AL1388" s="78" t="s">
        <v>28</v>
      </c>
      <c r="AM1388" s="78" t="s">
        <v>51</v>
      </c>
      <c r="AN1388" s="78" t="s">
        <v>106</v>
      </c>
      <c r="AO1388" s="78">
        <v>1.4566586050220325</v>
      </c>
    </row>
    <row r="1389" spans="29:41">
      <c r="AC1389" s="153" t="s">
        <v>52</v>
      </c>
      <c r="AD1389" s="153" t="s">
        <v>19</v>
      </c>
      <c r="AE1389" s="153" t="s">
        <v>72</v>
      </c>
      <c r="AF1389" s="153" t="s">
        <v>51</v>
      </c>
      <c r="AG1389" s="153" t="s">
        <v>228</v>
      </c>
      <c r="AH1389" s="153">
        <v>4.5649904911962729</v>
      </c>
      <c r="AJ1389" s="78" t="s">
        <v>52</v>
      </c>
      <c r="AK1389" s="78" t="s">
        <v>19</v>
      </c>
      <c r="AL1389" s="78" t="s">
        <v>28</v>
      </c>
      <c r="AM1389" s="78" t="s">
        <v>51</v>
      </c>
      <c r="AN1389" s="78" t="s">
        <v>107</v>
      </c>
      <c r="AO1389" s="78">
        <v>1.5483643137247298</v>
      </c>
    </row>
    <row r="1390" spans="29:41">
      <c r="AC1390" s="153" t="s">
        <v>52</v>
      </c>
      <c r="AD1390" s="153" t="s">
        <v>19</v>
      </c>
      <c r="AE1390" s="153" t="s">
        <v>72</v>
      </c>
      <c r="AF1390" s="153" t="s">
        <v>51</v>
      </c>
      <c r="AG1390" s="153" t="s">
        <v>229</v>
      </c>
      <c r="AH1390" s="153">
        <v>4.4987637218053917</v>
      </c>
      <c r="AJ1390" s="78" t="s">
        <v>52</v>
      </c>
      <c r="AK1390" s="78" t="s">
        <v>19</v>
      </c>
      <c r="AL1390" s="78" t="s">
        <v>28</v>
      </c>
      <c r="AM1390" s="78" t="s">
        <v>51</v>
      </c>
      <c r="AN1390" s="78" t="s">
        <v>99</v>
      </c>
      <c r="AO1390" s="78">
        <v>1.4947782656127222</v>
      </c>
    </row>
    <row r="1391" spans="29:41">
      <c r="AC1391" s="153" t="s">
        <v>52</v>
      </c>
      <c r="AD1391" s="153" t="s">
        <v>19</v>
      </c>
      <c r="AE1391" s="153" t="s">
        <v>72</v>
      </c>
      <c r="AF1391" s="153" t="s">
        <v>51</v>
      </c>
      <c r="AG1391" s="153" t="s">
        <v>216</v>
      </c>
      <c r="AH1391" s="153">
        <v>4.4728038259110665</v>
      </c>
      <c r="AJ1391" s="78" t="s">
        <v>52</v>
      </c>
      <c r="AK1391" s="78" t="s">
        <v>19</v>
      </c>
      <c r="AL1391" s="78" t="s">
        <v>28</v>
      </c>
      <c r="AM1391" s="78" t="s">
        <v>51</v>
      </c>
      <c r="AN1391" s="78" t="s">
        <v>108</v>
      </c>
      <c r="AO1391" s="78">
        <v>1.4736088385134953</v>
      </c>
    </row>
    <row r="1392" spans="29:41">
      <c r="AC1392" s="153" t="s">
        <v>52</v>
      </c>
      <c r="AD1392" s="153" t="s">
        <v>19</v>
      </c>
      <c r="AE1392" s="153" t="s">
        <v>72</v>
      </c>
      <c r="AF1392" s="153" t="s">
        <v>51</v>
      </c>
      <c r="AG1392" s="153" t="s">
        <v>230</v>
      </c>
      <c r="AH1392" s="153">
        <v>4.4380959133108595</v>
      </c>
      <c r="AJ1392" s="78" t="s">
        <v>52</v>
      </c>
      <c r="AK1392" s="78" t="s">
        <v>19</v>
      </c>
      <c r="AL1392" s="78" t="s">
        <v>28</v>
      </c>
      <c r="AM1392" s="78" t="s">
        <v>51</v>
      </c>
      <c r="AN1392" s="78" t="s">
        <v>109</v>
      </c>
      <c r="AO1392" s="78">
        <v>1.5318206661209262</v>
      </c>
    </row>
    <row r="1393" spans="29:41">
      <c r="AC1393" s="153" t="s">
        <v>52</v>
      </c>
      <c r="AD1393" s="153" t="s">
        <v>19</v>
      </c>
      <c r="AE1393" s="153" t="s">
        <v>72</v>
      </c>
      <c r="AF1393" s="153" t="s">
        <v>51</v>
      </c>
      <c r="AG1393" s="153" t="s">
        <v>231</v>
      </c>
      <c r="AH1393" s="153">
        <v>4.3364393474588088</v>
      </c>
      <c r="AJ1393" s="78" t="s">
        <v>52</v>
      </c>
      <c r="AK1393" s="78" t="s">
        <v>19</v>
      </c>
      <c r="AL1393" s="78" t="s">
        <v>28</v>
      </c>
      <c r="AM1393" s="78" t="s">
        <v>51</v>
      </c>
      <c r="AN1393" s="78" t="s">
        <v>110</v>
      </c>
      <c r="AO1393" s="78">
        <v>1.5897431671584479</v>
      </c>
    </row>
    <row r="1394" spans="29:41">
      <c r="AC1394" s="153" t="s">
        <v>52</v>
      </c>
      <c r="AD1394" s="153" t="s">
        <v>19</v>
      </c>
      <c r="AE1394" s="153" t="s">
        <v>72</v>
      </c>
      <c r="AF1394" s="153" t="s">
        <v>51</v>
      </c>
      <c r="AG1394" s="153" t="s">
        <v>232</v>
      </c>
      <c r="AH1394" s="153">
        <v>4.4525330623629999</v>
      </c>
      <c r="AJ1394" s="78" t="s">
        <v>52</v>
      </c>
      <c r="AK1394" s="78" t="s">
        <v>19</v>
      </c>
      <c r="AL1394" s="78" t="s">
        <v>28</v>
      </c>
      <c r="AM1394" s="78" t="s">
        <v>51</v>
      </c>
      <c r="AN1394" s="78" t="s">
        <v>98</v>
      </c>
      <c r="AO1394" s="78">
        <v>1.5862801648354699</v>
      </c>
    </row>
    <row r="1395" spans="29:41">
      <c r="AC1395" s="153" t="s">
        <v>52</v>
      </c>
      <c r="AD1395" s="153" t="s">
        <v>19</v>
      </c>
      <c r="AE1395" s="153" t="s">
        <v>72</v>
      </c>
      <c r="AF1395" s="153" t="s">
        <v>51</v>
      </c>
      <c r="AG1395" s="153" t="s">
        <v>215</v>
      </c>
      <c r="AH1395" s="153">
        <v>4.4814426272411128</v>
      </c>
      <c r="AJ1395" s="78" t="s">
        <v>52</v>
      </c>
      <c r="AK1395" s="78" t="s">
        <v>19</v>
      </c>
      <c r="AL1395" s="78" t="s">
        <v>28</v>
      </c>
      <c r="AM1395" s="78" t="s">
        <v>51</v>
      </c>
      <c r="AN1395" s="78" t="s">
        <v>125</v>
      </c>
      <c r="AO1395" s="78">
        <v>1.6406557497822147</v>
      </c>
    </row>
    <row r="1396" spans="29:41">
      <c r="AC1396" s="153" t="s">
        <v>52</v>
      </c>
      <c r="AD1396" s="153" t="s">
        <v>19</v>
      </c>
      <c r="AE1396" s="153" t="s">
        <v>72</v>
      </c>
      <c r="AF1396" s="153" t="s">
        <v>51</v>
      </c>
      <c r="AG1396" s="153" t="s">
        <v>217</v>
      </c>
      <c r="AH1396" s="153">
        <v>4.5074173470845675</v>
      </c>
      <c r="AJ1396" s="78" t="s">
        <v>52</v>
      </c>
      <c r="AK1396" s="78" t="s">
        <v>19</v>
      </c>
      <c r="AL1396" s="78" t="s">
        <v>28</v>
      </c>
      <c r="AM1396" s="78" t="s">
        <v>51</v>
      </c>
      <c r="AN1396" s="78" t="s">
        <v>123</v>
      </c>
      <c r="AO1396" s="78">
        <v>1.530075174887463</v>
      </c>
    </row>
    <row r="1397" spans="29:41">
      <c r="AC1397" s="153" t="s">
        <v>52</v>
      </c>
      <c r="AD1397" s="153" t="s">
        <v>19</v>
      </c>
      <c r="AE1397" s="153" t="s">
        <v>72</v>
      </c>
      <c r="AF1397" s="153" t="s">
        <v>51</v>
      </c>
      <c r="AG1397" s="153" t="s">
        <v>237</v>
      </c>
      <c r="AH1397" s="153">
        <v>4.4525665640015335</v>
      </c>
      <c r="AJ1397" s="78" t="s">
        <v>52</v>
      </c>
      <c r="AK1397" s="78" t="s">
        <v>19</v>
      </c>
      <c r="AL1397" s="78" t="s">
        <v>28</v>
      </c>
      <c r="AM1397" s="78" t="s">
        <v>51</v>
      </c>
      <c r="AN1397" s="78" t="s">
        <v>126</v>
      </c>
      <c r="AO1397" s="78">
        <v>1.5622258993268487</v>
      </c>
    </row>
    <row r="1398" spans="29:41">
      <c r="AC1398" s="153" t="s">
        <v>52</v>
      </c>
      <c r="AD1398" s="153" t="s">
        <v>19</v>
      </c>
      <c r="AE1398" s="153" t="s">
        <v>72</v>
      </c>
      <c r="AF1398" s="153" t="s">
        <v>51</v>
      </c>
      <c r="AG1398" s="153" t="s">
        <v>238</v>
      </c>
      <c r="AH1398" s="153">
        <v>4.4987637218053917</v>
      </c>
      <c r="AJ1398" s="78" t="s">
        <v>52</v>
      </c>
      <c r="AK1398" s="78" t="s">
        <v>19</v>
      </c>
      <c r="AL1398" s="78" t="s">
        <v>28</v>
      </c>
      <c r="AM1398" s="78" t="s">
        <v>51</v>
      </c>
      <c r="AN1398" s="78" t="s">
        <v>127</v>
      </c>
      <c r="AO1398" s="78">
        <v>1.5659764368811495</v>
      </c>
    </row>
    <row r="1399" spans="29:41">
      <c r="AC1399" s="153" t="s">
        <v>52</v>
      </c>
      <c r="AD1399" s="153" t="s">
        <v>19</v>
      </c>
      <c r="AE1399" s="153" t="s">
        <v>72</v>
      </c>
      <c r="AF1399" s="153" t="s">
        <v>51</v>
      </c>
      <c r="AG1399" s="153" t="s">
        <v>239</v>
      </c>
      <c r="AH1399" s="153">
        <v>4.4641030545879552</v>
      </c>
      <c r="AJ1399" s="78" t="s">
        <v>52</v>
      </c>
      <c r="AK1399" s="78" t="s">
        <v>19</v>
      </c>
      <c r="AL1399" s="78" t="s">
        <v>28</v>
      </c>
      <c r="AM1399" s="78" t="s">
        <v>51</v>
      </c>
      <c r="AN1399" s="78" t="s">
        <v>128</v>
      </c>
      <c r="AO1399" s="78">
        <v>1.5379078120626815</v>
      </c>
    </row>
    <row r="1400" spans="29:41">
      <c r="AC1400" s="153" t="s">
        <v>52</v>
      </c>
      <c r="AD1400" s="153" t="s">
        <v>19</v>
      </c>
      <c r="AE1400" s="153" t="s">
        <v>72</v>
      </c>
      <c r="AF1400" s="153" t="s">
        <v>51</v>
      </c>
      <c r="AG1400" s="153" t="s">
        <v>240</v>
      </c>
      <c r="AH1400" s="153">
        <v>4.4929920752998243</v>
      </c>
      <c r="AJ1400" s="78" t="s">
        <v>52</v>
      </c>
      <c r="AK1400" s="78" t="s">
        <v>19</v>
      </c>
      <c r="AL1400" s="78" t="s">
        <v>28</v>
      </c>
      <c r="AM1400" s="78" t="s">
        <v>51</v>
      </c>
      <c r="AN1400" s="78" t="s">
        <v>122</v>
      </c>
      <c r="AO1400" s="78">
        <v>1.5674490622056676</v>
      </c>
    </row>
    <row r="1401" spans="29:41">
      <c r="AC1401" s="153" t="s">
        <v>52</v>
      </c>
      <c r="AD1401" s="153" t="s">
        <v>19</v>
      </c>
      <c r="AE1401" s="153" t="s">
        <v>72</v>
      </c>
      <c r="AF1401" s="153" t="s">
        <v>51</v>
      </c>
      <c r="AG1401" s="153" t="s">
        <v>241</v>
      </c>
      <c r="AH1401" s="153">
        <v>4.4583190867639022</v>
      </c>
      <c r="AJ1401" s="78" t="s">
        <v>52</v>
      </c>
      <c r="AK1401" s="78" t="s">
        <v>19</v>
      </c>
      <c r="AL1401" s="78" t="s">
        <v>28</v>
      </c>
      <c r="AM1401" s="78" t="s">
        <v>51</v>
      </c>
      <c r="AN1401" s="78" t="s">
        <v>124</v>
      </c>
      <c r="AO1401" s="78">
        <v>1.5832555958430223</v>
      </c>
    </row>
    <row r="1402" spans="29:41">
      <c r="AC1402" s="153" t="s">
        <v>52</v>
      </c>
      <c r="AD1402" s="153" t="s">
        <v>19</v>
      </c>
      <c r="AE1402" s="153" t="s">
        <v>72</v>
      </c>
      <c r="AF1402" s="153" t="s">
        <v>51</v>
      </c>
      <c r="AG1402" s="153" t="s">
        <v>242</v>
      </c>
      <c r="AH1402" s="153">
        <v>4.4323040413094947</v>
      </c>
      <c r="AJ1402" s="78" t="s">
        <v>52</v>
      </c>
      <c r="AK1402" s="78" t="s">
        <v>19</v>
      </c>
      <c r="AL1402" s="78" t="s">
        <v>28</v>
      </c>
      <c r="AM1402" s="78" t="s">
        <v>51</v>
      </c>
      <c r="AN1402" s="78" t="s">
        <v>214</v>
      </c>
      <c r="AO1402" s="78">
        <v>1.5694674483282143</v>
      </c>
    </row>
    <row r="1403" spans="29:41">
      <c r="AC1403" s="153" t="s">
        <v>52</v>
      </c>
      <c r="AD1403" s="153" t="s">
        <v>19</v>
      </c>
      <c r="AE1403" s="153" t="s">
        <v>72</v>
      </c>
      <c r="AF1403" s="153" t="s">
        <v>51</v>
      </c>
      <c r="AG1403" s="153" t="s">
        <v>243</v>
      </c>
      <c r="AH1403" s="153">
        <v>4.4756648239621484</v>
      </c>
      <c r="AJ1403" s="78" t="s">
        <v>52</v>
      </c>
      <c r="AK1403" s="78" t="s">
        <v>19</v>
      </c>
      <c r="AL1403" s="78" t="s">
        <v>28</v>
      </c>
      <c r="AM1403" s="78" t="s">
        <v>51</v>
      </c>
      <c r="AN1403" s="78" t="s">
        <v>218</v>
      </c>
      <c r="AO1403" s="78">
        <v>1.4961696200166943</v>
      </c>
    </row>
    <row r="1404" spans="29:41">
      <c r="AC1404" s="153" t="s">
        <v>52</v>
      </c>
      <c r="AD1404" s="153" t="s">
        <v>19</v>
      </c>
      <c r="AE1404" s="153" t="s">
        <v>72</v>
      </c>
      <c r="AF1404" s="153" t="s">
        <v>51</v>
      </c>
      <c r="AG1404" s="153" t="s">
        <v>244</v>
      </c>
      <c r="AH1404" s="153">
        <v>4.409072238564514</v>
      </c>
      <c r="AJ1404" s="78" t="s">
        <v>52</v>
      </c>
      <c r="AK1404" s="78" t="s">
        <v>19</v>
      </c>
      <c r="AL1404" s="78" t="s">
        <v>28</v>
      </c>
      <c r="AM1404" s="78" t="s">
        <v>51</v>
      </c>
      <c r="AN1404" s="78" t="s">
        <v>219</v>
      </c>
      <c r="AO1404" s="78">
        <v>1.50116015970054</v>
      </c>
    </row>
    <row r="1405" spans="29:41">
      <c r="AC1405" s="153" t="s">
        <v>52</v>
      </c>
      <c r="AD1405" s="153" t="s">
        <v>19</v>
      </c>
      <c r="AE1405" s="153" t="s">
        <v>72</v>
      </c>
      <c r="AF1405" s="153" t="s">
        <v>51</v>
      </c>
      <c r="AG1405" s="153" t="s">
        <v>245</v>
      </c>
      <c r="AH1405" s="153">
        <v>4.4380589981556735</v>
      </c>
      <c r="AJ1405" s="78" t="s">
        <v>52</v>
      </c>
      <c r="AK1405" s="78" t="s">
        <v>19</v>
      </c>
      <c r="AL1405" s="78" t="s">
        <v>28</v>
      </c>
      <c r="AM1405" s="78" t="s">
        <v>51</v>
      </c>
      <c r="AN1405" s="78" t="s">
        <v>220</v>
      </c>
      <c r="AO1405" s="78">
        <v>1.5381067942008002</v>
      </c>
    </row>
    <row r="1406" spans="29:41">
      <c r="AC1406" s="153" t="s">
        <v>52</v>
      </c>
      <c r="AD1406" s="153" t="s">
        <v>19</v>
      </c>
      <c r="AE1406" s="153" t="s">
        <v>72</v>
      </c>
      <c r="AF1406" s="153" t="s">
        <v>51</v>
      </c>
      <c r="AG1406" s="153" t="s">
        <v>246</v>
      </c>
      <c r="AH1406" s="153">
        <v>4.4351626410420213</v>
      </c>
      <c r="AJ1406" s="78" t="s">
        <v>52</v>
      </c>
      <c r="AK1406" s="78" t="s">
        <v>19</v>
      </c>
      <c r="AL1406" s="78" t="s">
        <v>28</v>
      </c>
      <c r="AM1406" s="78" t="s">
        <v>51</v>
      </c>
      <c r="AN1406" s="78" t="s">
        <v>221</v>
      </c>
      <c r="AO1406" s="78">
        <v>1.5867989608319952</v>
      </c>
    </row>
    <row r="1407" spans="29:41">
      <c r="AC1407" s="153" t="s">
        <v>52</v>
      </c>
      <c r="AD1407" s="153" t="s">
        <v>19</v>
      </c>
      <c r="AE1407" s="153" t="s">
        <v>72</v>
      </c>
      <c r="AF1407" s="153" t="s">
        <v>51</v>
      </c>
      <c r="AG1407" s="153" t="s">
        <v>247</v>
      </c>
      <c r="AH1407" s="153">
        <v>4.426470479208465</v>
      </c>
      <c r="AJ1407" s="78" t="s">
        <v>52</v>
      </c>
      <c r="AK1407" s="78" t="s">
        <v>19</v>
      </c>
      <c r="AL1407" s="78" t="s">
        <v>28</v>
      </c>
      <c r="AM1407" s="78" t="s">
        <v>51</v>
      </c>
      <c r="AN1407" s="78" t="s">
        <v>222</v>
      </c>
      <c r="AO1407" s="78">
        <v>1.5263484054436036</v>
      </c>
    </row>
    <row r="1408" spans="29:41">
      <c r="AC1408" s="153" t="s">
        <v>52</v>
      </c>
      <c r="AD1408" s="153" t="s">
        <v>19</v>
      </c>
      <c r="AE1408" s="153" t="s">
        <v>72</v>
      </c>
      <c r="AF1408" s="153" t="s">
        <v>51</v>
      </c>
      <c r="AG1408" s="153" t="s">
        <v>248</v>
      </c>
      <c r="AH1408" s="153">
        <v>4.455426331689484</v>
      </c>
      <c r="AJ1408" s="78" t="s">
        <v>52</v>
      </c>
      <c r="AK1408" s="78" t="s">
        <v>19</v>
      </c>
      <c r="AL1408" s="78" t="s">
        <v>28</v>
      </c>
      <c r="AM1408" s="78" t="s">
        <v>51</v>
      </c>
      <c r="AN1408" s="78" t="s">
        <v>223</v>
      </c>
      <c r="AO1408" s="78">
        <v>1.5138169190748885</v>
      </c>
    </row>
    <row r="1409" spans="29:41">
      <c r="AC1409" s="153" t="s">
        <v>52</v>
      </c>
      <c r="AD1409" s="153" t="s">
        <v>19</v>
      </c>
      <c r="AE1409" s="153" t="s">
        <v>72</v>
      </c>
      <c r="AF1409" s="153" t="s">
        <v>51</v>
      </c>
      <c r="AG1409" s="153" t="s">
        <v>249</v>
      </c>
      <c r="AH1409" s="153">
        <v>4.5129550406413994</v>
      </c>
      <c r="AJ1409" s="78" t="s">
        <v>52</v>
      </c>
      <c r="AK1409" s="78" t="s">
        <v>19</v>
      </c>
      <c r="AL1409" s="78" t="s">
        <v>28</v>
      </c>
      <c r="AM1409" s="78" t="s">
        <v>51</v>
      </c>
      <c r="AN1409" s="78" t="s">
        <v>224</v>
      </c>
      <c r="AO1409" s="78">
        <v>1.5256729721524496</v>
      </c>
    </row>
    <row r="1410" spans="29:41">
      <c r="AC1410" s="153" t="s">
        <v>52</v>
      </c>
      <c r="AD1410" s="153" t="s">
        <v>19</v>
      </c>
      <c r="AE1410" s="153" t="s">
        <v>72</v>
      </c>
      <c r="AF1410" s="153" t="s">
        <v>51</v>
      </c>
      <c r="AG1410" s="153" t="s">
        <v>250</v>
      </c>
      <c r="AH1410" s="153">
        <v>4.4698849666991043</v>
      </c>
      <c r="AJ1410" s="78" t="s">
        <v>52</v>
      </c>
      <c r="AK1410" s="78" t="s">
        <v>19</v>
      </c>
      <c r="AL1410" s="78" t="s">
        <v>28</v>
      </c>
      <c r="AM1410" s="78" t="s">
        <v>51</v>
      </c>
      <c r="AN1410" s="78" t="s">
        <v>225</v>
      </c>
      <c r="AO1410" s="78">
        <v>1.4559144262989019</v>
      </c>
    </row>
    <row r="1411" spans="29:41">
      <c r="AC1411" s="153" t="s">
        <v>52</v>
      </c>
      <c r="AD1411" s="153" t="s">
        <v>19</v>
      </c>
      <c r="AE1411" s="153" t="s">
        <v>72</v>
      </c>
      <c r="AF1411" s="153" t="s">
        <v>51</v>
      </c>
      <c r="AG1411" s="153" t="s">
        <v>251</v>
      </c>
      <c r="AH1411" s="153">
        <v>4.4756928033917305</v>
      </c>
      <c r="AJ1411" s="78" t="s">
        <v>52</v>
      </c>
      <c r="AK1411" s="78" t="s">
        <v>19</v>
      </c>
      <c r="AL1411" s="78" t="s">
        <v>28</v>
      </c>
      <c r="AM1411" s="78" t="s">
        <v>51</v>
      </c>
      <c r="AN1411" s="78" t="s">
        <v>226</v>
      </c>
      <c r="AO1411" s="78">
        <v>1.4960357389686323</v>
      </c>
    </row>
    <row r="1412" spans="29:41">
      <c r="AC1412" s="153" t="s">
        <v>52</v>
      </c>
      <c r="AD1412" s="153" t="s">
        <v>19</v>
      </c>
      <c r="AE1412" s="153" t="s">
        <v>72</v>
      </c>
      <c r="AF1412" s="153" t="s">
        <v>51</v>
      </c>
      <c r="AG1412" s="153" t="s">
        <v>252</v>
      </c>
      <c r="AH1412" s="153">
        <v>4.4612113276937526</v>
      </c>
      <c r="AJ1412" s="78" t="s">
        <v>52</v>
      </c>
      <c r="AK1412" s="78" t="s">
        <v>19</v>
      </c>
      <c r="AL1412" s="78" t="s">
        <v>28</v>
      </c>
      <c r="AM1412" s="78" t="s">
        <v>51</v>
      </c>
      <c r="AN1412" s="78" t="s">
        <v>227</v>
      </c>
      <c r="AO1412" s="78">
        <v>1.6004859486082403</v>
      </c>
    </row>
    <row r="1413" spans="29:41">
      <c r="AC1413" s="153" t="s">
        <v>52</v>
      </c>
      <c r="AD1413" s="153" t="s">
        <v>19</v>
      </c>
      <c r="AE1413" s="153" t="s">
        <v>72</v>
      </c>
      <c r="AF1413" s="153" t="s">
        <v>51</v>
      </c>
      <c r="AG1413" s="153" t="s">
        <v>253</v>
      </c>
      <c r="AH1413" s="153">
        <v>4.4959012413987631</v>
      </c>
      <c r="AJ1413" s="78" t="s">
        <v>52</v>
      </c>
      <c r="AK1413" s="78" t="s">
        <v>19</v>
      </c>
      <c r="AL1413" s="78" t="s">
        <v>28</v>
      </c>
      <c r="AM1413" s="78" t="s">
        <v>51</v>
      </c>
      <c r="AN1413" s="78" t="s">
        <v>228</v>
      </c>
      <c r="AO1413" s="78">
        <v>1.6053321986226832</v>
      </c>
    </row>
    <row r="1414" spans="29:41">
      <c r="AC1414" s="153" t="s">
        <v>52</v>
      </c>
      <c r="AD1414" s="153" t="s">
        <v>19</v>
      </c>
      <c r="AE1414" s="153" t="s">
        <v>72</v>
      </c>
      <c r="AF1414" s="153" t="s">
        <v>51</v>
      </c>
      <c r="AG1414" s="153" t="s">
        <v>254</v>
      </c>
      <c r="AH1414" s="153">
        <v>4.4612427672344044</v>
      </c>
      <c r="AJ1414" s="78" t="s">
        <v>52</v>
      </c>
      <c r="AK1414" s="78" t="s">
        <v>19</v>
      </c>
      <c r="AL1414" s="78" t="s">
        <v>28</v>
      </c>
      <c r="AM1414" s="78" t="s">
        <v>51</v>
      </c>
      <c r="AN1414" s="78" t="s">
        <v>229</v>
      </c>
      <c r="AO1414" s="78">
        <v>1.6088783459839722</v>
      </c>
    </row>
    <row r="1415" spans="29:41">
      <c r="AC1415" s="153" t="s">
        <v>52</v>
      </c>
      <c r="AD1415" s="153" t="s">
        <v>19</v>
      </c>
      <c r="AE1415" s="153" t="s">
        <v>72</v>
      </c>
      <c r="AF1415" s="153" t="s">
        <v>51</v>
      </c>
      <c r="AG1415" s="153" t="s">
        <v>255</v>
      </c>
      <c r="AH1415" s="153">
        <v>4.3975094107446839</v>
      </c>
      <c r="AJ1415" s="78" t="s">
        <v>52</v>
      </c>
      <c r="AK1415" s="78" t="s">
        <v>19</v>
      </c>
      <c r="AL1415" s="78" t="s">
        <v>28</v>
      </c>
      <c r="AM1415" s="78" t="s">
        <v>51</v>
      </c>
      <c r="AN1415" s="78" t="s">
        <v>216</v>
      </c>
      <c r="AO1415" s="78">
        <v>1.6129364462859768</v>
      </c>
    </row>
    <row r="1416" spans="29:41">
      <c r="AC1416" s="153" t="s">
        <v>52</v>
      </c>
      <c r="AD1416" s="153" t="s">
        <v>19</v>
      </c>
      <c r="AE1416" s="153" t="s">
        <v>72</v>
      </c>
      <c r="AF1416" s="153" t="s">
        <v>51</v>
      </c>
      <c r="AG1416" s="153" t="s">
        <v>256</v>
      </c>
      <c r="AH1416" s="153">
        <v>4.4872435678189095</v>
      </c>
      <c r="AJ1416" s="78" t="s">
        <v>52</v>
      </c>
      <c r="AK1416" s="78" t="s">
        <v>19</v>
      </c>
      <c r="AL1416" s="78" t="s">
        <v>28</v>
      </c>
      <c r="AM1416" s="78" t="s">
        <v>51</v>
      </c>
      <c r="AN1416" s="78" t="s">
        <v>230</v>
      </c>
      <c r="AO1416" s="78">
        <v>1.6036155245444501</v>
      </c>
    </row>
    <row r="1417" spans="29:41">
      <c r="AC1417" s="153" t="s">
        <v>52</v>
      </c>
      <c r="AD1417" s="153" t="s">
        <v>19</v>
      </c>
      <c r="AE1417" s="153" t="s">
        <v>72</v>
      </c>
      <c r="AF1417" s="153" t="s">
        <v>51</v>
      </c>
      <c r="AG1417" s="153" t="s">
        <v>257</v>
      </c>
      <c r="AH1417" s="153">
        <v>4.481469214488631</v>
      </c>
      <c r="AJ1417" s="78" t="s">
        <v>52</v>
      </c>
      <c r="AK1417" s="78" t="s">
        <v>19</v>
      </c>
      <c r="AL1417" s="78" t="s">
        <v>28</v>
      </c>
      <c r="AM1417" s="78" t="s">
        <v>51</v>
      </c>
      <c r="AN1417" s="78" t="s">
        <v>231</v>
      </c>
      <c r="AO1417" s="78">
        <v>1.5463958364041586</v>
      </c>
    </row>
    <row r="1418" spans="29:41">
      <c r="AC1418" s="153" t="s">
        <v>52</v>
      </c>
      <c r="AD1418" s="153" t="s">
        <v>19</v>
      </c>
      <c r="AE1418" s="153" t="s">
        <v>72</v>
      </c>
      <c r="AF1418" s="153" t="s">
        <v>51</v>
      </c>
      <c r="AG1418" s="153" t="s">
        <v>258</v>
      </c>
      <c r="AH1418" s="153">
        <v>4.3539112876651567</v>
      </c>
      <c r="AJ1418" s="78" t="s">
        <v>52</v>
      </c>
      <c r="AK1418" s="78" t="s">
        <v>19</v>
      </c>
      <c r="AL1418" s="78" t="s">
        <v>28</v>
      </c>
      <c r="AM1418" s="78" t="s">
        <v>51</v>
      </c>
      <c r="AN1418" s="78" t="s">
        <v>232</v>
      </c>
      <c r="AO1418" s="78">
        <v>1.5444561912014796</v>
      </c>
    </row>
    <row r="1419" spans="29:41">
      <c r="AC1419" s="153" t="s">
        <v>52</v>
      </c>
      <c r="AD1419" s="153" t="s">
        <v>19</v>
      </c>
      <c r="AE1419" s="153" t="s">
        <v>72</v>
      </c>
      <c r="AF1419" s="153" t="s">
        <v>51</v>
      </c>
      <c r="AG1419" s="153" t="s">
        <v>259</v>
      </c>
      <c r="AH1419" s="153">
        <v>4.3160254782800767</v>
      </c>
      <c r="AJ1419" s="78" t="s">
        <v>52</v>
      </c>
      <c r="AK1419" s="78" t="s">
        <v>19</v>
      </c>
      <c r="AL1419" s="78" t="s">
        <v>28</v>
      </c>
      <c r="AM1419" s="78" t="s">
        <v>51</v>
      </c>
      <c r="AN1419" s="78" t="s">
        <v>215</v>
      </c>
      <c r="AO1419" s="78">
        <v>1.5696483810938424</v>
      </c>
    </row>
    <row r="1420" spans="29:41">
      <c r="AC1420" s="153" t="s">
        <v>52</v>
      </c>
      <c r="AD1420" s="153" t="s">
        <v>19</v>
      </c>
      <c r="AE1420" s="153" t="s">
        <v>72</v>
      </c>
      <c r="AF1420" s="153" t="s">
        <v>51</v>
      </c>
      <c r="AG1420" s="153" t="s">
        <v>260</v>
      </c>
      <c r="AH1420" s="153">
        <v>4.2194971642154622</v>
      </c>
      <c r="AJ1420" s="78" t="s">
        <v>52</v>
      </c>
      <c r="AK1420" s="78" t="s">
        <v>19</v>
      </c>
      <c r="AL1420" s="78" t="s">
        <v>28</v>
      </c>
      <c r="AM1420" s="78" t="s">
        <v>51</v>
      </c>
      <c r="AN1420" s="78" t="s">
        <v>217</v>
      </c>
      <c r="AO1420" s="78">
        <v>1.5988716159090279</v>
      </c>
    </row>
    <row r="1421" spans="29:41">
      <c r="AC1421" s="153" t="s">
        <v>52</v>
      </c>
      <c r="AD1421" s="153" t="s">
        <v>19</v>
      </c>
      <c r="AE1421" s="153" t="s">
        <v>72</v>
      </c>
      <c r="AF1421" s="153" t="s">
        <v>51</v>
      </c>
      <c r="AG1421" s="153" t="s">
        <v>261</v>
      </c>
      <c r="AH1421" s="153">
        <v>4.1851226297877071</v>
      </c>
      <c r="AJ1421" s="78" t="s">
        <v>52</v>
      </c>
      <c r="AK1421" s="78" t="s">
        <v>19</v>
      </c>
      <c r="AL1421" s="78" t="s">
        <v>28</v>
      </c>
      <c r="AM1421" s="78" t="s">
        <v>51</v>
      </c>
      <c r="AN1421" s="78" t="s">
        <v>237</v>
      </c>
      <c r="AO1421" s="78">
        <v>1.5394851350453029</v>
      </c>
    </row>
    <row r="1422" spans="29:41">
      <c r="AC1422" s="153" t="s">
        <v>52</v>
      </c>
      <c r="AD1422" s="153" t="s">
        <v>19</v>
      </c>
      <c r="AE1422" s="153" t="s">
        <v>72</v>
      </c>
      <c r="AF1422" s="153" t="s">
        <v>51</v>
      </c>
      <c r="AG1422" s="153" t="s">
        <v>262</v>
      </c>
      <c r="AH1422" s="153">
        <v>4.2429503753802189</v>
      </c>
      <c r="AJ1422" s="78" t="s">
        <v>52</v>
      </c>
      <c r="AK1422" s="78" t="s">
        <v>19</v>
      </c>
      <c r="AL1422" s="78" t="s">
        <v>28</v>
      </c>
      <c r="AM1422" s="78" t="s">
        <v>51</v>
      </c>
      <c r="AN1422" s="78" t="s">
        <v>238</v>
      </c>
      <c r="AO1422" s="78">
        <v>1.5643166815713219</v>
      </c>
    </row>
    <row r="1423" spans="29:41">
      <c r="AC1423" s="153" t="s">
        <v>52</v>
      </c>
      <c r="AD1423" s="153" t="s">
        <v>19</v>
      </c>
      <c r="AE1423" s="153" t="s">
        <v>72</v>
      </c>
      <c r="AF1423" s="153" t="s">
        <v>51</v>
      </c>
      <c r="AG1423" s="153" t="s">
        <v>263</v>
      </c>
      <c r="AH1423" s="153">
        <v>4.2692951008456594</v>
      </c>
      <c r="AJ1423" s="78" t="s">
        <v>52</v>
      </c>
      <c r="AK1423" s="78" t="s">
        <v>19</v>
      </c>
      <c r="AL1423" s="78" t="s">
        <v>28</v>
      </c>
      <c r="AM1423" s="78" t="s">
        <v>51</v>
      </c>
      <c r="AN1423" s="78" t="s">
        <v>239</v>
      </c>
      <c r="AO1423" s="78">
        <v>1.5544230883033849</v>
      </c>
    </row>
    <row r="1424" spans="29:41">
      <c r="AC1424" s="153" t="s">
        <v>52</v>
      </c>
      <c r="AD1424" s="153" t="s">
        <v>19</v>
      </c>
      <c r="AE1424" s="153" t="s">
        <v>72</v>
      </c>
      <c r="AF1424" s="153" t="s">
        <v>51</v>
      </c>
      <c r="AG1424" s="153" t="s">
        <v>264</v>
      </c>
      <c r="AH1424" s="153">
        <v>4.2663700054349984</v>
      </c>
      <c r="AJ1424" s="78" t="s">
        <v>52</v>
      </c>
      <c r="AK1424" s="78" t="s">
        <v>19</v>
      </c>
      <c r="AL1424" s="78" t="s">
        <v>28</v>
      </c>
      <c r="AM1424" s="78" t="s">
        <v>51</v>
      </c>
      <c r="AN1424" s="78" t="s">
        <v>240</v>
      </c>
      <c r="AO1424" s="78">
        <v>1.5570989307087846</v>
      </c>
    </row>
    <row r="1425" spans="29:41">
      <c r="AC1425" s="153" t="s">
        <v>52</v>
      </c>
      <c r="AD1425" s="153" t="s">
        <v>19</v>
      </c>
      <c r="AE1425" s="153" t="s">
        <v>72</v>
      </c>
      <c r="AF1425" s="153" t="s">
        <v>51</v>
      </c>
      <c r="AG1425" s="153" t="s">
        <v>265</v>
      </c>
      <c r="AH1425" s="153">
        <v>4.2663700054349984</v>
      </c>
      <c r="AJ1425" s="78" t="s">
        <v>52</v>
      </c>
      <c r="AK1425" s="78" t="s">
        <v>19</v>
      </c>
      <c r="AL1425" s="78" t="s">
        <v>28</v>
      </c>
      <c r="AM1425" s="78" t="s">
        <v>51</v>
      </c>
      <c r="AN1425" s="78" t="s">
        <v>241</v>
      </c>
      <c r="AO1425" s="78">
        <v>1.5533296629840925</v>
      </c>
    </row>
    <row r="1426" spans="29:41">
      <c r="AC1426" s="153" t="s">
        <v>52</v>
      </c>
      <c r="AD1426" s="153" t="s">
        <v>19</v>
      </c>
      <c r="AE1426" s="153" t="s">
        <v>72</v>
      </c>
      <c r="AF1426" s="153" t="s">
        <v>51</v>
      </c>
      <c r="AG1426" s="153" t="s">
        <v>266</v>
      </c>
      <c r="AH1426" s="153">
        <v>4.3247809909932062</v>
      </c>
      <c r="AJ1426" s="78" t="s">
        <v>52</v>
      </c>
      <c r="AK1426" s="78" t="s">
        <v>19</v>
      </c>
      <c r="AL1426" s="78" t="s">
        <v>28</v>
      </c>
      <c r="AM1426" s="78" t="s">
        <v>51</v>
      </c>
      <c r="AN1426" s="78" t="s">
        <v>242</v>
      </c>
      <c r="AO1426" s="78">
        <v>1.5535296140184649</v>
      </c>
    </row>
    <row r="1427" spans="29:41">
      <c r="AC1427" s="153" t="s">
        <v>52</v>
      </c>
      <c r="AD1427" s="153" t="s">
        <v>19</v>
      </c>
      <c r="AE1427" s="153" t="s">
        <v>72</v>
      </c>
      <c r="AF1427" s="153" t="s">
        <v>51</v>
      </c>
      <c r="AG1427" s="153" t="s">
        <v>267</v>
      </c>
      <c r="AH1427" s="153">
        <v>4.2517366688896017</v>
      </c>
      <c r="AJ1427" s="78" t="s">
        <v>52</v>
      </c>
      <c r="AK1427" s="78" t="s">
        <v>19</v>
      </c>
      <c r="AL1427" s="78" t="s">
        <v>28</v>
      </c>
      <c r="AM1427" s="78" t="s">
        <v>51</v>
      </c>
      <c r="AN1427" s="78" t="s">
        <v>243</v>
      </c>
      <c r="AO1427" s="78">
        <v>1.5571021012936688</v>
      </c>
    </row>
    <row r="1428" spans="29:41">
      <c r="AC1428" s="153" t="s">
        <v>52</v>
      </c>
      <c r="AD1428" s="153" t="s">
        <v>19</v>
      </c>
      <c r="AE1428" s="153" t="s">
        <v>72</v>
      </c>
      <c r="AF1428" s="153" t="s">
        <v>51</v>
      </c>
      <c r="AG1428" s="153" t="s">
        <v>268</v>
      </c>
      <c r="AH1428" s="153">
        <v>4.1871940628292794</v>
      </c>
      <c r="AJ1428" s="78" t="s">
        <v>52</v>
      </c>
      <c r="AK1428" s="78" t="s">
        <v>19</v>
      </c>
      <c r="AL1428" s="78" t="s">
        <v>28</v>
      </c>
      <c r="AM1428" s="78" t="s">
        <v>51</v>
      </c>
      <c r="AN1428" s="78" t="s">
        <v>244</v>
      </c>
      <c r="AO1428" s="78">
        <v>1.5063208864614437</v>
      </c>
    </row>
    <row r="1429" spans="29:41">
      <c r="AC1429" s="153" t="s">
        <v>52</v>
      </c>
      <c r="AD1429" s="153" t="s">
        <v>19</v>
      </c>
      <c r="AE1429" s="153" t="s">
        <v>72</v>
      </c>
      <c r="AF1429" s="153" t="s">
        <v>51</v>
      </c>
      <c r="AG1429" s="153" t="s">
        <v>269</v>
      </c>
      <c r="AH1429" s="153">
        <v>4.1842542585809461</v>
      </c>
      <c r="AJ1429" s="78" t="s">
        <v>52</v>
      </c>
      <c r="AK1429" s="78" t="s">
        <v>19</v>
      </c>
      <c r="AL1429" s="78" t="s">
        <v>28</v>
      </c>
      <c r="AM1429" s="78" t="s">
        <v>51</v>
      </c>
      <c r="AN1429" s="78" t="s">
        <v>245</v>
      </c>
      <c r="AO1429" s="78">
        <v>1.5053360090075938</v>
      </c>
    </row>
    <row r="1430" spans="29:41">
      <c r="AC1430" s="153" t="s">
        <v>52</v>
      </c>
      <c r="AD1430" s="153" t="s">
        <v>19</v>
      </c>
      <c r="AE1430" s="153" t="s">
        <v>72</v>
      </c>
      <c r="AF1430" s="153" t="s">
        <v>51</v>
      </c>
      <c r="AG1430" s="153" t="s">
        <v>270</v>
      </c>
      <c r="AH1430" s="153">
        <v>4.2136286077206035</v>
      </c>
      <c r="AJ1430" s="78" t="s">
        <v>52</v>
      </c>
      <c r="AK1430" s="78" t="s">
        <v>19</v>
      </c>
      <c r="AL1430" s="78" t="s">
        <v>28</v>
      </c>
      <c r="AM1430" s="78" t="s">
        <v>51</v>
      </c>
      <c r="AN1430" s="78" t="s">
        <v>246</v>
      </c>
      <c r="AO1430" s="78">
        <v>1.5196980580876915</v>
      </c>
    </row>
    <row r="1431" spans="29:41">
      <c r="AC1431" s="153" t="s">
        <v>52</v>
      </c>
      <c r="AD1431" s="153" t="s">
        <v>19</v>
      </c>
      <c r="AE1431" s="153" t="s">
        <v>72</v>
      </c>
      <c r="AF1431" s="153" t="s">
        <v>51</v>
      </c>
      <c r="AG1431" s="153" t="s">
        <v>271</v>
      </c>
      <c r="AH1431" s="153">
        <v>4.2868346793109513</v>
      </c>
      <c r="AJ1431" s="78" t="s">
        <v>52</v>
      </c>
      <c r="AK1431" s="78" t="s">
        <v>19</v>
      </c>
      <c r="AL1431" s="78" t="s">
        <v>28</v>
      </c>
      <c r="AM1431" s="78" t="s">
        <v>51</v>
      </c>
      <c r="AN1431" s="78" t="s">
        <v>247</v>
      </c>
      <c r="AO1431" s="78">
        <v>1.518465411891015</v>
      </c>
    </row>
    <row r="1432" spans="29:41">
      <c r="AC1432" s="153" t="s">
        <v>52</v>
      </c>
      <c r="AD1432" s="153" t="s">
        <v>19</v>
      </c>
      <c r="AE1432" s="153" t="s">
        <v>72</v>
      </c>
      <c r="AF1432" s="153" t="s">
        <v>51</v>
      </c>
      <c r="AG1432" s="153" t="s">
        <v>272</v>
      </c>
      <c r="AH1432" s="153">
        <v>4.3160254782800767</v>
      </c>
      <c r="AJ1432" s="78" t="s">
        <v>52</v>
      </c>
      <c r="AK1432" s="78" t="s">
        <v>19</v>
      </c>
      <c r="AL1432" s="78" t="s">
        <v>28</v>
      </c>
      <c r="AM1432" s="78" t="s">
        <v>51</v>
      </c>
      <c r="AN1432" s="78" t="s">
        <v>248</v>
      </c>
      <c r="AO1432" s="78">
        <v>1.4642154198381139</v>
      </c>
    </row>
    <row r="1433" spans="29:41">
      <c r="AC1433" s="153" t="s">
        <v>52</v>
      </c>
      <c r="AD1433" s="153" t="s">
        <v>19</v>
      </c>
      <c r="AE1433" s="153" t="s">
        <v>72</v>
      </c>
      <c r="AF1433" s="153" t="s">
        <v>51</v>
      </c>
      <c r="AG1433" s="153" t="s">
        <v>273</v>
      </c>
      <c r="AH1433" s="153">
        <v>4.280990246513638</v>
      </c>
      <c r="AJ1433" s="78" t="s">
        <v>52</v>
      </c>
      <c r="AK1433" s="78" t="s">
        <v>19</v>
      </c>
      <c r="AL1433" s="78" t="s">
        <v>28</v>
      </c>
      <c r="AM1433" s="78" t="s">
        <v>51</v>
      </c>
      <c r="AN1433" s="78" t="s">
        <v>249</v>
      </c>
      <c r="AO1433" s="78">
        <v>1.5202928794831194</v>
      </c>
    </row>
    <row r="1434" spans="29:41">
      <c r="AC1434" s="153" t="s">
        <v>52</v>
      </c>
      <c r="AD1434" s="153" t="s">
        <v>19</v>
      </c>
      <c r="AE1434" s="153" t="s">
        <v>72</v>
      </c>
      <c r="AF1434" s="153" t="s">
        <v>51</v>
      </c>
      <c r="AG1434" s="153" t="s">
        <v>274</v>
      </c>
      <c r="AH1434" s="153">
        <v>4.2780672452720152</v>
      </c>
      <c r="AJ1434" s="78" t="s">
        <v>52</v>
      </c>
      <c r="AK1434" s="78" t="s">
        <v>19</v>
      </c>
      <c r="AL1434" s="78" t="s">
        <v>28</v>
      </c>
      <c r="AM1434" s="78" t="s">
        <v>51</v>
      </c>
      <c r="AN1434" s="78" t="s">
        <v>250</v>
      </c>
      <c r="AO1434" s="78">
        <v>1.5752650274788345</v>
      </c>
    </row>
    <row r="1435" spans="29:41">
      <c r="AC1435" s="153" t="s">
        <v>52</v>
      </c>
      <c r="AD1435" s="153" t="s">
        <v>19</v>
      </c>
      <c r="AE1435" s="153" t="s">
        <v>72</v>
      </c>
      <c r="AF1435" s="153" t="s">
        <v>51</v>
      </c>
      <c r="AG1435" s="153" t="s">
        <v>275</v>
      </c>
      <c r="AH1435" s="153">
        <v>4.2780672452720152</v>
      </c>
      <c r="AJ1435" s="78" t="s">
        <v>52</v>
      </c>
      <c r="AK1435" s="78" t="s">
        <v>19</v>
      </c>
      <c r="AL1435" s="78" t="s">
        <v>28</v>
      </c>
      <c r="AM1435" s="78" t="s">
        <v>51</v>
      </c>
      <c r="AN1435" s="78" t="s">
        <v>251</v>
      </c>
      <c r="AO1435" s="78">
        <v>1.6394046015192107</v>
      </c>
    </row>
    <row r="1436" spans="29:41">
      <c r="AC1436" s="153" t="s">
        <v>52</v>
      </c>
      <c r="AD1436" s="153" t="s">
        <v>19</v>
      </c>
      <c r="AE1436" s="153" t="s">
        <v>72</v>
      </c>
      <c r="AF1436" s="153" t="s">
        <v>51</v>
      </c>
      <c r="AG1436" s="153" t="s">
        <v>276</v>
      </c>
      <c r="AH1436" s="153">
        <v>4.2985172692523879</v>
      </c>
      <c r="AJ1436" s="78" t="s">
        <v>52</v>
      </c>
      <c r="AK1436" s="78" t="s">
        <v>19</v>
      </c>
      <c r="AL1436" s="78" t="s">
        <v>28</v>
      </c>
      <c r="AM1436" s="78" t="s">
        <v>51</v>
      </c>
      <c r="AN1436" s="78" t="s">
        <v>252</v>
      </c>
      <c r="AO1436" s="78">
        <v>1.5463465675954722</v>
      </c>
    </row>
    <row r="1437" spans="29:41">
      <c r="AC1437" s="153" t="s">
        <v>52</v>
      </c>
      <c r="AD1437" s="153" t="s">
        <v>19</v>
      </c>
      <c r="AE1437" s="153" t="s">
        <v>72</v>
      </c>
      <c r="AF1437" s="153" t="s">
        <v>51</v>
      </c>
      <c r="AG1437" s="153" t="s">
        <v>277</v>
      </c>
      <c r="AH1437" s="153">
        <v>4.2312279709849516</v>
      </c>
      <c r="AJ1437" s="78" t="s">
        <v>52</v>
      </c>
      <c r="AK1437" s="78" t="s">
        <v>19</v>
      </c>
      <c r="AL1437" s="78" t="s">
        <v>28</v>
      </c>
      <c r="AM1437" s="78" t="s">
        <v>51</v>
      </c>
      <c r="AN1437" s="78" t="s">
        <v>253</v>
      </c>
      <c r="AO1437" s="78">
        <v>1.6364660197752334</v>
      </c>
    </row>
    <row r="1438" spans="29:41">
      <c r="AC1438" s="153" t="s">
        <v>52</v>
      </c>
      <c r="AD1438" s="153" t="s">
        <v>19</v>
      </c>
      <c r="AE1438" s="153" t="s">
        <v>72</v>
      </c>
      <c r="AF1438" s="153" t="s">
        <v>51</v>
      </c>
      <c r="AG1438" s="153" t="s">
        <v>278</v>
      </c>
      <c r="AH1438" s="153">
        <v>4.324772535098508</v>
      </c>
      <c r="AJ1438" s="78" t="s">
        <v>52</v>
      </c>
      <c r="AK1438" s="78" t="s">
        <v>19</v>
      </c>
      <c r="AL1438" s="78" t="s">
        <v>28</v>
      </c>
      <c r="AM1438" s="78" t="s">
        <v>51</v>
      </c>
      <c r="AN1438" s="78" t="s">
        <v>254</v>
      </c>
      <c r="AO1438" s="78">
        <v>1.5877477107979443</v>
      </c>
    </row>
    <row r="1439" spans="29:41">
      <c r="AC1439" s="153" t="s">
        <v>52</v>
      </c>
      <c r="AD1439" s="153" t="s">
        <v>19</v>
      </c>
      <c r="AE1439" s="153" t="s">
        <v>72</v>
      </c>
      <c r="AF1439" s="153" t="s">
        <v>51</v>
      </c>
      <c r="AG1439" s="153" t="s">
        <v>279</v>
      </c>
      <c r="AH1439" s="153">
        <v>4.3858946468589499</v>
      </c>
      <c r="AJ1439" s="78" t="s">
        <v>52</v>
      </c>
      <c r="AK1439" s="78" t="s">
        <v>19</v>
      </c>
      <c r="AL1439" s="78" t="s">
        <v>28</v>
      </c>
      <c r="AM1439" s="78" t="s">
        <v>51</v>
      </c>
      <c r="AN1439" s="78" t="s">
        <v>255</v>
      </c>
      <c r="AO1439" s="78">
        <v>1.5262399020456543</v>
      </c>
    </row>
    <row r="1440" spans="29:41">
      <c r="AC1440" s="153" t="s">
        <v>52</v>
      </c>
      <c r="AD1440" s="153" t="s">
        <v>19</v>
      </c>
      <c r="AE1440" s="153" t="s">
        <v>72</v>
      </c>
      <c r="AF1440" s="153" t="s">
        <v>51</v>
      </c>
      <c r="AG1440" s="153" t="s">
        <v>280</v>
      </c>
      <c r="AH1440" s="153">
        <v>4.3829896610860253</v>
      </c>
      <c r="AJ1440" s="78" t="s">
        <v>52</v>
      </c>
      <c r="AK1440" s="78" t="s">
        <v>19</v>
      </c>
      <c r="AL1440" s="78" t="s">
        <v>28</v>
      </c>
      <c r="AM1440" s="78" t="s">
        <v>51</v>
      </c>
      <c r="AN1440" s="78" t="s">
        <v>256</v>
      </c>
      <c r="AO1440" s="78">
        <v>1.5884929234855298</v>
      </c>
    </row>
    <row r="1441" spans="29:41">
      <c r="AC1441" s="153" t="s">
        <v>52</v>
      </c>
      <c r="AD1441" s="153" t="s">
        <v>19</v>
      </c>
      <c r="AE1441" s="153" t="s">
        <v>72</v>
      </c>
      <c r="AF1441" s="153" t="s">
        <v>51</v>
      </c>
      <c r="AG1441" s="153" t="s">
        <v>281</v>
      </c>
      <c r="AH1441" s="153">
        <v>4.3771781350109968</v>
      </c>
      <c r="AJ1441" s="78" t="s">
        <v>52</v>
      </c>
      <c r="AK1441" s="78" t="s">
        <v>19</v>
      </c>
      <c r="AL1441" s="78" t="s">
        <v>28</v>
      </c>
      <c r="AM1441" s="78" t="s">
        <v>51</v>
      </c>
      <c r="AN1441" s="78" t="s">
        <v>257</v>
      </c>
      <c r="AO1441" s="78">
        <v>1.6268344009366407</v>
      </c>
    </row>
    <row r="1442" spans="29:41">
      <c r="AC1442" s="153" t="s">
        <v>52</v>
      </c>
      <c r="AD1442" s="153" t="s">
        <v>19</v>
      </c>
      <c r="AE1442" s="153" t="s">
        <v>72</v>
      </c>
      <c r="AF1442" s="153" t="s">
        <v>51</v>
      </c>
      <c r="AG1442" s="153" t="s">
        <v>282</v>
      </c>
      <c r="AH1442" s="153">
        <v>4.4033136866892715</v>
      </c>
      <c r="AJ1442" s="78" t="s">
        <v>52</v>
      </c>
      <c r="AK1442" s="78" t="s">
        <v>19</v>
      </c>
      <c r="AL1442" s="78" t="s">
        <v>28</v>
      </c>
      <c r="AM1442" s="78" t="s">
        <v>51</v>
      </c>
      <c r="AN1442" s="78" t="s">
        <v>258</v>
      </c>
      <c r="AO1442" s="78">
        <v>1.541459706240867</v>
      </c>
    </row>
    <row r="1443" spans="29:41">
      <c r="AC1443" s="153" t="s">
        <v>52</v>
      </c>
      <c r="AD1443" s="153" t="s">
        <v>19</v>
      </c>
      <c r="AE1443" s="153" t="s">
        <v>72</v>
      </c>
      <c r="AF1443" s="153" t="s">
        <v>51</v>
      </c>
      <c r="AG1443" s="153" t="s">
        <v>283</v>
      </c>
      <c r="AH1443" s="153">
        <v>4.4323040413094947</v>
      </c>
      <c r="AJ1443" s="78" t="s">
        <v>52</v>
      </c>
      <c r="AK1443" s="78" t="s">
        <v>19</v>
      </c>
      <c r="AL1443" s="78" t="s">
        <v>28</v>
      </c>
      <c r="AM1443" s="78" t="s">
        <v>51</v>
      </c>
      <c r="AN1443" s="78" t="s">
        <v>259</v>
      </c>
      <c r="AO1443" s="78">
        <v>1.514126672131227</v>
      </c>
    </row>
    <row r="1444" spans="29:41">
      <c r="AC1444" s="153" t="s">
        <v>52</v>
      </c>
      <c r="AD1444" s="153" t="s">
        <v>19</v>
      </c>
      <c r="AE1444" s="153" t="s">
        <v>72</v>
      </c>
      <c r="AF1444" s="153" t="s">
        <v>51</v>
      </c>
      <c r="AG1444" s="153" t="s">
        <v>284</v>
      </c>
      <c r="AH1444" s="153">
        <v>4.4206731281571114</v>
      </c>
      <c r="AJ1444" s="78" t="s">
        <v>52</v>
      </c>
      <c r="AK1444" s="78" t="s">
        <v>19</v>
      </c>
      <c r="AL1444" s="78" t="s">
        <v>28</v>
      </c>
      <c r="AM1444" s="78" t="s">
        <v>51</v>
      </c>
      <c r="AN1444" s="78" t="s">
        <v>260</v>
      </c>
      <c r="AO1444" s="78">
        <v>1.4410869371845925</v>
      </c>
    </row>
    <row r="1445" spans="29:41">
      <c r="AC1445" s="153" t="s">
        <v>52</v>
      </c>
      <c r="AD1445" s="153" t="s">
        <v>19</v>
      </c>
      <c r="AE1445" s="153" t="s">
        <v>72</v>
      </c>
      <c r="AF1445" s="153" t="s">
        <v>51</v>
      </c>
      <c r="AG1445" s="153" t="s">
        <v>285</v>
      </c>
      <c r="AH1445" s="153">
        <v>4.5131838688757515</v>
      </c>
      <c r="AJ1445" s="78" t="s">
        <v>52</v>
      </c>
      <c r="AK1445" s="78" t="s">
        <v>19</v>
      </c>
      <c r="AL1445" s="78" t="s">
        <v>28</v>
      </c>
      <c r="AM1445" s="78" t="s">
        <v>51</v>
      </c>
      <c r="AN1445" s="78" t="s">
        <v>261</v>
      </c>
      <c r="AO1445" s="78">
        <v>1.4554891746166569</v>
      </c>
    </row>
    <row r="1446" spans="29:41">
      <c r="AC1446" s="153" t="s">
        <v>52</v>
      </c>
      <c r="AD1446" s="153" t="s">
        <v>19</v>
      </c>
      <c r="AE1446" s="153" t="s">
        <v>72</v>
      </c>
      <c r="AF1446" s="153" t="s">
        <v>51</v>
      </c>
      <c r="AG1446" s="153" t="s">
        <v>286</v>
      </c>
      <c r="AH1446" s="153">
        <v>4.501418384745314</v>
      </c>
      <c r="AJ1446" s="78" t="s">
        <v>52</v>
      </c>
      <c r="AK1446" s="78" t="s">
        <v>19</v>
      </c>
      <c r="AL1446" s="78" t="s">
        <v>28</v>
      </c>
      <c r="AM1446" s="78" t="s">
        <v>51</v>
      </c>
      <c r="AN1446" s="78" t="s">
        <v>262</v>
      </c>
      <c r="AO1446" s="78">
        <v>1.4695291518239186</v>
      </c>
    </row>
    <row r="1447" spans="29:41">
      <c r="AC1447" s="153" t="s">
        <v>52</v>
      </c>
      <c r="AD1447" s="153" t="s">
        <v>19</v>
      </c>
      <c r="AE1447" s="153" t="s">
        <v>72</v>
      </c>
      <c r="AF1447" s="153" t="s">
        <v>51</v>
      </c>
      <c r="AG1447" s="153" t="s">
        <v>287</v>
      </c>
      <c r="AH1447" s="153">
        <v>4.4985329412233339</v>
      </c>
      <c r="AJ1447" s="78" t="s">
        <v>52</v>
      </c>
      <c r="AK1447" s="78" t="s">
        <v>19</v>
      </c>
      <c r="AL1447" s="78" t="s">
        <v>28</v>
      </c>
      <c r="AM1447" s="78" t="s">
        <v>51</v>
      </c>
      <c r="AN1447" s="78" t="s">
        <v>263</v>
      </c>
      <c r="AO1447" s="78">
        <v>1.5122630148957799</v>
      </c>
    </row>
    <row r="1448" spans="29:41">
      <c r="AC1448" s="153" t="s">
        <v>52</v>
      </c>
      <c r="AD1448" s="153" t="s">
        <v>19</v>
      </c>
      <c r="AE1448" s="153" t="s">
        <v>72</v>
      </c>
      <c r="AF1448" s="153" t="s">
        <v>51</v>
      </c>
      <c r="AG1448" s="153" t="s">
        <v>288</v>
      </c>
      <c r="AH1448" s="153">
        <v>4.4927605179685131</v>
      </c>
      <c r="AJ1448" s="78" t="s">
        <v>52</v>
      </c>
      <c r="AK1448" s="78" t="s">
        <v>19</v>
      </c>
      <c r="AL1448" s="78" t="s">
        <v>28</v>
      </c>
      <c r="AM1448" s="78" t="s">
        <v>51</v>
      </c>
      <c r="AN1448" s="78" t="s">
        <v>264</v>
      </c>
      <c r="AO1448" s="78">
        <v>1.4962672480040489</v>
      </c>
    </row>
    <row r="1449" spans="29:41">
      <c r="AC1449" s="153" t="s">
        <v>52</v>
      </c>
      <c r="AD1449" s="153" t="s">
        <v>19</v>
      </c>
      <c r="AE1449" s="153" t="s">
        <v>72</v>
      </c>
      <c r="AF1449" s="153" t="s">
        <v>51</v>
      </c>
      <c r="AG1449" s="153" t="s">
        <v>289</v>
      </c>
      <c r="AH1449" s="153">
        <v>4.4929920752998243</v>
      </c>
      <c r="AJ1449" s="78" t="s">
        <v>52</v>
      </c>
      <c r="AK1449" s="78" t="s">
        <v>19</v>
      </c>
      <c r="AL1449" s="78" t="s">
        <v>28</v>
      </c>
      <c r="AM1449" s="78" t="s">
        <v>51</v>
      </c>
      <c r="AN1449" s="78" t="s">
        <v>265</v>
      </c>
      <c r="AO1449" s="78">
        <v>1.4515006334280287</v>
      </c>
    </row>
    <row r="1450" spans="29:41">
      <c r="AC1450" s="153" t="s">
        <v>52</v>
      </c>
      <c r="AD1450" s="153" t="s">
        <v>19</v>
      </c>
      <c r="AE1450" s="153" t="s">
        <v>72</v>
      </c>
      <c r="AF1450" s="153" t="s">
        <v>51</v>
      </c>
      <c r="AG1450" s="153" t="s">
        <v>290</v>
      </c>
      <c r="AH1450" s="153">
        <v>4.4525330623629999</v>
      </c>
      <c r="AJ1450" s="78" t="s">
        <v>52</v>
      </c>
      <c r="AK1450" s="78" t="s">
        <v>19</v>
      </c>
      <c r="AL1450" s="78" t="s">
        <v>28</v>
      </c>
      <c r="AM1450" s="78" t="s">
        <v>51</v>
      </c>
      <c r="AN1450" s="78" t="s">
        <v>266</v>
      </c>
      <c r="AO1450" s="78">
        <v>1.5082134749238463</v>
      </c>
    </row>
    <row r="1451" spans="29:41">
      <c r="AC1451" s="153" t="s">
        <v>52</v>
      </c>
      <c r="AD1451" s="153" t="s">
        <v>19</v>
      </c>
      <c r="AE1451" s="153" t="s">
        <v>72</v>
      </c>
      <c r="AF1451" s="153" t="s">
        <v>51</v>
      </c>
      <c r="AG1451" s="153" t="s">
        <v>291</v>
      </c>
      <c r="AH1451" s="153">
        <v>4.5678637845748948</v>
      </c>
      <c r="AJ1451" s="78" t="s">
        <v>52</v>
      </c>
      <c r="AK1451" s="78" t="s">
        <v>19</v>
      </c>
      <c r="AL1451" s="78" t="s">
        <v>28</v>
      </c>
      <c r="AM1451" s="78" t="s">
        <v>51</v>
      </c>
      <c r="AN1451" s="78" t="s">
        <v>267</v>
      </c>
      <c r="AO1451" s="78">
        <v>1.4625367288352016</v>
      </c>
    </row>
    <row r="1452" spans="29:41">
      <c r="AC1452" s="153" t="s">
        <v>52</v>
      </c>
      <c r="AD1452" s="153" t="s">
        <v>19</v>
      </c>
      <c r="AE1452" s="153" t="s">
        <v>72</v>
      </c>
      <c r="AF1452" s="153" t="s">
        <v>51</v>
      </c>
      <c r="AG1452" s="153" t="s">
        <v>292</v>
      </c>
      <c r="AH1452" s="153">
        <v>4.5333505698116854</v>
      </c>
      <c r="AJ1452" s="78" t="s">
        <v>52</v>
      </c>
      <c r="AK1452" s="78" t="s">
        <v>19</v>
      </c>
      <c r="AL1452" s="78" t="s">
        <v>28</v>
      </c>
      <c r="AM1452" s="78" t="s">
        <v>51</v>
      </c>
      <c r="AN1452" s="78" t="s">
        <v>268</v>
      </c>
      <c r="AO1452" s="78">
        <v>1.4790904801177798</v>
      </c>
    </row>
    <row r="1453" spans="29:41">
      <c r="AC1453" s="153" t="s">
        <v>52</v>
      </c>
      <c r="AD1453" s="153" t="s">
        <v>19</v>
      </c>
      <c r="AE1453" s="153" t="s">
        <v>72</v>
      </c>
      <c r="AF1453" s="153" t="s">
        <v>51</v>
      </c>
      <c r="AG1453" s="153" t="s">
        <v>293</v>
      </c>
      <c r="AH1453" s="153">
        <v>4.4987637218053917</v>
      </c>
      <c r="AJ1453" s="78" t="s">
        <v>52</v>
      </c>
      <c r="AK1453" s="78" t="s">
        <v>19</v>
      </c>
      <c r="AL1453" s="78" t="s">
        <v>28</v>
      </c>
      <c r="AM1453" s="78" t="s">
        <v>51</v>
      </c>
      <c r="AN1453" s="78" t="s">
        <v>269</v>
      </c>
      <c r="AO1453" s="78">
        <v>1.4538103358457659</v>
      </c>
    </row>
    <row r="1454" spans="29:41">
      <c r="AC1454" s="153" t="s">
        <v>52</v>
      </c>
      <c r="AD1454" s="153" t="s">
        <v>19</v>
      </c>
      <c r="AE1454" s="153" t="s">
        <v>72</v>
      </c>
      <c r="AF1454" s="153" t="s">
        <v>51</v>
      </c>
      <c r="AG1454" s="153" t="s">
        <v>294</v>
      </c>
      <c r="AH1454" s="153">
        <v>4.4958781549225408</v>
      </c>
      <c r="AJ1454" s="78" t="s">
        <v>52</v>
      </c>
      <c r="AK1454" s="78" t="s">
        <v>19</v>
      </c>
      <c r="AL1454" s="78" t="s">
        <v>28</v>
      </c>
      <c r="AM1454" s="78" t="s">
        <v>51</v>
      </c>
      <c r="AN1454" s="78" t="s">
        <v>270</v>
      </c>
      <c r="AO1454" s="78">
        <v>1.4801557729994834</v>
      </c>
    </row>
    <row r="1455" spans="29:41">
      <c r="AC1455" s="153" t="s">
        <v>52</v>
      </c>
      <c r="AD1455" s="153" t="s">
        <v>19</v>
      </c>
      <c r="AE1455" s="153" t="s">
        <v>72</v>
      </c>
      <c r="AF1455" s="153" t="s">
        <v>51</v>
      </c>
      <c r="AG1455" s="153" t="s">
        <v>235</v>
      </c>
      <c r="AH1455" s="153">
        <v>4.5189483422881471</v>
      </c>
      <c r="AJ1455" s="78" t="s">
        <v>52</v>
      </c>
      <c r="AK1455" s="78" t="s">
        <v>19</v>
      </c>
      <c r="AL1455" s="78" t="s">
        <v>28</v>
      </c>
      <c r="AM1455" s="78" t="s">
        <v>51</v>
      </c>
      <c r="AN1455" s="78" t="s">
        <v>271</v>
      </c>
      <c r="AO1455" s="78">
        <v>1.5516325196127514</v>
      </c>
    </row>
    <row r="1456" spans="29:41">
      <c r="AC1456" s="78" t="s">
        <v>52</v>
      </c>
      <c r="AD1456" s="78" t="s">
        <v>19</v>
      </c>
      <c r="AE1456" s="78" t="s">
        <v>72</v>
      </c>
      <c r="AF1456" s="78" t="s">
        <v>51</v>
      </c>
      <c r="AG1456" s="78" t="s">
        <v>295</v>
      </c>
      <c r="AH1456" s="78">
        <v>4.4612113276937526</v>
      </c>
      <c r="AJ1456" s="78" t="s">
        <v>52</v>
      </c>
      <c r="AK1456" s="78" t="s">
        <v>19</v>
      </c>
      <c r="AL1456" s="78" t="s">
        <v>28</v>
      </c>
      <c r="AM1456" s="78" t="s">
        <v>51</v>
      </c>
      <c r="AN1456" s="78" t="s">
        <v>272</v>
      </c>
      <c r="AO1456" s="78">
        <v>1.543090482104307</v>
      </c>
    </row>
    <row r="1457" spans="29:41">
      <c r="AC1457" s="78" t="s">
        <v>52</v>
      </c>
      <c r="AD1457" s="78" t="s">
        <v>19</v>
      </c>
      <c r="AE1457" s="78" t="s">
        <v>72</v>
      </c>
      <c r="AF1457" s="78" t="s">
        <v>51</v>
      </c>
      <c r="AG1457" s="78" t="s">
        <v>296</v>
      </c>
      <c r="AH1457" s="78">
        <v>4.4612113276937526</v>
      </c>
      <c r="AJ1457" s="78" t="s">
        <v>52</v>
      </c>
      <c r="AK1457" s="78" t="s">
        <v>19</v>
      </c>
      <c r="AL1457" s="78" t="s">
        <v>28</v>
      </c>
      <c r="AM1457" s="78" t="s">
        <v>51</v>
      </c>
      <c r="AN1457" s="78" t="s">
        <v>273</v>
      </c>
      <c r="AO1457" s="78">
        <v>1.5363139398199277</v>
      </c>
    </row>
    <row r="1458" spans="29:41">
      <c r="AC1458" s="78" t="s">
        <v>52</v>
      </c>
      <c r="AD1458" s="78" t="s">
        <v>19</v>
      </c>
      <c r="AE1458" s="78" t="s">
        <v>72</v>
      </c>
      <c r="AF1458" s="78" t="s">
        <v>51</v>
      </c>
      <c r="AG1458" s="78" t="s">
        <v>297</v>
      </c>
      <c r="AH1458" s="78">
        <v>4.4612113276937526</v>
      </c>
      <c r="AJ1458" s="78" t="s">
        <v>52</v>
      </c>
      <c r="AK1458" s="78" t="s">
        <v>19</v>
      </c>
      <c r="AL1458" s="78" t="s">
        <v>28</v>
      </c>
      <c r="AM1458" s="78" t="s">
        <v>51</v>
      </c>
      <c r="AN1458" s="78" t="s">
        <v>274</v>
      </c>
      <c r="AO1458" s="78">
        <v>1.5607029799600651</v>
      </c>
    </row>
    <row r="1459" spans="29:41">
      <c r="AC1459" s="78" t="s">
        <v>52</v>
      </c>
      <c r="AD1459" s="78" t="s">
        <v>19</v>
      </c>
      <c r="AE1459" s="78" t="s">
        <v>72</v>
      </c>
      <c r="AF1459" s="78" t="s">
        <v>51</v>
      </c>
      <c r="AG1459" s="78" t="s">
        <v>298</v>
      </c>
      <c r="AH1459" s="78">
        <v>4.4293683816765057</v>
      </c>
      <c r="AJ1459" s="78" t="s">
        <v>52</v>
      </c>
      <c r="AK1459" s="78" t="s">
        <v>19</v>
      </c>
      <c r="AL1459" s="78" t="s">
        <v>28</v>
      </c>
      <c r="AM1459" s="78" t="s">
        <v>51</v>
      </c>
      <c r="AN1459" s="78" t="s">
        <v>275</v>
      </c>
      <c r="AO1459" s="78">
        <v>1.5067918723401852</v>
      </c>
    </row>
    <row r="1460" spans="29:41">
      <c r="AC1460" s="78" t="s">
        <v>52</v>
      </c>
      <c r="AD1460" s="78" t="s">
        <v>19</v>
      </c>
      <c r="AE1460" s="78" t="s">
        <v>72</v>
      </c>
      <c r="AF1460" s="78" t="s">
        <v>51</v>
      </c>
      <c r="AG1460" s="78" t="s">
        <v>299</v>
      </c>
      <c r="AH1460" s="78">
        <v>4.4062150485441451</v>
      </c>
      <c r="AJ1460" s="78" t="s">
        <v>52</v>
      </c>
      <c r="AK1460" s="78" t="s">
        <v>19</v>
      </c>
      <c r="AL1460" s="78" t="s">
        <v>28</v>
      </c>
      <c r="AM1460" s="78" t="s">
        <v>51</v>
      </c>
      <c r="AN1460" s="78" t="s">
        <v>276</v>
      </c>
      <c r="AO1460" s="78">
        <v>1.5426596828174381</v>
      </c>
    </row>
    <row r="1461" spans="29:41">
      <c r="AC1461" s="78" t="s">
        <v>52</v>
      </c>
      <c r="AD1461" s="78" t="s">
        <v>19</v>
      </c>
      <c r="AE1461" s="78" t="s">
        <v>72</v>
      </c>
      <c r="AF1461" s="78" t="s">
        <v>51</v>
      </c>
      <c r="AG1461" s="78" t="s">
        <v>300</v>
      </c>
      <c r="AH1461" s="78">
        <v>4.4380959133108595</v>
      </c>
      <c r="AJ1461" s="78" t="s">
        <v>52</v>
      </c>
      <c r="AK1461" s="78" t="s">
        <v>19</v>
      </c>
      <c r="AL1461" s="78" t="s">
        <v>28</v>
      </c>
      <c r="AM1461" s="78" t="s">
        <v>51</v>
      </c>
      <c r="AN1461" s="78" t="s">
        <v>277</v>
      </c>
      <c r="AO1461" s="78">
        <v>1.507244661917901</v>
      </c>
    </row>
    <row r="1462" spans="29:41">
      <c r="AC1462" s="78" t="s">
        <v>52</v>
      </c>
      <c r="AD1462" s="78" t="s">
        <v>19</v>
      </c>
      <c r="AE1462" s="78" t="s">
        <v>72</v>
      </c>
      <c r="AF1462" s="78" t="s">
        <v>51</v>
      </c>
      <c r="AG1462" s="78" t="s">
        <v>301</v>
      </c>
      <c r="AH1462" s="78">
        <v>4.5532689327452376</v>
      </c>
      <c r="AJ1462" s="78" t="s">
        <v>52</v>
      </c>
      <c r="AK1462" s="78" t="s">
        <v>19</v>
      </c>
      <c r="AL1462" s="78" t="s">
        <v>28</v>
      </c>
      <c r="AM1462" s="78" t="s">
        <v>51</v>
      </c>
      <c r="AN1462" s="78" t="s">
        <v>278</v>
      </c>
      <c r="AO1462" s="78">
        <v>1.528960489886048</v>
      </c>
    </row>
    <row r="1463" spans="29:41">
      <c r="AC1463" s="78" t="s">
        <v>52</v>
      </c>
      <c r="AD1463" s="78" t="s">
        <v>19</v>
      </c>
      <c r="AE1463" s="78" t="s">
        <v>72</v>
      </c>
      <c r="AF1463" s="78" t="s">
        <v>51</v>
      </c>
      <c r="AG1463" s="78" t="s">
        <v>302</v>
      </c>
      <c r="AH1463" s="78">
        <v>4.5534922150014268</v>
      </c>
      <c r="AJ1463" s="78" t="s">
        <v>52</v>
      </c>
      <c r="AK1463" s="78" t="s">
        <v>19</v>
      </c>
      <c r="AL1463" s="78" t="s">
        <v>28</v>
      </c>
      <c r="AM1463" s="78" t="s">
        <v>51</v>
      </c>
      <c r="AN1463" s="78" t="s">
        <v>279</v>
      </c>
      <c r="AO1463" s="78">
        <v>1.5098516598071106</v>
      </c>
    </row>
    <row r="1464" spans="29:41">
      <c r="AC1464" s="78" t="s">
        <v>52</v>
      </c>
      <c r="AD1464" s="78" t="s">
        <v>19</v>
      </c>
      <c r="AE1464" s="78" t="s">
        <v>72</v>
      </c>
      <c r="AF1464" s="78" t="s">
        <v>51</v>
      </c>
      <c r="AG1464" s="78" t="s">
        <v>303</v>
      </c>
      <c r="AH1464" s="78">
        <v>4.4929920752998243</v>
      </c>
      <c r="AJ1464" s="78" t="s">
        <v>52</v>
      </c>
      <c r="AK1464" s="78" t="s">
        <v>19</v>
      </c>
      <c r="AL1464" s="78" t="s">
        <v>28</v>
      </c>
      <c r="AM1464" s="78" t="s">
        <v>51</v>
      </c>
      <c r="AN1464" s="78" t="s">
        <v>280</v>
      </c>
      <c r="AO1464" s="78">
        <v>1.5385715585404351</v>
      </c>
    </row>
    <row r="1465" spans="29:41">
      <c r="AC1465" s="78" t="s">
        <v>52</v>
      </c>
      <c r="AD1465" s="78" t="s">
        <v>19</v>
      </c>
      <c r="AE1465" s="78" t="s">
        <v>72</v>
      </c>
      <c r="AF1465" s="78" t="s">
        <v>51</v>
      </c>
      <c r="AG1465" s="78" t="s">
        <v>304</v>
      </c>
      <c r="AH1465" s="78">
        <v>4.4929920752998243</v>
      </c>
      <c r="AJ1465" s="78" t="s">
        <v>52</v>
      </c>
      <c r="AK1465" s="78" t="s">
        <v>19</v>
      </c>
      <c r="AL1465" s="78" t="s">
        <v>28</v>
      </c>
      <c r="AM1465" s="78" t="s">
        <v>51</v>
      </c>
      <c r="AN1465" s="78" t="s">
        <v>281</v>
      </c>
      <c r="AO1465" s="78">
        <v>1.5121313142182173</v>
      </c>
    </row>
    <row r="1466" spans="29:41">
      <c r="AC1466" s="78" t="s">
        <v>52</v>
      </c>
      <c r="AD1466" s="78" t="s">
        <v>19</v>
      </c>
      <c r="AE1466" s="78" t="s">
        <v>72</v>
      </c>
      <c r="AF1466" s="78" t="s">
        <v>51</v>
      </c>
      <c r="AG1466" s="78" t="s">
        <v>305</v>
      </c>
      <c r="AH1466" s="78">
        <v>4.5218298111210657</v>
      </c>
      <c r="AJ1466" s="78" t="s">
        <v>52</v>
      </c>
      <c r="AK1466" s="78" t="s">
        <v>19</v>
      </c>
      <c r="AL1466" s="78" t="s">
        <v>28</v>
      </c>
      <c r="AM1466" s="78" t="s">
        <v>51</v>
      </c>
      <c r="AN1466" s="78" t="s">
        <v>282</v>
      </c>
      <c r="AO1466" s="78">
        <v>1.5050153014438916</v>
      </c>
    </row>
    <row r="1467" spans="29:41">
      <c r="AC1467" s="78" t="s">
        <v>52</v>
      </c>
      <c r="AD1467" s="78" t="s">
        <v>19</v>
      </c>
      <c r="AE1467" s="78" t="s">
        <v>72</v>
      </c>
      <c r="AF1467" s="78" t="s">
        <v>51</v>
      </c>
      <c r="AG1467" s="78" t="s">
        <v>306</v>
      </c>
      <c r="AH1467" s="78">
        <v>4.5218298111210657</v>
      </c>
      <c r="AJ1467" s="78" t="s">
        <v>52</v>
      </c>
      <c r="AK1467" s="78" t="s">
        <v>19</v>
      </c>
      <c r="AL1467" s="78" t="s">
        <v>28</v>
      </c>
      <c r="AM1467" s="78" t="s">
        <v>51</v>
      </c>
      <c r="AN1467" s="78" t="s">
        <v>283</v>
      </c>
      <c r="AO1467" s="78">
        <v>1.4982410078427051</v>
      </c>
    </row>
    <row r="1468" spans="29:41">
      <c r="AC1468" s="78" t="s">
        <v>52</v>
      </c>
      <c r="AD1468" s="78" t="s">
        <v>19</v>
      </c>
      <c r="AE1468" s="78" t="s">
        <v>72</v>
      </c>
      <c r="AF1468" s="78" t="s">
        <v>51</v>
      </c>
      <c r="AG1468" s="78" t="s">
        <v>307</v>
      </c>
      <c r="AH1468" s="78">
        <v>4.4612113276937526</v>
      </c>
      <c r="AJ1468" s="78" t="s">
        <v>52</v>
      </c>
      <c r="AK1468" s="78" t="s">
        <v>19</v>
      </c>
      <c r="AL1468" s="78" t="s">
        <v>28</v>
      </c>
      <c r="AM1468" s="78" t="s">
        <v>51</v>
      </c>
      <c r="AN1468" s="78" t="s">
        <v>284</v>
      </c>
      <c r="AO1468" s="78">
        <v>1.4818704427738609</v>
      </c>
    </row>
    <row r="1469" spans="29:41">
      <c r="AC1469" s="78" t="s">
        <v>52</v>
      </c>
      <c r="AD1469" s="78" t="s">
        <v>19</v>
      </c>
      <c r="AE1469" s="78" t="s">
        <v>72</v>
      </c>
      <c r="AF1469" s="78" t="s">
        <v>51</v>
      </c>
      <c r="AG1469" s="78" t="s">
        <v>308</v>
      </c>
      <c r="AH1469" s="78">
        <v>4.5534922150014268</v>
      </c>
      <c r="AJ1469" s="78" t="s">
        <v>52</v>
      </c>
      <c r="AK1469" s="78" t="s">
        <v>19</v>
      </c>
      <c r="AL1469" s="78" t="s">
        <v>28</v>
      </c>
      <c r="AM1469" s="78" t="s">
        <v>51</v>
      </c>
      <c r="AN1469" s="78" t="s">
        <v>285</v>
      </c>
      <c r="AO1469" s="78">
        <v>1.5004858734417919</v>
      </c>
    </row>
    <row r="1470" spans="29:41">
      <c r="AC1470" s="78" t="s">
        <v>52</v>
      </c>
      <c r="AD1470" s="78" t="s">
        <v>19</v>
      </c>
      <c r="AE1470" s="78" t="s">
        <v>72</v>
      </c>
      <c r="AF1470" s="78" t="s">
        <v>51</v>
      </c>
      <c r="AG1470" s="78" t="s">
        <v>309</v>
      </c>
      <c r="AH1470" s="78">
        <v>4.5848739945623596</v>
      </c>
      <c r="AJ1470" s="78" t="s">
        <v>52</v>
      </c>
      <c r="AK1470" s="78" t="s">
        <v>19</v>
      </c>
      <c r="AL1470" s="78" t="s">
        <v>28</v>
      </c>
      <c r="AM1470" s="78" t="s">
        <v>51</v>
      </c>
      <c r="AN1470" s="78" t="s">
        <v>286</v>
      </c>
      <c r="AO1470" s="78">
        <v>1.461946985701984</v>
      </c>
    </row>
    <row r="1471" spans="29:41">
      <c r="AC1471" s="78" t="s">
        <v>52</v>
      </c>
      <c r="AD1471" s="78" t="s">
        <v>19</v>
      </c>
      <c r="AE1471" s="78" t="s">
        <v>72</v>
      </c>
      <c r="AF1471" s="78" t="s">
        <v>51</v>
      </c>
      <c r="AG1471" s="78" t="s">
        <v>310</v>
      </c>
      <c r="AH1471" s="78">
        <v>4.5532689327452376</v>
      </c>
      <c r="AJ1471" s="78" t="s">
        <v>52</v>
      </c>
      <c r="AK1471" s="78" t="s">
        <v>19</v>
      </c>
      <c r="AL1471" s="78" t="s">
        <v>28</v>
      </c>
      <c r="AM1471" s="78" t="s">
        <v>51</v>
      </c>
      <c r="AN1471" s="78" t="s">
        <v>287</v>
      </c>
      <c r="AO1471" s="78">
        <v>1.4744448377414441</v>
      </c>
    </row>
    <row r="1472" spans="29:41">
      <c r="AC1472" s="78" t="s">
        <v>52</v>
      </c>
      <c r="AD1472" s="78" t="s">
        <v>19</v>
      </c>
      <c r="AE1472" s="78" t="s">
        <v>72</v>
      </c>
      <c r="AF1472" s="78" t="s">
        <v>51</v>
      </c>
      <c r="AG1472" s="78" t="s">
        <v>234</v>
      </c>
      <c r="AH1472" s="78">
        <v>4.5216021614685626</v>
      </c>
      <c r="AJ1472" s="78" t="s">
        <v>52</v>
      </c>
      <c r="AK1472" s="78" t="s">
        <v>19</v>
      </c>
      <c r="AL1472" s="78" t="s">
        <v>28</v>
      </c>
      <c r="AM1472" s="78" t="s">
        <v>51</v>
      </c>
      <c r="AN1472" s="78" t="s">
        <v>288</v>
      </c>
      <c r="AO1472" s="78">
        <v>1.4512101770937029</v>
      </c>
    </row>
    <row r="1473" spans="29:41">
      <c r="AC1473" s="78" t="s">
        <v>52</v>
      </c>
      <c r="AD1473" s="78" t="s">
        <v>19</v>
      </c>
      <c r="AE1473" s="78" t="s">
        <v>72</v>
      </c>
      <c r="AF1473" s="78" t="s">
        <v>51</v>
      </c>
      <c r="AG1473" s="78" t="s">
        <v>311</v>
      </c>
      <c r="AH1473" s="78">
        <v>4.5218298111210657</v>
      </c>
      <c r="AJ1473" s="78" t="s">
        <v>52</v>
      </c>
      <c r="AK1473" s="78" t="s">
        <v>19</v>
      </c>
      <c r="AL1473" s="78" t="s">
        <v>28</v>
      </c>
      <c r="AM1473" s="78" t="s">
        <v>51</v>
      </c>
      <c r="AN1473" s="78" t="s">
        <v>289</v>
      </c>
      <c r="AO1473" s="78">
        <v>1.4897716986106646</v>
      </c>
    </row>
    <row r="1474" spans="29:41">
      <c r="AC1474" s="78" t="s">
        <v>52</v>
      </c>
      <c r="AD1474" s="78" t="s">
        <v>19</v>
      </c>
      <c r="AE1474" s="78" t="s">
        <v>72</v>
      </c>
      <c r="AF1474" s="78" t="s">
        <v>51</v>
      </c>
      <c r="AG1474" s="78" t="s">
        <v>312</v>
      </c>
      <c r="AH1474" s="78">
        <v>4.4929920752998243</v>
      </c>
      <c r="AJ1474" s="78" t="s">
        <v>52</v>
      </c>
      <c r="AK1474" s="78" t="s">
        <v>19</v>
      </c>
      <c r="AL1474" s="78" t="s">
        <v>28</v>
      </c>
      <c r="AM1474" s="78" t="s">
        <v>51</v>
      </c>
      <c r="AN1474" s="78" t="s">
        <v>290</v>
      </c>
      <c r="AO1474" s="78">
        <v>1.4562981147005198</v>
      </c>
    </row>
    <row r="1475" spans="29:41">
      <c r="AC1475" s="78" t="s">
        <v>52</v>
      </c>
      <c r="AD1475" s="78" t="s">
        <v>19</v>
      </c>
      <c r="AE1475" s="78" t="s">
        <v>72</v>
      </c>
      <c r="AF1475" s="78" t="s">
        <v>51</v>
      </c>
      <c r="AG1475" s="78" t="s">
        <v>313</v>
      </c>
      <c r="AH1475" s="78">
        <v>4.5218298111210657</v>
      </c>
      <c r="AJ1475" s="78" t="s">
        <v>52</v>
      </c>
      <c r="AK1475" s="78" t="s">
        <v>19</v>
      </c>
      <c r="AL1475" s="78" t="s">
        <v>28</v>
      </c>
      <c r="AM1475" s="78" t="s">
        <v>51</v>
      </c>
      <c r="AN1475" s="78" t="s">
        <v>291</v>
      </c>
      <c r="AO1475" s="78">
        <v>1.5849149853228051</v>
      </c>
    </row>
    <row r="1476" spans="29:41">
      <c r="AC1476" s="78" t="s">
        <v>52</v>
      </c>
      <c r="AD1476" s="78" t="s">
        <v>19</v>
      </c>
      <c r="AE1476" s="78" t="s">
        <v>72</v>
      </c>
      <c r="AF1476" s="78" t="s">
        <v>51</v>
      </c>
      <c r="AG1476" s="78" t="s">
        <v>233</v>
      </c>
      <c r="AH1476" s="78">
        <v>4.5532689327452376</v>
      </c>
      <c r="AJ1476" s="78" t="s">
        <v>52</v>
      </c>
      <c r="AK1476" s="78" t="s">
        <v>19</v>
      </c>
      <c r="AL1476" s="78" t="s">
        <v>28</v>
      </c>
      <c r="AM1476" s="78" t="s">
        <v>51</v>
      </c>
      <c r="AN1476" s="78" t="s">
        <v>292</v>
      </c>
      <c r="AO1476" s="78">
        <v>1.5541278583321352</v>
      </c>
    </row>
    <row r="1477" spans="29:41">
      <c r="AC1477" s="78" t="s">
        <v>52</v>
      </c>
      <c r="AD1477" s="78" t="s">
        <v>19</v>
      </c>
      <c r="AE1477" s="78" t="s">
        <v>72</v>
      </c>
      <c r="AF1477" s="78" t="s">
        <v>51</v>
      </c>
      <c r="AG1477" s="78" t="s">
        <v>236</v>
      </c>
      <c r="AH1477" s="78">
        <v>4.5532689327452376</v>
      </c>
      <c r="AJ1477" s="78" t="s">
        <v>52</v>
      </c>
      <c r="AK1477" s="78" t="s">
        <v>19</v>
      </c>
      <c r="AL1477" s="78" t="s">
        <v>28</v>
      </c>
      <c r="AM1477" s="78" t="s">
        <v>51</v>
      </c>
      <c r="AN1477" s="78" t="s">
        <v>293</v>
      </c>
      <c r="AO1477" s="78">
        <v>1.5420196837121618</v>
      </c>
    </row>
    <row r="1478" spans="29:41">
      <c r="AC1478" s="78" t="s">
        <v>52</v>
      </c>
      <c r="AD1478" s="78" t="s">
        <v>19</v>
      </c>
      <c r="AE1478" s="78" t="s">
        <v>72</v>
      </c>
      <c r="AF1478" s="78" t="s">
        <v>51</v>
      </c>
      <c r="AG1478" s="78" t="s">
        <v>318</v>
      </c>
      <c r="AH1478" s="78">
        <v>4.5216021614685626</v>
      </c>
      <c r="AJ1478" s="78" t="s">
        <v>52</v>
      </c>
      <c r="AK1478" s="78" t="s">
        <v>19</v>
      </c>
      <c r="AL1478" s="78" t="s">
        <v>28</v>
      </c>
      <c r="AM1478" s="78" t="s">
        <v>51</v>
      </c>
      <c r="AN1478" s="78" t="s">
        <v>294</v>
      </c>
      <c r="AO1478" s="78">
        <v>1.5179966138420906</v>
      </c>
    </row>
    <row r="1479" spans="29:41">
      <c r="AC1479" s="78" t="s">
        <v>52</v>
      </c>
      <c r="AD1479" s="78" t="s">
        <v>19</v>
      </c>
      <c r="AE1479" s="78" t="s">
        <v>72</v>
      </c>
      <c r="AF1479" s="78" t="s">
        <v>51</v>
      </c>
      <c r="AG1479" s="78" t="s">
        <v>319</v>
      </c>
      <c r="AH1479" s="78">
        <v>4.5216021614685626</v>
      </c>
      <c r="AJ1479" s="78" t="s">
        <v>52</v>
      </c>
      <c r="AK1479" s="78" t="s">
        <v>19</v>
      </c>
      <c r="AL1479" s="78" t="s">
        <v>28</v>
      </c>
      <c r="AM1479" s="78" t="s">
        <v>51</v>
      </c>
      <c r="AN1479" s="78" t="s">
        <v>235</v>
      </c>
      <c r="AO1479" s="78">
        <v>1.5405726796054369</v>
      </c>
    </row>
    <row r="1480" spans="29:41">
      <c r="AC1480" s="78" t="s">
        <v>52</v>
      </c>
      <c r="AD1480" s="78" t="s">
        <v>19</v>
      </c>
      <c r="AE1480" s="78" t="s">
        <v>72</v>
      </c>
      <c r="AF1480" s="78" t="s">
        <v>51</v>
      </c>
      <c r="AG1480" s="78" t="s">
        <v>320</v>
      </c>
      <c r="AH1480" s="78">
        <v>4.5534922150014268</v>
      </c>
      <c r="AJ1480" s="78" t="s">
        <v>52</v>
      </c>
      <c r="AK1480" s="78" t="s">
        <v>19</v>
      </c>
      <c r="AL1480" s="78" t="s">
        <v>28</v>
      </c>
      <c r="AM1480" s="78" t="s">
        <v>51</v>
      </c>
      <c r="AN1480" s="78" t="s">
        <v>295</v>
      </c>
      <c r="AO1480" s="78">
        <v>1.4885962672337021</v>
      </c>
    </row>
    <row r="1481" spans="29:41">
      <c r="AC1481" s="78" t="s">
        <v>52</v>
      </c>
      <c r="AD1481" s="78" t="s">
        <v>19</v>
      </c>
      <c r="AE1481" s="78" t="s">
        <v>72</v>
      </c>
      <c r="AF1481" s="78" t="s">
        <v>51</v>
      </c>
      <c r="AG1481" s="78" t="s">
        <v>321</v>
      </c>
      <c r="AH1481" s="78">
        <v>4.4612113276937526</v>
      </c>
      <c r="AJ1481" s="78" t="s">
        <v>52</v>
      </c>
      <c r="AK1481" s="78" t="s">
        <v>19</v>
      </c>
      <c r="AL1481" s="78" t="s">
        <v>28</v>
      </c>
      <c r="AM1481" s="78" t="s">
        <v>51</v>
      </c>
      <c r="AN1481" s="78" t="s">
        <v>296</v>
      </c>
      <c r="AO1481" s="78">
        <v>1.4912122868606721</v>
      </c>
    </row>
    <row r="1482" spans="29:41">
      <c r="AC1482" s="78" t="s">
        <v>52</v>
      </c>
      <c r="AD1482" s="78" t="s">
        <v>19</v>
      </c>
      <c r="AE1482" s="78" t="s">
        <v>72</v>
      </c>
      <c r="AF1482" s="78" t="s">
        <v>51</v>
      </c>
      <c r="AG1482" s="78" t="s">
        <v>322</v>
      </c>
      <c r="AH1482" s="78">
        <v>4.4929920752998243</v>
      </c>
      <c r="AJ1482" s="78" t="s">
        <v>52</v>
      </c>
      <c r="AK1482" s="78" t="s">
        <v>19</v>
      </c>
      <c r="AL1482" s="78" t="s">
        <v>28</v>
      </c>
      <c r="AM1482" s="78" t="s">
        <v>51</v>
      </c>
      <c r="AN1482" s="78" t="s">
        <v>297</v>
      </c>
      <c r="AO1482" s="78">
        <v>1.4984115010220622</v>
      </c>
    </row>
    <row r="1483" spans="29:41">
      <c r="AC1483" s="78" t="s">
        <v>52</v>
      </c>
      <c r="AD1483" s="78" t="s">
        <v>19</v>
      </c>
      <c r="AE1483" s="78" t="s">
        <v>72</v>
      </c>
      <c r="AF1483" s="78" t="s">
        <v>51</v>
      </c>
      <c r="AG1483" s="78" t="s">
        <v>323</v>
      </c>
      <c r="AH1483" s="78">
        <v>4.4293683816765057</v>
      </c>
      <c r="AJ1483" s="78" t="s">
        <v>52</v>
      </c>
      <c r="AK1483" s="78" t="s">
        <v>19</v>
      </c>
      <c r="AL1483" s="78" t="s">
        <v>28</v>
      </c>
      <c r="AM1483" s="78" t="s">
        <v>51</v>
      </c>
      <c r="AN1483" s="78" t="s">
        <v>298</v>
      </c>
      <c r="AO1483" s="78">
        <v>1.4819011158162858</v>
      </c>
    </row>
    <row r="1484" spans="29:41">
      <c r="AC1484" s="78" t="s">
        <v>52</v>
      </c>
      <c r="AD1484" s="78" t="s">
        <v>19</v>
      </c>
      <c r="AE1484" s="78" t="s">
        <v>72</v>
      </c>
      <c r="AF1484" s="78" t="s">
        <v>51</v>
      </c>
      <c r="AG1484" s="78" t="s">
        <v>324</v>
      </c>
      <c r="AH1484" s="78">
        <v>4.4699143336624472</v>
      </c>
      <c r="AJ1484" s="78" t="s">
        <v>52</v>
      </c>
      <c r="AK1484" s="78" t="s">
        <v>19</v>
      </c>
      <c r="AL1484" s="78" t="s">
        <v>28</v>
      </c>
      <c r="AM1484" s="78" t="s">
        <v>51</v>
      </c>
      <c r="AN1484" s="78" t="s">
        <v>299</v>
      </c>
      <c r="AO1484" s="78">
        <v>1.5114851993998251</v>
      </c>
    </row>
    <row r="1485" spans="29:41">
      <c r="AC1485" s="78" t="s">
        <v>52</v>
      </c>
      <c r="AD1485" s="78" t="s">
        <v>19</v>
      </c>
      <c r="AE1485" s="78" t="s">
        <v>72</v>
      </c>
      <c r="AF1485" s="78" t="s">
        <v>51</v>
      </c>
      <c r="AG1485" s="78" t="s">
        <v>325</v>
      </c>
      <c r="AH1485" s="78">
        <v>4.4699143336624472</v>
      </c>
      <c r="AJ1485" s="78" t="s">
        <v>52</v>
      </c>
      <c r="AK1485" s="78" t="s">
        <v>19</v>
      </c>
      <c r="AL1485" s="78" t="s">
        <v>28</v>
      </c>
      <c r="AM1485" s="78" t="s">
        <v>51</v>
      </c>
      <c r="AN1485" s="78" t="s">
        <v>300</v>
      </c>
      <c r="AO1485" s="78">
        <v>1.5215365662646596</v>
      </c>
    </row>
    <row r="1486" spans="29:41">
      <c r="AC1486" s="78" t="s">
        <v>52</v>
      </c>
      <c r="AD1486" s="78" t="s">
        <v>19</v>
      </c>
      <c r="AE1486" s="78" t="s">
        <v>72</v>
      </c>
      <c r="AF1486" s="78" t="s">
        <v>51</v>
      </c>
      <c r="AG1486" s="78" t="s">
        <v>326</v>
      </c>
      <c r="AH1486" s="78">
        <v>4.4380959133108595</v>
      </c>
      <c r="AJ1486" s="78" t="s">
        <v>52</v>
      </c>
      <c r="AK1486" s="78" t="s">
        <v>19</v>
      </c>
      <c r="AL1486" s="78" t="s">
        <v>28</v>
      </c>
      <c r="AM1486" s="78" t="s">
        <v>51</v>
      </c>
      <c r="AN1486" s="78" t="s">
        <v>301</v>
      </c>
      <c r="AO1486" s="78">
        <v>1.4988382658422779</v>
      </c>
    </row>
    <row r="1487" spans="29:41">
      <c r="AC1487" s="78" t="s">
        <v>52</v>
      </c>
      <c r="AD1487" s="78" t="s">
        <v>19</v>
      </c>
      <c r="AE1487" s="78" t="s">
        <v>72</v>
      </c>
      <c r="AF1487" s="78" t="s">
        <v>51</v>
      </c>
      <c r="AG1487" s="78" t="s">
        <v>327</v>
      </c>
      <c r="AH1487" s="78">
        <v>4.3771781350109968</v>
      </c>
      <c r="AJ1487" s="78" t="s">
        <v>52</v>
      </c>
      <c r="AK1487" s="78" t="s">
        <v>19</v>
      </c>
      <c r="AL1487" s="78" t="s">
        <v>28</v>
      </c>
      <c r="AM1487" s="78" t="s">
        <v>51</v>
      </c>
      <c r="AN1487" s="78" t="s">
        <v>302</v>
      </c>
      <c r="AO1487" s="78">
        <v>1.5568540315302071</v>
      </c>
    </row>
    <row r="1488" spans="29:41">
      <c r="AC1488" s="78" t="s">
        <v>52</v>
      </c>
      <c r="AD1488" s="78" t="s">
        <v>19</v>
      </c>
      <c r="AE1488" s="78" t="s">
        <v>72</v>
      </c>
      <c r="AF1488" s="78" t="s">
        <v>51</v>
      </c>
      <c r="AG1488" s="78" t="s">
        <v>328</v>
      </c>
      <c r="AH1488" s="78">
        <v>4.3131143092804933</v>
      </c>
      <c r="AJ1488" s="78" t="s">
        <v>52</v>
      </c>
      <c r="AK1488" s="78" t="s">
        <v>19</v>
      </c>
      <c r="AL1488" s="78" t="s">
        <v>28</v>
      </c>
      <c r="AM1488" s="78" t="s">
        <v>51</v>
      </c>
      <c r="AN1488" s="78" t="s">
        <v>303</v>
      </c>
      <c r="AO1488" s="78">
        <v>1.5430933862496645</v>
      </c>
    </row>
    <row r="1489" spans="29:41">
      <c r="AC1489" s="78" t="s">
        <v>52</v>
      </c>
      <c r="AD1489" s="78" t="s">
        <v>19</v>
      </c>
      <c r="AE1489" s="78" t="s">
        <v>72</v>
      </c>
      <c r="AF1489" s="78" t="s">
        <v>51</v>
      </c>
      <c r="AG1489" s="78" t="s">
        <v>329</v>
      </c>
      <c r="AH1489" s="78">
        <v>4.3451776555859825</v>
      </c>
      <c r="AJ1489" s="78" t="s">
        <v>52</v>
      </c>
      <c r="AK1489" s="78" t="s">
        <v>19</v>
      </c>
      <c r="AL1489" s="78" t="s">
        <v>28</v>
      </c>
      <c r="AM1489" s="78" t="s">
        <v>51</v>
      </c>
      <c r="AN1489" s="78" t="s">
        <v>304</v>
      </c>
      <c r="AO1489" s="78">
        <v>1.5180647764182047</v>
      </c>
    </row>
    <row r="1490" spans="29:41">
      <c r="AC1490" s="78" t="s">
        <v>52</v>
      </c>
      <c r="AD1490" s="78" t="s">
        <v>19</v>
      </c>
      <c r="AE1490" s="78" t="s">
        <v>72</v>
      </c>
      <c r="AF1490" s="78" t="s">
        <v>51</v>
      </c>
      <c r="AG1490" s="78" t="s">
        <v>330</v>
      </c>
      <c r="AH1490" s="78">
        <v>4.3131087489386006</v>
      </c>
      <c r="AJ1490" s="78" t="s">
        <v>52</v>
      </c>
      <c r="AK1490" s="78" t="s">
        <v>19</v>
      </c>
      <c r="AL1490" s="78" t="s">
        <v>28</v>
      </c>
      <c r="AM1490" s="78" t="s">
        <v>51</v>
      </c>
      <c r="AN1490" s="78" t="s">
        <v>305</v>
      </c>
      <c r="AO1490" s="78">
        <v>1.5633735530652657</v>
      </c>
    </row>
    <row r="1491" spans="29:41">
      <c r="AC1491" s="78" t="s">
        <v>52</v>
      </c>
      <c r="AD1491" s="78" t="s">
        <v>19</v>
      </c>
      <c r="AE1491" s="78" t="s">
        <v>72</v>
      </c>
      <c r="AF1491" s="78" t="s">
        <v>51</v>
      </c>
      <c r="AG1491" s="78" t="s">
        <v>331</v>
      </c>
      <c r="AH1491" s="78">
        <v>4.3451776555859825</v>
      </c>
      <c r="AJ1491" s="78" t="s">
        <v>52</v>
      </c>
      <c r="AK1491" s="78" t="s">
        <v>19</v>
      </c>
      <c r="AL1491" s="78" t="s">
        <v>28</v>
      </c>
      <c r="AM1491" s="78" t="s">
        <v>51</v>
      </c>
      <c r="AN1491" s="78" t="s">
        <v>306</v>
      </c>
      <c r="AO1491" s="78">
        <v>1.5243019824097856</v>
      </c>
    </row>
    <row r="1492" spans="29:41">
      <c r="AC1492" s="78" t="s">
        <v>52</v>
      </c>
      <c r="AD1492" s="78" t="s">
        <v>19</v>
      </c>
      <c r="AE1492" s="78" t="s">
        <v>72</v>
      </c>
      <c r="AF1492" s="78" t="s">
        <v>51</v>
      </c>
      <c r="AG1492" s="78" t="s">
        <v>332</v>
      </c>
      <c r="AH1492" s="78">
        <v>4.2488084289060692</v>
      </c>
      <c r="AJ1492" s="78" t="s">
        <v>52</v>
      </c>
      <c r="AK1492" s="78" t="s">
        <v>19</v>
      </c>
      <c r="AL1492" s="78" t="s">
        <v>28</v>
      </c>
      <c r="AM1492" s="78" t="s">
        <v>51</v>
      </c>
      <c r="AN1492" s="78" t="s">
        <v>307</v>
      </c>
      <c r="AO1492" s="78">
        <v>1.5308235699604822</v>
      </c>
    </row>
    <row r="1493" spans="29:41">
      <c r="AC1493" s="78" t="s">
        <v>52</v>
      </c>
      <c r="AD1493" s="78" t="s">
        <v>19</v>
      </c>
      <c r="AE1493" s="78" t="s">
        <v>72</v>
      </c>
      <c r="AF1493" s="78" t="s">
        <v>51</v>
      </c>
      <c r="AG1493" s="78" t="s">
        <v>333</v>
      </c>
      <c r="AH1493" s="78">
        <v>4.2194971642154622</v>
      </c>
      <c r="AJ1493" s="78" t="s">
        <v>52</v>
      </c>
      <c r="AK1493" s="78" t="s">
        <v>19</v>
      </c>
      <c r="AL1493" s="78" t="s">
        <v>28</v>
      </c>
      <c r="AM1493" s="78" t="s">
        <v>51</v>
      </c>
      <c r="AN1493" s="78" t="s">
        <v>308</v>
      </c>
      <c r="AO1493" s="78">
        <v>1.557800448815017</v>
      </c>
    </row>
    <row r="1494" spans="29:41">
      <c r="AC1494" s="78" t="s">
        <v>52</v>
      </c>
      <c r="AD1494" s="78" t="s">
        <v>19</v>
      </c>
      <c r="AE1494" s="78" t="s">
        <v>72</v>
      </c>
      <c r="AF1494" s="78" t="s">
        <v>51</v>
      </c>
      <c r="AG1494" s="78" t="s">
        <v>334</v>
      </c>
      <c r="AH1494" s="78">
        <v>4.3131143092804933</v>
      </c>
      <c r="AJ1494" s="78" t="s">
        <v>52</v>
      </c>
      <c r="AK1494" s="78" t="s">
        <v>19</v>
      </c>
      <c r="AL1494" s="78" t="s">
        <v>28</v>
      </c>
      <c r="AM1494" s="78" t="s">
        <v>51</v>
      </c>
      <c r="AN1494" s="78" t="s">
        <v>309</v>
      </c>
      <c r="AO1494" s="78">
        <v>1.5571195230255301</v>
      </c>
    </row>
    <row r="1495" spans="29:41">
      <c r="AC1495" s="78" t="s">
        <v>52</v>
      </c>
      <c r="AD1495" s="78" t="s">
        <v>19</v>
      </c>
      <c r="AE1495" s="78" t="s">
        <v>72</v>
      </c>
      <c r="AF1495" s="78" t="s">
        <v>51</v>
      </c>
      <c r="AG1495" s="78" t="s">
        <v>335</v>
      </c>
      <c r="AH1495" s="78">
        <v>4.3131087489386006</v>
      </c>
      <c r="AJ1495" s="78" t="s">
        <v>52</v>
      </c>
      <c r="AK1495" s="78" t="s">
        <v>19</v>
      </c>
      <c r="AL1495" s="78" t="s">
        <v>28</v>
      </c>
      <c r="AM1495" s="78" t="s">
        <v>51</v>
      </c>
      <c r="AN1495" s="78" t="s">
        <v>310</v>
      </c>
      <c r="AO1495" s="78">
        <v>1.5195619155708981</v>
      </c>
    </row>
    <row r="1496" spans="29:41">
      <c r="AC1496" s="78" t="s">
        <v>52</v>
      </c>
      <c r="AD1496" s="78" t="s">
        <v>19</v>
      </c>
      <c r="AE1496" s="78" t="s">
        <v>72</v>
      </c>
      <c r="AF1496" s="78" t="s">
        <v>51</v>
      </c>
      <c r="AG1496" s="78" t="s">
        <v>315</v>
      </c>
      <c r="AH1496" s="78">
        <v>4.280990246513638</v>
      </c>
      <c r="AJ1496" s="78" t="s">
        <v>52</v>
      </c>
      <c r="AK1496" s="78" t="s">
        <v>19</v>
      </c>
      <c r="AL1496" s="78" t="s">
        <v>28</v>
      </c>
      <c r="AM1496" s="78" t="s">
        <v>51</v>
      </c>
      <c r="AN1496" s="78" t="s">
        <v>234</v>
      </c>
      <c r="AO1496" s="78">
        <v>1.5277478818839125</v>
      </c>
    </row>
    <row r="1497" spans="29:41">
      <c r="AC1497" s="78" t="s">
        <v>52</v>
      </c>
      <c r="AD1497" s="78" t="s">
        <v>19</v>
      </c>
      <c r="AE1497" s="78" t="s">
        <v>72</v>
      </c>
      <c r="AF1497" s="78" t="s">
        <v>51</v>
      </c>
      <c r="AG1497" s="78" t="s">
        <v>336</v>
      </c>
      <c r="AH1497" s="78">
        <v>4.280990246513638</v>
      </c>
      <c r="AJ1497" s="78" t="s">
        <v>52</v>
      </c>
      <c r="AK1497" s="78" t="s">
        <v>19</v>
      </c>
      <c r="AL1497" s="78" t="s">
        <v>28</v>
      </c>
      <c r="AM1497" s="78" t="s">
        <v>51</v>
      </c>
      <c r="AN1497" s="78" t="s">
        <v>311</v>
      </c>
      <c r="AO1497" s="78">
        <v>1.5563843291359254</v>
      </c>
    </row>
    <row r="1498" spans="29:41">
      <c r="AC1498" s="78" t="s">
        <v>52</v>
      </c>
      <c r="AD1498" s="78" t="s">
        <v>19</v>
      </c>
      <c r="AE1498" s="78" t="s">
        <v>72</v>
      </c>
      <c r="AF1498" s="78" t="s">
        <v>51</v>
      </c>
      <c r="AG1498" s="78" t="s">
        <v>337</v>
      </c>
      <c r="AH1498" s="78">
        <v>4.2194971642154622</v>
      </c>
      <c r="AJ1498" s="78" t="s">
        <v>52</v>
      </c>
      <c r="AK1498" s="78" t="s">
        <v>19</v>
      </c>
      <c r="AL1498" s="78" t="s">
        <v>28</v>
      </c>
      <c r="AM1498" s="78" t="s">
        <v>51</v>
      </c>
      <c r="AN1498" s="78" t="s">
        <v>312</v>
      </c>
      <c r="AO1498" s="78">
        <v>1.5198746716357643</v>
      </c>
    </row>
    <row r="1499" spans="29:41">
      <c r="AC1499" s="78" t="s">
        <v>52</v>
      </c>
      <c r="AD1499" s="78" t="s">
        <v>19</v>
      </c>
      <c r="AE1499" s="78" t="s">
        <v>72</v>
      </c>
      <c r="AF1499" s="78" t="s">
        <v>51</v>
      </c>
      <c r="AG1499" s="78" t="s">
        <v>338</v>
      </c>
      <c r="AH1499" s="78">
        <v>4.1871940628292794</v>
      </c>
      <c r="AJ1499" s="78" t="s">
        <v>52</v>
      </c>
      <c r="AK1499" s="78" t="s">
        <v>19</v>
      </c>
      <c r="AL1499" s="78" t="s">
        <v>28</v>
      </c>
      <c r="AM1499" s="78" t="s">
        <v>51</v>
      </c>
      <c r="AN1499" s="78" t="s">
        <v>313</v>
      </c>
      <c r="AO1499" s="78">
        <v>1.5040700913658653</v>
      </c>
    </row>
    <row r="1500" spans="29:41">
      <c r="AC1500" s="78" t="s">
        <v>52</v>
      </c>
      <c r="AD1500" s="78" t="s">
        <v>19</v>
      </c>
      <c r="AE1500" s="78" t="s">
        <v>72</v>
      </c>
      <c r="AF1500" s="78" t="s">
        <v>51</v>
      </c>
      <c r="AG1500" s="78" t="s">
        <v>314</v>
      </c>
      <c r="AH1500" s="78">
        <v>4.1871940628292794</v>
      </c>
      <c r="AJ1500" s="78" t="s">
        <v>52</v>
      </c>
      <c r="AK1500" s="78" t="s">
        <v>19</v>
      </c>
      <c r="AL1500" s="78" t="s">
        <v>28</v>
      </c>
      <c r="AM1500" s="78" t="s">
        <v>51</v>
      </c>
      <c r="AN1500" s="78" t="s">
        <v>233</v>
      </c>
      <c r="AO1500" s="78">
        <v>1.5106609051656277</v>
      </c>
    </row>
    <row r="1501" spans="29:41">
      <c r="AC1501" s="78" t="s">
        <v>52</v>
      </c>
      <c r="AD1501" s="78" t="s">
        <v>19</v>
      </c>
      <c r="AE1501" s="78" t="s">
        <v>72</v>
      </c>
      <c r="AF1501" s="78" t="s">
        <v>51</v>
      </c>
      <c r="AG1501" s="78" t="s">
        <v>317</v>
      </c>
      <c r="AH1501" s="78">
        <v>4.1871940628292794</v>
      </c>
      <c r="AJ1501" s="78" t="s">
        <v>52</v>
      </c>
      <c r="AK1501" s="78" t="s">
        <v>19</v>
      </c>
      <c r="AL1501" s="78" t="s">
        <v>28</v>
      </c>
      <c r="AM1501" s="78" t="s">
        <v>51</v>
      </c>
      <c r="AN1501" s="78" t="s">
        <v>236</v>
      </c>
      <c r="AO1501" s="78">
        <v>1.5256922663386276</v>
      </c>
    </row>
    <row r="1502" spans="29:41">
      <c r="AC1502" s="78" t="s">
        <v>52</v>
      </c>
      <c r="AD1502" s="78" t="s">
        <v>19</v>
      </c>
      <c r="AE1502" s="78" t="s">
        <v>72</v>
      </c>
      <c r="AF1502" s="78" t="s">
        <v>51</v>
      </c>
      <c r="AG1502" s="78" t="s">
        <v>344</v>
      </c>
      <c r="AH1502" s="78">
        <v>4.2174218608486846</v>
      </c>
      <c r="AJ1502" s="78" t="s">
        <v>52</v>
      </c>
      <c r="AK1502" s="78" t="s">
        <v>19</v>
      </c>
      <c r="AL1502" s="78" t="s">
        <v>28</v>
      </c>
      <c r="AM1502" s="78" t="s">
        <v>51</v>
      </c>
      <c r="AN1502" s="78" t="s">
        <v>318</v>
      </c>
      <c r="AO1502" s="78">
        <v>1.5186377129951325</v>
      </c>
    </row>
    <row r="1503" spans="29:41">
      <c r="AC1503" s="78" t="s">
        <v>52</v>
      </c>
      <c r="AD1503" s="78" t="s">
        <v>19</v>
      </c>
      <c r="AE1503" s="78" t="s">
        <v>72</v>
      </c>
      <c r="AF1503" s="78" t="s">
        <v>51</v>
      </c>
      <c r="AG1503" s="78" t="s">
        <v>342</v>
      </c>
      <c r="AH1503" s="78">
        <v>4.1851226297877071</v>
      </c>
      <c r="AJ1503" s="78" t="s">
        <v>52</v>
      </c>
      <c r="AK1503" s="78" t="s">
        <v>19</v>
      </c>
      <c r="AL1503" s="78" t="s">
        <v>28</v>
      </c>
      <c r="AM1503" s="78" t="s">
        <v>51</v>
      </c>
      <c r="AN1503" s="78" t="s">
        <v>319</v>
      </c>
      <c r="AO1503" s="78">
        <v>1.4642138685357327</v>
      </c>
    </row>
    <row r="1504" spans="29:41">
      <c r="AC1504" s="78" t="s">
        <v>52</v>
      </c>
      <c r="AD1504" s="78" t="s">
        <v>19</v>
      </c>
      <c r="AE1504" s="78" t="s">
        <v>72</v>
      </c>
      <c r="AF1504" s="78" t="s">
        <v>51</v>
      </c>
      <c r="AG1504" s="78" t="s">
        <v>345</v>
      </c>
      <c r="AH1504" s="78">
        <v>4.2174218608486846</v>
      </c>
      <c r="AJ1504" s="78" t="s">
        <v>52</v>
      </c>
      <c r="AK1504" s="78" t="s">
        <v>19</v>
      </c>
      <c r="AL1504" s="78" t="s">
        <v>28</v>
      </c>
      <c r="AM1504" s="78" t="s">
        <v>51</v>
      </c>
      <c r="AN1504" s="78" t="s">
        <v>316</v>
      </c>
      <c r="AO1504" s="78">
        <v>1.4642138685357327</v>
      </c>
    </row>
    <row r="1505" spans="29:41">
      <c r="AC1505" s="78" t="s">
        <v>52</v>
      </c>
      <c r="AD1505" s="78" t="s">
        <v>19</v>
      </c>
      <c r="AE1505" s="78" t="s">
        <v>72</v>
      </c>
      <c r="AF1505" s="78" t="s">
        <v>51</v>
      </c>
      <c r="AG1505" s="78" t="s">
        <v>346</v>
      </c>
      <c r="AH1505" s="78">
        <v>4.1557042361827934</v>
      </c>
      <c r="AJ1505" s="78" t="s">
        <v>52</v>
      </c>
      <c r="AK1505" s="78" t="s">
        <v>19</v>
      </c>
      <c r="AL1505" s="78" t="s">
        <v>28</v>
      </c>
      <c r="AM1505" s="78" t="s">
        <v>51</v>
      </c>
      <c r="AN1505" s="78" t="s">
        <v>320</v>
      </c>
      <c r="AO1505" s="78">
        <v>1.5481028067197069</v>
      </c>
    </row>
    <row r="1506" spans="29:41">
      <c r="AC1506" s="78" t="s">
        <v>52</v>
      </c>
      <c r="AD1506" s="78" t="s">
        <v>19</v>
      </c>
      <c r="AE1506" s="78" t="s">
        <v>72</v>
      </c>
      <c r="AF1506" s="78" t="s">
        <v>51</v>
      </c>
      <c r="AG1506" s="78" t="s">
        <v>343</v>
      </c>
      <c r="AH1506" s="78">
        <v>4.0612091257194027</v>
      </c>
      <c r="AJ1506" s="78" t="s">
        <v>52</v>
      </c>
      <c r="AK1506" s="78" t="s">
        <v>19</v>
      </c>
      <c r="AL1506" s="78" t="s">
        <v>28</v>
      </c>
      <c r="AM1506" s="78" t="s">
        <v>51</v>
      </c>
      <c r="AN1506" s="78" t="s">
        <v>321</v>
      </c>
      <c r="AO1506" s="78">
        <v>1.4677586424967521</v>
      </c>
    </row>
    <row r="1507" spans="29:41">
      <c r="AC1507" s="78" t="s">
        <v>52</v>
      </c>
      <c r="AD1507" s="78" t="s">
        <v>19</v>
      </c>
      <c r="AE1507" s="78" t="s">
        <v>72</v>
      </c>
      <c r="AF1507" s="78" t="s">
        <v>51</v>
      </c>
      <c r="AG1507" s="78" t="s">
        <v>341</v>
      </c>
      <c r="AH1507" s="78">
        <v>4.0907972944729467</v>
      </c>
      <c r="AJ1507" s="78" t="s">
        <v>52</v>
      </c>
      <c r="AK1507" s="78" t="s">
        <v>19</v>
      </c>
      <c r="AL1507" s="78" t="s">
        <v>28</v>
      </c>
      <c r="AM1507" s="78" t="s">
        <v>51</v>
      </c>
      <c r="AN1507" s="78" t="s">
        <v>322</v>
      </c>
      <c r="AO1507" s="78">
        <v>1.4978547960901447</v>
      </c>
    </row>
    <row r="1508" spans="29:41">
      <c r="AC1508" s="78" t="s">
        <v>52</v>
      </c>
      <c r="AD1508" s="78" t="s">
        <v>19</v>
      </c>
      <c r="AE1508" s="78" t="s">
        <v>72</v>
      </c>
      <c r="AF1508" s="78" t="s">
        <v>51</v>
      </c>
      <c r="AG1508" s="78" t="s">
        <v>347</v>
      </c>
      <c r="AH1508" s="78">
        <v>4.0907972944729467</v>
      </c>
      <c r="AJ1508" s="78" t="s">
        <v>52</v>
      </c>
      <c r="AK1508" s="78" t="s">
        <v>19</v>
      </c>
      <c r="AL1508" s="78" t="s">
        <v>28</v>
      </c>
      <c r="AM1508" s="78" t="s">
        <v>51</v>
      </c>
      <c r="AN1508" s="78" t="s">
        <v>323</v>
      </c>
      <c r="AO1508" s="78">
        <v>1.4959678614927461</v>
      </c>
    </row>
    <row r="1509" spans="29:41">
      <c r="AC1509" s="78" t="s">
        <v>52</v>
      </c>
      <c r="AD1509" s="78" t="s">
        <v>19</v>
      </c>
      <c r="AE1509" s="78" t="s">
        <v>72</v>
      </c>
      <c r="AF1509" s="78" t="s">
        <v>51</v>
      </c>
      <c r="AG1509" s="78" t="s">
        <v>348</v>
      </c>
      <c r="AH1509" s="78">
        <v>4.0612091257194027</v>
      </c>
      <c r="AJ1509" s="78" t="s">
        <v>52</v>
      </c>
      <c r="AK1509" s="78" t="s">
        <v>19</v>
      </c>
      <c r="AL1509" s="78" t="s">
        <v>28</v>
      </c>
      <c r="AM1509" s="78" t="s">
        <v>51</v>
      </c>
      <c r="AN1509" s="78" t="s">
        <v>324</v>
      </c>
      <c r="AO1509" s="78">
        <v>1.5579636337634866</v>
      </c>
    </row>
    <row r="1510" spans="29:41">
      <c r="AC1510" s="78" t="s">
        <v>52</v>
      </c>
      <c r="AD1510" s="78" t="s">
        <v>19</v>
      </c>
      <c r="AE1510" s="78" t="s">
        <v>72</v>
      </c>
      <c r="AF1510" s="78" t="s">
        <v>51</v>
      </c>
      <c r="AG1510" s="78" t="s">
        <v>349</v>
      </c>
      <c r="AH1510" s="78">
        <v>4.1851226297877071</v>
      </c>
      <c r="AJ1510" s="78" t="s">
        <v>52</v>
      </c>
      <c r="AK1510" s="78" t="s">
        <v>19</v>
      </c>
      <c r="AL1510" s="78" t="s">
        <v>28</v>
      </c>
      <c r="AM1510" s="78" t="s">
        <v>51</v>
      </c>
      <c r="AN1510" s="78" t="s">
        <v>325</v>
      </c>
      <c r="AO1510" s="78">
        <v>1.5844575258441369</v>
      </c>
    </row>
    <row r="1511" spans="29:41">
      <c r="AC1511" s="78" t="s">
        <v>52</v>
      </c>
      <c r="AD1511" s="78" t="s">
        <v>19</v>
      </c>
      <c r="AE1511" s="78" t="s">
        <v>72</v>
      </c>
      <c r="AF1511" s="78" t="s">
        <v>51</v>
      </c>
      <c r="AG1511" s="78" t="s">
        <v>350</v>
      </c>
      <c r="AH1511" s="78">
        <v>4.1851226297877071</v>
      </c>
      <c r="AJ1511" s="78" t="s">
        <v>52</v>
      </c>
      <c r="AK1511" s="78" t="s">
        <v>19</v>
      </c>
      <c r="AL1511" s="78" t="s">
        <v>28</v>
      </c>
      <c r="AM1511" s="78" t="s">
        <v>51</v>
      </c>
      <c r="AN1511" s="78" t="s">
        <v>326</v>
      </c>
      <c r="AO1511" s="78">
        <v>1.5402616823217599</v>
      </c>
    </row>
    <row r="1512" spans="29:41">
      <c r="AC1512" s="78" t="s">
        <v>52</v>
      </c>
      <c r="AD1512" s="78" t="s">
        <v>19</v>
      </c>
      <c r="AE1512" s="78" t="s">
        <v>72</v>
      </c>
      <c r="AF1512" s="78" t="s">
        <v>51</v>
      </c>
      <c r="AG1512" s="78" t="s">
        <v>351</v>
      </c>
      <c r="AH1512" s="78">
        <v>4.1871940628292794</v>
      </c>
      <c r="AJ1512" s="78" t="s">
        <v>52</v>
      </c>
      <c r="AK1512" s="78" t="s">
        <v>19</v>
      </c>
      <c r="AL1512" s="78" t="s">
        <v>28</v>
      </c>
      <c r="AM1512" s="78" t="s">
        <v>51</v>
      </c>
      <c r="AN1512" s="78" t="s">
        <v>327</v>
      </c>
      <c r="AO1512" s="78">
        <v>1.534704246059617</v>
      </c>
    </row>
    <row r="1513" spans="29:41">
      <c r="AC1513" s="78" t="s">
        <v>52</v>
      </c>
      <c r="AD1513" s="78" t="s">
        <v>19</v>
      </c>
      <c r="AE1513" s="78" t="s">
        <v>72</v>
      </c>
      <c r="AF1513" s="78" t="s">
        <v>51</v>
      </c>
      <c r="AG1513" s="78" t="s">
        <v>352</v>
      </c>
      <c r="AH1513" s="78">
        <v>4.1557042361827934</v>
      </c>
      <c r="AJ1513" s="78" t="s">
        <v>52</v>
      </c>
      <c r="AK1513" s="78" t="s">
        <v>19</v>
      </c>
      <c r="AL1513" s="78" t="s">
        <v>28</v>
      </c>
      <c r="AM1513" s="78" t="s">
        <v>51</v>
      </c>
      <c r="AN1513" s="78" t="s">
        <v>328</v>
      </c>
      <c r="AO1513" s="78">
        <v>1.5003201460334237</v>
      </c>
    </row>
    <row r="1514" spans="29:41">
      <c r="AC1514" s="78" t="s">
        <v>52</v>
      </c>
      <c r="AD1514" s="78" t="s">
        <v>19</v>
      </c>
      <c r="AE1514" s="78" t="s">
        <v>72</v>
      </c>
      <c r="AF1514" s="78" t="s">
        <v>51</v>
      </c>
      <c r="AG1514" s="78" t="s">
        <v>353</v>
      </c>
      <c r="AH1514" s="78">
        <v>4.1557042361827934</v>
      </c>
      <c r="AJ1514" s="78" t="s">
        <v>52</v>
      </c>
      <c r="AK1514" s="78" t="s">
        <v>19</v>
      </c>
      <c r="AL1514" s="78" t="s">
        <v>28</v>
      </c>
      <c r="AM1514" s="78" t="s">
        <v>51</v>
      </c>
      <c r="AN1514" s="78" t="s">
        <v>329</v>
      </c>
      <c r="AO1514" s="78">
        <v>1.5194988875535922</v>
      </c>
    </row>
    <row r="1515" spans="29:41">
      <c r="AC1515" s="78" t="s">
        <v>52</v>
      </c>
      <c r="AD1515" s="78" t="s">
        <v>19</v>
      </c>
      <c r="AE1515" s="78" t="s">
        <v>72</v>
      </c>
      <c r="AF1515" s="78" t="s">
        <v>51</v>
      </c>
      <c r="AG1515" s="78" t="s">
        <v>354</v>
      </c>
      <c r="AH1515" s="78">
        <v>4.2174218608486846</v>
      </c>
      <c r="AJ1515" s="78" t="s">
        <v>52</v>
      </c>
      <c r="AK1515" s="78" t="s">
        <v>19</v>
      </c>
      <c r="AL1515" s="78" t="s">
        <v>28</v>
      </c>
      <c r="AM1515" s="78" t="s">
        <v>51</v>
      </c>
      <c r="AN1515" s="78" t="s">
        <v>330</v>
      </c>
      <c r="AO1515" s="78">
        <v>1.5305507524427708</v>
      </c>
    </row>
    <row r="1516" spans="29:41">
      <c r="AC1516" s="78" t="s">
        <v>52</v>
      </c>
      <c r="AD1516" s="78" t="s">
        <v>19</v>
      </c>
      <c r="AE1516" s="78" t="s">
        <v>72</v>
      </c>
      <c r="AF1516" s="78" t="s">
        <v>51</v>
      </c>
      <c r="AG1516" s="78" t="s">
        <v>355</v>
      </c>
      <c r="AH1516" s="78">
        <v>4.0907972944729467</v>
      </c>
      <c r="AJ1516" s="78" t="s">
        <v>52</v>
      </c>
      <c r="AK1516" s="78" t="s">
        <v>19</v>
      </c>
      <c r="AL1516" s="78" t="s">
        <v>28</v>
      </c>
      <c r="AM1516" s="78" t="s">
        <v>51</v>
      </c>
      <c r="AN1516" s="78" t="s">
        <v>331</v>
      </c>
      <c r="AO1516" s="78">
        <v>1.556799176982802</v>
      </c>
    </row>
    <row r="1517" spans="29:41">
      <c r="AC1517" s="78" t="s">
        <v>52</v>
      </c>
      <c r="AD1517" s="78" t="s">
        <v>19</v>
      </c>
      <c r="AE1517" s="78" t="s">
        <v>72</v>
      </c>
      <c r="AF1517" s="78" t="s">
        <v>51</v>
      </c>
      <c r="AG1517" s="78" t="s">
        <v>356</v>
      </c>
      <c r="AH1517" s="78">
        <v>4.1851226297877071</v>
      </c>
      <c r="AJ1517" s="78" t="s">
        <v>52</v>
      </c>
      <c r="AK1517" s="78" t="s">
        <v>19</v>
      </c>
      <c r="AL1517" s="78" t="s">
        <v>28</v>
      </c>
      <c r="AM1517" s="78" t="s">
        <v>51</v>
      </c>
      <c r="AN1517" s="78" t="s">
        <v>332</v>
      </c>
      <c r="AO1517" s="78">
        <v>1.5088128461008894</v>
      </c>
    </row>
    <row r="1518" spans="29:41">
      <c r="AC1518" s="78" t="s">
        <v>52</v>
      </c>
      <c r="AD1518" s="78" t="s">
        <v>19</v>
      </c>
      <c r="AE1518" s="78" t="s">
        <v>72</v>
      </c>
      <c r="AF1518" s="78" t="s">
        <v>51</v>
      </c>
      <c r="AG1518" s="78" t="s">
        <v>357</v>
      </c>
      <c r="AH1518" s="78">
        <v>4.1557042361827934</v>
      </c>
      <c r="AJ1518" s="78" t="s">
        <v>52</v>
      </c>
      <c r="AK1518" s="78" t="s">
        <v>19</v>
      </c>
      <c r="AL1518" s="78" t="s">
        <v>28</v>
      </c>
      <c r="AM1518" s="78" t="s">
        <v>51</v>
      </c>
      <c r="AN1518" s="78" t="s">
        <v>333</v>
      </c>
      <c r="AO1518" s="78">
        <v>1.4560253753403627</v>
      </c>
    </row>
    <row r="1519" spans="29:41">
      <c r="AC1519" s="78" t="s">
        <v>52</v>
      </c>
      <c r="AD1519" s="78" t="s">
        <v>19</v>
      </c>
      <c r="AE1519" s="78" t="s">
        <v>72</v>
      </c>
      <c r="AF1519" s="78" t="s">
        <v>51</v>
      </c>
      <c r="AG1519" s="78" t="s">
        <v>358</v>
      </c>
      <c r="AH1519" s="78">
        <v>4.2174218608486846</v>
      </c>
      <c r="AJ1519" s="78" t="s">
        <v>52</v>
      </c>
      <c r="AK1519" s="78" t="s">
        <v>19</v>
      </c>
      <c r="AL1519" s="78" t="s">
        <v>28</v>
      </c>
      <c r="AM1519" s="78" t="s">
        <v>51</v>
      </c>
      <c r="AN1519" s="78" t="s">
        <v>334</v>
      </c>
      <c r="AO1519" s="78">
        <v>1.5246234974042736</v>
      </c>
    </row>
    <row r="1520" spans="29:41">
      <c r="AC1520" s="78" t="s">
        <v>52</v>
      </c>
      <c r="AD1520" s="78" t="s">
        <v>19</v>
      </c>
      <c r="AE1520" s="78" t="s">
        <v>72</v>
      </c>
      <c r="AF1520" s="78" t="s">
        <v>51</v>
      </c>
      <c r="AG1520" s="78" t="s">
        <v>359</v>
      </c>
      <c r="AH1520" s="78">
        <v>4.2194971642154622</v>
      </c>
      <c r="AJ1520" s="78" t="s">
        <v>52</v>
      </c>
      <c r="AK1520" s="78" t="s">
        <v>19</v>
      </c>
      <c r="AL1520" s="78" t="s">
        <v>28</v>
      </c>
      <c r="AM1520" s="78" t="s">
        <v>51</v>
      </c>
      <c r="AN1520" s="78" t="s">
        <v>335</v>
      </c>
      <c r="AO1520" s="78">
        <v>1.5428958076334109</v>
      </c>
    </row>
    <row r="1521" spans="29:41">
      <c r="AC1521" s="78" t="s">
        <v>52</v>
      </c>
      <c r="AD1521" s="78" t="s">
        <v>19</v>
      </c>
      <c r="AE1521" s="78" t="s">
        <v>72</v>
      </c>
      <c r="AF1521" s="78" t="s">
        <v>51</v>
      </c>
      <c r="AG1521" s="78" t="s">
        <v>360</v>
      </c>
      <c r="AH1521" s="78">
        <v>4.2194971642154622</v>
      </c>
      <c r="AJ1521" s="78" t="s">
        <v>52</v>
      </c>
      <c r="AK1521" s="78" t="s">
        <v>19</v>
      </c>
      <c r="AL1521" s="78" t="s">
        <v>28</v>
      </c>
      <c r="AM1521" s="78" t="s">
        <v>51</v>
      </c>
      <c r="AN1521" s="78" t="s">
        <v>315</v>
      </c>
      <c r="AO1521" s="78">
        <v>1.5493069674556876</v>
      </c>
    </row>
    <row r="1522" spans="29:41">
      <c r="AC1522" s="78" t="s">
        <v>52</v>
      </c>
      <c r="AD1522" s="78" t="s">
        <v>19</v>
      </c>
      <c r="AE1522" s="78" t="s">
        <v>72</v>
      </c>
      <c r="AF1522" s="78" t="s">
        <v>51</v>
      </c>
      <c r="AG1522" s="78" t="s">
        <v>361</v>
      </c>
      <c r="AH1522" s="78">
        <v>4.1871940628292794</v>
      </c>
      <c r="AJ1522" s="78" t="s">
        <v>52</v>
      </c>
      <c r="AK1522" s="78" t="s">
        <v>19</v>
      </c>
      <c r="AL1522" s="78" t="s">
        <v>28</v>
      </c>
      <c r="AM1522" s="78" t="s">
        <v>51</v>
      </c>
      <c r="AN1522" s="78" t="s">
        <v>336</v>
      </c>
      <c r="AO1522" s="78">
        <v>1.5452500406199678</v>
      </c>
    </row>
    <row r="1523" spans="29:41">
      <c r="AC1523" s="78" t="s">
        <v>52</v>
      </c>
      <c r="AD1523" s="78" t="s">
        <v>19</v>
      </c>
      <c r="AE1523" s="78" t="s">
        <v>72</v>
      </c>
      <c r="AF1523" s="78" t="s">
        <v>51</v>
      </c>
      <c r="AG1523" s="78" t="s">
        <v>362</v>
      </c>
      <c r="AH1523" s="78">
        <v>4.2488084289060692</v>
      </c>
      <c r="AJ1523" s="78" t="s">
        <v>52</v>
      </c>
      <c r="AK1523" s="78" t="s">
        <v>19</v>
      </c>
      <c r="AL1523" s="78" t="s">
        <v>28</v>
      </c>
      <c r="AM1523" s="78" t="s">
        <v>51</v>
      </c>
      <c r="AN1523" s="78" t="s">
        <v>337</v>
      </c>
      <c r="AO1523" s="78">
        <v>1.5126447445978526</v>
      </c>
    </row>
    <row r="1524" spans="29:41">
      <c r="AC1524" s="78" t="s">
        <v>52</v>
      </c>
      <c r="AD1524" s="78" t="s">
        <v>19</v>
      </c>
      <c r="AE1524" s="78" t="s">
        <v>72</v>
      </c>
      <c r="AF1524" s="78" t="s">
        <v>51</v>
      </c>
      <c r="AG1524" s="78" t="s">
        <v>363</v>
      </c>
      <c r="AH1524" s="78">
        <v>4.2194971642154622</v>
      </c>
      <c r="AJ1524" s="78" t="s">
        <v>52</v>
      </c>
      <c r="AK1524" s="78" t="s">
        <v>19</v>
      </c>
      <c r="AL1524" s="78" t="s">
        <v>28</v>
      </c>
      <c r="AM1524" s="78" t="s">
        <v>51</v>
      </c>
      <c r="AN1524" s="78" t="s">
        <v>338</v>
      </c>
      <c r="AO1524" s="78">
        <v>1.5396595396038395</v>
      </c>
    </row>
    <row r="1525" spans="29:41">
      <c r="AC1525" s="78" t="s">
        <v>52</v>
      </c>
      <c r="AD1525" s="78" t="s">
        <v>19</v>
      </c>
      <c r="AE1525" s="78" t="s">
        <v>72</v>
      </c>
      <c r="AF1525" s="78" t="s">
        <v>51</v>
      </c>
      <c r="AG1525" s="78" t="s">
        <v>364</v>
      </c>
      <c r="AH1525" s="78">
        <v>4.2488084289060692</v>
      </c>
      <c r="AJ1525" s="78" t="s">
        <v>52</v>
      </c>
      <c r="AK1525" s="78" t="s">
        <v>19</v>
      </c>
      <c r="AL1525" s="78" t="s">
        <v>28</v>
      </c>
      <c r="AM1525" s="78" t="s">
        <v>51</v>
      </c>
      <c r="AN1525" s="78" t="s">
        <v>314</v>
      </c>
      <c r="AO1525" s="78">
        <v>1.4789193051358598</v>
      </c>
    </row>
    <row r="1526" spans="29:41">
      <c r="AC1526" s="78" t="s">
        <v>52</v>
      </c>
      <c r="AD1526" s="78" t="s">
        <v>19</v>
      </c>
      <c r="AE1526" s="78" t="s">
        <v>72</v>
      </c>
      <c r="AF1526" s="78" t="s">
        <v>51</v>
      </c>
      <c r="AG1526" s="78" t="s">
        <v>365</v>
      </c>
      <c r="AH1526" s="78">
        <v>4.3131087489386006</v>
      </c>
      <c r="AJ1526" s="78" t="s">
        <v>52</v>
      </c>
      <c r="AK1526" s="78" t="s">
        <v>19</v>
      </c>
      <c r="AL1526" s="78" t="s">
        <v>28</v>
      </c>
      <c r="AM1526" s="78" t="s">
        <v>51</v>
      </c>
      <c r="AN1526" s="78" t="s">
        <v>317</v>
      </c>
      <c r="AO1526" s="78">
        <v>1.5699052495935495</v>
      </c>
    </row>
    <row r="1527" spans="29:41">
      <c r="AC1527" s="78" t="s">
        <v>52</v>
      </c>
      <c r="AD1527" s="78" t="s">
        <v>19</v>
      </c>
      <c r="AE1527" s="78" t="s">
        <v>72</v>
      </c>
      <c r="AF1527" s="78" t="s">
        <v>51</v>
      </c>
      <c r="AG1527" s="78" t="s">
        <v>366</v>
      </c>
      <c r="AH1527" s="78">
        <v>4.3131087489386006</v>
      </c>
      <c r="AJ1527" s="78" t="s">
        <v>52</v>
      </c>
      <c r="AK1527" s="78" t="s">
        <v>19</v>
      </c>
      <c r="AL1527" s="78" t="s">
        <v>28</v>
      </c>
      <c r="AM1527" s="78" t="s">
        <v>51</v>
      </c>
      <c r="AN1527" s="78" t="s">
        <v>344</v>
      </c>
      <c r="AO1527" s="78">
        <v>1.6023290451458849</v>
      </c>
    </row>
    <row r="1528" spans="29:41">
      <c r="AC1528" s="78" t="s">
        <v>52</v>
      </c>
      <c r="AD1528" s="78" t="s">
        <v>19</v>
      </c>
      <c r="AE1528" s="78" t="s">
        <v>72</v>
      </c>
      <c r="AF1528" s="78" t="s">
        <v>51</v>
      </c>
      <c r="AG1528" s="78" t="s">
        <v>367</v>
      </c>
      <c r="AH1528" s="78">
        <v>4.3131143092804933</v>
      </c>
      <c r="AJ1528" s="78" t="s">
        <v>52</v>
      </c>
      <c r="AK1528" s="78" t="s">
        <v>19</v>
      </c>
      <c r="AL1528" s="78" t="s">
        <v>28</v>
      </c>
      <c r="AM1528" s="78" t="s">
        <v>51</v>
      </c>
      <c r="AN1528" s="78" t="s">
        <v>342</v>
      </c>
      <c r="AO1528" s="78">
        <v>1.5655999586686868</v>
      </c>
    </row>
    <row r="1529" spans="29:41">
      <c r="AC1529" s="78" t="s">
        <v>52</v>
      </c>
      <c r="AD1529" s="78" t="s">
        <v>19</v>
      </c>
      <c r="AE1529" s="78" t="s">
        <v>72</v>
      </c>
      <c r="AF1529" s="78" t="s">
        <v>51</v>
      </c>
      <c r="AG1529" s="78" t="s">
        <v>368</v>
      </c>
      <c r="AH1529" s="78">
        <v>4.280990246513638</v>
      </c>
      <c r="AJ1529" s="78" t="s">
        <v>52</v>
      </c>
      <c r="AK1529" s="78" t="s">
        <v>19</v>
      </c>
      <c r="AL1529" s="78" t="s">
        <v>28</v>
      </c>
      <c r="AM1529" s="78" t="s">
        <v>51</v>
      </c>
      <c r="AN1529" s="78" t="s">
        <v>345</v>
      </c>
      <c r="AO1529" s="78">
        <v>1.6070982061775752</v>
      </c>
    </row>
    <row r="1530" spans="29:41">
      <c r="AC1530" s="78" t="s">
        <v>52</v>
      </c>
      <c r="AD1530" s="78" t="s">
        <v>19</v>
      </c>
      <c r="AE1530" s="78" t="s">
        <v>72</v>
      </c>
      <c r="AF1530" s="78" t="s">
        <v>51</v>
      </c>
      <c r="AG1530" s="78" t="s">
        <v>369</v>
      </c>
      <c r="AH1530" s="78">
        <v>4.280990246513638</v>
      </c>
      <c r="AJ1530" s="78" t="s">
        <v>52</v>
      </c>
      <c r="AK1530" s="78" t="s">
        <v>19</v>
      </c>
      <c r="AL1530" s="78" t="s">
        <v>28</v>
      </c>
      <c r="AM1530" s="78" t="s">
        <v>51</v>
      </c>
      <c r="AN1530" s="78" t="s">
        <v>346</v>
      </c>
      <c r="AO1530" s="78">
        <v>1.625360913117694</v>
      </c>
    </row>
    <row r="1531" spans="29:41">
      <c r="AC1531" s="78" t="s">
        <v>52</v>
      </c>
      <c r="AD1531" s="78" t="s">
        <v>19</v>
      </c>
      <c r="AE1531" s="78" t="s">
        <v>72</v>
      </c>
      <c r="AF1531" s="78" t="s">
        <v>51</v>
      </c>
      <c r="AG1531" s="78" t="s">
        <v>370</v>
      </c>
      <c r="AH1531" s="78">
        <v>4.2194971642154622</v>
      </c>
      <c r="AJ1531" s="78" t="s">
        <v>52</v>
      </c>
      <c r="AK1531" s="78" t="s">
        <v>19</v>
      </c>
      <c r="AL1531" s="78" t="s">
        <v>28</v>
      </c>
      <c r="AM1531" s="78" t="s">
        <v>51</v>
      </c>
      <c r="AN1531" s="78" t="s">
        <v>343</v>
      </c>
      <c r="AO1531" s="78">
        <v>1.5564805228220826</v>
      </c>
    </row>
    <row r="1532" spans="29:41">
      <c r="AC1532" s="78" t="s">
        <v>52</v>
      </c>
      <c r="AD1532" s="78" t="s">
        <v>19</v>
      </c>
      <c r="AE1532" s="78" t="s">
        <v>72</v>
      </c>
      <c r="AF1532" s="78" t="s">
        <v>51</v>
      </c>
      <c r="AG1532" s="78" t="s">
        <v>371</v>
      </c>
      <c r="AH1532" s="78">
        <v>4.2194971642154622</v>
      </c>
      <c r="AJ1532" s="78" t="s">
        <v>52</v>
      </c>
      <c r="AK1532" s="78" t="s">
        <v>19</v>
      </c>
      <c r="AL1532" s="78" t="s">
        <v>28</v>
      </c>
      <c r="AM1532" s="78" t="s">
        <v>51</v>
      </c>
      <c r="AN1532" s="78" t="s">
        <v>341</v>
      </c>
      <c r="AO1532" s="78">
        <v>1.6086670185292171</v>
      </c>
    </row>
    <row r="1533" spans="29:41">
      <c r="AC1533" s="78" t="s">
        <v>52</v>
      </c>
      <c r="AD1533" s="78" t="s">
        <v>19</v>
      </c>
      <c r="AE1533" s="78" t="s">
        <v>72</v>
      </c>
      <c r="AF1533" s="78" t="s">
        <v>51</v>
      </c>
      <c r="AG1533" s="78" t="s">
        <v>372</v>
      </c>
      <c r="AH1533" s="78">
        <v>4.2488084289060692</v>
      </c>
      <c r="AJ1533" s="78" t="s">
        <v>52</v>
      </c>
      <c r="AK1533" s="78" t="s">
        <v>19</v>
      </c>
      <c r="AL1533" s="78" t="s">
        <v>28</v>
      </c>
      <c r="AM1533" s="78" t="s">
        <v>51</v>
      </c>
      <c r="AN1533" s="78" t="s">
        <v>347</v>
      </c>
      <c r="AO1533" s="78">
        <v>1.6619808172122967</v>
      </c>
    </row>
    <row r="1534" spans="29:41">
      <c r="AC1534" s="78" t="s">
        <v>52</v>
      </c>
      <c r="AD1534" s="78" t="s">
        <v>19</v>
      </c>
      <c r="AE1534" s="78" t="s">
        <v>72</v>
      </c>
      <c r="AF1534" s="78" t="s">
        <v>51</v>
      </c>
      <c r="AG1534" s="78" t="s">
        <v>373</v>
      </c>
      <c r="AH1534" s="78">
        <v>4.280990246513638</v>
      </c>
      <c r="AJ1534" s="78" t="s">
        <v>52</v>
      </c>
      <c r="AK1534" s="78" t="s">
        <v>19</v>
      </c>
      <c r="AL1534" s="78" t="s">
        <v>28</v>
      </c>
      <c r="AM1534" s="78" t="s">
        <v>51</v>
      </c>
      <c r="AN1534" s="78" t="s">
        <v>348</v>
      </c>
      <c r="AO1534" s="78">
        <v>1.5054704133353025</v>
      </c>
    </row>
    <row r="1535" spans="29:41">
      <c r="AC1535" s="78" t="s">
        <v>52</v>
      </c>
      <c r="AD1535" s="78" t="s">
        <v>19</v>
      </c>
      <c r="AE1535" s="78" t="s">
        <v>72</v>
      </c>
      <c r="AF1535" s="78" t="s">
        <v>51</v>
      </c>
      <c r="AG1535" s="78" t="s">
        <v>374</v>
      </c>
      <c r="AH1535" s="78">
        <v>4.3131087489386006</v>
      </c>
      <c r="AJ1535" s="78" t="s">
        <v>52</v>
      </c>
      <c r="AK1535" s="78" t="s">
        <v>19</v>
      </c>
      <c r="AL1535" s="78" t="s">
        <v>28</v>
      </c>
      <c r="AM1535" s="78" t="s">
        <v>51</v>
      </c>
      <c r="AN1535" s="78" t="s">
        <v>349</v>
      </c>
      <c r="AO1535" s="78">
        <v>1.6229776172777968</v>
      </c>
    </row>
    <row r="1536" spans="29:41">
      <c r="AC1536" s="78" t="s">
        <v>52</v>
      </c>
      <c r="AD1536" s="78" t="s">
        <v>19</v>
      </c>
      <c r="AE1536" s="78" t="s">
        <v>72</v>
      </c>
      <c r="AF1536" s="78" t="s">
        <v>51</v>
      </c>
      <c r="AG1536" s="78" t="s">
        <v>375</v>
      </c>
      <c r="AH1536" s="78">
        <v>4.2488084289060692</v>
      </c>
      <c r="AJ1536" s="78" t="s">
        <v>52</v>
      </c>
      <c r="AK1536" s="78" t="s">
        <v>19</v>
      </c>
      <c r="AL1536" s="78" t="s">
        <v>28</v>
      </c>
      <c r="AM1536" s="78" t="s">
        <v>51</v>
      </c>
      <c r="AN1536" s="78" t="s">
        <v>350</v>
      </c>
      <c r="AO1536" s="78">
        <v>1.5817832435359871</v>
      </c>
    </row>
    <row r="1537" spans="29:41">
      <c r="AC1537" s="78" t="s">
        <v>52</v>
      </c>
      <c r="AD1537" s="78" t="s">
        <v>19</v>
      </c>
      <c r="AE1537" s="78" t="s">
        <v>72</v>
      </c>
      <c r="AF1537" s="78" t="s">
        <v>51</v>
      </c>
      <c r="AG1537" s="78" t="s">
        <v>376</v>
      </c>
      <c r="AH1537" s="78">
        <v>4.1557042361827934</v>
      </c>
      <c r="AJ1537" s="78" t="s">
        <v>52</v>
      </c>
      <c r="AK1537" s="78" t="s">
        <v>19</v>
      </c>
      <c r="AL1537" s="78" t="s">
        <v>28</v>
      </c>
      <c r="AM1537" s="78" t="s">
        <v>51</v>
      </c>
      <c r="AN1537" s="78" t="s">
        <v>351</v>
      </c>
      <c r="AO1537" s="78">
        <v>1.6428887105467396</v>
      </c>
    </row>
    <row r="1538" spans="29:41">
      <c r="AC1538" s="78" t="s">
        <v>52</v>
      </c>
      <c r="AD1538" s="78" t="s">
        <v>19</v>
      </c>
      <c r="AE1538" s="78" t="s">
        <v>72</v>
      </c>
      <c r="AF1538" s="78" t="s">
        <v>51</v>
      </c>
      <c r="AG1538" s="78" t="s">
        <v>377</v>
      </c>
      <c r="AH1538" s="78">
        <v>4.1557042361827934</v>
      </c>
      <c r="AJ1538" s="78" t="s">
        <v>52</v>
      </c>
      <c r="AK1538" s="78" t="s">
        <v>19</v>
      </c>
      <c r="AL1538" s="78" t="s">
        <v>28</v>
      </c>
      <c r="AM1538" s="78" t="s">
        <v>51</v>
      </c>
      <c r="AN1538" s="78" t="s">
        <v>352</v>
      </c>
      <c r="AO1538" s="78">
        <v>1.6107382439559039</v>
      </c>
    </row>
    <row r="1539" spans="29:41">
      <c r="AC1539" s="78" t="s">
        <v>52</v>
      </c>
      <c r="AD1539" s="78" t="s">
        <v>19</v>
      </c>
      <c r="AE1539" s="78" t="s">
        <v>72</v>
      </c>
      <c r="AF1539" s="78" t="s">
        <v>51</v>
      </c>
      <c r="AG1539" s="78" t="s">
        <v>378</v>
      </c>
      <c r="AH1539" s="78">
        <v>4.1557042361827934</v>
      </c>
      <c r="AJ1539" s="78" t="s">
        <v>52</v>
      </c>
      <c r="AK1539" s="78" t="s">
        <v>19</v>
      </c>
      <c r="AL1539" s="78" t="s">
        <v>28</v>
      </c>
      <c r="AM1539" s="78" t="s">
        <v>51</v>
      </c>
      <c r="AN1539" s="78" t="s">
        <v>353</v>
      </c>
      <c r="AO1539" s="78">
        <v>1.6016746890558839</v>
      </c>
    </row>
    <row r="1540" spans="29:41">
      <c r="AC1540" s="78" t="s">
        <v>52</v>
      </c>
      <c r="AD1540" s="78" t="s">
        <v>19</v>
      </c>
      <c r="AE1540" s="78" t="s">
        <v>72</v>
      </c>
      <c r="AF1540" s="78" t="s">
        <v>51</v>
      </c>
      <c r="AG1540" s="78" t="s">
        <v>379</v>
      </c>
      <c r="AH1540" s="78">
        <v>4.0907972944729467</v>
      </c>
      <c r="AJ1540" s="78" t="s">
        <v>52</v>
      </c>
      <c r="AK1540" s="78" t="s">
        <v>19</v>
      </c>
      <c r="AL1540" s="78" t="s">
        <v>28</v>
      </c>
      <c r="AM1540" s="78" t="s">
        <v>51</v>
      </c>
      <c r="AN1540" s="78" t="s">
        <v>354</v>
      </c>
      <c r="AO1540" s="78">
        <v>1.6817551162896152</v>
      </c>
    </row>
    <row r="1541" spans="29:41">
      <c r="AC1541" s="78" t="s">
        <v>52</v>
      </c>
      <c r="AD1541" s="78" t="s">
        <v>19</v>
      </c>
      <c r="AE1541" s="78" t="s">
        <v>72</v>
      </c>
      <c r="AF1541" s="78" t="s">
        <v>51</v>
      </c>
      <c r="AG1541" s="78" t="s">
        <v>380</v>
      </c>
      <c r="AH1541" s="78">
        <v>4.0612091257194027</v>
      </c>
      <c r="AJ1541" s="78" t="s">
        <v>52</v>
      </c>
      <c r="AK1541" s="78" t="s">
        <v>19</v>
      </c>
      <c r="AL1541" s="78" t="s">
        <v>28</v>
      </c>
      <c r="AM1541" s="78" t="s">
        <v>51</v>
      </c>
      <c r="AN1541" s="78" t="s">
        <v>416</v>
      </c>
      <c r="AO1541" s="78">
        <v>1.6817551162896152</v>
      </c>
    </row>
    <row r="1542" spans="29:41">
      <c r="AC1542" s="78" t="s">
        <v>52</v>
      </c>
      <c r="AD1542" s="78" t="s">
        <v>19</v>
      </c>
      <c r="AE1542" s="78" t="s">
        <v>72</v>
      </c>
      <c r="AF1542" s="78" t="s">
        <v>51</v>
      </c>
      <c r="AG1542" s="78" t="s">
        <v>381</v>
      </c>
      <c r="AH1542" s="78">
        <v>4.0286005844162132</v>
      </c>
      <c r="AJ1542" s="78" t="s">
        <v>52</v>
      </c>
      <c r="AK1542" s="78" t="s">
        <v>19</v>
      </c>
      <c r="AL1542" s="78" t="s">
        <v>28</v>
      </c>
      <c r="AM1542" s="78" t="s">
        <v>51</v>
      </c>
      <c r="AN1542" s="78" t="s">
        <v>355</v>
      </c>
      <c r="AO1542" s="78">
        <v>1.5971890824610468</v>
      </c>
    </row>
    <row r="1543" spans="29:41">
      <c r="AC1543" s="78" t="s">
        <v>52</v>
      </c>
      <c r="AD1543" s="78" t="s">
        <v>19</v>
      </c>
      <c r="AE1543" s="78" t="s">
        <v>72</v>
      </c>
      <c r="AF1543" s="78" t="s">
        <v>51</v>
      </c>
      <c r="AG1543" s="78" t="s">
        <v>382</v>
      </c>
      <c r="AH1543" s="78">
        <v>4.0612091257194027</v>
      </c>
      <c r="AJ1543" s="78" t="s">
        <v>52</v>
      </c>
      <c r="AK1543" s="78" t="s">
        <v>19</v>
      </c>
      <c r="AL1543" s="78" t="s">
        <v>28</v>
      </c>
      <c r="AM1543" s="78" t="s">
        <v>51</v>
      </c>
      <c r="AN1543" s="78" t="s">
        <v>356</v>
      </c>
      <c r="AO1543" s="78">
        <v>1.6292114893400469</v>
      </c>
    </row>
    <row r="1544" spans="29:41">
      <c r="AC1544" s="78" t="s">
        <v>52</v>
      </c>
      <c r="AD1544" s="78" t="s">
        <v>19</v>
      </c>
      <c r="AE1544" s="78" t="s">
        <v>72</v>
      </c>
      <c r="AF1544" s="78" t="s">
        <v>51</v>
      </c>
      <c r="AG1544" s="78" t="s">
        <v>383</v>
      </c>
      <c r="AH1544" s="78">
        <v>4.0612091257194027</v>
      </c>
      <c r="AJ1544" s="78" t="s">
        <v>52</v>
      </c>
      <c r="AK1544" s="78" t="s">
        <v>19</v>
      </c>
      <c r="AL1544" s="78" t="s">
        <v>28</v>
      </c>
      <c r="AM1544" s="78" t="s">
        <v>51</v>
      </c>
      <c r="AN1544" s="78" t="s">
        <v>357</v>
      </c>
      <c r="AO1544" s="78">
        <v>1.6283496629552738</v>
      </c>
    </row>
    <row r="1545" spans="29:41">
      <c r="AC1545" s="78" t="s">
        <v>52</v>
      </c>
      <c r="AD1545" s="78" t="s">
        <v>19</v>
      </c>
      <c r="AE1545" s="78" t="s">
        <v>72</v>
      </c>
      <c r="AF1545" s="78" t="s">
        <v>51</v>
      </c>
      <c r="AG1545" s="78" t="s">
        <v>384</v>
      </c>
      <c r="AH1545" s="78">
        <v>4.0612091257194027</v>
      </c>
      <c r="AJ1545" s="78" t="s">
        <v>52</v>
      </c>
      <c r="AK1545" s="78" t="s">
        <v>19</v>
      </c>
      <c r="AL1545" s="78" t="s">
        <v>28</v>
      </c>
      <c r="AM1545" s="78" t="s">
        <v>51</v>
      </c>
      <c r="AN1545" s="78" t="s">
        <v>358</v>
      </c>
      <c r="AO1545" s="78">
        <v>1.6014104739474049</v>
      </c>
    </row>
    <row r="1546" spans="29:41">
      <c r="AC1546" s="78" t="s">
        <v>52</v>
      </c>
      <c r="AD1546" s="78" t="s">
        <v>19</v>
      </c>
      <c r="AE1546" s="78" t="s">
        <v>72</v>
      </c>
      <c r="AF1546" s="78" t="s">
        <v>51</v>
      </c>
      <c r="AG1546" s="78" t="s">
        <v>385</v>
      </c>
      <c r="AH1546" s="78">
        <v>4.0612091257194027</v>
      </c>
      <c r="AJ1546" s="78" t="s">
        <v>52</v>
      </c>
      <c r="AK1546" s="78" t="s">
        <v>19</v>
      </c>
      <c r="AL1546" s="78" t="s">
        <v>28</v>
      </c>
      <c r="AM1546" s="78" t="s">
        <v>51</v>
      </c>
      <c r="AN1546" s="78" t="s">
        <v>359</v>
      </c>
      <c r="AO1546" s="78">
        <v>1.5823104882944325</v>
      </c>
    </row>
    <row r="1547" spans="29:41">
      <c r="AC1547" s="78" t="s">
        <v>52</v>
      </c>
      <c r="AD1547" s="78" t="s">
        <v>19</v>
      </c>
      <c r="AE1547" s="78" t="s">
        <v>72</v>
      </c>
      <c r="AF1547" s="78" t="s">
        <v>51</v>
      </c>
      <c r="AG1547" s="78" t="s">
        <v>386</v>
      </c>
      <c r="AH1547" s="78">
        <v>4.0286005844162132</v>
      </c>
      <c r="AJ1547" s="78" t="s">
        <v>52</v>
      </c>
      <c r="AK1547" s="78" t="s">
        <v>19</v>
      </c>
      <c r="AL1547" s="78" t="s">
        <v>28</v>
      </c>
      <c r="AM1547" s="78" t="s">
        <v>51</v>
      </c>
      <c r="AN1547" s="78" t="s">
        <v>360</v>
      </c>
      <c r="AO1547" s="78">
        <v>1.6154655457037328</v>
      </c>
    </row>
    <row r="1548" spans="29:41">
      <c r="AC1548" s="78" t="s">
        <v>52</v>
      </c>
      <c r="AD1548" s="78" t="s">
        <v>19</v>
      </c>
      <c r="AE1548" s="78" t="s">
        <v>72</v>
      </c>
      <c r="AF1548" s="78" t="s">
        <v>51</v>
      </c>
      <c r="AG1548" s="78" t="s">
        <v>387</v>
      </c>
      <c r="AH1548" s="78">
        <v>4.0612091257194027</v>
      </c>
      <c r="AJ1548" s="78" t="s">
        <v>52</v>
      </c>
      <c r="AK1548" s="78" t="s">
        <v>19</v>
      </c>
      <c r="AL1548" s="78" t="s">
        <v>28</v>
      </c>
      <c r="AM1548" s="78" t="s">
        <v>51</v>
      </c>
      <c r="AN1548" s="78" t="s">
        <v>361</v>
      </c>
      <c r="AO1548" s="78">
        <v>1.5415503498125098</v>
      </c>
    </row>
    <row r="1549" spans="29:41">
      <c r="AC1549" s="78" t="s">
        <v>52</v>
      </c>
      <c r="AD1549" s="78" t="s">
        <v>19</v>
      </c>
      <c r="AE1549" s="78" t="s">
        <v>72</v>
      </c>
      <c r="AF1549" s="78" t="s">
        <v>51</v>
      </c>
      <c r="AG1549" s="78" t="s">
        <v>388</v>
      </c>
      <c r="AH1549" s="78">
        <v>4.0907972944729467</v>
      </c>
      <c r="AJ1549" s="78" t="s">
        <v>52</v>
      </c>
      <c r="AK1549" s="78" t="s">
        <v>19</v>
      </c>
      <c r="AL1549" s="78" t="s">
        <v>28</v>
      </c>
      <c r="AM1549" s="78" t="s">
        <v>51</v>
      </c>
      <c r="AN1549" s="78" t="s">
        <v>362</v>
      </c>
      <c r="AO1549" s="78">
        <v>1.5690924781130093</v>
      </c>
    </row>
    <row r="1550" spans="29:41">
      <c r="AC1550" s="78" t="s">
        <v>52</v>
      </c>
      <c r="AD1550" s="78" t="s">
        <v>19</v>
      </c>
      <c r="AE1550" s="78" t="s">
        <v>72</v>
      </c>
      <c r="AF1550" s="78" t="s">
        <v>51</v>
      </c>
      <c r="AG1550" s="78" t="s">
        <v>389</v>
      </c>
      <c r="AH1550" s="78">
        <v>4.0612091257194027</v>
      </c>
      <c r="AJ1550" s="78" t="s">
        <v>52</v>
      </c>
      <c r="AK1550" s="78" t="s">
        <v>19</v>
      </c>
      <c r="AL1550" s="78" t="s">
        <v>28</v>
      </c>
      <c r="AM1550" s="78" t="s">
        <v>51</v>
      </c>
      <c r="AN1550" s="78" t="s">
        <v>363</v>
      </c>
      <c r="AO1550" s="78">
        <v>1.5876724844686128</v>
      </c>
    </row>
    <row r="1551" spans="29:41">
      <c r="AC1551" s="78" t="s">
        <v>52</v>
      </c>
      <c r="AD1551" s="78" t="s">
        <v>19</v>
      </c>
      <c r="AE1551" s="78" t="s">
        <v>72</v>
      </c>
      <c r="AF1551" s="78" t="s">
        <v>51</v>
      </c>
      <c r="AG1551" s="78" t="s">
        <v>418</v>
      </c>
      <c r="AH1551" s="78">
        <v>4.0907972944729467</v>
      </c>
      <c r="AJ1551" s="78" t="s">
        <v>52</v>
      </c>
      <c r="AK1551" s="78" t="s">
        <v>19</v>
      </c>
      <c r="AL1551" s="78" t="s">
        <v>28</v>
      </c>
      <c r="AM1551" s="78" t="s">
        <v>51</v>
      </c>
      <c r="AN1551" s="78" t="s">
        <v>364</v>
      </c>
      <c r="AO1551" s="78">
        <v>1.5494923467389097</v>
      </c>
    </row>
    <row r="1552" spans="29:41">
      <c r="AC1552" s="78" t="s">
        <v>52</v>
      </c>
      <c r="AD1552" s="78" t="s">
        <v>19</v>
      </c>
      <c r="AE1552" s="78" t="s">
        <v>72</v>
      </c>
      <c r="AF1552" s="78" t="s">
        <v>51</v>
      </c>
      <c r="AG1552" s="78" t="s">
        <v>390</v>
      </c>
      <c r="AH1552" s="78">
        <v>4.1232828633845466</v>
      </c>
      <c r="AJ1552" s="78" t="s">
        <v>52</v>
      </c>
      <c r="AK1552" s="78" t="s">
        <v>19</v>
      </c>
      <c r="AL1552" s="78" t="s">
        <v>28</v>
      </c>
      <c r="AM1552" s="78" t="s">
        <v>51</v>
      </c>
      <c r="AN1552" s="78" t="s">
        <v>365</v>
      </c>
      <c r="AO1552" s="78">
        <v>1.6044086038469412</v>
      </c>
    </row>
    <row r="1553" spans="29:41">
      <c r="AC1553" s="78" t="s">
        <v>52</v>
      </c>
      <c r="AD1553" s="78" t="s">
        <v>19</v>
      </c>
      <c r="AE1553" s="78" t="s">
        <v>72</v>
      </c>
      <c r="AF1553" s="78" t="s">
        <v>51</v>
      </c>
      <c r="AG1553" s="78" t="s">
        <v>419</v>
      </c>
      <c r="AH1553" s="78">
        <v>4.1871940628292794</v>
      </c>
      <c r="AJ1553" s="78" t="s">
        <v>52</v>
      </c>
      <c r="AK1553" s="78" t="s">
        <v>19</v>
      </c>
      <c r="AL1553" s="78" t="s">
        <v>28</v>
      </c>
      <c r="AM1553" s="78" t="s">
        <v>51</v>
      </c>
      <c r="AN1553" s="78" t="s">
        <v>366</v>
      </c>
      <c r="AO1553" s="78">
        <v>1.5719229752881709</v>
      </c>
    </row>
    <row r="1554" spans="29:41">
      <c r="AC1554" s="78" t="s">
        <v>52</v>
      </c>
      <c r="AD1554" s="78" t="s">
        <v>19</v>
      </c>
      <c r="AE1554" s="78" t="s">
        <v>72</v>
      </c>
      <c r="AF1554" s="78" t="s">
        <v>51</v>
      </c>
      <c r="AG1554" s="78" t="s">
        <v>391</v>
      </c>
      <c r="AH1554" s="78">
        <v>4.2194971642154622</v>
      </c>
      <c r="AJ1554" s="78" t="s">
        <v>52</v>
      </c>
      <c r="AK1554" s="78" t="s">
        <v>19</v>
      </c>
      <c r="AL1554" s="78" t="s">
        <v>28</v>
      </c>
      <c r="AM1554" s="78" t="s">
        <v>51</v>
      </c>
      <c r="AN1554" s="78" t="s">
        <v>367</v>
      </c>
      <c r="AO1554" s="78">
        <v>1.5829029660201936</v>
      </c>
    </row>
    <row r="1555" spans="29:41">
      <c r="AC1555" s="78" t="s">
        <v>52</v>
      </c>
      <c r="AD1555" s="78" t="s">
        <v>19</v>
      </c>
      <c r="AE1555" s="78" t="s">
        <v>72</v>
      </c>
      <c r="AF1555" s="78" t="s">
        <v>51</v>
      </c>
      <c r="AG1555" s="78" t="s">
        <v>392</v>
      </c>
      <c r="AH1555" s="78">
        <v>4.1871940628292794</v>
      </c>
      <c r="AJ1555" s="78" t="s">
        <v>52</v>
      </c>
      <c r="AK1555" s="78" t="s">
        <v>19</v>
      </c>
      <c r="AL1555" s="78" t="s">
        <v>28</v>
      </c>
      <c r="AM1555" s="78" t="s">
        <v>51</v>
      </c>
      <c r="AN1555" s="78" t="s">
        <v>368</v>
      </c>
      <c r="AO1555" s="78">
        <v>1.5321234762912677</v>
      </c>
    </row>
    <row r="1556" spans="29:41">
      <c r="AC1556" s="78" t="s">
        <v>52</v>
      </c>
      <c r="AD1556" s="78" t="s">
        <v>19</v>
      </c>
      <c r="AE1556" s="78" t="s">
        <v>72</v>
      </c>
      <c r="AF1556" s="78" t="s">
        <v>51</v>
      </c>
      <c r="AG1556" s="78" t="s">
        <v>393</v>
      </c>
      <c r="AH1556" s="78">
        <v>4.1871940628292794</v>
      </c>
      <c r="AJ1556" s="78" t="s">
        <v>52</v>
      </c>
      <c r="AK1556" s="78" t="s">
        <v>19</v>
      </c>
      <c r="AL1556" s="78" t="s">
        <v>28</v>
      </c>
      <c r="AM1556" s="78" t="s">
        <v>51</v>
      </c>
      <c r="AN1556" s="78" t="s">
        <v>369</v>
      </c>
      <c r="AO1556" s="78">
        <v>1.5820822546484778</v>
      </c>
    </row>
    <row r="1557" spans="29:41">
      <c r="AC1557" s="78" t="s">
        <v>52</v>
      </c>
      <c r="AD1557" s="78" t="s">
        <v>19</v>
      </c>
      <c r="AE1557" s="78" t="s">
        <v>72</v>
      </c>
      <c r="AF1557" s="78" t="s">
        <v>51</v>
      </c>
      <c r="AG1557" s="78" t="s">
        <v>394</v>
      </c>
      <c r="AH1557" s="78">
        <v>4.2194971642154622</v>
      </c>
      <c r="AJ1557" s="78" t="s">
        <v>52</v>
      </c>
      <c r="AK1557" s="78" t="s">
        <v>19</v>
      </c>
      <c r="AL1557" s="78" t="s">
        <v>28</v>
      </c>
      <c r="AM1557" s="78" t="s">
        <v>51</v>
      </c>
      <c r="AN1557" s="78" t="s">
        <v>370</v>
      </c>
      <c r="AO1557" s="78">
        <v>1.5687326430259128</v>
      </c>
    </row>
    <row r="1558" spans="29:41">
      <c r="AC1558" s="78" t="s">
        <v>52</v>
      </c>
      <c r="AD1558" s="78" t="s">
        <v>19</v>
      </c>
      <c r="AE1558" s="78" t="s">
        <v>72</v>
      </c>
      <c r="AF1558" s="78" t="s">
        <v>51</v>
      </c>
      <c r="AG1558" s="78" t="s">
        <v>395</v>
      </c>
      <c r="AH1558" s="78">
        <v>4.2194971642154622</v>
      </c>
      <c r="AJ1558" s="78" t="s">
        <v>52</v>
      </c>
      <c r="AK1558" s="78" t="s">
        <v>19</v>
      </c>
      <c r="AL1558" s="78" t="s">
        <v>28</v>
      </c>
      <c r="AM1558" s="78" t="s">
        <v>51</v>
      </c>
      <c r="AN1558" s="78" t="s">
        <v>371</v>
      </c>
      <c r="AO1558" s="78">
        <v>1.5751536601250025</v>
      </c>
    </row>
    <row r="1559" spans="29:41">
      <c r="AC1559" s="78" t="s">
        <v>52</v>
      </c>
      <c r="AD1559" s="78" t="s">
        <v>19</v>
      </c>
      <c r="AE1559" s="78" t="s">
        <v>72</v>
      </c>
      <c r="AF1559" s="78" t="s">
        <v>51</v>
      </c>
      <c r="AG1559" s="78" t="s">
        <v>396</v>
      </c>
      <c r="AH1559" s="78">
        <v>4.1871940628292794</v>
      </c>
      <c r="AJ1559" s="78" t="s">
        <v>52</v>
      </c>
      <c r="AK1559" s="78" t="s">
        <v>19</v>
      </c>
      <c r="AL1559" s="78" t="s">
        <v>28</v>
      </c>
      <c r="AM1559" s="78" t="s">
        <v>51</v>
      </c>
      <c r="AN1559" s="78" t="s">
        <v>372</v>
      </c>
      <c r="AO1559" s="78">
        <v>1.5488279872715196</v>
      </c>
    </row>
    <row r="1560" spans="29:41">
      <c r="AC1560" s="78" t="s">
        <v>52</v>
      </c>
      <c r="AD1560" s="78" t="s">
        <v>19</v>
      </c>
      <c r="AE1560" s="78" t="s">
        <v>72</v>
      </c>
      <c r="AF1560" s="78" t="s">
        <v>51</v>
      </c>
      <c r="AG1560" s="78" t="s">
        <v>397</v>
      </c>
      <c r="AH1560" s="78">
        <v>4.1851226297877071</v>
      </c>
      <c r="AJ1560" s="78" t="s">
        <v>52</v>
      </c>
      <c r="AK1560" s="78" t="s">
        <v>19</v>
      </c>
      <c r="AL1560" s="78" t="s">
        <v>28</v>
      </c>
      <c r="AM1560" s="78" t="s">
        <v>51</v>
      </c>
      <c r="AN1560" s="78" t="s">
        <v>373</v>
      </c>
      <c r="AO1560" s="78">
        <v>1.562822251293768</v>
      </c>
    </row>
    <row r="1561" spans="29:41">
      <c r="AC1561" s="78" t="s">
        <v>52</v>
      </c>
      <c r="AD1561" s="78" t="s">
        <v>19</v>
      </c>
      <c r="AE1561" s="78" t="s">
        <v>72</v>
      </c>
      <c r="AF1561" s="78" t="s">
        <v>51</v>
      </c>
      <c r="AG1561" s="78" t="s">
        <v>398</v>
      </c>
      <c r="AH1561" s="78">
        <v>4.1232828633845466</v>
      </c>
      <c r="AJ1561" s="78" t="s">
        <v>52</v>
      </c>
      <c r="AK1561" s="78" t="s">
        <v>19</v>
      </c>
      <c r="AL1561" s="78" t="s">
        <v>28</v>
      </c>
      <c r="AM1561" s="78" t="s">
        <v>51</v>
      </c>
      <c r="AN1561" s="78" t="s">
        <v>374</v>
      </c>
      <c r="AO1561" s="78">
        <v>1.6472620268025409</v>
      </c>
    </row>
    <row r="1562" spans="29:41">
      <c r="AC1562" s="78" t="s">
        <v>52</v>
      </c>
      <c r="AD1562" s="78" t="s">
        <v>19</v>
      </c>
      <c r="AE1562" s="78" t="s">
        <v>72</v>
      </c>
      <c r="AF1562" s="78" t="s">
        <v>51</v>
      </c>
      <c r="AG1562" s="78" t="s">
        <v>399</v>
      </c>
      <c r="AH1562" s="78">
        <v>4.0907972944729467</v>
      </c>
      <c r="AJ1562" s="78" t="s">
        <v>52</v>
      </c>
      <c r="AK1562" s="78" t="s">
        <v>19</v>
      </c>
      <c r="AL1562" s="78" t="s">
        <v>28</v>
      </c>
      <c r="AM1562" s="78" t="s">
        <v>51</v>
      </c>
      <c r="AN1562" s="78" t="s">
        <v>417</v>
      </c>
      <c r="AO1562" s="78">
        <v>1.6472620268025409</v>
      </c>
    </row>
    <row r="1563" spans="29:41">
      <c r="AC1563" s="78" t="s">
        <v>52</v>
      </c>
      <c r="AD1563" s="78" t="s">
        <v>19</v>
      </c>
      <c r="AE1563" s="78" t="s">
        <v>72</v>
      </c>
      <c r="AF1563" s="78" t="s">
        <v>51</v>
      </c>
      <c r="AG1563" s="78" t="s">
        <v>400</v>
      </c>
      <c r="AH1563" s="78">
        <v>4.0907972944729467</v>
      </c>
      <c r="AJ1563" s="78" t="s">
        <v>52</v>
      </c>
      <c r="AK1563" s="78" t="s">
        <v>19</v>
      </c>
      <c r="AL1563" s="78" t="s">
        <v>28</v>
      </c>
      <c r="AM1563" s="78" t="s">
        <v>51</v>
      </c>
      <c r="AN1563" s="78" t="s">
        <v>375</v>
      </c>
      <c r="AO1563" s="78">
        <v>1.5703511056861998</v>
      </c>
    </row>
    <row r="1564" spans="29:41">
      <c r="AC1564" s="78" t="s">
        <v>52</v>
      </c>
      <c r="AD1564" s="78" t="s">
        <v>19</v>
      </c>
      <c r="AE1564" s="78" t="s">
        <v>72</v>
      </c>
      <c r="AF1564" s="78" t="s">
        <v>51</v>
      </c>
      <c r="AG1564" s="78" t="s">
        <v>401</v>
      </c>
      <c r="AH1564" s="78">
        <v>4.0612091257194027</v>
      </c>
      <c r="AJ1564" s="78" t="s">
        <v>52</v>
      </c>
      <c r="AK1564" s="78" t="s">
        <v>19</v>
      </c>
      <c r="AL1564" s="78" t="s">
        <v>28</v>
      </c>
      <c r="AM1564" s="78" t="s">
        <v>51</v>
      </c>
      <c r="AN1564" s="78" t="s">
        <v>376</v>
      </c>
      <c r="AO1564" s="78">
        <v>1.573850402132364</v>
      </c>
    </row>
    <row r="1565" spans="29:41">
      <c r="AC1565" s="78" t="s">
        <v>52</v>
      </c>
      <c r="AD1565" s="78" t="s">
        <v>19</v>
      </c>
      <c r="AE1565" s="78" t="s">
        <v>72</v>
      </c>
      <c r="AF1565" s="78" t="s">
        <v>51</v>
      </c>
      <c r="AG1565" s="78" t="s">
        <v>402</v>
      </c>
      <c r="AH1565" s="78">
        <v>4.0612091257194027</v>
      </c>
      <c r="AJ1565" s="78" t="s">
        <v>52</v>
      </c>
      <c r="AK1565" s="78" t="s">
        <v>19</v>
      </c>
      <c r="AL1565" s="78" t="s">
        <v>28</v>
      </c>
      <c r="AM1565" s="78" t="s">
        <v>51</v>
      </c>
      <c r="AN1565" s="78" t="s">
        <v>377</v>
      </c>
      <c r="AO1565" s="78">
        <v>1.5624909648852638</v>
      </c>
    </row>
    <row r="1566" spans="29:41">
      <c r="AC1566" s="78" t="s">
        <v>52</v>
      </c>
      <c r="AD1566" s="78" t="s">
        <v>19</v>
      </c>
      <c r="AE1566" s="78" t="s">
        <v>72</v>
      </c>
      <c r="AF1566" s="78" t="s">
        <v>51</v>
      </c>
      <c r="AG1566" s="78" t="s">
        <v>403</v>
      </c>
      <c r="AH1566" s="78">
        <v>4.0907972944729467</v>
      </c>
      <c r="AJ1566" s="78" t="s">
        <v>52</v>
      </c>
      <c r="AK1566" s="78" t="s">
        <v>19</v>
      </c>
      <c r="AL1566" s="78" t="s">
        <v>28</v>
      </c>
      <c r="AM1566" s="78" t="s">
        <v>51</v>
      </c>
      <c r="AN1566" s="78" t="s">
        <v>378</v>
      </c>
      <c r="AO1566" s="78">
        <v>1.6159420808334439</v>
      </c>
    </row>
    <row r="1567" spans="29:41">
      <c r="AC1567" s="78" t="s">
        <v>52</v>
      </c>
      <c r="AD1567" s="78" t="s">
        <v>19</v>
      </c>
      <c r="AE1567" s="78" t="s">
        <v>72</v>
      </c>
      <c r="AF1567" s="78" t="s">
        <v>51</v>
      </c>
      <c r="AG1567" s="78" t="s">
        <v>404</v>
      </c>
      <c r="AH1567" s="78">
        <v>4.0907972944729467</v>
      </c>
      <c r="AJ1567" s="78" t="s">
        <v>52</v>
      </c>
      <c r="AK1567" s="78" t="s">
        <v>19</v>
      </c>
      <c r="AL1567" s="78" t="s">
        <v>28</v>
      </c>
      <c r="AM1567" s="78" t="s">
        <v>51</v>
      </c>
      <c r="AN1567" s="78" t="s">
        <v>379</v>
      </c>
      <c r="AO1567" s="78">
        <v>1.5553843838783468</v>
      </c>
    </row>
    <row r="1568" spans="29:41">
      <c r="AC1568" s="78" t="s">
        <v>52</v>
      </c>
      <c r="AD1568" s="78" t="s">
        <v>19</v>
      </c>
      <c r="AE1568" s="78" t="s">
        <v>72</v>
      </c>
      <c r="AF1568" s="78" t="s">
        <v>51</v>
      </c>
      <c r="AG1568" s="78" t="s">
        <v>405</v>
      </c>
      <c r="AH1568" s="78">
        <v>4.0907972944729467</v>
      </c>
      <c r="AJ1568" s="78" t="s">
        <v>52</v>
      </c>
      <c r="AK1568" s="78" t="s">
        <v>19</v>
      </c>
      <c r="AL1568" s="78" t="s">
        <v>28</v>
      </c>
      <c r="AM1568" s="78" t="s">
        <v>51</v>
      </c>
      <c r="AN1568" s="78" t="s">
        <v>380</v>
      </c>
      <c r="AO1568" s="78">
        <v>1.5340060283605226</v>
      </c>
    </row>
    <row r="1569" spans="29:41">
      <c r="AC1569" s="78" t="s">
        <v>52</v>
      </c>
      <c r="AD1569" s="78" t="s">
        <v>19</v>
      </c>
      <c r="AE1569" s="78" t="s">
        <v>72</v>
      </c>
      <c r="AF1569" s="78" t="s">
        <v>51</v>
      </c>
      <c r="AG1569" s="78" t="s">
        <v>406</v>
      </c>
      <c r="AH1569" s="78">
        <v>4.0848839185997514</v>
      </c>
      <c r="AJ1569" s="78" t="s">
        <v>52</v>
      </c>
      <c r="AK1569" s="78" t="s">
        <v>19</v>
      </c>
      <c r="AL1569" s="78" t="s">
        <v>28</v>
      </c>
      <c r="AM1569" s="78" t="s">
        <v>51</v>
      </c>
      <c r="AN1569" s="78" t="s">
        <v>381</v>
      </c>
      <c r="AO1569" s="78">
        <v>1.5381547448962734</v>
      </c>
    </row>
    <row r="1570" spans="29:41">
      <c r="AC1570" s="78" t="s">
        <v>52</v>
      </c>
      <c r="AD1570" s="78" t="s">
        <v>19</v>
      </c>
      <c r="AE1570" s="78" t="s">
        <v>72</v>
      </c>
      <c r="AF1570" s="78" t="s">
        <v>51</v>
      </c>
      <c r="AG1570" s="78" t="s">
        <v>407</v>
      </c>
      <c r="AH1570" s="78">
        <v>4.0612091257194027</v>
      </c>
      <c r="AJ1570" s="78" t="s">
        <v>52</v>
      </c>
      <c r="AK1570" s="78" t="s">
        <v>19</v>
      </c>
      <c r="AL1570" s="78" t="s">
        <v>28</v>
      </c>
      <c r="AM1570" s="78" t="s">
        <v>51</v>
      </c>
      <c r="AN1570" s="78" t="s">
        <v>382</v>
      </c>
      <c r="AO1570" s="78">
        <v>1.5405415033488725</v>
      </c>
    </row>
    <row r="1571" spans="29:41">
      <c r="AC1571" s="78" t="s">
        <v>52</v>
      </c>
      <c r="AD1571" s="78" t="s">
        <v>19</v>
      </c>
      <c r="AE1571" s="78" t="s">
        <v>72</v>
      </c>
      <c r="AF1571" s="78" t="s">
        <v>51</v>
      </c>
      <c r="AG1571" s="78" t="s">
        <v>408</v>
      </c>
      <c r="AH1571" s="78">
        <v>4.0273892510335889</v>
      </c>
      <c r="AJ1571" s="78" t="s">
        <v>52</v>
      </c>
      <c r="AK1571" s="78" t="s">
        <v>19</v>
      </c>
      <c r="AL1571" s="78" t="s">
        <v>28</v>
      </c>
      <c r="AM1571" s="78" t="s">
        <v>51</v>
      </c>
      <c r="AN1571" s="78" t="s">
        <v>383</v>
      </c>
      <c r="AO1571" s="78">
        <v>1.5884200524474927</v>
      </c>
    </row>
    <row r="1572" spans="29:41">
      <c r="AC1572" s="78" t="s">
        <v>52</v>
      </c>
      <c r="AD1572" s="78" t="s">
        <v>19</v>
      </c>
      <c r="AE1572" s="78" t="s">
        <v>72</v>
      </c>
      <c r="AF1572" s="78" t="s">
        <v>51</v>
      </c>
      <c r="AG1572" s="78" t="s">
        <v>409</v>
      </c>
      <c r="AH1572" s="78">
        <v>4.1232828633845466</v>
      </c>
      <c r="AJ1572" s="78" t="s">
        <v>52</v>
      </c>
      <c r="AK1572" s="78" t="s">
        <v>19</v>
      </c>
      <c r="AL1572" s="78" t="s">
        <v>28</v>
      </c>
      <c r="AM1572" s="78" t="s">
        <v>51</v>
      </c>
      <c r="AN1572" s="78" t="s">
        <v>384</v>
      </c>
      <c r="AO1572" s="78">
        <v>1.5848036403611627</v>
      </c>
    </row>
    <row r="1573" spans="29:41">
      <c r="AC1573" s="78" t="s">
        <v>52</v>
      </c>
      <c r="AD1573" s="78" t="s">
        <v>19</v>
      </c>
      <c r="AE1573" s="78" t="s">
        <v>72</v>
      </c>
      <c r="AF1573" s="78" t="s">
        <v>51</v>
      </c>
      <c r="AG1573" s="78" t="s">
        <v>410</v>
      </c>
      <c r="AH1573" s="78">
        <v>4.0907972944729467</v>
      </c>
      <c r="AJ1573" s="78" t="s">
        <v>52</v>
      </c>
      <c r="AK1573" s="78" t="s">
        <v>19</v>
      </c>
      <c r="AL1573" s="78" t="s">
        <v>28</v>
      </c>
      <c r="AM1573" s="78" t="s">
        <v>51</v>
      </c>
      <c r="AN1573" s="78" t="s">
        <v>385</v>
      </c>
      <c r="AO1573" s="78">
        <v>1.5850144279914526</v>
      </c>
    </row>
    <row r="1574" spans="29:41">
      <c r="AC1574" s="78" t="s">
        <v>52</v>
      </c>
      <c r="AD1574" s="78" t="s">
        <v>19</v>
      </c>
      <c r="AE1574" s="78" t="s">
        <v>72</v>
      </c>
      <c r="AF1574" s="78" t="s">
        <v>51</v>
      </c>
      <c r="AG1574" s="78" t="s">
        <v>411</v>
      </c>
      <c r="AH1574" s="78">
        <v>4.0612091257194027</v>
      </c>
      <c r="AJ1574" s="78" t="s">
        <v>52</v>
      </c>
      <c r="AK1574" s="78" t="s">
        <v>19</v>
      </c>
      <c r="AL1574" s="78" t="s">
        <v>28</v>
      </c>
      <c r="AM1574" s="78" t="s">
        <v>51</v>
      </c>
      <c r="AN1574" s="78" t="s">
        <v>386</v>
      </c>
      <c r="AO1574" s="78">
        <v>1.5034563809365034</v>
      </c>
    </row>
    <row r="1575" spans="29:41">
      <c r="AC1575" s="78" t="s">
        <v>52</v>
      </c>
      <c r="AD1575" s="78" t="s">
        <v>19</v>
      </c>
      <c r="AE1575" s="78" t="s">
        <v>72</v>
      </c>
      <c r="AF1575" s="78" t="s">
        <v>51</v>
      </c>
      <c r="AG1575" s="78" t="s">
        <v>412</v>
      </c>
      <c r="AH1575" s="78">
        <v>4.0612091257194027</v>
      </c>
      <c r="AJ1575" s="78" t="s">
        <v>52</v>
      </c>
      <c r="AK1575" s="78" t="s">
        <v>19</v>
      </c>
      <c r="AL1575" s="78" t="s">
        <v>28</v>
      </c>
      <c r="AM1575" s="78" t="s">
        <v>51</v>
      </c>
      <c r="AN1575" s="78" t="s">
        <v>387</v>
      </c>
      <c r="AO1575" s="78">
        <v>1.5491047760683729</v>
      </c>
    </row>
    <row r="1576" spans="29:41">
      <c r="AC1576" s="78" t="s">
        <v>52</v>
      </c>
      <c r="AD1576" s="78" t="s">
        <v>19</v>
      </c>
      <c r="AE1576" s="78" t="s">
        <v>72</v>
      </c>
      <c r="AF1576" s="78" t="s">
        <v>51</v>
      </c>
      <c r="AG1576" s="78" t="s">
        <v>413</v>
      </c>
      <c r="AH1576" s="78">
        <v>4.0612091257194027</v>
      </c>
      <c r="AJ1576" s="78" t="s">
        <v>52</v>
      </c>
      <c r="AK1576" s="78" t="s">
        <v>19</v>
      </c>
      <c r="AL1576" s="78" t="s">
        <v>28</v>
      </c>
      <c r="AM1576" s="78" t="s">
        <v>51</v>
      </c>
      <c r="AN1576" s="78" t="s">
        <v>388</v>
      </c>
      <c r="AO1576" s="78">
        <v>1.5777253614859668</v>
      </c>
    </row>
    <row r="1577" spans="29:41">
      <c r="AC1577" s="78" t="s">
        <v>52</v>
      </c>
      <c r="AD1577" s="78" t="s">
        <v>19</v>
      </c>
      <c r="AE1577" s="78" t="s">
        <v>72</v>
      </c>
      <c r="AF1577" s="78" t="s">
        <v>51</v>
      </c>
      <c r="AG1577" s="78" t="s">
        <v>414</v>
      </c>
      <c r="AH1577" s="78">
        <v>4.0907972944729467</v>
      </c>
      <c r="AJ1577" s="78" t="s">
        <v>52</v>
      </c>
      <c r="AK1577" s="78" t="s">
        <v>19</v>
      </c>
      <c r="AL1577" s="78" t="s">
        <v>28</v>
      </c>
      <c r="AM1577" s="78" t="s">
        <v>51</v>
      </c>
      <c r="AN1577" s="78" t="s">
        <v>389</v>
      </c>
      <c r="AO1577" s="78">
        <v>1.5529042483262527</v>
      </c>
    </row>
    <row r="1578" spans="29:41">
      <c r="AC1578" s="78" t="s">
        <v>52</v>
      </c>
      <c r="AD1578" s="78" t="s">
        <v>19</v>
      </c>
      <c r="AE1578" s="78" t="s">
        <v>72</v>
      </c>
      <c r="AF1578" s="78" t="s">
        <v>51</v>
      </c>
      <c r="AG1578" s="78" t="s">
        <v>415</v>
      </c>
      <c r="AH1578" s="78">
        <v>4.0612091257194027</v>
      </c>
      <c r="AJ1578" s="78" t="s">
        <v>52</v>
      </c>
      <c r="AK1578" s="78" t="s">
        <v>19</v>
      </c>
      <c r="AL1578" s="78" t="s">
        <v>28</v>
      </c>
      <c r="AM1578" s="78" t="s">
        <v>51</v>
      </c>
      <c r="AN1578" s="78" t="s">
        <v>418</v>
      </c>
      <c r="AO1578" s="78">
        <v>1.5726840963715869</v>
      </c>
    </row>
    <row r="1579" spans="29:41">
      <c r="AC1579" s="78" t="s">
        <v>52</v>
      </c>
      <c r="AD1579" s="78" t="s">
        <v>19</v>
      </c>
      <c r="AE1579" s="78" t="s">
        <v>72</v>
      </c>
      <c r="AF1579" s="78" t="s">
        <v>51</v>
      </c>
      <c r="AG1579" s="78" t="s">
        <v>429</v>
      </c>
      <c r="AH1579" s="78">
        <v>4.0895756165465809</v>
      </c>
      <c r="AJ1579" s="78" t="s">
        <v>52</v>
      </c>
      <c r="AK1579" s="78" t="s">
        <v>19</v>
      </c>
      <c r="AL1579" s="78" t="s">
        <v>28</v>
      </c>
      <c r="AM1579" s="78" t="s">
        <v>51</v>
      </c>
      <c r="AN1579" s="78" t="s">
        <v>390</v>
      </c>
      <c r="AO1579" s="78">
        <v>1.5795660627485868</v>
      </c>
    </row>
    <row r="1580" spans="29:41">
      <c r="AC1580" s="78" t="s">
        <v>52</v>
      </c>
      <c r="AD1580" s="78" t="s">
        <v>19</v>
      </c>
      <c r="AE1580" s="78" t="s">
        <v>72</v>
      </c>
      <c r="AF1580" s="78" t="s">
        <v>51</v>
      </c>
      <c r="AG1580" s="78" t="s">
        <v>430</v>
      </c>
      <c r="AH1580" s="78">
        <v>4.0895756165465809</v>
      </c>
      <c r="AJ1580" s="78" t="s">
        <v>52</v>
      </c>
      <c r="AK1580" s="78" t="s">
        <v>19</v>
      </c>
      <c r="AL1580" s="78" t="s">
        <v>28</v>
      </c>
      <c r="AM1580" s="78" t="s">
        <v>51</v>
      </c>
      <c r="AN1580" s="78" t="s">
        <v>419</v>
      </c>
      <c r="AO1580" s="78">
        <v>1.5621393258890897</v>
      </c>
    </row>
    <row r="1581" spans="29:41">
      <c r="AC1581" s="78" t="s">
        <v>52</v>
      </c>
      <c r="AD1581" s="78" t="s">
        <v>19</v>
      </c>
      <c r="AE1581" s="78" t="s">
        <v>72</v>
      </c>
      <c r="AF1581" s="78" t="s">
        <v>51</v>
      </c>
      <c r="AG1581" s="78" t="s">
        <v>431</v>
      </c>
      <c r="AH1581" s="78">
        <v>4.0599924484051417</v>
      </c>
      <c r="AJ1581" s="78" t="s">
        <v>52</v>
      </c>
      <c r="AK1581" s="78" t="s">
        <v>19</v>
      </c>
      <c r="AL1581" s="78" t="s">
        <v>28</v>
      </c>
      <c r="AM1581" s="78" t="s">
        <v>51</v>
      </c>
      <c r="AN1581" s="78" t="s">
        <v>391</v>
      </c>
      <c r="AO1581" s="78">
        <v>1.5790207584545124</v>
      </c>
    </row>
    <row r="1582" spans="29:41">
      <c r="AC1582" s="78" t="s">
        <v>52</v>
      </c>
      <c r="AD1582" s="78" t="s">
        <v>19</v>
      </c>
      <c r="AE1582" s="78" t="s">
        <v>72</v>
      </c>
      <c r="AF1582" s="78" t="s">
        <v>51</v>
      </c>
      <c r="AG1582" s="78" t="s">
        <v>432</v>
      </c>
      <c r="AH1582" s="78">
        <v>4.0895756165465809</v>
      </c>
      <c r="AJ1582" s="78" t="s">
        <v>52</v>
      </c>
      <c r="AK1582" s="78" t="s">
        <v>19</v>
      </c>
      <c r="AL1582" s="78" t="s">
        <v>28</v>
      </c>
      <c r="AM1582" s="78" t="s">
        <v>51</v>
      </c>
      <c r="AN1582" s="78" t="s">
        <v>392</v>
      </c>
      <c r="AO1582" s="78">
        <v>1.5321695611500799</v>
      </c>
    </row>
    <row r="1583" spans="29:41">
      <c r="AC1583" s="78" t="s">
        <v>52</v>
      </c>
      <c r="AD1583" s="78" t="s">
        <v>19</v>
      </c>
      <c r="AE1583" s="78" t="s">
        <v>72</v>
      </c>
      <c r="AF1583" s="78" t="s">
        <v>51</v>
      </c>
      <c r="AG1583" s="78" t="s">
        <v>433</v>
      </c>
      <c r="AH1583" s="78">
        <v>3.9976937553080876</v>
      </c>
      <c r="AJ1583" s="78" t="s">
        <v>52</v>
      </c>
      <c r="AK1583" s="78" t="s">
        <v>19</v>
      </c>
      <c r="AL1583" s="78" t="s">
        <v>28</v>
      </c>
      <c r="AM1583" s="78" t="s">
        <v>51</v>
      </c>
      <c r="AN1583" s="78" t="s">
        <v>393</v>
      </c>
      <c r="AO1583" s="78">
        <v>1.5256707317657499</v>
      </c>
    </row>
    <row r="1584" spans="29:41">
      <c r="AC1584" s="78" t="s">
        <v>52</v>
      </c>
      <c r="AD1584" s="78" t="s">
        <v>19</v>
      </c>
      <c r="AE1584" s="78" t="s">
        <v>72</v>
      </c>
      <c r="AF1584" s="78" t="s">
        <v>51</v>
      </c>
      <c r="AG1584" s="78" t="s">
        <v>434</v>
      </c>
      <c r="AH1584" s="78">
        <v>4.0273892510335889</v>
      </c>
      <c r="AJ1584" s="78" t="s">
        <v>52</v>
      </c>
      <c r="AK1584" s="78" t="s">
        <v>19</v>
      </c>
      <c r="AL1584" s="78" t="s">
        <v>28</v>
      </c>
      <c r="AM1584" s="78" t="s">
        <v>51</v>
      </c>
      <c r="AN1584" s="78" t="s">
        <v>394</v>
      </c>
      <c r="AO1584" s="78">
        <v>1.5433310352649627</v>
      </c>
    </row>
    <row r="1585" spans="29:41">
      <c r="AC1585" s="78" t="s">
        <v>52</v>
      </c>
      <c r="AD1585" s="78" t="s">
        <v>19</v>
      </c>
      <c r="AE1585" s="78" t="s">
        <v>72</v>
      </c>
      <c r="AF1585" s="78" t="s">
        <v>51</v>
      </c>
      <c r="AG1585" s="78" t="s">
        <v>435</v>
      </c>
      <c r="AH1585" s="78">
        <v>4.0273892510335889</v>
      </c>
      <c r="AJ1585" s="78" t="s">
        <v>52</v>
      </c>
      <c r="AK1585" s="78" t="s">
        <v>19</v>
      </c>
      <c r="AL1585" s="78" t="s">
        <v>28</v>
      </c>
      <c r="AM1585" s="78" t="s">
        <v>51</v>
      </c>
      <c r="AN1585" s="78" t="s">
        <v>395</v>
      </c>
      <c r="AO1585" s="78">
        <v>1.5894839272561527</v>
      </c>
    </row>
    <row r="1586" spans="29:41">
      <c r="AC1586" s="78" t="s">
        <v>52</v>
      </c>
      <c r="AD1586" s="78" t="s">
        <v>19</v>
      </c>
      <c r="AE1586" s="78" t="s">
        <v>72</v>
      </c>
      <c r="AF1586" s="78" t="s">
        <v>51</v>
      </c>
      <c r="AG1586" s="78" t="s">
        <v>436</v>
      </c>
      <c r="AH1586" s="78">
        <v>4.0273892510335889</v>
      </c>
      <c r="AJ1586" s="78" t="s">
        <v>52</v>
      </c>
      <c r="AK1586" s="78" t="s">
        <v>19</v>
      </c>
      <c r="AL1586" s="78" t="s">
        <v>28</v>
      </c>
      <c r="AM1586" s="78" t="s">
        <v>51</v>
      </c>
      <c r="AN1586" s="78" t="s">
        <v>396</v>
      </c>
      <c r="AO1586" s="78">
        <v>1.6049036903689398</v>
      </c>
    </row>
    <row r="1587" spans="29:41">
      <c r="AC1587" s="78" t="s">
        <v>52</v>
      </c>
      <c r="AD1587" s="78" t="s">
        <v>19</v>
      </c>
      <c r="AE1587" s="78" t="s">
        <v>72</v>
      </c>
      <c r="AF1587" s="78" t="s">
        <v>51</v>
      </c>
      <c r="AG1587" s="78" t="s">
        <v>437</v>
      </c>
      <c r="AH1587" s="78">
        <v>3.9649667218579321</v>
      </c>
      <c r="AJ1587" s="78" t="s">
        <v>52</v>
      </c>
      <c r="AK1587" s="78" t="s">
        <v>19</v>
      </c>
      <c r="AL1587" s="78" t="s">
        <v>28</v>
      </c>
      <c r="AM1587" s="78" t="s">
        <v>51</v>
      </c>
      <c r="AN1587" s="78" t="s">
        <v>397</v>
      </c>
      <c r="AO1587" s="78">
        <v>1.620479930127847</v>
      </c>
    </row>
    <row r="1588" spans="29:41">
      <c r="AC1588" s="78" t="s">
        <v>52</v>
      </c>
      <c r="AD1588" s="78" t="s">
        <v>19</v>
      </c>
      <c r="AE1588" s="78" t="s">
        <v>72</v>
      </c>
      <c r="AF1588" s="78" t="s">
        <v>51</v>
      </c>
      <c r="AG1588" s="78" t="s">
        <v>438</v>
      </c>
      <c r="AH1588" s="78">
        <v>3.9649667218579321</v>
      </c>
      <c r="AJ1588" s="78" t="s">
        <v>52</v>
      </c>
      <c r="AK1588" s="78" t="s">
        <v>19</v>
      </c>
      <c r="AL1588" s="78" t="s">
        <v>28</v>
      </c>
      <c r="AM1588" s="78" t="s">
        <v>51</v>
      </c>
      <c r="AN1588" s="78" t="s">
        <v>420</v>
      </c>
      <c r="AO1588" s="78">
        <v>1.620479930127847</v>
      </c>
    </row>
    <row r="1589" spans="29:41">
      <c r="AC1589" s="78" t="s">
        <v>52</v>
      </c>
      <c r="AD1589" s="78" t="s">
        <v>19</v>
      </c>
      <c r="AE1589" s="78" t="s">
        <v>72</v>
      </c>
      <c r="AF1589" s="78" t="s">
        <v>51</v>
      </c>
      <c r="AG1589" s="78" t="s">
        <v>439</v>
      </c>
      <c r="AH1589" s="78">
        <v>3.9649667218579321</v>
      </c>
      <c r="AJ1589" s="78" t="s">
        <v>52</v>
      </c>
      <c r="AK1589" s="78" t="s">
        <v>19</v>
      </c>
      <c r="AL1589" s="78" t="s">
        <v>28</v>
      </c>
      <c r="AM1589" s="78" t="s">
        <v>51</v>
      </c>
      <c r="AN1589" s="78" t="s">
        <v>398</v>
      </c>
      <c r="AO1589" s="78">
        <v>1.5757562894678168</v>
      </c>
    </row>
    <row r="1590" spans="29:41">
      <c r="AC1590" s="78" t="s">
        <v>52</v>
      </c>
      <c r="AD1590" s="78" t="s">
        <v>19</v>
      </c>
      <c r="AE1590" s="78" t="s">
        <v>72</v>
      </c>
      <c r="AF1590" s="78" t="s">
        <v>51</v>
      </c>
      <c r="AG1590" s="78" t="s">
        <v>440</v>
      </c>
      <c r="AH1590" s="78">
        <v>3.9351583966085761</v>
      </c>
      <c r="AJ1590" s="78" t="s">
        <v>52</v>
      </c>
      <c r="AK1590" s="78" t="s">
        <v>19</v>
      </c>
      <c r="AL1590" s="78" t="s">
        <v>28</v>
      </c>
      <c r="AM1590" s="78" t="s">
        <v>51</v>
      </c>
      <c r="AN1590" s="78" t="s">
        <v>399</v>
      </c>
      <c r="AO1590" s="78">
        <v>1.5386520236962271</v>
      </c>
    </row>
    <row r="1591" spans="29:41">
      <c r="AC1591" s="78" t="s">
        <v>52</v>
      </c>
      <c r="AD1591" s="78" t="s">
        <v>19</v>
      </c>
      <c r="AE1591" s="78" t="s">
        <v>72</v>
      </c>
      <c r="AF1591" s="78" t="s">
        <v>51</v>
      </c>
      <c r="AG1591" s="78" t="s">
        <v>441</v>
      </c>
      <c r="AH1591" s="78">
        <v>3.9649667218579321</v>
      </c>
      <c r="AJ1591" s="78" t="s">
        <v>52</v>
      </c>
      <c r="AK1591" s="78" t="s">
        <v>19</v>
      </c>
      <c r="AL1591" s="78" t="s">
        <v>28</v>
      </c>
      <c r="AM1591" s="78" t="s">
        <v>51</v>
      </c>
      <c r="AN1591" s="78" t="s">
        <v>400</v>
      </c>
      <c r="AO1591" s="78">
        <v>1.5743309085134474</v>
      </c>
    </row>
    <row r="1592" spans="29:41">
      <c r="AC1592" s="78" t="s">
        <v>52</v>
      </c>
      <c r="AD1592" s="78" t="s">
        <v>19</v>
      </c>
      <c r="AE1592" s="78" t="s">
        <v>72</v>
      </c>
      <c r="AF1592" s="78" t="s">
        <v>51</v>
      </c>
      <c r="AG1592" s="78" t="s">
        <v>442</v>
      </c>
      <c r="AH1592" s="78">
        <v>3.9351583966085761</v>
      </c>
      <c r="AJ1592" s="78" t="s">
        <v>52</v>
      </c>
      <c r="AK1592" s="78" t="s">
        <v>19</v>
      </c>
      <c r="AL1592" s="78" t="s">
        <v>28</v>
      </c>
      <c r="AM1592" s="78" t="s">
        <v>51</v>
      </c>
      <c r="AN1592" s="78" t="s">
        <v>401</v>
      </c>
      <c r="AO1592" s="78">
        <v>1.5442866532093327</v>
      </c>
    </row>
    <row r="1593" spans="29:41">
      <c r="AC1593" s="78" t="s">
        <v>52</v>
      </c>
      <c r="AD1593" s="78" t="s">
        <v>19</v>
      </c>
      <c r="AE1593" s="78" t="s">
        <v>72</v>
      </c>
      <c r="AF1593" s="78" t="s">
        <v>51</v>
      </c>
      <c r="AG1593" s="78" t="s">
        <v>443</v>
      </c>
      <c r="AH1593" s="78">
        <v>3.9649667218579321</v>
      </c>
      <c r="AJ1593" s="78" t="s">
        <v>52</v>
      </c>
      <c r="AK1593" s="78" t="s">
        <v>19</v>
      </c>
      <c r="AL1593" s="78" t="s">
        <v>28</v>
      </c>
      <c r="AM1593" s="78" t="s">
        <v>51</v>
      </c>
      <c r="AN1593" s="78" t="s">
        <v>402</v>
      </c>
      <c r="AO1593" s="78">
        <v>1.5585253969112027</v>
      </c>
    </row>
    <row r="1594" spans="29:41">
      <c r="AC1594" s="78" t="s">
        <v>52</v>
      </c>
      <c r="AD1594" s="78" t="s">
        <v>19</v>
      </c>
      <c r="AE1594" s="78" t="s">
        <v>72</v>
      </c>
      <c r="AF1594" s="78" t="s">
        <v>51</v>
      </c>
      <c r="AG1594" s="78" t="s">
        <v>444</v>
      </c>
      <c r="AH1594" s="78">
        <v>4.0273892510335889</v>
      </c>
      <c r="AJ1594" s="78" t="s">
        <v>52</v>
      </c>
      <c r="AK1594" s="78" t="s">
        <v>19</v>
      </c>
      <c r="AL1594" s="78" t="s">
        <v>28</v>
      </c>
      <c r="AM1594" s="78" t="s">
        <v>51</v>
      </c>
      <c r="AN1594" s="78" t="s">
        <v>403</v>
      </c>
      <c r="AO1594" s="78">
        <v>1.572590002540547</v>
      </c>
    </row>
    <row r="1595" spans="29:41">
      <c r="AC1595" s="78" t="s">
        <v>52</v>
      </c>
      <c r="AD1595" s="78" t="s">
        <v>19</v>
      </c>
      <c r="AE1595" s="78" t="s">
        <v>72</v>
      </c>
      <c r="AF1595" s="78" t="s">
        <v>51</v>
      </c>
      <c r="AG1595" s="78" t="s">
        <v>445</v>
      </c>
      <c r="AH1595" s="78">
        <v>4.0273892510335889</v>
      </c>
      <c r="AJ1595" s="78" t="s">
        <v>52</v>
      </c>
      <c r="AK1595" s="78" t="s">
        <v>19</v>
      </c>
      <c r="AL1595" s="78" t="s">
        <v>28</v>
      </c>
      <c r="AM1595" s="78" t="s">
        <v>51</v>
      </c>
      <c r="AN1595" s="78" t="s">
        <v>404</v>
      </c>
      <c r="AO1595" s="78">
        <v>1.577042599859537</v>
      </c>
    </row>
    <row r="1596" spans="29:41">
      <c r="AC1596" s="78" t="s">
        <v>52</v>
      </c>
      <c r="AD1596" s="78" t="s">
        <v>19</v>
      </c>
      <c r="AE1596" s="78" t="s">
        <v>72</v>
      </c>
      <c r="AF1596" s="78" t="s">
        <v>51</v>
      </c>
      <c r="AG1596" s="78" t="s">
        <v>446</v>
      </c>
      <c r="AH1596" s="78">
        <v>4.0273892510335889</v>
      </c>
      <c r="AJ1596" s="78" t="s">
        <v>52</v>
      </c>
      <c r="AK1596" s="78" t="s">
        <v>19</v>
      </c>
      <c r="AL1596" s="78" t="s">
        <v>28</v>
      </c>
      <c r="AM1596" s="78" t="s">
        <v>51</v>
      </c>
      <c r="AN1596" s="78" t="s">
        <v>405</v>
      </c>
      <c r="AO1596" s="78">
        <v>1.5650011848053571</v>
      </c>
    </row>
    <row r="1597" spans="29:41">
      <c r="AC1597" s="78" t="s">
        <v>52</v>
      </c>
      <c r="AD1597" s="78" t="s">
        <v>19</v>
      </c>
      <c r="AE1597" s="78" t="s">
        <v>72</v>
      </c>
      <c r="AF1597" s="78" t="s">
        <v>51</v>
      </c>
      <c r="AG1597" s="78" t="s">
        <v>447</v>
      </c>
      <c r="AH1597" s="78">
        <v>4.0599924484051417</v>
      </c>
      <c r="AJ1597" s="78" t="s">
        <v>52</v>
      </c>
      <c r="AK1597" s="78" t="s">
        <v>19</v>
      </c>
      <c r="AL1597" s="78" t="s">
        <v>28</v>
      </c>
      <c r="AM1597" s="78" t="s">
        <v>51</v>
      </c>
      <c r="AN1597" s="78" t="s">
        <v>406</v>
      </c>
      <c r="AO1597" s="78">
        <v>1.601396062048311</v>
      </c>
    </row>
    <row r="1598" spans="29:41">
      <c r="AC1598" s="78" t="s">
        <v>52</v>
      </c>
      <c r="AD1598" s="78" t="s">
        <v>19</v>
      </c>
      <c r="AE1598" s="78" t="s">
        <v>72</v>
      </c>
      <c r="AF1598" s="78" t="s">
        <v>51</v>
      </c>
      <c r="AG1598" s="78" t="s">
        <v>448</v>
      </c>
      <c r="AH1598" s="78">
        <v>3.9351583966085761</v>
      </c>
      <c r="AJ1598" s="78" t="s">
        <v>52</v>
      </c>
      <c r="AK1598" s="78" t="s">
        <v>19</v>
      </c>
      <c r="AL1598" s="78" t="s">
        <v>28</v>
      </c>
      <c r="AM1598" s="78" t="s">
        <v>51</v>
      </c>
      <c r="AN1598" s="78" t="s">
        <v>407</v>
      </c>
      <c r="AO1598" s="78">
        <v>1.5368937995287226</v>
      </c>
    </row>
    <row r="1599" spans="29:41">
      <c r="AC1599" s="78" t="s">
        <v>52</v>
      </c>
      <c r="AD1599" s="78" t="s">
        <v>19</v>
      </c>
      <c r="AE1599" s="78" t="s">
        <v>72</v>
      </c>
      <c r="AF1599" s="78" t="s">
        <v>51</v>
      </c>
      <c r="AG1599" s="78" t="s">
        <v>449</v>
      </c>
      <c r="AH1599" s="78">
        <v>3.9646015689346088</v>
      </c>
      <c r="AJ1599" s="78" t="s">
        <v>52</v>
      </c>
      <c r="AK1599" s="78" t="s">
        <v>19</v>
      </c>
      <c r="AL1599" s="78" t="s">
        <v>28</v>
      </c>
      <c r="AM1599" s="78" t="s">
        <v>51</v>
      </c>
      <c r="AN1599" s="78" t="s">
        <v>408</v>
      </c>
      <c r="AO1599" s="78">
        <v>1.4766480953417891</v>
      </c>
    </row>
    <row r="1600" spans="29:41">
      <c r="AC1600" s="78" t="s">
        <v>52</v>
      </c>
      <c r="AD1600" s="78" t="s">
        <v>19</v>
      </c>
      <c r="AE1600" s="78" t="s">
        <v>72</v>
      </c>
      <c r="AF1600" s="78" t="s">
        <v>51</v>
      </c>
      <c r="AG1600" s="78" t="s">
        <v>450</v>
      </c>
      <c r="AH1600" s="78">
        <v>3.9318166229704437</v>
      </c>
      <c r="AJ1600" s="78" t="s">
        <v>52</v>
      </c>
      <c r="AK1600" s="78" t="s">
        <v>19</v>
      </c>
      <c r="AL1600" s="78" t="s">
        <v>28</v>
      </c>
      <c r="AM1600" s="78" t="s">
        <v>51</v>
      </c>
      <c r="AN1600" s="78" t="s">
        <v>409</v>
      </c>
      <c r="AO1600" s="78">
        <v>1.4644801077111365</v>
      </c>
    </row>
    <row r="1601" spans="29:41">
      <c r="AC1601" s="78" t="s">
        <v>52</v>
      </c>
      <c r="AD1601" s="78" t="s">
        <v>19</v>
      </c>
      <c r="AE1601" s="78" t="s">
        <v>72</v>
      </c>
      <c r="AF1601" s="78" t="s">
        <v>51</v>
      </c>
      <c r="AG1601" s="78" t="s">
        <v>451</v>
      </c>
      <c r="AH1601" s="78">
        <v>3.9019553775197724</v>
      </c>
      <c r="AJ1601" s="78" t="s">
        <v>52</v>
      </c>
      <c r="AK1601" s="78" t="s">
        <v>19</v>
      </c>
      <c r="AL1601" s="78" t="s">
        <v>28</v>
      </c>
      <c r="AM1601" s="78" t="s">
        <v>51</v>
      </c>
      <c r="AN1601" s="78" t="s">
        <v>410</v>
      </c>
      <c r="AO1601" s="78">
        <v>1.4799175372029769</v>
      </c>
    </row>
    <row r="1602" spans="29:41">
      <c r="AC1602" s="78" t="s">
        <v>52</v>
      </c>
      <c r="AD1602" s="78" t="s">
        <v>19</v>
      </c>
      <c r="AE1602" s="78" t="s">
        <v>72</v>
      </c>
      <c r="AF1602" s="78" t="s">
        <v>51</v>
      </c>
      <c r="AG1602" s="78" t="s">
        <v>452</v>
      </c>
      <c r="AH1602" s="78">
        <v>3.9019553775197724</v>
      </c>
      <c r="AJ1602" s="78" t="s">
        <v>52</v>
      </c>
      <c r="AK1602" s="78" t="s">
        <v>19</v>
      </c>
      <c r="AL1602" s="78" t="s">
        <v>28</v>
      </c>
      <c r="AM1602" s="78" t="s">
        <v>51</v>
      </c>
      <c r="AN1602" s="78" t="s">
        <v>411</v>
      </c>
      <c r="AO1602" s="78">
        <v>1.4467100485398323</v>
      </c>
    </row>
    <row r="1603" spans="29:41">
      <c r="AC1603" s="78" t="s">
        <v>52</v>
      </c>
      <c r="AD1603" s="78" t="s">
        <v>19</v>
      </c>
      <c r="AE1603" s="78" t="s">
        <v>72</v>
      </c>
      <c r="AF1603" s="78" t="s">
        <v>51</v>
      </c>
      <c r="AG1603" s="78" t="s">
        <v>453</v>
      </c>
      <c r="AH1603" s="78">
        <v>3.9019553775197724</v>
      </c>
      <c r="AJ1603" s="78" t="s">
        <v>52</v>
      </c>
      <c r="AK1603" s="78" t="s">
        <v>19</v>
      </c>
      <c r="AL1603" s="78" t="s">
        <v>28</v>
      </c>
      <c r="AM1603" s="78" t="s">
        <v>51</v>
      </c>
      <c r="AN1603" s="78" t="s">
        <v>412</v>
      </c>
      <c r="AO1603" s="78">
        <v>1.4538302773021625</v>
      </c>
    </row>
    <row r="1604" spans="29:41">
      <c r="AC1604" s="78" t="s">
        <v>52</v>
      </c>
      <c r="AD1604" s="78" t="s">
        <v>19</v>
      </c>
      <c r="AE1604" s="78" t="s">
        <v>72</v>
      </c>
      <c r="AF1604" s="78" t="s">
        <v>51</v>
      </c>
      <c r="AG1604" s="78" t="s">
        <v>454</v>
      </c>
      <c r="AH1604" s="78">
        <v>3.8720399663140839</v>
      </c>
      <c r="AJ1604" s="78" t="s">
        <v>52</v>
      </c>
      <c r="AK1604" s="78" t="s">
        <v>19</v>
      </c>
      <c r="AL1604" s="78" t="s">
        <v>28</v>
      </c>
      <c r="AM1604" s="78" t="s">
        <v>51</v>
      </c>
      <c r="AN1604" s="78" t="s">
        <v>413</v>
      </c>
      <c r="AO1604" s="78">
        <v>1.4371945070978824</v>
      </c>
    </row>
    <row r="1605" spans="29:41">
      <c r="AC1605" s="78" t="s">
        <v>52</v>
      </c>
      <c r="AD1605" s="78" t="s">
        <v>19</v>
      </c>
      <c r="AE1605" s="78" t="s">
        <v>72</v>
      </c>
      <c r="AF1605" s="78" t="s">
        <v>51</v>
      </c>
      <c r="AG1605" s="78" t="s">
        <v>455</v>
      </c>
      <c r="AH1605" s="78">
        <v>3.8720399663140839</v>
      </c>
      <c r="AJ1605" s="78" t="s">
        <v>52</v>
      </c>
      <c r="AK1605" s="78" t="s">
        <v>19</v>
      </c>
      <c r="AL1605" s="78" t="s">
        <v>28</v>
      </c>
      <c r="AM1605" s="78" t="s">
        <v>51</v>
      </c>
      <c r="AN1605" s="78" t="s">
        <v>414</v>
      </c>
      <c r="AO1605" s="78">
        <v>1.4456808614391865</v>
      </c>
    </row>
    <row r="1606" spans="29:41">
      <c r="AC1606" s="78" t="s">
        <v>52</v>
      </c>
      <c r="AD1606" s="78" t="s">
        <v>19</v>
      </c>
      <c r="AE1606" s="78" t="s">
        <v>72</v>
      </c>
      <c r="AF1606" s="78" t="s">
        <v>51</v>
      </c>
      <c r="AG1606" s="78" t="s">
        <v>456</v>
      </c>
      <c r="AH1606" s="78">
        <v>3.9019553775197724</v>
      </c>
      <c r="AJ1606" s="78" t="s">
        <v>52</v>
      </c>
      <c r="AK1606" s="78" t="s">
        <v>19</v>
      </c>
      <c r="AL1606" s="78" t="s">
        <v>28</v>
      </c>
      <c r="AM1606" s="78" t="s">
        <v>51</v>
      </c>
      <c r="AN1606" s="78" t="s">
        <v>415</v>
      </c>
      <c r="AO1606" s="78">
        <v>1.4620012496445425</v>
      </c>
    </row>
    <row r="1607" spans="29:41">
      <c r="AC1607" s="78" t="s">
        <v>52</v>
      </c>
      <c r="AD1607" s="78" t="s">
        <v>19</v>
      </c>
      <c r="AE1607" s="78" t="s">
        <v>72</v>
      </c>
      <c r="AF1607" s="78" t="s">
        <v>51</v>
      </c>
      <c r="AG1607" s="78" t="s">
        <v>457</v>
      </c>
      <c r="AH1607" s="78">
        <v>3.9019553775197724</v>
      </c>
      <c r="AJ1607" s="78" t="s">
        <v>52</v>
      </c>
      <c r="AK1607" s="78" t="s">
        <v>19</v>
      </c>
      <c r="AL1607" s="78" t="s">
        <v>28</v>
      </c>
      <c r="AM1607" s="78" t="s">
        <v>51</v>
      </c>
      <c r="AN1607" s="78" t="s">
        <v>429</v>
      </c>
      <c r="AO1607" s="78">
        <v>1.4869821873866012</v>
      </c>
    </row>
    <row r="1608" spans="29:41">
      <c r="AC1608" s="78" t="s">
        <v>52</v>
      </c>
      <c r="AD1608" s="78" t="s">
        <v>19</v>
      </c>
      <c r="AE1608" s="78" t="s">
        <v>72</v>
      </c>
      <c r="AF1608" s="78" t="s">
        <v>51</v>
      </c>
      <c r="AG1608" s="78" t="s">
        <v>458</v>
      </c>
      <c r="AH1608" s="78">
        <v>3.9646015689346088</v>
      </c>
      <c r="AJ1608" s="78" t="s">
        <v>52</v>
      </c>
      <c r="AK1608" s="78" t="s">
        <v>19</v>
      </c>
      <c r="AL1608" s="78" t="s">
        <v>28</v>
      </c>
      <c r="AM1608" s="78" t="s">
        <v>51</v>
      </c>
      <c r="AN1608" s="78" t="s">
        <v>430</v>
      </c>
      <c r="AO1608" s="78">
        <v>1.4983219906791114</v>
      </c>
    </row>
    <row r="1609" spans="29:41">
      <c r="AC1609" s="78" t="s">
        <v>52</v>
      </c>
      <c r="AD1609" s="78" t="s">
        <v>19</v>
      </c>
      <c r="AE1609" s="78" t="s">
        <v>72</v>
      </c>
      <c r="AF1609" s="78" t="s">
        <v>51</v>
      </c>
      <c r="AG1609" s="78" t="s">
        <v>459</v>
      </c>
      <c r="AH1609" s="78">
        <v>3.9646015689346088</v>
      </c>
      <c r="AJ1609" s="78" t="s">
        <v>52</v>
      </c>
      <c r="AK1609" s="78" t="s">
        <v>19</v>
      </c>
      <c r="AL1609" s="78" t="s">
        <v>28</v>
      </c>
      <c r="AM1609" s="78" t="s">
        <v>51</v>
      </c>
      <c r="AN1609" s="78" t="s">
        <v>431</v>
      </c>
      <c r="AO1609" s="78">
        <v>1.4538416312115019</v>
      </c>
    </row>
    <row r="1610" spans="29:41">
      <c r="AC1610" s="78" t="s">
        <v>52</v>
      </c>
      <c r="AD1610" s="78" t="s">
        <v>19</v>
      </c>
      <c r="AE1610" s="78" t="s">
        <v>72</v>
      </c>
      <c r="AF1610" s="78" t="s">
        <v>51</v>
      </c>
      <c r="AG1610" s="78" t="s">
        <v>460</v>
      </c>
      <c r="AH1610" s="78">
        <v>3.9649667218579321</v>
      </c>
      <c r="AJ1610" s="78" t="s">
        <v>52</v>
      </c>
      <c r="AK1610" s="78" t="s">
        <v>19</v>
      </c>
      <c r="AL1610" s="78" t="s">
        <v>28</v>
      </c>
      <c r="AM1610" s="78" t="s">
        <v>51</v>
      </c>
      <c r="AN1610" s="78" t="s">
        <v>432</v>
      </c>
      <c r="AO1610" s="78">
        <v>1.4944141958895214</v>
      </c>
    </row>
    <row r="1611" spans="29:41">
      <c r="AC1611" s="78" t="s">
        <v>52</v>
      </c>
      <c r="AD1611" s="78" t="s">
        <v>19</v>
      </c>
      <c r="AE1611" s="78" t="s">
        <v>72</v>
      </c>
      <c r="AF1611" s="78" t="s">
        <v>51</v>
      </c>
      <c r="AG1611" s="78" t="s">
        <v>461</v>
      </c>
      <c r="AH1611" s="78">
        <v>3.9649667218579321</v>
      </c>
      <c r="AJ1611" s="78" t="s">
        <v>52</v>
      </c>
      <c r="AK1611" s="78" t="s">
        <v>19</v>
      </c>
      <c r="AL1611" s="78" t="s">
        <v>28</v>
      </c>
      <c r="AM1611" s="78" t="s">
        <v>51</v>
      </c>
      <c r="AN1611" s="78" t="s">
        <v>433</v>
      </c>
      <c r="AO1611" s="78">
        <v>1.4965863752924076</v>
      </c>
    </row>
    <row r="1612" spans="29:41">
      <c r="AC1612" s="78" t="s">
        <v>52</v>
      </c>
      <c r="AD1612" s="78" t="s">
        <v>19</v>
      </c>
      <c r="AE1612" s="78" t="s">
        <v>72</v>
      </c>
      <c r="AF1612" s="78" t="s">
        <v>51</v>
      </c>
      <c r="AG1612" s="78" t="s">
        <v>462</v>
      </c>
      <c r="AH1612" s="78">
        <v>3.9649667218579321</v>
      </c>
      <c r="AJ1612" s="78" t="s">
        <v>52</v>
      </c>
      <c r="AK1612" s="78" t="s">
        <v>19</v>
      </c>
      <c r="AL1612" s="78" t="s">
        <v>28</v>
      </c>
      <c r="AM1612" s="78" t="s">
        <v>51</v>
      </c>
      <c r="AN1612" s="78" t="s">
        <v>434</v>
      </c>
      <c r="AO1612" s="78">
        <v>1.518481915326849</v>
      </c>
    </row>
    <row r="1613" spans="29:41">
      <c r="AC1613" s="78" t="s">
        <v>52</v>
      </c>
      <c r="AD1613" s="78" t="s">
        <v>19</v>
      </c>
      <c r="AE1613" s="78" t="s">
        <v>72</v>
      </c>
      <c r="AF1613" s="78" t="s">
        <v>51</v>
      </c>
      <c r="AG1613" s="78" t="s">
        <v>463</v>
      </c>
      <c r="AH1613" s="78">
        <v>3.9649667218579321</v>
      </c>
      <c r="AJ1613" s="78" t="s">
        <v>52</v>
      </c>
      <c r="AK1613" s="78" t="s">
        <v>19</v>
      </c>
      <c r="AL1613" s="78" t="s">
        <v>28</v>
      </c>
      <c r="AM1613" s="78" t="s">
        <v>51</v>
      </c>
      <c r="AN1613" s="78" t="s">
        <v>435</v>
      </c>
      <c r="AO1613" s="78">
        <v>1.5189881310408591</v>
      </c>
    </row>
    <row r="1614" spans="29:41">
      <c r="AC1614" s="78" t="s">
        <v>52</v>
      </c>
      <c r="AD1614" s="78" t="s">
        <v>19</v>
      </c>
      <c r="AE1614" s="78" t="s">
        <v>72</v>
      </c>
      <c r="AF1614" s="78" t="s">
        <v>51</v>
      </c>
      <c r="AG1614" s="78" t="s">
        <v>464</v>
      </c>
      <c r="AH1614" s="78">
        <v>3.9351583966085761</v>
      </c>
      <c r="AJ1614" s="78" t="s">
        <v>52</v>
      </c>
      <c r="AK1614" s="78" t="s">
        <v>19</v>
      </c>
      <c r="AL1614" s="78" t="s">
        <v>28</v>
      </c>
      <c r="AM1614" s="78" t="s">
        <v>51</v>
      </c>
      <c r="AN1614" s="78" t="s">
        <v>436</v>
      </c>
      <c r="AO1614" s="78">
        <v>1.526881478394549</v>
      </c>
    </row>
    <row r="1615" spans="29:41">
      <c r="AC1615" s="78" t="s">
        <v>52</v>
      </c>
      <c r="AD1615" s="78" t="s">
        <v>19</v>
      </c>
      <c r="AE1615" s="78" t="s">
        <v>72</v>
      </c>
      <c r="AF1615" s="78" t="s">
        <v>51</v>
      </c>
      <c r="AG1615" s="78" t="s">
        <v>465</v>
      </c>
      <c r="AH1615" s="78">
        <v>3.9649667218579321</v>
      </c>
      <c r="AJ1615" s="78" t="s">
        <v>52</v>
      </c>
      <c r="AK1615" s="78" t="s">
        <v>19</v>
      </c>
      <c r="AL1615" s="78" t="s">
        <v>28</v>
      </c>
      <c r="AM1615" s="78" t="s">
        <v>51</v>
      </c>
      <c r="AN1615" s="78" t="s">
        <v>437</v>
      </c>
      <c r="AO1615" s="78">
        <v>1.479233628602072</v>
      </c>
    </row>
    <row r="1616" spans="29:41">
      <c r="AC1616" s="78" t="s">
        <v>52</v>
      </c>
      <c r="AD1616" s="78" t="s">
        <v>19</v>
      </c>
      <c r="AE1616" s="78" t="s">
        <v>72</v>
      </c>
      <c r="AF1616" s="78" t="s">
        <v>51</v>
      </c>
      <c r="AG1616" s="78" t="s">
        <v>466</v>
      </c>
      <c r="AH1616" s="78">
        <v>3.9649667218579321</v>
      </c>
      <c r="AJ1616" s="78" t="s">
        <v>52</v>
      </c>
      <c r="AK1616" s="78" t="s">
        <v>19</v>
      </c>
      <c r="AL1616" s="78" t="s">
        <v>28</v>
      </c>
      <c r="AM1616" s="78" t="s">
        <v>51</v>
      </c>
      <c r="AN1616" s="78" t="s">
        <v>438</v>
      </c>
      <c r="AO1616" s="78">
        <v>1.4954732607547019</v>
      </c>
    </row>
    <row r="1617" spans="29:41">
      <c r="AC1617" s="78" t="s">
        <v>52</v>
      </c>
      <c r="AD1617" s="78" t="s">
        <v>19</v>
      </c>
      <c r="AE1617" s="78" t="s">
        <v>72</v>
      </c>
      <c r="AF1617" s="78" t="s">
        <v>51</v>
      </c>
      <c r="AG1617" s="78" t="s">
        <v>467</v>
      </c>
      <c r="AH1617" s="78">
        <v>3.9649667218579321</v>
      </c>
      <c r="AJ1617" s="78" t="s">
        <v>52</v>
      </c>
      <c r="AK1617" s="78" t="s">
        <v>19</v>
      </c>
      <c r="AL1617" s="78" t="s">
        <v>28</v>
      </c>
      <c r="AM1617" s="78" t="s">
        <v>51</v>
      </c>
      <c r="AN1617" s="78" t="s">
        <v>439</v>
      </c>
      <c r="AO1617" s="78">
        <v>1.5058820342219721</v>
      </c>
    </row>
    <row r="1618" spans="29:41">
      <c r="AC1618" s="78" t="s">
        <v>52</v>
      </c>
      <c r="AD1618" s="78" t="s">
        <v>19</v>
      </c>
      <c r="AE1618" s="78" t="s">
        <v>72</v>
      </c>
      <c r="AF1618" s="78" t="s">
        <v>51</v>
      </c>
      <c r="AG1618" s="78" t="s">
        <v>468</v>
      </c>
      <c r="AH1618" s="78">
        <v>3.9649667218579321</v>
      </c>
      <c r="AJ1618" s="78" t="s">
        <v>52</v>
      </c>
      <c r="AK1618" s="78" t="s">
        <v>19</v>
      </c>
      <c r="AL1618" s="78" t="s">
        <v>28</v>
      </c>
      <c r="AM1618" s="78" t="s">
        <v>51</v>
      </c>
      <c r="AN1618" s="78" t="s">
        <v>440</v>
      </c>
      <c r="AO1618" s="78">
        <v>1.4674682858410664</v>
      </c>
    </row>
    <row r="1619" spans="29:41">
      <c r="AC1619" s="78" t="s">
        <v>52</v>
      </c>
      <c r="AD1619" s="78" t="s">
        <v>19</v>
      </c>
      <c r="AE1619" s="78" t="s">
        <v>72</v>
      </c>
      <c r="AF1619" s="78" t="s">
        <v>51</v>
      </c>
      <c r="AG1619" s="78" t="s">
        <v>469</v>
      </c>
      <c r="AH1619" s="78">
        <v>3.9976937553080876</v>
      </c>
      <c r="AJ1619" s="78" t="s">
        <v>52</v>
      </c>
      <c r="AK1619" s="78" t="s">
        <v>19</v>
      </c>
      <c r="AL1619" s="78" t="s">
        <v>28</v>
      </c>
      <c r="AM1619" s="78" t="s">
        <v>51</v>
      </c>
      <c r="AN1619" s="78" t="s">
        <v>441</v>
      </c>
      <c r="AO1619" s="78">
        <v>1.5145965922498821</v>
      </c>
    </row>
    <row r="1620" spans="29:41">
      <c r="AC1620" s="78" t="s">
        <v>52</v>
      </c>
      <c r="AD1620" s="78" t="s">
        <v>19</v>
      </c>
      <c r="AE1620" s="78" t="s">
        <v>72</v>
      </c>
      <c r="AF1620" s="78" t="s">
        <v>51</v>
      </c>
      <c r="AG1620" s="78" t="s">
        <v>470</v>
      </c>
      <c r="AH1620" s="78">
        <v>3.9351583966085761</v>
      </c>
      <c r="AJ1620" s="78" t="s">
        <v>52</v>
      </c>
      <c r="AK1620" s="78" t="s">
        <v>19</v>
      </c>
      <c r="AL1620" s="78" t="s">
        <v>28</v>
      </c>
      <c r="AM1620" s="78" t="s">
        <v>51</v>
      </c>
      <c r="AN1620" s="78" t="s">
        <v>442</v>
      </c>
      <c r="AO1620" s="78">
        <v>1.5036322618978162</v>
      </c>
    </row>
    <row r="1621" spans="29:41">
      <c r="AC1621" s="78" t="s">
        <v>52</v>
      </c>
      <c r="AD1621" s="78" t="s">
        <v>19</v>
      </c>
      <c r="AE1621" s="78" t="s">
        <v>72</v>
      </c>
      <c r="AF1621" s="78" t="s">
        <v>51</v>
      </c>
      <c r="AG1621" s="78" t="s">
        <v>471</v>
      </c>
      <c r="AH1621" s="78">
        <v>3.9019553775197724</v>
      </c>
      <c r="AJ1621" s="78" t="s">
        <v>52</v>
      </c>
      <c r="AK1621" s="78" t="s">
        <v>19</v>
      </c>
      <c r="AL1621" s="78" t="s">
        <v>28</v>
      </c>
      <c r="AM1621" s="78" t="s">
        <v>51</v>
      </c>
      <c r="AN1621" s="78" t="s">
        <v>443</v>
      </c>
      <c r="AO1621" s="78">
        <v>1.4859584987297221</v>
      </c>
    </row>
    <row r="1622" spans="29:41">
      <c r="AC1622" s="78" t="s">
        <v>52</v>
      </c>
      <c r="AD1622" s="78" t="s">
        <v>19</v>
      </c>
      <c r="AE1622" s="78" t="s">
        <v>72</v>
      </c>
      <c r="AF1622" s="78" t="s">
        <v>51</v>
      </c>
      <c r="AG1622" s="78" t="s">
        <v>472</v>
      </c>
      <c r="AH1622" s="78">
        <v>3.9019553775197724</v>
      </c>
      <c r="AJ1622" s="78" t="s">
        <v>52</v>
      </c>
      <c r="AK1622" s="78" t="s">
        <v>19</v>
      </c>
      <c r="AL1622" s="78" t="s">
        <v>28</v>
      </c>
      <c r="AM1622" s="78" t="s">
        <v>51</v>
      </c>
      <c r="AN1622" s="78" t="s">
        <v>444</v>
      </c>
      <c r="AO1622" s="78">
        <v>1.5241051617953989</v>
      </c>
    </row>
    <row r="1623" spans="29:41">
      <c r="AC1623" s="78" t="s">
        <v>52</v>
      </c>
      <c r="AD1623" s="78" t="s">
        <v>19</v>
      </c>
      <c r="AE1623" s="78" t="s">
        <v>72</v>
      </c>
      <c r="AF1623" s="78" t="s">
        <v>51</v>
      </c>
      <c r="AG1623" s="78" t="s">
        <v>473</v>
      </c>
      <c r="AH1623" s="78">
        <v>3.9351583966085761</v>
      </c>
      <c r="AJ1623" s="78" t="s">
        <v>52</v>
      </c>
      <c r="AK1623" s="78" t="s">
        <v>19</v>
      </c>
      <c r="AL1623" s="78" t="s">
        <v>28</v>
      </c>
      <c r="AM1623" s="78" t="s">
        <v>51</v>
      </c>
      <c r="AN1623" s="78" t="s">
        <v>445</v>
      </c>
      <c r="AO1623" s="78">
        <v>1.5120595435685293</v>
      </c>
    </row>
    <row r="1624" spans="29:41">
      <c r="AC1624" s="78" t="s">
        <v>52</v>
      </c>
      <c r="AD1624" s="78" t="s">
        <v>19</v>
      </c>
      <c r="AE1624" s="78" t="s">
        <v>72</v>
      </c>
      <c r="AF1624" s="78" t="s">
        <v>51</v>
      </c>
      <c r="AG1624" s="78" t="s">
        <v>474</v>
      </c>
      <c r="AH1624" s="78">
        <v>3.9646015689346088</v>
      </c>
      <c r="AJ1624" s="78" t="s">
        <v>52</v>
      </c>
      <c r="AK1624" s="78" t="s">
        <v>19</v>
      </c>
      <c r="AL1624" s="78" t="s">
        <v>28</v>
      </c>
      <c r="AM1624" s="78" t="s">
        <v>51</v>
      </c>
      <c r="AN1624" s="78" t="s">
        <v>446</v>
      </c>
      <c r="AO1624" s="78">
        <v>1.5169393043414989</v>
      </c>
    </row>
    <row r="1625" spans="29:41">
      <c r="AC1625" s="78" t="s">
        <v>52</v>
      </c>
      <c r="AD1625" s="78" t="s">
        <v>19</v>
      </c>
      <c r="AE1625" s="78" t="s">
        <v>72</v>
      </c>
      <c r="AF1625" s="78" t="s">
        <v>51</v>
      </c>
      <c r="AG1625" s="78" t="s">
        <v>475</v>
      </c>
      <c r="AH1625" s="78">
        <v>3.9019553775197724</v>
      </c>
      <c r="AJ1625" s="78" t="s">
        <v>52</v>
      </c>
      <c r="AK1625" s="78" t="s">
        <v>19</v>
      </c>
      <c r="AL1625" s="78" t="s">
        <v>28</v>
      </c>
      <c r="AM1625" s="78" t="s">
        <v>51</v>
      </c>
      <c r="AN1625" s="78" t="s">
        <v>447</v>
      </c>
      <c r="AO1625" s="78">
        <v>1.527126295854152</v>
      </c>
    </row>
    <row r="1626" spans="29:41">
      <c r="AC1626" s="78" t="s">
        <v>52</v>
      </c>
      <c r="AD1626" s="78" t="s">
        <v>19</v>
      </c>
      <c r="AE1626" s="78" t="s">
        <v>72</v>
      </c>
      <c r="AF1626" s="78" t="s">
        <v>51</v>
      </c>
      <c r="AG1626" s="78" t="s">
        <v>476</v>
      </c>
      <c r="AH1626" s="78">
        <v>3.9347997728339967</v>
      </c>
      <c r="AJ1626" s="78" t="s">
        <v>52</v>
      </c>
      <c r="AK1626" s="78" t="s">
        <v>19</v>
      </c>
      <c r="AL1626" s="78" t="s">
        <v>28</v>
      </c>
      <c r="AM1626" s="78" t="s">
        <v>51</v>
      </c>
      <c r="AN1626" s="78" t="s">
        <v>448</v>
      </c>
      <c r="AO1626" s="78">
        <v>1.5127705502316864</v>
      </c>
    </row>
    <row r="1627" spans="29:41">
      <c r="AC1627" s="78" t="s">
        <v>52</v>
      </c>
      <c r="AD1627" s="78" t="s">
        <v>19</v>
      </c>
      <c r="AE1627" s="78" t="s">
        <v>72</v>
      </c>
      <c r="AF1627" s="78" t="s">
        <v>51</v>
      </c>
      <c r="AG1627" s="78" t="s">
        <v>477</v>
      </c>
      <c r="AH1627" s="78">
        <v>3.9351583966085761</v>
      </c>
      <c r="AJ1627" s="78" t="s">
        <v>52</v>
      </c>
      <c r="AK1627" s="78" t="s">
        <v>19</v>
      </c>
      <c r="AL1627" s="78" t="s">
        <v>28</v>
      </c>
      <c r="AM1627" s="78" t="s">
        <v>51</v>
      </c>
      <c r="AN1627" s="78" t="s">
        <v>449</v>
      </c>
      <c r="AO1627" s="78">
        <v>1.6748488513116788</v>
      </c>
    </row>
    <row r="1628" spans="29:41">
      <c r="AC1628" s="78" t="s">
        <v>52</v>
      </c>
      <c r="AD1628" s="78" t="s">
        <v>19</v>
      </c>
      <c r="AE1628" s="78" t="s">
        <v>72</v>
      </c>
      <c r="AF1628" s="78" t="s">
        <v>51</v>
      </c>
      <c r="AG1628" s="78" t="s">
        <v>478</v>
      </c>
      <c r="AH1628" s="78">
        <v>3.9351583966085761</v>
      </c>
      <c r="AJ1628" s="78" t="s">
        <v>52</v>
      </c>
      <c r="AK1628" s="78" t="s">
        <v>19</v>
      </c>
      <c r="AL1628" s="78" t="s">
        <v>28</v>
      </c>
      <c r="AM1628" s="78" t="s">
        <v>51</v>
      </c>
      <c r="AN1628" s="78" t="s">
        <v>450</v>
      </c>
      <c r="AO1628" s="78">
        <v>1.6393237500658637</v>
      </c>
    </row>
    <row r="1629" spans="29:41">
      <c r="AC1629" s="78" t="s">
        <v>52</v>
      </c>
      <c r="AD1629" s="78" t="s">
        <v>19</v>
      </c>
      <c r="AE1629" s="78" t="s">
        <v>72</v>
      </c>
      <c r="AF1629" s="78" t="s">
        <v>51</v>
      </c>
      <c r="AG1629" s="78" t="s">
        <v>479</v>
      </c>
      <c r="AH1629" s="78">
        <v>3.9347997728339967</v>
      </c>
      <c r="AJ1629" s="78" t="s">
        <v>52</v>
      </c>
      <c r="AK1629" s="78" t="s">
        <v>19</v>
      </c>
      <c r="AL1629" s="78" t="s">
        <v>28</v>
      </c>
      <c r="AM1629" s="78" t="s">
        <v>51</v>
      </c>
      <c r="AN1629" s="78" t="s">
        <v>451</v>
      </c>
      <c r="AO1629" s="78">
        <v>1.6154024080020726</v>
      </c>
    </row>
    <row r="1630" spans="29:41">
      <c r="AC1630" s="78" t="s">
        <v>52</v>
      </c>
      <c r="AD1630" s="78" t="s">
        <v>19</v>
      </c>
      <c r="AE1630" s="78" t="s">
        <v>72</v>
      </c>
      <c r="AF1630" s="78" t="s">
        <v>51</v>
      </c>
      <c r="AG1630" s="78" t="s">
        <v>480</v>
      </c>
      <c r="AH1630" s="78">
        <v>3.9347997728339967</v>
      </c>
      <c r="AJ1630" s="78" t="s">
        <v>52</v>
      </c>
      <c r="AK1630" s="78" t="s">
        <v>19</v>
      </c>
      <c r="AL1630" s="78" t="s">
        <v>28</v>
      </c>
      <c r="AM1630" s="78" t="s">
        <v>51</v>
      </c>
      <c r="AN1630" s="78" t="s">
        <v>452</v>
      </c>
      <c r="AO1630" s="78">
        <v>1.6544690083955724</v>
      </c>
    </row>
    <row r="1631" spans="29:41">
      <c r="AC1631" s="78" t="s">
        <v>52</v>
      </c>
      <c r="AD1631" s="78" t="s">
        <v>19</v>
      </c>
      <c r="AE1631" s="78" t="s">
        <v>72</v>
      </c>
      <c r="AF1631" s="78" t="s">
        <v>51</v>
      </c>
      <c r="AG1631" s="78" t="s">
        <v>481</v>
      </c>
      <c r="AH1631" s="78">
        <v>3.9347997728339967</v>
      </c>
      <c r="AJ1631" s="78" t="s">
        <v>52</v>
      </c>
      <c r="AK1631" s="78" t="s">
        <v>19</v>
      </c>
      <c r="AL1631" s="78" t="s">
        <v>28</v>
      </c>
      <c r="AM1631" s="78" t="s">
        <v>51</v>
      </c>
      <c r="AN1631" s="78" t="s">
        <v>453</v>
      </c>
      <c r="AO1631" s="78">
        <v>1.6621558549125726</v>
      </c>
    </row>
    <row r="1632" spans="29:41">
      <c r="AC1632" s="78" t="s">
        <v>52</v>
      </c>
      <c r="AD1632" s="78" t="s">
        <v>19</v>
      </c>
      <c r="AE1632" s="78" t="s">
        <v>72</v>
      </c>
      <c r="AF1632" s="78" t="s">
        <v>51</v>
      </c>
      <c r="AG1632" s="78" t="s">
        <v>482</v>
      </c>
      <c r="AH1632" s="78">
        <v>3.9646015689346088</v>
      </c>
      <c r="AJ1632" s="78" t="s">
        <v>52</v>
      </c>
      <c r="AK1632" s="78" t="s">
        <v>19</v>
      </c>
      <c r="AL1632" s="78" t="s">
        <v>28</v>
      </c>
      <c r="AM1632" s="78" t="s">
        <v>51</v>
      </c>
      <c r="AN1632" s="78" t="s">
        <v>454</v>
      </c>
      <c r="AO1632" s="78">
        <v>1.7124165250115633</v>
      </c>
    </row>
    <row r="1633" spans="29:41">
      <c r="AC1633" s="78" t="s">
        <v>52</v>
      </c>
      <c r="AD1633" s="78" t="s">
        <v>19</v>
      </c>
      <c r="AE1633" s="78" t="s">
        <v>72</v>
      </c>
      <c r="AF1633" s="78" t="s">
        <v>51</v>
      </c>
      <c r="AG1633" s="78" t="s">
        <v>483</v>
      </c>
      <c r="AH1633" s="78">
        <v>3.9347997728339967</v>
      </c>
      <c r="AJ1633" s="78" t="s">
        <v>52</v>
      </c>
      <c r="AK1633" s="78" t="s">
        <v>19</v>
      </c>
      <c r="AL1633" s="78" t="s">
        <v>28</v>
      </c>
      <c r="AM1633" s="78" t="s">
        <v>51</v>
      </c>
      <c r="AN1633" s="78" t="s">
        <v>455</v>
      </c>
      <c r="AO1633" s="78">
        <v>1.6732127893184636</v>
      </c>
    </row>
    <row r="1634" spans="29:41">
      <c r="AC1634" s="78" t="s">
        <v>52</v>
      </c>
      <c r="AD1634" s="78" t="s">
        <v>19</v>
      </c>
      <c r="AE1634" s="78" t="s">
        <v>72</v>
      </c>
      <c r="AF1634" s="78" t="s">
        <v>51</v>
      </c>
      <c r="AG1634" s="78" t="s">
        <v>484</v>
      </c>
      <c r="AH1634" s="78">
        <v>3.9347997728339967</v>
      </c>
      <c r="AJ1634" s="78" t="s">
        <v>52</v>
      </c>
      <c r="AK1634" s="78" t="s">
        <v>19</v>
      </c>
      <c r="AL1634" s="78" t="s">
        <v>28</v>
      </c>
      <c r="AM1634" s="78" t="s">
        <v>51</v>
      </c>
      <c r="AN1634" s="78" t="s">
        <v>456</v>
      </c>
      <c r="AO1634" s="78">
        <v>1.6692198566422722</v>
      </c>
    </row>
    <row r="1635" spans="29:41">
      <c r="AC1635" s="78" t="s">
        <v>52</v>
      </c>
      <c r="AD1635" s="78" t="s">
        <v>19</v>
      </c>
      <c r="AE1635" s="78" t="s">
        <v>72</v>
      </c>
      <c r="AF1635" s="78" t="s">
        <v>51</v>
      </c>
      <c r="AG1635" s="78" t="s">
        <v>485</v>
      </c>
      <c r="AH1635" s="78">
        <v>3.9347997728339967</v>
      </c>
      <c r="AJ1635" s="78" t="s">
        <v>52</v>
      </c>
      <c r="AK1635" s="78" t="s">
        <v>19</v>
      </c>
      <c r="AL1635" s="78" t="s">
        <v>28</v>
      </c>
      <c r="AM1635" s="78" t="s">
        <v>51</v>
      </c>
      <c r="AN1635" s="78" t="s">
        <v>746</v>
      </c>
      <c r="AO1635" s="78">
        <v>1.6692198566422722</v>
      </c>
    </row>
    <row r="1636" spans="29:41">
      <c r="AC1636" s="78" t="s">
        <v>52</v>
      </c>
      <c r="AD1636" s="78" t="s">
        <v>19</v>
      </c>
      <c r="AE1636" s="78" t="s">
        <v>72</v>
      </c>
      <c r="AF1636" s="78" t="s">
        <v>51</v>
      </c>
      <c r="AG1636" s="78" t="s">
        <v>486</v>
      </c>
      <c r="AH1636" s="78">
        <v>3.9347997728339967</v>
      </c>
      <c r="AJ1636" s="78" t="s">
        <v>52</v>
      </c>
      <c r="AK1636" s="78" t="s">
        <v>19</v>
      </c>
      <c r="AL1636" s="78" t="s">
        <v>28</v>
      </c>
      <c r="AM1636" s="78" t="s">
        <v>51</v>
      </c>
      <c r="AN1636" s="78" t="s">
        <v>457</v>
      </c>
      <c r="AO1636" s="78">
        <v>1.6520717039183828</v>
      </c>
    </row>
    <row r="1637" spans="29:41">
      <c r="AC1637" s="78" t="s">
        <v>52</v>
      </c>
      <c r="AD1637" s="78" t="s">
        <v>19</v>
      </c>
      <c r="AE1637" s="78" t="s">
        <v>72</v>
      </c>
      <c r="AF1637" s="78" t="s">
        <v>51</v>
      </c>
      <c r="AG1637" s="78" t="s">
        <v>487</v>
      </c>
      <c r="AH1637" s="78">
        <v>3.9019553775197724</v>
      </c>
      <c r="AJ1637" s="78" t="s">
        <v>52</v>
      </c>
      <c r="AK1637" s="78" t="s">
        <v>19</v>
      </c>
      <c r="AL1637" s="78" t="s">
        <v>28</v>
      </c>
      <c r="AM1637" s="78" t="s">
        <v>51</v>
      </c>
      <c r="AN1637" s="78" t="s">
        <v>458</v>
      </c>
      <c r="AO1637" s="78">
        <v>1.6610042175317887</v>
      </c>
    </row>
    <row r="1638" spans="29:41">
      <c r="AC1638" s="78" t="s">
        <v>52</v>
      </c>
      <c r="AD1638" s="78" t="s">
        <v>19</v>
      </c>
      <c r="AE1638" s="78" t="s">
        <v>72</v>
      </c>
      <c r="AF1638" s="78" t="s">
        <v>51</v>
      </c>
      <c r="AG1638" s="78" t="s">
        <v>488</v>
      </c>
      <c r="AH1638" s="78">
        <v>3.9347997728339967</v>
      </c>
      <c r="AJ1638" s="78" t="s">
        <v>52</v>
      </c>
      <c r="AK1638" s="78" t="s">
        <v>19</v>
      </c>
      <c r="AL1638" s="78" t="s">
        <v>28</v>
      </c>
      <c r="AM1638" s="78" t="s">
        <v>51</v>
      </c>
      <c r="AN1638" s="78" t="s">
        <v>459</v>
      </c>
      <c r="AO1638" s="78">
        <v>1.6865180578079686</v>
      </c>
    </row>
    <row r="1639" spans="29:41">
      <c r="AC1639" s="78" t="s">
        <v>52</v>
      </c>
      <c r="AD1639" s="78" t="s">
        <v>19</v>
      </c>
      <c r="AE1639" s="78" t="s">
        <v>72</v>
      </c>
      <c r="AF1639" s="78" t="s">
        <v>51</v>
      </c>
      <c r="AG1639" s="78" t="s">
        <v>489</v>
      </c>
      <c r="AH1639" s="78">
        <v>3.9019553775197724</v>
      </c>
      <c r="AJ1639" s="78" t="s">
        <v>52</v>
      </c>
      <c r="AK1639" s="78" t="s">
        <v>19</v>
      </c>
      <c r="AL1639" s="78" t="s">
        <v>28</v>
      </c>
      <c r="AM1639" s="78" t="s">
        <v>51</v>
      </c>
      <c r="AN1639" s="78" t="s">
        <v>460</v>
      </c>
      <c r="AO1639" s="78">
        <v>1.651693854940592</v>
      </c>
    </row>
    <row r="1640" spans="29:41">
      <c r="AC1640" s="78" t="s">
        <v>52</v>
      </c>
      <c r="AD1640" s="78" t="s">
        <v>19</v>
      </c>
      <c r="AE1640" s="78" t="s">
        <v>72</v>
      </c>
      <c r="AF1640" s="78" t="s">
        <v>51</v>
      </c>
      <c r="AG1640" s="78" t="s">
        <v>423</v>
      </c>
      <c r="AH1640" s="78">
        <v>3.9019553775197724</v>
      </c>
      <c r="AJ1640" s="78" t="s">
        <v>52</v>
      </c>
      <c r="AK1640" s="78" t="s">
        <v>19</v>
      </c>
      <c r="AL1640" s="78" t="s">
        <v>28</v>
      </c>
      <c r="AM1640" s="78" t="s">
        <v>51</v>
      </c>
      <c r="AN1640" s="78" t="s">
        <v>461</v>
      </c>
      <c r="AO1640" s="78">
        <v>1.6062094731246619</v>
      </c>
    </row>
    <row r="1641" spans="29:41">
      <c r="AC1641" s="78" t="s">
        <v>52</v>
      </c>
      <c r="AD1641" s="78" t="s">
        <v>19</v>
      </c>
      <c r="AE1641" s="78" t="s">
        <v>72</v>
      </c>
      <c r="AF1641" s="78" t="s">
        <v>51</v>
      </c>
      <c r="AG1641" s="78" t="s">
        <v>490</v>
      </c>
      <c r="AH1641" s="78">
        <v>3.9347997728339967</v>
      </c>
      <c r="AJ1641" s="78" t="s">
        <v>52</v>
      </c>
      <c r="AK1641" s="78" t="s">
        <v>19</v>
      </c>
      <c r="AL1641" s="78" t="s">
        <v>28</v>
      </c>
      <c r="AM1641" s="78" t="s">
        <v>51</v>
      </c>
      <c r="AN1641" s="78" t="s">
        <v>462</v>
      </c>
      <c r="AO1641" s="78">
        <v>1.6102582693336323</v>
      </c>
    </row>
    <row r="1642" spans="29:41">
      <c r="AC1642" s="78" t="s">
        <v>52</v>
      </c>
      <c r="AD1642" s="78" t="s">
        <v>19</v>
      </c>
      <c r="AE1642" s="78" t="s">
        <v>72</v>
      </c>
      <c r="AF1642" s="78" t="s">
        <v>51</v>
      </c>
      <c r="AG1642" s="78" t="s">
        <v>491</v>
      </c>
      <c r="AH1642" s="78">
        <v>3.8390703147923091</v>
      </c>
      <c r="AJ1642" s="78" t="s">
        <v>52</v>
      </c>
      <c r="AK1642" s="78" t="s">
        <v>19</v>
      </c>
      <c r="AL1642" s="78" t="s">
        <v>28</v>
      </c>
      <c r="AM1642" s="78" t="s">
        <v>51</v>
      </c>
      <c r="AN1642" s="78" t="s">
        <v>463</v>
      </c>
      <c r="AO1642" s="78">
        <v>1.6369336867383419</v>
      </c>
    </row>
    <row r="1643" spans="29:41">
      <c r="AC1643" s="78" t="s">
        <v>52</v>
      </c>
      <c r="AD1643" s="78" t="s">
        <v>19</v>
      </c>
      <c r="AE1643" s="78" t="s">
        <v>72</v>
      </c>
      <c r="AF1643" s="78" t="s">
        <v>51</v>
      </c>
      <c r="AG1643" s="78" t="s">
        <v>492</v>
      </c>
      <c r="AH1643" s="78">
        <v>3.8720399663140839</v>
      </c>
      <c r="AJ1643" s="78" t="s">
        <v>52</v>
      </c>
      <c r="AK1643" s="78" t="s">
        <v>19</v>
      </c>
      <c r="AL1643" s="78" t="s">
        <v>28</v>
      </c>
      <c r="AM1643" s="78" t="s">
        <v>51</v>
      </c>
      <c r="AN1643" s="78" t="s">
        <v>464</v>
      </c>
      <c r="AO1643" s="78">
        <v>1.5883803263471064</v>
      </c>
    </row>
    <row r="1644" spans="29:41">
      <c r="AC1644" s="78" t="s">
        <v>52</v>
      </c>
      <c r="AD1644" s="78" t="s">
        <v>19</v>
      </c>
      <c r="AE1644" s="78" t="s">
        <v>72</v>
      </c>
      <c r="AF1644" s="78" t="s">
        <v>51</v>
      </c>
      <c r="AG1644" s="78" t="s">
        <v>493</v>
      </c>
      <c r="AH1644" s="78">
        <v>3.9351583966085761</v>
      </c>
      <c r="AJ1644" s="78" t="s">
        <v>52</v>
      </c>
      <c r="AK1644" s="78" t="s">
        <v>19</v>
      </c>
      <c r="AL1644" s="78" t="s">
        <v>28</v>
      </c>
      <c r="AM1644" s="78" t="s">
        <v>51</v>
      </c>
      <c r="AN1644" s="78" t="s">
        <v>465</v>
      </c>
      <c r="AO1644" s="78">
        <v>1.6141009840158622</v>
      </c>
    </row>
    <row r="1645" spans="29:41">
      <c r="AC1645" s="78" t="s">
        <v>52</v>
      </c>
      <c r="AD1645" s="78" t="s">
        <v>19</v>
      </c>
      <c r="AE1645" s="78" t="s">
        <v>72</v>
      </c>
      <c r="AF1645" s="78" t="s">
        <v>51</v>
      </c>
      <c r="AG1645" s="78" t="s">
        <v>494</v>
      </c>
      <c r="AH1645" s="78">
        <v>3.9649667218579321</v>
      </c>
      <c r="AJ1645" s="78" t="s">
        <v>52</v>
      </c>
      <c r="AK1645" s="78" t="s">
        <v>19</v>
      </c>
      <c r="AL1645" s="78" t="s">
        <v>28</v>
      </c>
      <c r="AM1645" s="78" t="s">
        <v>51</v>
      </c>
      <c r="AN1645" s="78" t="s">
        <v>466</v>
      </c>
      <c r="AO1645" s="78">
        <v>1.5925987907719823</v>
      </c>
    </row>
    <row r="1646" spans="29:41">
      <c r="AC1646" s="78" t="s">
        <v>52</v>
      </c>
      <c r="AD1646" s="78" t="s">
        <v>19</v>
      </c>
      <c r="AE1646" s="78" t="s">
        <v>72</v>
      </c>
      <c r="AF1646" s="78" t="s">
        <v>51</v>
      </c>
      <c r="AG1646" s="78" t="s">
        <v>495</v>
      </c>
      <c r="AH1646" s="78">
        <v>3.9649667218579321</v>
      </c>
      <c r="AJ1646" s="78" t="s">
        <v>52</v>
      </c>
      <c r="AK1646" s="78" t="s">
        <v>19</v>
      </c>
      <c r="AL1646" s="78" t="s">
        <v>28</v>
      </c>
      <c r="AM1646" s="78" t="s">
        <v>51</v>
      </c>
      <c r="AN1646" s="78" t="s">
        <v>467</v>
      </c>
      <c r="AO1646" s="78">
        <v>1.5822326920960119</v>
      </c>
    </row>
    <row r="1647" spans="29:41">
      <c r="AC1647" s="78" t="s">
        <v>52</v>
      </c>
      <c r="AD1647" s="78" t="s">
        <v>19</v>
      </c>
      <c r="AE1647" s="78" t="s">
        <v>72</v>
      </c>
      <c r="AF1647" s="78" t="s">
        <v>51</v>
      </c>
      <c r="AG1647" s="78" t="s">
        <v>496</v>
      </c>
      <c r="AH1647" s="78">
        <v>3.9351583966085761</v>
      </c>
      <c r="AJ1647" s="78" t="s">
        <v>52</v>
      </c>
      <c r="AK1647" s="78" t="s">
        <v>19</v>
      </c>
      <c r="AL1647" s="78" t="s">
        <v>28</v>
      </c>
      <c r="AM1647" s="78" t="s">
        <v>51</v>
      </c>
      <c r="AN1647" s="78" t="s">
        <v>468</v>
      </c>
      <c r="AO1647" s="78">
        <v>1.5736521794568823</v>
      </c>
    </row>
    <row r="1648" spans="29:41">
      <c r="AC1648" s="78" t="s">
        <v>52</v>
      </c>
      <c r="AD1648" s="78" t="s">
        <v>19</v>
      </c>
      <c r="AE1648" s="78" t="s">
        <v>72</v>
      </c>
      <c r="AF1648" s="78" t="s">
        <v>51</v>
      </c>
      <c r="AG1648" s="78" t="s">
        <v>497</v>
      </c>
      <c r="AH1648" s="78">
        <v>3.9351583966085761</v>
      </c>
      <c r="AJ1648" s="78" t="s">
        <v>52</v>
      </c>
      <c r="AK1648" s="78" t="s">
        <v>19</v>
      </c>
      <c r="AL1648" s="78" t="s">
        <v>28</v>
      </c>
      <c r="AM1648" s="78" t="s">
        <v>51</v>
      </c>
      <c r="AN1648" s="78" t="s">
        <v>469</v>
      </c>
      <c r="AO1648" s="78">
        <v>1.6561540931502177</v>
      </c>
    </row>
    <row r="1649" spans="29:41">
      <c r="AC1649" s="78" t="s">
        <v>52</v>
      </c>
      <c r="AD1649" s="78" t="s">
        <v>19</v>
      </c>
      <c r="AE1649" s="78" t="s">
        <v>72</v>
      </c>
      <c r="AF1649" s="78" t="s">
        <v>51</v>
      </c>
      <c r="AG1649" s="78" t="s">
        <v>498</v>
      </c>
      <c r="AH1649" s="78">
        <v>3.9351583966085761</v>
      </c>
      <c r="AJ1649" s="78" t="s">
        <v>52</v>
      </c>
      <c r="AK1649" s="78" t="s">
        <v>19</v>
      </c>
      <c r="AL1649" s="78" t="s">
        <v>28</v>
      </c>
      <c r="AM1649" s="78" t="s">
        <v>51</v>
      </c>
      <c r="AN1649" s="78" t="s">
        <v>470</v>
      </c>
      <c r="AO1649" s="78">
        <v>1.6136634854221663</v>
      </c>
    </row>
    <row r="1650" spans="29:41">
      <c r="AC1650" s="78" t="s">
        <v>52</v>
      </c>
      <c r="AD1650" s="78" t="s">
        <v>19</v>
      </c>
      <c r="AE1650" s="78" t="s">
        <v>72</v>
      </c>
      <c r="AF1650" s="78" t="s">
        <v>51</v>
      </c>
      <c r="AG1650" s="78" t="s">
        <v>499</v>
      </c>
      <c r="AH1650" s="78">
        <v>3.9649667218579321</v>
      </c>
      <c r="AJ1650" s="78" t="s">
        <v>52</v>
      </c>
      <c r="AK1650" s="78" t="s">
        <v>19</v>
      </c>
      <c r="AL1650" s="78" t="s">
        <v>28</v>
      </c>
      <c r="AM1650" s="78" t="s">
        <v>51</v>
      </c>
      <c r="AN1650" s="78" t="s">
        <v>471</v>
      </c>
      <c r="AO1650" s="78">
        <v>1.6360793070087822</v>
      </c>
    </row>
    <row r="1651" spans="29:41">
      <c r="AC1651" s="78" t="s">
        <v>52</v>
      </c>
      <c r="AD1651" s="78" t="s">
        <v>19</v>
      </c>
      <c r="AE1651" s="78" t="s">
        <v>72</v>
      </c>
      <c r="AF1651" s="78" t="s">
        <v>51</v>
      </c>
      <c r="AG1651" s="78" t="s">
        <v>500</v>
      </c>
      <c r="AH1651" s="78">
        <v>3.9351583966085761</v>
      </c>
      <c r="AJ1651" s="78" t="s">
        <v>52</v>
      </c>
      <c r="AK1651" s="78" t="s">
        <v>19</v>
      </c>
      <c r="AL1651" s="78" t="s">
        <v>28</v>
      </c>
      <c r="AM1651" s="78" t="s">
        <v>51</v>
      </c>
      <c r="AN1651" s="78" t="s">
        <v>472</v>
      </c>
      <c r="AO1651" s="78">
        <v>1.6116296808967325</v>
      </c>
    </row>
    <row r="1652" spans="29:41">
      <c r="AC1652" s="78" t="s">
        <v>52</v>
      </c>
      <c r="AD1652" s="78" t="s">
        <v>19</v>
      </c>
      <c r="AE1652" s="78" t="s">
        <v>72</v>
      </c>
      <c r="AF1652" s="78" t="s">
        <v>51</v>
      </c>
      <c r="AG1652" s="78" t="s">
        <v>501</v>
      </c>
      <c r="AH1652" s="78">
        <v>3.9351583966085761</v>
      </c>
      <c r="AJ1652" s="78" t="s">
        <v>52</v>
      </c>
      <c r="AK1652" s="78" t="s">
        <v>19</v>
      </c>
      <c r="AL1652" s="78" t="s">
        <v>28</v>
      </c>
      <c r="AM1652" s="78" t="s">
        <v>51</v>
      </c>
      <c r="AN1652" s="78" t="s">
        <v>473</v>
      </c>
      <c r="AO1652" s="78">
        <v>1.6066346100582065</v>
      </c>
    </row>
    <row r="1653" spans="29:41">
      <c r="AC1653" s="78" t="s">
        <v>52</v>
      </c>
      <c r="AD1653" s="78" t="s">
        <v>19</v>
      </c>
      <c r="AE1653" s="78" t="s">
        <v>72</v>
      </c>
      <c r="AF1653" s="78" t="s">
        <v>51</v>
      </c>
      <c r="AG1653" s="78" t="s">
        <v>502</v>
      </c>
      <c r="AH1653" s="78">
        <v>3.8720399663140839</v>
      </c>
      <c r="AJ1653" s="78" t="s">
        <v>52</v>
      </c>
      <c r="AK1653" s="78" t="s">
        <v>19</v>
      </c>
      <c r="AL1653" s="78" t="s">
        <v>28</v>
      </c>
      <c r="AM1653" s="78" t="s">
        <v>51</v>
      </c>
      <c r="AN1653" s="78" t="s">
        <v>474</v>
      </c>
      <c r="AO1653" s="78">
        <v>1.6290723082511787</v>
      </c>
    </row>
    <row r="1654" spans="29:41">
      <c r="AC1654" s="78" t="s">
        <v>52</v>
      </c>
      <c r="AD1654" s="78" t="s">
        <v>19</v>
      </c>
      <c r="AE1654" s="78" t="s">
        <v>72</v>
      </c>
      <c r="AF1654" s="78" t="s">
        <v>51</v>
      </c>
      <c r="AG1654" s="78" t="s">
        <v>422</v>
      </c>
      <c r="AH1654" s="78">
        <v>3.8390703147923091</v>
      </c>
      <c r="AJ1654" s="78" t="s">
        <v>52</v>
      </c>
      <c r="AK1654" s="78" t="s">
        <v>19</v>
      </c>
      <c r="AL1654" s="78" t="s">
        <v>28</v>
      </c>
      <c r="AM1654" s="78" t="s">
        <v>51</v>
      </c>
      <c r="AN1654" s="78" t="s">
        <v>475</v>
      </c>
      <c r="AO1654" s="78">
        <v>1.6057357338638525</v>
      </c>
    </row>
    <row r="1655" spans="29:41">
      <c r="AC1655" s="78" t="s">
        <v>52</v>
      </c>
      <c r="AD1655" s="78" t="s">
        <v>19</v>
      </c>
      <c r="AE1655" s="78" t="s">
        <v>72</v>
      </c>
      <c r="AF1655" s="78" t="s">
        <v>51</v>
      </c>
      <c r="AG1655" s="78" t="s">
        <v>503</v>
      </c>
      <c r="AH1655" s="78">
        <v>3.8090407795200316</v>
      </c>
      <c r="AJ1655" s="78" t="s">
        <v>52</v>
      </c>
      <c r="AK1655" s="78" t="s">
        <v>19</v>
      </c>
      <c r="AL1655" s="78" t="s">
        <v>28</v>
      </c>
      <c r="AM1655" s="78" t="s">
        <v>51</v>
      </c>
      <c r="AN1655" s="78" t="s">
        <v>476</v>
      </c>
      <c r="AO1655" s="78">
        <v>1.5730368757965767</v>
      </c>
    </row>
    <row r="1656" spans="29:41">
      <c r="AC1656" s="78" t="s">
        <v>52</v>
      </c>
      <c r="AD1656" s="78" t="s">
        <v>19</v>
      </c>
      <c r="AE1656" s="78" t="s">
        <v>72</v>
      </c>
      <c r="AF1656" s="78" t="s">
        <v>51</v>
      </c>
      <c r="AG1656" s="78" t="s">
        <v>504</v>
      </c>
      <c r="AH1656" s="78">
        <v>3.8390703147923091</v>
      </c>
      <c r="AJ1656" s="78" t="s">
        <v>52</v>
      </c>
      <c r="AK1656" s="78" t="s">
        <v>19</v>
      </c>
      <c r="AL1656" s="78" t="s">
        <v>28</v>
      </c>
      <c r="AM1656" s="78" t="s">
        <v>51</v>
      </c>
      <c r="AN1656" s="78" t="s">
        <v>477</v>
      </c>
      <c r="AO1656" s="78">
        <v>1.5660302002420565</v>
      </c>
    </row>
    <row r="1657" spans="29:41">
      <c r="AC1657" s="78" t="s">
        <v>52</v>
      </c>
      <c r="AD1657" s="78" t="s">
        <v>19</v>
      </c>
      <c r="AE1657" s="78" t="s">
        <v>72</v>
      </c>
      <c r="AF1657" s="78" t="s">
        <v>51</v>
      </c>
      <c r="AG1657" s="78" t="s">
        <v>505</v>
      </c>
      <c r="AH1657" s="78">
        <v>3.8720399663140839</v>
      </c>
      <c r="AJ1657" s="78" t="s">
        <v>52</v>
      </c>
      <c r="AK1657" s="78" t="s">
        <v>19</v>
      </c>
      <c r="AL1657" s="78" t="s">
        <v>28</v>
      </c>
      <c r="AM1657" s="78" t="s">
        <v>51</v>
      </c>
      <c r="AN1657" s="78" t="s">
        <v>478</v>
      </c>
      <c r="AO1657" s="78">
        <v>1.6039679187189464</v>
      </c>
    </row>
    <row r="1658" spans="29:41">
      <c r="AC1658" s="78" t="s">
        <v>52</v>
      </c>
      <c r="AD1658" s="78" t="s">
        <v>19</v>
      </c>
      <c r="AE1658" s="78" t="s">
        <v>72</v>
      </c>
      <c r="AF1658" s="78" t="s">
        <v>51</v>
      </c>
      <c r="AG1658" s="78" t="s">
        <v>421</v>
      </c>
      <c r="AH1658" s="78">
        <v>3.8390703147923091</v>
      </c>
      <c r="AJ1658" s="78" t="s">
        <v>52</v>
      </c>
      <c r="AK1658" s="78" t="s">
        <v>19</v>
      </c>
      <c r="AL1658" s="78" t="s">
        <v>28</v>
      </c>
      <c r="AM1658" s="78" t="s">
        <v>51</v>
      </c>
      <c r="AN1658" s="78" t="s">
        <v>479</v>
      </c>
      <c r="AO1658" s="78">
        <v>1.6407227228538965</v>
      </c>
    </row>
    <row r="1659" spans="29:41">
      <c r="AC1659" s="78" t="s">
        <v>52</v>
      </c>
      <c r="AD1659" s="78" t="s">
        <v>19</v>
      </c>
      <c r="AE1659" s="78" t="s">
        <v>72</v>
      </c>
      <c r="AF1659" s="78" t="s">
        <v>51</v>
      </c>
      <c r="AG1659" s="78" t="s">
        <v>506</v>
      </c>
      <c r="AH1659" s="78">
        <v>3.8720399663140839</v>
      </c>
      <c r="AJ1659" s="78" t="s">
        <v>52</v>
      </c>
      <c r="AK1659" s="78" t="s">
        <v>19</v>
      </c>
      <c r="AL1659" s="78" t="s">
        <v>28</v>
      </c>
      <c r="AM1659" s="78" t="s">
        <v>51</v>
      </c>
      <c r="AN1659" s="78" t="s">
        <v>747</v>
      </c>
      <c r="AO1659" s="78">
        <v>1.6407227228538965</v>
      </c>
    </row>
    <row r="1660" spans="29:41">
      <c r="AC1660" s="78" t="s">
        <v>52</v>
      </c>
      <c r="AD1660" s="78" t="s">
        <v>19</v>
      </c>
      <c r="AE1660" s="78" t="s">
        <v>72</v>
      </c>
      <c r="AF1660" s="78" t="s">
        <v>51</v>
      </c>
      <c r="AG1660" s="78" t="s">
        <v>507</v>
      </c>
      <c r="AH1660" s="78">
        <v>3.9019553775197724</v>
      </c>
      <c r="AJ1660" s="78" t="s">
        <v>52</v>
      </c>
      <c r="AK1660" s="78" t="s">
        <v>19</v>
      </c>
      <c r="AL1660" s="78" t="s">
        <v>28</v>
      </c>
      <c r="AM1660" s="78" t="s">
        <v>51</v>
      </c>
      <c r="AN1660" s="78" t="s">
        <v>748</v>
      </c>
      <c r="AO1660" s="78">
        <v>1.6407227228538965</v>
      </c>
    </row>
    <row r="1661" spans="29:41">
      <c r="AC1661" s="78" t="s">
        <v>52</v>
      </c>
      <c r="AD1661" s="78" t="s">
        <v>19</v>
      </c>
      <c r="AE1661" s="78" t="s">
        <v>72</v>
      </c>
      <c r="AF1661" s="78" t="s">
        <v>51</v>
      </c>
      <c r="AG1661" s="78" t="s">
        <v>508</v>
      </c>
      <c r="AH1661" s="78">
        <v>3.9351583966085761</v>
      </c>
      <c r="AJ1661" s="78" t="s">
        <v>52</v>
      </c>
      <c r="AK1661" s="78" t="s">
        <v>19</v>
      </c>
      <c r="AL1661" s="78" t="s">
        <v>28</v>
      </c>
      <c r="AM1661" s="78" t="s">
        <v>51</v>
      </c>
      <c r="AN1661" s="78" t="s">
        <v>480</v>
      </c>
      <c r="AO1661" s="78">
        <v>1.5927906297192165</v>
      </c>
    </row>
    <row r="1662" spans="29:41">
      <c r="AC1662" s="78" t="s">
        <v>52</v>
      </c>
      <c r="AD1662" s="78" t="s">
        <v>19</v>
      </c>
      <c r="AE1662" s="78" t="s">
        <v>72</v>
      </c>
      <c r="AF1662" s="78" t="s">
        <v>51</v>
      </c>
      <c r="AG1662" s="78" t="s">
        <v>509</v>
      </c>
      <c r="AH1662" s="78">
        <v>3.9351583966085761</v>
      </c>
      <c r="AJ1662" s="78" t="s">
        <v>52</v>
      </c>
      <c r="AK1662" s="78" t="s">
        <v>19</v>
      </c>
      <c r="AL1662" s="78" t="s">
        <v>28</v>
      </c>
      <c r="AM1662" s="78" t="s">
        <v>51</v>
      </c>
      <c r="AN1662" s="78" t="s">
        <v>481</v>
      </c>
      <c r="AO1662" s="78">
        <v>1.5760525648811567</v>
      </c>
    </row>
    <row r="1663" spans="29:41">
      <c r="AC1663" s="78" t="s">
        <v>52</v>
      </c>
      <c r="AD1663" s="78" t="s">
        <v>19</v>
      </c>
      <c r="AE1663" s="78" t="s">
        <v>72</v>
      </c>
      <c r="AF1663" s="78" t="s">
        <v>51</v>
      </c>
      <c r="AG1663" s="78" t="s">
        <v>510</v>
      </c>
      <c r="AH1663" s="78">
        <v>3.9351583966085761</v>
      </c>
      <c r="AJ1663" s="78" t="s">
        <v>52</v>
      </c>
      <c r="AK1663" s="78" t="s">
        <v>19</v>
      </c>
      <c r="AL1663" s="78" t="s">
        <v>28</v>
      </c>
      <c r="AM1663" s="78" t="s">
        <v>51</v>
      </c>
      <c r="AN1663" s="78" t="s">
        <v>482</v>
      </c>
      <c r="AO1663" s="78">
        <v>1.6149955870739388</v>
      </c>
    </row>
    <row r="1664" spans="29:41">
      <c r="AC1664" s="78" t="s">
        <v>52</v>
      </c>
      <c r="AD1664" s="78" t="s">
        <v>19</v>
      </c>
      <c r="AE1664" s="78" t="s">
        <v>72</v>
      </c>
      <c r="AF1664" s="78" t="s">
        <v>51</v>
      </c>
      <c r="AG1664" s="78" t="s">
        <v>511</v>
      </c>
      <c r="AH1664" s="78">
        <v>3.9976937553080876</v>
      </c>
      <c r="AJ1664" s="78" t="s">
        <v>52</v>
      </c>
      <c r="AK1664" s="78" t="s">
        <v>19</v>
      </c>
      <c r="AL1664" s="78" t="s">
        <v>28</v>
      </c>
      <c r="AM1664" s="78" t="s">
        <v>51</v>
      </c>
      <c r="AN1664" s="78" t="s">
        <v>483</v>
      </c>
      <c r="AO1664" s="78">
        <v>1.6127840662942168</v>
      </c>
    </row>
    <row r="1665" spans="29:41">
      <c r="AC1665" s="78" t="s">
        <v>52</v>
      </c>
      <c r="AD1665" s="78" t="s">
        <v>19</v>
      </c>
      <c r="AE1665" s="78" t="s">
        <v>72</v>
      </c>
      <c r="AF1665" s="78" t="s">
        <v>51</v>
      </c>
      <c r="AG1665" s="78" t="s">
        <v>512</v>
      </c>
      <c r="AH1665" s="78">
        <v>3.9649667218579321</v>
      </c>
      <c r="AJ1665" s="78" t="s">
        <v>52</v>
      </c>
      <c r="AK1665" s="78" t="s">
        <v>19</v>
      </c>
      <c r="AL1665" s="78" t="s">
        <v>28</v>
      </c>
      <c r="AM1665" s="78" t="s">
        <v>51</v>
      </c>
      <c r="AN1665" s="78" t="s">
        <v>484</v>
      </c>
      <c r="AO1665" s="78">
        <v>1.5603918256047868</v>
      </c>
    </row>
    <row r="1666" spans="29:41">
      <c r="AC1666" s="163" t="s">
        <v>52</v>
      </c>
      <c r="AD1666" s="163" t="s">
        <v>19</v>
      </c>
      <c r="AE1666" s="163" t="s">
        <v>72</v>
      </c>
      <c r="AF1666" s="163" t="s">
        <v>51</v>
      </c>
      <c r="AG1666" s="163" t="s">
        <v>513</v>
      </c>
      <c r="AH1666" s="163">
        <v>3.9351583966085761</v>
      </c>
      <c r="AJ1666" s="78" t="s">
        <v>52</v>
      </c>
      <c r="AK1666" s="78" t="s">
        <v>19</v>
      </c>
      <c r="AL1666" s="78" t="s">
        <v>28</v>
      </c>
      <c r="AM1666" s="78" t="s">
        <v>51</v>
      </c>
      <c r="AN1666" s="78" t="s">
        <v>485</v>
      </c>
      <c r="AO1666" s="78">
        <v>1.5840336592949165</v>
      </c>
    </row>
    <row r="1667" spans="29:41">
      <c r="AC1667" s="163" t="s">
        <v>52</v>
      </c>
      <c r="AD1667" s="163" t="s">
        <v>19</v>
      </c>
      <c r="AE1667" s="163" t="s">
        <v>72</v>
      </c>
      <c r="AF1667" s="163" t="s">
        <v>51</v>
      </c>
      <c r="AG1667" s="163" t="s">
        <v>514</v>
      </c>
      <c r="AH1667" s="163">
        <v>3.9351583966085761</v>
      </c>
      <c r="AJ1667" s="78" t="s">
        <v>52</v>
      </c>
      <c r="AK1667" s="78" t="s">
        <v>19</v>
      </c>
      <c r="AL1667" s="78" t="s">
        <v>28</v>
      </c>
      <c r="AM1667" s="78" t="s">
        <v>51</v>
      </c>
      <c r="AN1667" s="78" t="s">
        <v>486</v>
      </c>
      <c r="AO1667" s="78">
        <v>1.5894050644920368</v>
      </c>
    </row>
    <row r="1668" spans="29:41">
      <c r="AC1668" s="163" t="s">
        <v>52</v>
      </c>
      <c r="AD1668" s="163" t="s">
        <v>19</v>
      </c>
      <c r="AE1668" s="163" t="s">
        <v>72</v>
      </c>
      <c r="AF1668" s="163" t="s">
        <v>51</v>
      </c>
      <c r="AG1668" s="163" t="s">
        <v>515</v>
      </c>
      <c r="AH1668" s="163">
        <v>3.9649667218579321</v>
      </c>
      <c r="AJ1668" s="78" t="s">
        <v>52</v>
      </c>
      <c r="AK1668" s="78" t="s">
        <v>19</v>
      </c>
      <c r="AL1668" s="78" t="s">
        <v>28</v>
      </c>
      <c r="AM1668" s="78" t="s">
        <v>51</v>
      </c>
      <c r="AN1668" s="78" t="s">
        <v>487</v>
      </c>
      <c r="AO1668" s="78">
        <v>1.5531375516386523</v>
      </c>
    </row>
    <row r="1669" spans="29:41">
      <c r="AC1669" s="163" t="s">
        <v>52</v>
      </c>
      <c r="AD1669" s="163" t="s">
        <v>19</v>
      </c>
      <c r="AE1669" s="163" t="s">
        <v>72</v>
      </c>
      <c r="AF1669" s="163" t="s">
        <v>51</v>
      </c>
      <c r="AG1669" s="163" t="s">
        <v>516</v>
      </c>
      <c r="AH1669" s="163">
        <v>3.9649667218579321</v>
      </c>
      <c r="AJ1669" s="78" t="s">
        <v>52</v>
      </c>
      <c r="AK1669" s="78" t="s">
        <v>19</v>
      </c>
      <c r="AL1669" s="78" t="s">
        <v>28</v>
      </c>
      <c r="AM1669" s="78" t="s">
        <v>51</v>
      </c>
      <c r="AN1669" s="78" t="s">
        <v>749</v>
      </c>
      <c r="AO1669" s="78">
        <v>1.5531375516386523</v>
      </c>
    </row>
    <row r="1670" spans="29:41">
      <c r="AC1670" s="163" t="s">
        <v>52</v>
      </c>
      <c r="AD1670" s="163" t="s">
        <v>19</v>
      </c>
      <c r="AE1670" s="163" t="s">
        <v>72</v>
      </c>
      <c r="AF1670" s="163" t="s">
        <v>51</v>
      </c>
      <c r="AG1670" s="163" t="s">
        <v>517</v>
      </c>
      <c r="AH1670" s="163">
        <v>3.9351583966085761</v>
      </c>
      <c r="AJ1670" s="78" t="s">
        <v>52</v>
      </c>
      <c r="AK1670" s="78" t="s">
        <v>19</v>
      </c>
      <c r="AL1670" s="78" t="s">
        <v>28</v>
      </c>
      <c r="AM1670" s="78" t="s">
        <v>51</v>
      </c>
      <c r="AN1670" s="78" t="s">
        <v>750</v>
      </c>
      <c r="AO1670" s="78">
        <v>1.5531375516386523</v>
      </c>
    </row>
    <row r="1671" spans="29:41">
      <c r="AC1671" s="163" t="s">
        <v>52</v>
      </c>
      <c r="AD1671" s="163" t="s">
        <v>19</v>
      </c>
      <c r="AE1671" s="163" t="s">
        <v>72</v>
      </c>
      <c r="AF1671" s="163" t="s">
        <v>51</v>
      </c>
      <c r="AG1671" s="163" t="s">
        <v>518</v>
      </c>
      <c r="AH1671" s="163">
        <v>3.9023069735991318</v>
      </c>
      <c r="AJ1671" s="78" t="s">
        <v>52</v>
      </c>
      <c r="AK1671" s="78" t="s">
        <v>19</v>
      </c>
      <c r="AL1671" s="78" t="s">
        <v>28</v>
      </c>
      <c r="AM1671" s="78" t="s">
        <v>51</v>
      </c>
      <c r="AN1671" s="78" t="s">
        <v>488</v>
      </c>
      <c r="AO1671" s="78">
        <v>1.571120612643977</v>
      </c>
    </row>
    <row r="1672" spans="29:41">
      <c r="AC1672" s="163" t="s">
        <v>52</v>
      </c>
      <c r="AD1672" s="163" t="s">
        <v>19</v>
      </c>
      <c r="AE1672" s="163" t="s">
        <v>72</v>
      </c>
      <c r="AF1672" s="163" t="s">
        <v>51</v>
      </c>
      <c r="AG1672" s="163" t="s">
        <v>519</v>
      </c>
      <c r="AH1672" s="163">
        <v>3.9023069735991318</v>
      </c>
      <c r="AJ1672" s="78" t="s">
        <v>52</v>
      </c>
      <c r="AK1672" s="78" t="s">
        <v>19</v>
      </c>
      <c r="AL1672" s="78" t="s">
        <v>28</v>
      </c>
      <c r="AM1672" s="78" t="s">
        <v>51</v>
      </c>
      <c r="AN1672" s="78" t="s">
        <v>489</v>
      </c>
      <c r="AO1672" s="78">
        <v>1.5345659999831525</v>
      </c>
    </row>
    <row r="1673" spans="29:41">
      <c r="AC1673" s="163" t="s">
        <v>52</v>
      </c>
      <c r="AD1673" s="163" t="s">
        <v>19</v>
      </c>
      <c r="AE1673" s="163" t="s">
        <v>72</v>
      </c>
      <c r="AF1673" s="163" t="s">
        <v>51</v>
      </c>
      <c r="AG1673" s="163" t="s">
        <v>520</v>
      </c>
      <c r="AH1673" s="163">
        <v>3.9646015689346088</v>
      </c>
      <c r="AJ1673" s="78" t="s">
        <v>52</v>
      </c>
      <c r="AK1673" s="78" t="s">
        <v>19</v>
      </c>
      <c r="AL1673" s="78" t="s">
        <v>28</v>
      </c>
      <c r="AM1673" s="78" t="s">
        <v>51</v>
      </c>
      <c r="AN1673" s="78" t="s">
        <v>423</v>
      </c>
      <c r="AO1673" s="78">
        <v>1.5353418377266626</v>
      </c>
    </row>
    <row r="1674" spans="29:41">
      <c r="AC1674" s="163" t="s">
        <v>52</v>
      </c>
      <c r="AD1674" s="163" t="s">
        <v>19</v>
      </c>
      <c r="AE1674" s="163" t="s">
        <v>72</v>
      </c>
      <c r="AF1674" s="163" t="s">
        <v>51</v>
      </c>
      <c r="AG1674" s="163" t="s">
        <v>521</v>
      </c>
      <c r="AH1674" s="163">
        <v>3.9351583966085761</v>
      </c>
      <c r="AJ1674" s="78" t="s">
        <v>52</v>
      </c>
      <c r="AK1674" s="78" t="s">
        <v>19</v>
      </c>
      <c r="AL1674" s="78" t="s">
        <v>28</v>
      </c>
      <c r="AM1674" s="78" t="s">
        <v>51</v>
      </c>
      <c r="AN1674" s="78" t="s">
        <v>490</v>
      </c>
      <c r="AO1674" s="78">
        <v>1.5544840718757267</v>
      </c>
    </row>
    <row r="1675" spans="29:41">
      <c r="AC1675" s="163" t="s">
        <v>52</v>
      </c>
      <c r="AD1675" s="163" t="s">
        <v>19</v>
      </c>
      <c r="AE1675" s="163" t="s">
        <v>72</v>
      </c>
      <c r="AF1675" s="163" t="s">
        <v>51</v>
      </c>
      <c r="AG1675" s="163" t="s">
        <v>522</v>
      </c>
      <c r="AH1675" s="163">
        <v>3.9351583966085761</v>
      </c>
      <c r="AJ1675" s="78" t="s">
        <v>52</v>
      </c>
      <c r="AK1675" s="78" t="s">
        <v>19</v>
      </c>
      <c r="AL1675" s="78" t="s">
        <v>28</v>
      </c>
      <c r="AM1675" s="78" t="s">
        <v>51</v>
      </c>
      <c r="AN1675" s="78" t="s">
        <v>751</v>
      </c>
      <c r="AO1675" s="78">
        <v>1.5544840718757267</v>
      </c>
    </row>
    <row r="1676" spans="29:41">
      <c r="AC1676" s="163" t="s">
        <v>52</v>
      </c>
      <c r="AD1676" s="163" t="s">
        <v>19</v>
      </c>
      <c r="AE1676" s="163" t="s">
        <v>72</v>
      </c>
      <c r="AF1676" s="163" t="s">
        <v>51</v>
      </c>
      <c r="AG1676" s="163" t="s">
        <v>523</v>
      </c>
      <c r="AH1676" s="163">
        <v>3.9976937553080876</v>
      </c>
      <c r="AJ1676" s="78" t="s">
        <v>52</v>
      </c>
      <c r="AK1676" s="78" t="s">
        <v>19</v>
      </c>
      <c r="AL1676" s="78" t="s">
        <v>28</v>
      </c>
      <c r="AM1676" s="78" t="s">
        <v>51</v>
      </c>
      <c r="AN1676" s="78" t="s">
        <v>752</v>
      </c>
      <c r="AO1676" s="78">
        <v>1.5544840718757267</v>
      </c>
    </row>
    <row r="1677" spans="29:41">
      <c r="AC1677" s="163" t="s">
        <v>52</v>
      </c>
      <c r="AD1677" s="163" t="s">
        <v>19</v>
      </c>
      <c r="AE1677" s="163" t="s">
        <v>72</v>
      </c>
      <c r="AF1677" s="163" t="s">
        <v>51</v>
      </c>
      <c r="AG1677" s="163" t="s">
        <v>524</v>
      </c>
      <c r="AH1677" s="163">
        <v>3.9976937553080876</v>
      </c>
      <c r="AJ1677" s="78" t="s">
        <v>52</v>
      </c>
      <c r="AK1677" s="78" t="s">
        <v>19</v>
      </c>
      <c r="AL1677" s="78" t="s">
        <v>28</v>
      </c>
      <c r="AM1677" s="78" t="s">
        <v>51</v>
      </c>
      <c r="AN1677" s="78" t="s">
        <v>491</v>
      </c>
      <c r="AO1677" s="78">
        <v>1.493854494789999</v>
      </c>
    </row>
    <row r="1678" spans="29:41">
      <c r="AC1678" s="163" t="s">
        <v>52</v>
      </c>
      <c r="AD1678" s="163" t="s">
        <v>19</v>
      </c>
      <c r="AE1678" s="163" t="s">
        <v>72</v>
      </c>
      <c r="AF1678" s="163" t="s">
        <v>51</v>
      </c>
      <c r="AG1678" s="163" t="s">
        <v>525</v>
      </c>
      <c r="AH1678" s="163">
        <v>3.9976937553080876</v>
      </c>
      <c r="AJ1678" s="78" t="s">
        <v>52</v>
      </c>
      <c r="AK1678" s="78" t="s">
        <v>19</v>
      </c>
      <c r="AL1678" s="78" t="s">
        <v>28</v>
      </c>
      <c r="AM1678" s="78" t="s">
        <v>51</v>
      </c>
      <c r="AN1678" s="78" t="s">
        <v>492</v>
      </c>
      <c r="AO1678" s="78">
        <v>1.4877526833899832</v>
      </c>
    </row>
    <row r="1679" spans="29:41">
      <c r="AC1679" s="163" t="s">
        <v>52</v>
      </c>
      <c r="AD1679" s="163" t="s">
        <v>19</v>
      </c>
      <c r="AE1679" s="163" t="s">
        <v>72</v>
      </c>
      <c r="AF1679" s="163" t="s">
        <v>51</v>
      </c>
      <c r="AG1679" s="163" t="s">
        <v>526</v>
      </c>
      <c r="AH1679" s="163">
        <v>4.0599924484051417</v>
      </c>
      <c r="AJ1679" s="78" t="s">
        <v>52</v>
      </c>
      <c r="AK1679" s="78" t="s">
        <v>19</v>
      </c>
      <c r="AL1679" s="78" t="s">
        <v>28</v>
      </c>
      <c r="AM1679" s="78" t="s">
        <v>51</v>
      </c>
      <c r="AN1679" s="78" t="s">
        <v>753</v>
      </c>
      <c r="AO1679" s="78">
        <v>1.4877526833899832</v>
      </c>
    </row>
    <row r="1680" spans="29:41">
      <c r="AC1680" s="163" t="s">
        <v>52</v>
      </c>
      <c r="AD1680" s="163" t="s">
        <v>19</v>
      </c>
      <c r="AE1680" s="163" t="s">
        <v>72</v>
      </c>
      <c r="AF1680" s="163" t="s">
        <v>51</v>
      </c>
      <c r="AG1680" s="163" t="s">
        <v>527</v>
      </c>
      <c r="AH1680" s="163">
        <v>3.9976937553080876</v>
      </c>
      <c r="AJ1680" s="78" t="s">
        <v>52</v>
      </c>
      <c r="AK1680" s="78" t="s">
        <v>19</v>
      </c>
      <c r="AL1680" s="78" t="s">
        <v>28</v>
      </c>
      <c r="AM1680" s="78" t="s">
        <v>51</v>
      </c>
      <c r="AN1680" s="78" t="s">
        <v>493</v>
      </c>
      <c r="AO1680" s="78">
        <v>1.4922978601052164</v>
      </c>
    </row>
    <row r="1681" spans="29:41">
      <c r="AC1681" s="163" t="s">
        <v>52</v>
      </c>
      <c r="AD1681" s="163" t="s">
        <v>19</v>
      </c>
      <c r="AE1681" s="163" t="s">
        <v>72</v>
      </c>
      <c r="AF1681" s="163" t="s">
        <v>51</v>
      </c>
      <c r="AG1681" s="163" t="s">
        <v>528</v>
      </c>
      <c r="AH1681" s="163">
        <v>4.0273892510335889</v>
      </c>
      <c r="AJ1681" s="78" t="s">
        <v>52</v>
      </c>
      <c r="AK1681" s="78" t="s">
        <v>19</v>
      </c>
      <c r="AL1681" s="78" t="s">
        <v>28</v>
      </c>
      <c r="AM1681" s="78" t="s">
        <v>51</v>
      </c>
      <c r="AN1681" s="78" t="s">
        <v>494</v>
      </c>
      <c r="AO1681" s="78">
        <v>1.489017118780072</v>
      </c>
    </row>
    <row r="1682" spans="29:41">
      <c r="AC1682" s="163" t="s">
        <v>52</v>
      </c>
      <c r="AD1682" s="163" t="s">
        <v>19</v>
      </c>
      <c r="AE1682" s="163" t="s">
        <v>72</v>
      </c>
      <c r="AF1682" s="163" t="s">
        <v>51</v>
      </c>
      <c r="AG1682" s="163" t="s">
        <v>529</v>
      </c>
      <c r="AH1682" s="163">
        <v>3.9976937553080876</v>
      </c>
      <c r="AJ1682" s="78" t="s">
        <v>52</v>
      </c>
      <c r="AK1682" s="78" t="s">
        <v>19</v>
      </c>
      <c r="AL1682" s="78" t="s">
        <v>28</v>
      </c>
      <c r="AM1682" s="78" t="s">
        <v>51</v>
      </c>
      <c r="AN1682" s="78" t="s">
        <v>495</v>
      </c>
      <c r="AO1682" s="78">
        <v>1.5197171590693823</v>
      </c>
    </row>
    <row r="1683" spans="29:41">
      <c r="AC1683" s="163" t="s">
        <v>52</v>
      </c>
      <c r="AD1683" s="163" t="s">
        <v>19</v>
      </c>
      <c r="AE1683" s="163" t="s">
        <v>72</v>
      </c>
      <c r="AF1683" s="163" t="s">
        <v>51</v>
      </c>
      <c r="AG1683" s="163" t="s">
        <v>530</v>
      </c>
      <c r="AH1683" s="163">
        <v>3.9976937553080876</v>
      </c>
      <c r="AJ1683" s="78" t="s">
        <v>52</v>
      </c>
      <c r="AK1683" s="78" t="s">
        <v>19</v>
      </c>
      <c r="AL1683" s="78" t="s">
        <v>28</v>
      </c>
      <c r="AM1683" s="78" t="s">
        <v>51</v>
      </c>
      <c r="AN1683" s="78" t="s">
        <v>496</v>
      </c>
      <c r="AO1683" s="78">
        <v>1.4811147546971561</v>
      </c>
    </row>
    <row r="1684" spans="29:41">
      <c r="AC1684" s="163" t="s">
        <v>52</v>
      </c>
      <c r="AD1684" s="163" t="s">
        <v>19</v>
      </c>
      <c r="AE1684" s="163" t="s">
        <v>72</v>
      </c>
      <c r="AF1684" s="163" t="s">
        <v>51</v>
      </c>
      <c r="AG1684" s="163" t="s">
        <v>531</v>
      </c>
      <c r="AH1684" s="163">
        <v>4.0599924484051417</v>
      </c>
      <c r="AJ1684" s="78" t="s">
        <v>52</v>
      </c>
      <c r="AK1684" s="78" t="s">
        <v>19</v>
      </c>
      <c r="AL1684" s="78" t="s">
        <v>28</v>
      </c>
      <c r="AM1684" s="78" t="s">
        <v>51</v>
      </c>
      <c r="AN1684" s="78" t="s">
        <v>497</v>
      </c>
      <c r="AO1684" s="78">
        <v>1.4804533916001561</v>
      </c>
    </row>
    <row r="1685" spans="29:41">
      <c r="AC1685" s="163" t="s">
        <v>52</v>
      </c>
      <c r="AD1685" s="163" t="s">
        <v>19</v>
      </c>
      <c r="AE1685" s="163" t="s">
        <v>72</v>
      </c>
      <c r="AF1685" s="163" t="s">
        <v>51</v>
      </c>
      <c r="AG1685" s="163" t="s">
        <v>532</v>
      </c>
      <c r="AH1685" s="163">
        <v>4.1871940628292794</v>
      </c>
      <c r="AJ1685" s="78" t="s">
        <v>52</v>
      </c>
      <c r="AK1685" s="78" t="s">
        <v>19</v>
      </c>
      <c r="AL1685" s="78" t="s">
        <v>28</v>
      </c>
      <c r="AM1685" s="78" t="s">
        <v>51</v>
      </c>
      <c r="AN1685" s="78" t="s">
        <v>498</v>
      </c>
      <c r="AO1685" s="78">
        <v>1.4646383683681763</v>
      </c>
    </row>
    <row r="1686" spans="29:41">
      <c r="AC1686" s="163" t="s">
        <v>52</v>
      </c>
      <c r="AD1686" s="163" t="s">
        <v>19</v>
      </c>
      <c r="AE1686" s="163" t="s">
        <v>72</v>
      </c>
      <c r="AF1686" s="163" t="s">
        <v>51</v>
      </c>
      <c r="AG1686" s="163" t="s">
        <v>533</v>
      </c>
      <c r="AH1686" s="163">
        <v>4.1871940628292794</v>
      </c>
      <c r="AJ1686" s="78" t="s">
        <v>52</v>
      </c>
      <c r="AK1686" s="78" t="s">
        <v>19</v>
      </c>
      <c r="AL1686" s="78" t="s">
        <v>28</v>
      </c>
      <c r="AM1686" s="78" t="s">
        <v>51</v>
      </c>
      <c r="AN1686" s="78" t="s">
        <v>499</v>
      </c>
      <c r="AO1686" s="78">
        <v>1.4972232648032122</v>
      </c>
    </row>
    <row r="1687" spans="29:41">
      <c r="AC1687" s="163" t="s">
        <v>52</v>
      </c>
      <c r="AD1687" s="163" t="s">
        <v>19</v>
      </c>
      <c r="AE1687" s="163" t="s">
        <v>72</v>
      </c>
      <c r="AF1687" s="163" t="s">
        <v>51</v>
      </c>
      <c r="AG1687" s="163" t="s">
        <v>534</v>
      </c>
      <c r="AH1687" s="163">
        <v>4.3131143092804933</v>
      </c>
      <c r="AJ1687" s="78" t="s">
        <v>52</v>
      </c>
      <c r="AK1687" s="78" t="s">
        <v>19</v>
      </c>
      <c r="AL1687" s="78" t="s">
        <v>28</v>
      </c>
      <c r="AM1687" s="78" t="s">
        <v>51</v>
      </c>
      <c r="AN1687" s="78" t="s">
        <v>500</v>
      </c>
      <c r="AO1687" s="78">
        <v>1.4879285722874964</v>
      </c>
    </row>
    <row r="1688" spans="29:41">
      <c r="AC1688" s="163" t="s">
        <v>52</v>
      </c>
      <c r="AD1688" s="163" t="s">
        <v>19</v>
      </c>
      <c r="AE1688" s="163" t="s">
        <v>72</v>
      </c>
      <c r="AF1688" s="163" t="s">
        <v>51</v>
      </c>
      <c r="AG1688" s="163" t="s">
        <v>535</v>
      </c>
      <c r="AH1688" s="163">
        <v>4.4293683816765057</v>
      </c>
      <c r="AJ1688" s="78" t="s">
        <v>52</v>
      </c>
      <c r="AK1688" s="78" t="s">
        <v>19</v>
      </c>
      <c r="AL1688" s="78" t="s">
        <v>28</v>
      </c>
      <c r="AM1688" s="78" t="s">
        <v>51</v>
      </c>
      <c r="AN1688" s="78" t="s">
        <v>501</v>
      </c>
      <c r="AO1688" s="78">
        <v>1.5121685199981065</v>
      </c>
    </row>
    <row r="1689" spans="29:41">
      <c r="AC1689" s="163" t="s">
        <v>52</v>
      </c>
      <c r="AD1689" s="163" t="s">
        <v>19</v>
      </c>
      <c r="AE1689" s="163" t="s">
        <v>72</v>
      </c>
      <c r="AF1689" s="163" t="s">
        <v>51</v>
      </c>
      <c r="AG1689" s="163" t="s">
        <v>536</v>
      </c>
      <c r="AH1689" s="163">
        <v>4.4293683816765057</v>
      </c>
      <c r="AJ1689" s="78" t="s">
        <v>52</v>
      </c>
      <c r="AK1689" s="78" t="s">
        <v>19</v>
      </c>
      <c r="AL1689" s="78" t="s">
        <v>28</v>
      </c>
      <c r="AM1689" s="78" t="s">
        <v>51</v>
      </c>
      <c r="AN1689" s="78" t="s">
        <v>502</v>
      </c>
      <c r="AO1689" s="78">
        <v>1.5178628759455737</v>
      </c>
    </row>
    <row r="1690" spans="29:41">
      <c r="AC1690" s="163" t="s">
        <v>52</v>
      </c>
      <c r="AD1690" s="163" t="s">
        <v>19</v>
      </c>
      <c r="AE1690" s="163" t="s">
        <v>72</v>
      </c>
      <c r="AF1690" s="163" t="s">
        <v>51</v>
      </c>
      <c r="AG1690" s="163" t="s">
        <v>537</v>
      </c>
      <c r="AH1690" s="163">
        <v>4.4062150485441451</v>
      </c>
      <c r="AJ1690" s="78" t="s">
        <v>52</v>
      </c>
      <c r="AK1690" s="78" t="s">
        <v>19</v>
      </c>
      <c r="AL1690" s="78" t="s">
        <v>28</v>
      </c>
      <c r="AM1690" s="78" t="s">
        <v>51</v>
      </c>
      <c r="AN1690" s="78" t="s">
        <v>422</v>
      </c>
      <c r="AO1690" s="78">
        <v>1.5186104570722188</v>
      </c>
    </row>
    <row r="1691" spans="29:41">
      <c r="AC1691" s="163" t="s">
        <v>52</v>
      </c>
      <c r="AD1691" s="163" t="s">
        <v>19</v>
      </c>
      <c r="AE1691" s="163" t="s">
        <v>72</v>
      </c>
      <c r="AF1691" s="163" t="s">
        <v>51</v>
      </c>
      <c r="AG1691" s="163" t="s">
        <v>538</v>
      </c>
      <c r="AH1691" s="163">
        <v>4.4293683816765057</v>
      </c>
      <c r="AJ1691" s="78" t="s">
        <v>52</v>
      </c>
      <c r="AK1691" s="78" t="s">
        <v>19</v>
      </c>
      <c r="AL1691" s="78" t="s">
        <v>28</v>
      </c>
      <c r="AM1691" s="78" t="s">
        <v>51</v>
      </c>
      <c r="AN1691" s="78" t="s">
        <v>503</v>
      </c>
      <c r="AO1691" s="78">
        <v>1.5054312329501118</v>
      </c>
    </row>
    <row r="1692" spans="29:41">
      <c r="AC1692" s="163" t="s">
        <v>52</v>
      </c>
      <c r="AD1692" s="163" t="s">
        <v>19</v>
      </c>
      <c r="AE1692" s="163" t="s">
        <v>72</v>
      </c>
      <c r="AF1692" s="163" t="s">
        <v>51</v>
      </c>
      <c r="AG1692" s="163" t="s">
        <v>539</v>
      </c>
      <c r="AH1692" s="163">
        <v>4.5247107681827838</v>
      </c>
      <c r="AJ1692" s="78" t="s">
        <v>52</v>
      </c>
      <c r="AK1692" s="78" t="s">
        <v>19</v>
      </c>
      <c r="AL1692" s="78" t="s">
        <v>28</v>
      </c>
      <c r="AM1692" s="78" t="s">
        <v>51</v>
      </c>
      <c r="AN1692" s="78" t="s">
        <v>504</v>
      </c>
      <c r="AO1692" s="78">
        <v>1.521513790241029</v>
      </c>
    </row>
    <row r="1693" spans="29:41">
      <c r="AC1693" s="163" t="s">
        <v>52</v>
      </c>
      <c r="AD1693" s="163" t="s">
        <v>19</v>
      </c>
      <c r="AE1693" s="163" t="s">
        <v>72</v>
      </c>
      <c r="AF1693" s="163" t="s">
        <v>51</v>
      </c>
      <c r="AG1693" s="163" t="s">
        <v>540</v>
      </c>
      <c r="AH1693" s="163">
        <v>4.5247107681827838</v>
      </c>
      <c r="AJ1693" s="78" t="s">
        <v>52</v>
      </c>
      <c r="AK1693" s="78" t="s">
        <v>19</v>
      </c>
      <c r="AL1693" s="78" t="s">
        <v>28</v>
      </c>
      <c r="AM1693" s="78" t="s">
        <v>51</v>
      </c>
      <c r="AN1693" s="78" t="s">
        <v>505</v>
      </c>
      <c r="AO1693" s="78">
        <v>1.5562463395970936</v>
      </c>
    </row>
    <row r="1694" spans="29:41">
      <c r="AC1694" s="163" t="s">
        <v>52</v>
      </c>
      <c r="AD1694" s="163" t="s">
        <v>19</v>
      </c>
      <c r="AE1694" s="163" t="s">
        <v>72</v>
      </c>
      <c r="AF1694" s="163" t="s">
        <v>51</v>
      </c>
      <c r="AG1694" s="163" t="s">
        <v>541</v>
      </c>
      <c r="AH1694" s="163">
        <v>4.5247107681827838</v>
      </c>
      <c r="AJ1694" s="78" t="s">
        <v>52</v>
      </c>
      <c r="AK1694" s="78" t="s">
        <v>19</v>
      </c>
      <c r="AL1694" s="78" t="s">
        <v>28</v>
      </c>
      <c r="AM1694" s="78" t="s">
        <v>51</v>
      </c>
      <c r="AN1694" s="78" t="s">
        <v>421</v>
      </c>
      <c r="AO1694" s="78">
        <v>1.4940455872819585</v>
      </c>
    </row>
    <row r="1695" spans="29:41">
      <c r="AC1695" s="163" t="s">
        <v>52</v>
      </c>
      <c r="AD1695" s="163" t="s">
        <v>19</v>
      </c>
      <c r="AE1695" s="163" t="s">
        <v>72</v>
      </c>
      <c r="AF1695" s="163" t="s">
        <v>51</v>
      </c>
      <c r="AG1695" s="163" t="s">
        <v>542</v>
      </c>
      <c r="AH1695" s="163">
        <v>4.585092837463657</v>
      </c>
      <c r="AJ1695" s="78" t="s">
        <v>52</v>
      </c>
      <c r="AK1695" s="78" t="s">
        <v>19</v>
      </c>
      <c r="AL1695" s="78" t="s">
        <v>28</v>
      </c>
      <c r="AM1695" s="78" t="s">
        <v>51</v>
      </c>
      <c r="AN1695" s="78" t="s">
        <v>506</v>
      </c>
      <c r="AO1695" s="78">
        <v>1.5127169302762935</v>
      </c>
    </row>
    <row r="1696" spans="29:41">
      <c r="AC1696" s="163" t="s">
        <v>52</v>
      </c>
      <c r="AD1696" s="163" t="s">
        <v>19</v>
      </c>
      <c r="AE1696" s="163" t="s">
        <v>72</v>
      </c>
      <c r="AF1696" s="163" t="s">
        <v>51</v>
      </c>
      <c r="AG1696" s="163" t="s">
        <v>543</v>
      </c>
      <c r="AH1696" s="163">
        <v>4.5676392933581882</v>
      </c>
      <c r="AJ1696" s="78" t="s">
        <v>52</v>
      </c>
      <c r="AK1696" s="78" t="s">
        <v>19</v>
      </c>
      <c r="AL1696" s="78" t="s">
        <v>28</v>
      </c>
      <c r="AM1696" s="78" t="s">
        <v>51</v>
      </c>
      <c r="AN1696" s="78" t="s">
        <v>507</v>
      </c>
      <c r="AO1696" s="78">
        <v>1.5012185892686922</v>
      </c>
    </row>
    <row r="1697" spans="29:41">
      <c r="AC1697" s="163" t="s">
        <v>52</v>
      </c>
      <c r="AD1697" s="163" t="s">
        <v>19</v>
      </c>
      <c r="AE1697" s="163" t="s">
        <v>72</v>
      </c>
      <c r="AF1697" s="163" t="s">
        <v>51</v>
      </c>
      <c r="AG1697" s="163" t="s">
        <v>544</v>
      </c>
      <c r="AH1697" s="163">
        <v>4.585092837463657</v>
      </c>
      <c r="AJ1697" s="78" t="s">
        <v>52</v>
      </c>
      <c r="AK1697" s="78" t="s">
        <v>19</v>
      </c>
      <c r="AL1697" s="78" t="s">
        <v>28</v>
      </c>
      <c r="AM1697" s="78" t="s">
        <v>51</v>
      </c>
      <c r="AN1697" s="78" t="s">
        <v>508</v>
      </c>
      <c r="AO1697" s="78">
        <v>1.5120618981583061</v>
      </c>
    </row>
    <row r="1698" spans="29:41">
      <c r="AC1698" s="163" t="s">
        <v>52</v>
      </c>
      <c r="AD1698" s="163" t="s">
        <v>19</v>
      </c>
      <c r="AE1698" s="163" t="s">
        <v>72</v>
      </c>
      <c r="AF1698" s="163" t="s">
        <v>51</v>
      </c>
      <c r="AG1698" s="163" t="s">
        <v>545</v>
      </c>
      <c r="AH1698" s="163">
        <v>4.4929920752998243</v>
      </c>
      <c r="AJ1698" s="78" t="s">
        <v>52</v>
      </c>
      <c r="AK1698" s="78" t="s">
        <v>19</v>
      </c>
      <c r="AL1698" s="78" t="s">
        <v>28</v>
      </c>
      <c r="AM1698" s="78" t="s">
        <v>51</v>
      </c>
      <c r="AN1698" s="78" t="s">
        <v>509</v>
      </c>
      <c r="AO1698" s="78">
        <v>1.4926022647047059</v>
      </c>
    </row>
    <row r="1699" spans="29:41">
      <c r="AC1699" s="163" t="s">
        <v>52</v>
      </c>
      <c r="AD1699" s="163" t="s">
        <v>19</v>
      </c>
      <c r="AE1699" s="163" t="s">
        <v>72</v>
      </c>
      <c r="AF1699" s="163" t="s">
        <v>51</v>
      </c>
      <c r="AG1699" s="163" t="s">
        <v>546</v>
      </c>
      <c r="AH1699" s="163">
        <v>4.535995802572498</v>
      </c>
      <c r="AJ1699" s="78" t="s">
        <v>52</v>
      </c>
      <c r="AK1699" s="78" t="s">
        <v>19</v>
      </c>
      <c r="AL1699" s="78" t="s">
        <v>28</v>
      </c>
      <c r="AM1699" s="78" t="s">
        <v>51</v>
      </c>
      <c r="AN1699" s="78" t="s">
        <v>510</v>
      </c>
      <c r="AO1699" s="78">
        <v>1.4856848119711465</v>
      </c>
    </row>
    <row r="1700" spans="29:41">
      <c r="AC1700" s="163" t="s">
        <v>52</v>
      </c>
      <c r="AD1700" s="163" t="s">
        <v>19</v>
      </c>
      <c r="AE1700" s="163" t="s">
        <v>72</v>
      </c>
      <c r="AF1700" s="163" t="s">
        <v>51</v>
      </c>
      <c r="AG1700" s="163" t="s">
        <v>547</v>
      </c>
      <c r="AH1700" s="163">
        <v>4.6278787880568846</v>
      </c>
      <c r="AJ1700" s="78" t="s">
        <v>52</v>
      </c>
      <c r="AK1700" s="78" t="s">
        <v>19</v>
      </c>
      <c r="AL1700" s="78" t="s">
        <v>28</v>
      </c>
      <c r="AM1700" s="78" t="s">
        <v>51</v>
      </c>
      <c r="AN1700" s="78" t="s">
        <v>511</v>
      </c>
      <c r="AO1700" s="78">
        <v>1.5241696350774177</v>
      </c>
    </row>
    <row r="1701" spans="29:41">
      <c r="AC1701" s="163" t="s">
        <v>52</v>
      </c>
      <c r="AD1701" s="163" t="s">
        <v>19</v>
      </c>
      <c r="AE1701" s="163" t="s">
        <v>72</v>
      </c>
      <c r="AF1701" s="163" t="s">
        <v>51</v>
      </c>
      <c r="AG1701" s="163" t="s">
        <v>548</v>
      </c>
      <c r="AH1701" s="163">
        <v>4.535995802572498</v>
      </c>
      <c r="AJ1701" s="78" t="s">
        <v>52</v>
      </c>
      <c r="AK1701" s="78" t="s">
        <v>19</v>
      </c>
      <c r="AL1701" s="78" t="s">
        <v>28</v>
      </c>
      <c r="AM1701" s="78" t="s">
        <v>51</v>
      </c>
      <c r="AN1701" s="78" t="s">
        <v>512</v>
      </c>
      <c r="AO1701" s="78">
        <v>1.4740719695673521</v>
      </c>
    </row>
    <row r="1702" spans="29:41">
      <c r="AC1702" s="163" t="s">
        <v>52</v>
      </c>
      <c r="AD1702" s="163" t="s">
        <v>19</v>
      </c>
      <c r="AE1702" s="163" t="s">
        <v>72</v>
      </c>
      <c r="AF1702" s="163" t="s">
        <v>51</v>
      </c>
      <c r="AG1702" s="163" t="s">
        <v>549</v>
      </c>
      <c r="AH1702" s="163">
        <v>4.585092837463657</v>
      </c>
      <c r="AJ1702" s="78" t="s">
        <v>52</v>
      </c>
      <c r="AK1702" s="78" t="s">
        <v>19</v>
      </c>
      <c r="AL1702" s="78" t="s">
        <v>28</v>
      </c>
      <c r="AM1702" s="78" t="s">
        <v>51</v>
      </c>
      <c r="AN1702" s="78" t="s">
        <v>513</v>
      </c>
      <c r="AO1702" s="78">
        <v>1.4784875360986665</v>
      </c>
    </row>
    <row r="1703" spans="29:41">
      <c r="AC1703" s="163" t="s">
        <v>52</v>
      </c>
      <c r="AD1703" s="163" t="s">
        <v>19</v>
      </c>
      <c r="AE1703" s="163" t="s">
        <v>72</v>
      </c>
      <c r="AF1703" s="163" t="s">
        <v>51</v>
      </c>
      <c r="AG1703" s="163" t="s">
        <v>550</v>
      </c>
      <c r="AH1703" s="163">
        <v>4.585092837463657</v>
      </c>
      <c r="AJ1703" s="78" t="s">
        <v>52</v>
      </c>
      <c r="AK1703" s="78" t="s">
        <v>19</v>
      </c>
      <c r="AL1703" s="78" t="s">
        <v>28</v>
      </c>
      <c r="AM1703" s="78" t="s">
        <v>51</v>
      </c>
      <c r="AN1703" s="78" t="s">
        <v>514</v>
      </c>
      <c r="AO1703" s="78">
        <v>1.4320045519071862</v>
      </c>
    </row>
    <row r="1704" spans="29:41">
      <c r="AC1704" s="163" t="s">
        <v>52</v>
      </c>
      <c r="AD1704" s="163" t="s">
        <v>19</v>
      </c>
      <c r="AE1704" s="163" t="s">
        <v>72</v>
      </c>
      <c r="AF1704" s="163" t="s">
        <v>51</v>
      </c>
      <c r="AG1704" s="163" t="s">
        <v>551</v>
      </c>
      <c r="AH1704" s="163">
        <v>4.585092837463657</v>
      </c>
      <c r="AJ1704" s="78" t="s">
        <v>52</v>
      </c>
      <c r="AK1704" s="78" t="s">
        <v>19</v>
      </c>
      <c r="AL1704" s="78" t="s">
        <v>28</v>
      </c>
      <c r="AM1704" s="78" t="s">
        <v>51</v>
      </c>
      <c r="AN1704" s="78" t="s">
        <v>515</v>
      </c>
      <c r="AO1704" s="78">
        <v>1.478316223686392</v>
      </c>
    </row>
    <row r="1705" spans="29:41">
      <c r="AC1705" s="163" t="s">
        <v>52</v>
      </c>
      <c r="AD1705" s="163" t="s">
        <v>19</v>
      </c>
      <c r="AE1705" s="163" t="s">
        <v>72</v>
      </c>
      <c r="AF1705" s="163" t="s">
        <v>51</v>
      </c>
      <c r="AG1705" s="163" t="s">
        <v>552</v>
      </c>
      <c r="AH1705" s="163">
        <v>4.585092837463657</v>
      </c>
      <c r="AJ1705" s="78" t="s">
        <v>52</v>
      </c>
      <c r="AK1705" s="78" t="s">
        <v>19</v>
      </c>
      <c r="AL1705" s="78" t="s">
        <v>28</v>
      </c>
      <c r="AM1705" s="78" t="s">
        <v>51</v>
      </c>
      <c r="AN1705" s="78" t="s">
        <v>516</v>
      </c>
      <c r="AO1705" s="78">
        <v>1.499448050570602</v>
      </c>
    </row>
    <row r="1706" spans="29:41">
      <c r="AC1706" s="163" t="s">
        <v>52</v>
      </c>
      <c r="AD1706" s="163" t="s">
        <v>19</v>
      </c>
      <c r="AE1706" s="163" t="s">
        <v>72</v>
      </c>
      <c r="AF1706" s="163" t="s">
        <v>51</v>
      </c>
      <c r="AG1706" s="163" t="s">
        <v>553</v>
      </c>
      <c r="AH1706" s="163">
        <v>4.5963526852907544</v>
      </c>
      <c r="AJ1706" s="78" t="s">
        <v>52</v>
      </c>
      <c r="AK1706" s="78" t="s">
        <v>19</v>
      </c>
      <c r="AL1706" s="78" t="s">
        <v>28</v>
      </c>
      <c r="AM1706" s="78" t="s">
        <v>51</v>
      </c>
      <c r="AN1706" s="78" t="s">
        <v>517</v>
      </c>
      <c r="AO1706" s="78">
        <v>1.4712006960081361</v>
      </c>
    </row>
    <row r="1707" spans="29:41">
      <c r="AC1707" s="163" t="s">
        <v>52</v>
      </c>
      <c r="AD1707" s="163" t="s">
        <v>19</v>
      </c>
      <c r="AE1707" s="163" t="s">
        <v>72</v>
      </c>
      <c r="AF1707" s="163" t="s">
        <v>51</v>
      </c>
      <c r="AG1707" s="163" t="s">
        <v>554</v>
      </c>
      <c r="AH1707" s="163">
        <v>4.5963526852907544</v>
      </c>
      <c r="AJ1707" s="78" t="s">
        <v>52</v>
      </c>
      <c r="AK1707" s="78" t="s">
        <v>19</v>
      </c>
      <c r="AL1707" s="78" t="s">
        <v>28</v>
      </c>
      <c r="AM1707" s="78" t="s">
        <v>51</v>
      </c>
      <c r="AN1707" s="78" t="s">
        <v>518</v>
      </c>
      <c r="AO1707" s="78">
        <v>1.4440355872087716</v>
      </c>
    </row>
    <row r="1708" spans="29:41">
      <c r="AC1708" s="163" t="s">
        <v>52</v>
      </c>
      <c r="AD1708" s="163" t="s">
        <v>19</v>
      </c>
      <c r="AE1708" s="163" t="s">
        <v>72</v>
      </c>
      <c r="AF1708" s="163" t="s">
        <v>51</v>
      </c>
      <c r="AG1708" s="163" t="s">
        <v>555</v>
      </c>
      <c r="AH1708" s="163">
        <v>4.5963526852907544</v>
      </c>
      <c r="AJ1708" s="78" t="s">
        <v>52</v>
      </c>
      <c r="AK1708" s="78" t="s">
        <v>19</v>
      </c>
      <c r="AL1708" s="78" t="s">
        <v>28</v>
      </c>
      <c r="AM1708" s="78" t="s">
        <v>51</v>
      </c>
      <c r="AN1708" s="78" t="s">
        <v>519</v>
      </c>
      <c r="AO1708" s="78">
        <v>1.453629269040472</v>
      </c>
    </row>
    <row r="1709" spans="29:41">
      <c r="AC1709" s="163" t="s">
        <v>52</v>
      </c>
      <c r="AD1709" s="163" t="s">
        <v>19</v>
      </c>
      <c r="AE1709" s="163" t="s">
        <v>72</v>
      </c>
      <c r="AF1709" s="163" t="s">
        <v>51</v>
      </c>
      <c r="AG1709" s="163" t="s">
        <v>556</v>
      </c>
      <c r="AH1709" s="163">
        <v>4.7559818902716513</v>
      </c>
      <c r="AJ1709" s="78" t="s">
        <v>52</v>
      </c>
      <c r="AK1709" s="78" t="s">
        <v>19</v>
      </c>
      <c r="AL1709" s="78" t="s">
        <v>28</v>
      </c>
      <c r="AM1709" s="78" t="s">
        <v>51</v>
      </c>
      <c r="AN1709" s="78" t="s">
        <v>520</v>
      </c>
      <c r="AO1709" s="78">
        <v>1.4993365994757188</v>
      </c>
    </row>
    <row r="1710" spans="29:41">
      <c r="AC1710" s="163" t="s">
        <v>52</v>
      </c>
      <c r="AD1710" s="163" t="s">
        <v>19</v>
      </c>
      <c r="AE1710" s="163" t="s">
        <v>72</v>
      </c>
      <c r="AF1710" s="163" t="s">
        <v>51</v>
      </c>
      <c r="AG1710" s="163" t="s">
        <v>557</v>
      </c>
      <c r="AH1710" s="163">
        <v>4.7559818902716513</v>
      </c>
      <c r="AJ1710" s="78" t="s">
        <v>52</v>
      </c>
      <c r="AK1710" s="78" t="s">
        <v>19</v>
      </c>
      <c r="AL1710" s="78" t="s">
        <v>28</v>
      </c>
      <c r="AM1710" s="78" t="s">
        <v>51</v>
      </c>
      <c r="AN1710" s="78" t="s">
        <v>521</v>
      </c>
      <c r="AO1710" s="78">
        <v>1.4690277532078262</v>
      </c>
    </row>
    <row r="1711" spans="29:41">
      <c r="AC1711" s="163" t="s">
        <v>52</v>
      </c>
      <c r="AD1711" s="163" t="s">
        <v>19</v>
      </c>
      <c r="AE1711" s="163" t="s">
        <v>72</v>
      </c>
      <c r="AF1711" s="163" t="s">
        <v>51</v>
      </c>
      <c r="AG1711" s="163" t="s">
        <v>558</v>
      </c>
      <c r="AH1711" s="163">
        <v>4.7559818902716513</v>
      </c>
      <c r="AJ1711" s="78" t="s">
        <v>52</v>
      </c>
      <c r="AK1711" s="78" t="s">
        <v>19</v>
      </c>
      <c r="AL1711" s="78" t="s">
        <v>28</v>
      </c>
      <c r="AM1711" s="78" t="s">
        <v>51</v>
      </c>
      <c r="AN1711" s="78" t="s">
        <v>522</v>
      </c>
      <c r="AO1711" s="78">
        <v>1.4491008992311964</v>
      </c>
    </row>
    <row r="1712" spans="29:41">
      <c r="AC1712" s="163" t="s">
        <v>52</v>
      </c>
      <c r="AD1712" s="163" t="s">
        <v>19</v>
      </c>
      <c r="AE1712" s="163" t="s">
        <v>72</v>
      </c>
      <c r="AF1712" s="163" t="s">
        <v>51</v>
      </c>
      <c r="AG1712" s="163" t="s">
        <v>559</v>
      </c>
      <c r="AH1712" s="163">
        <v>4.7559818902716513</v>
      </c>
      <c r="AJ1712" s="78" t="s">
        <v>52</v>
      </c>
      <c r="AK1712" s="78" t="s">
        <v>19</v>
      </c>
      <c r="AL1712" s="78" t="s">
        <v>28</v>
      </c>
      <c r="AM1712" s="78" t="s">
        <v>51</v>
      </c>
      <c r="AN1712" s="78" t="s">
        <v>523</v>
      </c>
      <c r="AO1712" s="78">
        <v>1.4677832864535074</v>
      </c>
    </row>
    <row r="1713" spans="29:41">
      <c r="AC1713" s="163" t="s">
        <v>52</v>
      </c>
      <c r="AD1713" s="163" t="s">
        <v>19</v>
      </c>
      <c r="AE1713" s="163" t="s">
        <v>72</v>
      </c>
      <c r="AF1713" s="163" t="s">
        <v>51</v>
      </c>
      <c r="AG1713" s="163" t="s">
        <v>560</v>
      </c>
      <c r="AH1713" s="163">
        <v>4.7559818902716513</v>
      </c>
      <c r="AJ1713" s="78" t="s">
        <v>52</v>
      </c>
      <c r="AK1713" s="78" t="s">
        <v>19</v>
      </c>
      <c r="AL1713" s="78" t="s">
        <v>28</v>
      </c>
      <c r="AM1713" s="78" t="s">
        <v>51</v>
      </c>
      <c r="AN1713" s="78" t="s">
        <v>524</v>
      </c>
      <c r="AO1713" s="78">
        <v>1.4645293826445378</v>
      </c>
    </row>
    <row r="1714" spans="29:41">
      <c r="AC1714" s="163" t="s">
        <v>52</v>
      </c>
      <c r="AD1714" s="163" t="s">
        <v>19</v>
      </c>
      <c r="AE1714" s="163" t="s">
        <v>72</v>
      </c>
      <c r="AF1714" s="163" t="s">
        <v>51</v>
      </c>
      <c r="AG1714" s="163" t="s">
        <v>561</v>
      </c>
      <c r="AH1714" s="163">
        <v>4.7559818902716513</v>
      </c>
      <c r="AJ1714" s="78" t="s">
        <v>52</v>
      </c>
      <c r="AK1714" s="78" t="s">
        <v>19</v>
      </c>
      <c r="AL1714" s="78" t="s">
        <v>28</v>
      </c>
      <c r="AM1714" s="78" t="s">
        <v>51</v>
      </c>
      <c r="AN1714" s="78" t="s">
        <v>525</v>
      </c>
      <c r="AO1714" s="78">
        <v>1.4640842856558878</v>
      </c>
    </row>
    <row r="1715" spans="29:41">
      <c r="AC1715" s="163" t="s">
        <v>52</v>
      </c>
      <c r="AD1715" s="163" t="s">
        <v>19</v>
      </c>
      <c r="AE1715" s="163" t="s">
        <v>72</v>
      </c>
      <c r="AF1715" s="163" t="s">
        <v>51</v>
      </c>
      <c r="AG1715" s="163" t="s">
        <v>562</v>
      </c>
      <c r="AH1715" s="163">
        <v>4.7220899627389947</v>
      </c>
      <c r="AJ1715" s="78" t="s">
        <v>52</v>
      </c>
      <c r="AK1715" s="78" t="s">
        <v>19</v>
      </c>
      <c r="AL1715" s="78" t="s">
        <v>28</v>
      </c>
      <c r="AM1715" s="78" t="s">
        <v>51</v>
      </c>
      <c r="AN1715" s="78" t="s">
        <v>526</v>
      </c>
      <c r="AO1715" s="78">
        <v>1.5303484258262321</v>
      </c>
    </row>
    <row r="1716" spans="29:41">
      <c r="AC1716" s="163" t="s">
        <v>52</v>
      </c>
      <c r="AD1716" s="163" t="s">
        <v>19</v>
      </c>
      <c r="AE1716" s="163" t="s">
        <v>72</v>
      </c>
      <c r="AF1716" s="163" t="s">
        <v>51</v>
      </c>
      <c r="AG1716" s="163" t="s">
        <v>563</v>
      </c>
      <c r="AH1716" s="163">
        <v>4.7220899627389947</v>
      </c>
      <c r="AJ1716" s="78" t="s">
        <v>52</v>
      </c>
      <c r="AK1716" s="78" t="s">
        <v>19</v>
      </c>
      <c r="AL1716" s="78" t="s">
        <v>28</v>
      </c>
      <c r="AM1716" s="78" t="s">
        <v>51</v>
      </c>
      <c r="AN1716" s="78" t="s">
        <v>527</v>
      </c>
      <c r="AO1716" s="78">
        <v>1.4734251097741176</v>
      </c>
    </row>
    <row r="1717" spans="29:41">
      <c r="AC1717" s="163" t="s">
        <v>52</v>
      </c>
      <c r="AD1717" s="163" t="s">
        <v>19</v>
      </c>
      <c r="AE1717" s="163" t="s">
        <v>72</v>
      </c>
      <c r="AF1717" s="163" t="s">
        <v>51</v>
      </c>
      <c r="AG1717" s="163" t="s">
        <v>564</v>
      </c>
      <c r="AH1717" s="163">
        <v>4.7220899627389947</v>
      </c>
      <c r="AJ1717" s="78" t="s">
        <v>52</v>
      </c>
      <c r="AK1717" s="78" t="s">
        <v>19</v>
      </c>
      <c r="AL1717" s="78" t="s">
        <v>28</v>
      </c>
      <c r="AM1717" s="78" t="s">
        <v>51</v>
      </c>
      <c r="AN1717" s="78" t="s">
        <v>528</v>
      </c>
      <c r="AO1717" s="78">
        <v>1.4948709245333591</v>
      </c>
    </row>
    <row r="1718" spans="29:41">
      <c r="AC1718" s="163" t="s">
        <v>52</v>
      </c>
      <c r="AD1718" s="163" t="s">
        <v>19</v>
      </c>
      <c r="AE1718" s="163" t="s">
        <v>72</v>
      </c>
      <c r="AF1718" s="163" t="s">
        <v>51</v>
      </c>
      <c r="AG1718" s="163" t="s">
        <v>565</v>
      </c>
      <c r="AH1718" s="163">
        <v>4.7220899627389947</v>
      </c>
      <c r="AJ1718" s="78" t="s">
        <v>52</v>
      </c>
      <c r="AK1718" s="78" t="s">
        <v>19</v>
      </c>
      <c r="AL1718" s="78" t="s">
        <v>28</v>
      </c>
      <c r="AM1718" s="78" t="s">
        <v>51</v>
      </c>
      <c r="AN1718" s="78" t="s">
        <v>529</v>
      </c>
      <c r="AO1718" s="78">
        <v>1.4807126817249976</v>
      </c>
    </row>
    <row r="1719" spans="29:41">
      <c r="AC1719" s="163" t="s">
        <v>52</v>
      </c>
      <c r="AD1719" s="163" t="s">
        <v>19</v>
      </c>
      <c r="AE1719" s="163" t="s">
        <v>72</v>
      </c>
      <c r="AF1719" s="163" t="s">
        <v>51</v>
      </c>
      <c r="AG1719" s="163" t="s">
        <v>566</v>
      </c>
      <c r="AH1719" s="163">
        <v>4.7220899627389947</v>
      </c>
      <c r="AJ1719" s="78" t="s">
        <v>52</v>
      </c>
      <c r="AK1719" s="78" t="s">
        <v>19</v>
      </c>
      <c r="AL1719" s="78" t="s">
        <v>28</v>
      </c>
      <c r="AM1719" s="78" t="s">
        <v>51</v>
      </c>
      <c r="AN1719" s="78" t="s">
        <v>530</v>
      </c>
      <c r="AO1719" s="78">
        <v>1.4539426831903377</v>
      </c>
    </row>
    <row r="1720" spans="29:41">
      <c r="AC1720" s="163" t="s">
        <v>52</v>
      </c>
      <c r="AD1720" s="163" t="s">
        <v>19</v>
      </c>
      <c r="AE1720" s="163" t="s">
        <v>72</v>
      </c>
      <c r="AF1720" s="163" t="s">
        <v>51</v>
      </c>
      <c r="AG1720" s="163" t="s">
        <v>567</v>
      </c>
      <c r="AH1720" s="163">
        <v>4.7220899627389947</v>
      </c>
      <c r="AJ1720" s="78" t="s">
        <v>52</v>
      </c>
      <c r="AK1720" s="78" t="s">
        <v>19</v>
      </c>
      <c r="AL1720" s="78" t="s">
        <v>28</v>
      </c>
      <c r="AM1720" s="78" t="s">
        <v>51</v>
      </c>
      <c r="AN1720" s="78" t="s">
        <v>531</v>
      </c>
      <c r="AO1720" s="78">
        <v>1.478443198298202</v>
      </c>
    </row>
    <row r="1721" spans="29:41">
      <c r="AC1721" s="163" t="s">
        <v>52</v>
      </c>
      <c r="AD1721" s="163" t="s">
        <v>19</v>
      </c>
      <c r="AE1721" s="163" t="s">
        <v>72</v>
      </c>
      <c r="AF1721" s="163" t="s">
        <v>51</v>
      </c>
      <c r="AG1721" s="163" t="s">
        <v>568</v>
      </c>
      <c r="AH1721" s="163">
        <v>4.7220899627389947</v>
      </c>
      <c r="AJ1721" s="78" t="s">
        <v>52</v>
      </c>
      <c r="AK1721" s="78" t="s">
        <v>19</v>
      </c>
      <c r="AL1721" s="78" t="s">
        <v>28</v>
      </c>
      <c r="AM1721" s="78" t="s">
        <v>51</v>
      </c>
      <c r="AN1721" s="78" t="s">
        <v>532</v>
      </c>
      <c r="AO1721" s="78">
        <v>1.4293605938613598</v>
      </c>
    </row>
    <row r="1722" spans="29:41">
      <c r="AC1722" s="163" t="s">
        <v>52</v>
      </c>
      <c r="AD1722" s="163" t="s">
        <v>19</v>
      </c>
      <c r="AE1722" s="163" t="s">
        <v>72</v>
      </c>
      <c r="AF1722" s="163" t="s">
        <v>51</v>
      </c>
      <c r="AG1722" s="163" t="s">
        <v>569</v>
      </c>
      <c r="AH1722" s="163">
        <v>4.7220899627389947</v>
      </c>
      <c r="AJ1722" s="78" t="s">
        <v>52</v>
      </c>
      <c r="AK1722" s="78" t="s">
        <v>19</v>
      </c>
      <c r="AL1722" s="78" t="s">
        <v>28</v>
      </c>
      <c r="AM1722" s="78" t="s">
        <v>51</v>
      </c>
      <c r="AN1722" s="78" t="s">
        <v>533</v>
      </c>
      <c r="AO1722" s="78">
        <v>1.3668511499787195</v>
      </c>
    </row>
    <row r="1723" spans="29:41">
      <c r="AC1723" s="163" t="s">
        <v>52</v>
      </c>
      <c r="AD1723" s="163" t="s">
        <v>19</v>
      </c>
      <c r="AE1723" s="163" t="s">
        <v>72</v>
      </c>
      <c r="AF1723" s="163" t="s">
        <v>51</v>
      </c>
      <c r="AG1723" s="163" t="s">
        <v>570</v>
      </c>
      <c r="AH1723" s="163">
        <v>4.7220899627389947</v>
      </c>
      <c r="AJ1723" s="78" t="s">
        <v>52</v>
      </c>
      <c r="AK1723" s="78" t="s">
        <v>19</v>
      </c>
      <c r="AL1723" s="78" t="s">
        <v>28</v>
      </c>
      <c r="AM1723" s="78" t="s">
        <v>51</v>
      </c>
      <c r="AN1723" s="78" t="s">
        <v>534</v>
      </c>
      <c r="AO1723" s="78">
        <v>1.3612635582166137</v>
      </c>
    </row>
    <row r="1724" spans="29:41">
      <c r="AC1724" s="163" t="s">
        <v>52</v>
      </c>
      <c r="AD1724" s="163" t="s">
        <v>19</v>
      </c>
      <c r="AE1724" s="163" t="s">
        <v>72</v>
      </c>
      <c r="AF1724" s="163" t="s">
        <v>51</v>
      </c>
      <c r="AG1724" s="163" t="s">
        <v>571</v>
      </c>
      <c r="AH1724" s="163">
        <v>4.7220899627389947</v>
      </c>
      <c r="AJ1724" s="78" t="s">
        <v>52</v>
      </c>
      <c r="AK1724" s="78" t="s">
        <v>19</v>
      </c>
      <c r="AL1724" s="78" t="s">
        <v>28</v>
      </c>
      <c r="AM1724" s="78" t="s">
        <v>51</v>
      </c>
      <c r="AN1724" s="78" t="s">
        <v>535</v>
      </c>
      <c r="AO1724" s="78">
        <v>1.490553100318506</v>
      </c>
    </row>
    <row r="1725" spans="29:41">
      <c r="AC1725" s="163" t="s">
        <v>52</v>
      </c>
      <c r="AD1725" s="163" t="s">
        <v>19</v>
      </c>
      <c r="AE1725" s="163" t="s">
        <v>72</v>
      </c>
      <c r="AF1725" s="163" t="s">
        <v>51</v>
      </c>
      <c r="AG1725" s="163" t="s">
        <v>572</v>
      </c>
      <c r="AH1725" s="163">
        <v>4.7220899627389947</v>
      </c>
      <c r="AJ1725" s="78" t="s">
        <v>52</v>
      </c>
      <c r="AK1725" s="78" t="s">
        <v>19</v>
      </c>
      <c r="AL1725" s="78" t="s">
        <v>28</v>
      </c>
      <c r="AM1725" s="78" t="s">
        <v>51</v>
      </c>
      <c r="AN1725" s="78" t="s">
        <v>536</v>
      </c>
      <c r="AO1725" s="78">
        <v>1.5113142119116358</v>
      </c>
    </row>
    <row r="1726" spans="29:41">
      <c r="AC1726" s="163" t="s">
        <v>52</v>
      </c>
      <c r="AD1726" s="163" t="s">
        <v>19</v>
      </c>
      <c r="AE1726" s="163" t="s">
        <v>72</v>
      </c>
      <c r="AF1726" s="163" t="s">
        <v>51</v>
      </c>
      <c r="AG1726" s="163" t="s">
        <v>573</v>
      </c>
      <c r="AH1726" s="163">
        <v>4.7220899627389947</v>
      </c>
      <c r="AJ1726" s="78" t="s">
        <v>52</v>
      </c>
      <c r="AK1726" s="78" t="s">
        <v>19</v>
      </c>
      <c r="AL1726" s="78" t="s">
        <v>28</v>
      </c>
      <c r="AM1726" s="78" t="s">
        <v>51</v>
      </c>
      <c r="AN1726" s="78" t="s">
        <v>537</v>
      </c>
      <c r="AO1726" s="78">
        <v>1.4482796673474549</v>
      </c>
    </row>
    <row r="1727" spans="29:41">
      <c r="AC1727" s="163" t="s">
        <v>52</v>
      </c>
      <c r="AD1727" s="163" t="s">
        <v>19</v>
      </c>
      <c r="AE1727" s="163" t="s">
        <v>72</v>
      </c>
      <c r="AF1727" s="163" t="s">
        <v>51</v>
      </c>
      <c r="AG1727" s="163" t="s">
        <v>574</v>
      </c>
      <c r="AH1727" s="163">
        <v>4.7220899627389947</v>
      </c>
      <c r="AJ1727" s="78" t="s">
        <v>52</v>
      </c>
      <c r="AK1727" s="78" t="s">
        <v>19</v>
      </c>
      <c r="AL1727" s="78" t="s">
        <v>28</v>
      </c>
      <c r="AM1727" s="78" t="s">
        <v>51</v>
      </c>
      <c r="AN1727" s="78" t="s">
        <v>538</v>
      </c>
      <c r="AO1727" s="78">
        <v>1.3976770639273157</v>
      </c>
    </row>
    <row r="1728" spans="29:41">
      <c r="AC1728" s="163" t="s">
        <v>52</v>
      </c>
      <c r="AD1728" s="163" t="s">
        <v>19</v>
      </c>
      <c r="AE1728" s="163" t="s">
        <v>72</v>
      </c>
      <c r="AF1728" s="163" t="s">
        <v>51</v>
      </c>
      <c r="AG1728" s="163" t="s">
        <v>575</v>
      </c>
      <c r="AH1728" s="163">
        <v>4.7220899627389947</v>
      </c>
      <c r="AJ1728" s="78" t="s">
        <v>52</v>
      </c>
      <c r="AK1728" s="78" t="s">
        <v>19</v>
      </c>
      <c r="AL1728" s="78" t="s">
        <v>28</v>
      </c>
      <c r="AM1728" s="78" t="s">
        <v>51</v>
      </c>
      <c r="AN1728" s="78" t="s">
        <v>539</v>
      </c>
      <c r="AO1728" s="78">
        <v>1.4824178685486937</v>
      </c>
    </row>
    <row r="1729" spans="29:41">
      <c r="AC1729" s="163" t="s">
        <v>52</v>
      </c>
      <c r="AD1729" s="163" t="s">
        <v>19</v>
      </c>
      <c r="AE1729" s="163" t="s">
        <v>72</v>
      </c>
      <c r="AF1729" s="163" t="s">
        <v>51</v>
      </c>
      <c r="AG1729" s="163" t="s">
        <v>576</v>
      </c>
      <c r="AH1729" s="163">
        <v>4.7220899627389947</v>
      </c>
      <c r="AJ1729" s="78" t="s">
        <v>52</v>
      </c>
      <c r="AK1729" s="78" t="s">
        <v>19</v>
      </c>
      <c r="AL1729" s="78" t="s">
        <v>28</v>
      </c>
      <c r="AM1729" s="78" t="s">
        <v>51</v>
      </c>
      <c r="AN1729" s="78" t="s">
        <v>540</v>
      </c>
      <c r="AO1729" s="78">
        <v>1.4993348213031041</v>
      </c>
    </row>
    <row r="1730" spans="29:41">
      <c r="AC1730" s="163" t="s">
        <v>52</v>
      </c>
      <c r="AD1730" s="163" t="s">
        <v>19</v>
      </c>
      <c r="AE1730" s="163" t="s">
        <v>72</v>
      </c>
      <c r="AF1730" s="163" t="s">
        <v>51</v>
      </c>
      <c r="AG1730" s="163" t="s">
        <v>577</v>
      </c>
      <c r="AH1730" s="163">
        <v>4.5563675496667244</v>
      </c>
      <c r="AJ1730" s="78" t="s">
        <v>52</v>
      </c>
      <c r="AK1730" s="78" t="s">
        <v>19</v>
      </c>
      <c r="AL1730" s="78" t="s">
        <v>28</v>
      </c>
      <c r="AM1730" s="78" t="s">
        <v>51</v>
      </c>
      <c r="AN1730" s="78" t="s">
        <v>541</v>
      </c>
      <c r="AO1730" s="78">
        <v>1.4435694289105641</v>
      </c>
    </row>
    <row r="1731" spans="29:41">
      <c r="AC1731" s="163" t="s">
        <v>52</v>
      </c>
      <c r="AD1731" s="163" t="s">
        <v>19</v>
      </c>
      <c r="AE1731" s="163" t="s">
        <v>72</v>
      </c>
      <c r="AF1731" s="163" t="s">
        <v>51</v>
      </c>
      <c r="AG1731" s="163" t="s">
        <v>578</v>
      </c>
      <c r="AH1731" s="163">
        <v>4.5563675496667244</v>
      </c>
      <c r="AJ1731" s="78" t="s">
        <v>52</v>
      </c>
      <c r="AK1731" s="78" t="s">
        <v>19</v>
      </c>
      <c r="AL1731" s="78" t="s">
        <v>28</v>
      </c>
      <c r="AM1731" s="78" t="s">
        <v>51</v>
      </c>
      <c r="AN1731" s="78" t="s">
        <v>542</v>
      </c>
      <c r="AO1731" s="78">
        <v>1.4725692740288274</v>
      </c>
    </row>
    <row r="1732" spans="29:41">
      <c r="AC1732" s="163" t="s">
        <v>52</v>
      </c>
      <c r="AD1732" s="163" t="s">
        <v>19</v>
      </c>
      <c r="AE1732" s="163" t="s">
        <v>72</v>
      </c>
      <c r="AF1732" s="163" t="s">
        <v>51</v>
      </c>
      <c r="AG1732" s="163" t="s">
        <v>579</v>
      </c>
      <c r="AH1732" s="163">
        <v>4.5563675496667244</v>
      </c>
      <c r="AJ1732" s="78" t="s">
        <v>52</v>
      </c>
      <c r="AK1732" s="78" t="s">
        <v>19</v>
      </c>
      <c r="AL1732" s="78" t="s">
        <v>28</v>
      </c>
      <c r="AM1732" s="78" t="s">
        <v>51</v>
      </c>
      <c r="AN1732" s="78" t="s">
        <v>543</v>
      </c>
      <c r="AO1732" s="78">
        <v>1.5443671184064183</v>
      </c>
    </row>
    <row r="1733" spans="29:41">
      <c r="AC1733" s="163" t="s">
        <v>52</v>
      </c>
      <c r="AD1733" s="163" t="s">
        <v>19</v>
      </c>
      <c r="AE1733" s="163" t="s">
        <v>72</v>
      </c>
      <c r="AF1733" s="163" t="s">
        <v>51</v>
      </c>
      <c r="AG1733" s="163" t="s">
        <v>580</v>
      </c>
      <c r="AH1733" s="163">
        <v>4.5563675496667244</v>
      </c>
      <c r="AJ1733" s="78" t="s">
        <v>52</v>
      </c>
      <c r="AK1733" s="78" t="s">
        <v>19</v>
      </c>
      <c r="AL1733" s="78" t="s">
        <v>28</v>
      </c>
      <c r="AM1733" s="78" t="s">
        <v>51</v>
      </c>
      <c r="AN1733" s="78" t="s">
        <v>544</v>
      </c>
      <c r="AO1733" s="78">
        <v>1.581882408026047</v>
      </c>
    </row>
    <row r="1734" spans="29:41">
      <c r="AC1734" s="163" t="s">
        <v>52</v>
      </c>
      <c r="AD1734" s="163" t="s">
        <v>19</v>
      </c>
      <c r="AE1734" s="163" t="s">
        <v>72</v>
      </c>
      <c r="AF1734" s="163" t="s">
        <v>51</v>
      </c>
      <c r="AG1734" s="163" t="s">
        <v>581</v>
      </c>
      <c r="AH1734" s="163">
        <v>4.5563675496667244</v>
      </c>
      <c r="AJ1734" s="78" t="s">
        <v>52</v>
      </c>
      <c r="AK1734" s="78" t="s">
        <v>19</v>
      </c>
      <c r="AL1734" s="78" t="s">
        <v>28</v>
      </c>
      <c r="AM1734" s="78" t="s">
        <v>51</v>
      </c>
      <c r="AN1734" s="78" t="s">
        <v>545</v>
      </c>
      <c r="AO1734" s="78">
        <v>1.4329889363434243</v>
      </c>
    </row>
    <row r="1735" spans="29:41">
      <c r="AC1735" s="163" t="s">
        <v>52</v>
      </c>
      <c r="AD1735" s="163" t="s">
        <v>19</v>
      </c>
      <c r="AE1735" s="163" t="s">
        <v>72</v>
      </c>
      <c r="AF1735" s="163" t="s">
        <v>51</v>
      </c>
      <c r="AG1735" s="163" t="s">
        <v>582</v>
      </c>
      <c r="AH1735" s="163">
        <v>4.5563675496667244</v>
      </c>
      <c r="AJ1735" s="78" t="s">
        <v>52</v>
      </c>
      <c r="AK1735" s="78" t="s">
        <v>19</v>
      </c>
      <c r="AL1735" s="78" t="s">
        <v>28</v>
      </c>
      <c r="AM1735" s="78" t="s">
        <v>51</v>
      </c>
      <c r="AN1735" s="78" t="s">
        <v>546</v>
      </c>
      <c r="AO1735" s="78">
        <v>1.3999996972866178</v>
      </c>
    </row>
    <row r="1736" spans="29:41">
      <c r="AC1736" s="163" t="s">
        <v>52</v>
      </c>
      <c r="AD1736" s="163" t="s">
        <v>19</v>
      </c>
      <c r="AE1736" s="163" t="s">
        <v>72</v>
      </c>
      <c r="AF1736" s="163" t="s">
        <v>51</v>
      </c>
      <c r="AG1736" s="163" t="s">
        <v>583</v>
      </c>
      <c r="AH1736" s="163">
        <v>4.5563675496667244</v>
      </c>
      <c r="AJ1736" s="78" t="s">
        <v>52</v>
      </c>
      <c r="AK1736" s="78" t="s">
        <v>19</v>
      </c>
      <c r="AL1736" s="78" t="s">
        <v>28</v>
      </c>
      <c r="AM1736" s="78" t="s">
        <v>51</v>
      </c>
      <c r="AN1736" s="78" t="s">
        <v>547</v>
      </c>
      <c r="AO1736" s="78">
        <v>1.5445254459051749</v>
      </c>
    </row>
    <row r="1737" spans="29:41">
      <c r="AC1737" s="163" t="s">
        <v>52</v>
      </c>
      <c r="AD1737" s="163" t="s">
        <v>19</v>
      </c>
      <c r="AE1737" s="163" t="s">
        <v>72</v>
      </c>
      <c r="AF1737" s="163" t="s">
        <v>51</v>
      </c>
      <c r="AG1737" s="163" t="s">
        <v>584</v>
      </c>
      <c r="AH1737" s="163">
        <v>4.5563675496667244</v>
      </c>
      <c r="AJ1737" s="78" t="s">
        <v>52</v>
      </c>
      <c r="AK1737" s="78" t="s">
        <v>19</v>
      </c>
      <c r="AL1737" s="78" t="s">
        <v>28</v>
      </c>
      <c r="AM1737" s="78" t="s">
        <v>51</v>
      </c>
      <c r="AN1737" s="78" t="s">
        <v>548</v>
      </c>
      <c r="AO1737" s="78">
        <v>1.4523673783886575</v>
      </c>
    </row>
    <row r="1738" spans="29:41">
      <c r="AC1738" s="163" t="s">
        <v>52</v>
      </c>
      <c r="AD1738" s="163" t="s">
        <v>19</v>
      </c>
      <c r="AE1738" s="163" t="s">
        <v>72</v>
      </c>
      <c r="AF1738" s="163" t="s">
        <v>51</v>
      </c>
      <c r="AG1738" s="163" t="s">
        <v>585</v>
      </c>
      <c r="AH1738" s="163">
        <v>4.5563675496667244</v>
      </c>
      <c r="AJ1738" s="78" t="s">
        <v>52</v>
      </c>
      <c r="AK1738" s="78" t="s">
        <v>19</v>
      </c>
      <c r="AL1738" s="78" t="s">
        <v>28</v>
      </c>
      <c r="AM1738" s="78" t="s">
        <v>51</v>
      </c>
      <c r="AN1738" s="78" t="s">
        <v>549</v>
      </c>
      <c r="AO1738" s="78">
        <v>1.5011487073929168</v>
      </c>
    </row>
    <row r="1739" spans="29:41">
      <c r="AC1739" s="163" t="s">
        <v>52</v>
      </c>
      <c r="AD1739" s="163" t="s">
        <v>19</v>
      </c>
      <c r="AE1739" s="163" t="s">
        <v>72</v>
      </c>
      <c r="AF1739" s="163" t="s">
        <v>51</v>
      </c>
      <c r="AG1739" s="163" t="s">
        <v>586</v>
      </c>
      <c r="AH1739" s="163">
        <v>4.5563675496667244</v>
      </c>
      <c r="AJ1739" s="78" t="s">
        <v>52</v>
      </c>
      <c r="AK1739" s="78" t="s">
        <v>19</v>
      </c>
      <c r="AL1739" s="78" t="s">
        <v>28</v>
      </c>
      <c r="AM1739" s="78" t="s">
        <v>51</v>
      </c>
      <c r="AN1739" s="78" t="s">
        <v>550</v>
      </c>
      <c r="AO1739" s="78">
        <v>1.5562819488663768</v>
      </c>
    </row>
    <row r="1740" spans="29:41">
      <c r="AC1740" s="163" t="s">
        <v>52</v>
      </c>
      <c r="AD1740" s="163" t="s">
        <v>19</v>
      </c>
      <c r="AE1740" s="163" t="s">
        <v>72</v>
      </c>
      <c r="AF1740" s="163" t="s">
        <v>51</v>
      </c>
      <c r="AG1740" s="163" t="s">
        <v>587</v>
      </c>
      <c r="AH1740" s="163">
        <v>4.5563675496667244</v>
      </c>
      <c r="AJ1740" s="78" t="s">
        <v>52</v>
      </c>
      <c r="AK1740" s="78" t="s">
        <v>19</v>
      </c>
      <c r="AL1740" s="78" t="s">
        <v>28</v>
      </c>
      <c r="AM1740" s="78" t="s">
        <v>51</v>
      </c>
      <c r="AN1740" s="78" t="s">
        <v>551</v>
      </c>
      <c r="AO1740" s="78">
        <v>1.5278657812520973</v>
      </c>
    </row>
    <row r="1741" spans="29:41">
      <c r="AC1741" s="163" t="s">
        <v>52</v>
      </c>
      <c r="AD1741" s="163" t="s">
        <v>19</v>
      </c>
      <c r="AE1741" s="163" t="s">
        <v>72</v>
      </c>
      <c r="AF1741" s="163" t="s">
        <v>51</v>
      </c>
      <c r="AG1741" s="163" t="s">
        <v>588</v>
      </c>
      <c r="AH1741" s="163">
        <v>4.5963526852907544</v>
      </c>
      <c r="AJ1741" s="78" t="s">
        <v>52</v>
      </c>
      <c r="AK1741" s="78" t="s">
        <v>19</v>
      </c>
      <c r="AL1741" s="78" t="s">
        <v>28</v>
      </c>
      <c r="AM1741" s="78" t="s">
        <v>51</v>
      </c>
      <c r="AN1741" s="78" t="s">
        <v>552</v>
      </c>
      <c r="AO1741" s="78">
        <v>1.4422276012600175</v>
      </c>
    </row>
    <row r="1742" spans="29:41">
      <c r="AC1742" s="163" t="s">
        <v>52</v>
      </c>
      <c r="AD1742" s="163" t="s">
        <v>19</v>
      </c>
      <c r="AE1742" s="163" t="s">
        <v>72</v>
      </c>
      <c r="AF1742" s="163" t="s">
        <v>51</v>
      </c>
      <c r="AG1742" s="163" t="s">
        <v>589</v>
      </c>
      <c r="AH1742" s="163">
        <v>4.5963526852907544</v>
      </c>
      <c r="AJ1742" s="78" t="s">
        <v>52</v>
      </c>
      <c r="AK1742" s="78" t="s">
        <v>19</v>
      </c>
      <c r="AL1742" s="78" t="s">
        <v>28</v>
      </c>
      <c r="AM1742" s="78" t="s">
        <v>51</v>
      </c>
      <c r="AN1742" s="78" t="s">
        <v>553</v>
      </c>
      <c r="AO1742" s="78">
        <v>1.4461181856995144</v>
      </c>
    </row>
    <row r="1743" spans="29:41">
      <c r="AC1743" s="163" t="s">
        <v>52</v>
      </c>
      <c r="AD1743" s="163" t="s">
        <v>19</v>
      </c>
      <c r="AE1743" s="163" t="s">
        <v>72</v>
      </c>
      <c r="AF1743" s="163" t="s">
        <v>51</v>
      </c>
      <c r="AG1743" s="163" t="s">
        <v>590</v>
      </c>
      <c r="AH1743" s="163">
        <v>4.5963526852907544</v>
      </c>
      <c r="AJ1743" s="78" t="s">
        <v>52</v>
      </c>
      <c r="AK1743" s="78" t="s">
        <v>19</v>
      </c>
      <c r="AL1743" s="78" t="s">
        <v>28</v>
      </c>
      <c r="AM1743" s="78" t="s">
        <v>51</v>
      </c>
      <c r="AN1743" s="78" t="s">
        <v>554</v>
      </c>
      <c r="AO1743" s="78">
        <v>1.4341951498471548</v>
      </c>
    </row>
    <row r="1744" spans="29:41">
      <c r="AC1744" s="163" t="s">
        <v>52</v>
      </c>
      <c r="AD1744" s="163" t="s">
        <v>19</v>
      </c>
      <c r="AE1744" s="163" t="s">
        <v>72</v>
      </c>
      <c r="AF1744" s="163" t="s">
        <v>51</v>
      </c>
      <c r="AG1744" s="163" t="s">
        <v>591</v>
      </c>
      <c r="AH1744" s="163">
        <v>4.5963526852907544</v>
      </c>
      <c r="AJ1744" s="78" t="s">
        <v>52</v>
      </c>
      <c r="AK1744" s="78" t="s">
        <v>19</v>
      </c>
      <c r="AL1744" s="78" t="s">
        <v>28</v>
      </c>
      <c r="AM1744" s="78" t="s">
        <v>51</v>
      </c>
      <c r="AN1744" s="78" t="s">
        <v>555</v>
      </c>
      <c r="AO1744" s="78">
        <v>1.378524625793625</v>
      </c>
    </row>
    <row r="1745" spans="29:41">
      <c r="AC1745" s="163" t="s">
        <v>52</v>
      </c>
      <c r="AD1745" s="163" t="s">
        <v>19</v>
      </c>
      <c r="AE1745" s="163" t="s">
        <v>72</v>
      </c>
      <c r="AF1745" s="163" t="s">
        <v>51</v>
      </c>
      <c r="AG1745" s="163" t="s">
        <v>592</v>
      </c>
      <c r="AH1745" s="163">
        <v>4.5676392933581882</v>
      </c>
      <c r="AJ1745" s="78" t="s">
        <v>52</v>
      </c>
      <c r="AK1745" s="78" t="s">
        <v>19</v>
      </c>
      <c r="AL1745" s="78" t="s">
        <v>28</v>
      </c>
      <c r="AM1745" s="78" t="s">
        <v>51</v>
      </c>
      <c r="AN1745" s="78" t="s">
        <v>556</v>
      </c>
      <c r="AO1745" s="78">
        <v>1.4509294507715105</v>
      </c>
    </row>
    <row r="1746" spans="29:41">
      <c r="AC1746" s="163" t="s">
        <v>52</v>
      </c>
      <c r="AD1746" s="163" t="s">
        <v>19</v>
      </c>
      <c r="AE1746" s="163" t="s">
        <v>72</v>
      </c>
      <c r="AF1746" s="163" t="s">
        <v>51</v>
      </c>
      <c r="AG1746" s="163" t="s">
        <v>593</v>
      </c>
      <c r="AH1746" s="163">
        <v>4.5676392933581882</v>
      </c>
      <c r="AJ1746" s="78" t="s">
        <v>52</v>
      </c>
      <c r="AK1746" s="78" t="s">
        <v>19</v>
      </c>
      <c r="AL1746" s="78" t="s">
        <v>28</v>
      </c>
      <c r="AM1746" s="78" t="s">
        <v>51</v>
      </c>
      <c r="AN1746" s="78" t="s">
        <v>557</v>
      </c>
      <c r="AO1746" s="78">
        <v>1.4254607494027411</v>
      </c>
    </row>
    <row r="1747" spans="29:41">
      <c r="AC1747" s="163" t="s">
        <v>52</v>
      </c>
      <c r="AD1747" s="163" t="s">
        <v>19</v>
      </c>
      <c r="AE1747" s="163" t="s">
        <v>72</v>
      </c>
      <c r="AF1747" s="163" t="s">
        <v>51</v>
      </c>
      <c r="AG1747" s="163" t="s">
        <v>594</v>
      </c>
      <c r="AH1747" s="163">
        <v>4.5676392933581882</v>
      </c>
      <c r="AJ1747" s="78" t="s">
        <v>52</v>
      </c>
      <c r="AK1747" s="78" t="s">
        <v>19</v>
      </c>
      <c r="AL1747" s="78" t="s">
        <v>28</v>
      </c>
      <c r="AM1747" s="78" t="s">
        <v>51</v>
      </c>
      <c r="AN1747" s="78" t="s">
        <v>558</v>
      </c>
      <c r="AO1747" s="78">
        <v>1.4824187989293012</v>
      </c>
    </row>
    <row r="1748" spans="29:41">
      <c r="AC1748" s="163" t="s">
        <v>52</v>
      </c>
      <c r="AD1748" s="163" t="s">
        <v>19</v>
      </c>
      <c r="AE1748" s="163" t="s">
        <v>72</v>
      </c>
      <c r="AF1748" s="163" t="s">
        <v>51</v>
      </c>
      <c r="AG1748" s="163" t="s">
        <v>595</v>
      </c>
      <c r="AH1748" s="163">
        <v>4.5676392933581882</v>
      </c>
      <c r="AJ1748" s="78" t="s">
        <v>52</v>
      </c>
      <c r="AK1748" s="78" t="s">
        <v>19</v>
      </c>
      <c r="AL1748" s="78" t="s">
        <v>28</v>
      </c>
      <c r="AM1748" s="78" t="s">
        <v>51</v>
      </c>
      <c r="AN1748" s="78" t="s">
        <v>559</v>
      </c>
      <c r="AO1748" s="78">
        <v>1.467579300655121</v>
      </c>
    </row>
    <row r="1749" spans="29:41">
      <c r="AC1749" s="163" t="s">
        <v>52</v>
      </c>
      <c r="AD1749" s="163" t="s">
        <v>19</v>
      </c>
      <c r="AE1749" s="163" t="s">
        <v>72</v>
      </c>
      <c r="AF1749" s="163" t="s">
        <v>51</v>
      </c>
      <c r="AG1749" s="163" t="s">
        <v>596</v>
      </c>
      <c r="AH1749" s="163">
        <v>4.5676392933581882</v>
      </c>
      <c r="AJ1749" s="78" t="s">
        <v>52</v>
      </c>
      <c r="AK1749" s="78" t="s">
        <v>19</v>
      </c>
      <c r="AL1749" s="78" t="s">
        <v>28</v>
      </c>
      <c r="AM1749" s="78" t="s">
        <v>51</v>
      </c>
      <c r="AN1749" s="78" t="s">
        <v>560</v>
      </c>
      <c r="AO1749" s="78">
        <v>1.497061576724741</v>
      </c>
    </row>
    <row r="1750" spans="29:41">
      <c r="AC1750" s="163" t="s">
        <v>52</v>
      </c>
      <c r="AD1750" s="163" t="s">
        <v>19</v>
      </c>
      <c r="AE1750" s="163" t="s">
        <v>72</v>
      </c>
      <c r="AF1750" s="163" t="s">
        <v>51</v>
      </c>
      <c r="AG1750" s="163" t="s">
        <v>597</v>
      </c>
      <c r="AH1750" s="163">
        <v>4.5676392933581882</v>
      </c>
      <c r="AJ1750" s="78" t="s">
        <v>52</v>
      </c>
      <c r="AK1750" s="78" t="s">
        <v>19</v>
      </c>
      <c r="AL1750" s="78" t="s">
        <v>28</v>
      </c>
      <c r="AM1750" s="78" t="s">
        <v>51</v>
      </c>
      <c r="AN1750" s="78" t="s">
        <v>561</v>
      </c>
      <c r="AO1750" s="78">
        <v>1.501486438372851</v>
      </c>
    </row>
    <row r="1751" spans="29:41">
      <c r="AC1751" s="163" t="s">
        <v>52</v>
      </c>
      <c r="AD1751" s="163" t="s">
        <v>19</v>
      </c>
      <c r="AE1751" s="163" t="s">
        <v>72</v>
      </c>
      <c r="AF1751" s="163" t="s">
        <v>51</v>
      </c>
      <c r="AG1751" s="163" t="s">
        <v>598</v>
      </c>
      <c r="AH1751" s="163">
        <v>4.5676392933581882</v>
      </c>
      <c r="AJ1751" s="78" t="s">
        <v>52</v>
      </c>
      <c r="AK1751" s="78" t="s">
        <v>19</v>
      </c>
      <c r="AL1751" s="78" t="s">
        <v>28</v>
      </c>
      <c r="AM1751" s="78" t="s">
        <v>51</v>
      </c>
      <c r="AN1751" s="78" t="s">
        <v>562</v>
      </c>
      <c r="AO1751" s="78">
        <v>1.466675665870705</v>
      </c>
    </row>
    <row r="1752" spans="29:41">
      <c r="AC1752" s="163" t="s">
        <v>52</v>
      </c>
      <c r="AD1752" s="163" t="s">
        <v>19</v>
      </c>
      <c r="AE1752" s="163" t="s">
        <v>72</v>
      </c>
      <c r="AF1752" s="163" t="s">
        <v>51</v>
      </c>
      <c r="AG1752" s="163" t="s">
        <v>599</v>
      </c>
      <c r="AH1752" s="163">
        <v>4.5676392933581882</v>
      </c>
      <c r="AJ1752" s="78" t="s">
        <v>52</v>
      </c>
      <c r="AK1752" s="78" t="s">
        <v>19</v>
      </c>
      <c r="AL1752" s="78" t="s">
        <v>28</v>
      </c>
      <c r="AM1752" s="78" t="s">
        <v>51</v>
      </c>
      <c r="AN1752" s="78" t="s">
        <v>563</v>
      </c>
      <c r="AO1752" s="78">
        <v>1.449507139533885</v>
      </c>
    </row>
    <row r="1753" spans="29:41">
      <c r="AC1753" s="163" t="s">
        <v>52</v>
      </c>
      <c r="AD1753" s="163" t="s">
        <v>19</v>
      </c>
      <c r="AE1753" s="163" t="s">
        <v>72</v>
      </c>
      <c r="AF1753" s="163" t="s">
        <v>51</v>
      </c>
      <c r="AG1753" s="163" t="s">
        <v>600</v>
      </c>
      <c r="AH1753" s="163">
        <v>4.5676392933581882</v>
      </c>
      <c r="AJ1753" s="78" t="s">
        <v>52</v>
      </c>
      <c r="AK1753" s="78" t="s">
        <v>19</v>
      </c>
      <c r="AL1753" s="78" t="s">
        <v>28</v>
      </c>
      <c r="AM1753" s="78" t="s">
        <v>51</v>
      </c>
      <c r="AN1753" s="78" t="s">
        <v>564</v>
      </c>
      <c r="AO1753" s="78">
        <v>1.5138123113068254</v>
      </c>
    </row>
    <row r="1754" spans="29:41">
      <c r="AC1754" s="163" t="s">
        <v>52</v>
      </c>
      <c r="AD1754" s="163" t="s">
        <v>19</v>
      </c>
      <c r="AE1754" s="163" t="s">
        <v>72</v>
      </c>
      <c r="AF1754" s="163" t="s">
        <v>51</v>
      </c>
      <c r="AG1754" s="163" t="s">
        <v>601</v>
      </c>
      <c r="AH1754" s="163">
        <v>4.5676392933581882</v>
      </c>
      <c r="AJ1754" s="78" t="s">
        <v>52</v>
      </c>
      <c r="AK1754" s="78" t="s">
        <v>19</v>
      </c>
      <c r="AL1754" s="78" t="s">
        <v>28</v>
      </c>
      <c r="AM1754" s="78" t="s">
        <v>51</v>
      </c>
      <c r="AN1754" s="78" t="s">
        <v>565</v>
      </c>
      <c r="AO1754" s="78">
        <v>1.5666560695277449</v>
      </c>
    </row>
    <row r="1755" spans="29:41">
      <c r="AC1755" s="163" t="s">
        <v>52</v>
      </c>
      <c r="AD1755" s="163" t="s">
        <v>19</v>
      </c>
      <c r="AE1755" s="163" t="s">
        <v>72</v>
      </c>
      <c r="AF1755" s="163" t="s">
        <v>51</v>
      </c>
      <c r="AG1755" s="163" t="s">
        <v>602</v>
      </c>
      <c r="AH1755" s="163">
        <v>4.5676392933581882</v>
      </c>
      <c r="AJ1755" s="78" t="s">
        <v>52</v>
      </c>
      <c r="AK1755" s="78" t="s">
        <v>19</v>
      </c>
      <c r="AL1755" s="78" t="s">
        <v>28</v>
      </c>
      <c r="AM1755" s="78" t="s">
        <v>51</v>
      </c>
      <c r="AN1755" s="78" t="s">
        <v>566</v>
      </c>
      <c r="AO1755" s="78">
        <v>1.6271593415608145</v>
      </c>
    </row>
    <row r="1756" spans="29:41">
      <c r="AC1756" s="163" t="s">
        <v>52</v>
      </c>
      <c r="AD1756" s="163" t="s">
        <v>19</v>
      </c>
      <c r="AE1756" s="163" t="s">
        <v>72</v>
      </c>
      <c r="AF1756" s="163" t="s">
        <v>51</v>
      </c>
      <c r="AG1756" s="163" t="s">
        <v>603</v>
      </c>
      <c r="AH1756" s="163">
        <v>4.5676392933581882</v>
      </c>
      <c r="AJ1756" s="78" t="s">
        <v>52</v>
      </c>
      <c r="AK1756" s="78" t="s">
        <v>19</v>
      </c>
      <c r="AL1756" s="78" t="s">
        <v>28</v>
      </c>
      <c r="AM1756" s="78" t="s">
        <v>51</v>
      </c>
      <c r="AN1756" s="78" t="s">
        <v>567</v>
      </c>
      <c r="AO1756" s="78">
        <v>1.6006184541904649</v>
      </c>
    </row>
    <row r="1757" spans="29:41">
      <c r="AC1757" s="163" t="s">
        <v>52</v>
      </c>
      <c r="AD1757" s="163" t="s">
        <v>19</v>
      </c>
      <c r="AE1757" s="163" t="s">
        <v>72</v>
      </c>
      <c r="AF1757" s="163" t="s">
        <v>51</v>
      </c>
      <c r="AG1757" s="163" t="s">
        <v>604</v>
      </c>
      <c r="AH1757" s="163">
        <v>4.5676392933581882</v>
      </c>
      <c r="AJ1757" s="78" t="s">
        <v>52</v>
      </c>
      <c r="AK1757" s="78" t="s">
        <v>19</v>
      </c>
      <c r="AL1757" s="78" t="s">
        <v>28</v>
      </c>
      <c r="AM1757" s="78" t="s">
        <v>51</v>
      </c>
      <c r="AN1757" s="78" t="s">
        <v>568</v>
      </c>
      <c r="AO1757" s="78">
        <v>1.5835903276145653</v>
      </c>
    </row>
    <row r="1758" spans="29:41">
      <c r="AC1758" s="163" t="s">
        <v>52</v>
      </c>
      <c r="AD1758" s="163" t="s">
        <v>19</v>
      </c>
      <c r="AE1758" s="163" t="s">
        <v>72</v>
      </c>
      <c r="AF1758" s="163" t="s">
        <v>51</v>
      </c>
      <c r="AG1758" s="163" t="s">
        <v>605</v>
      </c>
      <c r="AH1758" s="163">
        <v>4.5676392933581882</v>
      </c>
      <c r="AJ1758" s="78" t="s">
        <v>52</v>
      </c>
      <c r="AK1758" s="78" t="s">
        <v>19</v>
      </c>
      <c r="AL1758" s="78" t="s">
        <v>28</v>
      </c>
      <c r="AM1758" s="78" t="s">
        <v>51</v>
      </c>
      <c r="AN1758" s="78" t="s">
        <v>569</v>
      </c>
      <c r="AO1758" s="78">
        <v>1.6769784640278749</v>
      </c>
    </row>
    <row r="1759" spans="29:41">
      <c r="AC1759" s="163" t="s">
        <v>52</v>
      </c>
      <c r="AD1759" s="163" t="s">
        <v>19</v>
      </c>
      <c r="AE1759" s="163" t="s">
        <v>72</v>
      </c>
      <c r="AF1759" s="163" t="s">
        <v>51</v>
      </c>
      <c r="AG1759" s="163" t="s">
        <v>606</v>
      </c>
      <c r="AH1759" s="163">
        <v>4.5676392933581882</v>
      </c>
      <c r="AJ1759" s="78" t="s">
        <v>52</v>
      </c>
      <c r="AK1759" s="78" t="s">
        <v>19</v>
      </c>
      <c r="AL1759" s="78" t="s">
        <v>28</v>
      </c>
      <c r="AM1759" s="78" t="s">
        <v>51</v>
      </c>
      <c r="AN1759" s="78" t="s">
        <v>570</v>
      </c>
      <c r="AO1759" s="78">
        <v>1.6189427517405448</v>
      </c>
    </row>
    <row r="1760" spans="29:41">
      <c r="AC1760" s="163" t="s">
        <v>52</v>
      </c>
      <c r="AD1760" s="163" t="s">
        <v>19</v>
      </c>
      <c r="AE1760" s="163" t="s">
        <v>72</v>
      </c>
      <c r="AF1760" s="163" t="s">
        <v>51</v>
      </c>
      <c r="AG1760" s="163" t="s">
        <v>607</v>
      </c>
      <c r="AH1760" s="163">
        <v>4.5676392933581882</v>
      </c>
      <c r="AJ1760" s="78" t="s">
        <v>52</v>
      </c>
      <c r="AK1760" s="78" t="s">
        <v>19</v>
      </c>
      <c r="AL1760" s="78" t="s">
        <v>28</v>
      </c>
      <c r="AM1760" s="78" t="s">
        <v>51</v>
      </c>
      <c r="AN1760" s="78" t="s">
        <v>571</v>
      </c>
      <c r="AO1760" s="78">
        <v>1.6458959560027748</v>
      </c>
    </row>
    <row r="1761" spans="29:41">
      <c r="AC1761" s="163" t="s">
        <v>52</v>
      </c>
      <c r="AD1761" s="163" t="s">
        <v>19</v>
      </c>
      <c r="AE1761" s="163" t="s">
        <v>72</v>
      </c>
      <c r="AF1761" s="163" t="s">
        <v>51</v>
      </c>
      <c r="AG1761" s="163" t="s">
        <v>608</v>
      </c>
      <c r="AH1761" s="163">
        <v>4.5676392933581882</v>
      </c>
      <c r="AJ1761" s="78" t="s">
        <v>52</v>
      </c>
      <c r="AK1761" s="78" t="s">
        <v>19</v>
      </c>
      <c r="AL1761" s="78" t="s">
        <v>28</v>
      </c>
      <c r="AM1761" s="78" t="s">
        <v>51</v>
      </c>
      <c r="AN1761" s="78" t="s">
        <v>572</v>
      </c>
      <c r="AO1761" s="78">
        <v>1.6489007706170149</v>
      </c>
    </row>
    <row r="1762" spans="29:41">
      <c r="AC1762" s="163" t="s">
        <v>52</v>
      </c>
      <c r="AD1762" s="163" t="s">
        <v>19</v>
      </c>
      <c r="AE1762" s="163" t="s">
        <v>72</v>
      </c>
      <c r="AF1762" s="163" t="s">
        <v>51</v>
      </c>
      <c r="AG1762" s="163" t="s">
        <v>609</v>
      </c>
      <c r="AH1762" s="163">
        <v>4.5676392933581882</v>
      </c>
      <c r="AJ1762" s="78" t="s">
        <v>52</v>
      </c>
      <c r="AK1762" s="78" t="s">
        <v>19</v>
      </c>
      <c r="AL1762" s="78" t="s">
        <v>28</v>
      </c>
      <c r="AM1762" s="78" t="s">
        <v>51</v>
      </c>
      <c r="AN1762" s="78" t="s">
        <v>573</v>
      </c>
      <c r="AO1762" s="78">
        <v>1.6690041909268851</v>
      </c>
    </row>
    <row r="1763" spans="29:41">
      <c r="AC1763" s="163" t="s">
        <v>52</v>
      </c>
      <c r="AD1763" s="163" t="s">
        <v>19</v>
      </c>
      <c r="AE1763" s="163" t="s">
        <v>72</v>
      </c>
      <c r="AF1763" s="163" t="s">
        <v>51</v>
      </c>
      <c r="AG1763" s="163" t="s">
        <v>610</v>
      </c>
      <c r="AH1763" s="163">
        <v>4.5676392933581882</v>
      </c>
      <c r="AJ1763" s="78" t="s">
        <v>52</v>
      </c>
      <c r="AK1763" s="78" t="s">
        <v>19</v>
      </c>
      <c r="AL1763" s="78" t="s">
        <v>28</v>
      </c>
      <c r="AM1763" s="78" t="s">
        <v>51</v>
      </c>
      <c r="AN1763" s="78" t="s">
        <v>574</v>
      </c>
      <c r="AO1763" s="78">
        <v>1.6730430774906948</v>
      </c>
    </row>
    <row r="1764" spans="29:41">
      <c r="AC1764" s="163" t="s">
        <v>52</v>
      </c>
      <c r="AD1764" s="163" t="s">
        <v>19</v>
      </c>
      <c r="AE1764" s="163" t="s">
        <v>72</v>
      </c>
      <c r="AF1764" s="163" t="s">
        <v>51</v>
      </c>
      <c r="AG1764" s="163" t="s">
        <v>611</v>
      </c>
      <c r="AH1764" s="163">
        <v>4.5676392933581882</v>
      </c>
      <c r="AJ1764" s="78" t="s">
        <v>52</v>
      </c>
      <c r="AK1764" s="78" t="s">
        <v>19</v>
      </c>
      <c r="AL1764" s="78" t="s">
        <v>28</v>
      </c>
      <c r="AM1764" s="78" t="s">
        <v>51</v>
      </c>
      <c r="AN1764" s="78" t="s">
        <v>575</v>
      </c>
      <c r="AO1764" s="78">
        <v>1.6399129497441249</v>
      </c>
    </row>
    <row r="1765" spans="29:41">
      <c r="AC1765" s="163" t="s">
        <v>52</v>
      </c>
      <c r="AD1765" s="163" t="s">
        <v>19</v>
      </c>
      <c r="AE1765" s="163" t="s">
        <v>72</v>
      </c>
      <c r="AF1765" s="163" t="s">
        <v>51</v>
      </c>
      <c r="AG1765" s="163" t="s">
        <v>612</v>
      </c>
      <c r="AH1765" s="163">
        <v>4.5676392933581882</v>
      </c>
      <c r="AJ1765" s="78" t="s">
        <v>52</v>
      </c>
      <c r="AK1765" s="78" t="s">
        <v>19</v>
      </c>
      <c r="AL1765" s="78" t="s">
        <v>28</v>
      </c>
      <c r="AM1765" s="78" t="s">
        <v>51</v>
      </c>
      <c r="AN1765" s="78" t="s">
        <v>576</v>
      </c>
      <c r="AO1765" s="78">
        <v>1.6842522804782352</v>
      </c>
    </row>
    <row r="1766" spans="29:41">
      <c r="AC1766" s="163" t="s">
        <v>52</v>
      </c>
      <c r="AD1766" s="163" t="s">
        <v>19</v>
      </c>
      <c r="AE1766" s="163" t="s">
        <v>72</v>
      </c>
      <c r="AF1766" s="163" t="s">
        <v>51</v>
      </c>
      <c r="AG1766" s="163" t="s">
        <v>613</v>
      </c>
      <c r="AH1766" s="163">
        <v>4.5676392933581882</v>
      </c>
      <c r="AJ1766" s="78" t="s">
        <v>52</v>
      </c>
      <c r="AK1766" s="78" t="s">
        <v>19</v>
      </c>
      <c r="AL1766" s="78" t="s">
        <v>28</v>
      </c>
      <c r="AM1766" s="78" t="s">
        <v>51</v>
      </c>
      <c r="AN1766" s="78" t="s">
        <v>577</v>
      </c>
      <c r="AO1766" s="78">
        <v>1.433321061767785</v>
      </c>
    </row>
    <row r="1767" spans="29:41">
      <c r="AC1767" s="163" t="s">
        <v>52</v>
      </c>
      <c r="AD1767" s="163" t="s">
        <v>19</v>
      </c>
      <c r="AE1767" s="163" t="s">
        <v>72</v>
      </c>
      <c r="AF1767" s="163" t="s">
        <v>51</v>
      </c>
      <c r="AG1767" s="163" t="s">
        <v>614</v>
      </c>
      <c r="AH1767" s="163">
        <v>4.5676392933581882</v>
      </c>
      <c r="AJ1767" s="78" t="s">
        <v>52</v>
      </c>
      <c r="AK1767" s="78" t="s">
        <v>19</v>
      </c>
      <c r="AL1767" s="78" t="s">
        <v>28</v>
      </c>
      <c r="AM1767" s="78" t="s">
        <v>51</v>
      </c>
      <c r="AN1767" s="78" t="s">
        <v>578</v>
      </c>
      <c r="AO1767" s="78">
        <v>1.3702606150425449</v>
      </c>
    </row>
    <row r="1768" spans="29:41">
      <c r="AC1768" s="163" t="s">
        <v>52</v>
      </c>
      <c r="AD1768" s="163" t="s">
        <v>19</v>
      </c>
      <c r="AE1768" s="163" t="s">
        <v>72</v>
      </c>
      <c r="AF1768" s="163" t="s">
        <v>51</v>
      </c>
      <c r="AG1768" s="163" t="s">
        <v>615</v>
      </c>
      <c r="AH1768" s="163">
        <v>4.5676392933581882</v>
      </c>
      <c r="AJ1768" s="78" t="s">
        <v>52</v>
      </c>
      <c r="AK1768" s="78" t="s">
        <v>19</v>
      </c>
      <c r="AL1768" s="78" t="s">
        <v>28</v>
      </c>
      <c r="AM1768" s="78" t="s">
        <v>51</v>
      </c>
      <c r="AN1768" s="78" t="s">
        <v>579</v>
      </c>
      <c r="AO1768" s="78">
        <v>1.3728007228436645</v>
      </c>
    </row>
    <row r="1769" spans="29:41">
      <c r="AC1769" s="163" t="s">
        <v>52</v>
      </c>
      <c r="AD1769" s="163" t="s">
        <v>19</v>
      </c>
      <c r="AE1769" s="163" t="s">
        <v>72</v>
      </c>
      <c r="AF1769" s="163" t="s">
        <v>51</v>
      </c>
      <c r="AG1769" s="163" t="s">
        <v>616</v>
      </c>
      <c r="AH1769" s="163">
        <v>4.5676392933581882</v>
      </c>
      <c r="AJ1769" s="78" t="s">
        <v>52</v>
      </c>
      <c r="AK1769" s="78" t="s">
        <v>19</v>
      </c>
      <c r="AL1769" s="78" t="s">
        <v>28</v>
      </c>
      <c r="AM1769" s="78" t="s">
        <v>51</v>
      </c>
      <c r="AN1769" s="78" t="s">
        <v>580</v>
      </c>
      <c r="AO1769" s="78">
        <v>1.4430003007956647</v>
      </c>
    </row>
    <row r="1770" spans="29:41">
      <c r="AC1770" s="163" t="s">
        <v>52</v>
      </c>
      <c r="AD1770" s="163" t="s">
        <v>19</v>
      </c>
      <c r="AE1770" s="163" t="s">
        <v>72</v>
      </c>
      <c r="AF1770" s="163" t="s">
        <v>51</v>
      </c>
      <c r="AG1770" s="163" t="s">
        <v>617</v>
      </c>
      <c r="AH1770" s="163">
        <v>4.7147042538915791</v>
      </c>
      <c r="AJ1770" s="78" t="s">
        <v>52</v>
      </c>
      <c r="AK1770" s="78" t="s">
        <v>19</v>
      </c>
      <c r="AL1770" s="78" t="s">
        <v>28</v>
      </c>
      <c r="AM1770" s="78" t="s">
        <v>51</v>
      </c>
      <c r="AN1770" s="78" t="s">
        <v>581</v>
      </c>
      <c r="AO1770" s="78">
        <v>1.3734542552848548</v>
      </c>
    </row>
    <row r="1771" spans="29:41">
      <c r="AC1771" s="163" t="s">
        <v>52</v>
      </c>
      <c r="AD1771" s="163" t="s">
        <v>19</v>
      </c>
      <c r="AE1771" s="163" t="s">
        <v>72</v>
      </c>
      <c r="AF1771" s="163" t="s">
        <v>51</v>
      </c>
      <c r="AG1771" s="163" t="s">
        <v>618</v>
      </c>
      <c r="AH1771" s="163">
        <v>4.7147042538915791</v>
      </c>
      <c r="AJ1771" s="78" t="s">
        <v>52</v>
      </c>
      <c r="AK1771" s="78" t="s">
        <v>19</v>
      </c>
      <c r="AL1771" s="78" t="s">
        <v>28</v>
      </c>
      <c r="AM1771" s="78" t="s">
        <v>51</v>
      </c>
      <c r="AN1771" s="78" t="s">
        <v>582</v>
      </c>
      <c r="AO1771" s="78">
        <v>1.3240726161059646</v>
      </c>
    </row>
    <row r="1772" spans="29:41">
      <c r="AC1772" s="163" t="s">
        <v>52</v>
      </c>
      <c r="AD1772" s="163" t="s">
        <v>19</v>
      </c>
      <c r="AE1772" s="163" t="s">
        <v>72</v>
      </c>
      <c r="AF1772" s="163" t="s">
        <v>51</v>
      </c>
      <c r="AG1772" s="163" t="s">
        <v>619</v>
      </c>
      <c r="AH1772" s="163">
        <v>4.7147042538915791</v>
      </c>
      <c r="AJ1772" s="78" t="s">
        <v>52</v>
      </c>
      <c r="AK1772" s="78" t="s">
        <v>19</v>
      </c>
      <c r="AL1772" s="78" t="s">
        <v>28</v>
      </c>
      <c r="AM1772" s="78" t="s">
        <v>51</v>
      </c>
      <c r="AN1772" s="78" t="s">
        <v>583</v>
      </c>
      <c r="AO1772" s="78">
        <v>1.3383186721897347</v>
      </c>
    </row>
    <row r="1773" spans="29:41">
      <c r="AC1773" s="163" t="s">
        <v>52</v>
      </c>
      <c r="AD1773" s="163" t="s">
        <v>19</v>
      </c>
      <c r="AE1773" s="163" t="s">
        <v>72</v>
      </c>
      <c r="AF1773" s="163" t="s">
        <v>51</v>
      </c>
      <c r="AG1773" s="163" t="s">
        <v>620</v>
      </c>
      <c r="AH1773" s="163">
        <v>4.7147042538915791</v>
      </c>
      <c r="AJ1773" s="78" t="s">
        <v>52</v>
      </c>
      <c r="AK1773" s="78" t="s">
        <v>19</v>
      </c>
      <c r="AL1773" s="78" t="s">
        <v>28</v>
      </c>
      <c r="AM1773" s="78" t="s">
        <v>51</v>
      </c>
      <c r="AN1773" s="78" t="s">
        <v>584</v>
      </c>
      <c r="AO1773" s="78">
        <v>1.3656048687716347</v>
      </c>
    </row>
    <row r="1774" spans="29:41">
      <c r="AC1774" s="163" t="s">
        <v>52</v>
      </c>
      <c r="AD1774" s="163" t="s">
        <v>19</v>
      </c>
      <c r="AE1774" s="163" t="s">
        <v>72</v>
      </c>
      <c r="AF1774" s="163" t="s">
        <v>51</v>
      </c>
      <c r="AG1774" s="163" t="s">
        <v>621</v>
      </c>
      <c r="AH1774" s="163">
        <v>4.7147042538915791</v>
      </c>
      <c r="AJ1774" s="78" t="s">
        <v>52</v>
      </c>
      <c r="AK1774" s="78" t="s">
        <v>19</v>
      </c>
      <c r="AL1774" s="78" t="s">
        <v>28</v>
      </c>
      <c r="AM1774" s="78" t="s">
        <v>51</v>
      </c>
      <c r="AN1774" s="78" t="s">
        <v>585</v>
      </c>
      <c r="AO1774" s="78">
        <v>1.372265737831905</v>
      </c>
    </row>
    <row r="1775" spans="29:41">
      <c r="AC1775" s="163" t="s">
        <v>52</v>
      </c>
      <c r="AD1775" s="163" t="s">
        <v>19</v>
      </c>
      <c r="AE1775" s="163" t="s">
        <v>72</v>
      </c>
      <c r="AF1775" s="163" t="s">
        <v>51</v>
      </c>
      <c r="AG1775" s="163" t="s">
        <v>622</v>
      </c>
      <c r="AH1775" s="163">
        <v>4.5676392933581882</v>
      </c>
      <c r="AJ1775" s="78" t="s">
        <v>52</v>
      </c>
      <c r="AK1775" s="78" t="s">
        <v>19</v>
      </c>
      <c r="AL1775" s="78" t="s">
        <v>28</v>
      </c>
      <c r="AM1775" s="78" t="s">
        <v>51</v>
      </c>
      <c r="AN1775" s="78" t="s">
        <v>586</v>
      </c>
      <c r="AO1775" s="78">
        <v>1.3915215918059547</v>
      </c>
    </row>
    <row r="1776" spans="29:41">
      <c r="AC1776" s="163" t="s">
        <v>52</v>
      </c>
      <c r="AD1776" s="163" t="s">
        <v>19</v>
      </c>
      <c r="AE1776" s="163" t="s">
        <v>72</v>
      </c>
      <c r="AF1776" s="163" t="s">
        <v>51</v>
      </c>
      <c r="AG1776" s="163" t="s">
        <v>623</v>
      </c>
      <c r="AH1776" s="163">
        <v>4.5676392933581882</v>
      </c>
      <c r="AJ1776" s="78" t="s">
        <v>52</v>
      </c>
      <c r="AK1776" s="78" t="s">
        <v>19</v>
      </c>
      <c r="AL1776" s="78" t="s">
        <v>28</v>
      </c>
      <c r="AM1776" s="78" t="s">
        <v>51</v>
      </c>
      <c r="AN1776" s="78" t="s">
        <v>587</v>
      </c>
      <c r="AO1776" s="78">
        <v>1.3671925586194547</v>
      </c>
    </row>
    <row r="1777" spans="29:41">
      <c r="AC1777" s="163" t="s">
        <v>52</v>
      </c>
      <c r="AD1777" s="163" t="s">
        <v>19</v>
      </c>
      <c r="AE1777" s="163" t="s">
        <v>72</v>
      </c>
      <c r="AF1777" s="163" t="s">
        <v>51</v>
      </c>
      <c r="AG1777" s="163" t="s">
        <v>624</v>
      </c>
      <c r="AH1777" s="163">
        <v>4.585092837463657</v>
      </c>
      <c r="AJ1777" s="78" t="s">
        <v>52</v>
      </c>
      <c r="AK1777" s="78" t="s">
        <v>19</v>
      </c>
      <c r="AL1777" s="78" t="s">
        <v>28</v>
      </c>
      <c r="AM1777" s="78" t="s">
        <v>51</v>
      </c>
      <c r="AN1777" s="78" t="s">
        <v>588</v>
      </c>
      <c r="AO1777" s="78">
        <v>1.4211278380363248</v>
      </c>
    </row>
    <row r="1778" spans="29:41">
      <c r="AC1778" s="163" t="s">
        <v>52</v>
      </c>
      <c r="AD1778" s="163" t="s">
        <v>19</v>
      </c>
      <c r="AE1778" s="163" t="s">
        <v>72</v>
      </c>
      <c r="AF1778" s="163" t="s">
        <v>51</v>
      </c>
      <c r="AG1778" s="163" t="s">
        <v>625</v>
      </c>
      <c r="AH1778" s="163">
        <v>4.6278787880568846</v>
      </c>
      <c r="AJ1778" s="78" t="s">
        <v>52</v>
      </c>
      <c r="AK1778" s="78" t="s">
        <v>19</v>
      </c>
      <c r="AL1778" s="78" t="s">
        <v>28</v>
      </c>
      <c r="AM1778" s="78" t="s">
        <v>51</v>
      </c>
      <c r="AN1778" s="78" t="s">
        <v>589</v>
      </c>
      <c r="AO1778" s="78">
        <v>1.402651780457155</v>
      </c>
    </row>
    <row r="1779" spans="29:41">
      <c r="AC1779" s="163" t="s">
        <v>52</v>
      </c>
      <c r="AD1779" s="163" t="s">
        <v>19</v>
      </c>
      <c r="AE1779" s="163" t="s">
        <v>72</v>
      </c>
      <c r="AF1779" s="163" t="s">
        <v>51</v>
      </c>
      <c r="AG1779" s="163" t="s">
        <v>626</v>
      </c>
      <c r="AH1779" s="163">
        <v>4.5963526852907544</v>
      </c>
      <c r="AJ1779" s="78" t="s">
        <v>52</v>
      </c>
      <c r="AK1779" s="78" t="s">
        <v>19</v>
      </c>
      <c r="AL1779" s="78" t="s">
        <v>28</v>
      </c>
      <c r="AM1779" s="78" t="s">
        <v>51</v>
      </c>
      <c r="AN1779" s="78" t="s">
        <v>590</v>
      </c>
      <c r="AO1779" s="78">
        <v>1.4707144656529045</v>
      </c>
    </row>
    <row r="1780" spans="29:41">
      <c r="AC1780" s="163" t="s">
        <v>52</v>
      </c>
      <c r="AD1780" s="163" t="s">
        <v>19</v>
      </c>
      <c r="AE1780" s="163" t="s">
        <v>72</v>
      </c>
      <c r="AF1780" s="163" t="s">
        <v>51</v>
      </c>
      <c r="AG1780" s="163" t="s">
        <v>627</v>
      </c>
      <c r="AH1780" s="163">
        <v>4.5963526852907544</v>
      </c>
      <c r="AJ1780" s="78" t="s">
        <v>52</v>
      </c>
      <c r="AK1780" s="78" t="s">
        <v>19</v>
      </c>
      <c r="AL1780" s="78" t="s">
        <v>28</v>
      </c>
      <c r="AM1780" s="78" t="s">
        <v>51</v>
      </c>
      <c r="AN1780" s="78" t="s">
        <v>591</v>
      </c>
      <c r="AO1780" s="78">
        <v>1.4849043405592348</v>
      </c>
    </row>
    <row r="1781" spans="29:41">
      <c r="AC1781" s="163" t="s">
        <v>52</v>
      </c>
      <c r="AD1781" s="163" t="s">
        <v>19</v>
      </c>
      <c r="AE1781" s="163" t="s">
        <v>72</v>
      </c>
      <c r="AF1781" s="163" t="s">
        <v>51</v>
      </c>
      <c r="AG1781" s="163" t="s">
        <v>628</v>
      </c>
      <c r="AH1781" s="163">
        <v>4.5963526852907544</v>
      </c>
      <c r="AJ1781" s="78" t="s">
        <v>52</v>
      </c>
      <c r="AK1781" s="78" t="s">
        <v>19</v>
      </c>
      <c r="AL1781" s="78" t="s">
        <v>28</v>
      </c>
      <c r="AM1781" s="78" t="s">
        <v>51</v>
      </c>
      <c r="AN1781" s="78" t="s">
        <v>592</v>
      </c>
      <c r="AO1781" s="78">
        <v>1.5061857364031082</v>
      </c>
    </row>
    <row r="1782" spans="29:41">
      <c r="AC1782" s="163" t="s">
        <v>52</v>
      </c>
      <c r="AD1782" s="163" t="s">
        <v>19</v>
      </c>
      <c r="AE1782" s="163" t="s">
        <v>72</v>
      </c>
      <c r="AF1782" s="163" t="s">
        <v>51</v>
      </c>
      <c r="AG1782" s="163" t="s">
        <v>629</v>
      </c>
      <c r="AH1782" s="163">
        <v>4.4929920752998243</v>
      </c>
      <c r="AJ1782" s="78" t="s">
        <v>52</v>
      </c>
      <c r="AK1782" s="78" t="s">
        <v>19</v>
      </c>
      <c r="AL1782" s="78" t="s">
        <v>28</v>
      </c>
      <c r="AM1782" s="78" t="s">
        <v>51</v>
      </c>
      <c r="AN1782" s="78" t="s">
        <v>593</v>
      </c>
      <c r="AO1782" s="78">
        <v>1.4409438906335281</v>
      </c>
    </row>
    <row r="1783" spans="29:41">
      <c r="AC1783" s="163" t="s">
        <v>52</v>
      </c>
      <c r="AD1783" s="163" t="s">
        <v>19</v>
      </c>
      <c r="AE1783" s="163" t="s">
        <v>72</v>
      </c>
      <c r="AF1783" s="163" t="s">
        <v>51</v>
      </c>
      <c r="AG1783" s="163" t="s">
        <v>630</v>
      </c>
      <c r="AH1783" s="163">
        <v>4.4929920752998243</v>
      </c>
      <c r="AJ1783" s="78" t="s">
        <v>52</v>
      </c>
      <c r="AK1783" s="78" t="s">
        <v>19</v>
      </c>
      <c r="AL1783" s="78" t="s">
        <v>28</v>
      </c>
      <c r="AM1783" s="78" t="s">
        <v>51</v>
      </c>
      <c r="AN1783" s="78" t="s">
        <v>594</v>
      </c>
      <c r="AO1783" s="78">
        <v>1.421764745168548</v>
      </c>
    </row>
    <row r="1784" spans="29:41">
      <c r="AC1784" s="163" t="s">
        <v>52</v>
      </c>
      <c r="AD1784" s="163" t="s">
        <v>19</v>
      </c>
      <c r="AE1784" s="163" t="s">
        <v>72</v>
      </c>
      <c r="AF1784" s="163" t="s">
        <v>51</v>
      </c>
      <c r="AG1784" s="163" t="s">
        <v>631</v>
      </c>
      <c r="AH1784" s="163">
        <v>4.4929920752998243</v>
      </c>
      <c r="AJ1784" s="78" t="s">
        <v>52</v>
      </c>
      <c r="AK1784" s="78" t="s">
        <v>19</v>
      </c>
      <c r="AL1784" s="78" t="s">
        <v>28</v>
      </c>
      <c r="AM1784" s="78" t="s">
        <v>51</v>
      </c>
      <c r="AN1784" s="78" t="s">
        <v>595</v>
      </c>
      <c r="AO1784" s="78">
        <v>1.3913735870008881</v>
      </c>
    </row>
    <row r="1785" spans="29:41">
      <c r="AC1785" s="163" t="s">
        <v>52</v>
      </c>
      <c r="AD1785" s="163" t="s">
        <v>19</v>
      </c>
      <c r="AE1785" s="163" t="s">
        <v>72</v>
      </c>
      <c r="AF1785" s="163" t="s">
        <v>51</v>
      </c>
      <c r="AG1785" s="163" t="s">
        <v>632</v>
      </c>
      <c r="AH1785" s="163">
        <v>4.585092837463657</v>
      </c>
      <c r="AJ1785" s="78" t="s">
        <v>52</v>
      </c>
      <c r="AK1785" s="78" t="s">
        <v>19</v>
      </c>
      <c r="AL1785" s="78" t="s">
        <v>28</v>
      </c>
      <c r="AM1785" s="78" t="s">
        <v>51</v>
      </c>
      <c r="AN1785" s="78" t="s">
        <v>596</v>
      </c>
      <c r="AO1785" s="78">
        <v>1.3511694549341784</v>
      </c>
    </row>
    <row r="1786" spans="29:41">
      <c r="AC1786" s="163" t="s">
        <v>52</v>
      </c>
      <c r="AD1786" s="163" t="s">
        <v>19</v>
      </c>
      <c r="AE1786" s="163" t="s">
        <v>72</v>
      </c>
      <c r="AF1786" s="163" t="s">
        <v>51</v>
      </c>
      <c r="AG1786" s="163" t="s">
        <v>633</v>
      </c>
      <c r="AH1786" s="163">
        <v>4.585092837463657</v>
      </c>
      <c r="AJ1786" s="78" t="s">
        <v>52</v>
      </c>
      <c r="AK1786" s="78" t="s">
        <v>19</v>
      </c>
      <c r="AL1786" s="78" t="s">
        <v>28</v>
      </c>
      <c r="AM1786" s="78" t="s">
        <v>51</v>
      </c>
      <c r="AN1786" s="78" t="s">
        <v>597</v>
      </c>
      <c r="AO1786" s="78">
        <v>1.4025047664708281</v>
      </c>
    </row>
    <row r="1787" spans="29:41">
      <c r="AC1787" s="163" t="s">
        <v>52</v>
      </c>
      <c r="AD1787" s="163" t="s">
        <v>19</v>
      </c>
      <c r="AE1787" s="163" t="s">
        <v>72</v>
      </c>
      <c r="AF1787" s="163" t="s">
        <v>51</v>
      </c>
      <c r="AG1787" s="163" t="s">
        <v>634</v>
      </c>
      <c r="AH1787" s="163">
        <v>4.4929920752998243</v>
      </c>
      <c r="AJ1787" s="78" t="s">
        <v>52</v>
      </c>
      <c r="AK1787" s="78" t="s">
        <v>19</v>
      </c>
      <c r="AL1787" s="78" t="s">
        <v>28</v>
      </c>
      <c r="AM1787" s="78" t="s">
        <v>51</v>
      </c>
      <c r="AN1787" s="78" t="s">
        <v>598</v>
      </c>
      <c r="AO1787" s="78">
        <v>1.4262629833066482</v>
      </c>
    </row>
    <row r="1788" spans="29:41">
      <c r="AC1788" s="163" t="s">
        <v>52</v>
      </c>
      <c r="AD1788" s="163" t="s">
        <v>19</v>
      </c>
      <c r="AE1788" s="163" t="s">
        <v>72</v>
      </c>
      <c r="AF1788" s="163" t="s">
        <v>51</v>
      </c>
      <c r="AG1788" s="163" t="s">
        <v>635</v>
      </c>
      <c r="AH1788" s="163">
        <v>4.4929920752998243</v>
      </c>
      <c r="AJ1788" s="78" t="s">
        <v>52</v>
      </c>
      <c r="AK1788" s="78" t="s">
        <v>19</v>
      </c>
      <c r="AL1788" s="78" t="s">
        <v>28</v>
      </c>
      <c r="AM1788" s="78" t="s">
        <v>51</v>
      </c>
      <c r="AN1788" s="78" t="s">
        <v>599</v>
      </c>
      <c r="AO1788" s="78">
        <v>1.4115290959139284</v>
      </c>
    </row>
    <row r="1789" spans="29:41">
      <c r="AC1789" s="163" t="s">
        <v>52</v>
      </c>
      <c r="AD1789" s="163" t="s">
        <v>19</v>
      </c>
      <c r="AE1789" s="163" t="s">
        <v>72</v>
      </c>
      <c r="AF1789" s="163" t="s">
        <v>51</v>
      </c>
      <c r="AG1789" s="163" t="s">
        <v>636</v>
      </c>
      <c r="AH1789" s="163">
        <v>4.4293683816765057</v>
      </c>
      <c r="AJ1789" s="78" t="s">
        <v>52</v>
      </c>
      <c r="AK1789" s="78" t="s">
        <v>19</v>
      </c>
      <c r="AL1789" s="78" t="s">
        <v>28</v>
      </c>
      <c r="AM1789" s="78" t="s">
        <v>51</v>
      </c>
      <c r="AN1789" s="78" t="s">
        <v>600</v>
      </c>
      <c r="AO1789" s="78">
        <v>1.414561760261928</v>
      </c>
    </row>
    <row r="1790" spans="29:41">
      <c r="AC1790" s="163" t="s">
        <v>52</v>
      </c>
      <c r="AD1790" s="163" t="s">
        <v>19</v>
      </c>
      <c r="AE1790" s="163" t="s">
        <v>72</v>
      </c>
      <c r="AF1790" s="163" t="s">
        <v>51</v>
      </c>
      <c r="AG1790" s="163" t="s">
        <v>637</v>
      </c>
      <c r="AH1790" s="163">
        <v>4.4293683816765057</v>
      </c>
      <c r="AJ1790" s="78" t="s">
        <v>52</v>
      </c>
      <c r="AK1790" s="78" t="s">
        <v>19</v>
      </c>
      <c r="AL1790" s="78" t="s">
        <v>28</v>
      </c>
      <c r="AM1790" s="78" t="s">
        <v>51</v>
      </c>
      <c r="AN1790" s="78" t="s">
        <v>601</v>
      </c>
      <c r="AO1790" s="78">
        <v>1.447614831872988</v>
      </c>
    </row>
    <row r="1791" spans="29:41">
      <c r="AC1791" s="163" t="s">
        <v>52</v>
      </c>
      <c r="AD1791" s="163" t="s">
        <v>19</v>
      </c>
      <c r="AE1791" s="163" t="s">
        <v>72</v>
      </c>
      <c r="AF1791" s="163" t="s">
        <v>51</v>
      </c>
      <c r="AG1791" s="163" t="s">
        <v>638</v>
      </c>
      <c r="AH1791" s="163">
        <v>4.3771781350109968</v>
      </c>
      <c r="AJ1791" s="78" t="s">
        <v>52</v>
      </c>
      <c r="AK1791" s="78" t="s">
        <v>19</v>
      </c>
      <c r="AL1791" s="78" t="s">
        <v>28</v>
      </c>
      <c r="AM1791" s="78" t="s">
        <v>51</v>
      </c>
      <c r="AN1791" s="78" t="s">
        <v>602</v>
      </c>
      <c r="AO1791" s="78">
        <v>1.519698602227888</v>
      </c>
    </row>
    <row r="1792" spans="29:41">
      <c r="AC1792" s="163" t="s">
        <v>52</v>
      </c>
      <c r="AD1792" s="163" t="s">
        <v>19</v>
      </c>
      <c r="AE1792" s="163" t="s">
        <v>72</v>
      </c>
      <c r="AF1792" s="163" t="s">
        <v>51</v>
      </c>
      <c r="AG1792" s="163" t="s">
        <v>639</v>
      </c>
      <c r="AH1792" s="163">
        <v>4.3771781350109968</v>
      </c>
      <c r="AJ1792" s="78" t="s">
        <v>52</v>
      </c>
      <c r="AK1792" s="78" t="s">
        <v>19</v>
      </c>
      <c r="AL1792" s="78" t="s">
        <v>28</v>
      </c>
      <c r="AM1792" s="78" t="s">
        <v>51</v>
      </c>
      <c r="AN1792" s="78" t="s">
        <v>603</v>
      </c>
      <c r="AO1792" s="78">
        <v>1.4572060426679383</v>
      </c>
    </row>
    <row r="1793" spans="29:41">
      <c r="AC1793" s="163" t="s">
        <v>52</v>
      </c>
      <c r="AD1793" s="163" t="s">
        <v>19</v>
      </c>
      <c r="AE1793" s="163" t="s">
        <v>72</v>
      </c>
      <c r="AF1793" s="163" t="s">
        <v>51</v>
      </c>
      <c r="AG1793" s="163" t="s">
        <v>640</v>
      </c>
      <c r="AH1793" s="163">
        <v>4.4612113276937526</v>
      </c>
      <c r="AJ1793" s="78" t="s">
        <v>52</v>
      </c>
      <c r="AK1793" s="78" t="s">
        <v>19</v>
      </c>
      <c r="AL1793" s="78" t="s">
        <v>28</v>
      </c>
      <c r="AM1793" s="78" t="s">
        <v>51</v>
      </c>
      <c r="AN1793" s="78" t="s">
        <v>604</v>
      </c>
      <c r="AO1793" s="78">
        <v>1.4642101389741282</v>
      </c>
    </row>
    <row r="1794" spans="29:41">
      <c r="AC1794" s="163" t="s">
        <v>52</v>
      </c>
      <c r="AD1794" s="163" t="s">
        <v>19</v>
      </c>
      <c r="AE1794" s="163" t="s">
        <v>72</v>
      </c>
      <c r="AF1794" s="163" t="s">
        <v>51</v>
      </c>
      <c r="AG1794" s="163" t="s">
        <v>641</v>
      </c>
      <c r="AH1794" s="163">
        <v>4.4293683816765057</v>
      </c>
      <c r="AJ1794" s="78" t="s">
        <v>52</v>
      </c>
      <c r="AK1794" s="78" t="s">
        <v>19</v>
      </c>
      <c r="AL1794" s="78" t="s">
        <v>28</v>
      </c>
      <c r="AM1794" s="78" t="s">
        <v>51</v>
      </c>
      <c r="AN1794" s="78" t="s">
        <v>605</v>
      </c>
      <c r="AO1794" s="78">
        <v>1.3612190420174384</v>
      </c>
    </row>
    <row r="1795" spans="29:41">
      <c r="AC1795" s="163" t="s">
        <v>52</v>
      </c>
      <c r="AD1795" s="163" t="s">
        <v>19</v>
      </c>
      <c r="AE1795" s="163" t="s">
        <v>72</v>
      </c>
      <c r="AF1795" s="163" t="s">
        <v>51</v>
      </c>
      <c r="AG1795" s="163" t="s">
        <v>642</v>
      </c>
      <c r="AH1795" s="163">
        <v>4.4929920752998243</v>
      </c>
      <c r="AJ1795" s="78" t="s">
        <v>52</v>
      </c>
      <c r="AK1795" s="78" t="s">
        <v>19</v>
      </c>
      <c r="AL1795" s="78" t="s">
        <v>28</v>
      </c>
      <c r="AM1795" s="78" t="s">
        <v>51</v>
      </c>
      <c r="AN1795" s="78" t="s">
        <v>606</v>
      </c>
      <c r="AO1795" s="78">
        <v>1.3333635592514381</v>
      </c>
    </row>
    <row r="1796" spans="29:41">
      <c r="AC1796" s="163" t="s">
        <v>52</v>
      </c>
      <c r="AD1796" s="163" t="s">
        <v>19</v>
      </c>
      <c r="AE1796" s="163" t="s">
        <v>72</v>
      </c>
      <c r="AF1796" s="163" t="s">
        <v>51</v>
      </c>
      <c r="AG1796" s="163" t="s">
        <v>643</v>
      </c>
      <c r="AH1796" s="163">
        <v>4.4929920752998243</v>
      </c>
      <c r="AJ1796" s="78" t="s">
        <v>52</v>
      </c>
      <c r="AK1796" s="78" t="s">
        <v>19</v>
      </c>
      <c r="AL1796" s="78" t="s">
        <v>28</v>
      </c>
      <c r="AM1796" s="78" t="s">
        <v>51</v>
      </c>
      <c r="AN1796" s="78" t="s">
        <v>607</v>
      </c>
      <c r="AO1796" s="78">
        <v>1.3356167570498185</v>
      </c>
    </row>
    <row r="1797" spans="29:41">
      <c r="AC1797" s="163" t="s">
        <v>52</v>
      </c>
      <c r="AD1797" s="163" t="s">
        <v>19</v>
      </c>
      <c r="AE1797" s="163" t="s">
        <v>72</v>
      </c>
      <c r="AF1797" s="163" t="s">
        <v>51</v>
      </c>
      <c r="AG1797" s="163" t="s">
        <v>644</v>
      </c>
      <c r="AH1797" s="163">
        <v>4.585092837463657</v>
      </c>
      <c r="AJ1797" s="78" t="s">
        <v>52</v>
      </c>
      <c r="AK1797" s="78" t="s">
        <v>19</v>
      </c>
      <c r="AL1797" s="78" t="s">
        <v>28</v>
      </c>
      <c r="AM1797" s="78" t="s">
        <v>51</v>
      </c>
      <c r="AN1797" s="78" t="s">
        <v>608</v>
      </c>
      <c r="AO1797" s="78">
        <v>1.3424046613409581</v>
      </c>
    </row>
    <row r="1798" spans="29:41">
      <c r="AC1798" s="163" t="s">
        <v>52</v>
      </c>
      <c r="AD1798" s="163" t="s">
        <v>19</v>
      </c>
      <c r="AE1798" s="163" t="s">
        <v>72</v>
      </c>
      <c r="AF1798" s="163" t="s">
        <v>51</v>
      </c>
      <c r="AG1798" s="163" t="s">
        <v>645</v>
      </c>
      <c r="AH1798" s="163">
        <v>4.4929920752998243</v>
      </c>
      <c r="AJ1798" s="78" t="s">
        <v>52</v>
      </c>
      <c r="AK1798" s="78" t="s">
        <v>19</v>
      </c>
      <c r="AL1798" s="78" t="s">
        <v>28</v>
      </c>
      <c r="AM1798" s="78" t="s">
        <v>51</v>
      </c>
      <c r="AN1798" s="78" t="s">
        <v>609</v>
      </c>
      <c r="AO1798" s="78">
        <v>1.3244836913781983</v>
      </c>
    </row>
    <row r="1799" spans="29:41">
      <c r="AC1799" s="163" t="s">
        <v>52</v>
      </c>
      <c r="AD1799" s="163" t="s">
        <v>19</v>
      </c>
      <c r="AE1799" s="163" t="s">
        <v>72</v>
      </c>
      <c r="AF1799" s="163" t="s">
        <v>51</v>
      </c>
      <c r="AG1799" s="163" t="s">
        <v>646</v>
      </c>
      <c r="AH1799" s="163">
        <v>4.4929920752998243</v>
      </c>
      <c r="AJ1799" s="78" t="s">
        <v>52</v>
      </c>
      <c r="AK1799" s="78" t="s">
        <v>19</v>
      </c>
      <c r="AL1799" s="78" t="s">
        <v>28</v>
      </c>
      <c r="AM1799" s="78" t="s">
        <v>51</v>
      </c>
      <c r="AN1799" s="78" t="s">
        <v>610</v>
      </c>
      <c r="AO1799" s="78">
        <v>1.2856640570980375</v>
      </c>
    </row>
    <row r="1800" spans="29:41">
      <c r="AC1800" s="163" t="s">
        <v>52</v>
      </c>
      <c r="AD1800" s="163" t="s">
        <v>19</v>
      </c>
      <c r="AE1800" s="163" t="s">
        <v>72</v>
      </c>
      <c r="AF1800" s="163" t="s">
        <v>51</v>
      </c>
      <c r="AG1800" s="163" t="s">
        <v>647</v>
      </c>
      <c r="AH1800" s="163">
        <v>4.4929920752998243</v>
      </c>
      <c r="AJ1800" s="78" t="s">
        <v>52</v>
      </c>
      <c r="AK1800" s="78" t="s">
        <v>19</v>
      </c>
      <c r="AL1800" s="78" t="s">
        <v>28</v>
      </c>
      <c r="AM1800" s="78" t="s">
        <v>51</v>
      </c>
      <c r="AN1800" s="78" t="s">
        <v>611</v>
      </c>
      <c r="AO1800" s="78">
        <v>1.227017626094308</v>
      </c>
    </row>
    <row r="1801" spans="29:41">
      <c r="AC1801" s="163" t="s">
        <v>52</v>
      </c>
      <c r="AD1801" s="163" t="s">
        <v>19</v>
      </c>
      <c r="AE1801" s="163" t="s">
        <v>72</v>
      </c>
      <c r="AF1801" s="163" t="s">
        <v>51</v>
      </c>
      <c r="AG1801" s="163" t="s">
        <v>648</v>
      </c>
      <c r="AH1801" s="163">
        <v>4.4929920752998243</v>
      </c>
      <c r="AJ1801" s="78" t="s">
        <v>52</v>
      </c>
      <c r="AK1801" s="78" t="s">
        <v>19</v>
      </c>
      <c r="AL1801" s="78" t="s">
        <v>28</v>
      </c>
      <c r="AM1801" s="78" t="s">
        <v>51</v>
      </c>
      <c r="AN1801" s="78" t="s">
        <v>612</v>
      </c>
      <c r="AO1801" s="78">
        <v>1.2469467400453182</v>
      </c>
    </row>
    <row r="1802" spans="29:41">
      <c r="AC1802" s="163" t="s">
        <v>52</v>
      </c>
      <c r="AD1802" s="163" t="s">
        <v>19</v>
      </c>
      <c r="AE1802" s="163" t="s">
        <v>72</v>
      </c>
      <c r="AF1802" s="163" t="s">
        <v>51</v>
      </c>
      <c r="AG1802" s="163" t="s">
        <v>649</v>
      </c>
      <c r="AH1802" s="163">
        <v>4.4929920752998243</v>
      </c>
      <c r="AJ1802" s="78" t="s">
        <v>52</v>
      </c>
      <c r="AK1802" s="78" t="s">
        <v>19</v>
      </c>
      <c r="AL1802" s="78" t="s">
        <v>28</v>
      </c>
      <c r="AM1802" s="78" t="s">
        <v>51</v>
      </c>
      <c r="AN1802" s="78" t="s">
        <v>613</v>
      </c>
      <c r="AO1802" s="78">
        <v>1.2131569535374482</v>
      </c>
    </row>
    <row r="1803" spans="29:41">
      <c r="AC1803" s="163" t="s">
        <v>52</v>
      </c>
      <c r="AD1803" s="163" t="s">
        <v>19</v>
      </c>
      <c r="AE1803" s="163" t="s">
        <v>72</v>
      </c>
      <c r="AF1803" s="163" t="s">
        <v>51</v>
      </c>
      <c r="AG1803" s="163" t="s">
        <v>650</v>
      </c>
      <c r="AH1803" s="163">
        <v>4.585092837463657</v>
      </c>
      <c r="AJ1803" s="78" t="s">
        <v>52</v>
      </c>
      <c r="AK1803" s="78" t="s">
        <v>19</v>
      </c>
      <c r="AL1803" s="78" t="s">
        <v>28</v>
      </c>
      <c r="AM1803" s="78" t="s">
        <v>51</v>
      </c>
      <c r="AN1803" s="78" t="s">
        <v>614</v>
      </c>
      <c r="AO1803" s="78">
        <v>1.2168922954116985</v>
      </c>
    </row>
    <row r="1804" spans="29:41">
      <c r="AC1804" s="163" t="s">
        <v>52</v>
      </c>
      <c r="AD1804" s="163" t="s">
        <v>19</v>
      </c>
      <c r="AE1804" s="163" t="s">
        <v>72</v>
      </c>
      <c r="AF1804" s="163" t="s">
        <v>51</v>
      </c>
      <c r="AG1804" s="163" t="s">
        <v>651</v>
      </c>
      <c r="AH1804" s="163">
        <v>4.585092837463657</v>
      </c>
      <c r="AJ1804" s="78" t="s">
        <v>52</v>
      </c>
      <c r="AK1804" s="78" t="s">
        <v>19</v>
      </c>
      <c r="AL1804" s="78" t="s">
        <v>28</v>
      </c>
      <c r="AM1804" s="78" t="s">
        <v>51</v>
      </c>
      <c r="AN1804" s="78" t="s">
        <v>615</v>
      </c>
      <c r="AO1804" s="78">
        <v>1.322186223033428</v>
      </c>
    </row>
    <row r="1805" spans="29:41">
      <c r="AC1805" s="163" t="s">
        <v>52</v>
      </c>
      <c r="AD1805" s="163" t="s">
        <v>19</v>
      </c>
      <c r="AE1805" s="163" t="s">
        <v>72</v>
      </c>
      <c r="AF1805" s="163" t="s">
        <v>51</v>
      </c>
      <c r="AG1805" s="163" t="s">
        <v>652</v>
      </c>
      <c r="AH1805" s="163">
        <v>4.4929920752998243</v>
      </c>
      <c r="AJ1805" s="78" t="s">
        <v>52</v>
      </c>
      <c r="AK1805" s="78" t="s">
        <v>19</v>
      </c>
      <c r="AL1805" s="78" t="s">
        <v>28</v>
      </c>
      <c r="AM1805" s="78" t="s">
        <v>51</v>
      </c>
      <c r="AN1805" s="78" t="s">
        <v>616</v>
      </c>
      <c r="AO1805" s="78">
        <v>1.3072349864128481</v>
      </c>
    </row>
    <row r="1806" spans="29:41">
      <c r="AC1806" s="163" t="s">
        <v>52</v>
      </c>
      <c r="AD1806" s="163" t="s">
        <v>19</v>
      </c>
      <c r="AE1806" s="163" t="s">
        <v>72</v>
      </c>
      <c r="AF1806" s="163" t="s">
        <v>51</v>
      </c>
      <c r="AG1806" s="163" t="s">
        <v>653</v>
      </c>
      <c r="AH1806" s="163">
        <v>4.5247107681827838</v>
      </c>
      <c r="AJ1806" s="78" t="s">
        <v>52</v>
      </c>
      <c r="AK1806" s="78" t="s">
        <v>19</v>
      </c>
      <c r="AL1806" s="78" t="s">
        <v>28</v>
      </c>
      <c r="AM1806" s="78" t="s">
        <v>51</v>
      </c>
      <c r="AN1806" s="78" t="s">
        <v>617</v>
      </c>
      <c r="AO1806" s="78">
        <v>1.4776018722176196</v>
      </c>
    </row>
    <row r="1807" spans="29:41">
      <c r="AC1807" s="163" t="s">
        <v>52</v>
      </c>
      <c r="AD1807" s="163" t="s">
        <v>19</v>
      </c>
      <c r="AE1807" s="163" t="s">
        <v>72</v>
      </c>
      <c r="AF1807" s="163" t="s">
        <v>51</v>
      </c>
      <c r="AG1807" s="163" t="s">
        <v>654</v>
      </c>
      <c r="AH1807" s="163">
        <v>4.5247107681827838</v>
      </c>
      <c r="AJ1807" s="78" t="s">
        <v>52</v>
      </c>
      <c r="AK1807" s="78" t="s">
        <v>19</v>
      </c>
      <c r="AL1807" s="78" t="s">
        <v>28</v>
      </c>
      <c r="AM1807" s="78" t="s">
        <v>51</v>
      </c>
      <c r="AN1807" s="78" t="s">
        <v>618</v>
      </c>
      <c r="AO1807" s="78">
        <v>1.4986104944004097</v>
      </c>
    </row>
    <row r="1808" spans="29:41">
      <c r="AC1808" s="163" t="s">
        <v>52</v>
      </c>
      <c r="AD1808" s="163" t="s">
        <v>19</v>
      </c>
      <c r="AE1808" s="163" t="s">
        <v>72</v>
      </c>
      <c r="AF1808" s="163" t="s">
        <v>51</v>
      </c>
      <c r="AG1808" s="163" t="s">
        <v>655</v>
      </c>
      <c r="AH1808" s="163">
        <v>4.5247107681827838</v>
      </c>
      <c r="AJ1808" s="78" t="s">
        <v>52</v>
      </c>
      <c r="AK1808" s="78" t="s">
        <v>19</v>
      </c>
      <c r="AL1808" s="78" t="s">
        <v>28</v>
      </c>
      <c r="AM1808" s="78" t="s">
        <v>51</v>
      </c>
      <c r="AN1808" s="78" t="s">
        <v>619</v>
      </c>
      <c r="AO1808" s="78">
        <v>1.5455413416371995</v>
      </c>
    </row>
    <row r="1809" spans="29:41">
      <c r="AC1809" s="163" t="s">
        <v>52</v>
      </c>
      <c r="AD1809" s="163" t="s">
        <v>19</v>
      </c>
      <c r="AE1809" s="163" t="s">
        <v>72</v>
      </c>
      <c r="AF1809" s="163" t="s">
        <v>51</v>
      </c>
      <c r="AG1809" s="163" t="s">
        <v>656</v>
      </c>
      <c r="AH1809" s="163">
        <v>4.4929920752998243</v>
      </c>
      <c r="AJ1809" s="78" t="s">
        <v>52</v>
      </c>
      <c r="AK1809" s="78" t="s">
        <v>19</v>
      </c>
      <c r="AL1809" s="78" t="s">
        <v>28</v>
      </c>
      <c r="AM1809" s="78" t="s">
        <v>51</v>
      </c>
      <c r="AN1809" s="78" t="s">
        <v>620</v>
      </c>
      <c r="AO1809" s="78">
        <v>1.5786911671996398</v>
      </c>
    </row>
    <row r="1810" spans="29:41">
      <c r="AC1810" s="163" t="s">
        <v>52</v>
      </c>
      <c r="AD1810" s="163" t="s">
        <v>19</v>
      </c>
      <c r="AE1810" s="163" t="s">
        <v>72</v>
      </c>
      <c r="AF1810" s="163" t="s">
        <v>51</v>
      </c>
      <c r="AG1810" s="163" t="s">
        <v>657</v>
      </c>
      <c r="AH1810" s="163">
        <v>4.4929920752998243</v>
      </c>
      <c r="AJ1810" s="78" t="s">
        <v>52</v>
      </c>
      <c r="AK1810" s="78" t="s">
        <v>19</v>
      </c>
      <c r="AL1810" s="78" t="s">
        <v>28</v>
      </c>
      <c r="AM1810" s="78" t="s">
        <v>51</v>
      </c>
      <c r="AN1810" s="78" t="s">
        <v>621</v>
      </c>
      <c r="AO1810" s="78">
        <v>1.5524228248541994</v>
      </c>
    </row>
    <row r="1811" spans="29:41">
      <c r="AC1811" s="163" t="s">
        <v>52</v>
      </c>
      <c r="AD1811" s="163" t="s">
        <v>19</v>
      </c>
      <c r="AE1811" s="163" t="s">
        <v>72</v>
      </c>
      <c r="AF1811" s="163" t="s">
        <v>51</v>
      </c>
      <c r="AG1811" s="163" t="s">
        <v>658</v>
      </c>
      <c r="AH1811" s="163">
        <v>4.4380959133108595</v>
      </c>
      <c r="AJ1811" s="78" t="s">
        <v>52</v>
      </c>
      <c r="AK1811" s="78" t="s">
        <v>19</v>
      </c>
      <c r="AL1811" s="78" t="s">
        <v>28</v>
      </c>
      <c r="AM1811" s="78" t="s">
        <v>51</v>
      </c>
      <c r="AN1811" s="78" t="s">
        <v>622</v>
      </c>
      <c r="AO1811" s="78">
        <v>1.4118702125696478</v>
      </c>
    </row>
    <row r="1812" spans="29:41">
      <c r="AC1812" s="163" t="s">
        <v>52</v>
      </c>
      <c r="AD1812" s="163" t="s">
        <v>19</v>
      </c>
      <c r="AE1812" s="163" t="s">
        <v>72</v>
      </c>
      <c r="AF1812" s="163" t="s">
        <v>51</v>
      </c>
      <c r="AG1812" s="163" t="s">
        <v>659</v>
      </c>
      <c r="AH1812" s="163">
        <v>4.3771781350109968</v>
      </c>
      <c r="AJ1812" s="78" t="s">
        <v>52</v>
      </c>
      <c r="AK1812" s="78" t="s">
        <v>19</v>
      </c>
      <c r="AL1812" s="78" t="s">
        <v>28</v>
      </c>
      <c r="AM1812" s="78" t="s">
        <v>51</v>
      </c>
      <c r="AN1812" s="78" t="s">
        <v>623</v>
      </c>
      <c r="AO1812" s="78">
        <v>1.4419010996385677</v>
      </c>
    </row>
    <row r="1813" spans="29:41">
      <c r="AC1813" s="163" t="s">
        <v>52</v>
      </c>
      <c r="AD1813" s="163" t="s">
        <v>19</v>
      </c>
      <c r="AE1813" s="163" t="s">
        <v>72</v>
      </c>
      <c r="AF1813" s="163" t="s">
        <v>51</v>
      </c>
      <c r="AG1813" s="163" t="s">
        <v>660</v>
      </c>
      <c r="AH1813" s="163">
        <v>4.4062150485441451</v>
      </c>
      <c r="AJ1813" s="78" t="s">
        <v>52</v>
      </c>
      <c r="AK1813" s="78" t="s">
        <v>19</v>
      </c>
      <c r="AL1813" s="78" t="s">
        <v>28</v>
      </c>
      <c r="AM1813" s="78" t="s">
        <v>51</v>
      </c>
      <c r="AN1813" s="78" t="s">
        <v>624</v>
      </c>
      <c r="AO1813" s="78">
        <v>1.4058822765510868</v>
      </c>
    </row>
    <row r="1814" spans="29:41">
      <c r="AC1814" s="163" t="s">
        <v>52</v>
      </c>
      <c r="AD1814" s="163" t="s">
        <v>19</v>
      </c>
      <c r="AE1814" s="163" t="s">
        <v>72</v>
      </c>
      <c r="AF1814" s="163" t="s">
        <v>51</v>
      </c>
      <c r="AG1814" s="163" t="s">
        <v>661</v>
      </c>
      <c r="AH1814" s="163">
        <v>4.4380959133108595</v>
      </c>
      <c r="AJ1814" s="78" t="s">
        <v>52</v>
      </c>
      <c r="AK1814" s="78" t="s">
        <v>19</v>
      </c>
      <c r="AL1814" s="78" t="s">
        <v>28</v>
      </c>
      <c r="AM1814" s="78" t="s">
        <v>51</v>
      </c>
      <c r="AN1814" s="78" t="s">
        <v>625</v>
      </c>
      <c r="AO1814" s="78">
        <v>1.4863363427012548</v>
      </c>
    </row>
    <row r="1815" spans="29:41">
      <c r="AC1815" s="163" t="s">
        <v>52</v>
      </c>
      <c r="AD1815" s="163" t="s">
        <v>19</v>
      </c>
      <c r="AE1815" s="163" t="s">
        <v>72</v>
      </c>
      <c r="AF1815" s="163" t="s">
        <v>51</v>
      </c>
      <c r="AG1815" s="163" t="s">
        <v>662</v>
      </c>
      <c r="AH1815" s="163">
        <v>4.4062150485441451</v>
      </c>
      <c r="AJ1815" s="78" t="s">
        <v>52</v>
      </c>
      <c r="AK1815" s="78" t="s">
        <v>19</v>
      </c>
      <c r="AL1815" s="78" t="s">
        <v>28</v>
      </c>
      <c r="AM1815" s="78" t="s">
        <v>51</v>
      </c>
      <c r="AN1815" s="78" t="s">
        <v>626</v>
      </c>
      <c r="AO1815" s="78">
        <v>1.4309394791869843</v>
      </c>
    </row>
    <row r="1816" spans="29:41">
      <c r="AC1816" s="163" t="s">
        <v>52</v>
      </c>
      <c r="AD1816" s="163" t="s">
        <v>19</v>
      </c>
      <c r="AE1816" s="163" t="s">
        <v>72</v>
      </c>
      <c r="AF1816" s="163" t="s">
        <v>51</v>
      </c>
      <c r="AG1816" s="163" t="s">
        <v>663</v>
      </c>
      <c r="AH1816" s="163">
        <v>4.4380959133108595</v>
      </c>
      <c r="AJ1816" s="78" t="s">
        <v>52</v>
      </c>
      <c r="AK1816" s="78" t="s">
        <v>19</v>
      </c>
      <c r="AL1816" s="78" t="s">
        <v>28</v>
      </c>
      <c r="AM1816" s="78" t="s">
        <v>51</v>
      </c>
      <c r="AN1816" s="78" t="s">
        <v>627</v>
      </c>
      <c r="AO1816" s="78">
        <v>1.4498866517693747</v>
      </c>
    </row>
    <row r="1817" spans="29:41">
      <c r="AC1817" s="163" t="s">
        <v>52</v>
      </c>
      <c r="AD1817" s="163" t="s">
        <v>19</v>
      </c>
      <c r="AE1817" s="163" t="s">
        <v>72</v>
      </c>
      <c r="AF1817" s="163" t="s">
        <v>51</v>
      </c>
      <c r="AG1817" s="163" t="s">
        <v>664</v>
      </c>
      <c r="AH1817" s="163">
        <v>4.4062150485441451</v>
      </c>
      <c r="AJ1817" s="78" t="s">
        <v>52</v>
      </c>
      <c r="AK1817" s="78" t="s">
        <v>19</v>
      </c>
      <c r="AL1817" s="78" t="s">
        <v>28</v>
      </c>
      <c r="AM1817" s="78" t="s">
        <v>51</v>
      </c>
      <c r="AN1817" s="78" t="s">
        <v>628</v>
      </c>
      <c r="AO1817" s="78">
        <v>1.5035826166124546</v>
      </c>
    </row>
    <row r="1818" spans="29:41">
      <c r="AC1818" s="163" t="s">
        <v>52</v>
      </c>
      <c r="AD1818" s="163" t="s">
        <v>19</v>
      </c>
      <c r="AE1818" s="163" t="s">
        <v>72</v>
      </c>
      <c r="AF1818" s="163" t="s">
        <v>51</v>
      </c>
      <c r="AG1818" s="163" t="s">
        <v>665</v>
      </c>
      <c r="AH1818" s="163">
        <v>4.4062150485441451</v>
      </c>
      <c r="AJ1818" s="78" t="s">
        <v>52</v>
      </c>
      <c r="AK1818" s="78" t="s">
        <v>19</v>
      </c>
      <c r="AL1818" s="78" t="s">
        <v>28</v>
      </c>
      <c r="AM1818" s="78" t="s">
        <v>51</v>
      </c>
      <c r="AN1818" s="78" t="s">
        <v>629</v>
      </c>
      <c r="AO1818" s="78">
        <v>1.4076133432741247</v>
      </c>
    </row>
    <row r="1819" spans="29:41">
      <c r="AC1819" s="163" t="s">
        <v>52</v>
      </c>
      <c r="AD1819" s="163" t="s">
        <v>19</v>
      </c>
      <c r="AE1819" s="163" t="s">
        <v>72</v>
      </c>
      <c r="AF1819" s="163" t="s">
        <v>51</v>
      </c>
      <c r="AG1819" s="163" t="s">
        <v>666</v>
      </c>
      <c r="AH1819" s="163">
        <v>4.3771781350109968</v>
      </c>
      <c r="AJ1819" s="78" t="s">
        <v>52</v>
      </c>
      <c r="AK1819" s="78" t="s">
        <v>19</v>
      </c>
      <c r="AL1819" s="78" t="s">
        <v>28</v>
      </c>
      <c r="AM1819" s="78" t="s">
        <v>51</v>
      </c>
      <c r="AN1819" s="78" t="s">
        <v>630</v>
      </c>
      <c r="AO1819" s="78">
        <v>1.3931696121363746</v>
      </c>
    </row>
    <row r="1820" spans="29:41">
      <c r="AC1820" s="163" t="s">
        <v>52</v>
      </c>
      <c r="AD1820" s="163" t="s">
        <v>19</v>
      </c>
      <c r="AE1820" s="163" t="s">
        <v>72</v>
      </c>
      <c r="AF1820" s="163" t="s">
        <v>51</v>
      </c>
      <c r="AG1820" s="163" t="s">
        <v>667</v>
      </c>
      <c r="AH1820" s="163">
        <v>4.4062150485441451</v>
      </c>
      <c r="AJ1820" s="78" t="s">
        <v>52</v>
      </c>
      <c r="AK1820" s="78" t="s">
        <v>19</v>
      </c>
      <c r="AL1820" s="78" t="s">
        <v>28</v>
      </c>
      <c r="AM1820" s="78" t="s">
        <v>51</v>
      </c>
      <c r="AN1820" s="78" t="s">
        <v>631</v>
      </c>
      <c r="AO1820" s="78">
        <v>1.4122693695611748</v>
      </c>
    </row>
    <row r="1821" spans="29:41">
      <c r="AC1821" s="163" t="s">
        <v>52</v>
      </c>
      <c r="AD1821" s="163" t="s">
        <v>19</v>
      </c>
      <c r="AE1821" s="163" t="s">
        <v>72</v>
      </c>
      <c r="AF1821" s="163" t="s">
        <v>51</v>
      </c>
      <c r="AG1821" s="163" t="s">
        <v>668</v>
      </c>
      <c r="AH1821" s="163">
        <v>4.3131143092804933</v>
      </c>
      <c r="AJ1821" s="78" t="s">
        <v>52</v>
      </c>
      <c r="AK1821" s="78" t="s">
        <v>19</v>
      </c>
      <c r="AL1821" s="78" t="s">
        <v>28</v>
      </c>
      <c r="AM1821" s="78" t="s">
        <v>51</v>
      </c>
      <c r="AN1821" s="78" t="s">
        <v>632</v>
      </c>
      <c r="AO1821" s="78">
        <v>1.464173913765797</v>
      </c>
    </row>
    <row r="1822" spans="29:41">
      <c r="AC1822" s="163" t="s">
        <v>52</v>
      </c>
      <c r="AD1822" s="163" t="s">
        <v>19</v>
      </c>
      <c r="AE1822" s="163" t="s">
        <v>72</v>
      </c>
      <c r="AF1822" s="163" t="s">
        <v>51</v>
      </c>
      <c r="AG1822" s="163" t="s">
        <v>669</v>
      </c>
      <c r="AH1822" s="163">
        <v>4.3771781350109968</v>
      </c>
      <c r="AJ1822" s="78" t="s">
        <v>52</v>
      </c>
      <c r="AK1822" s="78" t="s">
        <v>19</v>
      </c>
      <c r="AL1822" s="78" t="s">
        <v>28</v>
      </c>
      <c r="AM1822" s="78" t="s">
        <v>51</v>
      </c>
      <c r="AN1822" s="78" t="s">
        <v>633</v>
      </c>
      <c r="AO1822" s="78">
        <v>1.4708964292783269</v>
      </c>
    </row>
    <row r="1823" spans="29:41">
      <c r="AC1823" s="163" t="s">
        <v>52</v>
      </c>
      <c r="AD1823" s="163" t="s">
        <v>19</v>
      </c>
      <c r="AE1823" s="163" t="s">
        <v>72</v>
      </c>
      <c r="AF1823" s="163" t="s">
        <v>51</v>
      </c>
      <c r="AG1823" s="163" t="s">
        <v>670</v>
      </c>
      <c r="AH1823" s="163">
        <v>4.3131087489386006</v>
      </c>
      <c r="AJ1823" s="78" t="s">
        <v>52</v>
      </c>
      <c r="AK1823" s="78" t="s">
        <v>19</v>
      </c>
      <c r="AL1823" s="78" t="s">
        <v>28</v>
      </c>
      <c r="AM1823" s="78" t="s">
        <v>51</v>
      </c>
      <c r="AN1823" s="78" t="s">
        <v>634</v>
      </c>
      <c r="AO1823" s="78">
        <v>1.4554980504693147</v>
      </c>
    </row>
    <row r="1824" spans="29:41">
      <c r="AC1824" s="163" t="s">
        <v>52</v>
      </c>
      <c r="AD1824" s="163" t="s">
        <v>19</v>
      </c>
      <c r="AE1824" s="163" t="s">
        <v>72</v>
      </c>
      <c r="AF1824" s="163" t="s">
        <v>51</v>
      </c>
      <c r="AG1824" s="163" t="s">
        <v>671</v>
      </c>
      <c r="AH1824" s="163">
        <v>4.3131143092804933</v>
      </c>
      <c r="AJ1824" s="78" t="s">
        <v>52</v>
      </c>
      <c r="AK1824" s="78" t="s">
        <v>19</v>
      </c>
      <c r="AL1824" s="78" t="s">
        <v>28</v>
      </c>
      <c r="AM1824" s="78" t="s">
        <v>51</v>
      </c>
      <c r="AN1824" s="78" t="s">
        <v>635</v>
      </c>
      <c r="AO1824" s="78">
        <v>1.4543978335557846</v>
      </c>
    </row>
    <row r="1825" spans="29:41">
      <c r="AC1825" s="163" t="s">
        <v>52</v>
      </c>
      <c r="AD1825" s="163" t="s">
        <v>19</v>
      </c>
      <c r="AE1825" s="163" t="s">
        <v>72</v>
      </c>
      <c r="AF1825" s="163" t="s">
        <v>51</v>
      </c>
      <c r="AG1825" s="163" t="s">
        <v>672</v>
      </c>
      <c r="AH1825" s="163">
        <v>4.3451776555859825</v>
      </c>
      <c r="AJ1825" s="78" t="s">
        <v>52</v>
      </c>
      <c r="AK1825" s="78" t="s">
        <v>19</v>
      </c>
      <c r="AL1825" s="78" t="s">
        <v>28</v>
      </c>
      <c r="AM1825" s="78" t="s">
        <v>51</v>
      </c>
      <c r="AN1825" s="78" t="s">
        <v>636</v>
      </c>
      <c r="AO1825" s="78">
        <v>1.4539471213238657</v>
      </c>
    </row>
    <row r="1826" spans="29:41">
      <c r="AC1826" s="163" t="s">
        <v>52</v>
      </c>
      <c r="AD1826" s="163" t="s">
        <v>19</v>
      </c>
      <c r="AE1826" s="163" t="s">
        <v>72</v>
      </c>
      <c r="AF1826" s="163" t="s">
        <v>51</v>
      </c>
      <c r="AG1826" s="163" t="s">
        <v>673</v>
      </c>
      <c r="AH1826" s="163">
        <v>4.3771781350109968</v>
      </c>
      <c r="AJ1826" s="78" t="s">
        <v>52</v>
      </c>
      <c r="AK1826" s="78" t="s">
        <v>19</v>
      </c>
      <c r="AL1826" s="78" t="s">
        <v>28</v>
      </c>
      <c r="AM1826" s="78" t="s">
        <v>51</v>
      </c>
      <c r="AN1826" s="78" t="s">
        <v>637</v>
      </c>
      <c r="AO1826" s="78">
        <v>1.4452690321246657</v>
      </c>
    </row>
    <row r="1827" spans="29:41">
      <c r="AC1827" s="163" t="s">
        <v>52</v>
      </c>
      <c r="AD1827" s="163" t="s">
        <v>19</v>
      </c>
      <c r="AE1827" s="163" t="s">
        <v>72</v>
      </c>
      <c r="AF1827" s="163" t="s">
        <v>51</v>
      </c>
      <c r="AG1827" s="163" t="s">
        <v>674</v>
      </c>
      <c r="AH1827" s="163">
        <v>4.4062150485441451</v>
      </c>
      <c r="AJ1827" s="78" t="s">
        <v>52</v>
      </c>
      <c r="AK1827" s="78" t="s">
        <v>19</v>
      </c>
      <c r="AL1827" s="78" t="s">
        <v>28</v>
      </c>
      <c r="AM1827" s="78" t="s">
        <v>51</v>
      </c>
      <c r="AN1827" s="78" t="s">
        <v>638</v>
      </c>
      <c r="AO1827" s="78">
        <v>1.4521308249420872</v>
      </c>
    </row>
    <row r="1828" spans="29:41">
      <c r="AC1828" s="163" t="s">
        <v>52</v>
      </c>
      <c r="AD1828" s="163" t="s">
        <v>19</v>
      </c>
      <c r="AE1828" s="163" t="s">
        <v>72</v>
      </c>
      <c r="AF1828" s="163" t="s">
        <v>51</v>
      </c>
      <c r="AG1828" s="163" t="s">
        <v>675</v>
      </c>
      <c r="AH1828" s="163">
        <v>4.4062150485441451</v>
      </c>
      <c r="AJ1828" s="78" t="s">
        <v>52</v>
      </c>
      <c r="AK1828" s="78" t="s">
        <v>19</v>
      </c>
      <c r="AL1828" s="78" t="s">
        <v>28</v>
      </c>
      <c r="AM1828" s="78" t="s">
        <v>51</v>
      </c>
      <c r="AN1828" s="78" t="s">
        <v>639</v>
      </c>
      <c r="AO1828" s="78">
        <v>1.4280909118750371</v>
      </c>
    </row>
    <row r="1829" spans="29:41">
      <c r="AC1829" s="163" t="s">
        <v>52</v>
      </c>
      <c r="AD1829" s="163" t="s">
        <v>19</v>
      </c>
      <c r="AE1829" s="163" t="s">
        <v>72</v>
      </c>
      <c r="AF1829" s="163" t="s">
        <v>51</v>
      </c>
      <c r="AG1829" s="163" t="s">
        <v>676</v>
      </c>
      <c r="AH1829" s="163">
        <v>4.3131143092804933</v>
      </c>
      <c r="AJ1829" s="78" t="s">
        <v>52</v>
      </c>
      <c r="AK1829" s="78" t="s">
        <v>19</v>
      </c>
      <c r="AL1829" s="78" t="s">
        <v>28</v>
      </c>
      <c r="AM1829" s="78" t="s">
        <v>51</v>
      </c>
      <c r="AN1829" s="78" t="s">
        <v>640</v>
      </c>
      <c r="AO1829" s="78">
        <v>1.4730352749553324</v>
      </c>
    </row>
    <row r="1830" spans="29:41">
      <c r="AC1830" s="163" t="s">
        <v>52</v>
      </c>
      <c r="AD1830" s="163" t="s">
        <v>19</v>
      </c>
      <c r="AE1830" s="163" t="s">
        <v>72</v>
      </c>
      <c r="AF1830" s="163" t="s">
        <v>51</v>
      </c>
      <c r="AG1830" s="163" t="s">
        <v>677</v>
      </c>
      <c r="AH1830" s="163">
        <v>4.3451776555859825</v>
      </c>
      <c r="AJ1830" s="78" t="s">
        <v>52</v>
      </c>
      <c r="AK1830" s="78" t="s">
        <v>19</v>
      </c>
      <c r="AL1830" s="78" t="s">
        <v>28</v>
      </c>
      <c r="AM1830" s="78" t="s">
        <v>51</v>
      </c>
      <c r="AN1830" s="78" t="s">
        <v>641</v>
      </c>
      <c r="AO1830" s="78">
        <v>1.4483823962451361</v>
      </c>
    </row>
    <row r="1831" spans="29:41">
      <c r="AC1831" s="163" t="s">
        <v>52</v>
      </c>
      <c r="AD1831" s="163" t="s">
        <v>19</v>
      </c>
      <c r="AE1831" s="163" t="s">
        <v>72</v>
      </c>
      <c r="AF1831" s="163" t="s">
        <v>51</v>
      </c>
      <c r="AG1831" s="163" t="s">
        <v>678</v>
      </c>
      <c r="AH1831" s="163">
        <v>4.3451776555859825</v>
      </c>
      <c r="AJ1831" s="78" t="s">
        <v>52</v>
      </c>
      <c r="AK1831" s="78" t="s">
        <v>19</v>
      </c>
      <c r="AL1831" s="78" t="s">
        <v>28</v>
      </c>
      <c r="AM1831" s="78" t="s">
        <v>51</v>
      </c>
      <c r="AN1831" s="78" t="s">
        <v>642</v>
      </c>
      <c r="AO1831" s="78">
        <v>1.4760011037669045</v>
      </c>
    </row>
    <row r="1832" spans="29:41">
      <c r="AC1832" s="163" t="s">
        <v>52</v>
      </c>
      <c r="AD1832" s="163" t="s">
        <v>19</v>
      </c>
      <c r="AE1832" s="163" t="s">
        <v>72</v>
      </c>
      <c r="AF1832" s="163" t="s">
        <v>51</v>
      </c>
      <c r="AG1832" s="163" t="s">
        <v>679</v>
      </c>
      <c r="AH1832" s="163">
        <v>4.3771781350109968</v>
      </c>
      <c r="AJ1832" s="78" t="s">
        <v>52</v>
      </c>
      <c r="AK1832" s="78" t="s">
        <v>19</v>
      </c>
      <c r="AL1832" s="78" t="s">
        <v>28</v>
      </c>
      <c r="AM1832" s="78" t="s">
        <v>51</v>
      </c>
      <c r="AN1832" s="78" t="s">
        <v>643</v>
      </c>
      <c r="AO1832" s="78">
        <v>1.4055573957078844</v>
      </c>
    </row>
    <row r="1833" spans="29:41">
      <c r="AC1833" s="163" t="s">
        <v>52</v>
      </c>
      <c r="AD1833" s="163" t="s">
        <v>19</v>
      </c>
      <c r="AE1833" s="163" t="s">
        <v>72</v>
      </c>
      <c r="AF1833" s="163" t="s">
        <v>51</v>
      </c>
      <c r="AG1833" s="163" t="s">
        <v>680</v>
      </c>
      <c r="AH1833" s="163">
        <v>4.3771781350109968</v>
      </c>
      <c r="AJ1833" s="78" t="s">
        <v>52</v>
      </c>
      <c r="AK1833" s="78" t="s">
        <v>19</v>
      </c>
      <c r="AL1833" s="78" t="s">
        <v>28</v>
      </c>
      <c r="AM1833" s="78" t="s">
        <v>51</v>
      </c>
      <c r="AN1833" s="78" t="s">
        <v>644</v>
      </c>
      <c r="AO1833" s="78">
        <v>1.524879258329797</v>
      </c>
    </row>
    <row r="1834" spans="29:41">
      <c r="AC1834" s="163" t="s">
        <v>52</v>
      </c>
      <c r="AD1834" s="163" t="s">
        <v>19</v>
      </c>
      <c r="AE1834" s="163" t="s">
        <v>72</v>
      </c>
      <c r="AF1834" s="163" t="s">
        <v>51</v>
      </c>
      <c r="AG1834" s="163" t="s">
        <v>681</v>
      </c>
      <c r="AH1834" s="163">
        <v>4.3451776555859825</v>
      </c>
      <c r="AJ1834" s="78" t="s">
        <v>52</v>
      </c>
      <c r="AK1834" s="78" t="s">
        <v>19</v>
      </c>
      <c r="AL1834" s="78" t="s">
        <v>28</v>
      </c>
      <c r="AM1834" s="78" t="s">
        <v>51</v>
      </c>
      <c r="AN1834" s="78" t="s">
        <v>645</v>
      </c>
      <c r="AO1834" s="78">
        <v>1.4584163619840247</v>
      </c>
    </row>
    <row r="1835" spans="29:41">
      <c r="AC1835" s="163" t="s">
        <v>52</v>
      </c>
      <c r="AD1835" s="163" t="s">
        <v>19</v>
      </c>
      <c r="AE1835" s="163" t="s">
        <v>72</v>
      </c>
      <c r="AF1835" s="163" t="s">
        <v>51</v>
      </c>
      <c r="AG1835" s="163" t="s">
        <v>682</v>
      </c>
      <c r="AH1835" s="163">
        <v>4.3451776555859825</v>
      </c>
      <c r="AJ1835" s="78" t="s">
        <v>52</v>
      </c>
      <c r="AK1835" s="78" t="s">
        <v>19</v>
      </c>
      <c r="AL1835" s="78" t="s">
        <v>28</v>
      </c>
      <c r="AM1835" s="78" t="s">
        <v>51</v>
      </c>
      <c r="AN1835" s="78" t="s">
        <v>646</v>
      </c>
      <c r="AO1835" s="78">
        <v>1.4761818398575346</v>
      </c>
    </row>
    <row r="1836" spans="29:41">
      <c r="AC1836" s="163" t="s">
        <v>52</v>
      </c>
      <c r="AD1836" s="163" t="s">
        <v>19</v>
      </c>
      <c r="AE1836" s="163" t="s">
        <v>72</v>
      </c>
      <c r="AF1836" s="163" t="s">
        <v>51</v>
      </c>
      <c r="AG1836" s="163" t="s">
        <v>683</v>
      </c>
      <c r="AH1836" s="163">
        <v>4.3451776555859825</v>
      </c>
      <c r="AJ1836" s="78" t="s">
        <v>52</v>
      </c>
      <c r="AK1836" s="78" t="s">
        <v>19</v>
      </c>
      <c r="AL1836" s="78" t="s">
        <v>28</v>
      </c>
      <c r="AM1836" s="78" t="s">
        <v>51</v>
      </c>
      <c r="AN1836" s="78" t="s">
        <v>647</v>
      </c>
      <c r="AO1836" s="78">
        <v>1.4349360196707046</v>
      </c>
    </row>
    <row r="1837" spans="29:41">
      <c r="AC1837" s="163" t="s">
        <v>52</v>
      </c>
      <c r="AD1837" s="163" t="s">
        <v>19</v>
      </c>
      <c r="AE1837" s="163" t="s">
        <v>72</v>
      </c>
      <c r="AF1837" s="163" t="s">
        <v>51</v>
      </c>
      <c r="AG1837" s="163" t="s">
        <v>684</v>
      </c>
      <c r="AH1837" s="163">
        <v>4.3131143092804933</v>
      </c>
      <c r="AJ1837" s="78" t="s">
        <v>52</v>
      </c>
      <c r="AK1837" s="78" t="s">
        <v>19</v>
      </c>
      <c r="AL1837" s="78" t="s">
        <v>28</v>
      </c>
      <c r="AM1837" s="78" t="s">
        <v>51</v>
      </c>
      <c r="AN1837" s="78" t="s">
        <v>648</v>
      </c>
      <c r="AO1837" s="78">
        <v>1.4710371770848545</v>
      </c>
    </row>
    <row r="1838" spans="29:41">
      <c r="AC1838" s="163" t="s">
        <v>52</v>
      </c>
      <c r="AD1838" s="163" t="s">
        <v>19</v>
      </c>
      <c r="AE1838" s="163" t="s">
        <v>72</v>
      </c>
      <c r="AF1838" s="163" t="s">
        <v>51</v>
      </c>
      <c r="AG1838" s="163" t="s">
        <v>685</v>
      </c>
      <c r="AH1838" s="163">
        <v>4.3451776555859825</v>
      </c>
      <c r="AJ1838" s="78" t="s">
        <v>52</v>
      </c>
      <c r="AK1838" s="78" t="s">
        <v>19</v>
      </c>
      <c r="AL1838" s="78" t="s">
        <v>28</v>
      </c>
      <c r="AM1838" s="78" t="s">
        <v>51</v>
      </c>
      <c r="AN1838" s="78" t="s">
        <v>649</v>
      </c>
      <c r="AO1838" s="78">
        <v>1.4463010742516547</v>
      </c>
    </row>
    <row r="1839" spans="29:41">
      <c r="AC1839" s="163" t="s">
        <v>52</v>
      </c>
      <c r="AD1839" s="163" t="s">
        <v>19</v>
      </c>
      <c r="AE1839" s="163" t="s">
        <v>72</v>
      </c>
      <c r="AF1839" s="163" t="s">
        <v>51</v>
      </c>
      <c r="AG1839" s="163" t="s">
        <v>686</v>
      </c>
      <c r="AH1839" s="163">
        <v>4.3451776555859825</v>
      </c>
      <c r="AJ1839" s="78" t="s">
        <v>52</v>
      </c>
      <c r="AK1839" s="78" t="s">
        <v>19</v>
      </c>
      <c r="AL1839" s="78" t="s">
        <v>28</v>
      </c>
      <c r="AM1839" s="78" t="s">
        <v>51</v>
      </c>
      <c r="AN1839" s="78" t="s">
        <v>650</v>
      </c>
      <c r="AO1839" s="78">
        <v>1.5013471901632269</v>
      </c>
    </row>
    <row r="1840" spans="29:41">
      <c r="AC1840" s="163" t="s">
        <v>52</v>
      </c>
      <c r="AD1840" s="163" t="s">
        <v>19</v>
      </c>
      <c r="AE1840" s="163" t="s">
        <v>72</v>
      </c>
      <c r="AF1840" s="163" t="s">
        <v>51</v>
      </c>
      <c r="AG1840" s="163" t="s">
        <v>687</v>
      </c>
      <c r="AH1840" s="163">
        <v>4.4380959133108595</v>
      </c>
      <c r="AJ1840" s="78" t="s">
        <v>52</v>
      </c>
      <c r="AK1840" s="78" t="s">
        <v>19</v>
      </c>
      <c r="AL1840" s="78" t="s">
        <v>28</v>
      </c>
      <c r="AM1840" s="78" t="s">
        <v>51</v>
      </c>
      <c r="AN1840" s="78" t="s">
        <v>651</v>
      </c>
      <c r="AO1840" s="78">
        <v>1.5095900585644972</v>
      </c>
    </row>
    <row r="1841" spans="29:41">
      <c r="AC1841" s="163" t="s">
        <v>52</v>
      </c>
      <c r="AD1841" s="163" t="s">
        <v>19</v>
      </c>
      <c r="AE1841" s="163" t="s">
        <v>72</v>
      </c>
      <c r="AF1841" s="163" t="s">
        <v>51</v>
      </c>
      <c r="AG1841" s="163" t="s">
        <v>688</v>
      </c>
      <c r="AH1841" s="163">
        <v>4.4062150485441451</v>
      </c>
      <c r="AJ1841" s="78" t="s">
        <v>52</v>
      </c>
      <c r="AK1841" s="78" t="s">
        <v>19</v>
      </c>
      <c r="AL1841" s="78" t="s">
        <v>28</v>
      </c>
      <c r="AM1841" s="78" t="s">
        <v>51</v>
      </c>
      <c r="AN1841" s="78" t="s">
        <v>652</v>
      </c>
      <c r="AO1841" s="78">
        <v>1.4004985467026245</v>
      </c>
    </row>
    <row r="1842" spans="29:41">
      <c r="AC1842" s="163" t="s">
        <v>52</v>
      </c>
      <c r="AD1842" s="163" t="s">
        <v>19</v>
      </c>
      <c r="AE1842" s="163" t="s">
        <v>72</v>
      </c>
      <c r="AF1842" s="163" t="s">
        <v>51</v>
      </c>
      <c r="AG1842" s="163" t="s">
        <v>689</v>
      </c>
      <c r="AH1842" s="163">
        <v>4.4293683816765057</v>
      </c>
      <c r="AJ1842" s="78" t="s">
        <v>52</v>
      </c>
      <c r="AK1842" s="78" t="s">
        <v>19</v>
      </c>
      <c r="AL1842" s="78" t="s">
        <v>28</v>
      </c>
      <c r="AM1842" s="78" t="s">
        <v>51</v>
      </c>
      <c r="AN1842" s="78" t="s">
        <v>653</v>
      </c>
      <c r="AO1842" s="78">
        <v>1.3876881408161936</v>
      </c>
    </row>
    <row r="1843" spans="29:41">
      <c r="AC1843" s="163" t="s">
        <v>52</v>
      </c>
      <c r="AD1843" s="163" t="s">
        <v>19</v>
      </c>
      <c r="AE1843" s="163" t="s">
        <v>72</v>
      </c>
      <c r="AF1843" s="163" t="s">
        <v>51</v>
      </c>
      <c r="AG1843" s="163" t="s">
        <v>690</v>
      </c>
      <c r="AH1843" s="163">
        <v>4.4929920752998243</v>
      </c>
      <c r="AJ1843" s="78" t="s">
        <v>52</v>
      </c>
      <c r="AK1843" s="78" t="s">
        <v>19</v>
      </c>
      <c r="AL1843" s="78" t="s">
        <v>28</v>
      </c>
      <c r="AM1843" s="78" t="s">
        <v>51</v>
      </c>
      <c r="AN1843" s="78" t="s">
        <v>654</v>
      </c>
      <c r="AO1843" s="78">
        <v>1.3911662103477238</v>
      </c>
    </row>
    <row r="1844" spans="29:41">
      <c r="AC1844" s="163" t="s">
        <v>52</v>
      </c>
      <c r="AD1844" s="163" t="s">
        <v>19</v>
      </c>
      <c r="AE1844" s="163" t="s">
        <v>72</v>
      </c>
      <c r="AF1844" s="163" t="s">
        <v>51</v>
      </c>
      <c r="AG1844" s="163" t="s">
        <v>691</v>
      </c>
      <c r="AH1844" s="163">
        <v>4.5247107681827838</v>
      </c>
      <c r="AJ1844" s="78" t="s">
        <v>52</v>
      </c>
      <c r="AK1844" s="78" t="s">
        <v>19</v>
      </c>
      <c r="AL1844" s="78" t="s">
        <v>28</v>
      </c>
      <c r="AM1844" s="78" t="s">
        <v>51</v>
      </c>
      <c r="AN1844" s="78" t="s">
        <v>655</v>
      </c>
      <c r="AO1844" s="78">
        <v>1.474314665057374</v>
      </c>
    </row>
    <row r="1845" spans="29:41">
      <c r="AC1845" s="163" t="s">
        <v>52</v>
      </c>
      <c r="AD1845" s="163" t="s">
        <v>19</v>
      </c>
      <c r="AE1845" s="163" t="s">
        <v>72</v>
      </c>
      <c r="AF1845" s="163" t="s">
        <v>51</v>
      </c>
      <c r="AG1845" s="163" t="s">
        <v>692</v>
      </c>
      <c r="AH1845" s="163">
        <v>4.4929920752998243</v>
      </c>
      <c r="AJ1845" s="78" t="s">
        <v>52</v>
      </c>
      <c r="AK1845" s="78" t="s">
        <v>19</v>
      </c>
      <c r="AL1845" s="78" t="s">
        <v>28</v>
      </c>
      <c r="AM1845" s="78" t="s">
        <v>51</v>
      </c>
      <c r="AN1845" s="78" t="s">
        <v>656</v>
      </c>
      <c r="AO1845" s="78">
        <v>1.4389663866825646</v>
      </c>
    </row>
    <row r="1846" spans="29:41">
      <c r="AC1846" s="163" t="s">
        <v>52</v>
      </c>
      <c r="AD1846" s="163" t="s">
        <v>19</v>
      </c>
      <c r="AE1846" s="163" t="s">
        <v>72</v>
      </c>
      <c r="AF1846" s="163" t="s">
        <v>51</v>
      </c>
      <c r="AG1846" s="163" t="s">
        <v>693</v>
      </c>
      <c r="AH1846" s="163">
        <v>4.4929920752998243</v>
      </c>
      <c r="AJ1846" s="78" t="s">
        <v>52</v>
      </c>
      <c r="AK1846" s="78" t="s">
        <v>19</v>
      </c>
      <c r="AL1846" s="78" t="s">
        <v>28</v>
      </c>
      <c r="AM1846" s="78" t="s">
        <v>51</v>
      </c>
      <c r="AN1846" s="78" t="s">
        <v>657</v>
      </c>
      <c r="AO1846" s="78">
        <v>1.4562172062074747</v>
      </c>
    </row>
    <row r="1847" spans="29:41">
      <c r="AC1847" s="163" t="s">
        <v>52</v>
      </c>
      <c r="AD1847" s="163" t="s">
        <v>19</v>
      </c>
      <c r="AE1847" s="163" t="s">
        <v>72</v>
      </c>
      <c r="AF1847" s="163" t="s">
        <v>51</v>
      </c>
      <c r="AG1847" s="163" t="s">
        <v>694</v>
      </c>
      <c r="AH1847" s="163">
        <v>4.4380959133108595</v>
      </c>
      <c r="AJ1847" s="78" t="s">
        <v>52</v>
      </c>
      <c r="AK1847" s="78" t="s">
        <v>19</v>
      </c>
      <c r="AL1847" s="78" t="s">
        <v>28</v>
      </c>
      <c r="AM1847" s="78" t="s">
        <v>51</v>
      </c>
      <c r="AN1847" s="78" t="s">
        <v>658</v>
      </c>
      <c r="AO1847" s="78">
        <v>1.5125199716889799</v>
      </c>
    </row>
    <row r="1848" spans="29:41">
      <c r="AC1848" s="163" t="s">
        <v>52</v>
      </c>
      <c r="AD1848" s="163" t="s">
        <v>19</v>
      </c>
      <c r="AE1848" s="163" t="s">
        <v>72</v>
      </c>
      <c r="AF1848" s="163" t="s">
        <v>51</v>
      </c>
      <c r="AG1848" s="163" t="s">
        <v>695</v>
      </c>
      <c r="AH1848" s="163">
        <v>4.4293683816765057</v>
      </c>
      <c r="AJ1848" s="78" t="s">
        <v>52</v>
      </c>
      <c r="AK1848" s="78" t="s">
        <v>19</v>
      </c>
      <c r="AL1848" s="78" t="s">
        <v>28</v>
      </c>
      <c r="AM1848" s="78" t="s">
        <v>51</v>
      </c>
      <c r="AN1848" s="78" t="s">
        <v>659</v>
      </c>
      <c r="AO1848" s="78">
        <v>1.4163989414958771</v>
      </c>
    </row>
    <row r="1849" spans="29:41">
      <c r="AC1849" s="163" t="s">
        <v>52</v>
      </c>
      <c r="AD1849" s="163" t="s">
        <v>19</v>
      </c>
      <c r="AE1849" s="163" t="s">
        <v>72</v>
      </c>
      <c r="AF1849" s="163" t="s">
        <v>51</v>
      </c>
      <c r="AG1849" s="163" t="s">
        <v>696</v>
      </c>
      <c r="AH1849" s="163">
        <v>4.4380959133108595</v>
      </c>
      <c r="AJ1849" s="78" t="s">
        <v>52</v>
      </c>
      <c r="AK1849" s="78" t="s">
        <v>19</v>
      </c>
      <c r="AL1849" s="78" t="s">
        <v>28</v>
      </c>
      <c r="AM1849" s="78" t="s">
        <v>51</v>
      </c>
      <c r="AN1849" s="78" t="s">
        <v>660</v>
      </c>
      <c r="AO1849" s="78">
        <v>1.4290090558319652</v>
      </c>
    </row>
    <row r="1850" spans="29:41">
      <c r="AC1850" s="163" t="s">
        <v>52</v>
      </c>
      <c r="AD1850" s="163" t="s">
        <v>19</v>
      </c>
      <c r="AE1850" s="163" t="s">
        <v>72</v>
      </c>
      <c r="AF1850" s="163" t="s">
        <v>51</v>
      </c>
      <c r="AG1850" s="163" t="s">
        <v>697</v>
      </c>
      <c r="AH1850" s="163">
        <v>4.4293683816765057</v>
      </c>
      <c r="AJ1850" s="78" t="s">
        <v>52</v>
      </c>
      <c r="AK1850" s="78" t="s">
        <v>19</v>
      </c>
      <c r="AL1850" s="78" t="s">
        <v>28</v>
      </c>
      <c r="AM1850" s="78" t="s">
        <v>51</v>
      </c>
      <c r="AN1850" s="78" t="s">
        <v>661</v>
      </c>
      <c r="AO1850" s="78">
        <v>1.4555629341128398</v>
      </c>
    </row>
    <row r="1851" spans="29:41">
      <c r="AC1851" s="163" t="s">
        <v>52</v>
      </c>
      <c r="AD1851" s="163" t="s">
        <v>19</v>
      </c>
      <c r="AE1851" s="163" t="s">
        <v>72</v>
      </c>
      <c r="AF1851" s="163" t="s">
        <v>51</v>
      </c>
      <c r="AG1851" s="163" t="s">
        <v>698</v>
      </c>
      <c r="AH1851" s="163">
        <v>4.4062150485441451</v>
      </c>
      <c r="AJ1851" s="78" t="s">
        <v>52</v>
      </c>
      <c r="AK1851" s="78" t="s">
        <v>19</v>
      </c>
      <c r="AL1851" s="78" t="s">
        <v>28</v>
      </c>
      <c r="AM1851" s="78" t="s">
        <v>51</v>
      </c>
      <c r="AN1851" s="78" t="s">
        <v>662</v>
      </c>
      <c r="AO1851" s="78">
        <v>1.4003450565689153</v>
      </c>
    </row>
    <row r="1852" spans="29:41">
      <c r="AC1852" s="163" t="s">
        <v>52</v>
      </c>
      <c r="AD1852" s="163" t="s">
        <v>19</v>
      </c>
      <c r="AE1852" s="163" t="s">
        <v>72</v>
      </c>
      <c r="AF1852" s="163" t="s">
        <v>51</v>
      </c>
      <c r="AG1852" s="163" t="s">
        <v>699</v>
      </c>
      <c r="AH1852" s="163">
        <v>4.4062150485441451</v>
      </c>
      <c r="AJ1852" s="78" t="s">
        <v>52</v>
      </c>
      <c r="AK1852" s="78" t="s">
        <v>19</v>
      </c>
      <c r="AL1852" s="78" t="s">
        <v>28</v>
      </c>
      <c r="AM1852" s="78" t="s">
        <v>51</v>
      </c>
      <c r="AN1852" s="78" t="s">
        <v>663</v>
      </c>
      <c r="AO1852" s="78">
        <v>1.4530864689991101</v>
      </c>
    </row>
    <row r="1853" spans="29:41">
      <c r="AC1853" s="163" t="s">
        <v>52</v>
      </c>
      <c r="AD1853" s="163" t="s">
        <v>19</v>
      </c>
      <c r="AE1853" s="163" t="s">
        <v>72</v>
      </c>
      <c r="AF1853" s="163" t="s">
        <v>51</v>
      </c>
      <c r="AG1853" s="163" t="s">
        <v>700</v>
      </c>
      <c r="AH1853" s="163">
        <v>4.3771781350109968</v>
      </c>
      <c r="AJ1853" s="78" t="s">
        <v>52</v>
      </c>
      <c r="AK1853" s="78" t="s">
        <v>19</v>
      </c>
      <c r="AL1853" s="78" t="s">
        <v>28</v>
      </c>
      <c r="AM1853" s="78" t="s">
        <v>51</v>
      </c>
      <c r="AN1853" s="78" t="s">
        <v>664</v>
      </c>
      <c r="AO1853" s="78">
        <v>1.4406158801152951</v>
      </c>
    </row>
    <row r="1854" spans="29:41">
      <c r="AC1854" s="163" t="s">
        <v>52</v>
      </c>
      <c r="AD1854" s="163" t="s">
        <v>19</v>
      </c>
      <c r="AE1854" s="163" t="s">
        <v>72</v>
      </c>
      <c r="AF1854" s="163" t="s">
        <v>51</v>
      </c>
      <c r="AG1854" s="163" t="s">
        <v>701</v>
      </c>
      <c r="AH1854" s="163">
        <v>4.3771781350109968</v>
      </c>
      <c r="AJ1854" s="78" t="s">
        <v>52</v>
      </c>
      <c r="AK1854" s="78" t="s">
        <v>19</v>
      </c>
      <c r="AL1854" s="78" t="s">
        <v>28</v>
      </c>
      <c r="AM1854" s="78" t="s">
        <v>51</v>
      </c>
      <c r="AN1854" s="78" t="s">
        <v>665</v>
      </c>
      <c r="AO1854" s="78">
        <v>1.4689604720614851</v>
      </c>
    </row>
    <row r="1855" spans="29:41">
      <c r="AC1855" s="163" t="s">
        <v>52</v>
      </c>
      <c r="AD1855" s="163" t="s">
        <v>19</v>
      </c>
      <c r="AE1855" s="163" t="s">
        <v>72</v>
      </c>
      <c r="AF1855" s="163" t="s">
        <v>51</v>
      </c>
      <c r="AG1855" s="163" t="s">
        <v>702</v>
      </c>
      <c r="AH1855" s="163">
        <v>4.4062150485441451</v>
      </c>
      <c r="AJ1855" s="78" t="s">
        <v>52</v>
      </c>
      <c r="AK1855" s="78" t="s">
        <v>19</v>
      </c>
      <c r="AL1855" s="78" t="s">
        <v>28</v>
      </c>
      <c r="AM1855" s="78" t="s">
        <v>51</v>
      </c>
      <c r="AN1855" s="78" t="s">
        <v>666</v>
      </c>
      <c r="AO1855" s="78">
        <v>1.4541570301667572</v>
      </c>
    </row>
    <row r="1856" spans="29:41">
      <c r="AC1856" s="163" t="s">
        <v>52</v>
      </c>
      <c r="AD1856" s="163" t="s">
        <v>19</v>
      </c>
      <c r="AE1856" s="163" t="s">
        <v>72</v>
      </c>
      <c r="AF1856" s="163" t="s">
        <v>51</v>
      </c>
      <c r="AG1856" s="163" t="s">
        <v>703</v>
      </c>
      <c r="AH1856" s="163">
        <v>4.3771781350109968</v>
      </c>
      <c r="AJ1856" s="78" t="s">
        <v>52</v>
      </c>
      <c r="AK1856" s="78" t="s">
        <v>19</v>
      </c>
      <c r="AL1856" s="78" t="s">
        <v>28</v>
      </c>
      <c r="AM1856" s="78" t="s">
        <v>51</v>
      </c>
      <c r="AN1856" s="78" t="s">
        <v>667</v>
      </c>
      <c r="AO1856" s="78">
        <v>1.4573295422437356</v>
      </c>
    </row>
    <row r="1857" spans="29:41">
      <c r="AC1857" s="163" t="s">
        <v>52</v>
      </c>
      <c r="AD1857" s="163" t="s">
        <v>19</v>
      </c>
      <c r="AE1857" s="163" t="s">
        <v>72</v>
      </c>
      <c r="AF1857" s="163" t="s">
        <v>51</v>
      </c>
      <c r="AG1857" s="163" t="s">
        <v>704</v>
      </c>
      <c r="AH1857" s="163">
        <v>4.4380959133108595</v>
      </c>
      <c r="AJ1857" s="78" t="s">
        <v>52</v>
      </c>
      <c r="AK1857" s="78" t="s">
        <v>19</v>
      </c>
      <c r="AL1857" s="78" t="s">
        <v>28</v>
      </c>
      <c r="AM1857" s="78" t="s">
        <v>51</v>
      </c>
      <c r="AN1857" s="78" t="s">
        <v>668</v>
      </c>
      <c r="AO1857" s="78">
        <v>1.4123297914887534</v>
      </c>
    </row>
    <row r="1858" spans="29:41">
      <c r="AC1858" s="163" t="s">
        <v>52</v>
      </c>
      <c r="AD1858" s="163" t="s">
        <v>19</v>
      </c>
      <c r="AE1858" s="163" t="s">
        <v>72</v>
      </c>
      <c r="AF1858" s="163" t="s">
        <v>51</v>
      </c>
      <c r="AG1858" s="163" t="s">
        <v>705</v>
      </c>
      <c r="AH1858" s="163">
        <v>4.4380959133108595</v>
      </c>
      <c r="AJ1858" s="78" t="s">
        <v>52</v>
      </c>
      <c r="AK1858" s="78" t="s">
        <v>19</v>
      </c>
      <c r="AL1858" s="78" t="s">
        <v>28</v>
      </c>
      <c r="AM1858" s="78" t="s">
        <v>51</v>
      </c>
      <c r="AN1858" s="78" t="s">
        <v>669</v>
      </c>
      <c r="AO1858" s="78">
        <v>1.463771983117957</v>
      </c>
    </row>
    <row r="1859" spans="29:41">
      <c r="AC1859" s="163" t="s">
        <v>52</v>
      </c>
      <c r="AD1859" s="163" t="s">
        <v>19</v>
      </c>
      <c r="AE1859" s="163" t="s">
        <v>72</v>
      </c>
      <c r="AF1859" s="163" t="s">
        <v>51</v>
      </c>
      <c r="AG1859" s="163" t="s">
        <v>706</v>
      </c>
      <c r="AH1859" s="163">
        <v>4.4062150485441451</v>
      </c>
      <c r="AJ1859" s="78" t="s">
        <v>52</v>
      </c>
      <c r="AK1859" s="78" t="s">
        <v>19</v>
      </c>
      <c r="AL1859" s="78" t="s">
        <v>28</v>
      </c>
      <c r="AM1859" s="78" t="s">
        <v>51</v>
      </c>
      <c r="AN1859" s="78" t="s">
        <v>670</v>
      </c>
      <c r="AO1859" s="78">
        <v>1.4358500734071411</v>
      </c>
    </row>
    <row r="1860" spans="29:41">
      <c r="AC1860" s="163" t="s">
        <v>52</v>
      </c>
      <c r="AD1860" s="163" t="s">
        <v>19</v>
      </c>
      <c r="AE1860" s="163" t="s">
        <v>72</v>
      </c>
      <c r="AF1860" s="163" t="s">
        <v>51</v>
      </c>
      <c r="AG1860" s="163" t="s">
        <v>707</v>
      </c>
      <c r="AH1860" s="163">
        <v>4.3451776555859825</v>
      </c>
      <c r="AJ1860" s="78" t="s">
        <v>52</v>
      </c>
      <c r="AK1860" s="78" t="s">
        <v>19</v>
      </c>
      <c r="AL1860" s="78" t="s">
        <v>28</v>
      </c>
      <c r="AM1860" s="78" t="s">
        <v>51</v>
      </c>
      <c r="AN1860" s="78" t="s">
        <v>671</v>
      </c>
      <c r="AO1860" s="78">
        <v>1.4123179435101934</v>
      </c>
    </row>
    <row r="1861" spans="29:41">
      <c r="AC1861" s="163" t="s">
        <v>52</v>
      </c>
      <c r="AD1861" s="163" t="s">
        <v>19</v>
      </c>
      <c r="AE1861" s="163" t="s">
        <v>72</v>
      </c>
      <c r="AF1861" s="163" t="s">
        <v>51</v>
      </c>
      <c r="AG1861" s="163" t="s">
        <v>708</v>
      </c>
      <c r="AH1861" s="163">
        <v>4.3451776555859825</v>
      </c>
      <c r="AJ1861" s="78" t="s">
        <v>52</v>
      </c>
      <c r="AK1861" s="78" t="s">
        <v>19</v>
      </c>
      <c r="AL1861" s="78" t="s">
        <v>28</v>
      </c>
      <c r="AM1861" s="78" t="s">
        <v>51</v>
      </c>
      <c r="AN1861" s="78" t="s">
        <v>672</v>
      </c>
      <c r="AO1861" s="78">
        <v>1.436741482700302</v>
      </c>
    </row>
    <row r="1862" spans="29:41">
      <c r="AC1862" s="163" t="s">
        <v>52</v>
      </c>
      <c r="AD1862" s="163" t="s">
        <v>19</v>
      </c>
      <c r="AE1862" s="163" t="s">
        <v>72</v>
      </c>
      <c r="AF1862" s="163" t="s">
        <v>51</v>
      </c>
      <c r="AG1862" s="163" t="s">
        <v>709</v>
      </c>
      <c r="AH1862" s="163">
        <v>4.3131143092804933</v>
      </c>
      <c r="AJ1862" s="78" t="s">
        <v>52</v>
      </c>
      <c r="AK1862" s="78" t="s">
        <v>19</v>
      </c>
      <c r="AL1862" s="78" t="s">
        <v>28</v>
      </c>
      <c r="AM1862" s="78" t="s">
        <v>51</v>
      </c>
      <c r="AN1862" s="78" t="s">
        <v>673</v>
      </c>
      <c r="AO1862" s="78">
        <v>1.452224402663177</v>
      </c>
    </row>
    <row r="1863" spans="29:41">
      <c r="AC1863" s="163" t="s">
        <v>52</v>
      </c>
      <c r="AD1863" s="163" t="s">
        <v>19</v>
      </c>
      <c r="AE1863" s="163" t="s">
        <v>72</v>
      </c>
      <c r="AF1863" s="163" t="s">
        <v>51</v>
      </c>
      <c r="AG1863" s="163" t="s">
        <v>710</v>
      </c>
      <c r="AH1863" s="163">
        <v>4.3451776555859825</v>
      </c>
      <c r="AJ1863" s="78" t="s">
        <v>52</v>
      </c>
      <c r="AK1863" s="78" t="s">
        <v>19</v>
      </c>
      <c r="AL1863" s="78" t="s">
        <v>28</v>
      </c>
      <c r="AM1863" s="78" t="s">
        <v>51</v>
      </c>
      <c r="AN1863" s="78" t="s">
        <v>674</v>
      </c>
      <c r="AO1863" s="78">
        <v>1.4636294437348354</v>
      </c>
    </row>
    <row r="1864" spans="29:41">
      <c r="AC1864" s="163" t="s">
        <v>52</v>
      </c>
      <c r="AD1864" s="163" t="s">
        <v>19</v>
      </c>
      <c r="AE1864" s="163" t="s">
        <v>72</v>
      </c>
      <c r="AF1864" s="163" t="s">
        <v>51</v>
      </c>
      <c r="AG1864" s="163" t="s">
        <v>711</v>
      </c>
      <c r="AH1864" s="163">
        <v>4.3451776555859825</v>
      </c>
      <c r="AJ1864" s="78" t="s">
        <v>52</v>
      </c>
      <c r="AK1864" s="78" t="s">
        <v>19</v>
      </c>
      <c r="AL1864" s="78" t="s">
        <v>28</v>
      </c>
      <c r="AM1864" s="78" t="s">
        <v>51</v>
      </c>
      <c r="AN1864" s="78" t="s">
        <v>675</v>
      </c>
      <c r="AO1864" s="78">
        <v>1.4663495569176153</v>
      </c>
    </row>
    <row r="1865" spans="29:41">
      <c r="AC1865" s="163" t="s">
        <v>52</v>
      </c>
      <c r="AD1865" s="163" t="s">
        <v>19</v>
      </c>
      <c r="AE1865" s="163" t="s">
        <v>72</v>
      </c>
      <c r="AF1865" s="163" t="s">
        <v>51</v>
      </c>
      <c r="AG1865" s="163" t="s">
        <v>712</v>
      </c>
      <c r="AH1865" s="163">
        <v>4.3451776555859825</v>
      </c>
      <c r="AJ1865" s="78" t="s">
        <v>52</v>
      </c>
      <c r="AK1865" s="78" t="s">
        <v>19</v>
      </c>
      <c r="AL1865" s="78" t="s">
        <v>28</v>
      </c>
      <c r="AM1865" s="78" t="s">
        <v>51</v>
      </c>
      <c r="AN1865" s="78" t="s">
        <v>676</v>
      </c>
      <c r="AO1865" s="78">
        <v>1.4378194876956933</v>
      </c>
    </row>
    <row r="1866" spans="29:41">
      <c r="AC1866" s="163" t="s">
        <v>52</v>
      </c>
      <c r="AD1866" s="163" t="s">
        <v>19</v>
      </c>
      <c r="AE1866" s="163" t="s">
        <v>72</v>
      </c>
      <c r="AF1866" s="163" t="s">
        <v>51</v>
      </c>
      <c r="AG1866" s="163" t="s">
        <v>713</v>
      </c>
      <c r="AH1866" s="163">
        <v>4.280990246513638</v>
      </c>
      <c r="AJ1866" s="78" t="s">
        <v>52</v>
      </c>
      <c r="AK1866" s="78" t="s">
        <v>19</v>
      </c>
      <c r="AL1866" s="78" t="s">
        <v>28</v>
      </c>
      <c r="AM1866" s="78" t="s">
        <v>51</v>
      </c>
      <c r="AN1866" s="78" t="s">
        <v>677</v>
      </c>
      <c r="AO1866" s="78">
        <v>1.4376108897513222</v>
      </c>
    </row>
    <row r="1867" spans="29:41">
      <c r="AC1867" s="163" t="s">
        <v>52</v>
      </c>
      <c r="AD1867" s="163" t="s">
        <v>19</v>
      </c>
      <c r="AE1867" s="163" t="s">
        <v>72</v>
      </c>
      <c r="AF1867" s="163" t="s">
        <v>51</v>
      </c>
      <c r="AG1867" s="163" t="s">
        <v>714</v>
      </c>
      <c r="AH1867" s="163">
        <v>4.3131087489386006</v>
      </c>
      <c r="AJ1867" s="78" t="s">
        <v>52</v>
      </c>
      <c r="AK1867" s="78" t="s">
        <v>19</v>
      </c>
      <c r="AL1867" s="78" t="s">
        <v>28</v>
      </c>
      <c r="AM1867" s="78" t="s">
        <v>51</v>
      </c>
      <c r="AN1867" s="78" t="s">
        <v>678</v>
      </c>
      <c r="AO1867" s="78">
        <v>1.4480946211232821</v>
      </c>
    </row>
    <row r="1868" spans="29:41">
      <c r="AC1868" s="163" t="s">
        <v>52</v>
      </c>
      <c r="AD1868" s="163" t="s">
        <v>19</v>
      </c>
      <c r="AE1868" s="163" t="s">
        <v>72</v>
      </c>
      <c r="AF1868" s="163" t="s">
        <v>51</v>
      </c>
      <c r="AG1868" s="163" t="s">
        <v>715</v>
      </c>
      <c r="AH1868" s="163">
        <v>4.3131087489386006</v>
      </c>
      <c r="AJ1868" s="78" t="s">
        <v>52</v>
      </c>
      <c r="AK1868" s="78" t="s">
        <v>19</v>
      </c>
      <c r="AL1868" s="78" t="s">
        <v>28</v>
      </c>
      <c r="AM1868" s="78" t="s">
        <v>51</v>
      </c>
      <c r="AN1868" s="78" t="s">
        <v>679</v>
      </c>
      <c r="AO1868" s="78">
        <v>1.4542471714460472</v>
      </c>
    </row>
    <row r="1869" spans="29:41">
      <c r="AC1869" s="163" t="s">
        <v>52</v>
      </c>
      <c r="AD1869" s="163" t="s">
        <v>19</v>
      </c>
      <c r="AE1869" s="163" t="s">
        <v>72</v>
      </c>
      <c r="AF1869" s="163" t="s">
        <v>51</v>
      </c>
      <c r="AG1869" s="163" t="s">
        <v>716</v>
      </c>
      <c r="AH1869" s="163">
        <v>4.3131087489386006</v>
      </c>
      <c r="AJ1869" s="78" t="s">
        <v>52</v>
      </c>
      <c r="AK1869" s="78" t="s">
        <v>19</v>
      </c>
      <c r="AL1869" s="78" t="s">
        <v>28</v>
      </c>
      <c r="AM1869" s="78" t="s">
        <v>51</v>
      </c>
      <c r="AN1869" s="78" t="s">
        <v>680</v>
      </c>
      <c r="AO1869" s="78">
        <v>1.4941952241242173</v>
      </c>
    </row>
    <row r="1870" spans="29:41">
      <c r="AC1870" s="163" t="s">
        <v>52</v>
      </c>
      <c r="AD1870" s="163" t="s">
        <v>19</v>
      </c>
      <c r="AE1870" s="163" t="s">
        <v>72</v>
      </c>
      <c r="AF1870" s="163" t="s">
        <v>51</v>
      </c>
      <c r="AG1870" s="163" t="s">
        <v>717</v>
      </c>
      <c r="AH1870" s="163">
        <v>4.3131143092804933</v>
      </c>
      <c r="AJ1870" s="78" t="s">
        <v>52</v>
      </c>
      <c r="AK1870" s="78" t="s">
        <v>19</v>
      </c>
      <c r="AL1870" s="78" t="s">
        <v>28</v>
      </c>
      <c r="AM1870" s="78" t="s">
        <v>51</v>
      </c>
      <c r="AN1870" s="78" t="s">
        <v>681</v>
      </c>
      <c r="AO1870" s="78">
        <v>1.4484083280645019</v>
      </c>
    </row>
    <row r="1871" spans="29:41">
      <c r="AC1871" s="163" t="s">
        <v>52</v>
      </c>
      <c r="AD1871" s="163" t="s">
        <v>19</v>
      </c>
      <c r="AE1871" s="163" t="s">
        <v>72</v>
      </c>
      <c r="AF1871" s="163" t="s">
        <v>51</v>
      </c>
      <c r="AG1871" s="163" t="s">
        <v>718</v>
      </c>
      <c r="AH1871" s="163">
        <v>4.3131143092804933</v>
      </c>
      <c r="AJ1871" s="78" t="s">
        <v>52</v>
      </c>
      <c r="AK1871" s="78" t="s">
        <v>19</v>
      </c>
      <c r="AL1871" s="78" t="s">
        <v>28</v>
      </c>
      <c r="AM1871" s="78" t="s">
        <v>51</v>
      </c>
      <c r="AN1871" s="78" t="s">
        <v>682</v>
      </c>
      <c r="AO1871" s="78">
        <v>1.4501525425109421</v>
      </c>
    </row>
    <row r="1872" spans="29:41">
      <c r="AC1872" s="163" t="s">
        <v>52</v>
      </c>
      <c r="AD1872" s="163" t="s">
        <v>19</v>
      </c>
      <c r="AE1872" s="163" t="s">
        <v>72</v>
      </c>
      <c r="AF1872" s="163" t="s">
        <v>51</v>
      </c>
      <c r="AG1872" s="163" t="s">
        <v>719</v>
      </c>
      <c r="AH1872" s="163">
        <v>4.3451640831048239</v>
      </c>
      <c r="AJ1872" s="78" t="s">
        <v>52</v>
      </c>
      <c r="AK1872" s="78" t="s">
        <v>19</v>
      </c>
      <c r="AL1872" s="78" t="s">
        <v>28</v>
      </c>
      <c r="AM1872" s="78" t="s">
        <v>51</v>
      </c>
      <c r="AN1872" s="78" t="s">
        <v>683</v>
      </c>
      <c r="AO1872" s="78">
        <v>1.4565883200506724</v>
      </c>
    </row>
    <row r="1873" spans="29:41">
      <c r="AC1873" s="163" t="s">
        <v>52</v>
      </c>
      <c r="AD1873" s="163" t="s">
        <v>19</v>
      </c>
      <c r="AE1873" s="163" t="s">
        <v>72</v>
      </c>
      <c r="AF1873" s="163" t="s">
        <v>51</v>
      </c>
      <c r="AG1873" s="163" t="s">
        <v>720</v>
      </c>
      <c r="AH1873" s="163">
        <v>4.280990246513638</v>
      </c>
      <c r="AJ1873" s="78" t="s">
        <v>52</v>
      </c>
      <c r="AK1873" s="78" t="s">
        <v>19</v>
      </c>
      <c r="AL1873" s="78" t="s">
        <v>28</v>
      </c>
      <c r="AM1873" s="78" t="s">
        <v>51</v>
      </c>
      <c r="AN1873" s="78" t="s">
        <v>684</v>
      </c>
      <c r="AO1873" s="78">
        <v>1.4344966269349735</v>
      </c>
    </row>
    <row r="1874" spans="29:41">
      <c r="AC1874" s="163" t="s">
        <v>52</v>
      </c>
      <c r="AD1874" s="163" t="s">
        <v>19</v>
      </c>
      <c r="AE1874" s="163" t="s">
        <v>72</v>
      </c>
      <c r="AF1874" s="163" t="s">
        <v>51</v>
      </c>
      <c r="AG1874" s="163" t="s">
        <v>721</v>
      </c>
      <c r="AH1874" s="163">
        <v>4.3131087489386006</v>
      </c>
      <c r="AJ1874" s="78" t="s">
        <v>52</v>
      </c>
      <c r="AK1874" s="78" t="s">
        <v>19</v>
      </c>
      <c r="AL1874" s="78" t="s">
        <v>28</v>
      </c>
      <c r="AM1874" s="78" t="s">
        <v>51</v>
      </c>
      <c r="AN1874" s="78" t="s">
        <v>685</v>
      </c>
      <c r="AO1874" s="78">
        <v>1.4145839711474324</v>
      </c>
    </row>
    <row r="1875" spans="29:41">
      <c r="AC1875" s="163" t="s">
        <v>52</v>
      </c>
      <c r="AD1875" s="163" t="s">
        <v>19</v>
      </c>
      <c r="AE1875" s="163" t="s">
        <v>72</v>
      </c>
      <c r="AF1875" s="163" t="s">
        <v>51</v>
      </c>
      <c r="AG1875" s="163" t="s">
        <v>722</v>
      </c>
      <c r="AH1875" s="163">
        <v>4.3131087489386006</v>
      </c>
      <c r="AJ1875" s="78" t="s">
        <v>52</v>
      </c>
      <c r="AK1875" s="78" t="s">
        <v>19</v>
      </c>
      <c r="AL1875" s="78" t="s">
        <v>28</v>
      </c>
      <c r="AM1875" s="78" t="s">
        <v>51</v>
      </c>
      <c r="AN1875" s="78" t="s">
        <v>686</v>
      </c>
      <c r="AO1875" s="78">
        <v>1.4047532534988323</v>
      </c>
    </row>
    <row r="1876" spans="29:41">
      <c r="AC1876" s="163" t="s">
        <v>52</v>
      </c>
      <c r="AD1876" s="163" t="s">
        <v>19</v>
      </c>
      <c r="AE1876" s="163" t="s">
        <v>72</v>
      </c>
      <c r="AF1876" s="163" t="s">
        <v>51</v>
      </c>
      <c r="AG1876" s="163" t="s">
        <v>723</v>
      </c>
      <c r="AH1876" s="163">
        <v>4.3131087489386006</v>
      </c>
      <c r="AJ1876" s="78" t="s">
        <v>52</v>
      </c>
      <c r="AK1876" s="78" t="s">
        <v>19</v>
      </c>
      <c r="AL1876" s="78" t="s">
        <v>28</v>
      </c>
      <c r="AM1876" s="78" t="s">
        <v>51</v>
      </c>
      <c r="AN1876" s="78" t="s">
        <v>687</v>
      </c>
      <c r="AO1876" s="78">
        <v>1.4580078338193498</v>
      </c>
    </row>
    <row r="1877" spans="29:41">
      <c r="AC1877" s="163" t="s">
        <v>52</v>
      </c>
      <c r="AD1877" s="163" t="s">
        <v>19</v>
      </c>
      <c r="AE1877" s="163" t="s">
        <v>72</v>
      </c>
      <c r="AF1877" s="163" t="s">
        <v>51</v>
      </c>
      <c r="AG1877" s="163" t="s">
        <v>724</v>
      </c>
      <c r="AH1877" s="163">
        <v>4.280990246513638</v>
      </c>
      <c r="AJ1877" s="78" t="s">
        <v>52</v>
      </c>
      <c r="AK1877" s="78" t="s">
        <v>19</v>
      </c>
      <c r="AL1877" s="78" t="s">
        <v>28</v>
      </c>
      <c r="AM1877" s="78" t="s">
        <v>51</v>
      </c>
      <c r="AN1877" s="78" t="s">
        <v>688</v>
      </c>
      <c r="AO1877" s="78">
        <v>1.3836006504029952</v>
      </c>
    </row>
    <row r="1878" spans="29:41">
      <c r="AC1878" s="163" t="s">
        <v>52</v>
      </c>
      <c r="AD1878" s="163" t="s">
        <v>19</v>
      </c>
      <c r="AE1878" s="163" t="s">
        <v>72</v>
      </c>
      <c r="AF1878" s="163" t="s">
        <v>51</v>
      </c>
      <c r="AG1878" s="163" t="s">
        <v>725</v>
      </c>
      <c r="AH1878" s="163">
        <v>4.280990246513638</v>
      </c>
      <c r="AJ1878" s="78" t="s">
        <v>52</v>
      </c>
      <c r="AK1878" s="78" t="s">
        <v>19</v>
      </c>
      <c r="AL1878" s="78" t="s">
        <v>28</v>
      </c>
      <c r="AM1878" s="78" t="s">
        <v>51</v>
      </c>
      <c r="AN1878" s="78" t="s">
        <v>689</v>
      </c>
      <c r="AO1878" s="78">
        <v>1.3555077705463561</v>
      </c>
    </row>
    <row r="1879" spans="29:41">
      <c r="AC1879" s="163" t="s">
        <v>52</v>
      </c>
      <c r="AD1879" s="163" t="s">
        <v>19</v>
      </c>
      <c r="AE1879" s="163" t="s">
        <v>72</v>
      </c>
      <c r="AF1879" s="163" t="s">
        <v>51</v>
      </c>
      <c r="AG1879" s="163" t="s">
        <v>726</v>
      </c>
      <c r="AH1879" s="163">
        <v>4.1871940628292794</v>
      </c>
      <c r="AJ1879" s="78" t="s">
        <v>52</v>
      </c>
      <c r="AK1879" s="78" t="s">
        <v>19</v>
      </c>
      <c r="AL1879" s="78" t="s">
        <v>28</v>
      </c>
      <c r="AM1879" s="78" t="s">
        <v>51</v>
      </c>
      <c r="AN1879" s="78" t="s">
        <v>690</v>
      </c>
      <c r="AO1879" s="78">
        <v>1.4387923320718445</v>
      </c>
    </row>
    <row r="1880" spans="29:41">
      <c r="AC1880" s="163" t="s">
        <v>52</v>
      </c>
      <c r="AD1880" s="163" t="s">
        <v>19</v>
      </c>
      <c r="AE1880" s="163" t="s">
        <v>72</v>
      </c>
      <c r="AF1880" s="163" t="s">
        <v>51</v>
      </c>
      <c r="AG1880" s="163" t="s">
        <v>426</v>
      </c>
      <c r="AH1880" s="163">
        <v>4.2488084289060692</v>
      </c>
      <c r="AJ1880" s="78" t="s">
        <v>52</v>
      </c>
      <c r="AK1880" s="78" t="s">
        <v>19</v>
      </c>
      <c r="AL1880" s="78" t="s">
        <v>28</v>
      </c>
      <c r="AM1880" s="78" t="s">
        <v>51</v>
      </c>
      <c r="AN1880" s="78" t="s">
        <v>691</v>
      </c>
      <c r="AO1880" s="78">
        <v>1.4186090152427937</v>
      </c>
    </row>
    <row r="1881" spans="29:41">
      <c r="AC1881" s="163" t="s">
        <v>52</v>
      </c>
      <c r="AD1881" s="163" t="s">
        <v>19</v>
      </c>
      <c r="AE1881" s="163" t="s">
        <v>72</v>
      </c>
      <c r="AF1881" s="163" t="s">
        <v>51</v>
      </c>
      <c r="AG1881" s="163" t="s">
        <v>727</v>
      </c>
      <c r="AH1881" s="163">
        <v>4.2488084289060692</v>
      </c>
      <c r="AJ1881" s="78" t="s">
        <v>52</v>
      </c>
      <c r="AK1881" s="78" t="s">
        <v>19</v>
      </c>
      <c r="AL1881" s="78" t="s">
        <v>28</v>
      </c>
      <c r="AM1881" s="78" t="s">
        <v>51</v>
      </c>
      <c r="AN1881" s="78" t="s">
        <v>692</v>
      </c>
      <c r="AO1881" s="78">
        <v>1.4111256800737948</v>
      </c>
    </row>
    <row r="1882" spans="29:41">
      <c r="AC1882" s="163" t="s">
        <v>52</v>
      </c>
      <c r="AD1882" s="163" t="s">
        <v>19</v>
      </c>
      <c r="AE1882" s="163" t="s">
        <v>72</v>
      </c>
      <c r="AF1882" s="163" t="s">
        <v>51</v>
      </c>
      <c r="AG1882" s="163" t="s">
        <v>728</v>
      </c>
      <c r="AH1882" s="163">
        <v>4.2751437206531122</v>
      </c>
      <c r="AJ1882" s="78" t="s">
        <v>52</v>
      </c>
      <c r="AK1882" s="78" t="s">
        <v>19</v>
      </c>
      <c r="AL1882" s="78" t="s">
        <v>28</v>
      </c>
      <c r="AM1882" s="78" t="s">
        <v>51</v>
      </c>
      <c r="AN1882" s="78" t="s">
        <v>693</v>
      </c>
      <c r="AO1882" s="78">
        <v>1.4237651860615943</v>
      </c>
    </row>
    <row r="1883" spans="29:41">
      <c r="AC1883" s="163" t="s">
        <v>52</v>
      </c>
      <c r="AD1883" s="163" t="s">
        <v>19</v>
      </c>
      <c r="AE1883" s="163" t="s">
        <v>72</v>
      </c>
      <c r="AF1883" s="163" t="s">
        <v>51</v>
      </c>
      <c r="AG1883" s="163" t="s">
        <v>729</v>
      </c>
      <c r="AH1883" s="163">
        <v>4.2429503753802189</v>
      </c>
      <c r="AJ1883" s="78" t="s">
        <v>52</v>
      </c>
      <c r="AK1883" s="78" t="s">
        <v>19</v>
      </c>
      <c r="AL1883" s="78" t="s">
        <v>28</v>
      </c>
      <c r="AM1883" s="78" t="s">
        <v>51</v>
      </c>
      <c r="AN1883" s="78" t="s">
        <v>694</v>
      </c>
      <c r="AO1883" s="78">
        <v>1.4240593531482499</v>
      </c>
    </row>
    <row r="1884" spans="29:41">
      <c r="AC1884" s="163" t="s">
        <v>52</v>
      </c>
      <c r="AD1884" s="163" t="s">
        <v>19</v>
      </c>
      <c r="AE1884" s="163" t="s">
        <v>72</v>
      </c>
      <c r="AF1884" s="163" t="s">
        <v>51</v>
      </c>
      <c r="AG1884" s="163" t="s">
        <v>730</v>
      </c>
      <c r="AH1884" s="163">
        <v>4.2086193094627129</v>
      </c>
      <c r="AJ1884" s="78" t="s">
        <v>52</v>
      </c>
      <c r="AK1884" s="78" t="s">
        <v>19</v>
      </c>
      <c r="AL1884" s="78" t="s">
        <v>28</v>
      </c>
      <c r="AM1884" s="78" t="s">
        <v>51</v>
      </c>
      <c r="AN1884" s="78" t="s">
        <v>695</v>
      </c>
      <c r="AO1884" s="78">
        <v>1.3967483933890759</v>
      </c>
    </row>
    <row r="1885" spans="29:41">
      <c r="AC1885" s="163" t="s">
        <v>52</v>
      </c>
      <c r="AD1885" s="163" t="s">
        <v>19</v>
      </c>
      <c r="AE1885" s="163" t="s">
        <v>72</v>
      </c>
      <c r="AF1885" s="163" t="s">
        <v>51</v>
      </c>
      <c r="AG1885" s="163" t="s">
        <v>731</v>
      </c>
      <c r="AH1885" s="163">
        <v>4.2086193094627129</v>
      </c>
      <c r="AJ1885" s="78" t="s">
        <v>52</v>
      </c>
      <c r="AK1885" s="78" t="s">
        <v>19</v>
      </c>
      <c r="AL1885" s="78" t="s">
        <v>28</v>
      </c>
      <c r="AM1885" s="78" t="s">
        <v>51</v>
      </c>
      <c r="AN1885" s="78" t="s">
        <v>696</v>
      </c>
      <c r="AO1885" s="78">
        <v>1.4222746820915295</v>
      </c>
    </row>
    <row r="1886" spans="29:41">
      <c r="AC1886" s="163" t="s">
        <v>52</v>
      </c>
      <c r="AD1886" s="163" t="s">
        <v>19</v>
      </c>
      <c r="AE1886" s="163" t="s">
        <v>72</v>
      </c>
      <c r="AF1886" s="163" t="s">
        <v>51</v>
      </c>
      <c r="AG1886" s="163" t="s">
        <v>732</v>
      </c>
      <c r="AH1886" s="163">
        <v>4.2086193094627129</v>
      </c>
      <c r="AJ1886" s="78" t="s">
        <v>52</v>
      </c>
      <c r="AK1886" s="78" t="s">
        <v>19</v>
      </c>
      <c r="AL1886" s="78" t="s">
        <v>28</v>
      </c>
      <c r="AM1886" s="78" t="s">
        <v>51</v>
      </c>
      <c r="AN1886" s="78" t="s">
        <v>697</v>
      </c>
      <c r="AO1886" s="78">
        <v>1.4247651532709658</v>
      </c>
    </row>
    <row r="1887" spans="29:41">
      <c r="AC1887" s="163" t="s">
        <v>52</v>
      </c>
      <c r="AD1887" s="163" t="s">
        <v>19</v>
      </c>
      <c r="AE1887" s="163" t="s">
        <v>72</v>
      </c>
      <c r="AF1887" s="163" t="s">
        <v>51</v>
      </c>
      <c r="AG1887" s="163" t="s">
        <v>733</v>
      </c>
      <c r="AH1887" s="163">
        <v>4.2429503753802189</v>
      </c>
      <c r="AJ1887" s="78" t="s">
        <v>52</v>
      </c>
      <c r="AK1887" s="78" t="s">
        <v>19</v>
      </c>
      <c r="AL1887" s="78" t="s">
        <v>28</v>
      </c>
      <c r="AM1887" s="78" t="s">
        <v>51</v>
      </c>
      <c r="AN1887" s="78" t="s">
        <v>698</v>
      </c>
      <c r="AO1887" s="78">
        <v>1.4356507651695751</v>
      </c>
    </row>
    <row r="1888" spans="29:41">
      <c r="AC1888" s="163" t="s">
        <v>52</v>
      </c>
      <c r="AD1888" s="163" t="s">
        <v>19</v>
      </c>
      <c r="AE1888" s="163" t="s">
        <v>72</v>
      </c>
      <c r="AF1888" s="163" t="s">
        <v>51</v>
      </c>
      <c r="AG1888" s="163" t="s">
        <v>734</v>
      </c>
      <c r="AH1888" s="163">
        <v>4.3043554281633112</v>
      </c>
      <c r="AJ1888" s="78" t="s">
        <v>52</v>
      </c>
      <c r="AK1888" s="78" t="s">
        <v>19</v>
      </c>
      <c r="AL1888" s="78" t="s">
        <v>28</v>
      </c>
      <c r="AM1888" s="78" t="s">
        <v>51</v>
      </c>
      <c r="AN1888" s="78" t="s">
        <v>699</v>
      </c>
      <c r="AO1888" s="78">
        <v>1.4337508900700253</v>
      </c>
    </row>
    <row r="1889" spans="29:41">
      <c r="AC1889" s="163" t="s">
        <v>52</v>
      </c>
      <c r="AD1889" s="163" t="s">
        <v>19</v>
      </c>
      <c r="AE1889" s="163" t="s">
        <v>72</v>
      </c>
      <c r="AF1889" s="163" t="s">
        <v>51</v>
      </c>
      <c r="AG1889" s="163" t="s">
        <v>735</v>
      </c>
      <c r="AH1889" s="163">
        <v>4.2751437206531122</v>
      </c>
      <c r="AJ1889" s="78" t="s">
        <v>52</v>
      </c>
      <c r="AK1889" s="78" t="s">
        <v>19</v>
      </c>
      <c r="AL1889" s="78" t="s">
        <v>28</v>
      </c>
      <c r="AM1889" s="78" t="s">
        <v>51</v>
      </c>
      <c r="AN1889" s="78" t="s">
        <v>700</v>
      </c>
      <c r="AO1889" s="78">
        <v>1.4346030224691373</v>
      </c>
    </row>
    <row r="1890" spans="29:41">
      <c r="AC1890" s="163" t="s">
        <v>52</v>
      </c>
      <c r="AD1890" s="163" t="s">
        <v>19</v>
      </c>
      <c r="AE1890" s="163" t="s">
        <v>72</v>
      </c>
      <c r="AF1890" s="163" t="s">
        <v>51</v>
      </c>
      <c r="AG1890" s="163" t="s">
        <v>736</v>
      </c>
      <c r="AH1890" s="163">
        <v>4.3043554281633112</v>
      </c>
      <c r="AJ1890" s="78" t="s">
        <v>52</v>
      </c>
      <c r="AK1890" s="78" t="s">
        <v>19</v>
      </c>
      <c r="AL1890" s="78" t="s">
        <v>28</v>
      </c>
      <c r="AM1890" s="78" t="s">
        <v>51</v>
      </c>
      <c r="AN1890" s="78" t="s">
        <v>701</v>
      </c>
      <c r="AO1890" s="78">
        <v>1.4232564696708769</v>
      </c>
    </row>
    <row r="1891" spans="29:41">
      <c r="AC1891" s="163" t="s">
        <v>52</v>
      </c>
      <c r="AD1891" s="163" t="s">
        <v>19</v>
      </c>
      <c r="AE1891" s="163" t="s">
        <v>72</v>
      </c>
      <c r="AF1891" s="163" t="s">
        <v>51</v>
      </c>
      <c r="AG1891" s="163" t="s">
        <v>737</v>
      </c>
      <c r="AH1891" s="163">
        <v>4.3043554281633112</v>
      </c>
      <c r="AJ1891" s="78" t="s">
        <v>52</v>
      </c>
      <c r="AK1891" s="78" t="s">
        <v>19</v>
      </c>
      <c r="AL1891" s="78" t="s">
        <v>28</v>
      </c>
      <c r="AM1891" s="78" t="s">
        <v>51</v>
      </c>
      <c r="AN1891" s="78" t="s">
        <v>702</v>
      </c>
      <c r="AO1891" s="78">
        <v>1.3840606173742553</v>
      </c>
    </row>
    <row r="1892" spans="29:41">
      <c r="AC1892" s="163" t="s">
        <v>52</v>
      </c>
      <c r="AD1892" s="163" t="s">
        <v>19</v>
      </c>
      <c r="AE1892" s="163" t="s">
        <v>72</v>
      </c>
      <c r="AF1892" s="163" t="s">
        <v>51</v>
      </c>
      <c r="AG1892" s="163" t="s">
        <v>738</v>
      </c>
      <c r="AH1892" s="163">
        <v>4.3364279754872603</v>
      </c>
      <c r="AJ1892" s="78" t="s">
        <v>52</v>
      </c>
      <c r="AK1892" s="78" t="s">
        <v>19</v>
      </c>
      <c r="AL1892" s="78" t="s">
        <v>28</v>
      </c>
      <c r="AM1892" s="78" t="s">
        <v>51</v>
      </c>
      <c r="AN1892" s="78" t="s">
        <v>703</v>
      </c>
      <c r="AO1892" s="78">
        <v>1.4070651448791671</v>
      </c>
    </row>
    <row r="1893" spans="29:41">
      <c r="AC1893" s="163" t="s">
        <v>52</v>
      </c>
      <c r="AD1893" s="163" t="s">
        <v>19</v>
      </c>
      <c r="AE1893" s="163" t="s">
        <v>72</v>
      </c>
      <c r="AF1893" s="163" t="s">
        <v>51</v>
      </c>
      <c r="AG1893" s="163" t="s">
        <v>739</v>
      </c>
      <c r="AH1893" s="163">
        <v>4.3364279754872603</v>
      </c>
      <c r="AJ1893" s="78" t="s">
        <v>52</v>
      </c>
      <c r="AK1893" s="78" t="s">
        <v>19</v>
      </c>
      <c r="AL1893" s="78" t="s">
        <v>28</v>
      </c>
      <c r="AM1893" s="78" t="s">
        <v>51</v>
      </c>
      <c r="AN1893" s="78" t="s">
        <v>704</v>
      </c>
      <c r="AO1893" s="78">
        <v>1.4442688694112495</v>
      </c>
    </row>
    <row r="1894" spans="29:41">
      <c r="AC1894" s="163" t="s">
        <v>52</v>
      </c>
      <c r="AD1894" s="163" t="s">
        <v>19</v>
      </c>
      <c r="AE1894" s="163" t="s">
        <v>72</v>
      </c>
      <c r="AF1894" s="163" t="s">
        <v>51</v>
      </c>
      <c r="AG1894" s="163" t="s">
        <v>740</v>
      </c>
      <c r="AH1894" s="163">
        <v>4.3043554281633112</v>
      </c>
      <c r="AJ1894" s="78" t="s">
        <v>52</v>
      </c>
      <c r="AK1894" s="78" t="s">
        <v>19</v>
      </c>
      <c r="AL1894" s="78" t="s">
        <v>28</v>
      </c>
      <c r="AM1894" s="78" t="s">
        <v>51</v>
      </c>
      <c r="AN1894" s="78" t="s">
        <v>705</v>
      </c>
      <c r="AO1894" s="78">
        <v>1.4640818399660298</v>
      </c>
    </row>
    <row r="1895" spans="29:41">
      <c r="AC1895" s="163" t="s">
        <v>52</v>
      </c>
      <c r="AD1895" s="163" t="s">
        <v>19</v>
      </c>
      <c r="AE1895" s="163" t="s">
        <v>72</v>
      </c>
      <c r="AF1895" s="163" t="s">
        <v>51</v>
      </c>
      <c r="AG1895" s="163" t="s">
        <v>741</v>
      </c>
      <c r="AH1895" s="163">
        <v>4.3364279754872603</v>
      </c>
      <c r="AJ1895" s="78" t="s">
        <v>52</v>
      </c>
      <c r="AK1895" s="78" t="s">
        <v>19</v>
      </c>
      <c r="AL1895" s="78" t="s">
        <v>28</v>
      </c>
      <c r="AM1895" s="78" t="s">
        <v>51</v>
      </c>
      <c r="AN1895" s="78" t="s">
        <v>706</v>
      </c>
      <c r="AO1895" s="78">
        <v>1.4298388060869951</v>
      </c>
    </row>
    <row r="1896" spans="29:41">
      <c r="AC1896" s="163" t="s">
        <v>52</v>
      </c>
      <c r="AD1896" s="163" t="s">
        <v>19</v>
      </c>
      <c r="AE1896" s="163" t="s">
        <v>72</v>
      </c>
      <c r="AF1896" s="163" t="s">
        <v>51</v>
      </c>
      <c r="AG1896" s="163" t="s">
        <v>742</v>
      </c>
      <c r="AH1896" s="163">
        <v>4.3364279754872603</v>
      </c>
      <c r="AJ1896" s="78" t="s">
        <v>52</v>
      </c>
      <c r="AK1896" s="78" t="s">
        <v>19</v>
      </c>
      <c r="AL1896" s="78" t="s">
        <v>28</v>
      </c>
      <c r="AM1896" s="78" t="s">
        <v>51</v>
      </c>
      <c r="AN1896" s="78" t="s">
        <v>707</v>
      </c>
      <c r="AO1896" s="78">
        <v>1.4048108966062722</v>
      </c>
    </row>
    <row r="1897" spans="29:41">
      <c r="AC1897" s="163" t="s">
        <v>52</v>
      </c>
      <c r="AD1897" s="163" t="s">
        <v>19</v>
      </c>
      <c r="AE1897" s="163" t="s">
        <v>72</v>
      </c>
      <c r="AF1897" s="163" t="s">
        <v>51</v>
      </c>
      <c r="AG1897" s="163" t="s">
        <v>425</v>
      </c>
      <c r="AH1897" s="163">
        <v>4.3364279754872603</v>
      </c>
      <c r="AJ1897" s="78" t="s">
        <v>52</v>
      </c>
      <c r="AK1897" s="78" t="s">
        <v>19</v>
      </c>
      <c r="AL1897" s="78" t="s">
        <v>28</v>
      </c>
      <c r="AM1897" s="78" t="s">
        <v>51</v>
      </c>
      <c r="AN1897" s="78" t="s">
        <v>708</v>
      </c>
      <c r="AO1897" s="78">
        <v>1.3973234359779219</v>
      </c>
    </row>
    <row r="1898" spans="29:41">
      <c r="AC1898" s="163" t="s">
        <v>52</v>
      </c>
      <c r="AD1898" s="163" t="s">
        <v>19</v>
      </c>
      <c r="AE1898" s="163" t="s">
        <v>72</v>
      </c>
      <c r="AF1898" s="163" t="s">
        <v>51</v>
      </c>
      <c r="AG1898" s="163" t="s">
        <v>743</v>
      </c>
      <c r="AH1898" s="163">
        <v>4.3043554281633112</v>
      </c>
      <c r="AJ1898" s="78" t="s">
        <v>52</v>
      </c>
      <c r="AK1898" s="78" t="s">
        <v>19</v>
      </c>
      <c r="AL1898" s="78" t="s">
        <v>28</v>
      </c>
      <c r="AM1898" s="78" t="s">
        <v>51</v>
      </c>
      <c r="AN1898" s="78" t="s">
        <v>709</v>
      </c>
      <c r="AO1898" s="78">
        <v>1.3940862581375932</v>
      </c>
    </row>
    <row r="1899" spans="29:41">
      <c r="AC1899" s="163" t="s">
        <v>52</v>
      </c>
      <c r="AD1899" s="163" t="s">
        <v>19</v>
      </c>
      <c r="AE1899" s="163" t="s">
        <v>72</v>
      </c>
      <c r="AF1899" s="163" t="s">
        <v>51</v>
      </c>
      <c r="AG1899" s="163" t="s">
        <v>744</v>
      </c>
      <c r="AH1899" s="163">
        <v>4.3364279754872603</v>
      </c>
      <c r="AJ1899" s="78" t="s">
        <v>52</v>
      </c>
      <c r="AK1899" s="78" t="s">
        <v>19</v>
      </c>
      <c r="AL1899" s="78" t="s">
        <v>28</v>
      </c>
      <c r="AM1899" s="78" t="s">
        <v>51</v>
      </c>
      <c r="AN1899" s="78" t="s">
        <v>710</v>
      </c>
      <c r="AO1899" s="78">
        <v>1.3982367119233219</v>
      </c>
    </row>
    <row r="1900" spans="29:41">
      <c r="AC1900" s="163" t="s">
        <v>52</v>
      </c>
      <c r="AD1900" s="163" t="s">
        <v>19</v>
      </c>
      <c r="AE1900" s="163" t="s">
        <v>72</v>
      </c>
      <c r="AF1900" s="163" t="s">
        <v>51</v>
      </c>
      <c r="AG1900" s="163" t="s">
        <v>745</v>
      </c>
      <c r="AH1900" s="163">
        <v>4.3364393474588088</v>
      </c>
      <c r="AJ1900" s="78" t="s">
        <v>52</v>
      </c>
      <c r="AK1900" s="78" t="s">
        <v>19</v>
      </c>
      <c r="AL1900" s="78" t="s">
        <v>28</v>
      </c>
      <c r="AM1900" s="78" t="s">
        <v>51</v>
      </c>
      <c r="AN1900" s="78" t="s">
        <v>711</v>
      </c>
      <c r="AO1900" s="78">
        <v>1.4114771163721624</v>
      </c>
    </row>
    <row r="1901" spans="29:41">
      <c r="AC1901" s="163" t="s">
        <v>52</v>
      </c>
      <c r="AD1901" s="163" t="s">
        <v>19</v>
      </c>
      <c r="AE1901" s="163" t="s">
        <v>72</v>
      </c>
      <c r="AF1901" s="163" t="s">
        <v>51</v>
      </c>
      <c r="AG1901" s="163" t="s">
        <v>424</v>
      </c>
      <c r="AH1901" s="163">
        <v>4.3364279754872603</v>
      </c>
      <c r="AJ1901" s="78" t="s">
        <v>52</v>
      </c>
      <c r="AK1901" s="78" t="s">
        <v>19</v>
      </c>
      <c r="AL1901" s="78" t="s">
        <v>28</v>
      </c>
      <c r="AM1901" s="78" t="s">
        <v>51</v>
      </c>
      <c r="AN1901" s="78" t="s">
        <v>712</v>
      </c>
      <c r="AO1901" s="78">
        <v>1.3918998800051521</v>
      </c>
    </row>
    <row r="1902" spans="29:41">
      <c r="AC1902" s="163" t="s">
        <v>52</v>
      </c>
      <c r="AD1902" s="163" t="s">
        <v>19</v>
      </c>
      <c r="AE1902" s="163" t="s">
        <v>72</v>
      </c>
      <c r="AF1902" s="163" t="s">
        <v>51</v>
      </c>
      <c r="AG1902" s="163" t="s">
        <v>427</v>
      </c>
      <c r="AH1902" s="163">
        <v>4.3364393474588088</v>
      </c>
      <c r="AJ1902" s="78" t="s">
        <v>52</v>
      </c>
      <c r="AK1902" s="78" t="s">
        <v>19</v>
      </c>
      <c r="AL1902" s="78" t="s">
        <v>28</v>
      </c>
      <c r="AM1902" s="78" t="s">
        <v>51</v>
      </c>
      <c r="AN1902" s="78" t="s">
        <v>713</v>
      </c>
      <c r="AO1902" s="78">
        <v>1.3660775198805277</v>
      </c>
    </row>
    <row r="1903" spans="29:41">
      <c r="AC1903" s="163" t="s">
        <v>52</v>
      </c>
      <c r="AD1903" s="163" t="s">
        <v>20</v>
      </c>
      <c r="AE1903" s="163" t="s">
        <v>72</v>
      </c>
      <c r="AF1903" s="163" t="s">
        <v>51</v>
      </c>
      <c r="AG1903" s="163" t="s">
        <v>129</v>
      </c>
      <c r="AH1903" s="163">
        <v>4.1618039804499194</v>
      </c>
      <c r="AJ1903" s="78" t="s">
        <v>52</v>
      </c>
      <c r="AK1903" s="78" t="s">
        <v>19</v>
      </c>
      <c r="AL1903" s="78" t="s">
        <v>28</v>
      </c>
      <c r="AM1903" s="78" t="s">
        <v>51</v>
      </c>
      <c r="AN1903" s="78" t="s">
        <v>714</v>
      </c>
      <c r="AO1903" s="78">
        <v>1.4073274784605712</v>
      </c>
    </row>
    <row r="1904" spans="29:41">
      <c r="AC1904" s="163" t="s">
        <v>52</v>
      </c>
      <c r="AD1904" s="163" t="s">
        <v>20</v>
      </c>
      <c r="AE1904" s="163" t="s">
        <v>72</v>
      </c>
      <c r="AF1904" s="163" t="s">
        <v>51</v>
      </c>
      <c r="AG1904" s="163" t="s">
        <v>130</v>
      </c>
      <c r="AH1904" s="163">
        <v>4.1618039804499194</v>
      </c>
      <c r="AJ1904" s="78" t="s">
        <v>52</v>
      </c>
      <c r="AK1904" s="78" t="s">
        <v>19</v>
      </c>
      <c r="AL1904" s="78" t="s">
        <v>28</v>
      </c>
      <c r="AM1904" s="78" t="s">
        <v>51</v>
      </c>
      <c r="AN1904" s="78" t="s">
        <v>715</v>
      </c>
      <c r="AO1904" s="78">
        <v>1.4262648710221308</v>
      </c>
    </row>
    <row r="1905" spans="29:41">
      <c r="AC1905" s="163" t="s">
        <v>52</v>
      </c>
      <c r="AD1905" s="163" t="s">
        <v>20</v>
      </c>
      <c r="AE1905" s="163" t="s">
        <v>72</v>
      </c>
      <c r="AF1905" s="163" t="s">
        <v>51</v>
      </c>
      <c r="AG1905" s="163" t="s">
        <v>131</v>
      </c>
      <c r="AH1905" s="163">
        <v>4.1618039804499194</v>
      </c>
      <c r="AJ1905" s="78" t="s">
        <v>52</v>
      </c>
      <c r="AK1905" s="78" t="s">
        <v>19</v>
      </c>
      <c r="AL1905" s="78" t="s">
        <v>28</v>
      </c>
      <c r="AM1905" s="78" t="s">
        <v>51</v>
      </c>
      <c r="AN1905" s="78" t="s">
        <v>716</v>
      </c>
      <c r="AO1905" s="78">
        <v>1.414156863858171</v>
      </c>
    </row>
    <row r="1906" spans="29:41">
      <c r="AC1906" s="163" t="s">
        <v>52</v>
      </c>
      <c r="AD1906" s="163" t="s">
        <v>20</v>
      </c>
      <c r="AE1906" s="163" t="s">
        <v>72</v>
      </c>
      <c r="AF1906" s="163" t="s">
        <v>51</v>
      </c>
      <c r="AG1906" s="163" t="s">
        <v>132</v>
      </c>
      <c r="AH1906" s="163">
        <v>4.3642403763055508</v>
      </c>
      <c r="AJ1906" s="78" t="s">
        <v>52</v>
      </c>
      <c r="AK1906" s="78" t="s">
        <v>19</v>
      </c>
      <c r="AL1906" s="78" t="s">
        <v>28</v>
      </c>
      <c r="AM1906" s="78" t="s">
        <v>51</v>
      </c>
      <c r="AN1906" s="78" t="s">
        <v>717</v>
      </c>
      <c r="AO1906" s="78">
        <v>1.3736067234201434</v>
      </c>
    </row>
    <row r="1907" spans="29:41">
      <c r="AC1907" s="163" t="s">
        <v>52</v>
      </c>
      <c r="AD1907" s="163" t="s">
        <v>20</v>
      </c>
      <c r="AE1907" s="163" t="s">
        <v>72</v>
      </c>
      <c r="AF1907" s="163" t="s">
        <v>51</v>
      </c>
      <c r="AG1907" s="163" t="s">
        <v>133</v>
      </c>
      <c r="AH1907" s="163">
        <v>4.3002725972031506</v>
      </c>
      <c r="AJ1907" s="78" t="s">
        <v>52</v>
      </c>
      <c r="AK1907" s="78" t="s">
        <v>19</v>
      </c>
      <c r="AL1907" s="78" t="s">
        <v>28</v>
      </c>
      <c r="AM1907" s="78" t="s">
        <v>51</v>
      </c>
      <c r="AN1907" s="78" t="s">
        <v>718</v>
      </c>
      <c r="AO1907" s="78">
        <v>1.4098182398293932</v>
      </c>
    </row>
    <row r="1908" spans="29:41">
      <c r="AC1908" s="163" t="s">
        <v>52</v>
      </c>
      <c r="AD1908" s="163" t="s">
        <v>20</v>
      </c>
      <c r="AE1908" s="163" t="s">
        <v>72</v>
      </c>
      <c r="AF1908" s="163" t="s">
        <v>51</v>
      </c>
      <c r="AG1908" s="163" t="s">
        <v>134</v>
      </c>
      <c r="AH1908" s="163">
        <v>4.1930539804499194</v>
      </c>
      <c r="AJ1908" s="78" t="s">
        <v>52</v>
      </c>
      <c r="AK1908" s="78" t="s">
        <v>19</v>
      </c>
      <c r="AL1908" s="78" t="s">
        <v>28</v>
      </c>
      <c r="AM1908" s="78" t="s">
        <v>51</v>
      </c>
      <c r="AN1908" s="78" t="s">
        <v>719</v>
      </c>
      <c r="AO1908" s="78">
        <v>1.4663311885002239</v>
      </c>
    </row>
    <row r="1909" spans="29:41">
      <c r="AC1909" s="163" t="s">
        <v>52</v>
      </c>
      <c r="AD1909" s="163" t="s">
        <v>20</v>
      </c>
      <c r="AE1909" s="163" t="s">
        <v>72</v>
      </c>
      <c r="AF1909" s="163" t="s">
        <v>51</v>
      </c>
      <c r="AG1909" s="163" t="s">
        <v>135</v>
      </c>
      <c r="AH1909" s="163">
        <v>4.1930539804499194</v>
      </c>
      <c r="AJ1909" s="78" t="s">
        <v>52</v>
      </c>
      <c r="AK1909" s="78" t="s">
        <v>19</v>
      </c>
      <c r="AL1909" s="78" t="s">
        <v>28</v>
      </c>
      <c r="AM1909" s="78" t="s">
        <v>51</v>
      </c>
      <c r="AN1909" s="78" t="s">
        <v>720</v>
      </c>
      <c r="AO1909" s="78">
        <v>1.3960742815859377</v>
      </c>
    </row>
    <row r="1910" spans="29:41">
      <c r="AC1910" s="163" t="s">
        <v>52</v>
      </c>
      <c r="AD1910" s="163" t="s">
        <v>20</v>
      </c>
      <c r="AE1910" s="163" t="s">
        <v>72</v>
      </c>
      <c r="AF1910" s="163" t="s">
        <v>51</v>
      </c>
      <c r="AG1910" s="163" t="s">
        <v>136</v>
      </c>
      <c r="AH1910" s="163">
        <v>4.3001919961318613</v>
      </c>
      <c r="AJ1910" s="78" t="s">
        <v>52</v>
      </c>
      <c r="AK1910" s="78" t="s">
        <v>19</v>
      </c>
      <c r="AL1910" s="78" t="s">
        <v>28</v>
      </c>
      <c r="AM1910" s="78" t="s">
        <v>51</v>
      </c>
      <c r="AN1910" s="78" t="s">
        <v>721</v>
      </c>
      <c r="AO1910" s="78">
        <v>1.4091574858485607</v>
      </c>
    </row>
    <row r="1911" spans="29:41">
      <c r="AC1911" s="163" t="s">
        <v>52</v>
      </c>
      <c r="AD1911" s="163" t="s">
        <v>20</v>
      </c>
      <c r="AE1911" s="163" t="s">
        <v>72</v>
      </c>
      <c r="AF1911" s="163" t="s">
        <v>51</v>
      </c>
      <c r="AG1911" s="163" t="s">
        <v>137</v>
      </c>
      <c r="AH1911" s="163">
        <v>4.1930539804499194</v>
      </c>
      <c r="AJ1911" s="78" t="s">
        <v>52</v>
      </c>
      <c r="AK1911" s="78" t="s">
        <v>19</v>
      </c>
      <c r="AL1911" s="78" t="s">
        <v>28</v>
      </c>
      <c r="AM1911" s="78" t="s">
        <v>51</v>
      </c>
      <c r="AN1911" s="78" t="s">
        <v>722</v>
      </c>
      <c r="AO1911" s="78">
        <v>1.4455444410222511</v>
      </c>
    </row>
    <row r="1912" spans="29:41">
      <c r="AC1912" s="163" t="s">
        <v>52</v>
      </c>
      <c r="AD1912" s="163" t="s">
        <v>20</v>
      </c>
      <c r="AE1912" s="163" t="s">
        <v>72</v>
      </c>
      <c r="AF1912" s="163" t="s">
        <v>51</v>
      </c>
      <c r="AG1912" s="163" t="s">
        <v>138</v>
      </c>
      <c r="AH1912" s="163">
        <v>4.1618039804499194</v>
      </c>
      <c r="AJ1912" s="78" t="s">
        <v>52</v>
      </c>
      <c r="AK1912" s="78" t="s">
        <v>19</v>
      </c>
      <c r="AL1912" s="78" t="s">
        <v>28</v>
      </c>
      <c r="AM1912" s="78" t="s">
        <v>51</v>
      </c>
      <c r="AN1912" s="78" t="s">
        <v>723</v>
      </c>
      <c r="AO1912" s="78">
        <v>1.431677767087191</v>
      </c>
    </row>
    <row r="1913" spans="29:41">
      <c r="AC1913" s="163" t="s">
        <v>52</v>
      </c>
      <c r="AD1913" s="163" t="s">
        <v>20</v>
      </c>
      <c r="AE1913" s="163" t="s">
        <v>72</v>
      </c>
      <c r="AF1913" s="163" t="s">
        <v>51</v>
      </c>
      <c r="AG1913" s="163" t="s">
        <v>139</v>
      </c>
      <c r="AH1913" s="163">
        <v>4.1305539804499194</v>
      </c>
      <c r="AJ1913" s="78" t="s">
        <v>52</v>
      </c>
      <c r="AK1913" s="78" t="s">
        <v>19</v>
      </c>
      <c r="AL1913" s="78" t="s">
        <v>28</v>
      </c>
      <c r="AM1913" s="78" t="s">
        <v>51</v>
      </c>
      <c r="AN1913" s="78" t="s">
        <v>724</v>
      </c>
      <c r="AO1913" s="78">
        <v>1.4262832329915078</v>
      </c>
    </row>
    <row r="1914" spans="29:41">
      <c r="AC1914" s="163" t="s">
        <v>52</v>
      </c>
      <c r="AD1914" s="163" t="s">
        <v>20</v>
      </c>
      <c r="AE1914" s="163" t="s">
        <v>72</v>
      </c>
      <c r="AF1914" s="163" t="s">
        <v>51</v>
      </c>
      <c r="AG1914" s="163" t="s">
        <v>140</v>
      </c>
      <c r="AH1914" s="163">
        <v>4.1748311341021385</v>
      </c>
      <c r="AJ1914" s="78" t="s">
        <v>52</v>
      </c>
      <c r="AK1914" s="78" t="s">
        <v>19</v>
      </c>
      <c r="AL1914" s="78" t="s">
        <v>28</v>
      </c>
      <c r="AM1914" s="78" t="s">
        <v>51</v>
      </c>
      <c r="AN1914" s="78" t="s">
        <v>725</v>
      </c>
      <c r="AO1914" s="78">
        <v>1.4354143371547379</v>
      </c>
    </row>
    <row r="1915" spans="29:41">
      <c r="AC1915" s="163" t="s">
        <v>52</v>
      </c>
      <c r="AD1915" s="163" t="s">
        <v>20</v>
      </c>
      <c r="AE1915" s="163" t="s">
        <v>72</v>
      </c>
      <c r="AF1915" s="163" t="s">
        <v>51</v>
      </c>
      <c r="AG1915" s="163" t="s">
        <v>141</v>
      </c>
      <c r="AH1915" s="163">
        <v>4.1135643018144359</v>
      </c>
      <c r="AJ1915" s="78" t="s">
        <v>52</v>
      </c>
      <c r="AK1915" s="78" t="s">
        <v>19</v>
      </c>
      <c r="AL1915" s="78" t="s">
        <v>28</v>
      </c>
      <c r="AM1915" s="78" t="s">
        <v>51</v>
      </c>
      <c r="AN1915" s="78" t="s">
        <v>726</v>
      </c>
      <c r="AO1915" s="78">
        <v>1.3568443373498396</v>
      </c>
    </row>
    <row r="1916" spans="29:41">
      <c r="AC1916" s="163" t="s">
        <v>52</v>
      </c>
      <c r="AD1916" s="163" t="s">
        <v>20</v>
      </c>
      <c r="AE1916" s="163" t="s">
        <v>72</v>
      </c>
      <c r="AF1916" s="163" t="s">
        <v>51</v>
      </c>
      <c r="AG1916" s="163" t="s">
        <v>142</v>
      </c>
      <c r="AH1916" s="163">
        <v>4.1748311341021385</v>
      </c>
      <c r="AJ1916" s="78" t="s">
        <v>52</v>
      </c>
      <c r="AK1916" s="78" t="s">
        <v>19</v>
      </c>
      <c r="AL1916" s="78" t="s">
        <v>28</v>
      </c>
      <c r="AM1916" s="78" t="s">
        <v>51</v>
      </c>
      <c r="AN1916" s="78" t="s">
        <v>426</v>
      </c>
      <c r="AO1916" s="78">
        <v>1.4061768972396294</v>
      </c>
    </row>
    <row r="1917" spans="29:41">
      <c r="AC1917" s="163" t="s">
        <v>52</v>
      </c>
      <c r="AD1917" s="163" t="s">
        <v>20</v>
      </c>
      <c r="AE1917" s="163" t="s">
        <v>72</v>
      </c>
      <c r="AF1917" s="163" t="s">
        <v>51</v>
      </c>
      <c r="AG1917" s="163" t="s">
        <v>143</v>
      </c>
      <c r="AH1917" s="163">
        <v>4.1135643018144359</v>
      </c>
      <c r="AJ1917" s="78" t="s">
        <v>52</v>
      </c>
      <c r="AK1917" s="78" t="s">
        <v>19</v>
      </c>
      <c r="AL1917" s="78" t="s">
        <v>28</v>
      </c>
      <c r="AM1917" s="78" t="s">
        <v>51</v>
      </c>
      <c r="AN1917" s="78" t="s">
        <v>727</v>
      </c>
      <c r="AO1917" s="78">
        <v>1.4310703270913998</v>
      </c>
    </row>
    <row r="1918" spans="29:41">
      <c r="AC1918" s="163" t="s">
        <v>52</v>
      </c>
      <c r="AD1918" s="163" t="s">
        <v>20</v>
      </c>
      <c r="AE1918" s="163" t="s">
        <v>72</v>
      </c>
      <c r="AF1918" s="163" t="s">
        <v>51</v>
      </c>
      <c r="AG1918" s="163" t="s">
        <v>144</v>
      </c>
      <c r="AH1918" s="163">
        <v>4.0672857326453746</v>
      </c>
      <c r="AJ1918" s="78" t="s">
        <v>52</v>
      </c>
      <c r="AK1918" s="78" t="s">
        <v>19</v>
      </c>
      <c r="AL1918" s="78" t="s">
        <v>28</v>
      </c>
      <c r="AM1918" s="78" t="s">
        <v>51</v>
      </c>
      <c r="AN1918" s="78" t="s">
        <v>728</v>
      </c>
      <c r="AO1918" s="78">
        <v>1.4245777591706124</v>
      </c>
    </row>
    <row r="1919" spans="29:41">
      <c r="AC1919" s="163" t="s">
        <v>52</v>
      </c>
      <c r="AD1919" s="163" t="s">
        <v>20</v>
      </c>
      <c r="AE1919" s="163" t="s">
        <v>72</v>
      </c>
      <c r="AF1919" s="163" t="s">
        <v>51</v>
      </c>
      <c r="AG1919" s="163" t="s">
        <v>145</v>
      </c>
      <c r="AH1919" s="163">
        <v>4.1135643018144359</v>
      </c>
      <c r="AJ1919" s="78" t="s">
        <v>52</v>
      </c>
      <c r="AK1919" s="78" t="s">
        <v>19</v>
      </c>
      <c r="AL1919" s="78" t="s">
        <v>28</v>
      </c>
      <c r="AM1919" s="78" t="s">
        <v>51</v>
      </c>
      <c r="AN1919" s="78" t="s">
        <v>729</v>
      </c>
      <c r="AO1919" s="78">
        <v>1.4743116367648288</v>
      </c>
    </row>
    <row r="1920" spans="29:41">
      <c r="AC1920" s="163" t="s">
        <v>52</v>
      </c>
      <c r="AD1920" s="163" t="s">
        <v>20</v>
      </c>
      <c r="AE1920" s="163" t="s">
        <v>72</v>
      </c>
      <c r="AF1920" s="163" t="s">
        <v>51</v>
      </c>
      <c r="AG1920" s="163" t="s">
        <v>146</v>
      </c>
      <c r="AH1920" s="163">
        <v>4.2360443194521897</v>
      </c>
      <c r="AJ1920" s="78" t="s">
        <v>52</v>
      </c>
      <c r="AK1920" s="78" t="s">
        <v>19</v>
      </c>
      <c r="AL1920" s="78" t="s">
        <v>28</v>
      </c>
      <c r="AM1920" s="78" t="s">
        <v>51</v>
      </c>
      <c r="AN1920" s="78" t="s">
        <v>730</v>
      </c>
      <c r="AO1920" s="78">
        <v>1.3953696462649525</v>
      </c>
    </row>
    <row r="1921" spans="29:41">
      <c r="AC1921" s="163" t="s">
        <v>52</v>
      </c>
      <c r="AD1921" s="163" t="s">
        <v>20</v>
      </c>
      <c r="AE1921" s="163" t="s">
        <v>72</v>
      </c>
      <c r="AF1921" s="163" t="s">
        <v>51</v>
      </c>
      <c r="AG1921" s="163" t="s">
        <v>147</v>
      </c>
      <c r="AH1921" s="163">
        <v>4.2360443194521897</v>
      </c>
      <c r="AJ1921" s="78" t="s">
        <v>52</v>
      </c>
      <c r="AK1921" s="78" t="s">
        <v>19</v>
      </c>
      <c r="AL1921" s="78" t="s">
        <v>28</v>
      </c>
      <c r="AM1921" s="78" t="s">
        <v>51</v>
      </c>
      <c r="AN1921" s="78" t="s">
        <v>731</v>
      </c>
      <c r="AO1921" s="78">
        <v>1.4397671442713127</v>
      </c>
    </row>
    <row r="1922" spans="29:41">
      <c r="AC1922" s="163" t="s">
        <v>52</v>
      </c>
      <c r="AD1922" s="163" t="s">
        <v>20</v>
      </c>
      <c r="AE1922" s="163" t="s">
        <v>72</v>
      </c>
      <c r="AF1922" s="163" t="s">
        <v>51</v>
      </c>
      <c r="AG1922" s="163" t="s">
        <v>148</v>
      </c>
      <c r="AH1922" s="163">
        <v>4.1748311341021385</v>
      </c>
      <c r="AJ1922" s="78" t="s">
        <v>52</v>
      </c>
      <c r="AK1922" s="78" t="s">
        <v>19</v>
      </c>
      <c r="AL1922" s="78" t="s">
        <v>28</v>
      </c>
      <c r="AM1922" s="78" t="s">
        <v>51</v>
      </c>
      <c r="AN1922" s="78" t="s">
        <v>732</v>
      </c>
      <c r="AO1922" s="78">
        <v>1.4390308596700627</v>
      </c>
    </row>
    <row r="1923" spans="29:41">
      <c r="AC1923" s="163" t="s">
        <v>52</v>
      </c>
      <c r="AD1923" s="163" t="s">
        <v>20</v>
      </c>
      <c r="AE1923" s="163" t="s">
        <v>72</v>
      </c>
      <c r="AF1923" s="163" t="s">
        <v>51</v>
      </c>
      <c r="AG1923" s="163" t="s">
        <v>149</v>
      </c>
      <c r="AH1923" s="163">
        <v>4.1135643018144359</v>
      </c>
      <c r="AJ1923" s="78" t="s">
        <v>52</v>
      </c>
      <c r="AK1923" s="78" t="s">
        <v>19</v>
      </c>
      <c r="AL1923" s="78" t="s">
        <v>28</v>
      </c>
      <c r="AM1923" s="78" t="s">
        <v>51</v>
      </c>
      <c r="AN1923" s="78" t="s">
        <v>733</v>
      </c>
      <c r="AO1923" s="78">
        <v>1.4095543280307685</v>
      </c>
    </row>
    <row r="1924" spans="29:41">
      <c r="AC1924" s="163" t="s">
        <v>52</v>
      </c>
      <c r="AD1924" s="163" t="s">
        <v>20</v>
      </c>
      <c r="AE1924" s="163" t="s">
        <v>72</v>
      </c>
      <c r="AF1924" s="163" t="s">
        <v>51</v>
      </c>
      <c r="AG1924" s="163" t="s">
        <v>150</v>
      </c>
      <c r="AH1924" s="163">
        <v>4.1720767377573145</v>
      </c>
      <c r="AJ1924" s="78" t="s">
        <v>52</v>
      </c>
      <c r="AK1924" s="78" t="s">
        <v>19</v>
      </c>
      <c r="AL1924" s="78" t="s">
        <v>28</v>
      </c>
      <c r="AM1924" s="78" t="s">
        <v>51</v>
      </c>
      <c r="AN1924" s="78" t="s">
        <v>734</v>
      </c>
      <c r="AO1924" s="78">
        <v>1.446708896486961</v>
      </c>
    </row>
    <row r="1925" spans="29:41">
      <c r="AC1925" s="163" t="s">
        <v>52</v>
      </c>
      <c r="AD1925" s="163" t="s">
        <v>20</v>
      </c>
      <c r="AE1925" s="163" t="s">
        <v>72</v>
      </c>
      <c r="AF1925" s="163" t="s">
        <v>51</v>
      </c>
      <c r="AG1925" s="163" t="s">
        <v>151</v>
      </c>
      <c r="AH1925" s="163">
        <v>4.1720767377573145</v>
      </c>
      <c r="AJ1925" s="78" t="s">
        <v>52</v>
      </c>
      <c r="AK1925" s="78" t="s">
        <v>19</v>
      </c>
      <c r="AL1925" s="78" t="s">
        <v>28</v>
      </c>
      <c r="AM1925" s="78" t="s">
        <v>51</v>
      </c>
      <c r="AN1925" s="78" t="s">
        <v>735</v>
      </c>
      <c r="AO1925" s="78">
        <v>1.4020788258514119</v>
      </c>
    </row>
    <row r="1926" spans="29:41">
      <c r="AC1926" s="163" t="s">
        <v>52</v>
      </c>
      <c r="AD1926" s="163" t="s">
        <v>20</v>
      </c>
      <c r="AE1926" s="163" t="s">
        <v>72</v>
      </c>
      <c r="AF1926" s="163" t="s">
        <v>51</v>
      </c>
      <c r="AG1926" s="163" t="s">
        <v>152</v>
      </c>
      <c r="AH1926" s="163">
        <v>4.0492683414237005</v>
      </c>
      <c r="AJ1926" s="78" t="s">
        <v>52</v>
      </c>
      <c r="AK1926" s="78" t="s">
        <v>19</v>
      </c>
      <c r="AL1926" s="78" t="s">
        <v>28</v>
      </c>
      <c r="AM1926" s="78" t="s">
        <v>51</v>
      </c>
      <c r="AN1926" s="78" t="s">
        <v>736</v>
      </c>
      <c r="AO1926" s="78">
        <v>1.4292265808940507</v>
      </c>
    </row>
    <row r="1927" spans="29:41">
      <c r="AC1927" s="163" t="s">
        <v>52</v>
      </c>
      <c r="AD1927" s="163" t="s">
        <v>20</v>
      </c>
      <c r="AE1927" s="163" t="s">
        <v>72</v>
      </c>
      <c r="AF1927" s="163" t="s">
        <v>51</v>
      </c>
      <c r="AG1927" s="163" t="s">
        <v>153</v>
      </c>
      <c r="AH1927" s="163">
        <v>4.1135643018144359</v>
      </c>
      <c r="AJ1927" s="78" t="s">
        <v>52</v>
      </c>
      <c r="AK1927" s="78" t="s">
        <v>19</v>
      </c>
      <c r="AL1927" s="78" t="s">
        <v>28</v>
      </c>
      <c r="AM1927" s="78" t="s">
        <v>51</v>
      </c>
      <c r="AN1927" s="78" t="s">
        <v>737</v>
      </c>
      <c r="AO1927" s="78">
        <v>1.4237621575077808</v>
      </c>
    </row>
    <row r="1928" spans="29:41">
      <c r="AC1928" s="163" t="s">
        <v>52</v>
      </c>
      <c r="AD1928" s="163" t="s">
        <v>20</v>
      </c>
      <c r="AE1928" s="163" t="s">
        <v>72</v>
      </c>
      <c r="AF1928" s="163" t="s">
        <v>51</v>
      </c>
      <c r="AG1928" s="163" t="s">
        <v>154</v>
      </c>
      <c r="AH1928" s="163">
        <v>4.1135643018144359</v>
      </c>
      <c r="AJ1928" s="78" t="s">
        <v>52</v>
      </c>
      <c r="AK1928" s="78" t="s">
        <v>19</v>
      </c>
      <c r="AL1928" s="78" t="s">
        <v>28</v>
      </c>
      <c r="AM1928" s="78" t="s">
        <v>51</v>
      </c>
      <c r="AN1928" s="78" t="s">
        <v>738</v>
      </c>
      <c r="AO1928" s="78">
        <v>1.4306555790335906</v>
      </c>
    </row>
    <row r="1929" spans="29:41">
      <c r="AC1929" s="163" t="s">
        <v>52</v>
      </c>
      <c r="AD1929" s="163" t="s">
        <v>20</v>
      </c>
      <c r="AE1929" s="163" t="s">
        <v>72</v>
      </c>
      <c r="AF1929" s="163" t="s">
        <v>51</v>
      </c>
      <c r="AG1929" s="163" t="s">
        <v>155</v>
      </c>
      <c r="AH1929" s="163">
        <v>4.0672857326453746</v>
      </c>
      <c r="AJ1929" s="78" t="s">
        <v>52</v>
      </c>
      <c r="AK1929" s="78" t="s">
        <v>19</v>
      </c>
      <c r="AL1929" s="78" t="s">
        <v>28</v>
      </c>
      <c r="AM1929" s="78" t="s">
        <v>51</v>
      </c>
      <c r="AN1929" s="78" t="s">
        <v>739</v>
      </c>
      <c r="AO1929" s="78">
        <v>1.4320564078284206</v>
      </c>
    </row>
    <row r="1930" spans="29:41">
      <c r="AC1930" s="163" t="s">
        <v>52</v>
      </c>
      <c r="AD1930" s="163" t="s">
        <v>20</v>
      </c>
      <c r="AE1930" s="163" t="s">
        <v>72</v>
      </c>
      <c r="AF1930" s="163" t="s">
        <v>51</v>
      </c>
      <c r="AG1930" s="163" t="s">
        <v>156</v>
      </c>
      <c r="AH1930" s="163">
        <v>4.1720767377573145</v>
      </c>
      <c r="AJ1930" s="78" t="s">
        <v>52</v>
      </c>
      <c r="AK1930" s="78" t="s">
        <v>19</v>
      </c>
      <c r="AL1930" s="78" t="s">
        <v>28</v>
      </c>
      <c r="AM1930" s="78" t="s">
        <v>51</v>
      </c>
      <c r="AN1930" s="78" t="s">
        <v>740</v>
      </c>
      <c r="AO1930" s="78">
        <v>1.364403079373901</v>
      </c>
    </row>
    <row r="1931" spans="29:41">
      <c r="AC1931" s="163" t="s">
        <v>52</v>
      </c>
      <c r="AD1931" s="163" t="s">
        <v>20</v>
      </c>
      <c r="AE1931" s="163" t="s">
        <v>72</v>
      </c>
      <c r="AF1931" s="163" t="s">
        <v>51</v>
      </c>
      <c r="AG1931" s="163" t="s">
        <v>157</v>
      </c>
      <c r="AH1931" s="163">
        <v>4.0672857326453746</v>
      </c>
      <c r="AJ1931" s="78" t="s">
        <v>52</v>
      </c>
      <c r="AK1931" s="78" t="s">
        <v>19</v>
      </c>
      <c r="AL1931" s="78" t="s">
        <v>28</v>
      </c>
      <c r="AM1931" s="78" t="s">
        <v>51</v>
      </c>
      <c r="AN1931" s="78" t="s">
        <v>741</v>
      </c>
      <c r="AO1931" s="78">
        <v>1.3980967158247908</v>
      </c>
    </row>
    <row r="1932" spans="29:41">
      <c r="AC1932" s="78" t="s">
        <v>52</v>
      </c>
      <c r="AD1932" s="78" t="s">
        <v>20</v>
      </c>
      <c r="AE1932" s="78" t="s">
        <v>72</v>
      </c>
      <c r="AF1932" s="78" t="s">
        <v>51</v>
      </c>
      <c r="AG1932" s="78" t="s">
        <v>158</v>
      </c>
      <c r="AH1932" s="78">
        <v>4.0672857326453746</v>
      </c>
      <c r="AJ1932" s="78" t="s">
        <v>52</v>
      </c>
      <c r="AK1932" s="78" t="s">
        <v>19</v>
      </c>
      <c r="AL1932" s="78" t="s">
        <v>28</v>
      </c>
      <c r="AM1932" s="78" t="s">
        <v>51</v>
      </c>
      <c r="AN1932" s="78" t="s">
        <v>742</v>
      </c>
      <c r="AO1932" s="78">
        <v>1.412341802773081</v>
      </c>
    </row>
    <row r="1933" spans="29:41">
      <c r="AC1933" s="78" t="s">
        <v>52</v>
      </c>
      <c r="AD1933" s="78" t="s">
        <v>20</v>
      </c>
      <c r="AE1933" s="78" t="s">
        <v>72</v>
      </c>
      <c r="AF1933" s="78" t="s">
        <v>51</v>
      </c>
      <c r="AG1933" s="78" t="s">
        <v>159</v>
      </c>
      <c r="AH1933" s="78">
        <v>4.1106996097871527</v>
      </c>
      <c r="AJ1933" s="78" t="s">
        <v>52</v>
      </c>
      <c r="AK1933" s="78" t="s">
        <v>19</v>
      </c>
      <c r="AL1933" s="78" t="s">
        <v>28</v>
      </c>
      <c r="AM1933" s="78" t="s">
        <v>51</v>
      </c>
      <c r="AN1933" s="78" t="s">
        <v>425</v>
      </c>
      <c r="AO1933" s="78">
        <v>1.4523633824008504</v>
      </c>
    </row>
    <row r="1934" spans="29:41">
      <c r="AC1934" s="78" t="s">
        <v>52</v>
      </c>
      <c r="AD1934" s="78" t="s">
        <v>20</v>
      </c>
      <c r="AE1934" s="78" t="s">
        <v>72</v>
      </c>
      <c r="AF1934" s="78" t="s">
        <v>51</v>
      </c>
      <c r="AG1934" s="78" t="s">
        <v>160</v>
      </c>
      <c r="AH1934" s="78">
        <v>4.1720767377573145</v>
      </c>
      <c r="AJ1934" s="78" t="s">
        <v>52</v>
      </c>
      <c r="AK1934" s="78" t="s">
        <v>19</v>
      </c>
      <c r="AL1934" s="78" t="s">
        <v>28</v>
      </c>
      <c r="AM1934" s="78" t="s">
        <v>51</v>
      </c>
      <c r="AN1934" s="78" t="s">
        <v>743</v>
      </c>
      <c r="AO1934" s="78">
        <v>1.4166077817072409</v>
      </c>
    </row>
    <row r="1935" spans="29:41">
      <c r="AC1935" s="78" t="s">
        <v>52</v>
      </c>
      <c r="AD1935" s="78" t="s">
        <v>20</v>
      </c>
      <c r="AE1935" s="78" t="s">
        <v>72</v>
      </c>
      <c r="AF1935" s="78" t="s">
        <v>51</v>
      </c>
      <c r="AG1935" s="78" t="s">
        <v>161</v>
      </c>
      <c r="AH1935" s="78">
        <v>4.1720767377573145</v>
      </c>
      <c r="AJ1935" s="78" t="s">
        <v>52</v>
      </c>
      <c r="AK1935" s="78" t="s">
        <v>19</v>
      </c>
      <c r="AL1935" s="78" t="s">
        <v>28</v>
      </c>
      <c r="AM1935" s="78" t="s">
        <v>51</v>
      </c>
      <c r="AN1935" s="78" t="s">
        <v>744</v>
      </c>
      <c r="AO1935" s="78">
        <v>1.3831249547013509</v>
      </c>
    </row>
    <row r="1936" spans="29:41">
      <c r="AC1936" s="78" t="s">
        <v>52</v>
      </c>
      <c r="AD1936" s="78" t="s">
        <v>20</v>
      </c>
      <c r="AE1936" s="78" t="s">
        <v>72</v>
      </c>
      <c r="AF1936" s="78" t="s">
        <v>51</v>
      </c>
      <c r="AG1936" s="78" t="s">
        <v>162</v>
      </c>
      <c r="AH1936" s="78">
        <v>4.0672857326453746</v>
      </c>
      <c r="AJ1936" s="78" t="s">
        <v>52</v>
      </c>
      <c r="AK1936" s="78" t="s">
        <v>19</v>
      </c>
      <c r="AL1936" s="78" t="s">
        <v>28</v>
      </c>
      <c r="AM1936" s="78" t="s">
        <v>51</v>
      </c>
      <c r="AN1936" s="78" t="s">
        <v>745</v>
      </c>
      <c r="AO1936" s="78">
        <v>1.3975290116719885</v>
      </c>
    </row>
    <row r="1937" spans="29:41">
      <c r="AC1937" s="78" t="s">
        <v>52</v>
      </c>
      <c r="AD1937" s="78" t="s">
        <v>20</v>
      </c>
      <c r="AE1937" s="78" t="s">
        <v>72</v>
      </c>
      <c r="AF1937" s="78" t="s">
        <v>51</v>
      </c>
      <c r="AG1937" s="78" t="s">
        <v>163</v>
      </c>
      <c r="AH1937" s="78">
        <v>4.1720767377573145</v>
      </c>
      <c r="AJ1937" s="78" t="s">
        <v>52</v>
      </c>
      <c r="AK1937" s="78" t="s">
        <v>19</v>
      </c>
      <c r="AL1937" s="78" t="s">
        <v>28</v>
      </c>
      <c r="AM1937" s="78" t="s">
        <v>51</v>
      </c>
      <c r="AN1937" s="78" t="s">
        <v>424</v>
      </c>
      <c r="AO1937" s="78">
        <v>1.3832177460197108</v>
      </c>
    </row>
    <row r="1938" spans="29:41">
      <c r="AC1938" s="78" t="s">
        <v>52</v>
      </c>
      <c r="AD1938" s="78" t="s">
        <v>20</v>
      </c>
      <c r="AE1938" s="78" t="s">
        <v>72</v>
      </c>
      <c r="AF1938" s="78" t="s">
        <v>51</v>
      </c>
      <c r="AG1938" s="78" t="s">
        <v>164</v>
      </c>
      <c r="AH1938" s="78">
        <v>4.0672857326453746</v>
      </c>
      <c r="AJ1938" s="78" t="s">
        <v>52</v>
      </c>
      <c r="AK1938" s="78" t="s">
        <v>19</v>
      </c>
      <c r="AL1938" s="78" t="s">
        <v>28</v>
      </c>
      <c r="AM1938" s="78" t="s">
        <v>51</v>
      </c>
      <c r="AN1938" s="78" t="s">
        <v>427</v>
      </c>
      <c r="AO1938" s="78">
        <v>1.3786904643775584</v>
      </c>
    </row>
    <row r="1939" spans="29:41">
      <c r="AC1939" s="78" t="s">
        <v>52</v>
      </c>
      <c r="AD1939" s="78" t="s">
        <v>20</v>
      </c>
      <c r="AE1939" s="78" t="s">
        <v>72</v>
      </c>
      <c r="AF1939" s="78" t="s">
        <v>51</v>
      </c>
      <c r="AG1939" s="78" t="s">
        <v>165</v>
      </c>
      <c r="AH1939" s="78">
        <v>4.1135643018144359</v>
      </c>
      <c r="AJ1939" s="78" t="s">
        <v>52</v>
      </c>
      <c r="AK1939" s="78" t="s">
        <v>20</v>
      </c>
      <c r="AL1939" s="78" t="s">
        <v>28</v>
      </c>
      <c r="AM1939" s="78" t="s">
        <v>51</v>
      </c>
      <c r="AN1939" s="78" t="s">
        <v>129</v>
      </c>
      <c r="AO1939" s="78">
        <v>1.3276040404206293</v>
      </c>
    </row>
    <row r="1940" spans="29:41">
      <c r="AC1940" s="78" t="s">
        <v>52</v>
      </c>
      <c r="AD1940" s="78" t="s">
        <v>20</v>
      </c>
      <c r="AE1940" s="78" t="s">
        <v>72</v>
      </c>
      <c r="AF1940" s="78" t="s">
        <v>51</v>
      </c>
      <c r="AG1940" s="78" t="s">
        <v>166</v>
      </c>
      <c r="AH1940" s="78">
        <v>4.1135643018144359</v>
      </c>
      <c r="AJ1940" s="78" t="s">
        <v>52</v>
      </c>
      <c r="AK1940" s="78" t="s">
        <v>20</v>
      </c>
      <c r="AL1940" s="78" t="s">
        <v>28</v>
      </c>
      <c r="AM1940" s="78" t="s">
        <v>51</v>
      </c>
      <c r="AN1940" s="78" t="s">
        <v>130</v>
      </c>
      <c r="AO1940" s="78">
        <v>1.3376202576964793</v>
      </c>
    </row>
    <row r="1941" spans="29:41">
      <c r="AC1941" s="78" t="s">
        <v>52</v>
      </c>
      <c r="AD1941" s="78" t="s">
        <v>20</v>
      </c>
      <c r="AE1941" s="78" t="s">
        <v>72</v>
      </c>
      <c r="AF1941" s="78" t="s">
        <v>51</v>
      </c>
      <c r="AG1941" s="78" t="s">
        <v>167</v>
      </c>
      <c r="AH1941" s="78">
        <v>4.1135643018144359</v>
      </c>
      <c r="AJ1941" s="78" t="s">
        <v>52</v>
      </c>
      <c r="AK1941" s="78" t="s">
        <v>20</v>
      </c>
      <c r="AL1941" s="78" t="s">
        <v>28</v>
      </c>
      <c r="AM1941" s="78" t="s">
        <v>51</v>
      </c>
      <c r="AN1941" s="78" t="s">
        <v>131</v>
      </c>
      <c r="AO1941" s="78">
        <v>1.3462424054732489</v>
      </c>
    </row>
    <row r="1942" spans="29:41">
      <c r="AC1942" s="78" t="s">
        <v>52</v>
      </c>
      <c r="AD1942" s="78" t="s">
        <v>20</v>
      </c>
      <c r="AE1942" s="78" t="s">
        <v>72</v>
      </c>
      <c r="AF1942" s="78" t="s">
        <v>51</v>
      </c>
      <c r="AG1942" s="78" t="s">
        <v>168</v>
      </c>
      <c r="AH1942" s="78">
        <v>4.1135643018144359</v>
      </c>
      <c r="AJ1942" s="78" t="s">
        <v>52</v>
      </c>
      <c r="AK1942" s="78" t="s">
        <v>20</v>
      </c>
      <c r="AL1942" s="78" t="s">
        <v>28</v>
      </c>
      <c r="AM1942" s="78" t="s">
        <v>51</v>
      </c>
      <c r="AN1942" s="78" t="s">
        <v>132</v>
      </c>
      <c r="AO1942" s="78">
        <v>1.4339233654036512</v>
      </c>
    </row>
    <row r="1943" spans="29:41">
      <c r="AC1943" s="78" t="s">
        <v>52</v>
      </c>
      <c r="AD1943" s="78" t="s">
        <v>20</v>
      </c>
      <c r="AE1943" s="78" t="s">
        <v>72</v>
      </c>
      <c r="AF1943" s="78" t="s">
        <v>51</v>
      </c>
      <c r="AG1943" s="78" t="s">
        <v>169</v>
      </c>
      <c r="AH1943" s="78">
        <v>4.1748311341021385</v>
      </c>
      <c r="AJ1943" s="78" t="s">
        <v>52</v>
      </c>
      <c r="AK1943" s="78" t="s">
        <v>20</v>
      </c>
      <c r="AL1943" s="78" t="s">
        <v>28</v>
      </c>
      <c r="AM1943" s="78" t="s">
        <v>51</v>
      </c>
      <c r="AN1943" s="78" t="s">
        <v>133</v>
      </c>
      <c r="AO1943" s="78">
        <v>1.3980450736732202</v>
      </c>
    </row>
    <row r="1944" spans="29:41">
      <c r="AC1944" s="78" t="s">
        <v>52</v>
      </c>
      <c r="AD1944" s="78" t="s">
        <v>20</v>
      </c>
      <c r="AE1944" s="78" t="s">
        <v>72</v>
      </c>
      <c r="AF1944" s="78" t="s">
        <v>51</v>
      </c>
      <c r="AG1944" s="78" t="s">
        <v>170</v>
      </c>
      <c r="AH1944" s="78">
        <v>4.1618039804499194</v>
      </c>
      <c r="AJ1944" s="78" t="s">
        <v>52</v>
      </c>
      <c r="AK1944" s="78" t="s">
        <v>20</v>
      </c>
      <c r="AL1944" s="78" t="s">
        <v>28</v>
      </c>
      <c r="AM1944" s="78" t="s">
        <v>51</v>
      </c>
      <c r="AN1944" s="78" t="s">
        <v>134</v>
      </c>
      <c r="AO1944" s="78">
        <v>1.3467036436431594</v>
      </c>
    </row>
    <row r="1945" spans="29:41">
      <c r="AC1945" s="78" t="s">
        <v>52</v>
      </c>
      <c r="AD1945" s="78" t="s">
        <v>20</v>
      </c>
      <c r="AE1945" s="78" t="s">
        <v>72</v>
      </c>
      <c r="AF1945" s="78" t="s">
        <v>51</v>
      </c>
      <c r="AG1945" s="78" t="s">
        <v>171</v>
      </c>
      <c r="AH1945" s="78">
        <v>4.1305539804499194</v>
      </c>
      <c r="AJ1945" s="78" t="s">
        <v>52</v>
      </c>
      <c r="AK1945" s="78" t="s">
        <v>20</v>
      </c>
      <c r="AL1945" s="78" t="s">
        <v>28</v>
      </c>
      <c r="AM1945" s="78" t="s">
        <v>51</v>
      </c>
      <c r="AN1945" s="78" t="s">
        <v>135</v>
      </c>
      <c r="AO1945" s="78">
        <v>1.3652186771317991</v>
      </c>
    </row>
    <row r="1946" spans="29:41">
      <c r="AC1946" s="78" t="s">
        <v>52</v>
      </c>
      <c r="AD1946" s="78" t="s">
        <v>20</v>
      </c>
      <c r="AE1946" s="78" t="s">
        <v>72</v>
      </c>
      <c r="AF1946" s="78" t="s">
        <v>51</v>
      </c>
      <c r="AG1946" s="78" t="s">
        <v>172</v>
      </c>
      <c r="AH1946" s="78">
        <v>4.1305539804499194</v>
      </c>
      <c r="AJ1946" s="78" t="s">
        <v>52</v>
      </c>
      <c r="AK1946" s="78" t="s">
        <v>20</v>
      </c>
      <c r="AL1946" s="78" t="s">
        <v>28</v>
      </c>
      <c r="AM1946" s="78" t="s">
        <v>51</v>
      </c>
      <c r="AN1946" s="78" t="s">
        <v>136</v>
      </c>
      <c r="AO1946" s="78">
        <v>1.4863728858778815</v>
      </c>
    </row>
    <row r="1947" spans="29:41">
      <c r="AC1947" s="78" t="s">
        <v>52</v>
      </c>
      <c r="AD1947" s="78" t="s">
        <v>20</v>
      </c>
      <c r="AE1947" s="78" t="s">
        <v>72</v>
      </c>
      <c r="AF1947" s="78" t="s">
        <v>51</v>
      </c>
      <c r="AG1947" s="78" t="s">
        <v>173</v>
      </c>
      <c r="AH1947" s="78">
        <v>4.1618039804499194</v>
      </c>
      <c r="AJ1947" s="78" t="s">
        <v>52</v>
      </c>
      <c r="AK1947" s="78" t="s">
        <v>20</v>
      </c>
      <c r="AL1947" s="78" t="s">
        <v>28</v>
      </c>
      <c r="AM1947" s="78" t="s">
        <v>51</v>
      </c>
      <c r="AN1947" s="78" t="s">
        <v>137</v>
      </c>
      <c r="AO1947" s="78">
        <v>1.3615482313074194</v>
      </c>
    </row>
    <row r="1948" spans="29:41">
      <c r="AC1948" s="78" t="s">
        <v>52</v>
      </c>
      <c r="AD1948" s="78" t="s">
        <v>20</v>
      </c>
      <c r="AE1948" s="78" t="s">
        <v>72</v>
      </c>
      <c r="AF1948" s="78" t="s">
        <v>51</v>
      </c>
      <c r="AG1948" s="78" t="s">
        <v>174</v>
      </c>
      <c r="AH1948" s="78">
        <v>4.2392234701408622</v>
      </c>
      <c r="AJ1948" s="78" t="s">
        <v>52</v>
      </c>
      <c r="AK1948" s="78" t="s">
        <v>20</v>
      </c>
      <c r="AL1948" s="78" t="s">
        <v>28</v>
      </c>
      <c r="AM1948" s="78" t="s">
        <v>51</v>
      </c>
      <c r="AN1948" s="78" t="s">
        <v>138</v>
      </c>
      <c r="AO1948" s="78">
        <v>1.3376271286219992</v>
      </c>
    </row>
    <row r="1949" spans="29:41">
      <c r="AC1949" s="78" t="s">
        <v>52</v>
      </c>
      <c r="AD1949" s="78" t="s">
        <v>20</v>
      </c>
      <c r="AE1949" s="78" t="s">
        <v>72</v>
      </c>
      <c r="AF1949" s="78" t="s">
        <v>51</v>
      </c>
      <c r="AG1949" s="78" t="s">
        <v>175</v>
      </c>
      <c r="AH1949" s="78">
        <v>4.3642403763055508</v>
      </c>
      <c r="AJ1949" s="78" t="s">
        <v>52</v>
      </c>
      <c r="AK1949" s="78" t="s">
        <v>20</v>
      </c>
      <c r="AL1949" s="78" t="s">
        <v>28</v>
      </c>
      <c r="AM1949" s="78" t="s">
        <v>51</v>
      </c>
      <c r="AN1949" s="78" t="s">
        <v>139</v>
      </c>
      <c r="AO1949" s="78">
        <v>1.334712971145259</v>
      </c>
    </row>
    <row r="1950" spans="29:41">
      <c r="AC1950" s="78" t="s">
        <v>52</v>
      </c>
      <c r="AD1950" s="78" t="s">
        <v>20</v>
      </c>
      <c r="AE1950" s="78" t="s">
        <v>72</v>
      </c>
      <c r="AF1950" s="78" t="s">
        <v>51</v>
      </c>
      <c r="AG1950" s="78" t="s">
        <v>176</v>
      </c>
      <c r="AH1950" s="78">
        <v>4.4251782413789309</v>
      </c>
      <c r="AJ1950" s="78" t="s">
        <v>52</v>
      </c>
      <c r="AK1950" s="78" t="s">
        <v>20</v>
      </c>
      <c r="AL1950" s="78" t="s">
        <v>28</v>
      </c>
      <c r="AM1950" s="78" t="s">
        <v>51</v>
      </c>
      <c r="AN1950" s="78" t="s">
        <v>140</v>
      </c>
      <c r="AO1950" s="78">
        <v>1.481982231006719</v>
      </c>
    </row>
    <row r="1951" spans="29:41">
      <c r="AC1951" s="78" t="s">
        <v>52</v>
      </c>
      <c r="AD1951" s="78" t="s">
        <v>20</v>
      </c>
      <c r="AE1951" s="78" t="s">
        <v>72</v>
      </c>
      <c r="AF1951" s="78" t="s">
        <v>51</v>
      </c>
      <c r="AG1951" s="78" t="s">
        <v>177</v>
      </c>
      <c r="AH1951" s="78">
        <v>4.1618039804499194</v>
      </c>
      <c r="AJ1951" s="78" t="s">
        <v>52</v>
      </c>
      <c r="AK1951" s="78" t="s">
        <v>20</v>
      </c>
      <c r="AL1951" s="78" t="s">
        <v>28</v>
      </c>
      <c r="AM1951" s="78" t="s">
        <v>51</v>
      </c>
      <c r="AN1951" s="78" t="s">
        <v>141</v>
      </c>
      <c r="AO1951" s="78">
        <v>1.4040077380531564</v>
      </c>
    </row>
    <row r="1952" spans="29:41">
      <c r="AC1952" s="78" t="s">
        <v>52</v>
      </c>
      <c r="AD1952" s="78" t="s">
        <v>20</v>
      </c>
      <c r="AE1952" s="78" t="s">
        <v>72</v>
      </c>
      <c r="AF1952" s="78" t="s">
        <v>51</v>
      </c>
      <c r="AG1952" s="78" t="s">
        <v>178</v>
      </c>
      <c r="AH1952" s="78">
        <v>4.3642403763055508</v>
      </c>
      <c r="AJ1952" s="78" t="s">
        <v>52</v>
      </c>
      <c r="AK1952" s="78" t="s">
        <v>20</v>
      </c>
      <c r="AL1952" s="78" t="s">
        <v>28</v>
      </c>
      <c r="AM1952" s="78" t="s">
        <v>51</v>
      </c>
      <c r="AN1952" s="78" t="s">
        <v>142</v>
      </c>
      <c r="AO1952" s="78">
        <v>1.503058195558439</v>
      </c>
    </row>
    <row r="1953" spans="29:41">
      <c r="AC1953" s="78" t="s">
        <v>52</v>
      </c>
      <c r="AD1953" s="78" t="s">
        <v>20</v>
      </c>
      <c r="AE1953" s="78" t="s">
        <v>72</v>
      </c>
      <c r="AF1953" s="78" t="s">
        <v>51</v>
      </c>
      <c r="AG1953" s="78" t="s">
        <v>179</v>
      </c>
      <c r="AH1953" s="78">
        <v>4.2563244659487021</v>
      </c>
      <c r="AJ1953" s="78" t="s">
        <v>52</v>
      </c>
      <c r="AK1953" s="78" t="s">
        <v>20</v>
      </c>
      <c r="AL1953" s="78" t="s">
        <v>28</v>
      </c>
      <c r="AM1953" s="78" t="s">
        <v>51</v>
      </c>
      <c r="AN1953" s="78" t="s">
        <v>143</v>
      </c>
      <c r="AO1953" s="78">
        <v>1.456054823822776</v>
      </c>
    </row>
    <row r="1954" spans="29:41">
      <c r="AC1954" s="78" t="s">
        <v>52</v>
      </c>
      <c r="AD1954" s="78" t="s">
        <v>20</v>
      </c>
      <c r="AE1954" s="78" t="s">
        <v>72</v>
      </c>
      <c r="AF1954" s="78" t="s">
        <v>51</v>
      </c>
      <c r="AG1954" s="78" t="s">
        <v>180</v>
      </c>
      <c r="AH1954" s="78">
        <v>4.2875744659487021</v>
      </c>
      <c r="AJ1954" s="78" t="s">
        <v>52</v>
      </c>
      <c r="AK1954" s="78" t="s">
        <v>20</v>
      </c>
      <c r="AL1954" s="78" t="s">
        <v>28</v>
      </c>
      <c r="AM1954" s="78" t="s">
        <v>51</v>
      </c>
      <c r="AN1954" s="78" t="s">
        <v>144</v>
      </c>
      <c r="AO1954" s="78">
        <v>1.4574390170989944</v>
      </c>
    </row>
    <row r="1955" spans="29:41">
      <c r="AC1955" s="78" t="s">
        <v>52</v>
      </c>
      <c r="AD1955" s="78" t="s">
        <v>20</v>
      </c>
      <c r="AE1955" s="78" t="s">
        <v>72</v>
      </c>
      <c r="AF1955" s="78" t="s">
        <v>51</v>
      </c>
      <c r="AG1955" s="78" t="s">
        <v>181</v>
      </c>
      <c r="AH1955" s="78">
        <v>4.2875744659487021</v>
      </c>
      <c r="AJ1955" s="78" t="s">
        <v>52</v>
      </c>
      <c r="AK1955" s="78" t="s">
        <v>20</v>
      </c>
      <c r="AL1955" s="78" t="s">
        <v>28</v>
      </c>
      <c r="AM1955" s="78" t="s">
        <v>51</v>
      </c>
      <c r="AN1955" s="78" t="s">
        <v>145</v>
      </c>
      <c r="AO1955" s="78">
        <v>1.4493949057691164</v>
      </c>
    </row>
    <row r="1956" spans="29:41">
      <c r="AC1956" s="78" t="s">
        <v>52</v>
      </c>
      <c r="AD1956" s="78" t="s">
        <v>20</v>
      </c>
      <c r="AE1956" s="78" t="s">
        <v>72</v>
      </c>
      <c r="AF1956" s="78" t="s">
        <v>51</v>
      </c>
      <c r="AG1956" s="78" t="s">
        <v>182</v>
      </c>
      <c r="AH1956" s="78">
        <v>4.3002725972031506</v>
      </c>
      <c r="AJ1956" s="78" t="s">
        <v>52</v>
      </c>
      <c r="AK1956" s="78" t="s">
        <v>20</v>
      </c>
      <c r="AL1956" s="78" t="s">
        <v>28</v>
      </c>
      <c r="AM1956" s="78" t="s">
        <v>51</v>
      </c>
      <c r="AN1956" s="78" t="s">
        <v>146</v>
      </c>
      <c r="AO1956" s="78">
        <v>1.4840452591736897</v>
      </c>
    </row>
    <row r="1957" spans="29:41">
      <c r="AC1957" s="78" t="s">
        <v>52</v>
      </c>
      <c r="AD1957" s="78" t="s">
        <v>20</v>
      </c>
      <c r="AE1957" s="78" t="s">
        <v>72</v>
      </c>
      <c r="AF1957" s="78" t="s">
        <v>51</v>
      </c>
      <c r="AG1957" s="78" t="s">
        <v>183</v>
      </c>
      <c r="AH1957" s="78">
        <v>4.2392234701408622</v>
      </c>
      <c r="AJ1957" s="78" t="s">
        <v>52</v>
      </c>
      <c r="AK1957" s="78" t="s">
        <v>20</v>
      </c>
      <c r="AL1957" s="78" t="s">
        <v>28</v>
      </c>
      <c r="AM1957" s="78" t="s">
        <v>51</v>
      </c>
      <c r="AN1957" s="78" t="s">
        <v>147</v>
      </c>
      <c r="AO1957" s="78">
        <v>1.5425610731525299</v>
      </c>
    </row>
    <row r="1958" spans="29:41">
      <c r="AC1958" s="78" t="s">
        <v>52</v>
      </c>
      <c r="AD1958" s="78" t="s">
        <v>20</v>
      </c>
      <c r="AE1958" s="78" t="s">
        <v>72</v>
      </c>
      <c r="AF1958" s="78" t="s">
        <v>51</v>
      </c>
      <c r="AG1958" s="78" t="s">
        <v>184</v>
      </c>
      <c r="AH1958" s="78">
        <v>4.4251782413789309</v>
      </c>
      <c r="AJ1958" s="78" t="s">
        <v>52</v>
      </c>
      <c r="AK1958" s="78" t="s">
        <v>20</v>
      </c>
      <c r="AL1958" s="78" t="s">
        <v>28</v>
      </c>
      <c r="AM1958" s="78" t="s">
        <v>51</v>
      </c>
      <c r="AN1958" s="78" t="s">
        <v>148</v>
      </c>
      <c r="AO1958" s="78">
        <v>1.4842097036588688</v>
      </c>
    </row>
    <row r="1959" spans="29:41">
      <c r="AC1959" s="78" t="s">
        <v>52</v>
      </c>
      <c r="AD1959" s="78" t="s">
        <v>20</v>
      </c>
      <c r="AE1959" s="78" t="s">
        <v>72</v>
      </c>
      <c r="AF1959" s="78" t="s">
        <v>51</v>
      </c>
      <c r="AG1959" s="78" t="s">
        <v>185</v>
      </c>
      <c r="AH1959" s="78">
        <v>4.4251782413789309</v>
      </c>
      <c r="AJ1959" s="78" t="s">
        <v>52</v>
      </c>
      <c r="AK1959" s="78" t="s">
        <v>20</v>
      </c>
      <c r="AL1959" s="78" t="s">
        <v>28</v>
      </c>
      <c r="AM1959" s="78" t="s">
        <v>51</v>
      </c>
      <c r="AN1959" s="78" t="s">
        <v>149</v>
      </c>
      <c r="AO1959" s="78">
        <v>1.4525291405354961</v>
      </c>
    </row>
    <row r="1960" spans="29:41">
      <c r="AC1960" s="78" t="s">
        <v>52</v>
      </c>
      <c r="AD1960" s="78" t="s">
        <v>20</v>
      </c>
      <c r="AE1960" s="78" t="s">
        <v>72</v>
      </c>
      <c r="AF1960" s="78" t="s">
        <v>51</v>
      </c>
      <c r="AG1960" s="78" t="s">
        <v>186</v>
      </c>
      <c r="AH1960" s="78">
        <v>4.4251782413789309</v>
      </c>
      <c r="AJ1960" s="78" t="s">
        <v>52</v>
      </c>
      <c r="AK1960" s="78" t="s">
        <v>20</v>
      </c>
      <c r="AL1960" s="78" t="s">
        <v>28</v>
      </c>
      <c r="AM1960" s="78" t="s">
        <v>51</v>
      </c>
      <c r="AN1960" s="78" t="s">
        <v>150</v>
      </c>
      <c r="AO1960" s="78">
        <v>1.5728109623670243</v>
      </c>
    </row>
    <row r="1961" spans="29:41">
      <c r="AC1961" s="78" t="s">
        <v>52</v>
      </c>
      <c r="AD1961" s="78" t="s">
        <v>20</v>
      </c>
      <c r="AE1961" s="78" t="s">
        <v>72</v>
      </c>
      <c r="AF1961" s="78" t="s">
        <v>51</v>
      </c>
      <c r="AG1961" s="78" t="s">
        <v>187</v>
      </c>
      <c r="AH1961" s="78">
        <v>4.3642403763055508</v>
      </c>
      <c r="AJ1961" s="78" t="s">
        <v>52</v>
      </c>
      <c r="AK1961" s="78" t="s">
        <v>20</v>
      </c>
      <c r="AL1961" s="78" t="s">
        <v>28</v>
      </c>
      <c r="AM1961" s="78" t="s">
        <v>51</v>
      </c>
      <c r="AN1961" s="78" t="s">
        <v>151</v>
      </c>
      <c r="AO1961" s="78">
        <v>1.5207940697567046</v>
      </c>
    </row>
    <row r="1962" spans="29:41">
      <c r="AC1962" s="78" t="s">
        <v>52</v>
      </c>
      <c r="AD1962" s="78" t="s">
        <v>20</v>
      </c>
      <c r="AE1962" s="78" t="s">
        <v>72</v>
      </c>
      <c r="AF1962" s="78" t="s">
        <v>51</v>
      </c>
      <c r="AG1962" s="78" t="s">
        <v>188</v>
      </c>
      <c r="AH1962" s="78">
        <v>4.3642403763055508</v>
      </c>
      <c r="AJ1962" s="78" t="s">
        <v>52</v>
      </c>
      <c r="AK1962" s="78" t="s">
        <v>20</v>
      </c>
      <c r="AL1962" s="78" t="s">
        <v>28</v>
      </c>
      <c r="AM1962" s="78" t="s">
        <v>51</v>
      </c>
      <c r="AN1962" s="78" t="s">
        <v>152</v>
      </c>
      <c r="AO1962" s="78">
        <v>1.4583799198878908</v>
      </c>
    </row>
    <row r="1963" spans="29:41">
      <c r="AC1963" s="78" t="s">
        <v>52</v>
      </c>
      <c r="AD1963" s="78" t="s">
        <v>20</v>
      </c>
      <c r="AE1963" s="78" t="s">
        <v>72</v>
      </c>
      <c r="AF1963" s="78" t="s">
        <v>51</v>
      </c>
      <c r="AG1963" s="78" t="s">
        <v>189</v>
      </c>
      <c r="AH1963" s="78">
        <v>4.3002725972031506</v>
      </c>
      <c r="AJ1963" s="78" t="s">
        <v>52</v>
      </c>
      <c r="AK1963" s="78" t="s">
        <v>20</v>
      </c>
      <c r="AL1963" s="78" t="s">
        <v>28</v>
      </c>
      <c r="AM1963" s="78" t="s">
        <v>51</v>
      </c>
      <c r="AN1963" s="78" t="s">
        <v>153</v>
      </c>
      <c r="AO1963" s="78">
        <v>1.4796471980739163</v>
      </c>
    </row>
    <row r="1964" spans="29:41">
      <c r="AC1964" s="78" t="s">
        <v>52</v>
      </c>
      <c r="AD1964" s="78" t="s">
        <v>20</v>
      </c>
      <c r="AE1964" s="78" t="s">
        <v>72</v>
      </c>
      <c r="AF1964" s="78" t="s">
        <v>51</v>
      </c>
      <c r="AG1964" s="78" t="s">
        <v>190</v>
      </c>
      <c r="AH1964" s="78">
        <v>4.3002725972031506</v>
      </c>
      <c r="AJ1964" s="78" t="s">
        <v>52</v>
      </c>
      <c r="AK1964" s="78" t="s">
        <v>20</v>
      </c>
      <c r="AL1964" s="78" t="s">
        <v>28</v>
      </c>
      <c r="AM1964" s="78" t="s">
        <v>51</v>
      </c>
      <c r="AN1964" s="78" t="s">
        <v>154</v>
      </c>
      <c r="AO1964" s="78">
        <v>1.4847818429359161</v>
      </c>
    </row>
    <row r="1965" spans="29:41">
      <c r="AC1965" s="78" t="s">
        <v>52</v>
      </c>
      <c r="AD1965" s="78" t="s">
        <v>20</v>
      </c>
      <c r="AE1965" s="78" t="s">
        <v>72</v>
      </c>
      <c r="AF1965" s="78" t="s">
        <v>51</v>
      </c>
      <c r="AG1965" s="78" t="s">
        <v>191</v>
      </c>
      <c r="AH1965" s="78">
        <v>4.2392234701408622</v>
      </c>
      <c r="AJ1965" s="78" t="s">
        <v>52</v>
      </c>
      <c r="AK1965" s="78" t="s">
        <v>20</v>
      </c>
      <c r="AL1965" s="78" t="s">
        <v>28</v>
      </c>
      <c r="AM1965" s="78" t="s">
        <v>51</v>
      </c>
      <c r="AN1965" s="78" t="s">
        <v>155</v>
      </c>
      <c r="AO1965" s="78">
        <v>1.4469642209941846</v>
      </c>
    </row>
    <row r="1966" spans="29:41">
      <c r="AC1966" s="78" t="s">
        <v>52</v>
      </c>
      <c r="AD1966" s="78" t="s">
        <v>20</v>
      </c>
      <c r="AE1966" s="78" t="s">
        <v>72</v>
      </c>
      <c r="AF1966" s="78" t="s">
        <v>51</v>
      </c>
      <c r="AG1966" s="78" t="s">
        <v>192</v>
      </c>
      <c r="AH1966" s="78">
        <v>4.2875744659487021</v>
      </c>
      <c r="AJ1966" s="78" t="s">
        <v>52</v>
      </c>
      <c r="AK1966" s="78" t="s">
        <v>20</v>
      </c>
      <c r="AL1966" s="78" t="s">
        <v>28</v>
      </c>
      <c r="AM1966" s="78" t="s">
        <v>51</v>
      </c>
      <c r="AN1966" s="78" t="s">
        <v>156</v>
      </c>
      <c r="AO1966" s="78">
        <v>1.5244184593292145</v>
      </c>
    </row>
    <row r="1967" spans="29:41">
      <c r="AC1967" s="78" t="s">
        <v>52</v>
      </c>
      <c r="AD1967" s="78" t="s">
        <v>20</v>
      </c>
      <c r="AE1967" s="78" t="s">
        <v>72</v>
      </c>
      <c r="AF1967" s="78" t="s">
        <v>51</v>
      </c>
      <c r="AG1967" s="78" t="s">
        <v>193</v>
      </c>
      <c r="AH1967" s="78">
        <v>4.2875744659487021</v>
      </c>
      <c r="AJ1967" s="78" t="s">
        <v>52</v>
      </c>
      <c r="AK1967" s="78" t="s">
        <v>20</v>
      </c>
      <c r="AL1967" s="78" t="s">
        <v>28</v>
      </c>
      <c r="AM1967" s="78" t="s">
        <v>51</v>
      </c>
      <c r="AN1967" s="78" t="s">
        <v>157</v>
      </c>
      <c r="AO1967" s="78">
        <v>1.3998911701134642</v>
      </c>
    </row>
    <row r="1968" spans="29:41">
      <c r="AC1968" s="78" t="s">
        <v>52</v>
      </c>
      <c r="AD1968" s="78" t="s">
        <v>20</v>
      </c>
      <c r="AE1968" s="78" t="s">
        <v>72</v>
      </c>
      <c r="AF1968" s="78" t="s">
        <v>51</v>
      </c>
      <c r="AG1968" s="78" t="s">
        <v>194</v>
      </c>
      <c r="AH1968" s="78">
        <v>4.4447222357449441</v>
      </c>
      <c r="AJ1968" s="78" t="s">
        <v>52</v>
      </c>
      <c r="AK1968" s="78" t="s">
        <v>20</v>
      </c>
      <c r="AL1968" s="78" t="s">
        <v>28</v>
      </c>
      <c r="AM1968" s="78" t="s">
        <v>51</v>
      </c>
      <c r="AN1968" s="78" t="s">
        <v>158</v>
      </c>
      <c r="AO1968" s="78">
        <v>1.4259452822284646</v>
      </c>
    </row>
    <row r="1969" spans="29:41">
      <c r="AC1969" s="78" t="s">
        <v>52</v>
      </c>
      <c r="AD1969" s="78" t="s">
        <v>20</v>
      </c>
      <c r="AE1969" s="78" t="s">
        <v>72</v>
      </c>
      <c r="AF1969" s="78" t="s">
        <v>51</v>
      </c>
      <c r="AG1969" s="78" t="s">
        <v>195</v>
      </c>
      <c r="AH1969" s="78">
        <v>4.5531147075387262</v>
      </c>
      <c r="AJ1969" s="78" t="s">
        <v>52</v>
      </c>
      <c r="AK1969" s="78" t="s">
        <v>20</v>
      </c>
      <c r="AL1969" s="78" t="s">
        <v>28</v>
      </c>
      <c r="AM1969" s="78" t="s">
        <v>51</v>
      </c>
      <c r="AN1969" s="78" t="s">
        <v>159</v>
      </c>
      <c r="AO1969" s="78">
        <v>1.513840842525763</v>
      </c>
    </row>
    <row r="1970" spans="29:41">
      <c r="AC1970" s="78" t="s">
        <v>52</v>
      </c>
      <c r="AD1970" s="78" t="s">
        <v>20</v>
      </c>
      <c r="AE1970" s="78" t="s">
        <v>72</v>
      </c>
      <c r="AF1970" s="78" t="s">
        <v>51</v>
      </c>
      <c r="AG1970" s="78" t="s">
        <v>196</v>
      </c>
      <c r="AH1970" s="78">
        <v>4.5542256765749203</v>
      </c>
      <c r="AJ1970" s="78" t="s">
        <v>52</v>
      </c>
      <c r="AK1970" s="78" t="s">
        <v>20</v>
      </c>
      <c r="AL1970" s="78" t="s">
        <v>28</v>
      </c>
      <c r="AM1970" s="78" t="s">
        <v>51</v>
      </c>
      <c r="AN1970" s="78" t="s">
        <v>160</v>
      </c>
      <c r="AO1970" s="78">
        <v>1.5873831531875244</v>
      </c>
    </row>
    <row r="1971" spans="29:41">
      <c r="AC1971" s="78" t="s">
        <v>52</v>
      </c>
      <c r="AD1971" s="78" t="s">
        <v>20</v>
      </c>
      <c r="AE1971" s="78" t="s">
        <v>72</v>
      </c>
      <c r="AF1971" s="78" t="s">
        <v>51</v>
      </c>
      <c r="AG1971" s="78" t="s">
        <v>197</v>
      </c>
      <c r="AH1971" s="78">
        <v>4.4906750935354101</v>
      </c>
      <c r="AJ1971" s="78" t="s">
        <v>52</v>
      </c>
      <c r="AK1971" s="78" t="s">
        <v>20</v>
      </c>
      <c r="AL1971" s="78" t="s">
        <v>28</v>
      </c>
      <c r="AM1971" s="78" t="s">
        <v>51</v>
      </c>
      <c r="AN1971" s="78" t="s">
        <v>161</v>
      </c>
      <c r="AO1971" s="78">
        <v>1.5961737959585647</v>
      </c>
    </row>
    <row r="1972" spans="29:41">
      <c r="AC1972" s="78" t="s">
        <v>52</v>
      </c>
      <c r="AD1972" s="78" t="s">
        <v>20</v>
      </c>
      <c r="AE1972" s="78" t="s">
        <v>72</v>
      </c>
      <c r="AF1972" s="78" t="s">
        <v>51</v>
      </c>
      <c r="AG1972" s="78" t="s">
        <v>198</v>
      </c>
      <c r="AH1972" s="78">
        <v>4.4906750935354101</v>
      </c>
      <c r="AJ1972" s="78" t="s">
        <v>52</v>
      </c>
      <c r="AK1972" s="78" t="s">
        <v>20</v>
      </c>
      <c r="AL1972" s="78" t="s">
        <v>28</v>
      </c>
      <c r="AM1972" s="78" t="s">
        <v>51</v>
      </c>
      <c r="AN1972" s="78" t="s">
        <v>162</v>
      </c>
      <c r="AO1972" s="78">
        <v>1.5001653121876044</v>
      </c>
    </row>
    <row r="1973" spans="29:41">
      <c r="AC1973" s="78" t="s">
        <v>52</v>
      </c>
      <c r="AD1973" s="78" t="s">
        <v>20</v>
      </c>
      <c r="AE1973" s="78" t="s">
        <v>72</v>
      </c>
      <c r="AF1973" s="78" t="s">
        <v>51</v>
      </c>
      <c r="AG1973" s="78" t="s">
        <v>199</v>
      </c>
      <c r="AH1973" s="78">
        <v>4.6782163696898609</v>
      </c>
      <c r="AJ1973" s="78" t="s">
        <v>52</v>
      </c>
      <c r="AK1973" s="78" t="s">
        <v>20</v>
      </c>
      <c r="AL1973" s="78" t="s">
        <v>28</v>
      </c>
      <c r="AM1973" s="78" t="s">
        <v>51</v>
      </c>
      <c r="AN1973" s="78" t="s">
        <v>163</v>
      </c>
      <c r="AO1973" s="78">
        <v>1.5734875206870544</v>
      </c>
    </row>
    <row r="1974" spans="29:41">
      <c r="AC1974" s="78" t="s">
        <v>52</v>
      </c>
      <c r="AD1974" s="78" t="s">
        <v>20</v>
      </c>
      <c r="AE1974" s="78" t="s">
        <v>72</v>
      </c>
      <c r="AF1974" s="78" t="s">
        <v>51</v>
      </c>
      <c r="AG1974" s="78" t="s">
        <v>200</v>
      </c>
      <c r="AH1974" s="78">
        <v>4.4906750935354101</v>
      </c>
      <c r="AJ1974" s="78" t="s">
        <v>52</v>
      </c>
      <c r="AK1974" s="78" t="s">
        <v>20</v>
      </c>
      <c r="AL1974" s="78" t="s">
        <v>28</v>
      </c>
      <c r="AM1974" s="78" t="s">
        <v>51</v>
      </c>
      <c r="AN1974" s="78" t="s">
        <v>164</v>
      </c>
      <c r="AO1974" s="78">
        <v>1.4447646525603046</v>
      </c>
    </row>
    <row r="1975" spans="29:41">
      <c r="AC1975" s="78" t="s">
        <v>52</v>
      </c>
      <c r="AD1975" s="78" t="s">
        <v>20</v>
      </c>
      <c r="AE1975" s="78" t="s">
        <v>72</v>
      </c>
      <c r="AF1975" s="78" t="s">
        <v>51</v>
      </c>
      <c r="AG1975" s="78" t="s">
        <v>201</v>
      </c>
      <c r="AH1975" s="78">
        <v>4.4906750935354101</v>
      </c>
      <c r="AJ1975" s="78" t="s">
        <v>52</v>
      </c>
      <c r="AK1975" s="78" t="s">
        <v>20</v>
      </c>
      <c r="AL1975" s="78" t="s">
        <v>28</v>
      </c>
      <c r="AM1975" s="78" t="s">
        <v>51</v>
      </c>
      <c r="AN1975" s="78" t="s">
        <v>165</v>
      </c>
      <c r="AO1975" s="78">
        <v>1.438237888067706</v>
      </c>
    </row>
    <row r="1976" spans="29:41">
      <c r="AC1976" s="78" t="s">
        <v>52</v>
      </c>
      <c r="AD1976" s="78" t="s">
        <v>20</v>
      </c>
      <c r="AE1976" s="78" t="s">
        <v>72</v>
      </c>
      <c r="AF1976" s="78" t="s">
        <v>51</v>
      </c>
      <c r="AG1976" s="78" t="s">
        <v>202</v>
      </c>
      <c r="AH1976" s="78">
        <v>4.4447222357449441</v>
      </c>
      <c r="AJ1976" s="78" t="s">
        <v>52</v>
      </c>
      <c r="AK1976" s="78" t="s">
        <v>20</v>
      </c>
      <c r="AL1976" s="78" t="s">
        <v>28</v>
      </c>
      <c r="AM1976" s="78" t="s">
        <v>51</v>
      </c>
      <c r="AN1976" s="78" t="s">
        <v>166</v>
      </c>
      <c r="AO1976" s="78">
        <v>1.4572767202850958</v>
      </c>
    </row>
    <row r="1977" spans="29:41">
      <c r="AC1977" s="78" t="s">
        <v>52</v>
      </c>
      <c r="AD1977" s="78" t="s">
        <v>20</v>
      </c>
      <c r="AE1977" s="78" t="s">
        <v>72</v>
      </c>
      <c r="AF1977" s="78" t="s">
        <v>51</v>
      </c>
      <c r="AG1977" s="78" t="s">
        <v>203</v>
      </c>
      <c r="AH1977" s="78">
        <v>4.4447222357449441</v>
      </c>
      <c r="AJ1977" s="78" t="s">
        <v>52</v>
      </c>
      <c r="AK1977" s="78" t="s">
        <v>20</v>
      </c>
      <c r="AL1977" s="78" t="s">
        <v>28</v>
      </c>
      <c r="AM1977" s="78" t="s">
        <v>51</v>
      </c>
      <c r="AN1977" s="78" t="s">
        <v>167</v>
      </c>
      <c r="AO1977" s="78">
        <v>1.4840050840451962</v>
      </c>
    </row>
    <row r="1978" spans="29:41">
      <c r="AC1978" s="78" t="s">
        <v>52</v>
      </c>
      <c r="AD1978" s="78" t="s">
        <v>20</v>
      </c>
      <c r="AE1978" s="78" t="s">
        <v>72</v>
      </c>
      <c r="AF1978" s="78" t="s">
        <v>51</v>
      </c>
      <c r="AG1978" s="78" t="s">
        <v>204</v>
      </c>
      <c r="AH1978" s="78">
        <v>4.4447222357449441</v>
      </c>
      <c r="AJ1978" s="78" t="s">
        <v>52</v>
      </c>
      <c r="AK1978" s="78" t="s">
        <v>20</v>
      </c>
      <c r="AL1978" s="78" t="s">
        <v>28</v>
      </c>
      <c r="AM1978" s="78" t="s">
        <v>51</v>
      </c>
      <c r="AN1978" s="78" t="s">
        <v>168</v>
      </c>
      <c r="AO1978" s="78">
        <v>1.4698304513957463</v>
      </c>
    </row>
    <row r="1979" spans="29:41">
      <c r="AC1979" s="78" t="s">
        <v>52</v>
      </c>
      <c r="AD1979" s="78" t="s">
        <v>20</v>
      </c>
      <c r="AE1979" s="78" t="s">
        <v>72</v>
      </c>
      <c r="AF1979" s="78" t="s">
        <v>51</v>
      </c>
      <c r="AG1979" s="78" t="s">
        <v>205</v>
      </c>
      <c r="AH1979" s="78">
        <v>4.5531147075387262</v>
      </c>
      <c r="AJ1979" s="78" t="s">
        <v>52</v>
      </c>
      <c r="AK1979" s="78" t="s">
        <v>20</v>
      </c>
      <c r="AL1979" s="78" t="s">
        <v>28</v>
      </c>
      <c r="AM1979" s="78" t="s">
        <v>51</v>
      </c>
      <c r="AN1979" s="78" t="s">
        <v>169</v>
      </c>
      <c r="AO1979" s="78">
        <v>1.4756896794715886</v>
      </c>
    </row>
    <row r="1980" spans="29:41">
      <c r="AC1980" s="78" t="s">
        <v>52</v>
      </c>
      <c r="AD1980" s="78" t="s">
        <v>20</v>
      </c>
      <c r="AE1980" s="78" t="s">
        <v>72</v>
      </c>
      <c r="AF1980" s="78" t="s">
        <v>51</v>
      </c>
      <c r="AG1980" s="78" t="s">
        <v>206</v>
      </c>
      <c r="AH1980" s="78">
        <v>4.364885381659108</v>
      </c>
      <c r="AJ1980" s="78" t="s">
        <v>52</v>
      </c>
      <c r="AK1980" s="78" t="s">
        <v>20</v>
      </c>
      <c r="AL1980" s="78" t="s">
        <v>28</v>
      </c>
      <c r="AM1980" s="78" t="s">
        <v>51</v>
      </c>
      <c r="AN1980" s="78" t="s">
        <v>170</v>
      </c>
      <c r="AO1980" s="78">
        <v>1.4150581088925993</v>
      </c>
    </row>
    <row r="1981" spans="29:41">
      <c r="AC1981" s="78" t="s">
        <v>52</v>
      </c>
      <c r="AD1981" s="78" t="s">
        <v>20</v>
      </c>
      <c r="AE1981" s="78" t="s">
        <v>72</v>
      </c>
      <c r="AF1981" s="78" t="s">
        <v>51</v>
      </c>
      <c r="AG1981" s="78" t="s">
        <v>207</v>
      </c>
      <c r="AH1981" s="78">
        <v>4.4894479147795909</v>
      </c>
      <c r="AJ1981" s="78" t="s">
        <v>52</v>
      </c>
      <c r="AK1981" s="78" t="s">
        <v>20</v>
      </c>
      <c r="AL1981" s="78" t="s">
        <v>28</v>
      </c>
      <c r="AM1981" s="78" t="s">
        <v>51</v>
      </c>
      <c r="AN1981" s="78" t="s">
        <v>171</v>
      </c>
      <c r="AO1981" s="78">
        <v>1.3825392574829694</v>
      </c>
    </row>
    <row r="1982" spans="29:41">
      <c r="AC1982" s="78" t="s">
        <v>52</v>
      </c>
      <c r="AD1982" s="78" t="s">
        <v>20</v>
      </c>
      <c r="AE1982" s="78" t="s">
        <v>72</v>
      </c>
      <c r="AF1982" s="78" t="s">
        <v>51</v>
      </c>
      <c r="AG1982" s="78" t="s">
        <v>208</v>
      </c>
      <c r="AH1982" s="78">
        <v>4.5542256765749203</v>
      </c>
      <c r="AJ1982" s="78" t="s">
        <v>52</v>
      </c>
      <c r="AK1982" s="78" t="s">
        <v>20</v>
      </c>
      <c r="AL1982" s="78" t="s">
        <v>28</v>
      </c>
      <c r="AM1982" s="78" t="s">
        <v>51</v>
      </c>
      <c r="AN1982" s="78" t="s">
        <v>172</v>
      </c>
      <c r="AO1982" s="78">
        <v>1.324144073385759</v>
      </c>
    </row>
    <row r="1983" spans="29:41">
      <c r="AC1983" s="78" t="s">
        <v>52</v>
      </c>
      <c r="AD1983" s="78" t="s">
        <v>20</v>
      </c>
      <c r="AE1983" s="78" t="s">
        <v>72</v>
      </c>
      <c r="AF1983" s="78" t="s">
        <v>51</v>
      </c>
      <c r="AG1983" s="78" t="s">
        <v>209</v>
      </c>
      <c r="AH1983" s="78">
        <v>4.5542256765749203</v>
      </c>
      <c r="AJ1983" s="78" t="s">
        <v>52</v>
      </c>
      <c r="AK1983" s="78" t="s">
        <v>20</v>
      </c>
      <c r="AL1983" s="78" t="s">
        <v>28</v>
      </c>
      <c r="AM1983" s="78" t="s">
        <v>51</v>
      </c>
      <c r="AN1983" s="78" t="s">
        <v>173</v>
      </c>
      <c r="AO1983" s="78">
        <v>1.3201279748352688</v>
      </c>
    </row>
    <row r="1984" spans="29:41">
      <c r="AC1984" s="78" t="s">
        <v>52</v>
      </c>
      <c r="AD1984" s="78" t="s">
        <v>20</v>
      </c>
      <c r="AE1984" s="78" t="s">
        <v>72</v>
      </c>
      <c r="AF1984" s="78" t="s">
        <v>51</v>
      </c>
      <c r="AG1984" s="78" t="s">
        <v>210</v>
      </c>
      <c r="AH1984" s="78">
        <v>4.5542256765749203</v>
      </c>
      <c r="AJ1984" s="78" t="s">
        <v>52</v>
      </c>
      <c r="AK1984" s="78" t="s">
        <v>20</v>
      </c>
      <c r="AL1984" s="78" t="s">
        <v>28</v>
      </c>
      <c r="AM1984" s="78" t="s">
        <v>51</v>
      </c>
      <c r="AN1984" s="78" t="s">
        <v>174</v>
      </c>
      <c r="AO1984" s="78">
        <v>1.3635749947061719</v>
      </c>
    </row>
    <row r="1985" spans="29:41">
      <c r="AC1985" s="78" t="s">
        <v>52</v>
      </c>
      <c r="AD1985" s="78" t="s">
        <v>20</v>
      </c>
      <c r="AE1985" s="78" t="s">
        <v>72</v>
      </c>
      <c r="AF1985" s="78" t="s">
        <v>51</v>
      </c>
      <c r="AG1985" s="78" t="s">
        <v>211</v>
      </c>
      <c r="AH1985" s="78">
        <v>4.5079973351823694</v>
      </c>
      <c r="AJ1985" s="78" t="s">
        <v>52</v>
      </c>
      <c r="AK1985" s="78" t="s">
        <v>20</v>
      </c>
      <c r="AL1985" s="78" t="s">
        <v>28</v>
      </c>
      <c r="AM1985" s="78" t="s">
        <v>51</v>
      </c>
      <c r="AN1985" s="78" t="s">
        <v>175</v>
      </c>
      <c r="AO1985" s="78">
        <v>1.4449351793489711</v>
      </c>
    </row>
    <row r="1986" spans="29:41">
      <c r="AC1986" s="78" t="s">
        <v>52</v>
      </c>
      <c r="AD1986" s="78" t="s">
        <v>20</v>
      </c>
      <c r="AE1986" s="78" t="s">
        <v>72</v>
      </c>
      <c r="AF1986" s="78" t="s">
        <v>51</v>
      </c>
      <c r="AG1986" s="78" t="s">
        <v>212</v>
      </c>
      <c r="AH1986" s="78">
        <v>4.6147854086055808</v>
      </c>
      <c r="AJ1986" s="78" t="s">
        <v>52</v>
      </c>
      <c r="AK1986" s="78" t="s">
        <v>20</v>
      </c>
      <c r="AL1986" s="78" t="s">
        <v>28</v>
      </c>
      <c r="AM1986" s="78" t="s">
        <v>51</v>
      </c>
      <c r="AN1986" s="78" t="s">
        <v>176</v>
      </c>
      <c r="AO1986" s="78">
        <v>1.5634002733348114</v>
      </c>
    </row>
    <row r="1987" spans="29:41">
      <c r="AC1987" s="78" t="s">
        <v>52</v>
      </c>
      <c r="AD1987" s="78" t="s">
        <v>20</v>
      </c>
      <c r="AE1987" s="78" t="s">
        <v>72</v>
      </c>
      <c r="AF1987" s="78" t="s">
        <v>51</v>
      </c>
      <c r="AG1987" s="78" t="s">
        <v>97</v>
      </c>
      <c r="AH1987" s="78">
        <v>4.4906750935354101</v>
      </c>
      <c r="AJ1987" s="78" t="s">
        <v>52</v>
      </c>
      <c r="AK1987" s="78" t="s">
        <v>20</v>
      </c>
      <c r="AL1987" s="78" t="s">
        <v>28</v>
      </c>
      <c r="AM1987" s="78" t="s">
        <v>51</v>
      </c>
      <c r="AN1987" s="78" t="s">
        <v>177</v>
      </c>
      <c r="AO1987" s="78">
        <v>1.3516962871966491</v>
      </c>
    </row>
    <row r="1988" spans="29:41">
      <c r="AC1988" s="78" t="s">
        <v>52</v>
      </c>
      <c r="AD1988" s="78" t="s">
        <v>20</v>
      </c>
      <c r="AE1988" s="78" t="s">
        <v>72</v>
      </c>
      <c r="AF1988" s="78" t="s">
        <v>51</v>
      </c>
      <c r="AG1988" s="78" t="s">
        <v>95</v>
      </c>
      <c r="AH1988" s="78">
        <v>4.6782163696898609</v>
      </c>
      <c r="AJ1988" s="78" t="s">
        <v>52</v>
      </c>
      <c r="AK1988" s="78" t="s">
        <v>20</v>
      </c>
      <c r="AL1988" s="78" t="s">
        <v>28</v>
      </c>
      <c r="AM1988" s="78" t="s">
        <v>51</v>
      </c>
      <c r="AN1988" s="78" t="s">
        <v>178</v>
      </c>
      <c r="AO1988" s="78">
        <v>1.4442587858770715</v>
      </c>
    </row>
    <row r="1989" spans="29:41">
      <c r="AC1989" s="78" t="s">
        <v>52</v>
      </c>
      <c r="AD1989" s="78" t="s">
        <v>20</v>
      </c>
      <c r="AE1989" s="78" t="s">
        <v>72</v>
      </c>
      <c r="AF1989" s="78" t="s">
        <v>51</v>
      </c>
      <c r="AG1989" s="78" t="s">
        <v>96</v>
      </c>
      <c r="AH1989" s="78">
        <v>4.5542256765749203</v>
      </c>
      <c r="AJ1989" s="78" t="s">
        <v>52</v>
      </c>
      <c r="AK1989" s="78" t="s">
        <v>20</v>
      </c>
      <c r="AL1989" s="78" t="s">
        <v>28</v>
      </c>
      <c r="AM1989" s="78" t="s">
        <v>51</v>
      </c>
      <c r="AN1989" s="78" t="s">
        <v>179</v>
      </c>
      <c r="AO1989" s="78">
        <v>1.3200347208363019</v>
      </c>
    </row>
    <row r="1990" spans="29:41">
      <c r="AC1990" s="78" t="s">
        <v>52</v>
      </c>
      <c r="AD1990" s="78" t="s">
        <v>20</v>
      </c>
      <c r="AE1990" s="78" t="s">
        <v>72</v>
      </c>
      <c r="AF1990" s="78" t="s">
        <v>51</v>
      </c>
      <c r="AG1990" s="78" t="s">
        <v>100</v>
      </c>
      <c r="AH1990" s="78">
        <v>4.5531147075387262</v>
      </c>
      <c r="AJ1990" s="78" t="s">
        <v>52</v>
      </c>
      <c r="AK1990" s="78" t="s">
        <v>20</v>
      </c>
      <c r="AL1990" s="78" t="s">
        <v>28</v>
      </c>
      <c r="AM1990" s="78" t="s">
        <v>51</v>
      </c>
      <c r="AN1990" s="78" t="s">
        <v>180</v>
      </c>
      <c r="AO1990" s="78">
        <v>1.3289652006753823</v>
      </c>
    </row>
    <row r="1991" spans="29:41">
      <c r="AC1991" s="78" t="s">
        <v>52</v>
      </c>
      <c r="AD1991" s="78" t="s">
        <v>20</v>
      </c>
      <c r="AE1991" s="78" t="s">
        <v>72</v>
      </c>
      <c r="AF1991" s="78" t="s">
        <v>51</v>
      </c>
      <c r="AG1991" s="78" t="s">
        <v>101</v>
      </c>
      <c r="AH1991" s="78">
        <v>4.4894479147795909</v>
      </c>
      <c r="AJ1991" s="78" t="s">
        <v>52</v>
      </c>
      <c r="AK1991" s="78" t="s">
        <v>20</v>
      </c>
      <c r="AL1991" s="78" t="s">
        <v>28</v>
      </c>
      <c r="AM1991" s="78" t="s">
        <v>51</v>
      </c>
      <c r="AN1991" s="78" t="s">
        <v>181</v>
      </c>
      <c r="AO1991" s="78">
        <v>1.3806839171553422</v>
      </c>
    </row>
    <row r="1992" spans="29:41">
      <c r="AC1992" s="78" t="s">
        <v>52</v>
      </c>
      <c r="AD1992" s="78" t="s">
        <v>20</v>
      </c>
      <c r="AE1992" s="78" t="s">
        <v>72</v>
      </c>
      <c r="AF1992" s="78" t="s">
        <v>51</v>
      </c>
      <c r="AG1992" s="78" t="s">
        <v>102</v>
      </c>
      <c r="AH1992" s="78">
        <v>4.5531147075387262</v>
      </c>
      <c r="AJ1992" s="78" t="s">
        <v>52</v>
      </c>
      <c r="AK1992" s="78" t="s">
        <v>20</v>
      </c>
      <c r="AL1992" s="78" t="s">
        <v>28</v>
      </c>
      <c r="AM1992" s="78" t="s">
        <v>51</v>
      </c>
      <c r="AN1992" s="78" t="s">
        <v>182</v>
      </c>
      <c r="AO1992" s="78">
        <v>1.4739558981629202</v>
      </c>
    </row>
    <row r="1993" spans="29:41">
      <c r="AC1993" s="78" t="s">
        <v>52</v>
      </c>
      <c r="AD1993" s="78" t="s">
        <v>20</v>
      </c>
      <c r="AE1993" s="78" t="s">
        <v>72</v>
      </c>
      <c r="AF1993" s="78" t="s">
        <v>51</v>
      </c>
      <c r="AG1993" s="78" t="s">
        <v>103</v>
      </c>
      <c r="AH1993" s="78">
        <v>4.4894479147795909</v>
      </c>
      <c r="AJ1993" s="78" t="s">
        <v>52</v>
      </c>
      <c r="AK1993" s="78" t="s">
        <v>20</v>
      </c>
      <c r="AL1993" s="78" t="s">
        <v>28</v>
      </c>
      <c r="AM1993" s="78" t="s">
        <v>51</v>
      </c>
      <c r="AN1993" s="78" t="s">
        <v>183</v>
      </c>
      <c r="AO1993" s="78">
        <v>1.3495435393462121</v>
      </c>
    </row>
    <row r="1994" spans="29:41">
      <c r="AC1994" s="78" t="s">
        <v>52</v>
      </c>
      <c r="AD1994" s="78" t="s">
        <v>20</v>
      </c>
      <c r="AE1994" s="78" t="s">
        <v>72</v>
      </c>
      <c r="AF1994" s="78" t="s">
        <v>51</v>
      </c>
      <c r="AG1994" s="78" t="s">
        <v>104</v>
      </c>
      <c r="AH1994" s="78">
        <v>4.6147854086055808</v>
      </c>
      <c r="AJ1994" s="78" t="s">
        <v>52</v>
      </c>
      <c r="AK1994" s="78" t="s">
        <v>20</v>
      </c>
      <c r="AL1994" s="78" t="s">
        <v>28</v>
      </c>
      <c r="AM1994" s="78" t="s">
        <v>51</v>
      </c>
      <c r="AN1994" s="78" t="s">
        <v>184</v>
      </c>
      <c r="AO1994" s="78">
        <v>1.5037298860002415</v>
      </c>
    </row>
    <row r="1995" spans="29:41">
      <c r="AC1995" s="78" t="s">
        <v>52</v>
      </c>
      <c r="AD1995" s="78" t="s">
        <v>20</v>
      </c>
      <c r="AE1995" s="78" t="s">
        <v>72</v>
      </c>
      <c r="AF1995" s="78" t="s">
        <v>51</v>
      </c>
      <c r="AG1995" s="78" t="s">
        <v>105</v>
      </c>
      <c r="AH1995" s="78">
        <v>4.5079973351823694</v>
      </c>
      <c r="AJ1995" s="78" t="s">
        <v>52</v>
      </c>
      <c r="AK1995" s="78" t="s">
        <v>20</v>
      </c>
      <c r="AL1995" s="78" t="s">
        <v>28</v>
      </c>
      <c r="AM1995" s="78" t="s">
        <v>51</v>
      </c>
      <c r="AN1995" s="78" t="s">
        <v>185</v>
      </c>
      <c r="AO1995" s="78">
        <v>1.5149159148678715</v>
      </c>
    </row>
    <row r="1996" spans="29:41">
      <c r="AC1996" s="78" t="s">
        <v>52</v>
      </c>
      <c r="AD1996" s="78" t="s">
        <v>20</v>
      </c>
      <c r="AE1996" s="78" t="s">
        <v>72</v>
      </c>
      <c r="AF1996" s="78" t="s">
        <v>51</v>
      </c>
      <c r="AG1996" s="78" t="s">
        <v>106</v>
      </c>
      <c r="AH1996" s="78">
        <v>4.5542256765749203</v>
      </c>
      <c r="AJ1996" s="78" t="s">
        <v>52</v>
      </c>
      <c r="AK1996" s="78" t="s">
        <v>20</v>
      </c>
      <c r="AL1996" s="78" t="s">
        <v>28</v>
      </c>
      <c r="AM1996" s="78" t="s">
        <v>51</v>
      </c>
      <c r="AN1996" s="78" t="s">
        <v>186</v>
      </c>
      <c r="AO1996" s="78">
        <v>1.5652021977943211</v>
      </c>
    </row>
    <row r="1997" spans="29:41">
      <c r="AC1997" s="78" t="s">
        <v>52</v>
      </c>
      <c r="AD1997" s="78" t="s">
        <v>20</v>
      </c>
      <c r="AE1997" s="78" t="s">
        <v>72</v>
      </c>
      <c r="AF1997" s="78" t="s">
        <v>51</v>
      </c>
      <c r="AG1997" s="78" t="s">
        <v>107</v>
      </c>
      <c r="AH1997" s="78">
        <v>4.4906750935354101</v>
      </c>
      <c r="AJ1997" s="78" t="s">
        <v>52</v>
      </c>
      <c r="AK1997" s="78" t="s">
        <v>20</v>
      </c>
      <c r="AL1997" s="78" t="s">
        <v>28</v>
      </c>
      <c r="AM1997" s="78" t="s">
        <v>51</v>
      </c>
      <c r="AN1997" s="78" t="s">
        <v>187</v>
      </c>
      <c r="AO1997" s="78">
        <v>1.4727193604751811</v>
      </c>
    </row>
    <row r="1998" spans="29:41">
      <c r="AC1998" s="78" t="s">
        <v>52</v>
      </c>
      <c r="AD1998" s="78" t="s">
        <v>20</v>
      </c>
      <c r="AE1998" s="78" t="s">
        <v>72</v>
      </c>
      <c r="AF1998" s="78" t="s">
        <v>51</v>
      </c>
      <c r="AG1998" s="78" t="s">
        <v>99</v>
      </c>
      <c r="AH1998" s="78">
        <v>4.5542256765749203</v>
      </c>
      <c r="AJ1998" s="78" t="s">
        <v>52</v>
      </c>
      <c r="AK1998" s="78" t="s">
        <v>20</v>
      </c>
      <c r="AL1998" s="78" t="s">
        <v>28</v>
      </c>
      <c r="AM1998" s="78" t="s">
        <v>51</v>
      </c>
      <c r="AN1998" s="78" t="s">
        <v>188</v>
      </c>
      <c r="AO1998" s="78">
        <v>1.5141699376919713</v>
      </c>
    </row>
    <row r="1999" spans="29:41">
      <c r="AC1999" s="78" t="s">
        <v>52</v>
      </c>
      <c r="AD1999" s="78" t="s">
        <v>20</v>
      </c>
      <c r="AE1999" s="78" t="s">
        <v>72</v>
      </c>
      <c r="AF1999" s="78" t="s">
        <v>51</v>
      </c>
      <c r="AG1999" s="78" t="s">
        <v>108</v>
      </c>
      <c r="AH1999" s="78">
        <v>4.4906750935354101</v>
      </c>
      <c r="AJ1999" s="78" t="s">
        <v>52</v>
      </c>
      <c r="AK1999" s="78" t="s">
        <v>20</v>
      </c>
      <c r="AL1999" s="78" t="s">
        <v>28</v>
      </c>
      <c r="AM1999" s="78" t="s">
        <v>51</v>
      </c>
      <c r="AN1999" s="78" t="s">
        <v>189</v>
      </c>
      <c r="AO1999" s="78">
        <v>1.4542060637102603</v>
      </c>
    </row>
    <row r="2000" spans="29:41">
      <c r="AC2000" s="78" t="s">
        <v>52</v>
      </c>
      <c r="AD2000" s="78" t="s">
        <v>20</v>
      </c>
      <c r="AE2000" s="78" t="s">
        <v>72</v>
      </c>
      <c r="AF2000" s="78" t="s">
        <v>51</v>
      </c>
      <c r="AG2000" s="78" t="s">
        <v>109</v>
      </c>
      <c r="AH2000" s="78">
        <v>4.4906750935354101</v>
      </c>
      <c r="AJ2000" s="78" t="s">
        <v>52</v>
      </c>
      <c r="AK2000" s="78" t="s">
        <v>20</v>
      </c>
      <c r="AL2000" s="78" t="s">
        <v>28</v>
      </c>
      <c r="AM2000" s="78" t="s">
        <v>51</v>
      </c>
      <c r="AN2000" s="78" t="s">
        <v>190</v>
      </c>
      <c r="AO2000" s="78">
        <v>1.4589053819857103</v>
      </c>
    </row>
    <row r="2001" spans="29:41">
      <c r="AC2001" s="78" t="s">
        <v>52</v>
      </c>
      <c r="AD2001" s="78" t="s">
        <v>20</v>
      </c>
      <c r="AE2001" s="78" t="s">
        <v>72</v>
      </c>
      <c r="AF2001" s="78" t="s">
        <v>51</v>
      </c>
      <c r="AG2001" s="78" t="s">
        <v>110</v>
      </c>
      <c r="AH2001" s="78">
        <v>4.5531147075387262</v>
      </c>
      <c r="AJ2001" s="78" t="s">
        <v>52</v>
      </c>
      <c r="AK2001" s="78" t="s">
        <v>20</v>
      </c>
      <c r="AL2001" s="78" t="s">
        <v>28</v>
      </c>
      <c r="AM2001" s="78" t="s">
        <v>51</v>
      </c>
      <c r="AN2001" s="78" t="s">
        <v>191</v>
      </c>
      <c r="AO2001" s="78">
        <v>1.4266645277043122</v>
      </c>
    </row>
    <row r="2002" spans="29:41">
      <c r="AC2002" s="78" t="s">
        <v>52</v>
      </c>
      <c r="AD2002" s="78" t="s">
        <v>20</v>
      </c>
      <c r="AE2002" s="78" t="s">
        <v>72</v>
      </c>
      <c r="AF2002" s="78" t="s">
        <v>51</v>
      </c>
      <c r="AG2002" s="78" t="s">
        <v>98</v>
      </c>
      <c r="AH2002" s="78">
        <v>4.4894479147795909</v>
      </c>
      <c r="AJ2002" s="78" t="s">
        <v>52</v>
      </c>
      <c r="AK2002" s="78" t="s">
        <v>20</v>
      </c>
      <c r="AL2002" s="78" t="s">
        <v>28</v>
      </c>
      <c r="AM2002" s="78" t="s">
        <v>51</v>
      </c>
      <c r="AN2002" s="78" t="s">
        <v>192</v>
      </c>
      <c r="AO2002" s="78">
        <v>1.400266194428482</v>
      </c>
    </row>
    <row r="2003" spans="29:41">
      <c r="AC2003" s="78" t="s">
        <v>52</v>
      </c>
      <c r="AD2003" s="78" t="s">
        <v>20</v>
      </c>
      <c r="AE2003" s="78" t="s">
        <v>72</v>
      </c>
      <c r="AF2003" s="78" t="s">
        <v>51</v>
      </c>
      <c r="AG2003" s="78" t="s">
        <v>125</v>
      </c>
      <c r="AH2003" s="78">
        <v>4.5531147075387262</v>
      </c>
      <c r="AJ2003" s="78" t="s">
        <v>52</v>
      </c>
      <c r="AK2003" s="78" t="s">
        <v>20</v>
      </c>
      <c r="AL2003" s="78" t="s">
        <v>28</v>
      </c>
      <c r="AM2003" s="78" t="s">
        <v>51</v>
      </c>
      <c r="AN2003" s="78" t="s">
        <v>193</v>
      </c>
      <c r="AO2003" s="78">
        <v>1.3263393385224218</v>
      </c>
    </row>
    <row r="2004" spans="29:41">
      <c r="AC2004" s="78" t="s">
        <v>52</v>
      </c>
      <c r="AD2004" s="78" t="s">
        <v>20</v>
      </c>
      <c r="AE2004" s="78" t="s">
        <v>72</v>
      </c>
      <c r="AF2004" s="78" t="s">
        <v>51</v>
      </c>
      <c r="AG2004" s="78" t="s">
        <v>123</v>
      </c>
      <c r="AH2004" s="78">
        <v>4.4286731677951829</v>
      </c>
      <c r="AJ2004" s="78" t="s">
        <v>52</v>
      </c>
      <c r="AK2004" s="78" t="s">
        <v>20</v>
      </c>
      <c r="AL2004" s="78" t="s">
        <v>28</v>
      </c>
      <c r="AM2004" s="78" t="s">
        <v>51</v>
      </c>
      <c r="AN2004" s="78" t="s">
        <v>194</v>
      </c>
      <c r="AO2004" s="78">
        <v>1.370307804171194</v>
      </c>
    </row>
    <row r="2005" spans="29:41">
      <c r="AC2005" s="78" t="s">
        <v>52</v>
      </c>
      <c r="AD2005" s="78" t="s">
        <v>20</v>
      </c>
      <c r="AE2005" s="78" t="s">
        <v>72</v>
      </c>
      <c r="AF2005" s="78" t="s">
        <v>51</v>
      </c>
      <c r="AG2005" s="78" t="s">
        <v>126</v>
      </c>
      <c r="AH2005" s="78">
        <v>4.4286731677951829</v>
      </c>
      <c r="AJ2005" s="78" t="s">
        <v>52</v>
      </c>
      <c r="AK2005" s="78" t="s">
        <v>20</v>
      </c>
      <c r="AL2005" s="78" t="s">
        <v>28</v>
      </c>
      <c r="AM2005" s="78" t="s">
        <v>51</v>
      </c>
      <c r="AN2005" s="78" t="s">
        <v>195</v>
      </c>
      <c r="AO2005" s="78">
        <v>1.527439843923726</v>
      </c>
    </row>
    <row r="2006" spans="29:41">
      <c r="AC2006" s="78" t="s">
        <v>52</v>
      </c>
      <c r="AD2006" s="78" t="s">
        <v>20</v>
      </c>
      <c r="AE2006" s="78" t="s">
        <v>72</v>
      </c>
      <c r="AF2006" s="78" t="s">
        <v>51</v>
      </c>
      <c r="AG2006" s="78" t="s">
        <v>127</v>
      </c>
      <c r="AH2006" s="78">
        <v>4.4286731677951829</v>
      </c>
      <c r="AJ2006" s="78" t="s">
        <v>52</v>
      </c>
      <c r="AK2006" s="78" t="s">
        <v>20</v>
      </c>
      <c r="AL2006" s="78" t="s">
        <v>28</v>
      </c>
      <c r="AM2006" s="78" t="s">
        <v>51</v>
      </c>
      <c r="AN2006" s="78" t="s">
        <v>196</v>
      </c>
      <c r="AO2006" s="78">
        <v>1.4356867514630505</v>
      </c>
    </row>
    <row r="2007" spans="29:41">
      <c r="AC2007" s="78" t="s">
        <v>52</v>
      </c>
      <c r="AD2007" s="78" t="s">
        <v>20</v>
      </c>
      <c r="AE2007" s="78" t="s">
        <v>72</v>
      </c>
      <c r="AF2007" s="78" t="s">
        <v>51</v>
      </c>
      <c r="AG2007" s="78" t="s">
        <v>128</v>
      </c>
      <c r="AH2007" s="78">
        <v>4.4894479147795909</v>
      </c>
      <c r="AJ2007" s="78" t="s">
        <v>52</v>
      </c>
      <c r="AK2007" s="78" t="s">
        <v>20</v>
      </c>
      <c r="AL2007" s="78" t="s">
        <v>28</v>
      </c>
      <c r="AM2007" s="78" t="s">
        <v>51</v>
      </c>
      <c r="AN2007" s="78" t="s">
        <v>197</v>
      </c>
      <c r="AO2007" s="78">
        <v>1.4054470219983302</v>
      </c>
    </row>
    <row r="2008" spans="29:41">
      <c r="AC2008" s="78" t="s">
        <v>52</v>
      </c>
      <c r="AD2008" s="78" t="s">
        <v>20</v>
      </c>
      <c r="AE2008" s="78" t="s">
        <v>72</v>
      </c>
      <c r="AF2008" s="78" t="s">
        <v>51</v>
      </c>
      <c r="AG2008" s="78" t="s">
        <v>122</v>
      </c>
      <c r="AH2008" s="78">
        <v>4.4894479147795909</v>
      </c>
      <c r="AJ2008" s="78" t="s">
        <v>52</v>
      </c>
      <c r="AK2008" s="78" t="s">
        <v>20</v>
      </c>
      <c r="AL2008" s="78" t="s">
        <v>28</v>
      </c>
      <c r="AM2008" s="78" t="s">
        <v>51</v>
      </c>
      <c r="AN2008" s="78" t="s">
        <v>198</v>
      </c>
      <c r="AO2008" s="78">
        <v>1.3613755139107702</v>
      </c>
    </row>
    <row r="2009" spans="29:41">
      <c r="AC2009" s="78" t="s">
        <v>52</v>
      </c>
      <c r="AD2009" s="78" t="s">
        <v>20</v>
      </c>
      <c r="AE2009" s="78" t="s">
        <v>72</v>
      </c>
      <c r="AF2009" s="78" t="s">
        <v>51</v>
      </c>
      <c r="AG2009" s="78" t="s">
        <v>124</v>
      </c>
      <c r="AH2009" s="78">
        <v>4.3188244659487021</v>
      </c>
      <c r="AJ2009" s="78" t="s">
        <v>52</v>
      </c>
      <c r="AK2009" s="78" t="s">
        <v>20</v>
      </c>
      <c r="AL2009" s="78" t="s">
        <v>28</v>
      </c>
      <c r="AM2009" s="78" t="s">
        <v>51</v>
      </c>
      <c r="AN2009" s="78" t="s">
        <v>199</v>
      </c>
      <c r="AO2009" s="78">
        <v>1.5008716936970208</v>
      </c>
    </row>
    <row r="2010" spans="29:41">
      <c r="AC2010" s="78" t="s">
        <v>52</v>
      </c>
      <c r="AD2010" s="78" t="s">
        <v>20</v>
      </c>
      <c r="AE2010" s="78" t="s">
        <v>72</v>
      </c>
      <c r="AF2010" s="78" t="s">
        <v>51</v>
      </c>
      <c r="AG2010" s="78" t="s">
        <v>214</v>
      </c>
      <c r="AH2010" s="78">
        <v>4.2875744659487021</v>
      </c>
      <c r="AJ2010" s="78" t="s">
        <v>52</v>
      </c>
      <c r="AK2010" s="78" t="s">
        <v>20</v>
      </c>
      <c r="AL2010" s="78" t="s">
        <v>28</v>
      </c>
      <c r="AM2010" s="78" t="s">
        <v>51</v>
      </c>
      <c r="AN2010" s="78" t="s">
        <v>200</v>
      </c>
      <c r="AO2010" s="78">
        <v>1.4145597803303502</v>
      </c>
    </row>
    <row r="2011" spans="29:41">
      <c r="AC2011" s="78" t="s">
        <v>52</v>
      </c>
      <c r="AD2011" s="78" t="s">
        <v>20</v>
      </c>
      <c r="AE2011" s="78" t="s">
        <v>72</v>
      </c>
      <c r="AF2011" s="78" t="s">
        <v>51</v>
      </c>
      <c r="AG2011" s="78" t="s">
        <v>218</v>
      </c>
      <c r="AH2011" s="78">
        <v>4.364885381659108</v>
      </c>
      <c r="AJ2011" s="78" t="s">
        <v>52</v>
      </c>
      <c r="AK2011" s="78" t="s">
        <v>20</v>
      </c>
      <c r="AL2011" s="78" t="s">
        <v>28</v>
      </c>
      <c r="AM2011" s="78" t="s">
        <v>51</v>
      </c>
      <c r="AN2011" s="78" t="s">
        <v>201</v>
      </c>
      <c r="AO2011" s="78">
        <v>1.3987349655618504</v>
      </c>
    </row>
    <row r="2012" spans="29:41">
      <c r="AC2012" s="78" t="s">
        <v>52</v>
      </c>
      <c r="AD2012" s="78" t="s">
        <v>20</v>
      </c>
      <c r="AE2012" s="78" t="s">
        <v>72</v>
      </c>
      <c r="AF2012" s="78" t="s">
        <v>51</v>
      </c>
      <c r="AG2012" s="78" t="s">
        <v>219</v>
      </c>
      <c r="AH2012" s="78">
        <v>4.4894479147795909</v>
      </c>
      <c r="AJ2012" s="78" t="s">
        <v>52</v>
      </c>
      <c r="AK2012" s="78" t="s">
        <v>20</v>
      </c>
      <c r="AL2012" s="78" t="s">
        <v>28</v>
      </c>
      <c r="AM2012" s="78" t="s">
        <v>51</v>
      </c>
      <c r="AN2012" s="78" t="s">
        <v>202</v>
      </c>
      <c r="AO2012" s="78">
        <v>1.3598737297946442</v>
      </c>
    </row>
    <row r="2013" spans="29:41">
      <c r="AC2013" s="78" t="s">
        <v>52</v>
      </c>
      <c r="AD2013" s="78" t="s">
        <v>20</v>
      </c>
      <c r="AE2013" s="78" t="s">
        <v>72</v>
      </c>
      <c r="AF2013" s="78" t="s">
        <v>51</v>
      </c>
      <c r="AG2013" s="78" t="s">
        <v>220</v>
      </c>
      <c r="AH2013" s="78">
        <v>4.4286731677951829</v>
      </c>
      <c r="AJ2013" s="78" t="s">
        <v>52</v>
      </c>
      <c r="AK2013" s="78" t="s">
        <v>20</v>
      </c>
      <c r="AL2013" s="78" t="s">
        <v>28</v>
      </c>
      <c r="AM2013" s="78" t="s">
        <v>51</v>
      </c>
      <c r="AN2013" s="78" t="s">
        <v>203</v>
      </c>
      <c r="AO2013" s="78">
        <v>1.390981945488184</v>
      </c>
    </row>
    <row r="2014" spans="29:41">
      <c r="AC2014" s="78" t="s">
        <v>52</v>
      </c>
      <c r="AD2014" s="78" t="s">
        <v>20</v>
      </c>
      <c r="AE2014" s="78" t="s">
        <v>72</v>
      </c>
      <c r="AF2014" s="78" t="s">
        <v>51</v>
      </c>
      <c r="AG2014" s="78" t="s">
        <v>221</v>
      </c>
      <c r="AH2014" s="78">
        <v>4.364885381659108</v>
      </c>
      <c r="AJ2014" s="78" t="s">
        <v>52</v>
      </c>
      <c r="AK2014" s="78" t="s">
        <v>20</v>
      </c>
      <c r="AL2014" s="78" t="s">
        <v>28</v>
      </c>
      <c r="AM2014" s="78" t="s">
        <v>51</v>
      </c>
      <c r="AN2014" s="78" t="s">
        <v>204</v>
      </c>
      <c r="AO2014" s="78">
        <v>1.4125607115100141</v>
      </c>
    </row>
    <row r="2015" spans="29:41">
      <c r="AC2015" s="78" t="s">
        <v>52</v>
      </c>
      <c r="AD2015" s="78" t="s">
        <v>20</v>
      </c>
      <c r="AE2015" s="78" t="s">
        <v>72</v>
      </c>
      <c r="AF2015" s="78" t="s">
        <v>51</v>
      </c>
      <c r="AG2015" s="78" t="s">
        <v>222</v>
      </c>
      <c r="AH2015" s="78">
        <v>4.364885381659108</v>
      </c>
      <c r="AJ2015" s="78" t="s">
        <v>52</v>
      </c>
      <c r="AK2015" s="78" t="s">
        <v>20</v>
      </c>
      <c r="AL2015" s="78" t="s">
        <v>28</v>
      </c>
      <c r="AM2015" s="78" t="s">
        <v>51</v>
      </c>
      <c r="AN2015" s="78" t="s">
        <v>205</v>
      </c>
      <c r="AO2015" s="78">
        <v>1.5063127948155564</v>
      </c>
    </row>
    <row r="2016" spans="29:41">
      <c r="AC2016" s="78" t="s">
        <v>52</v>
      </c>
      <c r="AD2016" s="78" t="s">
        <v>20</v>
      </c>
      <c r="AE2016" s="78" t="s">
        <v>72</v>
      </c>
      <c r="AF2016" s="78" t="s">
        <v>51</v>
      </c>
      <c r="AG2016" s="78" t="s">
        <v>223</v>
      </c>
      <c r="AH2016" s="78">
        <v>4.2875744659487021</v>
      </c>
      <c r="AJ2016" s="78" t="s">
        <v>52</v>
      </c>
      <c r="AK2016" s="78" t="s">
        <v>20</v>
      </c>
      <c r="AL2016" s="78" t="s">
        <v>28</v>
      </c>
      <c r="AM2016" s="78" t="s">
        <v>51</v>
      </c>
      <c r="AN2016" s="78" t="s">
        <v>206</v>
      </c>
      <c r="AO2016" s="78">
        <v>1.3826679777673778</v>
      </c>
    </row>
    <row r="2017" spans="29:41">
      <c r="AC2017" s="78" t="s">
        <v>52</v>
      </c>
      <c r="AD2017" s="78" t="s">
        <v>20</v>
      </c>
      <c r="AE2017" s="78" t="s">
        <v>72</v>
      </c>
      <c r="AF2017" s="78" t="s">
        <v>51</v>
      </c>
      <c r="AG2017" s="78" t="s">
        <v>224</v>
      </c>
      <c r="AH2017" s="78">
        <v>4.3642403763055508</v>
      </c>
      <c r="AJ2017" s="78" t="s">
        <v>52</v>
      </c>
      <c r="AK2017" s="78" t="s">
        <v>20</v>
      </c>
      <c r="AL2017" s="78" t="s">
        <v>28</v>
      </c>
      <c r="AM2017" s="78" t="s">
        <v>51</v>
      </c>
      <c r="AN2017" s="78" t="s">
        <v>207</v>
      </c>
      <c r="AO2017" s="78">
        <v>1.4132910260639806</v>
      </c>
    </row>
    <row r="2018" spans="29:41">
      <c r="AC2018" s="78" t="s">
        <v>52</v>
      </c>
      <c r="AD2018" s="78" t="s">
        <v>20</v>
      </c>
      <c r="AE2018" s="78" t="s">
        <v>72</v>
      </c>
      <c r="AF2018" s="78" t="s">
        <v>51</v>
      </c>
      <c r="AG2018" s="78" t="s">
        <v>225</v>
      </c>
      <c r="AH2018" s="78">
        <v>4.2875744659487021</v>
      </c>
      <c r="AJ2018" s="78" t="s">
        <v>52</v>
      </c>
      <c r="AK2018" s="78" t="s">
        <v>20</v>
      </c>
      <c r="AL2018" s="78" t="s">
        <v>28</v>
      </c>
      <c r="AM2018" s="78" t="s">
        <v>51</v>
      </c>
      <c r="AN2018" s="78" t="s">
        <v>208</v>
      </c>
      <c r="AO2018" s="78">
        <v>1.4323211554950404</v>
      </c>
    </row>
    <row r="2019" spans="29:41">
      <c r="AC2019" s="78" t="s">
        <v>52</v>
      </c>
      <c r="AD2019" s="78" t="s">
        <v>20</v>
      </c>
      <c r="AE2019" s="78" t="s">
        <v>72</v>
      </c>
      <c r="AF2019" s="78" t="s">
        <v>51</v>
      </c>
      <c r="AG2019" s="78" t="s">
        <v>226</v>
      </c>
      <c r="AH2019" s="78">
        <v>4.3188244659487021</v>
      </c>
      <c r="AJ2019" s="78" t="s">
        <v>52</v>
      </c>
      <c r="AK2019" s="78" t="s">
        <v>20</v>
      </c>
      <c r="AL2019" s="78" t="s">
        <v>28</v>
      </c>
      <c r="AM2019" s="78" t="s">
        <v>51</v>
      </c>
      <c r="AN2019" s="78" t="s">
        <v>209</v>
      </c>
      <c r="AO2019" s="78">
        <v>1.4629650661498101</v>
      </c>
    </row>
    <row r="2020" spans="29:41">
      <c r="AC2020" s="78" t="s">
        <v>52</v>
      </c>
      <c r="AD2020" s="78" t="s">
        <v>20</v>
      </c>
      <c r="AE2020" s="78" t="s">
        <v>72</v>
      </c>
      <c r="AF2020" s="78" t="s">
        <v>51</v>
      </c>
      <c r="AG2020" s="78" t="s">
        <v>227</v>
      </c>
      <c r="AH2020" s="78">
        <v>4.2875744659487021</v>
      </c>
      <c r="AJ2020" s="78" t="s">
        <v>52</v>
      </c>
      <c r="AK2020" s="78" t="s">
        <v>20</v>
      </c>
      <c r="AL2020" s="78" t="s">
        <v>28</v>
      </c>
      <c r="AM2020" s="78" t="s">
        <v>51</v>
      </c>
      <c r="AN2020" s="78" t="s">
        <v>210</v>
      </c>
      <c r="AO2020" s="78">
        <v>1.4383333690203801</v>
      </c>
    </row>
    <row r="2021" spans="29:41">
      <c r="AC2021" s="78" t="s">
        <v>52</v>
      </c>
      <c r="AD2021" s="78" t="s">
        <v>20</v>
      </c>
      <c r="AE2021" s="78" t="s">
        <v>72</v>
      </c>
      <c r="AF2021" s="78" t="s">
        <v>51</v>
      </c>
      <c r="AG2021" s="78" t="s">
        <v>228</v>
      </c>
      <c r="AH2021" s="78">
        <v>4.364885381659108</v>
      </c>
      <c r="AJ2021" s="78" t="s">
        <v>52</v>
      </c>
      <c r="AK2021" s="78" t="s">
        <v>20</v>
      </c>
      <c r="AL2021" s="78" t="s">
        <v>28</v>
      </c>
      <c r="AM2021" s="78" t="s">
        <v>51</v>
      </c>
      <c r="AN2021" s="78" t="s">
        <v>211</v>
      </c>
      <c r="AO2021" s="78">
        <v>1.3057285407490189</v>
      </c>
    </row>
    <row r="2022" spans="29:41">
      <c r="AC2022" s="78" t="s">
        <v>52</v>
      </c>
      <c r="AD2022" s="78" t="s">
        <v>20</v>
      </c>
      <c r="AE2022" s="78" t="s">
        <v>72</v>
      </c>
      <c r="AF2022" s="78" t="s">
        <v>51</v>
      </c>
      <c r="AG2022" s="78" t="s">
        <v>229</v>
      </c>
      <c r="AH2022" s="78">
        <v>4.2875744659487021</v>
      </c>
      <c r="AJ2022" s="78" t="s">
        <v>52</v>
      </c>
      <c r="AK2022" s="78" t="s">
        <v>20</v>
      </c>
      <c r="AL2022" s="78" t="s">
        <v>28</v>
      </c>
      <c r="AM2022" s="78" t="s">
        <v>51</v>
      </c>
      <c r="AN2022" s="78" t="s">
        <v>212</v>
      </c>
      <c r="AO2022" s="78">
        <v>1.5295984886372711</v>
      </c>
    </row>
    <row r="2023" spans="29:41">
      <c r="AC2023" s="78" t="s">
        <v>52</v>
      </c>
      <c r="AD2023" s="78" t="s">
        <v>20</v>
      </c>
      <c r="AE2023" s="78" t="s">
        <v>72</v>
      </c>
      <c r="AF2023" s="78" t="s">
        <v>51</v>
      </c>
      <c r="AG2023" s="78" t="s">
        <v>216</v>
      </c>
      <c r="AH2023" s="78">
        <v>4.3642403763055508</v>
      </c>
      <c r="AJ2023" s="78" t="s">
        <v>52</v>
      </c>
      <c r="AK2023" s="78" t="s">
        <v>20</v>
      </c>
      <c r="AL2023" s="78" t="s">
        <v>28</v>
      </c>
      <c r="AM2023" s="78" t="s">
        <v>51</v>
      </c>
      <c r="AN2023" s="78" t="s">
        <v>97</v>
      </c>
      <c r="AO2023" s="78">
        <v>1.4173946502432502</v>
      </c>
    </row>
    <row r="2024" spans="29:41">
      <c r="AC2024" s="78" t="s">
        <v>52</v>
      </c>
      <c r="AD2024" s="78" t="s">
        <v>20</v>
      </c>
      <c r="AE2024" s="78" t="s">
        <v>72</v>
      </c>
      <c r="AF2024" s="78" t="s">
        <v>51</v>
      </c>
      <c r="AG2024" s="78" t="s">
        <v>230</v>
      </c>
      <c r="AH2024" s="78">
        <v>4.3642403763055508</v>
      </c>
      <c r="AJ2024" s="78" t="s">
        <v>52</v>
      </c>
      <c r="AK2024" s="78" t="s">
        <v>20</v>
      </c>
      <c r="AL2024" s="78" t="s">
        <v>28</v>
      </c>
      <c r="AM2024" s="78" t="s">
        <v>51</v>
      </c>
      <c r="AN2024" s="78" t="s">
        <v>95</v>
      </c>
      <c r="AO2024" s="78">
        <v>1.5154511173273009</v>
      </c>
    </row>
    <row r="2025" spans="29:41">
      <c r="AC2025" s="78" t="s">
        <v>52</v>
      </c>
      <c r="AD2025" s="78" t="s">
        <v>20</v>
      </c>
      <c r="AE2025" s="78" t="s">
        <v>72</v>
      </c>
      <c r="AF2025" s="78" t="s">
        <v>51</v>
      </c>
      <c r="AG2025" s="78" t="s">
        <v>231</v>
      </c>
      <c r="AH2025" s="78">
        <v>4.1618039804499194</v>
      </c>
      <c r="AJ2025" s="78" t="s">
        <v>52</v>
      </c>
      <c r="AK2025" s="78" t="s">
        <v>20</v>
      </c>
      <c r="AL2025" s="78" t="s">
        <v>28</v>
      </c>
      <c r="AM2025" s="78" t="s">
        <v>51</v>
      </c>
      <c r="AN2025" s="78" t="s">
        <v>96</v>
      </c>
      <c r="AO2025" s="78">
        <v>1.4212802787962304</v>
      </c>
    </row>
    <row r="2026" spans="29:41">
      <c r="AC2026" s="78" t="s">
        <v>52</v>
      </c>
      <c r="AD2026" s="78" t="s">
        <v>20</v>
      </c>
      <c r="AE2026" s="78" t="s">
        <v>72</v>
      </c>
      <c r="AF2026" s="78" t="s">
        <v>51</v>
      </c>
      <c r="AG2026" s="78" t="s">
        <v>232</v>
      </c>
      <c r="AH2026" s="78">
        <v>4.4251782413789309</v>
      </c>
      <c r="AJ2026" s="78" t="s">
        <v>52</v>
      </c>
      <c r="AK2026" s="78" t="s">
        <v>20</v>
      </c>
      <c r="AL2026" s="78" t="s">
        <v>28</v>
      </c>
      <c r="AM2026" s="78" t="s">
        <v>51</v>
      </c>
      <c r="AN2026" s="78" t="s">
        <v>100</v>
      </c>
      <c r="AO2026" s="78">
        <v>1.5121519879522058</v>
      </c>
    </row>
    <row r="2027" spans="29:41">
      <c r="AC2027" s="78" t="s">
        <v>52</v>
      </c>
      <c r="AD2027" s="78" t="s">
        <v>20</v>
      </c>
      <c r="AE2027" s="78" t="s">
        <v>72</v>
      </c>
      <c r="AF2027" s="78" t="s">
        <v>51</v>
      </c>
      <c r="AG2027" s="78" t="s">
        <v>215</v>
      </c>
      <c r="AH2027" s="78">
        <v>4.2875744659487021</v>
      </c>
      <c r="AJ2027" s="78" t="s">
        <v>52</v>
      </c>
      <c r="AK2027" s="78" t="s">
        <v>20</v>
      </c>
      <c r="AL2027" s="78" t="s">
        <v>28</v>
      </c>
      <c r="AM2027" s="78" t="s">
        <v>51</v>
      </c>
      <c r="AN2027" s="78" t="s">
        <v>101</v>
      </c>
      <c r="AO2027" s="78">
        <v>1.4795960028376309</v>
      </c>
    </row>
    <row r="2028" spans="29:41">
      <c r="AC2028" s="78" t="s">
        <v>52</v>
      </c>
      <c r="AD2028" s="78" t="s">
        <v>20</v>
      </c>
      <c r="AE2028" s="78" t="s">
        <v>72</v>
      </c>
      <c r="AF2028" s="78" t="s">
        <v>51</v>
      </c>
      <c r="AG2028" s="78" t="s">
        <v>217</v>
      </c>
      <c r="AH2028" s="78">
        <v>4.3188244659487021</v>
      </c>
      <c r="AJ2028" s="78" t="s">
        <v>52</v>
      </c>
      <c r="AK2028" s="78" t="s">
        <v>20</v>
      </c>
      <c r="AL2028" s="78" t="s">
        <v>28</v>
      </c>
      <c r="AM2028" s="78" t="s">
        <v>51</v>
      </c>
      <c r="AN2028" s="78" t="s">
        <v>102</v>
      </c>
      <c r="AO2028" s="78">
        <v>1.573969311298766</v>
      </c>
    </row>
    <row r="2029" spans="29:41">
      <c r="AC2029" s="78" t="s">
        <v>52</v>
      </c>
      <c r="AD2029" s="78" t="s">
        <v>20</v>
      </c>
      <c r="AE2029" s="78" t="s">
        <v>72</v>
      </c>
      <c r="AF2029" s="78" t="s">
        <v>51</v>
      </c>
      <c r="AG2029" s="78" t="s">
        <v>237</v>
      </c>
      <c r="AH2029" s="78">
        <v>4.3642403763055508</v>
      </c>
      <c r="AJ2029" s="78" t="s">
        <v>52</v>
      </c>
      <c r="AK2029" s="78" t="s">
        <v>20</v>
      </c>
      <c r="AL2029" s="78" t="s">
        <v>28</v>
      </c>
      <c r="AM2029" s="78" t="s">
        <v>51</v>
      </c>
      <c r="AN2029" s="78" t="s">
        <v>103</v>
      </c>
      <c r="AO2029" s="78">
        <v>1.4374551090588008</v>
      </c>
    </row>
    <row r="2030" spans="29:41">
      <c r="AC2030" s="78" t="s">
        <v>52</v>
      </c>
      <c r="AD2030" s="78" t="s">
        <v>20</v>
      </c>
      <c r="AE2030" s="78" t="s">
        <v>72</v>
      </c>
      <c r="AF2030" s="78" t="s">
        <v>51</v>
      </c>
      <c r="AG2030" s="78" t="s">
        <v>238</v>
      </c>
      <c r="AH2030" s="78">
        <v>4.4251782413789309</v>
      </c>
      <c r="AJ2030" s="78" t="s">
        <v>52</v>
      </c>
      <c r="AK2030" s="78" t="s">
        <v>20</v>
      </c>
      <c r="AL2030" s="78" t="s">
        <v>28</v>
      </c>
      <c r="AM2030" s="78" t="s">
        <v>51</v>
      </c>
      <c r="AN2030" s="78" t="s">
        <v>104</v>
      </c>
      <c r="AO2030" s="78">
        <v>1.4678709119798614</v>
      </c>
    </row>
    <row r="2031" spans="29:41">
      <c r="AC2031" s="78" t="s">
        <v>52</v>
      </c>
      <c r="AD2031" s="78" t="s">
        <v>20</v>
      </c>
      <c r="AE2031" s="78" t="s">
        <v>72</v>
      </c>
      <c r="AF2031" s="78" t="s">
        <v>51</v>
      </c>
      <c r="AG2031" s="78" t="s">
        <v>239</v>
      </c>
      <c r="AH2031" s="78">
        <v>4.4251782413789309</v>
      </c>
      <c r="AJ2031" s="78" t="s">
        <v>52</v>
      </c>
      <c r="AK2031" s="78" t="s">
        <v>20</v>
      </c>
      <c r="AL2031" s="78" t="s">
        <v>28</v>
      </c>
      <c r="AM2031" s="78" t="s">
        <v>51</v>
      </c>
      <c r="AN2031" s="78" t="s">
        <v>105</v>
      </c>
      <c r="AO2031" s="78">
        <v>1.3639171740492693</v>
      </c>
    </row>
    <row r="2032" spans="29:41">
      <c r="AC2032" s="78" t="s">
        <v>52</v>
      </c>
      <c r="AD2032" s="78" t="s">
        <v>20</v>
      </c>
      <c r="AE2032" s="78" t="s">
        <v>72</v>
      </c>
      <c r="AF2032" s="78" t="s">
        <v>51</v>
      </c>
      <c r="AG2032" s="78" t="s">
        <v>240</v>
      </c>
      <c r="AH2032" s="78">
        <v>4.2875744659487021</v>
      </c>
      <c r="AJ2032" s="78" t="s">
        <v>52</v>
      </c>
      <c r="AK2032" s="78" t="s">
        <v>20</v>
      </c>
      <c r="AL2032" s="78" t="s">
        <v>28</v>
      </c>
      <c r="AM2032" s="78" t="s">
        <v>51</v>
      </c>
      <c r="AN2032" s="78" t="s">
        <v>106</v>
      </c>
      <c r="AO2032" s="78">
        <v>1.4461191235552002</v>
      </c>
    </row>
    <row r="2033" spans="29:41">
      <c r="AC2033" s="78" t="s">
        <v>52</v>
      </c>
      <c r="AD2033" s="78" t="s">
        <v>20</v>
      </c>
      <c r="AE2033" s="78" t="s">
        <v>72</v>
      </c>
      <c r="AF2033" s="78" t="s">
        <v>51</v>
      </c>
      <c r="AG2033" s="78" t="s">
        <v>241</v>
      </c>
      <c r="AH2033" s="78">
        <v>4.4251782413789309</v>
      </c>
      <c r="AJ2033" s="78" t="s">
        <v>52</v>
      </c>
      <c r="AK2033" s="78" t="s">
        <v>20</v>
      </c>
      <c r="AL2033" s="78" t="s">
        <v>28</v>
      </c>
      <c r="AM2033" s="78" t="s">
        <v>51</v>
      </c>
      <c r="AN2033" s="78" t="s">
        <v>107</v>
      </c>
      <c r="AO2033" s="78">
        <v>1.4254869680587003</v>
      </c>
    </row>
    <row r="2034" spans="29:41">
      <c r="AC2034" s="78" t="s">
        <v>52</v>
      </c>
      <c r="AD2034" s="78" t="s">
        <v>20</v>
      </c>
      <c r="AE2034" s="78" t="s">
        <v>72</v>
      </c>
      <c r="AF2034" s="78" t="s">
        <v>51</v>
      </c>
      <c r="AG2034" s="78" t="s">
        <v>242</v>
      </c>
      <c r="AH2034" s="78">
        <v>4.3642403763055508</v>
      </c>
      <c r="AJ2034" s="78" t="s">
        <v>52</v>
      </c>
      <c r="AK2034" s="78" t="s">
        <v>20</v>
      </c>
      <c r="AL2034" s="78" t="s">
        <v>28</v>
      </c>
      <c r="AM2034" s="78" t="s">
        <v>51</v>
      </c>
      <c r="AN2034" s="78" t="s">
        <v>99</v>
      </c>
      <c r="AO2034" s="78">
        <v>1.4899885813220202</v>
      </c>
    </row>
    <row r="2035" spans="29:41">
      <c r="AC2035" s="78" t="s">
        <v>52</v>
      </c>
      <c r="AD2035" s="78" t="s">
        <v>20</v>
      </c>
      <c r="AE2035" s="78" t="s">
        <v>72</v>
      </c>
      <c r="AF2035" s="78" t="s">
        <v>51</v>
      </c>
      <c r="AG2035" s="78" t="s">
        <v>243</v>
      </c>
      <c r="AH2035" s="78">
        <v>4.2875744659487021</v>
      </c>
      <c r="AJ2035" s="78" t="s">
        <v>52</v>
      </c>
      <c r="AK2035" s="78" t="s">
        <v>20</v>
      </c>
      <c r="AL2035" s="78" t="s">
        <v>28</v>
      </c>
      <c r="AM2035" s="78" t="s">
        <v>51</v>
      </c>
      <c r="AN2035" s="78" t="s">
        <v>108</v>
      </c>
      <c r="AO2035" s="78">
        <v>1.4398101423461602</v>
      </c>
    </row>
    <row r="2036" spans="29:41">
      <c r="AC2036" s="78" t="s">
        <v>52</v>
      </c>
      <c r="AD2036" s="78" t="s">
        <v>20</v>
      </c>
      <c r="AE2036" s="78" t="s">
        <v>72</v>
      </c>
      <c r="AF2036" s="78" t="s">
        <v>51</v>
      </c>
      <c r="AG2036" s="78" t="s">
        <v>244</v>
      </c>
      <c r="AH2036" s="78">
        <v>4.4251782413789309</v>
      </c>
      <c r="AJ2036" s="78" t="s">
        <v>52</v>
      </c>
      <c r="AK2036" s="78" t="s">
        <v>20</v>
      </c>
      <c r="AL2036" s="78" t="s">
        <v>28</v>
      </c>
      <c r="AM2036" s="78" t="s">
        <v>51</v>
      </c>
      <c r="AN2036" s="78" t="s">
        <v>109</v>
      </c>
      <c r="AO2036" s="78">
        <v>1.4204064910685703</v>
      </c>
    </row>
    <row r="2037" spans="29:41">
      <c r="AC2037" s="78" t="s">
        <v>52</v>
      </c>
      <c r="AD2037" s="78" t="s">
        <v>20</v>
      </c>
      <c r="AE2037" s="78" t="s">
        <v>72</v>
      </c>
      <c r="AF2037" s="78" t="s">
        <v>51</v>
      </c>
      <c r="AG2037" s="78" t="s">
        <v>245</v>
      </c>
      <c r="AH2037" s="78">
        <v>4.3642403763055508</v>
      </c>
      <c r="AJ2037" s="78" t="s">
        <v>52</v>
      </c>
      <c r="AK2037" s="78" t="s">
        <v>20</v>
      </c>
      <c r="AL2037" s="78" t="s">
        <v>28</v>
      </c>
      <c r="AM2037" s="78" t="s">
        <v>51</v>
      </c>
      <c r="AN2037" s="78" t="s">
        <v>110</v>
      </c>
      <c r="AO2037" s="78">
        <v>1.5121161182470062</v>
      </c>
    </row>
    <row r="2038" spans="29:41">
      <c r="AC2038" s="78" t="s">
        <v>52</v>
      </c>
      <c r="AD2038" s="78" t="s">
        <v>20</v>
      </c>
      <c r="AE2038" s="78" t="s">
        <v>72</v>
      </c>
      <c r="AF2038" s="78" t="s">
        <v>51</v>
      </c>
      <c r="AG2038" s="78" t="s">
        <v>246</v>
      </c>
      <c r="AH2038" s="78">
        <v>4.3002725972031506</v>
      </c>
      <c r="AJ2038" s="78" t="s">
        <v>52</v>
      </c>
      <c r="AK2038" s="78" t="s">
        <v>20</v>
      </c>
      <c r="AL2038" s="78" t="s">
        <v>28</v>
      </c>
      <c r="AM2038" s="78" t="s">
        <v>51</v>
      </c>
      <c r="AN2038" s="78" t="s">
        <v>98</v>
      </c>
      <c r="AO2038" s="78">
        <v>1.462175640413621</v>
      </c>
    </row>
    <row r="2039" spans="29:41">
      <c r="AC2039" s="78" t="s">
        <v>52</v>
      </c>
      <c r="AD2039" s="78" t="s">
        <v>20</v>
      </c>
      <c r="AE2039" s="78" t="s">
        <v>72</v>
      </c>
      <c r="AF2039" s="78" t="s">
        <v>51</v>
      </c>
      <c r="AG2039" s="78" t="s">
        <v>247</v>
      </c>
      <c r="AH2039" s="78">
        <v>4.3002725972031506</v>
      </c>
      <c r="AJ2039" s="78" t="s">
        <v>52</v>
      </c>
      <c r="AK2039" s="78" t="s">
        <v>20</v>
      </c>
      <c r="AL2039" s="78" t="s">
        <v>28</v>
      </c>
      <c r="AM2039" s="78" t="s">
        <v>51</v>
      </c>
      <c r="AN2039" s="78" t="s">
        <v>125</v>
      </c>
      <c r="AO2039" s="78">
        <v>1.5515903486912459</v>
      </c>
    </row>
    <row r="2040" spans="29:41">
      <c r="AC2040" s="78" t="s">
        <v>52</v>
      </c>
      <c r="AD2040" s="78" t="s">
        <v>20</v>
      </c>
      <c r="AE2040" s="78" t="s">
        <v>72</v>
      </c>
      <c r="AF2040" s="78" t="s">
        <v>51</v>
      </c>
      <c r="AG2040" s="78" t="s">
        <v>248</v>
      </c>
      <c r="AH2040" s="78">
        <v>4.3188244659487021</v>
      </c>
      <c r="AJ2040" s="78" t="s">
        <v>52</v>
      </c>
      <c r="AK2040" s="78" t="s">
        <v>20</v>
      </c>
      <c r="AL2040" s="78" t="s">
        <v>28</v>
      </c>
      <c r="AM2040" s="78" t="s">
        <v>51</v>
      </c>
      <c r="AN2040" s="78" t="s">
        <v>123</v>
      </c>
      <c r="AO2040" s="78">
        <v>1.4198657383793729</v>
      </c>
    </row>
    <row r="2041" spans="29:41">
      <c r="AC2041" s="78" t="s">
        <v>52</v>
      </c>
      <c r="AD2041" s="78" t="s">
        <v>20</v>
      </c>
      <c r="AE2041" s="78" t="s">
        <v>72</v>
      </c>
      <c r="AF2041" s="78" t="s">
        <v>51</v>
      </c>
      <c r="AG2041" s="78" t="s">
        <v>249</v>
      </c>
      <c r="AH2041" s="78">
        <v>4.3188244659487021</v>
      </c>
      <c r="AJ2041" s="78" t="s">
        <v>52</v>
      </c>
      <c r="AK2041" s="78" t="s">
        <v>20</v>
      </c>
      <c r="AL2041" s="78" t="s">
        <v>28</v>
      </c>
      <c r="AM2041" s="78" t="s">
        <v>51</v>
      </c>
      <c r="AN2041" s="78" t="s">
        <v>126</v>
      </c>
      <c r="AO2041" s="78">
        <v>1.4517911864446933</v>
      </c>
    </row>
    <row r="2042" spans="29:41">
      <c r="AC2042" s="78" t="s">
        <v>52</v>
      </c>
      <c r="AD2042" s="78" t="s">
        <v>20</v>
      </c>
      <c r="AE2042" s="78" t="s">
        <v>72</v>
      </c>
      <c r="AF2042" s="78" t="s">
        <v>51</v>
      </c>
      <c r="AG2042" s="78" t="s">
        <v>250</v>
      </c>
      <c r="AH2042" s="78">
        <v>4.3188244659487021</v>
      </c>
      <c r="AJ2042" s="78" t="s">
        <v>52</v>
      </c>
      <c r="AK2042" s="78" t="s">
        <v>20</v>
      </c>
      <c r="AL2042" s="78" t="s">
        <v>28</v>
      </c>
      <c r="AM2042" s="78" t="s">
        <v>51</v>
      </c>
      <c r="AN2042" s="78" t="s">
        <v>127</v>
      </c>
      <c r="AO2042" s="78">
        <v>1.4586457972250528</v>
      </c>
    </row>
    <row r="2043" spans="29:41">
      <c r="AC2043" s="78" t="s">
        <v>52</v>
      </c>
      <c r="AD2043" s="78" t="s">
        <v>20</v>
      </c>
      <c r="AE2043" s="78" t="s">
        <v>72</v>
      </c>
      <c r="AF2043" s="78" t="s">
        <v>51</v>
      </c>
      <c r="AG2043" s="78" t="s">
        <v>251</v>
      </c>
      <c r="AH2043" s="78">
        <v>4.1618039804499194</v>
      </c>
      <c r="AJ2043" s="78" t="s">
        <v>52</v>
      </c>
      <c r="AK2043" s="78" t="s">
        <v>20</v>
      </c>
      <c r="AL2043" s="78" t="s">
        <v>28</v>
      </c>
      <c r="AM2043" s="78" t="s">
        <v>51</v>
      </c>
      <c r="AN2043" s="78" t="s">
        <v>128</v>
      </c>
      <c r="AO2043" s="78">
        <v>1.4942312268823306</v>
      </c>
    </row>
    <row r="2044" spans="29:41">
      <c r="AC2044" s="78" t="s">
        <v>52</v>
      </c>
      <c r="AD2044" s="78" t="s">
        <v>20</v>
      </c>
      <c r="AE2044" s="78" t="s">
        <v>72</v>
      </c>
      <c r="AF2044" s="78" t="s">
        <v>51</v>
      </c>
      <c r="AG2044" s="78" t="s">
        <v>252</v>
      </c>
      <c r="AH2044" s="78">
        <v>4.1930539804499194</v>
      </c>
      <c r="AJ2044" s="78" t="s">
        <v>52</v>
      </c>
      <c r="AK2044" s="78" t="s">
        <v>20</v>
      </c>
      <c r="AL2044" s="78" t="s">
        <v>28</v>
      </c>
      <c r="AM2044" s="78" t="s">
        <v>51</v>
      </c>
      <c r="AN2044" s="78" t="s">
        <v>122</v>
      </c>
      <c r="AO2044" s="78">
        <v>1.4950023679760609</v>
      </c>
    </row>
    <row r="2045" spans="29:41">
      <c r="AC2045" s="78" t="s">
        <v>52</v>
      </c>
      <c r="AD2045" s="78" t="s">
        <v>20</v>
      </c>
      <c r="AE2045" s="78" t="s">
        <v>72</v>
      </c>
      <c r="AF2045" s="78" t="s">
        <v>51</v>
      </c>
      <c r="AG2045" s="78" t="s">
        <v>253</v>
      </c>
      <c r="AH2045" s="78">
        <v>4.1930539804499194</v>
      </c>
      <c r="AJ2045" s="78" t="s">
        <v>52</v>
      </c>
      <c r="AK2045" s="78" t="s">
        <v>20</v>
      </c>
      <c r="AL2045" s="78" t="s">
        <v>28</v>
      </c>
      <c r="AM2045" s="78" t="s">
        <v>51</v>
      </c>
      <c r="AN2045" s="78" t="s">
        <v>124</v>
      </c>
      <c r="AO2045" s="78">
        <v>1.4033163399863324</v>
      </c>
    </row>
    <row r="2046" spans="29:41">
      <c r="AC2046" s="78" t="s">
        <v>52</v>
      </c>
      <c r="AD2046" s="78" t="s">
        <v>20</v>
      </c>
      <c r="AE2046" s="78" t="s">
        <v>72</v>
      </c>
      <c r="AF2046" s="78" t="s">
        <v>51</v>
      </c>
      <c r="AG2046" s="78" t="s">
        <v>254</v>
      </c>
      <c r="AH2046" s="78">
        <v>4.1930539804499194</v>
      </c>
      <c r="AJ2046" s="78" t="s">
        <v>52</v>
      </c>
      <c r="AK2046" s="78" t="s">
        <v>20</v>
      </c>
      <c r="AL2046" s="78" t="s">
        <v>28</v>
      </c>
      <c r="AM2046" s="78" t="s">
        <v>51</v>
      </c>
      <c r="AN2046" s="78" t="s">
        <v>214</v>
      </c>
      <c r="AO2046" s="78">
        <v>1.4016155825874324</v>
      </c>
    </row>
    <row r="2047" spans="29:41">
      <c r="AC2047" s="78" t="s">
        <v>52</v>
      </c>
      <c r="AD2047" s="78" t="s">
        <v>20</v>
      </c>
      <c r="AE2047" s="78" t="s">
        <v>72</v>
      </c>
      <c r="AF2047" s="78" t="s">
        <v>51</v>
      </c>
      <c r="AG2047" s="78" t="s">
        <v>255</v>
      </c>
      <c r="AH2047" s="78">
        <v>4.1930539804499194</v>
      </c>
      <c r="AJ2047" s="78" t="s">
        <v>52</v>
      </c>
      <c r="AK2047" s="78" t="s">
        <v>20</v>
      </c>
      <c r="AL2047" s="78" t="s">
        <v>28</v>
      </c>
      <c r="AM2047" s="78" t="s">
        <v>51</v>
      </c>
      <c r="AN2047" s="78" t="s">
        <v>218</v>
      </c>
      <c r="AO2047" s="78">
        <v>1.4056286699863183</v>
      </c>
    </row>
    <row r="2048" spans="29:41">
      <c r="AC2048" s="78" t="s">
        <v>52</v>
      </c>
      <c r="AD2048" s="78" t="s">
        <v>20</v>
      </c>
      <c r="AE2048" s="78" t="s">
        <v>72</v>
      </c>
      <c r="AF2048" s="78" t="s">
        <v>51</v>
      </c>
      <c r="AG2048" s="78" t="s">
        <v>256</v>
      </c>
      <c r="AH2048" s="78">
        <v>4.3002725972031506</v>
      </c>
      <c r="AJ2048" s="78" t="s">
        <v>52</v>
      </c>
      <c r="AK2048" s="78" t="s">
        <v>20</v>
      </c>
      <c r="AL2048" s="78" t="s">
        <v>28</v>
      </c>
      <c r="AM2048" s="78" t="s">
        <v>51</v>
      </c>
      <c r="AN2048" s="78" t="s">
        <v>219</v>
      </c>
      <c r="AO2048" s="78">
        <v>1.4805364302990909</v>
      </c>
    </row>
    <row r="2049" spans="29:41">
      <c r="AC2049" s="78" t="s">
        <v>52</v>
      </c>
      <c r="AD2049" s="78" t="s">
        <v>20</v>
      </c>
      <c r="AE2049" s="78" t="s">
        <v>72</v>
      </c>
      <c r="AF2049" s="78" t="s">
        <v>51</v>
      </c>
      <c r="AG2049" s="78" t="s">
        <v>257</v>
      </c>
      <c r="AH2049" s="78">
        <v>4.4216522874164488</v>
      </c>
      <c r="AJ2049" s="78" t="s">
        <v>52</v>
      </c>
      <c r="AK2049" s="78" t="s">
        <v>20</v>
      </c>
      <c r="AL2049" s="78" t="s">
        <v>28</v>
      </c>
      <c r="AM2049" s="78" t="s">
        <v>51</v>
      </c>
      <c r="AN2049" s="78" t="s">
        <v>220</v>
      </c>
      <c r="AO2049" s="78">
        <v>1.4567083178149431</v>
      </c>
    </row>
    <row r="2050" spans="29:41">
      <c r="AC2050" s="78" t="s">
        <v>52</v>
      </c>
      <c r="AD2050" s="78" t="s">
        <v>20</v>
      </c>
      <c r="AE2050" s="78" t="s">
        <v>72</v>
      </c>
      <c r="AF2050" s="78" t="s">
        <v>51</v>
      </c>
      <c r="AG2050" s="78" t="s">
        <v>258</v>
      </c>
      <c r="AH2050" s="78">
        <v>4.2966687844513389</v>
      </c>
      <c r="AJ2050" s="78" t="s">
        <v>52</v>
      </c>
      <c r="AK2050" s="78" t="s">
        <v>20</v>
      </c>
      <c r="AL2050" s="78" t="s">
        <v>28</v>
      </c>
      <c r="AM2050" s="78" t="s">
        <v>51</v>
      </c>
      <c r="AN2050" s="78" t="s">
        <v>221</v>
      </c>
      <c r="AO2050" s="78">
        <v>1.441383478409648</v>
      </c>
    </row>
    <row r="2051" spans="29:41">
      <c r="AC2051" s="78" t="s">
        <v>52</v>
      </c>
      <c r="AD2051" s="78" t="s">
        <v>20</v>
      </c>
      <c r="AE2051" s="78" t="s">
        <v>72</v>
      </c>
      <c r="AF2051" s="78" t="s">
        <v>51</v>
      </c>
      <c r="AG2051" s="78" t="s">
        <v>259</v>
      </c>
      <c r="AH2051" s="78">
        <v>4.256473470140862</v>
      </c>
      <c r="AJ2051" s="78" t="s">
        <v>52</v>
      </c>
      <c r="AK2051" s="78" t="s">
        <v>20</v>
      </c>
      <c r="AL2051" s="78" t="s">
        <v>28</v>
      </c>
      <c r="AM2051" s="78" t="s">
        <v>51</v>
      </c>
      <c r="AN2051" s="78" t="s">
        <v>222</v>
      </c>
      <c r="AO2051" s="78">
        <v>1.3895850110481982</v>
      </c>
    </row>
    <row r="2052" spans="29:41">
      <c r="AC2052" s="78" t="s">
        <v>52</v>
      </c>
      <c r="AD2052" s="78" t="s">
        <v>20</v>
      </c>
      <c r="AE2052" s="78" t="s">
        <v>72</v>
      </c>
      <c r="AF2052" s="78" t="s">
        <v>51</v>
      </c>
      <c r="AG2052" s="78" t="s">
        <v>260</v>
      </c>
      <c r="AH2052" s="78">
        <v>4.3576528674279986</v>
      </c>
      <c r="AJ2052" s="78" t="s">
        <v>52</v>
      </c>
      <c r="AK2052" s="78" t="s">
        <v>20</v>
      </c>
      <c r="AL2052" s="78" t="s">
        <v>28</v>
      </c>
      <c r="AM2052" s="78" t="s">
        <v>51</v>
      </c>
      <c r="AN2052" s="78" t="s">
        <v>223</v>
      </c>
      <c r="AO2052" s="78">
        <v>1.3981226867371421</v>
      </c>
    </row>
    <row r="2053" spans="29:41">
      <c r="AC2053" s="78" t="s">
        <v>52</v>
      </c>
      <c r="AD2053" s="78" t="s">
        <v>20</v>
      </c>
      <c r="AE2053" s="78" t="s">
        <v>72</v>
      </c>
      <c r="AF2053" s="78" t="s">
        <v>51</v>
      </c>
      <c r="AG2053" s="78" t="s">
        <v>261</v>
      </c>
      <c r="AH2053" s="78">
        <v>4.2323257174829196</v>
      </c>
      <c r="AJ2053" s="78" t="s">
        <v>52</v>
      </c>
      <c r="AK2053" s="78" t="s">
        <v>20</v>
      </c>
      <c r="AL2053" s="78" t="s">
        <v>28</v>
      </c>
      <c r="AM2053" s="78" t="s">
        <v>51</v>
      </c>
      <c r="AN2053" s="78" t="s">
        <v>224</v>
      </c>
      <c r="AO2053" s="78">
        <v>1.4778971278957311</v>
      </c>
    </row>
    <row r="2054" spans="29:41">
      <c r="AC2054" s="78" t="s">
        <v>52</v>
      </c>
      <c r="AD2054" s="78" t="s">
        <v>20</v>
      </c>
      <c r="AE2054" s="78" t="s">
        <v>72</v>
      </c>
      <c r="AF2054" s="78" t="s">
        <v>51</v>
      </c>
      <c r="AG2054" s="78" t="s">
        <v>262</v>
      </c>
      <c r="AH2054" s="78">
        <v>4.3576528674279986</v>
      </c>
      <c r="AJ2054" s="78" t="s">
        <v>52</v>
      </c>
      <c r="AK2054" s="78" t="s">
        <v>20</v>
      </c>
      <c r="AL2054" s="78" t="s">
        <v>28</v>
      </c>
      <c r="AM2054" s="78" t="s">
        <v>51</v>
      </c>
      <c r="AN2054" s="78" t="s">
        <v>225</v>
      </c>
      <c r="AO2054" s="78">
        <v>1.3460257990512421</v>
      </c>
    </row>
    <row r="2055" spans="29:41">
      <c r="AC2055" s="78" t="s">
        <v>52</v>
      </c>
      <c r="AD2055" s="78" t="s">
        <v>20</v>
      </c>
      <c r="AE2055" s="78" t="s">
        <v>72</v>
      </c>
      <c r="AF2055" s="78" t="s">
        <v>51</v>
      </c>
      <c r="AG2055" s="78" t="s">
        <v>263</v>
      </c>
      <c r="AH2055" s="78">
        <v>4.4187377611835057</v>
      </c>
      <c r="AJ2055" s="78" t="s">
        <v>52</v>
      </c>
      <c r="AK2055" s="78" t="s">
        <v>20</v>
      </c>
      <c r="AL2055" s="78" t="s">
        <v>28</v>
      </c>
      <c r="AM2055" s="78" t="s">
        <v>51</v>
      </c>
      <c r="AN2055" s="78" t="s">
        <v>226</v>
      </c>
      <c r="AO2055" s="78">
        <v>1.3565411181534319</v>
      </c>
    </row>
    <row r="2056" spans="29:41">
      <c r="AC2056" s="78" t="s">
        <v>52</v>
      </c>
      <c r="AD2056" s="78" t="s">
        <v>20</v>
      </c>
      <c r="AE2056" s="78" t="s">
        <v>72</v>
      </c>
      <c r="AF2056" s="78" t="s">
        <v>51</v>
      </c>
      <c r="AG2056" s="78" t="s">
        <v>264</v>
      </c>
      <c r="AH2056" s="78">
        <v>4.4187377611835057</v>
      </c>
      <c r="AJ2056" s="78" t="s">
        <v>52</v>
      </c>
      <c r="AK2056" s="78" t="s">
        <v>20</v>
      </c>
      <c r="AL2056" s="78" t="s">
        <v>28</v>
      </c>
      <c r="AM2056" s="78" t="s">
        <v>51</v>
      </c>
      <c r="AN2056" s="78" t="s">
        <v>227</v>
      </c>
      <c r="AO2056" s="78">
        <v>1.351830933694802</v>
      </c>
    </row>
    <row r="2057" spans="29:41">
      <c r="AC2057" s="78" t="s">
        <v>52</v>
      </c>
      <c r="AD2057" s="78" t="s">
        <v>20</v>
      </c>
      <c r="AE2057" s="78" t="s">
        <v>72</v>
      </c>
      <c r="AF2057" s="78" t="s">
        <v>51</v>
      </c>
      <c r="AG2057" s="78" t="s">
        <v>265</v>
      </c>
      <c r="AH2057" s="78">
        <v>4.3576528674279986</v>
      </c>
      <c r="AJ2057" s="78" t="s">
        <v>52</v>
      </c>
      <c r="AK2057" s="78" t="s">
        <v>20</v>
      </c>
      <c r="AL2057" s="78" t="s">
        <v>28</v>
      </c>
      <c r="AM2057" s="78" t="s">
        <v>51</v>
      </c>
      <c r="AN2057" s="78" t="s">
        <v>228</v>
      </c>
      <c r="AO2057" s="78">
        <v>1.4052270890855181</v>
      </c>
    </row>
    <row r="2058" spans="29:41">
      <c r="AC2058" s="78" t="s">
        <v>52</v>
      </c>
      <c r="AD2058" s="78" t="s">
        <v>20</v>
      </c>
      <c r="AE2058" s="78" t="s">
        <v>72</v>
      </c>
      <c r="AF2058" s="78" t="s">
        <v>51</v>
      </c>
      <c r="AG2058" s="78" t="s">
        <v>266</v>
      </c>
      <c r="AH2058" s="78">
        <v>4.256473470140862</v>
      </c>
      <c r="AJ2058" s="78" t="s">
        <v>52</v>
      </c>
      <c r="AK2058" s="78" t="s">
        <v>20</v>
      </c>
      <c r="AL2058" s="78" t="s">
        <v>28</v>
      </c>
      <c r="AM2058" s="78" t="s">
        <v>51</v>
      </c>
      <c r="AN2058" s="78" t="s">
        <v>229</v>
      </c>
      <c r="AO2058" s="78">
        <v>1.3976890901272823</v>
      </c>
    </row>
    <row r="2059" spans="29:41">
      <c r="AC2059" s="78" t="s">
        <v>52</v>
      </c>
      <c r="AD2059" s="78" t="s">
        <v>20</v>
      </c>
      <c r="AE2059" s="78" t="s">
        <v>72</v>
      </c>
      <c r="AF2059" s="78" t="s">
        <v>51</v>
      </c>
      <c r="AG2059" s="78" t="s">
        <v>267</v>
      </c>
      <c r="AH2059" s="78">
        <v>4.4187377611835057</v>
      </c>
      <c r="AJ2059" s="78" t="s">
        <v>52</v>
      </c>
      <c r="AK2059" s="78" t="s">
        <v>20</v>
      </c>
      <c r="AL2059" s="78" t="s">
        <v>28</v>
      </c>
      <c r="AM2059" s="78" t="s">
        <v>51</v>
      </c>
      <c r="AN2059" s="78" t="s">
        <v>216</v>
      </c>
      <c r="AO2059" s="78">
        <v>1.5043729966804611</v>
      </c>
    </row>
    <row r="2060" spans="29:41">
      <c r="AC2060" s="78" t="s">
        <v>52</v>
      </c>
      <c r="AD2060" s="78" t="s">
        <v>20</v>
      </c>
      <c r="AE2060" s="78" t="s">
        <v>72</v>
      </c>
      <c r="AF2060" s="78" t="s">
        <v>51</v>
      </c>
      <c r="AG2060" s="78" t="s">
        <v>268</v>
      </c>
      <c r="AH2060" s="78">
        <v>4.3576528674279986</v>
      </c>
      <c r="AJ2060" s="78" t="s">
        <v>52</v>
      </c>
      <c r="AK2060" s="78" t="s">
        <v>20</v>
      </c>
      <c r="AL2060" s="78" t="s">
        <v>28</v>
      </c>
      <c r="AM2060" s="78" t="s">
        <v>51</v>
      </c>
      <c r="AN2060" s="78" t="s">
        <v>230</v>
      </c>
      <c r="AO2060" s="78">
        <v>1.5297599875391414</v>
      </c>
    </row>
    <row r="2061" spans="29:41">
      <c r="AC2061" s="78" t="s">
        <v>52</v>
      </c>
      <c r="AD2061" s="78" t="s">
        <v>20</v>
      </c>
      <c r="AE2061" s="78" t="s">
        <v>72</v>
      </c>
      <c r="AF2061" s="78" t="s">
        <v>51</v>
      </c>
      <c r="AG2061" s="78" t="s">
        <v>269</v>
      </c>
      <c r="AH2061" s="78">
        <v>4.2965145977984394</v>
      </c>
      <c r="AJ2061" s="78" t="s">
        <v>52</v>
      </c>
      <c r="AK2061" s="78" t="s">
        <v>20</v>
      </c>
      <c r="AL2061" s="78" t="s">
        <v>28</v>
      </c>
      <c r="AM2061" s="78" t="s">
        <v>51</v>
      </c>
      <c r="AN2061" s="78" t="s">
        <v>231</v>
      </c>
      <c r="AO2061" s="78">
        <v>1.3717604693952692</v>
      </c>
    </row>
    <row r="2062" spans="29:41">
      <c r="AC2062" s="78" t="s">
        <v>52</v>
      </c>
      <c r="AD2062" s="78" t="s">
        <v>20</v>
      </c>
      <c r="AE2062" s="78" t="s">
        <v>72</v>
      </c>
      <c r="AF2062" s="78" t="s">
        <v>51</v>
      </c>
      <c r="AG2062" s="78" t="s">
        <v>270</v>
      </c>
      <c r="AH2062" s="78">
        <v>4.3576528674279986</v>
      </c>
      <c r="AJ2062" s="78" t="s">
        <v>52</v>
      </c>
      <c r="AK2062" s="78" t="s">
        <v>20</v>
      </c>
      <c r="AL2062" s="78" t="s">
        <v>28</v>
      </c>
      <c r="AM2062" s="78" t="s">
        <v>51</v>
      </c>
      <c r="AN2062" s="78" t="s">
        <v>232</v>
      </c>
      <c r="AO2062" s="78">
        <v>1.5171013702174112</v>
      </c>
    </row>
    <row r="2063" spans="29:41">
      <c r="AC2063" s="78" t="s">
        <v>52</v>
      </c>
      <c r="AD2063" s="78" t="s">
        <v>20</v>
      </c>
      <c r="AE2063" s="78" t="s">
        <v>72</v>
      </c>
      <c r="AF2063" s="78" t="s">
        <v>51</v>
      </c>
      <c r="AG2063" s="78" t="s">
        <v>271</v>
      </c>
      <c r="AH2063" s="78">
        <v>4.3576528674279986</v>
      </c>
      <c r="AJ2063" s="78" t="s">
        <v>52</v>
      </c>
      <c r="AK2063" s="78" t="s">
        <v>20</v>
      </c>
      <c r="AL2063" s="78" t="s">
        <v>28</v>
      </c>
      <c r="AM2063" s="78" t="s">
        <v>51</v>
      </c>
      <c r="AN2063" s="78" t="s">
        <v>215</v>
      </c>
      <c r="AO2063" s="78">
        <v>1.3757802198014319</v>
      </c>
    </row>
    <row r="2064" spans="29:41">
      <c r="AC2064" s="78" t="s">
        <v>52</v>
      </c>
      <c r="AD2064" s="78" t="s">
        <v>20</v>
      </c>
      <c r="AE2064" s="78" t="s">
        <v>72</v>
      </c>
      <c r="AF2064" s="78" t="s">
        <v>51</v>
      </c>
      <c r="AG2064" s="78" t="s">
        <v>272</v>
      </c>
      <c r="AH2064" s="78">
        <v>4.4187377611835057</v>
      </c>
      <c r="AJ2064" s="78" t="s">
        <v>52</v>
      </c>
      <c r="AK2064" s="78" t="s">
        <v>20</v>
      </c>
      <c r="AL2064" s="78" t="s">
        <v>28</v>
      </c>
      <c r="AM2064" s="78" t="s">
        <v>51</v>
      </c>
      <c r="AN2064" s="78" t="s">
        <v>217</v>
      </c>
      <c r="AO2064" s="78">
        <v>1.4102787347731622</v>
      </c>
    </row>
    <row r="2065" spans="29:41">
      <c r="AC2065" s="78" t="s">
        <v>52</v>
      </c>
      <c r="AD2065" s="78" t="s">
        <v>20</v>
      </c>
      <c r="AE2065" s="78" t="s">
        <v>72</v>
      </c>
      <c r="AF2065" s="78" t="s">
        <v>51</v>
      </c>
      <c r="AG2065" s="78" t="s">
        <v>273</v>
      </c>
      <c r="AH2065" s="78">
        <v>4.3576528674279986</v>
      </c>
      <c r="AJ2065" s="78" t="s">
        <v>52</v>
      </c>
      <c r="AK2065" s="78" t="s">
        <v>20</v>
      </c>
      <c r="AL2065" s="78" t="s">
        <v>28</v>
      </c>
      <c r="AM2065" s="78" t="s">
        <v>51</v>
      </c>
      <c r="AN2065" s="78" t="s">
        <v>237</v>
      </c>
      <c r="AO2065" s="78">
        <v>1.4511589473493207</v>
      </c>
    </row>
    <row r="2066" spans="29:41">
      <c r="AC2066" s="78" t="s">
        <v>52</v>
      </c>
      <c r="AD2066" s="78" t="s">
        <v>20</v>
      </c>
      <c r="AE2066" s="78" t="s">
        <v>72</v>
      </c>
      <c r="AF2066" s="78" t="s">
        <v>51</v>
      </c>
      <c r="AG2066" s="78" t="s">
        <v>274</v>
      </c>
      <c r="AH2066" s="78">
        <v>4.3576528674279986</v>
      </c>
      <c r="AJ2066" s="78" t="s">
        <v>52</v>
      </c>
      <c r="AK2066" s="78" t="s">
        <v>20</v>
      </c>
      <c r="AL2066" s="78" t="s">
        <v>28</v>
      </c>
      <c r="AM2066" s="78" t="s">
        <v>51</v>
      </c>
      <c r="AN2066" s="78" t="s">
        <v>238</v>
      </c>
      <c r="AO2066" s="78">
        <v>1.4907312011448612</v>
      </c>
    </row>
    <row r="2067" spans="29:41">
      <c r="AC2067" s="78" t="s">
        <v>52</v>
      </c>
      <c r="AD2067" s="78" t="s">
        <v>20</v>
      </c>
      <c r="AE2067" s="78" t="s">
        <v>72</v>
      </c>
      <c r="AF2067" s="78" t="s">
        <v>51</v>
      </c>
      <c r="AG2067" s="78" t="s">
        <v>275</v>
      </c>
      <c r="AH2067" s="78">
        <v>4.3576528674279986</v>
      </c>
      <c r="AJ2067" s="78" t="s">
        <v>52</v>
      </c>
      <c r="AK2067" s="78" t="s">
        <v>20</v>
      </c>
      <c r="AL2067" s="78" t="s">
        <v>28</v>
      </c>
      <c r="AM2067" s="78" t="s">
        <v>51</v>
      </c>
      <c r="AN2067" s="78" t="s">
        <v>239</v>
      </c>
      <c r="AO2067" s="78">
        <v>1.5154982750943613</v>
      </c>
    </row>
    <row r="2068" spans="29:41">
      <c r="AC2068" s="78" t="s">
        <v>52</v>
      </c>
      <c r="AD2068" s="78" t="s">
        <v>20</v>
      </c>
      <c r="AE2068" s="78" t="s">
        <v>72</v>
      </c>
      <c r="AF2068" s="78" t="s">
        <v>51</v>
      </c>
      <c r="AG2068" s="78" t="s">
        <v>276</v>
      </c>
      <c r="AH2068" s="78">
        <v>4.3576528674279986</v>
      </c>
      <c r="AJ2068" s="78" t="s">
        <v>52</v>
      </c>
      <c r="AK2068" s="78" t="s">
        <v>20</v>
      </c>
      <c r="AL2068" s="78" t="s">
        <v>28</v>
      </c>
      <c r="AM2068" s="78" t="s">
        <v>51</v>
      </c>
      <c r="AN2068" s="78" t="s">
        <v>240</v>
      </c>
      <c r="AO2068" s="78">
        <v>1.3516813213576622</v>
      </c>
    </row>
    <row r="2069" spans="29:41">
      <c r="AC2069" s="78" t="s">
        <v>52</v>
      </c>
      <c r="AD2069" s="78" t="s">
        <v>20</v>
      </c>
      <c r="AE2069" s="78" t="s">
        <v>72</v>
      </c>
      <c r="AF2069" s="78" t="s">
        <v>51</v>
      </c>
      <c r="AG2069" s="78" t="s">
        <v>277</v>
      </c>
      <c r="AH2069" s="78">
        <v>4.2965145977984394</v>
      </c>
      <c r="AJ2069" s="78" t="s">
        <v>52</v>
      </c>
      <c r="AK2069" s="78" t="s">
        <v>20</v>
      </c>
      <c r="AL2069" s="78" t="s">
        <v>28</v>
      </c>
      <c r="AM2069" s="78" t="s">
        <v>51</v>
      </c>
      <c r="AN2069" s="78" t="s">
        <v>241</v>
      </c>
      <c r="AO2069" s="78">
        <v>1.5201888175991212</v>
      </c>
    </row>
    <row r="2070" spans="29:41">
      <c r="AC2070" s="78" t="s">
        <v>52</v>
      </c>
      <c r="AD2070" s="78" t="s">
        <v>20</v>
      </c>
      <c r="AE2070" s="78" t="s">
        <v>72</v>
      </c>
      <c r="AF2070" s="78" t="s">
        <v>51</v>
      </c>
      <c r="AG2070" s="78" t="s">
        <v>278</v>
      </c>
      <c r="AH2070" s="78">
        <v>4.2965145977984394</v>
      </c>
      <c r="AJ2070" s="78" t="s">
        <v>52</v>
      </c>
      <c r="AK2070" s="78" t="s">
        <v>20</v>
      </c>
      <c r="AL2070" s="78" t="s">
        <v>28</v>
      </c>
      <c r="AM2070" s="78" t="s">
        <v>51</v>
      </c>
      <c r="AN2070" s="78" t="s">
        <v>242</v>
      </c>
      <c r="AO2070" s="78">
        <v>1.4854659490145212</v>
      </c>
    </row>
    <row r="2071" spans="29:41">
      <c r="AC2071" s="78" t="s">
        <v>52</v>
      </c>
      <c r="AD2071" s="78" t="s">
        <v>20</v>
      </c>
      <c r="AE2071" s="78" t="s">
        <v>72</v>
      </c>
      <c r="AF2071" s="78" t="s">
        <v>51</v>
      </c>
      <c r="AG2071" s="78" t="s">
        <v>279</v>
      </c>
      <c r="AH2071" s="78">
        <v>4.2966687844513389</v>
      </c>
      <c r="AJ2071" s="78" t="s">
        <v>52</v>
      </c>
      <c r="AK2071" s="78" t="s">
        <v>20</v>
      </c>
      <c r="AL2071" s="78" t="s">
        <v>28</v>
      </c>
      <c r="AM2071" s="78" t="s">
        <v>51</v>
      </c>
      <c r="AN2071" s="78" t="s">
        <v>243</v>
      </c>
      <c r="AO2071" s="78">
        <v>1.3690117432802222</v>
      </c>
    </row>
    <row r="2072" spans="29:41">
      <c r="AC2072" s="78" t="s">
        <v>52</v>
      </c>
      <c r="AD2072" s="78" t="s">
        <v>20</v>
      </c>
      <c r="AE2072" s="78" t="s">
        <v>72</v>
      </c>
      <c r="AF2072" s="78" t="s">
        <v>51</v>
      </c>
      <c r="AG2072" s="78" t="s">
        <v>280</v>
      </c>
      <c r="AH2072" s="78">
        <v>4.3577019868052416</v>
      </c>
      <c r="AJ2072" s="78" t="s">
        <v>52</v>
      </c>
      <c r="AK2072" s="78" t="s">
        <v>20</v>
      </c>
      <c r="AL2072" s="78" t="s">
        <v>28</v>
      </c>
      <c r="AM2072" s="78" t="s">
        <v>51</v>
      </c>
      <c r="AN2072" s="78" t="s">
        <v>244</v>
      </c>
      <c r="AO2072" s="78">
        <v>1.522426889275861</v>
      </c>
    </row>
    <row r="2073" spans="29:41">
      <c r="AC2073" s="78" t="s">
        <v>52</v>
      </c>
      <c r="AD2073" s="78" t="s">
        <v>20</v>
      </c>
      <c r="AE2073" s="78" t="s">
        <v>72</v>
      </c>
      <c r="AF2073" s="78" t="s">
        <v>51</v>
      </c>
      <c r="AG2073" s="78" t="s">
        <v>281</v>
      </c>
      <c r="AH2073" s="78">
        <v>4.2966687844513389</v>
      </c>
      <c r="AJ2073" s="78" t="s">
        <v>52</v>
      </c>
      <c r="AK2073" s="78" t="s">
        <v>20</v>
      </c>
      <c r="AL2073" s="78" t="s">
        <v>28</v>
      </c>
      <c r="AM2073" s="78" t="s">
        <v>51</v>
      </c>
      <c r="AN2073" s="78" t="s">
        <v>245</v>
      </c>
      <c r="AO2073" s="78">
        <v>1.4315173871574711</v>
      </c>
    </row>
    <row r="2074" spans="29:41">
      <c r="AC2074" s="78" t="s">
        <v>52</v>
      </c>
      <c r="AD2074" s="78" t="s">
        <v>20</v>
      </c>
      <c r="AE2074" s="78" t="s">
        <v>72</v>
      </c>
      <c r="AF2074" s="78" t="s">
        <v>51</v>
      </c>
      <c r="AG2074" s="78" t="s">
        <v>282</v>
      </c>
      <c r="AH2074" s="78">
        <v>4.3577019868052416</v>
      </c>
      <c r="AJ2074" s="78" t="s">
        <v>52</v>
      </c>
      <c r="AK2074" s="78" t="s">
        <v>20</v>
      </c>
      <c r="AL2074" s="78" t="s">
        <v>28</v>
      </c>
      <c r="AM2074" s="78" t="s">
        <v>51</v>
      </c>
      <c r="AN2074" s="78" t="s">
        <v>246</v>
      </c>
      <c r="AO2074" s="78">
        <v>1.3848080142488199</v>
      </c>
    </row>
    <row r="2075" spans="29:41">
      <c r="AC2075" s="78" t="s">
        <v>52</v>
      </c>
      <c r="AD2075" s="78" t="s">
        <v>20</v>
      </c>
      <c r="AE2075" s="78" t="s">
        <v>72</v>
      </c>
      <c r="AF2075" s="78" t="s">
        <v>51</v>
      </c>
      <c r="AG2075" s="78" t="s">
        <v>283</v>
      </c>
      <c r="AH2075" s="78">
        <v>4.4216522874164488</v>
      </c>
      <c r="AJ2075" s="78" t="s">
        <v>52</v>
      </c>
      <c r="AK2075" s="78" t="s">
        <v>20</v>
      </c>
      <c r="AL2075" s="78" t="s">
        <v>28</v>
      </c>
      <c r="AM2075" s="78" t="s">
        <v>51</v>
      </c>
      <c r="AN2075" s="78" t="s">
        <v>247</v>
      </c>
      <c r="AO2075" s="78">
        <v>1.3922675298857004</v>
      </c>
    </row>
    <row r="2076" spans="29:41">
      <c r="AC2076" s="78" t="s">
        <v>52</v>
      </c>
      <c r="AD2076" s="78" t="s">
        <v>20</v>
      </c>
      <c r="AE2076" s="78" t="s">
        <v>72</v>
      </c>
      <c r="AF2076" s="78" t="s">
        <v>51</v>
      </c>
      <c r="AG2076" s="78" t="s">
        <v>284</v>
      </c>
      <c r="AH2076" s="78">
        <v>4.5464025578172089</v>
      </c>
      <c r="AJ2076" s="78" t="s">
        <v>52</v>
      </c>
      <c r="AK2076" s="78" t="s">
        <v>20</v>
      </c>
      <c r="AL2076" s="78" t="s">
        <v>28</v>
      </c>
      <c r="AM2076" s="78" t="s">
        <v>51</v>
      </c>
      <c r="AN2076" s="78" t="s">
        <v>248</v>
      </c>
      <c r="AO2076" s="78">
        <v>1.3276135540973319</v>
      </c>
    </row>
    <row r="2077" spans="29:41">
      <c r="AC2077" s="78" t="s">
        <v>52</v>
      </c>
      <c r="AD2077" s="78" t="s">
        <v>20</v>
      </c>
      <c r="AE2077" s="78" t="s">
        <v>72</v>
      </c>
      <c r="AF2077" s="78" t="s">
        <v>51</v>
      </c>
      <c r="AG2077" s="78" t="s">
        <v>285</v>
      </c>
      <c r="AH2077" s="78">
        <v>4.4860360923539417</v>
      </c>
      <c r="AJ2077" s="78" t="s">
        <v>52</v>
      </c>
      <c r="AK2077" s="78" t="s">
        <v>20</v>
      </c>
      <c r="AL2077" s="78" t="s">
        <v>28</v>
      </c>
      <c r="AM2077" s="78" t="s">
        <v>51</v>
      </c>
      <c r="AN2077" s="78" t="s">
        <v>249</v>
      </c>
      <c r="AO2077" s="78">
        <v>1.3261623047904219</v>
      </c>
    </row>
    <row r="2078" spans="29:41">
      <c r="AC2078" s="78" t="s">
        <v>52</v>
      </c>
      <c r="AD2078" s="78" t="s">
        <v>20</v>
      </c>
      <c r="AE2078" s="78" t="s">
        <v>72</v>
      </c>
      <c r="AF2078" s="78" t="s">
        <v>51</v>
      </c>
      <c r="AG2078" s="78" t="s">
        <v>286</v>
      </c>
      <c r="AH2078" s="78">
        <v>4.5467951308758243</v>
      </c>
      <c r="AJ2078" s="78" t="s">
        <v>52</v>
      </c>
      <c r="AK2078" s="78" t="s">
        <v>20</v>
      </c>
      <c r="AL2078" s="78" t="s">
        <v>28</v>
      </c>
      <c r="AM2078" s="78" t="s">
        <v>51</v>
      </c>
      <c r="AN2078" s="78" t="s">
        <v>250</v>
      </c>
      <c r="AO2078" s="78">
        <v>1.4242045267284322</v>
      </c>
    </row>
    <row r="2079" spans="29:41">
      <c r="AC2079" s="78" t="s">
        <v>52</v>
      </c>
      <c r="AD2079" s="78" t="s">
        <v>20</v>
      </c>
      <c r="AE2079" s="78" t="s">
        <v>72</v>
      </c>
      <c r="AF2079" s="78" t="s">
        <v>51</v>
      </c>
      <c r="AG2079" s="78" t="s">
        <v>287</v>
      </c>
      <c r="AH2079" s="78">
        <v>4.6104446823863938</v>
      </c>
      <c r="AJ2079" s="78" t="s">
        <v>52</v>
      </c>
      <c r="AK2079" s="78" t="s">
        <v>20</v>
      </c>
      <c r="AL2079" s="78" t="s">
        <v>28</v>
      </c>
      <c r="AM2079" s="78" t="s">
        <v>51</v>
      </c>
      <c r="AN2079" s="78" t="s">
        <v>251</v>
      </c>
      <c r="AO2079" s="78">
        <v>1.3255157785773992</v>
      </c>
    </row>
    <row r="2080" spans="29:41">
      <c r="AC2080" s="78" t="s">
        <v>52</v>
      </c>
      <c r="AD2080" s="78" t="s">
        <v>20</v>
      </c>
      <c r="AE2080" s="78" t="s">
        <v>72</v>
      </c>
      <c r="AF2080" s="78" t="s">
        <v>51</v>
      </c>
      <c r="AG2080" s="78" t="s">
        <v>288</v>
      </c>
      <c r="AH2080" s="78">
        <v>4.5467951308758243</v>
      </c>
      <c r="AJ2080" s="78" t="s">
        <v>52</v>
      </c>
      <c r="AK2080" s="78" t="s">
        <v>20</v>
      </c>
      <c r="AL2080" s="78" t="s">
        <v>28</v>
      </c>
      <c r="AM2080" s="78" t="s">
        <v>51</v>
      </c>
      <c r="AN2080" s="78" t="s">
        <v>252</v>
      </c>
      <c r="AO2080" s="78">
        <v>1.2781892203516392</v>
      </c>
    </row>
    <row r="2081" spans="29:41">
      <c r="AC2081" s="78" t="s">
        <v>52</v>
      </c>
      <c r="AD2081" s="78" t="s">
        <v>20</v>
      </c>
      <c r="AE2081" s="78" t="s">
        <v>72</v>
      </c>
      <c r="AF2081" s="78" t="s">
        <v>51</v>
      </c>
      <c r="AG2081" s="78" t="s">
        <v>289</v>
      </c>
      <c r="AH2081" s="78">
        <v>4.4860360923539417</v>
      </c>
      <c r="AJ2081" s="78" t="s">
        <v>52</v>
      </c>
      <c r="AK2081" s="78" t="s">
        <v>20</v>
      </c>
      <c r="AL2081" s="78" t="s">
        <v>28</v>
      </c>
      <c r="AM2081" s="78" t="s">
        <v>51</v>
      </c>
      <c r="AN2081" s="78" t="s">
        <v>253</v>
      </c>
      <c r="AO2081" s="78">
        <v>1.3336187588263893</v>
      </c>
    </row>
    <row r="2082" spans="29:41">
      <c r="AC2082" s="78" t="s">
        <v>52</v>
      </c>
      <c r="AD2082" s="78" t="s">
        <v>20</v>
      </c>
      <c r="AE2082" s="78" t="s">
        <v>72</v>
      </c>
      <c r="AF2082" s="78" t="s">
        <v>51</v>
      </c>
      <c r="AG2082" s="78" t="s">
        <v>290</v>
      </c>
      <c r="AH2082" s="78">
        <v>4.4222656236769913</v>
      </c>
      <c r="AJ2082" s="78" t="s">
        <v>52</v>
      </c>
      <c r="AK2082" s="78" t="s">
        <v>20</v>
      </c>
      <c r="AL2082" s="78" t="s">
        <v>28</v>
      </c>
      <c r="AM2082" s="78" t="s">
        <v>51</v>
      </c>
      <c r="AN2082" s="78" t="s">
        <v>254</v>
      </c>
      <c r="AO2082" s="78">
        <v>1.3195589240134591</v>
      </c>
    </row>
    <row r="2083" spans="29:41">
      <c r="AC2083" s="78" t="s">
        <v>52</v>
      </c>
      <c r="AD2083" s="78" t="s">
        <v>20</v>
      </c>
      <c r="AE2083" s="78" t="s">
        <v>72</v>
      </c>
      <c r="AF2083" s="78" t="s">
        <v>51</v>
      </c>
      <c r="AG2083" s="78" t="s">
        <v>291</v>
      </c>
      <c r="AH2083" s="78">
        <v>4.4860360923539417</v>
      </c>
      <c r="AJ2083" s="78" t="s">
        <v>52</v>
      </c>
      <c r="AK2083" s="78" t="s">
        <v>20</v>
      </c>
      <c r="AL2083" s="78" t="s">
        <v>28</v>
      </c>
      <c r="AM2083" s="78" t="s">
        <v>51</v>
      </c>
      <c r="AN2083" s="78" t="s">
        <v>255</v>
      </c>
      <c r="AO2083" s="78">
        <v>1.3217844717508891</v>
      </c>
    </row>
    <row r="2084" spans="29:41">
      <c r="AC2084" s="78" t="s">
        <v>52</v>
      </c>
      <c r="AD2084" s="78" t="s">
        <v>20</v>
      </c>
      <c r="AE2084" s="78" t="s">
        <v>72</v>
      </c>
      <c r="AF2084" s="78" t="s">
        <v>51</v>
      </c>
      <c r="AG2084" s="78" t="s">
        <v>292</v>
      </c>
      <c r="AH2084" s="78">
        <v>4.4222656236769913</v>
      </c>
      <c r="AJ2084" s="78" t="s">
        <v>52</v>
      </c>
      <c r="AK2084" s="78" t="s">
        <v>20</v>
      </c>
      <c r="AL2084" s="78" t="s">
        <v>28</v>
      </c>
      <c r="AM2084" s="78" t="s">
        <v>51</v>
      </c>
      <c r="AN2084" s="78" t="s">
        <v>256</v>
      </c>
      <c r="AO2084" s="78">
        <v>1.4015219528697702</v>
      </c>
    </row>
    <row r="2085" spans="29:41">
      <c r="AC2085" s="78" t="s">
        <v>52</v>
      </c>
      <c r="AD2085" s="78" t="s">
        <v>20</v>
      </c>
      <c r="AE2085" s="78" t="s">
        <v>72</v>
      </c>
      <c r="AF2085" s="78" t="s">
        <v>51</v>
      </c>
      <c r="AG2085" s="78" t="s">
        <v>293</v>
      </c>
      <c r="AH2085" s="78">
        <v>4.3821353816591078</v>
      </c>
      <c r="AJ2085" s="78" t="s">
        <v>52</v>
      </c>
      <c r="AK2085" s="78" t="s">
        <v>20</v>
      </c>
      <c r="AL2085" s="78" t="s">
        <v>28</v>
      </c>
      <c r="AM2085" s="78" t="s">
        <v>51</v>
      </c>
      <c r="AN2085" s="78" t="s">
        <v>257</v>
      </c>
      <c r="AO2085" s="78">
        <v>1.5670174738644591</v>
      </c>
    </row>
    <row r="2086" spans="29:41">
      <c r="AC2086" s="78" t="s">
        <v>52</v>
      </c>
      <c r="AD2086" s="78" t="s">
        <v>20</v>
      </c>
      <c r="AE2086" s="78" t="s">
        <v>72</v>
      </c>
      <c r="AF2086" s="78" t="s">
        <v>51</v>
      </c>
      <c r="AG2086" s="78" t="s">
        <v>294</v>
      </c>
      <c r="AH2086" s="78">
        <v>4.5464025578172089</v>
      </c>
      <c r="AJ2086" s="78" t="s">
        <v>52</v>
      </c>
      <c r="AK2086" s="78" t="s">
        <v>20</v>
      </c>
      <c r="AL2086" s="78" t="s">
        <v>28</v>
      </c>
      <c r="AM2086" s="78" t="s">
        <v>51</v>
      </c>
      <c r="AN2086" s="78" t="s">
        <v>258</v>
      </c>
      <c r="AO2086" s="78">
        <v>1.4842172030270488</v>
      </c>
    </row>
    <row r="2087" spans="29:41">
      <c r="AC2087" s="78" t="s">
        <v>52</v>
      </c>
      <c r="AD2087" s="78" t="s">
        <v>20</v>
      </c>
      <c r="AE2087" s="78" t="s">
        <v>72</v>
      </c>
      <c r="AF2087" s="78" t="s">
        <v>51</v>
      </c>
      <c r="AG2087" s="78" t="s">
        <v>235</v>
      </c>
      <c r="AH2087" s="78">
        <v>4.4222656236769913</v>
      </c>
      <c r="AJ2087" s="78" t="s">
        <v>52</v>
      </c>
      <c r="AK2087" s="78" t="s">
        <v>20</v>
      </c>
      <c r="AL2087" s="78" t="s">
        <v>28</v>
      </c>
      <c r="AM2087" s="78" t="s">
        <v>51</v>
      </c>
      <c r="AN2087" s="78" t="s">
        <v>259</v>
      </c>
      <c r="AO2087" s="78">
        <v>1.4545746639920119</v>
      </c>
    </row>
    <row r="2088" spans="29:41">
      <c r="AC2088" s="78" t="s">
        <v>52</v>
      </c>
      <c r="AD2088" s="78" t="s">
        <v>20</v>
      </c>
      <c r="AE2088" s="78" t="s">
        <v>72</v>
      </c>
      <c r="AF2088" s="78" t="s">
        <v>51</v>
      </c>
      <c r="AG2088" s="78" t="s">
        <v>295</v>
      </c>
      <c r="AH2088" s="78">
        <v>4.3821353816591078</v>
      </c>
      <c r="AJ2088" s="78" t="s">
        <v>52</v>
      </c>
      <c r="AK2088" s="78" t="s">
        <v>20</v>
      </c>
      <c r="AL2088" s="78" t="s">
        <v>28</v>
      </c>
      <c r="AM2088" s="78" t="s">
        <v>51</v>
      </c>
      <c r="AN2088" s="78" t="s">
        <v>260</v>
      </c>
      <c r="AO2088" s="78">
        <v>1.5792426403971289</v>
      </c>
    </row>
    <row r="2089" spans="29:41">
      <c r="AC2089" s="78" t="s">
        <v>52</v>
      </c>
      <c r="AD2089" s="78" t="s">
        <v>20</v>
      </c>
      <c r="AE2089" s="78" t="s">
        <v>72</v>
      </c>
      <c r="AF2089" s="78" t="s">
        <v>51</v>
      </c>
      <c r="AG2089" s="78" t="s">
        <v>296</v>
      </c>
      <c r="AH2089" s="78">
        <v>4.3821353816591078</v>
      </c>
      <c r="AJ2089" s="78" t="s">
        <v>52</v>
      </c>
      <c r="AK2089" s="78" t="s">
        <v>20</v>
      </c>
      <c r="AL2089" s="78" t="s">
        <v>28</v>
      </c>
      <c r="AM2089" s="78" t="s">
        <v>51</v>
      </c>
      <c r="AN2089" s="78" t="s">
        <v>261</v>
      </c>
      <c r="AO2089" s="78">
        <v>1.5026922623118697</v>
      </c>
    </row>
    <row r="2090" spans="29:41">
      <c r="AC2090" s="78" t="s">
        <v>52</v>
      </c>
      <c r="AD2090" s="78" t="s">
        <v>20</v>
      </c>
      <c r="AE2090" s="78" t="s">
        <v>72</v>
      </c>
      <c r="AF2090" s="78" t="s">
        <v>51</v>
      </c>
      <c r="AG2090" s="78" t="s">
        <v>297</v>
      </c>
      <c r="AH2090" s="78">
        <v>4.5464025578172089</v>
      </c>
      <c r="AJ2090" s="78" t="s">
        <v>52</v>
      </c>
      <c r="AK2090" s="78" t="s">
        <v>20</v>
      </c>
      <c r="AL2090" s="78" t="s">
        <v>28</v>
      </c>
      <c r="AM2090" s="78" t="s">
        <v>51</v>
      </c>
      <c r="AN2090" s="78" t="s">
        <v>262</v>
      </c>
      <c r="AO2090" s="78">
        <v>1.5842316438716988</v>
      </c>
    </row>
    <row r="2091" spans="29:41">
      <c r="AC2091" s="78" t="s">
        <v>52</v>
      </c>
      <c r="AD2091" s="78" t="s">
        <v>20</v>
      </c>
      <c r="AE2091" s="78" t="s">
        <v>72</v>
      </c>
      <c r="AF2091" s="78" t="s">
        <v>51</v>
      </c>
      <c r="AG2091" s="78" t="s">
        <v>298</v>
      </c>
      <c r="AH2091" s="78">
        <v>4.5464025578172089</v>
      </c>
      <c r="AJ2091" s="78" t="s">
        <v>52</v>
      </c>
      <c r="AK2091" s="78" t="s">
        <v>20</v>
      </c>
      <c r="AL2091" s="78" t="s">
        <v>28</v>
      </c>
      <c r="AM2091" s="78" t="s">
        <v>51</v>
      </c>
      <c r="AN2091" s="78" t="s">
        <v>263</v>
      </c>
      <c r="AO2091" s="78">
        <v>1.6617056752336257</v>
      </c>
    </row>
    <row r="2092" spans="29:41">
      <c r="AC2092" s="78" t="s">
        <v>52</v>
      </c>
      <c r="AD2092" s="78" t="s">
        <v>20</v>
      </c>
      <c r="AE2092" s="78" t="s">
        <v>72</v>
      </c>
      <c r="AF2092" s="78" t="s">
        <v>51</v>
      </c>
      <c r="AG2092" s="78" t="s">
        <v>299</v>
      </c>
      <c r="AH2092" s="78">
        <v>4.3577019868052416</v>
      </c>
      <c r="AJ2092" s="78" t="s">
        <v>52</v>
      </c>
      <c r="AK2092" s="78" t="s">
        <v>20</v>
      </c>
      <c r="AL2092" s="78" t="s">
        <v>28</v>
      </c>
      <c r="AM2092" s="78" t="s">
        <v>51</v>
      </c>
      <c r="AN2092" s="78" t="s">
        <v>264</v>
      </c>
      <c r="AO2092" s="78">
        <v>1.6486350037525557</v>
      </c>
    </row>
    <row r="2093" spans="29:41">
      <c r="AC2093" s="78" t="s">
        <v>52</v>
      </c>
      <c r="AD2093" s="78" t="s">
        <v>20</v>
      </c>
      <c r="AE2093" s="78" t="s">
        <v>72</v>
      </c>
      <c r="AF2093" s="78" t="s">
        <v>51</v>
      </c>
      <c r="AG2093" s="78" t="s">
        <v>300</v>
      </c>
      <c r="AH2093" s="78">
        <v>4.4216522874164488</v>
      </c>
      <c r="AJ2093" s="78" t="s">
        <v>52</v>
      </c>
      <c r="AK2093" s="78" t="s">
        <v>20</v>
      </c>
      <c r="AL2093" s="78" t="s">
        <v>28</v>
      </c>
      <c r="AM2093" s="78" t="s">
        <v>51</v>
      </c>
      <c r="AN2093" s="78" t="s">
        <v>265</v>
      </c>
      <c r="AO2093" s="78">
        <v>1.5427834954210289</v>
      </c>
    </row>
    <row r="2094" spans="29:41">
      <c r="AC2094" s="78" t="s">
        <v>52</v>
      </c>
      <c r="AD2094" s="78" t="s">
        <v>20</v>
      </c>
      <c r="AE2094" s="78" t="s">
        <v>72</v>
      </c>
      <c r="AF2094" s="78" t="s">
        <v>51</v>
      </c>
      <c r="AG2094" s="78" t="s">
        <v>301</v>
      </c>
      <c r="AH2094" s="78">
        <v>4.5467951308758243</v>
      </c>
      <c r="AJ2094" s="78" t="s">
        <v>52</v>
      </c>
      <c r="AK2094" s="78" t="s">
        <v>20</v>
      </c>
      <c r="AL2094" s="78" t="s">
        <v>28</v>
      </c>
      <c r="AM2094" s="78" t="s">
        <v>51</v>
      </c>
      <c r="AN2094" s="78" t="s">
        <v>266</v>
      </c>
      <c r="AO2094" s="78">
        <v>1.4399059540715016</v>
      </c>
    </row>
    <row r="2095" spans="29:41">
      <c r="AC2095" s="78" t="s">
        <v>52</v>
      </c>
      <c r="AD2095" s="78" t="s">
        <v>20</v>
      </c>
      <c r="AE2095" s="78" t="s">
        <v>72</v>
      </c>
      <c r="AF2095" s="78" t="s">
        <v>51</v>
      </c>
      <c r="AG2095" s="78" t="s">
        <v>302</v>
      </c>
      <c r="AH2095" s="78">
        <v>4.4860360923539417</v>
      </c>
      <c r="AJ2095" s="78" t="s">
        <v>52</v>
      </c>
      <c r="AK2095" s="78" t="s">
        <v>20</v>
      </c>
      <c r="AL2095" s="78" t="s">
        <v>28</v>
      </c>
      <c r="AM2095" s="78" t="s">
        <v>51</v>
      </c>
      <c r="AN2095" s="78" t="s">
        <v>267</v>
      </c>
      <c r="AO2095" s="78">
        <v>1.6295378211291054</v>
      </c>
    </row>
    <row r="2096" spans="29:41">
      <c r="AC2096" s="78" t="s">
        <v>52</v>
      </c>
      <c r="AD2096" s="78" t="s">
        <v>20</v>
      </c>
      <c r="AE2096" s="78" t="s">
        <v>72</v>
      </c>
      <c r="AF2096" s="78" t="s">
        <v>51</v>
      </c>
      <c r="AG2096" s="78" t="s">
        <v>303</v>
      </c>
      <c r="AH2096" s="78">
        <v>4.5464025578172089</v>
      </c>
      <c r="AJ2096" s="78" t="s">
        <v>52</v>
      </c>
      <c r="AK2096" s="78" t="s">
        <v>20</v>
      </c>
      <c r="AL2096" s="78" t="s">
        <v>28</v>
      </c>
      <c r="AM2096" s="78" t="s">
        <v>51</v>
      </c>
      <c r="AN2096" s="78" t="s">
        <v>268</v>
      </c>
      <c r="AO2096" s="78">
        <v>1.6495492847164992</v>
      </c>
    </row>
    <row r="2097" spans="29:41">
      <c r="AC2097" s="78" t="s">
        <v>52</v>
      </c>
      <c r="AD2097" s="78" t="s">
        <v>20</v>
      </c>
      <c r="AE2097" s="78" t="s">
        <v>72</v>
      </c>
      <c r="AF2097" s="78" t="s">
        <v>51</v>
      </c>
      <c r="AG2097" s="78" t="s">
        <v>304</v>
      </c>
      <c r="AH2097" s="78">
        <v>4.4825742980400598</v>
      </c>
      <c r="AJ2097" s="78" t="s">
        <v>52</v>
      </c>
      <c r="AK2097" s="78" t="s">
        <v>20</v>
      </c>
      <c r="AL2097" s="78" t="s">
        <v>28</v>
      </c>
      <c r="AM2097" s="78" t="s">
        <v>51</v>
      </c>
      <c r="AN2097" s="78" t="s">
        <v>269</v>
      </c>
      <c r="AO2097" s="78">
        <v>1.5660706750632591</v>
      </c>
    </row>
    <row r="2098" spans="29:41">
      <c r="AC2098" s="78" t="s">
        <v>52</v>
      </c>
      <c r="AD2098" s="78" t="s">
        <v>20</v>
      </c>
      <c r="AE2098" s="78" t="s">
        <v>72</v>
      </c>
      <c r="AF2098" s="78" t="s">
        <v>51</v>
      </c>
      <c r="AG2098" s="78" t="s">
        <v>305</v>
      </c>
      <c r="AH2098" s="78">
        <v>4.5464025578172089</v>
      </c>
      <c r="AJ2098" s="78" t="s">
        <v>52</v>
      </c>
      <c r="AK2098" s="78" t="s">
        <v>20</v>
      </c>
      <c r="AL2098" s="78" t="s">
        <v>28</v>
      </c>
      <c r="AM2098" s="78" t="s">
        <v>51</v>
      </c>
      <c r="AN2098" s="78" t="s">
        <v>270</v>
      </c>
      <c r="AO2098" s="78">
        <v>1.6241800327068789</v>
      </c>
    </row>
    <row r="2099" spans="29:41">
      <c r="AC2099" s="78" t="s">
        <v>52</v>
      </c>
      <c r="AD2099" s="78" t="s">
        <v>20</v>
      </c>
      <c r="AE2099" s="78" t="s">
        <v>72</v>
      </c>
      <c r="AF2099" s="78" t="s">
        <v>51</v>
      </c>
      <c r="AG2099" s="78" t="s">
        <v>306</v>
      </c>
      <c r="AH2099" s="78">
        <v>4.3821353816591078</v>
      </c>
      <c r="AJ2099" s="78" t="s">
        <v>52</v>
      </c>
      <c r="AK2099" s="78" t="s">
        <v>20</v>
      </c>
      <c r="AL2099" s="78" t="s">
        <v>28</v>
      </c>
      <c r="AM2099" s="78" t="s">
        <v>51</v>
      </c>
      <c r="AN2099" s="78" t="s">
        <v>271</v>
      </c>
      <c r="AO2099" s="78">
        <v>1.6224507077297987</v>
      </c>
    </row>
    <row r="2100" spans="29:41">
      <c r="AC2100" s="78" t="s">
        <v>52</v>
      </c>
      <c r="AD2100" s="78" t="s">
        <v>20</v>
      </c>
      <c r="AE2100" s="78" t="s">
        <v>72</v>
      </c>
      <c r="AF2100" s="78" t="s">
        <v>51</v>
      </c>
      <c r="AG2100" s="78" t="s">
        <v>307</v>
      </c>
      <c r="AH2100" s="78">
        <v>4.3821353816591078</v>
      </c>
      <c r="AJ2100" s="78" t="s">
        <v>52</v>
      </c>
      <c r="AK2100" s="78" t="s">
        <v>20</v>
      </c>
      <c r="AL2100" s="78" t="s">
        <v>28</v>
      </c>
      <c r="AM2100" s="78" t="s">
        <v>51</v>
      </c>
      <c r="AN2100" s="78" t="s">
        <v>272</v>
      </c>
      <c r="AO2100" s="78">
        <v>1.6458027650077354</v>
      </c>
    </row>
    <row r="2101" spans="29:41">
      <c r="AC2101" s="78" t="s">
        <v>52</v>
      </c>
      <c r="AD2101" s="78" t="s">
        <v>20</v>
      </c>
      <c r="AE2101" s="78" t="s">
        <v>72</v>
      </c>
      <c r="AF2101" s="78" t="s">
        <v>51</v>
      </c>
      <c r="AG2101" s="78" t="s">
        <v>308</v>
      </c>
      <c r="AH2101" s="78">
        <v>4.3821353816591078</v>
      </c>
      <c r="AJ2101" s="78" t="s">
        <v>52</v>
      </c>
      <c r="AK2101" s="78" t="s">
        <v>20</v>
      </c>
      <c r="AL2101" s="78" t="s">
        <v>28</v>
      </c>
      <c r="AM2101" s="78" t="s">
        <v>51</v>
      </c>
      <c r="AN2101" s="78" t="s">
        <v>273</v>
      </c>
      <c r="AO2101" s="78">
        <v>1.612976560734289</v>
      </c>
    </row>
    <row r="2102" spans="29:41">
      <c r="AC2102" s="78" t="s">
        <v>52</v>
      </c>
      <c r="AD2102" s="78" t="s">
        <v>20</v>
      </c>
      <c r="AE2102" s="78" t="s">
        <v>72</v>
      </c>
      <c r="AF2102" s="78" t="s">
        <v>51</v>
      </c>
      <c r="AG2102" s="78" t="s">
        <v>309</v>
      </c>
      <c r="AH2102" s="78">
        <v>4.6104446823863938</v>
      </c>
      <c r="AJ2102" s="78" t="s">
        <v>52</v>
      </c>
      <c r="AK2102" s="78" t="s">
        <v>20</v>
      </c>
      <c r="AL2102" s="78" t="s">
        <v>28</v>
      </c>
      <c r="AM2102" s="78" t="s">
        <v>51</v>
      </c>
      <c r="AN2102" s="78" t="s">
        <v>274</v>
      </c>
      <c r="AO2102" s="78">
        <v>1.6402886021160488</v>
      </c>
    </row>
    <row r="2103" spans="29:41">
      <c r="AC2103" s="78" t="s">
        <v>52</v>
      </c>
      <c r="AD2103" s="78" t="s">
        <v>20</v>
      </c>
      <c r="AE2103" s="78" t="s">
        <v>72</v>
      </c>
      <c r="AF2103" s="78" t="s">
        <v>51</v>
      </c>
      <c r="AG2103" s="78" t="s">
        <v>310</v>
      </c>
      <c r="AH2103" s="78">
        <v>4.6104446823863938</v>
      </c>
      <c r="AJ2103" s="78" t="s">
        <v>52</v>
      </c>
      <c r="AK2103" s="78" t="s">
        <v>20</v>
      </c>
      <c r="AL2103" s="78" t="s">
        <v>28</v>
      </c>
      <c r="AM2103" s="78" t="s">
        <v>51</v>
      </c>
      <c r="AN2103" s="78" t="s">
        <v>275</v>
      </c>
      <c r="AO2103" s="78">
        <v>1.586377494496169</v>
      </c>
    </row>
    <row r="2104" spans="29:41">
      <c r="AC2104" s="78" t="s">
        <v>52</v>
      </c>
      <c r="AD2104" s="78" t="s">
        <v>20</v>
      </c>
      <c r="AE2104" s="78" t="s">
        <v>72</v>
      </c>
      <c r="AF2104" s="78" t="s">
        <v>51</v>
      </c>
      <c r="AG2104" s="78" t="s">
        <v>234</v>
      </c>
      <c r="AH2104" s="78">
        <v>4.4860360923539417</v>
      </c>
      <c r="AJ2104" s="78" t="s">
        <v>52</v>
      </c>
      <c r="AK2104" s="78" t="s">
        <v>20</v>
      </c>
      <c r="AL2104" s="78" t="s">
        <v>28</v>
      </c>
      <c r="AM2104" s="78" t="s">
        <v>51</v>
      </c>
      <c r="AN2104" s="78" t="s">
        <v>276</v>
      </c>
      <c r="AO2104" s="78">
        <v>1.6017952809930489</v>
      </c>
    </row>
    <row r="2105" spans="29:41">
      <c r="AC2105" s="78" t="s">
        <v>52</v>
      </c>
      <c r="AD2105" s="78" t="s">
        <v>20</v>
      </c>
      <c r="AE2105" s="78" t="s">
        <v>72</v>
      </c>
      <c r="AF2105" s="78" t="s">
        <v>51</v>
      </c>
      <c r="AG2105" s="78" t="s">
        <v>311</v>
      </c>
      <c r="AH2105" s="78">
        <v>4.4222656236769913</v>
      </c>
      <c r="AJ2105" s="78" t="s">
        <v>52</v>
      </c>
      <c r="AK2105" s="78" t="s">
        <v>20</v>
      </c>
      <c r="AL2105" s="78" t="s">
        <v>28</v>
      </c>
      <c r="AM2105" s="78" t="s">
        <v>51</v>
      </c>
      <c r="AN2105" s="78" t="s">
        <v>277</v>
      </c>
      <c r="AO2105" s="78">
        <v>1.5725312887313887</v>
      </c>
    </row>
    <row r="2106" spans="29:41">
      <c r="AC2106" s="78" t="s">
        <v>52</v>
      </c>
      <c r="AD2106" s="78" t="s">
        <v>20</v>
      </c>
      <c r="AE2106" s="78" t="s">
        <v>72</v>
      </c>
      <c r="AF2106" s="78" t="s">
        <v>51</v>
      </c>
      <c r="AG2106" s="78" t="s">
        <v>312</v>
      </c>
      <c r="AH2106" s="78">
        <v>4.4222656236769913</v>
      </c>
      <c r="AJ2106" s="78" t="s">
        <v>52</v>
      </c>
      <c r="AK2106" s="78" t="s">
        <v>20</v>
      </c>
      <c r="AL2106" s="78" t="s">
        <v>28</v>
      </c>
      <c r="AM2106" s="78" t="s">
        <v>51</v>
      </c>
      <c r="AN2106" s="78" t="s">
        <v>278</v>
      </c>
      <c r="AO2106" s="78">
        <v>1.500702552585979</v>
      </c>
    </row>
    <row r="2107" spans="29:41">
      <c r="AC2107" s="78" t="s">
        <v>52</v>
      </c>
      <c r="AD2107" s="78" t="s">
        <v>20</v>
      </c>
      <c r="AE2107" s="78" t="s">
        <v>72</v>
      </c>
      <c r="AF2107" s="78" t="s">
        <v>51</v>
      </c>
      <c r="AG2107" s="78" t="s">
        <v>313</v>
      </c>
      <c r="AH2107" s="78">
        <v>4.4860360923539417</v>
      </c>
      <c r="AJ2107" s="78" t="s">
        <v>52</v>
      </c>
      <c r="AK2107" s="78" t="s">
        <v>20</v>
      </c>
      <c r="AL2107" s="78" t="s">
        <v>28</v>
      </c>
      <c r="AM2107" s="78" t="s">
        <v>51</v>
      </c>
      <c r="AN2107" s="78" t="s">
        <v>279</v>
      </c>
      <c r="AO2107" s="78">
        <v>1.4206257973994989</v>
      </c>
    </row>
    <row r="2108" spans="29:41">
      <c r="AC2108" s="78" t="s">
        <v>52</v>
      </c>
      <c r="AD2108" s="78" t="s">
        <v>20</v>
      </c>
      <c r="AE2108" s="78" t="s">
        <v>72</v>
      </c>
      <c r="AF2108" s="78" t="s">
        <v>51</v>
      </c>
      <c r="AG2108" s="78" t="s">
        <v>233</v>
      </c>
      <c r="AH2108" s="78">
        <v>4.6104446823863938</v>
      </c>
      <c r="AJ2108" s="78" t="s">
        <v>52</v>
      </c>
      <c r="AK2108" s="78" t="s">
        <v>20</v>
      </c>
      <c r="AL2108" s="78" t="s">
        <v>28</v>
      </c>
      <c r="AM2108" s="78" t="s">
        <v>51</v>
      </c>
      <c r="AN2108" s="78" t="s">
        <v>280</v>
      </c>
      <c r="AO2108" s="78">
        <v>1.5132838842596517</v>
      </c>
    </row>
    <row r="2109" spans="29:41">
      <c r="AC2109" s="78" t="s">
        <v>52</v>
      </c>
      <c r="AD2109" s="78" t="s">
        <v>20</v>
      </c>
      <c r="AE2109" s="78" t="s">
        <v>72</v>
      </c>
      <c r="AF2109" s="78" t="s">
        <v>51</v>
      </c>
      <c r="AG2109" s="78" t="s">
        <v>236</v>
      </c>
      <c r="AH2109" s="78">
        <v>4.6104446823863938</v>
      </c>
      <c r="AJ2109" s="78" t="s">
        <v>52</v>
      </c>
      <c r="AK2109" s="78" t="s">
        <v>20</v>
      </c>
      <c r="AL2109" s="78" t="s">
        <v>28</v>
      </c>
      <c r="AM2109" s="78" t="s">
        <v>51</v>
      </c>
      <c r="AN2109" s="78" t="s">
        <v>281</v>
      </c>
      <c r="AO2109" s="78">
        <v>1.4316219636585588</v>
      </c>
    </row>
    <row r="2110" spans="29:41">
      <c r="AC2110" s="78" t="s">
        <v>52</v>
      </c>
      <c r="AD2110" s="78" t="s">
        <v>20</v>
      </c>
      <c r="AE2110" s="78" t="s">
        <v>72</v>
      </c>
      <c r="AF2110" s="78" t="s">
        <v>51</v>
      </c>
      <c r="AG2110" s="78" t="s">
        <v>318</v>
      </c>
      <c r="AH2110" s="78">
        <v>4.6104446823863938</v>
      </c>
      <c r="AJ2110" s="78" t="s">
        <v>52</v>
      </c>
      <c r="AK2110" s="78" t="s">
        <v>20</v>
      </c>
      <c r="AL2110" s="78" t="s">
        <v>28</v>
      </c>
      <c r="AM2110" s="78" t="s">
        <v>51</v>
      </c>
      <c r="AN2110" s="78" t="s">
        <v>282</v>
      </c>
      <c r="AO2110" s="78">
        <v>1.4594036015598615</v>
      </c>
    </row>
    <row r="2111" spans="29:41">
      <c r="AC2111" s="78" t="s">
        <v>52</v>
      </c>
      <c r="AD2111" s="78" t="s">
        <v>20</v>
      </c>
      <c r="AE2111" s="78" t="s">
        <v>72</v>
      </c>
      <c r="AF2111" s="78" t="s">
        <v>51</v>
      </c>
      <c r="AG2111" s="78" t="s">
        <v>319</v>
      </c>
      <c r="AH2111" s="78">
        <v>4.6104446823863938</v>
      </c>
      <c r="AJ2111" s="78" t="s">
        <v>52</v>
      </c>
      <c r="AK2111" s="78" t="s">
        <v>20</v>
      </c>
      <c r="AL2111" s="78" t="s">
        <v>28</v>
      </c>
      <c r="AM2111" s="78" t="s">
        <v>51</v>
      </c>
      <c r="AN2111" s="78" t="s">
        <v>283</v>
      </c>
      <c r="AO2111" s="78">
        <v>1.4875892539496596</v>
      </c>
    </row>
    <row r="2112" spans="29:41">
      <c r="AC2112" s="78" t="s">
        <v>52</v>
      </c>
      <c r="AD2112" s="78" t="s">
        <v>20</v>
      </c>
      <c r="AE2112" s="78" t="s">
        <v>72</v>
      </c>
      <c r="AF2112" s="78" t="s">
        <v>51</v>
      </c>
      <c r="AG2112" s="78" t="s">
        <v>320</v>
      </c>
      <c r="AH2112" s="78">
        <v>4.5467951308758243</v>
      </c>
      <c r="AJ2112" s="78" t="s">
        <v>52</v>
      </c>
      <c r="AK2112" s="78" t="s">
        <v>20</v>
      </c>
      <c r="AL2112" s="78" t="s">
        <v>28</v>
      </c>
      <c r="AM2112" s="78" t="s">
        <v>51</v>
      </c>
      <c r="AN2112" s="78" t="s">
        <v>284</v>
      </c>
      <c r="AO2112" s="78">
        <v>1.6075998724339589</v>
      </c>
    </row>
    <row r="2113" spans="29:41">
      <c r="AC2113" s="78" t="s">
        <v>52</v>
      </c>
      <c r="AD2113" s="78" t="s">
        <v>20</v>
      </c>
      <c r="AE2113" s="78" t="s">
        <v>72</v>
      </c>
      <c r="AF2113" s="78" t="s">
        <v>51</v>
      </c>
      <c r="AG2113" s="78" t="s">
        <v>321</v>
      </c>
      <c r="AH2113" s="78">
        <v>4.4222656236769913</v>
      </c>
      <c r="AJ2113" s="78" t="s">
        <v>52</v>
      </c>
      <c r="AK2113" s="78" t="s">
        <v>20</v>
      </c>
      <c r="AL2113" s="78" t="s">
        <v>28</v>
      </c>
      <c r="AM2113" s="78" t="s">
        <v>51</v>
      </c>
      <c r="AN2113" s="78" t="s">
        <v>285</v>
      </c>
      <c r="AO2113" s="78">
        <v>1.4733380969199814</v>
      </c>
    </row>
    <row r="2114" spans="29:41">
      <c r="AC2114" s="78" t="s">
        <v>52</v>
      </c>
      <c r="AD2114" s="78" t="s">
        <v>20</v>
      </c>
      <c r="AE2114" s="78" t="s">
        <v>72</v>
      </c>
      <c r="AF2114" s="78" t="s">
        <v>51</v>
      </c>
      <c r="AG2114" s="78" t="s">
        <v>322</v>
      </c>
      <c r="AH2114" s="78">
        <v>4.4860360923539417</v>
      </c>
      <c r="AJ2114" s="78" t="s">
        <v>52</v>
      </c>
      <c r="AK2114" s="78" t="s">
        <v>20</v>
      </c>
      <c r="AL2114" s="78" t="s">
        <v>28</v>
      </c>
      <c r="AM2114" s="78" t="s">
        <v>51</v>
      </c>
      <c r="AN2114" s="78" t="s">
        <v>286</v>
      </c>
      <c r="AO2114" s="78">
        <v>1.5073237318324939</v>
      </c>
    </row>
    <row r="2115" spans="29:41">
      <c r="AC2115" s="78" t="s">
        <v>52</v>
      </c>
      <c r="AD2115" s="78" t="s">
        <v>20</v>
      </c>
      <c r="AE2115" s="78" t="s">
        <v>72</v>
      </c>
      <c r="AF2115" s="78" t="s">
        <v>51</v>
      </c>
      <c r="AG2115" s="78" t="s">
        <v>323</v>
      </c>
      <c r="AH2115" s="78">
        <v>4.4222656236769913</v>
      </c>
      <c r="AJ2115" s="78" t="s">
        <v>52</v>
      </c>
      <c r="AK2115" s="78" t="s">
        <v>20</v>
      </c>
      <c r="AL2115" s="78" t="s">
        <v>28</v>
      </c>
      <c r="AM2115" s="78" t="s">
        <v>51</v>
      </c>
      <c r="AN2115" s="78" t="s">
        <v>287</v>
      </c>
      <c r="AO2115" s="78">
        <v>1.586356578904504</v>
      </c>
    </row>
    <row r="2116" spans="29:41">
      <c r="AC2116" s="78" t="s">
        <v>52</v>
      </c>
      <c r="AD2116" s="78" t="s">
        <v>20</v>
      </c>
      <c r="AE2116" s="78" t="s">
        <v>72</v>
      </c>
      <c r="AF2116" s="78" t="s">
        <v>51</v>
      </c>
      <c r="AG2116" s="78" t="s">
        <v>324</v>
      </c>
      <c r="AH2116" s="78">
        <v>4.5464025578172089</v>
      </c>
      <c r="AJ2116" s="78" t="s">
        <v>52</v>
      </c>
      <c r="AK2116" s="78" t="s">
        <v>20</v>
      </c>
      <c r="AL2116" s="78" t="s">
        <v>28</v>
      </c>
      <c r="AM2116" s="78" t="s">
        <v>51</v>
      </c>
      <c r="AN2116" s="78" t="s">
        <v>288</v>
      </c>
      <c r="AO2116" s="78">
        <v>1.505244790001014</v>
      </c>
    </row>
    <row r="2117" spans="29:41">
      <c r="AC2117" s="78" t="s">
        <v>52</v>
      </c>
      <c r="AD2117" s="78" t="s">
        <v>20</v>
      </c>
      <c r="AE2117" s="78" t="s">
        <v>72</v>
      </c>
      <c r="AF2117" s="78" t="s">
        <v>51</v>
      </c>
      <c r="AG2117" s="78" t="s">
        <v>325</v>
      </c>
      <c r="AH2117" s="78">
        <v>4.5464025578172089</v>
      </c>
      <c r="AJ2117" s="78" t="s">
        <v>52</v>
      </c>
      <c r="AK2117" s="78" t="s">
        <v>20</v>
      </c>
      <c r="AL2117" s="78" t="s">
        <v>28</v>
      </c>
      <c r="AM2117" s="78" t="s">
        <v>51</v>
      </c>
      <c r="AN2117" s="78" t="s">
        <v>289</v>
      </c>
      <c r="AO2117" s="78">
        <v>1.4828157156647814</v>
      </c>
    </row>
    <row r="2118" spans="29:41">
      <c r="AC2118" s="78" t="s">
        <v>52</v>
      </c>
      <c r="AD2118" s="78" t="s">
        <v>20</v>
      </c>
      <c r="AE2118" s="78" t="s">
        <v>72</v>
      </c>
      <c r="AF2118" s="78" t="s">
        <v>51</v>
      </c>
      <c r="AG2118" s="78" t="s">
        <v>326</v>
      </c>
      <c r="AH2118" s="78">
        <v>4.5464025578172089</v>
      </c>
      <c r="AJ2118" s="78" t="s">
        <v>52</v>
      </c>
      <c r="AK2118" s="78" t="s">
        <v>20</v>
      </c>
      <c r="AL2118" s="78" t="s">
        <v>28</v>
      </c>
      <c r="AM2118" s="78" t="s">
        <v>51</v>
      </c>
      <c r="AN2118" s="78" t="s">
        <v>290</v>
      </c>
      <c r="AO2118" s="78">
        <v>1.4260306760145118</v>
      </c>
    </row>
    <row r="2119" spans="29:41">
      <c r="AC2119" s="78" t="s">
        <v>52</v>
      </c>
      <c r="AD2119" s="78" t="s">
        <v>20</v>
      </c>
      <c r="AE2119" s="78" t="s">
        <v>72</v>
      </c>
      <c r="AF2119" s="78" t="s">
        <v>51</v>
      </c>
      <c r="AG2119" s="78" t="s">
        <v>327</v>
      </c>
      <c r="AH2119" s="78">
        <v>4.3577019868052416</v>
      </c>
      <c r="AJ2119" s="78" t="s">
        <v>52</v>
      </c>
      <c r="AK2119" s="78" t="s">
        <v>20</v>
      </c>
      <c r="AL2119" s="78" t="s">
        <v>28</v>
      </c>
      <c r="AM2119" s="78" t="s">
        <v>51</v>
      </c>
      <c r="AN2119" s="78" t="s">
        <v>291</v>
      </c>
      <c r="AO2119" s="78">
        <v>1.5030872931018513</v>
      </c>
    </row>
    <row r="2120" spans="29:41">
      <c r="AC2120" s="78" t="s">
        <v>52</v>
      </c>
      <c r="AD2120" s="78" t="s">
        <v>20</v>
      </c>
      <c r="AE2120" s="78" t="s">
        <v>72</v>
      </c>
      <c r="AF2120" s="78" t="s">
        <v>51</v>
      </c>
      <c r="AG2120" s="78" t="s">
        <v>328</v>
      </c>
      <c r="AH2120" s="78">
        <v>4.4825742980400598</v>
      </c>
      <c r="AJ2120" s="78" t="s">
        <v>52</v>
      </c>
      <c r="AK2120" s="78" t="s">
        <v>20</v>
      </c>
      <c r="AL2120" s="78" t="s">
        <v>28</v>
      </c>
      <c r="AM2120" s="78" t="s">
        <v>51</v>
      </c>
      <c r="AN2120" s="78" t="s">
        <v>292</v>
      </c>
      <c r="AO2120" s="78">
        <v>1.4430429121974415</v>
      </c>
    </row>
    <row r="2121" spans="29:41">
      <c r="AC2121" s="78" t="s">
        <v>52</v>
      </c>
      <c r="AD2121" s="78" t="s">
        <v>20</v>
      </c>
      <c r="AE2121" s="78" t="s">
        <v>72</v>
      </c>
      <c r="AF2121" s="78" t="s">
        <v>51</v>
      </c>
      <c r="AG2121" s="78" t="s">
        <v>329</v>
      </c>
      <c r="AH2121" s="78">
        <v>4.4216522874164488</v>
      </c>
      <c r="AJ2121" s="78" t="s">
        <v>52</v>
      </c>
      <c r="AK2121" s="78" t="s">
        <v>20</v>
      </c>
      <c r="AL2121" s="78" t="s">
        <v>28</v>
      </c>
      <c r="AM2121" s="78" t="s">
        <v>51</v>
      </c>
      <c r="AN2121" s="78" t="s">
        <v>293</v>
      </c>
      <c r="AO2121" s="78">
        <v>1.425391343565878</v>
      </c>
    </row>
    <row r="2122" spans="29:41">
      <c r="AC2122" s="78" t="s">
        <v>52</v>
      </c>
      <c r="AD2122" s="78" t="s">
        <v>20</v>
      </c>
      <c r="AE2122" s="78" t="s">
        <v>72</v>
      </c>
      <c r="AF2122" s="78" t="s">
        <v>51</v>
      </c>
      <c r="AG2122" s="78" t="s">
        <v>330</v>
      </c>
      <c r="AH2122" s="78">
        <v>4.256473470140862</v>
      </c>
      <c r="AJ2122" s="78" t="s">
        <v>52</v>
      </c>
      <c r="AK2122" s="78" t="s">
        <v>20</v>
      </c>
      <c r="AL2122" s="78" t="s">
        <v>28</v>
      </c>
      <c r="AM2122" s="78" t="s">
        <v>51</v>
      </c>
      <c r="AN2122" s="78" t="s">
        <v>294</v>
      </c>
      <c r="AO2122" s="78">
        <v>1.5685210167367594</v>
      </c>
    </row>
    <row r="2123" spans="29:41">
      <c r="AC2123" s="78" t="s">
        <v>52</v>
      </c>
      <c r="AD2123" s="78" t="s">
        <v>20</v>
      </c>
      <c r="AE2123" s="78" t="s">
        <v>72</v>
      </c>
      <c r="AF2123" s="78" t="s">
        <v>51</v>
      </c>
      <c r="AG2123" s="78" t="s">
        <v>331</v>
      </c>
      <c r="AH2123" s="78">
        <v>4.2966687844513389</v>
      </c>
      <c r="AJ2123" s="78" t="s">
        <v>52</v>
      </c>
      <c r="AK2123" s="78" t="s">
        <v>20</v>
      </c>
      <c r="AL2123" s="78" t="s">
        <v>28</v>
      </c>
      <c r="AM2123" s="78" t="s">
        <v>51</v>
      </c>
      <c r="AN2123" s="78" t="s">
        <v>235</v>
      </c>
      <c r="AO2123" s="78">
        <v>1.4438899609942817</v>
      </c>
    </row>
    <row r="2124" spans="29:41">
      <c r="AC2124" s="78" t="s">
        <v>52</v>
      </c>
      <c r="AD2124" s="78" t="s">
        <v>20</v>
      </c>
      <c r="AE2124" s="78" t="s">
        <v>72</v>
      </c>
      <c r="AF2124" s="78" t="s">
        <v>51</v>
      </c>
      <c r="AG2124" s="78" t="s">
        <v>332</v>
      </c>
      <c r="AH2124" s="78">
        <v>4.4187377611835057</v>
      </c>
      <c r="AJ2124" s="78" t="s">
        <v>52</v>
      </c>
      <c r="AK2124" s="78" t="s">
        <v>20</v>
      </c>
      <c r="AL2124" s="78" t="s">
        <v>28</v>
      </c>
      <c r="AM2124" s="78" t="s">
        <v>51</v>
      </c>
      <c r="AN2124" s="78" t="s">
        <v>295</v>
      </c>
      <c r="AO2124" s="78">
        <v>1.4095203211990579</v>
      </c>
    </row>
    <row r="2125" spans="29:41">
      <c r="AC2125" s="78" t="s">
        <v>52</v>
      </c>
      <c r="AD2125" s="78" t="s">
        <v>20</v>
      </c>
      <c r="AE2125" s="78" t="s">
        <v>72</v>
      </c>
      <c r="AF2125" s="78" t="s">
        <v>51</v>
      </c>
      <c r="AG2125" s="78" t="s">
        <v>333</v>
      </c>
      <c r="AH2125" s="78">
        <v>4.4187377611835057</v>
      </c>
      <c r="AJ2125" s="78" t="s">
        <v>52</v>
      </c>
      <c r="AK2125" s="78" t="s">
        <v>20</v>
      </c>
      <c r="AL2125" s="78" t="s">
        <v>28</v>
      </c>
      <c r="AM2125" s="78" t="s">
        <v>51</v>
      </c>
      <c r="AN2125" s="78" t="s">
        <v>296</v>
      </c>
      <c r="AO2125" s="78">
        <v>1.4121363408260277</v>
      </c>
    </row>
    <row r="2126" spans="29:41">
      <c r="AC2126" s="78" t="s">
        <v>52</v>
      </c>
      <c r="AD2126" s="78" t="s">
        <v>20</v>
      </c>
      <c r="AE2126" s="78" t="s">
        <v>72</v>
      </c>
      <c r="AF2126" s="78" t="s">
        <v>51</v>
      </c>
      <c r="AG2126" s="78" t="s">
        <v>334</v>
      </c>
      <c r="AH2126" s="78">
        <v>4.2966687844513389</v>
      </c>
      <c r="AJ2126" s="78" t="s">
        <v>52</v>
      </c>
      <c r="AK2126" s="78" t="s">
        <v>20</v>
      </c>
      <c r="AL2126" s="78" t="s">
        <v>28</v>
      </c>
      <c r="AM2126" s="78" t="s">
        <v>51</v>
      </c>
      <c r="AN2126" s="78" t="s">
        <v>297</v>
      </c>
      <c r="AO2126" s="78">
        <v>1.583602731145519</v>
      </c>
    </row>
    <row r="2127" spans="29:41">
      <c r="AC2127" s="78" t="s">
        <v>52</v>
      </c>
      <c r="AD2127" s="78" t="s">
        <v>20</v>
      </c>
      <c r="AE2127" s="78" t="s">
        <v>72</v>
      </c>
      <c r="AF2127" s="78" t="s">
        <v>51</v>
      </c>
      <c r="AG2127" s="78" t="s">
        <v>335</v>
      </c>
      <c r="AH2127" s="78">
        <v>4.4187377611835057</v>
      </c>
      <c r="AJ2127" s="78" t="s">
        <v>52</v>
      </c>
      <c r="AK2127" s="78" t="s">
        <v>20</v>
      </c>
      <c r="AL2127" s="78" t="s">
        <v>28</v>
      </c>
      <c r="AM2127" s="78" t="s">
        <v>51</v>
      </c>
      <c r="AN2127" s="78" t="s">
        <v>298</v>
      </c>
      <c r="AO2127" s="78">
        <v>1.598935291956989</v>
      </c>
    </row>
    <row r="2128" spans="29:41">
      <c r="AC2128" s="78" t="s">
        <v>52</v>
      </c>
      <c r="AD2128" s="78" t="s">
        <v>20</v>
      </c>
      <c r="AE2128" s="78" t="s">
        <v>72</v>
      </c>
      <c r="AF2128" s="78" t="s">
        <v>51</v>
      </c>
      <c r="AG2128" s="78" t="s">
        <v>315</v>
      </c>
      <c r="AH2128" s="78">
        <v>4.4187377611835057</v>
      </c>
      <c r="AJ2128" s="78" t="s">
        <v>52</v>
      </c>
      <c r="AK2128" s="78" t="s">
        <v>20</v>
      </c>
      <c r="AL2128" s="78" t="s">
        <v>28</v>
      </c>
      <c r="AM2128" s="78" t="s">
        <v>51</v>
      </c>
      <c r="AN2128" s="78" t="s">
        <v>299</v>
      </c>
      <c r="AO2128" s="78">
        <v>1.4629721376609215</v>
      </c>
    </row>
    <row r="2129" spans="29:41">
      <c r="AC2129" s="78" t="s">
        <v>52</v>
      </c>
      <c r="AD2129" s="78" t="s">
        <v>20</v>
      </c>
      <c r="AE2129" s="78" t="s">
        <v>72</v>
      </c>
      <c r="AF2129" s="78" t="s">
        <v>51</v>
      </c>
      <c r="AG2129" s="78" t="s">
        <v>336</v>
      </c>
      <c r="AH2129" s="78">
        <v>4.4187377611835057</v>
      </c>
      <c r="AJ2129" s="78" t="s">
        <v>52</v>
      </c>
      <c r="AK2129" s="78" t="s">
        <v>20</v>
      </c>
      <c r="AL2129" s="78" t="s">
        <v>28</v>
      </c>
      <c r="AM2129" s="78" t="s">
        <v>51</v>
      </c>
      <c r="AN2129" s="78" t="s">
        <v>300</v>
      </c>
      <c r="AO2129" s="78">
        <v>1.5050929403702489</v>
      </c>
    </row>
    <row r="2130" spans="29:41">
      <c r="AC2130" s="78" t="s">
        <v>52</v>
      </c>
      <c r="AD2130" s="78" t="s">
        <v>20</v>
      </c>
      <c r="AE2130" s="78" t="s">
        <v>72</v>
      </c>
      <c r="AF2130" s="78" t="s">
        <v>51</v>
      </c>
      <c r="AG2130" s="78" t="s">
        <v>337</v>
      </c>
      <c r="AH2130" s="78">
        <v>4.3576528674279986</v>
      </c>
      <c r="AJ2130" s="78" t="s">
        <v>52</v>
      </c>
      <c r="AK2130" s="78" t="s">
        <v>20</v>
      </c>
      <c r="AL2130" s="78" t="s">
        <v>28</v>
      </c>
      <c r="AM2130" s="78" t="s">
        <v>51</v>
      </c>
      <c r="AN2130" s="78" t="s">
        <v>301</v>
      </c>
      <c r="AO2130" s="78">
        <v>1.4923644639728642</v>
      </c>
    </row>
    <row r="2131" spans="29:41">
      <c r="AC2131" s="78" t="s">
        <v>52</v>
      </c>
      <c r="AD2131" s="78" t="s">
        <v>20</v>
      </c>
      <c r="AE2131" s="78" t="s">
        <v>72</v>
      </c>
      <c r="AF2131" s="78" t="s">
        <v>51</v>
      </c>
      <c r="AG2131" s="78" t="s">
        <v>338</v>
      </c>
      <c r="AH2131" s="78">
        <v>4.2323257174829196</v>
      </c>
      <c r="AJ2131" s="78" t="s">
        <v>52</v>
      </c>
      <c r="AK2131" s="78" t="s">
        <v>20</v>
      </c>
      <c r="AL2131" s="78" t="s">
        <v>28</v>
      </c>
      <c r="AM2131" s="78" t="s">
        <v>51</v>
      </c>
      <c r="AN2131" s="78" t="s">
        <v>302</v>
      </c>
      <c r="AO2131" s="78">
        <v>1.4893979088827214</v>
      </c>
    </row>
    <row r="2132" spans="29:41">
      <c r="AC2132" s="78" t="s">
        <v>52</v>
      </c>
      <c r="AD2132" s="78" t="s">
        <v>20</v>
      </c>
      <c r="AE2132" s="78" t="s">
        <v>72</v>
      </c>
      <c r="AF2132" s="78" t="s">
        <v>51</v>
      </c>
      <c r="AG2132" s="78" t="s">
        <v>314</v>
      </c>
      <c r="AH2132" s="78">
        <v>4.2354507174829195</v>
      </c>
      <c r="AJ2132" s="78" t="s">
        <v>52</v>
      </c>
      <c r="AK2132" s="78" t="s">
        <v>20</v>
      </c>
      <c r="AL2132" s="78" t="s">
        <v>28</v>
      </c>
      <c r="AM2132" s="78" t="s">
        <v>51</v>
      </c>
      <c r="AN2132" s="78" t="s">
        <v>303</v>
      </c>
      <c r="AO2132" s="78">
        <v>1.5965038687670492</v>
      </c>
    </row>
    <row r="2133" spans="29:41">
      <c r="AC2133" s="78" t="s">
        <v>52</v>
      </c>
      <c r="AD2133" s="78" t="s">
        <v>20</v>
      </c>
      <c r="AE2133" s="78" t="s">
        <v>72</v>
      </c>
      <c r="AF2133" s="78" t="s">
        <v>51</v>
      </c>
      <c r="AG2133" s="78" t="s">
        <v>317</v>
      </c>
      <c r="AH2133" s="78">
        <v>4.2996395977984392</v>
      </c>
      <c r="AJ2133" s="78" t="s">
        <v>52</v>
      </c>
      <c r="AK2133" s="78" t="s">
        <v>20</v>
      </c>
      <c r="AL2133" s="78" t="s">
        <v>28</v>
      </c>
      <c r="AM2133" s="78" t="s">
        <v>51</v>
      </c>
      <c r="AN2133" s="78" t="s">
        <v>304</v>
      </c>
      <c r="AO2133" s="78">
        <v>1.5076469991584396</v>
      </c>
    </row>
    <row r="2134" spans="29:41">
      <c r="AC2134" s="78" t="s">
        <v>52</v>
      </c>
      <c r="AD2134" s="78" t="s">
        <v>20</v>
      </c>
      <c r="AE2134" s="78" t="s">
        <v>72</v>
      </c>
      <c r="AF2134" s="78" t="s">
        <v>51</v>
      </c>
      <c r="AG2134" s="78" t="s">
        <v>344</v>
      </c>
      <c r="AH2134" s="78">
        <v>4.2996395977984392</v>
      </c>
      <c r="AJ2134" s="78" t="s">
        <v>52</v>
      </c>
      <c r="AK2134" s="78" t="s">
        <v>20</v>
      </c>
      <c r="AL2134" s="78" t="s">
        <v>28</v>
      </c>
      <c r="AM2134" s="78" t="s">
        <v>51</v>
      </c>
      <c r="AN2134" s="78" t="s">
        <v>305</v>
      </c>
      <c r="AO2134" s="78">
        <v>1.5879462997614093</v>
      </c>
    </row>
    <row r="2135" spans="29:41">
      <c r="AC2135" s="78" t="s">
        <v>52</v>
      </c>
      <c r="AD2135" s="78" t="s">
        <v>20</v>
      </c>
      <c r="AE2135" s="78" t="s">
        <v>72</v>
      </c>
      <c r="AF2135" s="78" t="s">
        <v>51</v>
      </c>
      <c r="AG2135" s="78" t="s">
        <v>342</v>
      </c>
      <c r="AH2135" s="78">
        <v>4.2970389788695798</v>
      </c>
      <c r="AJ2135" s="78" t="s">
        <v>52</v>
      </c>
      <c r="AK2135" s="78" t="s">
        <v>20</v>
      </c>
      <c r="AL2135" s="78" t="s">
        <v>28</v>
      </c>
      <c r="AM2135" s="78" t="s">
        <v>51</v>
      </c>
      <c r="AN2135" s="78" t="s">
        <v>306</v>
      </c>
      <c r="AO2135" s="78">
        <v>1.3846075529478279</v>
      </c>
    </row>
    <row r="2136" spans="29:41">
      <c r="AC2136" s="78" t="s">
        <v>52</v>
      </c>
      <c r="AD2136" s="78" t="s">
        <v>20</v>
      </c>
      <c r="AE2136" s="78" t="s">
        <v>72</v>
      </c>
      <c r="AF2136" s="78" t="s">
        <v>51</v>
      </c>
      <c r="AG2136" s="78" t="s">
        <v>345</v>
      </c>
      <c r="AH2136" s="78">
        <v>4.2354507174829195</v>
      </c>
      <c r="AJ2136" s="78" t="s">
        <v>52</v>
      </c>
      <c r="AK2136" s="78" t="s">
        <v>20</v>
      </c>
      <c r="AL2136" s="78" t="s">
        <v>28</v>
      </c>
      <c r="AM2136" s="78" t="s">
        <v>51</v>
      </c>
      <c r="AN2136" s="78" t="s">
        <v>307</v>
      </c>
      <c r="AO2136" s="78">
        <v>1.4517476239258378</v>
      </c>
    </row>
    <row r="2137" spans="29:41">
      <c r="AC2137" s="78" t="s">
        <v>52</v>
      </c>
      <c r="AD2137" s="78" t="s">
        <v>20</v>
      </c>
      <c r="AE2137" s="78" t="s">
        <v>72</v>
      </c>
      <c r="AF2137" s="78" t="s">
        <v>51</v>
      </c>
      <c r="AG2137" s="78" t="s">
        <v>346</v>
      </c>
      <c r="AH2137" s="78">
        <v>4.2970389788695798</v>
      </c>
      <c r="AJ2137" s="78" t="s">
        <v>52</v>
      </c>
      <c r="AK2137" s="78" t="s">
        <v>20</v>
      </c>
      <c r="AL2137" s="78" t="s">
        <v>28</v>
      </c>
      <c r="AM2137" s="78" t="s">
        <v>51</v>
      </c>
      <c r="AN2137" s="78" t="s">
        <v>308</v>
      </c>
      <c r="AO2137" s="78">
        <v>1.3864436154726978</v>
      </c>
    </row>
    <row r="2138" spans="29:41">
      <c r="AC2138" s="78" t="s">
        <v>52</v>
      </c>
      <c r="AD2138" s="78" t="s">
        <v>20</v>
      </c>
      <c r="AE2138" s="78" t="s">
        <v>72</v>
      </c>
      <c r="AF2138" s="78" t="s">
        <v>51</v>
      </c>
      <c r="AG2138" s="78" t="s">
        <v>343</v>
      </c>
      <c r="AH2138" s="78">
        <v>4.0484841786279038</v>
      </c>
      <c r="AJ2138" s="78" t="s">
        <v>52</v>
      </c>
      <c r="AK2138" s="78" t="s">
        <v>20</v>
      </c>
      <c r="AL2138" s="78" t="s">
        <v>28</v>
      </c>
      <c r="AM2138" s="78" t="s">
        <v>51</v>
      </c>
      <c r="AN2138" s="78" t="s">
        <v>309</v>
      </c>
      <c r="AO2138" s="78">
        <v>1.5826902108495644</v>
      </c>
    </row>
    <row r="2139" spans="29:41">
      <c r="AC2139" s="78" t="s">
        <v>52</v>
      </c>
      <c r="AD2139" s="78" t="s">
        <v>20</v>
      </c>
      <c r="AE2139" s="78" t="s">
        <v>72</v>
      </c>
      <c r="AF2139" s="78" t="s">
        <v>51</v>
      </c>
      <c r="AG2139" s="78" t="s">
        <v>341</v>
      </c>
      <c r="AH2139" s="78">
        <v>4.1713684277084591</v>
      </c>
      <c r="AJ2139" s="78" t="s">
        <v>52</v>
      </c>
      <c r="AK2139" s="78" t="s">
        <v>20</v>
      </c>
      <c r="AL2139" s="78" t="s">
        <v>28</v>
      </c>
      <c r="AM2139" s="78" t="s">
        <v>51</v>
      </c>
      <c r="AN2139" s="78" t="s">
        <v>310</v>
      </c>
      <c r="AO2139" s="78">
        <v>1.5767376652120544</v>
      </c>
    </row>
    <row r="2140" spans="29:41">
      <c r="AC2140" s="78" t="s">
        <v>52</v>
      </c>
      <c r="AD2140" s="78" t="s">
        <v>20</v>
      </c>
      <c r="AE2140" s="78" t="s">
        <v>72</v>
      </c>
      <c r="AF2140" s="78" t="s">
        <v>51</v>
      </c>
      <c r="AG2140" s="78" t="s">
        <v>347</v>
      </c>
      <c r="AH2140" s="78">
        <v>4.0462188588115939</v>
      </c>
      <c r="AJ2140" s="78" t="s">
        <v>52</v>
      </c>
      <c r="AK2140" s="78" t="s">
        <v>20</v>
      </c>
      <c r="AL2140" s="78" t="s">
        <v>28</v>
      </c>
      <c r="AM2140" s="78" t="s">
        <v>51</v>
      </c>
      <c r="AN2140" s="78" t="s">
        <v>234</v>
      </c>
      <c r="AO2140" s="78">
        <v>1.4921818127692914</v>
      </c>
    </row>
    <row r="2141" spans="29:41">
      <c r="AC2141" s="78" t="s">
        <v>52</v>
      </c>
      <c r="AD2141" s="78" t="s">
        <v>20</v>
      </c>
      <c r="AE2141" s="78" t="s">
        <v>72</v>
      </c>
      <c r="AF2141" s="78" t="s">
        <v>51</v>
      </c>
      <c r="AG2141" s="78" t="s">
        <v>348</v>
      </c>
      <c r="AH2141" s="78">
        <v>4.2357374552749034</v>
      </c>
      <c r="AJ2141" s="78" t="s">
        <v>52</v>
      </c>
      <c r="AK2141" s="78" t="s">
        <v>20</v>
      </c>
      <c r="AL2141" s="78" t="s">
        <v>28</v>
      </c>
      <c r="AM2141" s="78" t="s">
        <v>51</v>
      </c>
      <c r="AN2141" s="78" t="s">
        <v>311</v>
      </c>
      <c r="AO2141" s="78">
        <v>1.4568201416918514</v>
      </c>
    </row>
    <row r="2142" spans="29:41">
      <c r="AC2142" s="78" t="s">
        <v>52</v>
      </c>
      <c r="AD2142" s="78" t="s">
        <v>20</v>
      </c>
      <c r="AE2142" s="78" t="s">
        <v>72</v>
      </c>
      <c r="AF2142" s="78" t="s">
        <v>51</v>
      </c>
      <c r="AG2142" s="78" t="s">
        <v>349</v>
      </c>
      <c r="AH2142" s="78">
        <v>4.2357374552749034</v>
      </c>
      <c r="AJ2142" s="78" t="s">
        <v>52</v>
      </c>
      <c r="AK2142" s="78" t="s">
        <v>20</v>
      </c>
      <c r="AL2142" s="78" t="s">
        <v>28</v>
      </c>
      <c r="AM2142" s="78" t="s">
        <v>51</v>
      </c>
      <c r="AN2142" s="78" t="s">
        <v>312</v>
      </c>
      <c r="AO2142" s="78">
        <v>1.4491482200129313</v>
      </c>
    </row>
    <row r="2143" spans="29:41">
      <c r="AC2143" s="78" t="s">
        <v>52</v>
      </c>
      <c r="AD2143" s="78" t="s">
        <v>20</v>
      </c>
      <c r="AE2143" s="78" t="s">
        <v>72</v>
      </c>
      <c r="AF2143" s="78" t="s">
        <v>51</v>
      </c>
      <c r="AG2143" s="78" t="s">
        <v>350</v>
      </c>
      <c r="AH2143" s="78">
        <v>4.2357374552749034</v>
      </c>
      <c r="AJ2143" s="78" t="s">
        <v>52</v>
      </c>
      <c r="AK2143" s="78" t="s">
        <v>20</v>
      </c>
      <c r="AL2143" s="78" t="s">
        <v>28</v>
      </c>
      <c r="AM2143" s="78" t="s">
        <v>51</v>
      </c>
      <c r="AN2143" s="78" t="s">
        <v>313</v>
      </c>
      <c r="AO2143" s="78">
        <v>1.4682763725987411</v>
      </c>
    </row>
    <row r="2144" spans="29:41">
      <c r="AC2144" s="78" t="s">
        <v>52</v>
      </c>
      <c r="AD2144" s="78" t="s">
        <v>20</v>
      </c>
      <c r="AE2144" s="78" t="s">
        <v>72</v>
      </c>
      <c r="AF2144" s="78" t="s">
        <v>51</v>
      </c>
      <c r="AG2144" s="78" t="s">
        <v>351</v>
      </c>
      <c r="AH2144" s="78">
        <v>4.2970389788695798</v>
      </c>
      <c r="AJ2144" s="78" t="s">
        <v>52</v>
      </c>
      <c r="AK2144" s="78" t="s">
        <v>20</v>
      </c>
      <c r="AL2144" s="78" t="s">
        <v>28</v>
      </c>
      <c r="AM2144" s="78" t="s">
        <v>51</v>
      </c>
      <c r="AN2144" s="78" t="s">
        <v>233</v>
      </c>
      <c r="AO2144" s="78">
        <v>1.5678366548067841</v>
      </c>
    </row>
    <row r="2145" spans="29:41">
      <c r="AC2145" s="78" t="s">
        <v>52</v>
      </c>
      <c r="AD2145" s="78" t="s">
        <v>20</v>
      </c>
      <c r="AE2145" s="78" t="s">
        <v>72</v>
      </c>
      <c r="AF2145" s="78" t="s">
        <v>51</v>
      </c>
      <c r="AG2145" s="78" t="s">
        <v>352</v>
      </c>
      <c r="AH2145" s="78">
        <v>4.2357374552749034</v>
      </c>
      <c r="AJ2145" s="78" t="s">
        <v>52</v>
      </c>
      <c r="AK2145" s="78" t="s">
        <v>20</v>
      </c>
      <c r="AL2145" s="78" t="s">
        <v>28</v>
      </c>
      <c r="AM2145" s="78" t="s">
        <v>51</v>
      </c>
      <c r="AN2145" s="78" t="s">
        <v>236</v>
      </c>
      <c r="AO2145" s="78">
        <v>1.5828680159797839</v>
      </c>
    </row>
    <row r="2146" spans="29:41">
      <c r="AC2146" s="78" t="s">
        <v>52</v>
      </c>
      <c r="AD2146" s="78" t="s">
        <v>20</v>
      </c>
      <c r="AE2146" s="78" t="s">
        <v>72</v>
      </c>
      <c r="AF2146" s="78" t="s">
        <v>51</v>
      </c>
      <c r="AG2146" s="78" t="s">
        <v>353</v>
      </c>
      <c r="AH2146" s="78">
        <v>4.2357374552749034</v>
      </c>
      <c r="AJ2146" s="78" t="s">
        <v>52</v>
      </c>
      <c r="AK2146" s="78" t="s">
        <v>20</v>
      </c>
      <c r="AL2146" s="78" t="s">
        <v>28</v>
      </c>
      <c r="AM2146" s="78" t="s">
        <v>51</v>
      </c>
      <c r="AN2146" s="78" t="s">
        <v>318</v>
      </c>
      <c r="AO2146" s="78">
        <v>1.6074802339129644</v>
      </c>
    </row>
    <row r="2147" spans="29:41">
      <c r="AC2147" s="78" t="s">
        <v>52</v>
      </c>
      <c r="AD2147" s="78" t="s">
        <v>20</v>
      </c>
      <c r="AE2147" s="78" t="s">
        <v>72</v>
      </c>
      <c r="AF2147" s="78" t="s">
        <v>51</v>
      </c>
      <c r="AG2147" s="78" t="s">
        <v>354</v>
      </c>
      <c r="AH2147" s="78">
        <v>4.2970389788695798</v>
      </c>
      <c r="AJ2147" s="78" t="s">
        <v>52</v>
      </c>
      <c r="AK2147" s="78" t="s">
        <v>20</v>
      </c>
      <c r="AL2147" s="78" t="s">
        <v>28</v>
      </c>
      <c r="AM2147" s="78" t="s">
        <v>51</v>
      </c>
      <c r="AN2147" s="78" t="s">
        <v>319</v>
      </c>
      <c r="AO2147" s="78">
        <v>1.5530563894535645</v>
      </c>
    </row>
    <row r="2148" spans="29:41">
      <c r="AC2148" s="78" t="s">
        <v>52</v>
      </c>
      <c r="AD2148" s="78" t="s">
        <v>20</v>
      </c>
      <c r="AE2148" s="78" t="s">
        <v>72</v>
      </c>
      <c r="AF2148" s="78" t="s">
        <v>51</v>
      </c>
      <c r="AG2148" s="78" t="s">
        <v>355</v>
      </c>
      <c r="AH2148" s="78">
        <v>4.1713684277084591</v>
      </c>
      <c r="AJ2148" s="78" t="s">
        <v>52</v>
      </c>
      <c r="AK2148" s="78" t="s">
        <v>20</v>
      </c>
      <c r="AL2148" s="78" t="s">
        <v>28</v>
      </c>
      <c r="AM2148" s="78" t="s">
        <v>51</v>
      </c>
      <c r="AN2148" s="78" t="s">
        <v>316</v>
      </c>
      <c r="AO2148" s="78">
        <v>1.5530563894535645</v>
      </c>
    </row>
    <row r="2149" spans="29:41">
      <c r="AC2149" s="78" t="s">
        <v>52</v>
      </c>
      <c r="AD2149" s="78" t="s">
        <v>20</v>
      </c>
      <c r="AE2149" s="78" t="s">
        <v>72</v>
      </c>
      <c r="AF2149" s="78" t="s">
        <v>51</v>
      </c>
      <c r="AG2149" s="78" t="s">
        <v>356</v>
      </c>
      <c r="AH2149" s="78">
        <v>4.1783267377573141</v>
      </c>
      <c r="AJ2149" s="78" t="s">
        <v>52</v>
      </c>
      <c r="AK2149" s="78" t="s">
        <v>20</v>
      </c>
      <c r="AL2149" s="78" t="s">
        <v>28</v>
      </c>
      <c r="AM2149" s="78" t="s">
        <v>51</v>
      </c>
      <c r="AN2149" s="78" t="s">
        <v>320</v>
      </c>
      <c r="AO2149" s="78">
        <v>1.5414057225941038</v>
      </c>
    </row>
    <row r="2150" spans="29:41">
      <c r="AC2150" s="78" t="s">
        <v>52</v>
      </c>
      <c r="AD2150" s="78" t="s">
        <v>20</v>
      </c>
      <c r="AE2150" s="78" t="s">
        <v>72</v>
      </c>
      <c r="AF2150" s="78" t="s">
        <v>51</v>
      </c>
      <c r="AG2150" s="78" t="s">
        <v>357</v>
      </c>
      <c r="AH2150" s="78">
        <v>4.1783267377573141</v>
      </c>
      <c r="AJ2150" s="78" t="s">
        <v>52</v>
      </c>
      <c r="AK2150" s="78" t="s">
        <v>20</v>
      </c>
      <c r="AL2150" s="78" t="s">
        <v>28</v>
      </c>
      <c r="AM2150" s="78" t="s">
        <v>51</v>
      </c>
      <c r="AN2150" s="78" t="s">
        <v>321</v>
      </c>
      <c r="AO2150" s="78">
        <v>1.4288129384799915</v>
      </c>
    </row>
    <row r="2151" spans="29:41">
      <c r="AC2151" s="78" t="s">
        <v>52</v>
      </c>
      <c r="AD2151" s="78" t="s">
        <v>20</v>
      </c>
      <c r="AE2151" s="78" t="s">
        <v>72</v>
      </c>
      <c r="AF2151" s="78" t="s">
        <v>51</v>
      </c>
      <c r="AG2151" s="78" t="s">
        <v>358</v>
      </c>
      <c r="AH2151" s="78">
        <v>4.5253902680718738</v>
      </c>
      <c r="AJ2151" s="78" t="s">
        <v>52</v>
      </c>
      <c r="AK2151" s="78" t="s">
        <v>20</v>
      </c>
      <c r="AL2151" s="78" t="s">
        <v>28</v>
      </c>
      <c r="AM2151" s="78" t="s">
        <v>51</v>
      </c>
      <c r="AN2151" s="78" t="s">
        <v>322</v>
      </c>
      <c r="AO2151" s="78">
        <v>1.4908988131442615</v>
      </c>
    </row>
    <row r="2152" spans="29:41">
      <c r="AC2152" s="78" t="s">
        <v>52</v>
      </c>
      <c r="AD2152" s="78" t="s">
        <v>20</v>
      </c>
      <c r="AE2152" s="78" t="s">
        <v>72</v>
      </c>
      <c r="AF2152" s="78" t="s">
        <v>51</v>
      </c>
      <c r="AG2152" s="78" t="s">
        <v>359</v>
      </c>
      <c r="AH2152" s="78">
        <v>4.1198143018144364</v>
      </c>
      <c r="AJ2152" s="78" t="s">
        <v>52</v>
      </c>
      <c r="AK2152" s="78" t="s">
        <v>20</v>
      </c>
      <c r="AL2152" s="78" t="s">
        <v>28</v>
      </c>
      <c r="AM2152" s="78" t="s">
        <v>51</v>
      </c>
      <c r="AN2152" s="78" t="s">
        <v>323</v>
      </c>
      <c r="AO2152" s="78">
        <v>1.4888651034932316</v>
      </c>
    </row>
    <row r="2153" spans="29:41">
      <c r="AC2153" s="78" t="s">
        <v>52</v>
      </c>
      <c r="AD2153" s="78" t="s">
        <v>20</v>
      </c>
      <c r="AE2153" s="78" t="s">
        <v>72</v>
      </c>
      <c r="AF2153" s="78" t="s">
        <v>51</v>
      </c>
      <c r="AG2153" s="78" t="s">
        <v>360</v>
      </c>
      <c r="AH2153" s="78">
        <v>4.1810811341021381</v>
      </c>
      <c r="AJ2153" s="78" t="s">
        <v>52</v>
      </c>
      <c r="AK2153" s="78" t="s">
        <v>20</v>
      </c>
      <c r="AL2153" s="78" t="s">
        <v>28</v>
      </c>
      <c r="AM2153" s="78" t="s">
        <v>51</v>
      </c>
      <c r="AN2153" s="78" t="s">
        <v>324</v>
      </c>
      <c r="AO2153" s="78">
        <v>1.634451857918249</v>
      </c>
    </row>
    <row r="2154" spans="29:41">
      <c r="AC2154" s="78" t="s">
        <v>52</v>
      </c>
      <c r="AD2154" s="78" t="s">
        <v>20</v>
      </c>
      <c r="AE2154" s="78" t="s">
        <v>72</v>
      </c>
      <c r="AF2154" s="78" t="s">
        <v>51</v>
      </c>
      <c r="AG2154" s="78" t="s">
        <v>361</v>
      </c>
      <c r="AH2154" s="78">
        <v>4.1198143018144364</v>
      </c>
      <c r="AJ2154" s="78" t="s">
        <v>52</v>
      </c>
      <c r="AK2154" s="78" t="s">
        <v>20</v>
      </c>
      <c r="AL2154" s="78" t="s">
        <v>28</v>
      </c>
      <c r="AM2154" s="78" t="s">
        <v>51</v>
      </c>
      <c r="AN2154" s="78" t="s">
        <v>325</v>
      </c>
      <c r="AO2154" s="78">
        <v>1.6609457499988993</v>
      </c>
    </row>
    <row r="2155" spans="29:41">
      <c r="AC2155" s="78" t="s">
        <v>52</v>
      </c>
      <c r="AD2155" s="78" t="s">
        <v>20</v>
      </c>
      <c r="AE2155" s="78" t="s">
        <v>72</v>
      </c>
      <c r="AF2155" s="78" t="s">
        <v>51</v>
      </c>
      <c r="AG2155" s="78" t="s">
        <v>362</v>
      </c>
      <c r="AH2155" s="78">
        <v>4.2422943194521894</v>
      </c>
      <c r="AJ2155" s="78" t="s">
        <v>52</v>
      </c>
      <c r="AK2155" s="78" t="s">
        <v>20</v>
      </c>
      <c r="AL2155" s="78" t="s">
        <v>28</v>
      </c>
      <c r="AM2155" s="78" t="s">
        <v>51</v>
      </c>
      <c r="AN2155" s="78" t="s">
        <v>326</v>
      </c>
      <c r="AO2155" s="78">
        <v>1.6485683268281093</v>
      </c>
    </row>
    <row r="2156" spans="29:41">
      <c r="AC2156" s="78" t="s">
        <v>52</v>
      </c>
      <c r="AD2156" s="78" t="s">
        <v>20</v>
      </c>
      <c r="AE2156" s="78" t="s">
        <v>72</v>
      </c>
      <c r="AF2156" s="78" t="s">
        <v>51</v>
      </c>
      <c r="AG2156" s="78" t="s">
        <v>363</v>
      </c>
      <c r="AH2156" s="78">
        <v>4.1810811341021381</v>
      </c>
      <c r="AJ2156" s="78" t="s">
        <v>52</v>
      </c>
      <c r="AK2156" s="78" t="s">
        <v>20</v>
      </c>
      <c r="AL2156" s="78" t="s">
        <v>28</v>
      </c>
      <c r="AM2156" s="78" t="s">
        <v>51</v>
      </c>
      <c r="AN2156" s="78" t="s">
        <v>327</v>
      </c>
      <c r="AO2156" s="78">
        <v>1.5152280978538615</v>
      </c>
    </row>
    <row r="2157" spans="29:41">
      <c r="AC2157" s="78" t="s">
        <v>52</v>
      </c>
      <c r="AD2157" s="78" t="s">
        <v>20</v>
      </c>
      <c r="AE2157" s="78" t="s">
        <v>72</v>
      </c>
      <c r="AF2157" s="78" t="s">
        <v>51</v>
      </c>
      <c r="AG2157" s="78" t="s">
        <v>364</v>
      </c>
      <c r="AH2157" s="78">
        <v>4.2422943194521894</v>
      </c>
      <c r="AJ2157" s="78" t="s">
        <v>52</v>
      </c>
      <c r="AK2157" s="78" t="s">
        <v>20</v>
      </c>
      <c r="AL2157" s="78" t="s">
        <v>28</v>
      </c>
      <c r="AM2157" s="78" t="s">
        <v>51</v>
      </c>
      <c r="AN2157" s="78" t="s">
        <v>328</v>
      </c>
      <c r="AO2157" s="78">
        <v>1.6697801347929899</v>
      </c>
    </row>
    <row r="2158" spans="29:41">
      <c r="AC2158" s="78" t="s">
        <v>52</v>
      </c>
      <c r="AD2158" s="78" t="s">
        <v>20</v>
      </c>
      <c r="AE2158" s="78" t="s">
        <v>72</v>
      </c>
      <c r="AF2158" s="78" t="s">
        <v>51</v>
      </c>
      <c r="AG2158" s="78" t="s">
        <v>365</v>
      </c>
      <c r="AH2158" s="78">
        <v>4.2422943194521894</v>
      </c>
      <c r="AJ2158" s="78" t="s">
        <v>52</v>
      </c>
      <c r="AK2158" s="78" t="s">
        <v>20</v>
      </c>
      <c r="AL2158" s="78" t="s">
        <v>28</v>
      </c>
      <c r="AM2158" s="78" t="s">
        <v>51</v>
      </c>
      <c r="AN2158" s="78" t="s">
        <v>329</v>
      </c>
      <c r="AO2158" s="78">
        <v>1.5959735193840592</v>
      </c>
    </row>
    <row r="2159" spans="29:41">
      <c r="AC2159" s="78" t="s">
        <v>52</v>
      </c>
      <c r="AD2159" s="78" t="s">
        <v>20</v>
      </c>
      <c r="AE2159" s="78" t="s">
        <v>72</v>
      </c>
      <c r="AF2159" s="78" t="s">
        <v>51</v>
      </c>
      <c r="AG2159" s="78" t="s">
        <v>366</v>
      </c>
      <c r="AH2159" s="78">
        <v>4.3064419961318618</v>
      </c>
      <c r="AJ2159" s="78" t="s">
        <v>52</v>
      </c>
      <c r="AK2159" s="78" t="s">
        <v>20</v>
      </c>
      <c r="AL2159" s="78" t="s">
        <v>28</v>
      </c>
      <c r="AM2159" s="78" t="s">
        <v>51</v>
      </c>
      <c r="AN2159" s="78" t="s">
        <v>330</v>
      </c>
      <c r="AO2159" s="78">
        <v>1.4739154736450317</v>
      </c>
    </row>
    <row r="2160" spans="29:41">
      <c r="AC2160" s="78" t="s">
        <v>52</v>
      </c>
      <c r="AD2160" s="78" t="s">
        <v>20</v>
      </c>
      <c r="AE2160" s="78" t="s">
        <v>72</v>
      </c>
      <c r="AF2160" s="78" t="s">
        <v>51</v>
      </c>
      <c r="AG2160" s="78" t="s">
        <v>367</v>
      </c>
      <c r="AH2160" s="78">
        <v>4.168053980449919</v>
      </c>
      <c r="AJ2160" s="78" t="s">
        <v>52</v>
      </c>
      <c r="AK2160" s="78" t="s">
        <v>20</v>
      </c>
      <c r="AL2160" s="78" t="s">
        <v>28</v>
      </c>
      <c r="AM2160" s="78" t="s">
        <v>51</v>
      </c>
      <c r="AN2160" s="78" t="s">
        <v>331</v>
      </c>
      <c r="AO2160" s="78">
        <v>1.5082903058481585</v>
      </c>
    </row>
    <row r="2161" spans="29:41">
      <c r="AC2161" s="78" t="s">
        <v>52</v>
      </c>
      <c r="AD2161" s="78" t="s">
        <v>20</v>
      </c>
      <c r="AE2161" s="78" t="s">
        <v>72</v>
      </c>
      <c r="AF2161" s="78" t="s">
        <v>51</v>
      </c>
      <c r="AG2161" s="78" t="s">
        <v>368</v>
      </c>
      <c r="AH2161" s="78">
        <v>4.3064419961318618</v>
      </c>
      <c r="AJ2161" s="78" t="s">
        <v>52</v>
      </c>
      <c r="AK2161" s="78" t="s">
        <v>20</v>
      </c>
      <c r="AL2161" s="78" t="s">
        <v>28</v>
      </c>
      <c r="AM2161" s="78" t="s">
        <v>51</v>
      </c>
      <c r="AN2161" s="78" t="s">
        <v>332</v>
      </c>
      <c r="AO2161" s="78">
        <v>1.6787421783783254</v>
      </c>
    </row>
    <row r="2162" spans="29:41">
      <c r="AC2162" s="78" t="s">
        <v>52</v>
      </c>
      <c r="AD2162" s="78" t="s">
        <v>20</v>
      </c>
      <c r="AE2162" s="78" t="s">
        <v>72</v>
      </c>
      <c r="AF2162" s="78" t="s">
        <v>51</v>
      </c>
      <c r="AG2162" s="78" t="s">
        <v>369</v>
      </c>
      <c r="AH2162" s="78">
        <v>4.2454734701408618</v>
      </c>
      <c r="AJ2162" s="78" t="s">
        <v>52</v>
      </c>
      <c r="AK2162" s="78" t="s">
        <v>20</v>
      </c>
      <c r="AL2162" s="78" t="s">
        <v>28</v>
      </c>
      <c r="AM2162" s="78" t="s">
        <v>51</v>
      </c>
      <c r="AN2162" s="78" t="s">
        <v>333</v>
      </c>
      <c r="AO2162" s="78">
        <v>1.6552659723084056</v>
      </c>
    </row>
    <row r="2163" spans="29:41">
      <c r="AC2163" s="78" t="s">
        <v>52</v>
      </c>
      <c r="AD2163" s="78" t="s">
        <v>20</v>
      </c>
      <c r="AE2163" s="78" t="s">
        <v>72</v>
      </c>
      <c r="AF2163" s="78" t="s">
        <v>51</v>
      </c>
      <c r="AG2163" s="78" t="s">
        <v>370</v>
      </c>
      <c r="AH2163" s="78">
        <v>4.1810811341021381</v>
      </c>
      <c r="AJ2163" s="78" t="s">
        <v>52</v>
      </c>
      <c r="AK2163" s="78" t="s">
        <v>20</v>
      </c>
      <c r="AL2163" s="78" t="s">
        <v>28</v>
      </c>
      <c r="AM2163" s="78" t="s">
        <v>51</v>
      </c>
      <c r="AN2163" s="78" t="s">
        <v>334</v>
      </c>
      <c r="AO2163" s="78">
        <v>1.5081779725751188</v>
      </c>
    </row>
    <row r="2164" spans="29:41">
      <c r="AC2164" s="78" t="s">
        <v>52</v>
      </c>
      <c r="AD2164" s="78" t="s">
        <v>20</v>
      </c>
      <c r="AE2164" s="78" t="s">
        <v>72</v>
      </c>
      <c r="AF2164" s="78" t="s">
        <v>51</v>
      </c>
      <c r="AG2164" s="78" t="s">
        <v>371</v>
      </c>
      <c r="AH2164" s="78">
        <v>4.1198143018144364</v>
      </c>
      <c r="AJ2164" s="78" t="s">
        <v>52</v>
      </c>
      <c r="AK2164" s="78" t="s">
        <v>20</v>
      </c>
      <c r="AL2164" s="78" t="s">
        <v>28</v>
      </c>
      <c r="AM2164" s="78" t="s">
        <v>51</v>
      </c>
      <c r="AN2164" s="78" t="s">
        <v>335</v>
      </c>
      <c r="AO2164" s="78">
        <v>1.6485248198783153</v>
      </c>
    </row>
    <row r="2165" spans="29:41">
      <c r="AC2165" s="78" t="s">
        <v>52</v>
      </c>
      <c r="AD2165" s="78" t="s">
        <v>20</v>
      </c>
      <c r="AE2165" s="78" t="s">
        <v>72</v>
      </c>
      <c r="AF2165" s="78" t="s">
        <v>51</v>
      </c>
      <c r="AG2165" s="78" t="s">
        <v>372</v>
      </c>
      <c r="AH2165" s="78">
        <v>4.1810811341021381</v>
      </c>
      <c r="AJ2165" s="78" t="s">
        <v>52</v>
      </c>
      <c r="AK2165" s="78" t="s">
        <v>20</v>
      </c>
      <c r="AL2165" s="78" t="s">
        <v>28</v>
      </c>
      <c r="AM2165" s="78" t="s">
        <v>51</v>
      </c>
      <c r="AN2165" s="78" t="s">
        <v>315</v>
      </c>
      <c r="AO2165" s="78">
        <v>1.6870544821255555</v>
      </c>
    </row>
    <row r="2166" spans="29:41">
      <c r="AC2166" s="78" t="s">
        <v>52</v>
      </c>
      <c r="AD2166" s="78" t="s">
        <v>20</v>
      </c>
      <c r="AE2166" s="78" t="s">
        <v>72</v>
      </c>
      <c r="AF2166" s="78" t="s">
        <v>51</v>
      </c>
      <c r="AG2166" s="78" t="s">
        <v>373</v>
      </c>
      <c r="AH2166" s="78">
        <v>4.2422943194521894</v>
      </c>
      <c r="AJ2166" s="78" t="s">
        <v>52</v>
      </c>
      <c r="AK2166" s="78" t="s">
        <v>20</v>
      </c>
      <c r="AL2166" s="78" t="s">
        <v>28</v>
      </c>
      <c r="AM2166" s="78" t="s">
        <v>51</v>
      </c>
      <c r="AN2166" s="78" t="s">
        <v>336</v>
      </c>
      <c r="AO2166" s="78">
        <v>1.6829975552898355</v>
      </c>
    </row>
    <row r="2167" spans="29:41">
      <c r="AC2167" s="78" t="s">
        <v>52</v>
      </c>
      <c r="AD2167" s="78" t="s">
        <v>20</v>
      </c>
      <c r="AE2167" s="78" t="s">
        <v>72</v>
      </c>
      <c r="AF2167" s="78" t="s">
        <v>51</v>
      </c>
      <c r="AG2167" s="78" t="s">
        <v>374</v>
      </c>
      <c r="AH2167" s="78">
        <v>4.3064419961318618</v>
      </c>
      <c r="AJ2167" s="78" t="s">
        <v>52</v>
      </c>
      <c r="AK2167" s="78" t="s">
        <v>20</v>
      </c>
      <c r="AL2167" s="78" t="s">
        <v>28</v>
      </c>
      <c r="AM2167" s="78" t="s">
        <v>51</v>
      </c>
      <c r="AN2167" s="78" t="s">
        <v>337</v>
      </c>
      <c r="AO2167" s="78">
        <v>1.650800447810389</v>
      </c>
    </row>
    <row r="2168" spans="29:41">
      <c r="AC2168" s="78" t="s">
        <v>52</v>
      </c>
      <c r="AD2168" s="78" t="s">
        <v>20</v>
      </c>
      <c r="AE2168" s="78" t="s">
        <v>72</v>
      </c>
      <c r="AF2168" s="78" t="s">
        <v>51</v>
      </c>
      <c r="AG2168" s="78" t="s">
        <v>375</v>
      </c>
      <c r="AH2168" s="78">
        <v>4.3064419961318618</v>
      </c>
      <c r="AJ2168" s="78" t="s">
        <v>52</v>
      </c>
      <c r="AK2168" s="78" t="s">
        <v>20</v>
      </c>
      <c r="AL2168" s="78" t="s">
        <v>28</v>
      </c>
      <c r="AM2168" s="78" t="s">
        <v>51</v>
      </c>
      <c r="AN2168" s="78" t="s">
        <v>338</v>
      </c>
      <c r="AO2168" s="78">
        <v>1.5847911942574795</v>
      </c>
    </row>
    <row r="2169" spans="29:41">
      <c r="AC2169" s="78" t="s">
        <v>52</v>
      </c>
      <c r="AD2169" s="78" t="s">
        <v>20</v>
      </c>
      <c r="AE2169" s="78" t="s">
        <v>72</v>
      </c>
      <c r="AF2169" s="78" t="s">
        <v>51</v>
      </c>
      <c r="AG2169" s="78" t="s">
        <v>376</v>
      </c>
      <c r="AH2169" s="78">
        <v>4.1198143018144364</v>
      </c>
      <c r="AJ2169" s="78" t="s">
        <v>52</v>
      </c>
      <c r="AK2169" s="78" t="s">
        <v>20</v>
      </c>
      <c r="AL2169" s="78" t="s">
        <v>28</v>
      </c>
      <c r="AM2169" s="78" t="s">
        <v>51</v>
      </c>
      <c r="AN2169" s="78" t="s">
        <v>314</v>
      </c>
      <c r="AO2169" s="78">
        <v>1.5271759597894994</v>
      </c>
    </row>
    <row r="2170" spans="29:41">
      <c r="AC2170" s="78" t="s">
        <v>52</v>
      </c>
      <c r="AD2170" s="78" t="s">
        <v>20</v>
      </c>
      <c r="AE2170" s="78" t="s">
        <v>72</v>
      </c>
      <c r="AF2170" s="78" t="s">
        <v>51</v>
      </c>
      <c r="AG2170" s="78" t="s">
        <v>377</v>
      </c>
      <c r="AH2170" s="78">
        <v>4.1198143018144364</v>
      </c>
      <c r="AJ2170" s="78" t="s">
        <v>52</v>
      </c>
      <c r="AK2170" s="78" t="s">
        <v>20</v>
      </c>
      <c r="AL2170" s="78" t="s">
        <v>28</v>
      </c>
      <c r="AM2170" s="78" t="s">
        <v>51</v>
      </c>
      <c r="AN2170" s="78" t="s">
        <v>317</v>
      </c>
      <c r="AO2170" s="78">
        <v>1.6823507845627088</v>
      </c>
    </row>
    <row r="2171" spans="29:41">
      <c r="AC2171" s="78" t="s">
        <v>52</v>
      </c>
      <c r="AD2171" s="78" t="s">
        <v>20</v>
      </c>
      <c r="AE2171" s="78" t="s">
        <v>72</v>
      </c>
      <c r="AF2171" s="78" t="s">
        <v>51</v>
      </c>
      <c r="AG2171" s="78" t="s">
        <v>378</v>
      </c>
      <c r="AH2171" s="78">
        <v>4.1198143018144364</v>
      </c>
      <c r="AJ2171" s="78" t="s">
        <v>52</v>
      </c>
      <c r="AK2171" s="78" t="s">
        <v>20</v>
      </c>
      <c r="AL2171" s="78" t="s">
        <v>28</v>
      </c>
      <c r="AM2171" s="78" t="s">
        <v>51</v>
      </c>
      <c r="AN2171" s="78" t="s">
        <v>344</v>
      </c>
      <c r="AO2171" s="78">
        <v>1.6845467820956386</v>
      </c>
    </row>
    <row r="2172" spans="29:41">
      <c r="AC2172" s="78" t="s">
        <v>52</v>
      </c>
      <c r="AD2172" s="78" t="s">
        <v>20</v>
      </c>
      <c r="AE2172" s="78" t="s">
        <v>72</v>
      </c>
      <c r="AF2172" s="78" t="s">
        <v>51</v>
      </c>
      <c r="AG2172" s="78" t="s">
        <v>379</v>
      </c>
      <c r="AH2172" s="78">
        <v>4.1169496097871532</v>
      </c>
      <c r="AJ2172" s="78" t="s">
        <v>52</v>
      </c>
      <c r="AK2172" s="78" t="s">
        <v>20</v>
      </c>
      <c r="AL2172" s="78" t="s">
        <v>28</v>
      </c>
      <c r="AM2172" s="78" t="s">
        <v>51</v>
      </c>
      <c r="AN2172" s="78" t="s">
        <v>342</v>
      </c>
      <c r="AO2172" s="78">
        <v>1.6775163077505602</v>
      </c>
    </row>
    <row r="2173" spans="29:41">
      <c r="AC2173" s="78" t="s">
        <v>52</v>
      </c>
      <c r="AD2173" s="78" t="s">
        <v>20</v>
      </c>
      <c r="AE2173" s="78" t="s">
        <v>72</v>
      </c>
      <c r="AF2173" s="78" t="s">
        <v>51</v>
      </c>
      <c r="AG2173" s="78" t="s">
        <v>380</v>
      </c>
      <c r="AH2173" s="78">
        <v>4.1169496097871532</v>
      </c>
      <c r="AJ2173" s="78" t="s">
        <v>52</v>
      </c>
      <c r="AK2173" s="78" t="s">
        <v>20</v>
      </c>
      <c r="AL2173" s="78" t="s">
        <v>28</v>
      </c>
      <c r="AM2173" s="78" t="s">
        <v>51</v>
      </c>
      <c r="AN2173" s="78" t="s">
        <v>345</v>
      </c>
      <c r="AO2173" s="78">
        <v>1.6251270628118093</v>
      </c>
    </row>
    <row r="2174" spans="29:41">
      <c r="AC2174" s="78" t="s">
        <v>52</v>
      </c>
      <c r="AD2174" s="78" t="s">
        <v>20</v>
      </c>
      <c r="AE2174" s="78" t="s">
        <v>72</v>
      </c>
      <c r="AF2174" s="78" t="s">
        <v>51</v>
      </c>
      <c r="AG2174" s="78" t="s">
        <v>381</v>
      </c>
      <c r="AH2174" s="78">
        <v>4.055518341423701</v>
      </c>
      <c r="AJ2174" s="78" t="s">
        <v>52</v>
      </c>
      <c r="AK2174" s="78" t="s">
        <v>20</v>
      </c>
      <c r="AL2174" s="78" t="s">
        <v>28</v>
      </c>
      <c r="AM2174" s="78" t="s">
        <v>51</v>
      </c>
      <c r="AN2174" s="78" t="s">
        <v>346</v>
      </c>
      <c r="AO2174" s="78">
        <v>1.7666956558044802</v>
      </c>
    </row>
    <row r="2175" spans="29:41">
      <c r="AC2175" s="78" t="s">
        <v>52</v>
      </c>
      <c r="AD2175" s="78" t="s">
        <v>20</v>
      </c>
      <c r="AE2175" s="78" t="s">
        <v>72</v>
      </c>
      <c r="AF2175" s="78" t="s">
        <v>51</v>
      </c>
      <c r="AG2175" s="78" t="s">
        <v>382</v>
      </c>
      <c r="AH2175" s="78">
        <v>4.1169496097871532</v>
      </c>
      <c r="AJ2175" s="78" t="s">
        <v>52</v>
      </c>
      <c r="AK2175" s="78" t="s">
        <v>20</v>
      </c>
      <c r="AL2175" s="78" t="s">
        <v>28</v>
      </c>
      <c r="AM2175" s="78" t="s">
        <v>51</v>
      </c>
      <c r="AN2175" s="78" t="s">
        <v>343</v>
      </c>
      <c r="AO2175" s="78">
        <v>1.5437555757305834</v>
      </c>
    </row>
    <row r="2176" spans="29:41">
      <c r="AC2176" s="78" t="s">
        <v>52</v>
      </c>
      <c r="AD2176" s="78" t="s">
        <v>20</v>
      </c>
      <c r="AE2176" s="78" t="s">
        <v>72</v>
      </c>
      <c r="AF2176" s="78" t="s">
        <v>51</v>
      </c>
      <c r="AG2176" s="78" t="s">
        <v>383</v>
      </c>
      <c r="AH2176" s="78">
        <v>4.1169496097871532</v>
      </c>
      <c r="AJ2176" s="78" t="s">
        <v>52</v>
      </c>
      <c r="AK2176" s="78" t="s">
        <v>20</v>
      </c>
      <c r="AL2176" s="78" t="s">
        <v>28</v>
      </c>
      <c r="AM2176" s="78" t="s">
        <v>51</v>
      </c>
      <c r="AN2176" s="78" t="s">
        <v>341</v>
      </c>
      <c r="AO2176" s="78">
        <v>1.6892381517647295</v>
      </c>
    </row>
    <row r="2177" spans="29:41">
      <c r="AC2177" s="78" t="s">
        <v>52</v>
      </c>
      <c r="AD2177" s="78" t="s">
        <v>20</v>
      </c>
      <c r="AE2177" s="78" t="s">
        <v>72</v>
      </c>
      <c r="AF2177" s="78" t="s">
        <v>51</v>
      </c>
      <c r="AG2177" s="78" t="s">
        <v>384</v>
      </c>
      <c r="AH2177" s="78">
        <v>4.055518341423701</v>
      </c>
      <c r="AJ2177" s="78" t="s">
        <v>52</v>
      </c>
      <c r="AK2177" s="78" t="s">
        <v>20</v>
      </c>
      <c r="AL2177" s="78" t="s">
        <v>28</v>
      </c>
      <c r="AM2177" s="78" t="s">
        <v>51</v>
      </c>
      <c r="AN2177" s="78" t="s">
        <v>347</v>
      </c>
      <c r="AO2177" s="78">
        <v>1.617402381550944</v>
      </c>
    </row>
    <row r="2178" spans="29:41">
      <c r="AC2178" s="78" t="s">
        <v>52</v>
      </c>
      <c r="AD2178" s="78" t="s">
        <v>20</v>
      </c>
      <c r="AE2178" s="78" t="s">
        <v>72</v>
      </c>
      <c r="AF2178" s="78" t="s">
        <v>51</v>
      </c>
      <c r="AG2178" s="78" t="s">
        <v>385</v>
      </c>
      <c r="AH2178" s="78">
        <v>3.5124697352112779</v>
      </c>
      <c r="AJ2178" s="78" t="s">
        <v>52</v>
      </c>
      <c r="AK2178" s="78" t="s">
        <v>20</v>
      </c>
      <c r="AL2178" s="78" t="s">
        <v>28</v>
      </c>
      <c r="AM2178" s="78" t="s">
        <v>51</v>
      </c>
      <c r="AN2178" s="78" t="s">
        <v>348</v>
      </c>
      <c r="AO2178" s="78">
        <v>1.6799987428908036</v>
      </c>
    </row>
    <row r="2179" spans="29:41">
      <c r="AC2179" s="78" t="s">
        <v>52</v>
      </c>
      <c r="AD2179" s="78" t="s">
        <v>20</v>
      </c>
      <c r="AE2179" s="78" t="s">
        <v>72</v>
      </c>
      <c r="AF2179" s="78" t="s">
        <v>51</v>
      </c>
      <c r="AG2179" s="78" t="s">
        <v>386</v>
      </c>
      <c r="AH2179" s="78">
        <v>3.5124697352112779</v>
      </c>
      <c r="AJ2179" s="78" t="s">
        <v>52</v>
      </c>
      <c r="AK2179" s="78" t="s">
        <v>20</v>
      </c>
      <c r="AL2179" s="78" t="s">
        <v>28</v>
      </c>
      <c r="AM2179" s="78" t="s">
        <v>51</v>
      </c>
      <c r="AN2179" s="78" t="s">
        <v>349</v>
      </c>
      <c r="AO2179" s="78">
        <v>1.6735924427649935</v>
      </c>
    </row>
    <row r="2180" spans="29:41">
      <c r="AC2180" s="78" t="s">
        <v>52</v>
      </c>
      <c r="AD2180" s="78" t="s">
        <v>20</v>
      </c>
      <c r="AE2180" s="78" t="s">
        <v>72</v>
      </c>
      <c r="AF2180" s="78" t="s">
        <v>51</v>
      </c>
      <c r="AG2180" s="78" t="s">
        <v>387</v>
      </c>
      <c r="AH2180" s="78">
        <v>3.5437030685446111</v>
      </c>
      <c r="AJ2180" s="78" t="s">
        <v>52</v>
      </c>
      <c r="AK2180" s="78" t="s">
        <v>20</v>
      </c>
      <c r="AL2180" s="78" t="s">
        <v>28</v>
      </c>
      <c r="AM2180" s="78" t="s">
        <v>51</v>
      </c>
      <c r="AN2180" s="78" t="s">
        <v>350</v>
      </c>
      <c r="AO2180" s="78">
        <v>1.6323980690231839</v>
      </c>
    </row>
    <row r="2181" spans="29:41">
      <c r="AC2181" s="78" t="s">
        <v>52</v>
      </c>
      <c r="AD2181" s="78" t="s">
        <v>20</v>
      </c>
      <c r="AE2181" s="78" t="s">
        <v>72</v>
      </c>
      <c r="AF2181" s="78" t="s">
        <v>51</v>
      </c>
      <c r="AG2181" s="78" t="s">
        <v>388</v>
      </c>
      <c r="AH2181" s="78">
        <v>3.5437030685446111</v>
      </c>
      <c r="AJ2181" s="78" t="s">
        <v>52</v>
      </c>
      <c r="AK2181" s="78" t="s">
        <v>20</v>
      </c>
      <c r="AL2181" s="78" t="s">
        <v>28</v>
      </c>
      <c r="AM2181" s="78" t="s">
        <v>51</v>
      </c>
      <c r="AN2181" s="78" t="s">
        <v>351</v>
      </c>
      <c r="AO2181" s="78">
        <v>1.7527336265870399</v>
      </c>
    </row>
    <row r="2182" spans="29:41">
      <c r="AC2182" s="78" t="s">
        <v>52</v>
      </c>
      <c r="AD2182" s="78" t="s">
        <v>20</v>
      </c>
      <c r="AE2182" s="78" t="s">
        <v>72</v>
      </c>
      <c r="AF2182" s="78" t="s">
        <v>51</v>
      </c>
      <c r="AG2182" s="78" t="s">
        <v>389</v>
      </c>
      <c r="AH2182" s="78">
        <v>3.5124697352112779</v>
      </c>
      <c r="AJ2182" s="78" t="s">
        <v>52</v>
      </c>
      <c r="AK2182" s="78" t="s">
        <v>20</v>
      </c>
      <c r="AL2182" s="78" t="s">
        <v>28</v>
      </c>
      <c r="AM2182" s="78" t="s">
        <v>51</v>
      </c>
      <c r="AN2182" s="78" t="s">
        <v>352</v>
      </c>
      <c r="AO2182" s="78">
        <v>1.6907714630480137</v>
      </c>
    </row>
    <row r="2183" spans="29:41">
      <c r="AC2183" s="78" t="s">
        <v>52</v>
      </c>
      <c r="AD2183" s="78" t="s">
        <v>20</v>
      </c>
      <c r="AE2183" s="78" t="s">
        <v>72</v>
      </c>
      <c r="AF2183" s="78" t="s">
        <v>51</v>
      </c>
      <c r="AG2183" s="78" t="s">
        <v>418</v>
      </c>
      <c r="AH2183" s="78">
        <v>3.5124697352112779</v>
      </c>
      <c r="AJ2183" s="78" t="s">
        <v>52</v>
      </c>
      <c r="AK2183" s="78" t="s">
        <v>20</v>
      </c>
      <c r="AL2183" s="78" t="s">
        <v>28</v>
      </c>
      <c r="AM2183" s="78" t="s">
        <v>51</v>
      </c>
      <c r="AN2183" s="78" t="s">
        <v>353</v>
      </c>
      <c r="AO2183" s="78">
        <v>1.681707908147994</v>
      </c>
    </row>
    <row r="2184" spans="29:41">
      <c r="AC2184" s="78" t="s">
        <v>52</v>
      </c>
      <c r="AD2184" s="78" t="s">
        <v>20</v>
      </c>
      <c r="AE2184" s="78" t="s">
        <v>72</v>
      </c>
      <c r="AF2184" s="78" t="s">
        <v>51</v>
      </c>
      <c r="AG2184" s="78" t="s">
        <v>390</v>
      </c>
      <c r="AH2184" s="78">
        <v>3.5124697352112779</v>
      </c>
      <c r="AJ2184" s="78" t="s">
        <v>52</v>
      </c>
      <c r="AK2184" s="78" t="s">
        <v>20</v>
      </c>
      <c r="AL2184" s="78" t="s">
        <v>28</v>
      </c>
      <c r="AM2184" s="78" t="s">
        <v>51</v>
      </c>
      <c r="AN2184" s="78" t="s">
        <v>354</v>
      </c>
      <c r="AO2184" s="78">
        <v>1.7613722343105103</v>
      </c>
    </row>
    <row r="2185" spans="29:41">
      <c r="AC2185" s="78" t="s">
        <v>52</v>
      </c>
      <c r="AD2185" s="78" t="s">
        <v>20</v>
      </c>
      <c r="AE2185" s="78" t="s">
        <v>72</v>
      </c>
      <c r="AF2185" s="78" t="s">
        <v>51</v>
      </c>
      <c r="AG2185" s="78" t="s">
        <v>419</v>
      </c>
      <c r="AH2185" s="78">
        <v>3.5124697352112779</v>
      </c>
      <c r="AJ2185" s="78" t="s">
        <v>52</v>
      </c>
      <c r="AK2185" s="78" t="s">
        <v>20</v>
      </c>
      <c r="AL2185" s="78" t="s">
        <v>28</v>
      </c>
      <c r="AM2185" s="78" t="s">
        <v>51</v>
      </c>
      <c r="AN2185" s="78" t="s">
        <v>416</v>
      </c>
      <c r="AO2185" s="78">
        <v>1.7613722343105103</v>
      </c>
    </row>
    <row r="2186" spans="29:41">
      <c r="AC2186" s="78" t="s">
        <v>52</v>
      </c>
      <c r="AD2186" s="78" t="s">
        <v>20</v>
      </c>
      <c r="AE2186" s="78" t="s">
        <v>72</v>
      </c>
      <c r="AF2186" s="78" t="s">
        <v>51</v>
      </c>
      <c r="AG2186" s="78" t="s">
        <v>391</v>
      </c>
      <c r="AH2186" s="78">
        <v>3.6073357406250119</v>
      </c>
      <c r="AJ2186" s="78" t="s">
        <v>52</v>
      </c>
      <c r="AK2186" s="78" t="s">
        <v>20</v>
      </c>
      <c r="AL2186" s="78" t="s">
        <v>28</v>
      </c>
      <c r="AM2186" s="78" t="s">
        <v>51</v>
      </c>
      <c r="AN2186" s="78" t="s">
        <v>355</v>
      </c>
      <c r="AO2186" s="78">
        <v>1.6777602156965592</v>
      </c>
    </row>
    <row r="2187" spans="29:41">
      <c r="AC2187" s="78" t="s">
        <v>52</v>
      </c>
      <c r="AD2187" s="78" t="s">
        <v>20</v>
      </c>
      <c r="AE2187" s="78" t="s">
        <v>72</v>
      </c>
      <c r="AF2187" s="78" t="s">
        <v>51</v>
      </c>
      <c r="AG2187" s="78" t="s">
        <v>392</v>
      </c>
      <c r="AH2187" s="78">
        <v>3.6073357406250119</v>
      </c>
      <c r="AJ2187" s="78" t="s">
        <v>52</v>
      </c>
      <c r="AK2187" s="78" t="s">
        <v>20</v>
      </c>
      <c r="AL2187" s="78" t="s">
        <v>28</v>
      </c>
      <c r="AM2187" s="78" t="s">
        <v>51</v>
      </c>
      <c r="AN2187" s="78" t="s">
        <v>356</v>
      </c>
      <c r="AO2187" s="78">
        <v>1.6224155973096546</v>
      </c>
    </row>
    <row r="2188" spans="29:41">
      <c r="AC2188" s="78" t="s">
        <v>52</v>
      </c>
      <c r="AD2188" s="78" t="s">
        <v>20</v>
      </c>
      <c r="AE2188" s="78" t="s">
        <v>72</v>
      </c>
      <c r="AF2188" s="78" t="s">
        <v>51</v>
      </c>
      <c r="AG2188" s="78" t="s">
        <v>393</v>
      </c>
      <c r="AH2188" s="78">
        <v>4.2422943194521894</v>
      </c>
      <c r="AJ2188" s="78" t="s">
        <v>52</v>
      </c>
      <c r="AK2188" s="78" t="s">
        <v>20</v>
      </c>
      <c r="AL2188" s="78" t="s">
        <v>28</v>
      </c>
      <c r="AM2188" s="78" t="s">
        <v>51</v>
      </c>
      <c r="AN2188" s="78" t="s">
        <v>357</v>
      </c>
      <c r="AO2188" s="78">
        <v>1.6509721645297946</v>
      </c>
    </row>
    <row r="2189" spans="29:41">
      <c r="AC2189" s="78" t="s">
        <v>52</v>
      </c>
      <c r="AD2189" s="78" t="s">
        <v>20</v>
      </c>
      <c r="AE2189" s="78" t="s">
        <v>72</v>
      </c>
      <c r="AF2189" s="78" t="s">
        <v>51</v>
      </c>
      <c r="AG2189" s="78" t="s">
        <v>394</v>
      </c>
      <c r="AH2189" s="78">
        <v>4.2422943194521894</v>
      </c>
      <c r="AJ2189" s="78" t="s">
        <v>52</v>
      </c>
      <c r="AK2189" s="78" t="s">
        <v>20</v>
      </c>
      <c r="AL2189" s="78" t="s">
        <v>28</v>
      </c>
      <c r="AM2189" s="78" t="s">
        <v>51</v>
      </c>
      <c r="AN2189" s="78" t="s">
        <v>358</v>
      </c>
      <c r="AO2189" s="78">
        <v>1.9093788811705936</v>
      </c>
    </row>
    <row r="2190" spans="29:41">
      <c r="AC2190" s="78" t="s">
        <v>52</v>
      </c>
      <c r="AD2190" s="78" t="s">
        <v>20</v>
      </c>
      <c r="AE2190" s="78" t="s">
        <v>72</v>
      </c>
      <c r="AF2190" s="78" t="s">
        <v>51</v>
      </c>
      <c r="AG2190" s="78" t="s">
        <v>395</v>
      </c>
      <c r="AH2190" s="78">
        <v>4.2422943194521894</v>
      </c>
      <c r="AJ2190" s="78" t="s">
        <v>52</v>
      </c>
      <c r="AK2190" s="78" t="s">
        <v>20</v>
      </c>
      <c r="AL2190" s="78" t="s">
        <v>28</v>
      </c>
      <c r="AM2190" s="78" t="s">
        <v>51</v>
      </c>
      <c r="AN2190" s="78" t="s">
        <v>359</v>
      </c>
      <c r="AO2190" s="78">
        <v>1.4826276258934068</v>
      </c>
    </row>
    <row r="2191" spans="29:41">
      <c r="AC2191" s="78" t="s">
        <v>52</v>
      </c>
      <c r="AD2191" s="78" t="s">
        <v>20</v>
      </c>
      <c r="AE2191" s="78" t="s">
        <v>72</v>
      </c>
      <c r="AF2191" s="78" t="s">
        <v>51</v>
      </c>
      <c r="AG2191" s="78" t="s">
        <v>396</v>
      </c>
      <c r="AH2191" s="78">
        <v>4.1810811341021381</v>
      </c>
      <c r="AJ2191" s="78" t="s">
        <v>52</v>
      </c>
      <c r="AK2191" s="78" t="s">
        <v>20</v>
      </c>
      <c r="AL2191" s="78" t="s">
        <v>28</v>
      </c>
      <c r="AM2191" s="78" t="s">
        <v>51</v>
      </c>
      <c r="AN2191" s="78" t="s">
        <v>360</v>
      </c>
      <c r="AO2191" s="78">
        <v>1.5770495155904083</v>
      </c>
    </row>
    <row r="2192" spans="29:41">
      <c r="AC2192" s="78" t="s">
        <v>52</v>
      </c>
      <c r="AD2192" s="78" t="s">
        <v>20</v>
      </c>
      <c r="AE2192" s="78" t="s">
        <v>72</v>
      </c>
      <c r="AF2192" s="78" t="s">
        <v>51</v>
      </c>
      <c r="AG2192" s="78" t="s">
        <v>397</v>
      </c>
      <c r="AH2192" s="78">
        <v>4.1198143018144364</v>
      </c>
      <c r="AJ2192" s="78" t="s">
        <v>52</v>
      </c>
      <c r="AK2192" s="78" t="s">
        <v>20</v>
      </c>
      <c r="AL2192" s="78" t="s">
        <v>28</v>
      </c>
      <c r="AM2192" s="78" t="s">
        <v>51</v>
      </c>
      <c r="AN2192" s="78" t="s">
        <v>361</v>
      </c>
      <c r="AO2192" s="78">
        <v>1.4741705887976668</v>
      </c>
    </row>
    <row r="2193" spans="29:41">
      <c r="AC2193" s="78" t="s">
        <v>52</v>
      </c>
      <c r="AD2193" s="78" t="s">
        <v>20</v>
      </c>
      <c r="AE2193" s="78" t="s">
        <v>72</v>
      </c>
      <c r="AF2193" s="78" t="s">
        <v>51</v>
      </c>
      <c r="AG2193" s="78" t="s">
        <v>398</v>
      </c>
      <c r="AH2193" s="78">
        <v>4.055518341423701</v>
      </c>
      <c r="AJ2193" s="78" t="s">
        <v>52</v>
      </c>
      <c r="AK2193" s="78" t="s">
        <v>20</v>
      </c>
      <c r="AL2193" s="78" t="s">
        <v>28</v>
      </c>
      <c r="AM2193" s="78" t="s">
        <v>51</v>
      </c>
      <c r="AN2193" s="78" t="s">
        <v>362</v>
      </c>
      <c r="AO2193" s="78">
        <v>1.5625783686591295</v>
      </c>
    </row>
    <row r="2194" spans="29:41">
      <c r="AC2194" s="78" t="s">
        <v>52</v>
      </c>
      <c r="AD2194" s="78" t="s">
        <v>20</v>
      </c>
      <c r="AE2194" s="78" t="s">
        <v>72</v>
      </c>
      <c r="AF2194" s="78" t="s">
        <v>51</v>
      </c>
      <c r="AG2194" s="78" t="s">
        <v>399</v>
      </c>
      <c r="AH2194" s="78">
        <v>4.055518341423701</v>
      </c>
      <c r="AJ2194" s="78" t="s">
        <v>52</v>
      </c>
      <c r="AK2194" s="78" t="s">
        <v>20</v>
      </c>
      <c r="AL2194" s="78" t="s">
        <v>28</v>
      </c>
      <c r="AM2194" s="78" t="s">
        <v>51</v>
      </c>
      <c r="AN2194" s="78" t="s">
        <v>363</v>
      </c>
      <c r="AO2194" s="78">
        <v>1.5492564543552882</v>
      </c>
    </row>
    <row r="2195" spans="29:41">
      <c r="AC2195" s="78" t="s">
        <v>52</v>
      </c>
      <c r="AD2195" s="78" t="s">
        <v>20</v>
      </c>
      <c r="AE2195" s="78" t="s">
        <v>72</v>
      </c>
      <c r="AF2195" s="78" t="s">
        <v>51</v>
      </c>
      <c r="AG2195" s="78" t="s">
        <v>400</v>
      </c>
      <c r="AH2195" s="78">
        <v>4.055518341423701</v>
      </c>
      <c r="AJ2195" s="78" t="s">
        <v>52</v>
      </c>
      <c r="AK2195" s="78" t="s">
        <v>20</v>
      </c>
      <c r="AL2195" s="78" t="s">
        <v>28</v>
      </c>
      <c r="AM2195" s="78" t="s">
        <v>51</v>
      </c>
      <c r="AN2195" s="78" t="s">
        <v>364</v>
      </c>
      <c r="AO2195" s="78">
        <v>1.5429782372850298</v>
      </c>
    </row>
    <row r="2196" spans="29:41">
      <c r="AC2196" s="78" t="s">
        <v>52</v>
      </c>
      <c r="AD2196" s="78" t="s">
        <v>20</v>
      </c>
      <c r="AE2196" s="78" t="s">
        <v>72</v>
      </c>
      <c r="AF2196" s="78" t="s">
        <v>51</v>
      </c>
      <c r="AG2196" s="78" t="s">
        <v>401</v>
      </c>
      <c r="AH2196" s="78">
        <v>4.053330006698979</v>
      </c>
      <c r="AJ2196" s="78" t="s">
        <v>52</v>
      </c>
      <c r="AK2196" s="78" t="s">
        <v>20</v>
      </c>
      <c r="AL2196" s="78" t="s">
        <v>28</v>
      </c>
      <c r="AM2196" s="78" t="s">
        <v>51</v>
      </c>
      <c r="AN2196" s="78" t="s">
        <v>365</v>
      </c>
      <c r="AO2196" s="78">
        <v>1.5335941743605297</v>
      </c>
    </row>
    <row r="2197" spans="29:41">
      <c r="AC2197" s="78" t="s">
        <v>52</v>
      </c>
      <c r="AD2197" s="78" t="s">
        <v>20</v>
      </c>
      <c r="AE2197" s="78" t="s">
        <v>72</v>
      </c>
      <c r="AF2197" s="78" t="s">
        <v>51</v>
      </c>
      <c r="AG2197" s="78" t="s">
        <v>402</v>
      </c>
      <c r="AH2197" s="78">
        <v>3.9910062771736561</v>
      </c>
      <c r="AJ2197" s="78" t="s">
        <v>52</v>
      </c>
      <c r="AK2197" s="78" t="s">
        <v>20</v>
      </c>
      <c r="AL2197" s="78" t="s">
        <v>28</v>
      </c>
      <c r="AM2197" s="78" t="s">
        <v>51</v>
      </c>
      <c r="AN2197" s="78" t="s">
        <v>366</v>
      </c>
      <c r="AO2197" s="78">
        <v>1.5652562224814315</v>
      </c>
    </row>
    <row r="2198" spans="29:41">
      <c r="AC2198" s="78" t="s">
        <v>52</v>
      </c>
      <c r="AD2198" s="78" t="s">
        <v>20</v>
      </c>
      <c r="AE2198" s="78" t="s">
        <v>72</v>
      </c>
      <c r="AF2198" s="78" t="s">
        <v>51</v>
      </c>
      <c r="AG2198" s="78" t="s">
        <v>403</v>
      </c>
      <c r="AH2198" s="78">
        <v>3.9910062771736561</v>
      </c>
      <c r="AJ2198" s="78" t="s">
        <v>52</v>
      </c>
      <c r="AK2198" s="78" t="s">
        <v>20</v>
      </c>
      <c r="AL2198" s="78" t="s">
        <v>28</v>
      </c>
      <c r="AM2198" s="78" t="s">
        <v>51</v>
      </c>
      <c r="AN2198" s="78" t="s">
        <v>367</v>
      </c>
      <c r="AO2198" s="78">
        <v>1.4378426371896194</v>
      </c>
    </row>
    <row r="2199" spans="29:41">
      <c r="AC2199" s="78" t="s">
        <v>52</v>
      </c>
      <c r="AD2199" s="78" t="s">
        <v>20</v>
      </c>
      <c r="AE2199" s="78" t="s">
        <v>72</v>
      </c>
      <c r="AF2199" s="78" t="s">
        <v>51</v>
      </c>
      <c r="AG2199" s="78" t="s">
        <v>404</v>
      </c>
      <c r="AH2199" s="78">
        <v>3.9910062771736561</v>
      </c>
      <c r="AJ2199" s="78" t="s">
        <v>52</v>
      </c>
      <c r="AK2199" s="78" t="s">
        <v>20</v>
      </c>
      <c r="AL2199" s="78" t="s">
        <v>28</v>
      </c>
      <c r="AM2199" s="78" t="s">
        <v>51</v>
      </c>
      <c r="AN2199" s="78" t="s">
        <v>368</v>
      </c>
      <c r="AO2199" s="78">
        <v>1.5575752259094915</v>
      </c>
    </row>
    <row r="2200" spans="29:41">
      <c r="AC2200" s="78" t="s">
        <v>52</v>
      </c>
      <c r="AD2200" s="78" t="s">
        <v>20</v>
      </c>
      <c r="AE2200" s="78" t="s">
        <v>72</v>
      </c>
      <c r="AF2200" s="78" t="s">
        <v>51</v>
      </c>
      <c r="AG2200" s="78" t="s">
        <v>405</v>
      </c>
      <c r="AH2200" s="78">
        <v>4.055518341423701</v>
      </c>
      <c r="AJ2200" s="78" t="s">
        <v>52</v>
      </c>
      <c r="AK2200" s="78" t="s">
        <v>20</v>
      </c>
      <c r="AL2200" s="78" t="s">
        <v>28</v>
      </c>
      <c r="AM2200" s="78" t="s">
        <v>51</v>
      </c>
      <c r="AN2200" s="78" t="s">
        <v>369</v>
      </c>
      <c r="AO2200" s="78">
        <v>1.5465654782757021</v>
      </c>
    </row>
    <row r="2201" spans="29:41">
      <c r="AC2201" s="78" t="s">
        <v>52</v>
      </c>
      <c r="AD2201" s="78" t="s">
        <v>20</v>
      </c>
      <c r="AE2201" s="78" t="s">
        <v>72</v>
      </c>
      <c r="AF2201" s="78" t="s">
        <v>51</v>
      </c>
      <c r="AG2201" s="78" t="s">
        <v>406</v>
      </c>
      <c r="AH2201" s="78">
        <v>4.055518341423701</v>
      </c>
      <c r="AJ2201" s="78" t="s">
        <v>52</v>
      </c>
      <c r="AK2201" s="78" t="s">
        <v>20</v>
      </c>
      <c r="AL2201" s="78" t="s">
        <v>28</v>
      </c>
      <c r="AM2201" s="78" t="s">
        <v>51</v>
      </c>
      <c r="AN2201" s="78" t="s">
        <v>370</v>
      </c>
      <c r="AO2201" s="78">
        <v>1.5303166129125882</v>
      </c>
    </row>
    <row r="2202" spans="29:41">
      <c r="AC2202" s="78" t="s">
        <v>52</v>
      </c>
      <c r="AD2202" s="78" t="s">
        <v>20</v>
      </c>
      <c r="AE2202" s="78" t="s">
        <v>72</v>
      </c>
      <c r="AF2202" s="78" t="s">
        <v>51</v>
      </c>
      <c r="AG2202" s="78" t="s">
        <v>407</v>
      </c>
      <c r="AH2202" s="78">
        <v>4.055518341423701</v>
      </c>
      <c r="AJ2202" s="78" t="s">
        <v>52</v>
      </c>
      <c r="AK2202" s="78" t="s">
        <v>20</v>
      </c>
      <c r="AL2202" s="78" t="s">
        <v>28</v>
      </c>
      <c r="AM2202" s="78" t="s">
        <v>51</v>
      </c>
      <c r="AN2202" s="78" t="s">
        <v>371</v>
      </c>
      <c r="AO2202" s="78">
        <v>1.4754707977239767</v>
      </c>
    </row>
    <row r="2203" spans="29:41">
      <c r="AC2203" s="78" t="s">
        <v>52</v>
      </c>
      <c r="AD2203" s="78" t="s">
        <v>20</v>
      </c>
      <c r="AE2203" s="78" t="s">
        <v>72</v>
      </c>
      <c r="AF2203" s="78" t="s">
        <v>51</v>
      </c>
      <c r="AG2203" s="78" t="s">
        <v>408</v>
      </c>
      <c r="AH2203" s="78">
        <v>4.055518341423701</v>
      </c>
      <c r="AJ2203" s="78" t="s">
        <v>52</v>
      </c>
      <c r="AK2203" s="78" t="s">
        <v>20</v>
      </c>
      <c r="AL2203" s="78" t="s">
        <v>28</v>
      </c>
      <c r="AM2203" s="78" t="s">
        <v>51</v>
      </c>
      <c r="AN2203" s="78" t="s">
        <v>372</v>
      </c>
      <c r="AO2203" s="78">
        <v>1.4811006924675882</v>
      </c>
    </row>
    <row r="2204" spans="29:41">
      <c r="AC2204" s="78" t="s">
        <v>52</v>
      </c>
      <c r="AD2204" s="78" t="s">
        <v>20</v>
      </c>
      <c r="AE2204" s="78" t="s">
        <v>72</v>
      </c>
      <c r="AF2204" s="78" t="s">
        <v>51</v>
      </c>
      <c r="AG2204" s="78" t="s">
        <v>409</v>
      </c>
      <c r="AH2204" s="78">
        <v>4.1783267377573141</v>
      </c>
      <c r="AJ2204" s="78" t="s">
        <v>52</v>
      </c>
      <c r="AK2204" s="78" t="s">
        <v>20</v>
      </c>
      <c r="AL2204" s="78" t="s">
        <v>28</v>
      </c>
      <c r="AM2204" s="78" t="s">
        <v>51</v>
      </c>
      <c r="AN2204" s="78" t="s">
        <v>373</v>
      </c>
      <c r="AO2204" s="78">
        <v>1.5241263242323198</v>
      </c>
    </row>
    <row r="2205" spans="29:41">
      <c r="AC2205" s="78" t="s">
        <v>52</v>
      </c>
      <c r="AD2205" s="78" t="s">
        <v>20</v>
      </c>
      <c r="AE2205" s="78" t="s">
        <v>72</v>
      </c>
      <c r="AF2205" s="78" t="s">
        <v>51</v>
      </c>
      <c r="AG2205" s="78" t="s">
        <v>410</v>
      </c>
      <c r="AH2205" s="78">
        <v>4.1810811341021381</v>
      </c>
      <c r="AJ2205" s="78" t="s">
        <v>52</v>
      </c>
      <c r="AK2205" s="78" t="s">
        <v>20</v>
      </c>
      <c r="AL2205" s="78" t="s">
        <v>28</v>
      </c>
      <c r="AM2205" s="78" t="s">
        <v>51</v>
      </c>
      <c r="AN2205" s="78" t="s">
        <v>374</v>
      </c>
      <c r="AO2205" s="78">
        <v>1.6405952739958014</v>
      </c>
    </row>
    <row r="2206" spans="29:41">
      <c r="AC2206" s="78" t="s">
        <v>52</v>
      </c>
      <c r="AD2206" s="78" t="s">
        <v>20</v>
      </c>
      <c r="AE2206" s="78" t="s">
        <v>72</v>
      </c>
      <c r="AF2206" s="78" t="s">
        <v>51</v>
      </c>
      <c r="AG2206" s="78" t="s">
        <v>411</v>
      </c>
      <c r="AH2206" s="78">
        <v>4.1198143018144364</v>
      </c>
      <c r="AJ2206" s="78" t="s">
        <v>52</v>
      </c>
      <c r="AK2206" s="78" t="s">
        <v>20</v>
      </c>
      <c r="AL2206" s="78" t="s">
        <v>28</v>
      </c>
      <c r="AM2206" s="78" t="s">
        <v>51</v>
      </c>
      <c r="AN2206" s="78" t="s">
        <v>417</v>
      </c>
      <c r="AO2206" s="78">
        <v>1.6405952739958014</v>
      </c>
    </row>
    <row r="2207" spans="29:41">
      <c r="AC2207" s="78" t="s">
        <v>52</v>
      </c>
      <c r="AD2207" s="78" t="s">
        <v>20</v>
      </c>
      <c r="AE2207" s="78" t="s">
        <v>72</v>
      </c>
      <c r="AF2207" s="78" t="s">
        <v>51</v>
      </c>
      <c r="AG2207" s="78" t="s">
        <v>412</v>
      </c>
      <c r="AH2207" s="78">
        <v>4.1198143018144364</v>
      </c>
      <c r="AJ2207" s="78" t="s">
        <v>52</v>
      </c>
      <c r="AK2207" s="78" t="s">
        <v>20</v>
      </c>
      <c r="AL2207" s="78" t="s">
        <v>28</v>
      </c>
      <c r="AM2207" s="78" t="s">
        <v>51</v>
      </c>
      <c r="AN2207" s="78" t="s">
        <v>375</v>
      </c>
      <c r="AO2207" s="78">
        <v>1.6279846729119918</v>
      </c>
    </row>
    <row r="2208" spans="29:41">
      <c r="AC2208" s="78" t="s">
        <v>52</v>
      </c>
      <c r="AD2208" s="78" t="s">
        <v>20</v>
      </c>
      <c r="AE2208" s="78" t="s">
        <v>72</v>
      </c>
      <c r="AF2208" s="78" t="s">
        <v>51</v>
      </c>
      <c r="AG2208" s="78" t="s">
        <v>413</v>
      </c>
      <c r="AH2208" s="78">
        <v>4.1198143018144364</v>
      </c>
      <c r="AJ2208" s="78" t="s">
        <v>52</v>
      </c>
      <c r="AK2208" s="78" t="s">
        <v>20</v>
      </c>
      <c r="AL2208" s="78" t="s">
        <v>28</v>
      </c>
      <c r="AM2208" s="78" t="s">
        <v>51</v>
      </c>
      <c r="AN2208" s="78" t="s">
        <v>376</v>
      </c>
      <c r="AO2208" s="78">
        <v>1.5379604677640071</v>
      </c>
    </row>
    <row r="2209" spans="29:41">
      <c r="AC2209" s="78" t="s">
        <v>52</v>
      </c>
      <c r="AD2209" s="78" t="s">
        <v>20</v>
      </c>
      <c r="AE2209" s="78" t="s">
        <v>72</v>
      </c>
      <c r="AF2209" s="78" t="s">
        <v>51</v>
      </c>
      <c r="AG2209" s="78" t="s">
        <v>414</v>
      </c>
      <c r="AH2209" s="78">
        <v>4.1810811341021381</v>
      </c>
      <c r="AJ2209" s="78" t="s">
        <v>52</v>
      </c>
      <c r="AK2209" s="78" t="s">
        <v>20</v>
      </c>
      <c r="AL2209" s="78" t="s">
        <v>28</v>
      </c>
      <c r="AM2209" s="78" t="s">
        <v>51</v>
      </c>
      <c r="AN2209" s="78" t="s">
        <v>377</v>
      </c>
      <c r="AO2209" s="78">
        <v>1.5266010305169067</v>
      </c>
    </row>
    <row r="2210" spans="29:41">
      <c r="AC2210" s="78" t="s">
        <v>52</v>
      </c>
      <c r="AD2210" s="78" t="s">
        <v>20</v>
      </c>
      <c r="AE2210" s="78" t="s">
        <v>72</v>
      </c>
      <c r="AF2210" s="78" t="s">
        <v>51</v>
      </c>
      <c r="AG2210" s="78" t="s">
        <v>415</v>
      </c>
      <c r="AH2210" s="78">
        <v>4.1198143018144364</v>
      </c>
      <c r="AJ2210" s="78" t="s">
        <v>52</v>
      </c>
      <c r="AK2210" s="78" t="s">
        <v>20</v>
      </c>
      <c r="AL2210" s="78" t="s">
        <v>28</v>
      </c>
      <c r="AM2210" s="78" t="s">
        <v>51</v>
      </c>
      <c r="AN2210" s="78" t="s">
        <v>378</v>
      </c>
      <c r="AO2210" s="78">
        <v>1.5800521464650867</v>
      </c>
    </row>
    <row r="2211" spans="29:41">
      <c r="AC2211" s="78" t="s">
        <v>52</v>
      </c>
      <c r="AD2211" s="78" t="s">
        <v>20</v>
      </c>
      <c r="AE2211" s="78" t="s">
        <v>72</v>
      </c>
      <c r="AF2211" s="78" t="s">
        <v>51</v>
      </c>
      <c r="AG2211" s="78" t="s">
        <v>429</v>
      </c>
      <c r="AH2211" s="78">
        <v>4.1198143018144364</v>
      </c>
      <c r="AJ2211" s="78" t="s">
        <v>52</v>
      </c>
      <c r="AK2211" s="78" t="s">
        <v>20</v>
      </c>
      <c r="AL2211" s="78" t="s">
        <v>28</v>
      </c>
      <c r="AM2211" s="78" t="s">
        <v>51</v>
      </c>
      <c r="AN2211" s="78" t="s">
        <v>379</v>
      </c>
      <c r="AO2211" s="78">
        <v>1.5815366991925528</v>
      </c>
    </row>
    <row r="2212" spans="29:41">
      <c r="AC2212" s="78" t="s">
        <v>52</v>
      </c>
      <c r="AD2212" s="78" t="s">
        <v>20</v>
      </c>
      <c r="AE2212" s="78" t="s">
        <v>72</v>
      </c>
      <c r="AF2212" s="78" t="s">
        <v>51</v>
      </c>
      <c r="AG2212" s="78" t="s">
        <v>430</v>
      </c>
      <c r="AH2212" s="78">
        <v>4.1810811341021381</v>
      </c>
      <c r="AJ2212" s="78" t="s">
        <v>52</v>
      </c>
      <c r="AK2212" s="78" t="s">
        <v>20</v>
      </c>
      <c r="AL2212" s="78" t="s">
        <v>28</v>
      </c>
      <c r="AM2212" s="78" t="s">
        <v>51</v>
      </c>
      <c r="AN2212" s="78" t="s">
        <v>380</v>
      </c>
      <c r="AO2212" s="78">
        <v>1.589746512428273</v>
      </c>
    </row>
    <row r="2213" spans="29:41">
      <c r="AC2213" s="78" t="s">
        <v>52</v>
      </c>
      <c r="AD2213" s="78" t="s">
        <v>20</v>
      </c>
      <c r="AE2213" s="78" t="s">
        <v>72</v>
      </c>
      <c r="AF2213" s="78" t="s">
        <v>51</v>
      </c>
      <c r="AG2213" s="78" t="s">
        <v>431</v>
      </c>
      <c r="AH2213" s="78">
        <v>4.1169496097871532</v>
      </c>
      <c r="AJ2213" s="78" t="s">
        <v>52</v>
      </c>
      <c r="AK2213" s="78" t="s">
        <v>20</v>
      </c>
      <c r="AL2213" s="78" t="s">
        <v>28</v>
      </c>
      <c r="AM2213" s="78" t="s">
        <v>51</v>
      </c>
      <c r="AN2213" s="78" t="s">
        <v>381</v>
      </c>
      <c r="AO2213" s="78">
        <v>1.5650725019037606</v>
      </c>
    </row>
    <row r="2214" spans="29:41">
      <c r="AC2214" s="78" t="s">
        <v>52</v>
      </c>
      <c r="AD2214" s="78" t="s">
        <v>20</v>
      </c>
      <c r="AE2214" s="78" t="s">
        <v>72</v>
      </c>
      <c r="AF2214" s="78" t="s">
        <v>51</v>
      </c>
      <c r="AG2214" s="78" t="s">
        <v>432</v>
      </c>
      <c r="AH2214" s="78">
        <v>4.1783267377573141</v>
      </c>
      <c r="AJ2214" s="78" t="s">
        <v>52</v>
      </c>
      <c r="AK2214" s="78" t="s">
        <v>20</v>
      </c>
      <c r="AL2214" s="78" t="s">
        <v>28</v>
      </c>
      <c r="AM2214" s="78" t="s">
        <v>51</v>
      </c>
      <c r="AN2214" s="78" t="s">
        <v>382</v>
      </c>
      <c r="AO2214" s="78">
        <v>1.596281987416623</v>
      </c>
    </row>
    <row r="2215" spans="29:41">
      <c r="AC2215" s="78" t="s">
        <v>52</v>
      </c>
      <c r="AD2215" s="78" t="s">
        <v>20</v>
      </c>
      <c r="AE2215" s="78" t="s">
        <v>72</v>
      </c>
      <c r="AF2215" s="78" t="s">
        <v>51</v>
      </c>
      <c r="AG2215" s="78" t="s">
        <v>433</v>
      </c>
      <c r="AH2215" s="78">
        <v>3.9910062771736561</v>
      </c>
      <c r="AJ2215" s="78" t="s">
        <v>52</v>
      </c>
      <c r="AK2215" s="78" t="s">
        <v>20</v>
      </c>
      <c r="AL2215" s="78" t="s">
        <v>28</v>
      </c>
      <c r="AM2215" s="78" t="s">
        <v>51</v>
      </c>
      <c r="AN2215" s="78" t="s">
        <v>383</v>
      </c>
      <c r="AO2215" s="78">
        <v>1.644160536515243</v>
      </c>
    </row>
    <row r="2216" spans="29:41">
      <c r="AC2216" s="78" t="s">
        <v>52</v>
      </c>
      <c r="AD2216" s="78" t="s">
        <v>20</v>
      </c>
      <c r="AE2216" s="78" t="s">
        <v>72</v>
      </c>
      <c r="AF2216" s="78" t="s">
        <v>51</v>
      </c>
      <c r="AG2216" s="78" t="s">
        <v>434</v>
      </c>
      <c r="AH2216" s="78">
        <v>3.9910062771736561</v>
      </c>
      <c r="AJ2216" s="78" t="s">
        <v>52</v>
      </c>
      <c r="AK2216" s="78" t="s">
        <v>20</v>
      </c>
      <c r="AL2216" s="78" t="s">
        <v>28</v>
      </c>
      <c r="AM2216" s="78" t="s">
        <v>51</v>
      </c>
      <c r="AN2216" s="78" t="s">
        <v>384</v>
      </c>
      <c r="AO2216" s="78">
        <v>1.5791128560654608</v>
      </c>
    </row>
    <row r="2217" spans="29:41">
      <c r="AC2217" s="78" t="s">
        <v>52</v>
      </c>
      <c r="AD2217" s="78" t="s">
        <v>20</v>
      </c>
      <c r="AE2217" s="78" t="s">
        <v>72</v>
      </c>
      <c r="AF2217" s="78" t="s">
        <v>51</v>
      </c>
      <c r="AG2217" s="78" t="s">
        <v>435</v>
      </c>
      <c r="AH2217" s="78">
        <v>3.9910062771736561</v>
      </c>
      <c r="AJ2217" s="78" t="s">
        <v>52</v>
      </c>
      <c r="AK2217" s="78" t="s">
        <v>20</v>
      </c>
      <c r="AL2217" s="78" t="s">
        <v>28</v>
      </c>
      <c r="AM2217" s="78" t="s">
        <v>51</v>
      </c>
      <c r="AN2217" s="78" t="s">
        <v>385</v>
      </c>
      <c r="AO2217" s="78">
        <v>1.0362750374833278</v>
      </c>
    </row>
    <row r="2218" spans="29:41">
      <c r="AC2218" s="78" t="s">
        <v>52</v>
      </c>
      <c r="AD2218" s="78" t="s">
        <v>20</v>
      </c>
      <c r="AE2218" s="78" t="s">
        <v>72</v>
      </c>
      <c r="AF2218" s="78" t="s">
        <v>51</v>
      </c>
      <c r="AG2218" s="78" t="s">
        <v>436</v>
      </c>
      <c r="AH2218" s="78">
        <v>3.9910062771736561</v>
      </c>
      <c r="AJ2218" s="78" t="s">
        <v>52</v>
      </c>
      <c r="AK2218" s="78" t="s">
        <v>20</v>
      </c>
      <c r="AL2218" s="78" t="s">
        <v>28</v>
      </c>
      <c r="AM2218" s="78" t="s">
        <v>51</v>
      </c>
      <c r="AN2218" s="78" t="s">
        <v>386</v>
      </c>
      <c r="AO2218" s="78">
        <v>0.98732553173156778</v>
      </c>
    </row>
    <row r="2219" spans="29:41">
      <c r="AC2219" s="78" t="s">
        <v>52</v>
      </c>
      <c r="AD2219" s="78" t="s">
        <v>20</v>
      </c>
      <c r="AE2219" s="78" t="s">
        <v>72</v>
      </c>
      <c r="AF2219" s="78" t="s">
        <v>51</v>
      </c>
      <c r="AG2219" s="78" t="s">
        <v>437</v>
      </c>
      <c r="AH2219" s="78">
        <v>3.9917344474140624</v>
      </c>
      <c r="AJ2219" s="78" t="s">
        <v>52</v>
      </c>
      <c r="AK2219" s="78" t="s">
        <v>20</v>
      </c>
      <c r="AL2219" s="78" t="s">
        <v>28</v>
      </c>
      <c r="AM2219" s="78" t="s">
        <v>51</v>
      </c>
      <c r="AN2219" s="78" t="s">
        <v>387</v>
      </c>
      <c r="AO2219" s="78">
        <v>1.0315987188935813</v>
      </c>
    </row>
    <row r="2220" spans="29:41">
      <c r="AC2220" s="78" t="s">
        <v>52</v>
      </c>
      <c r="AD2220" s="78" t="s">
        <v>20</v>
      </c>
      <c r="AE2220" s="78" t="s">
        <v>72</v>
      </c>
      <c r="AF2220" s="78" t="s">
        <v>51</v>
      </c>
      <c r="AG2220" s="78" t="s">
        <v>438</v>
      </c>
      <c r="AH2220" s="78">
        <v>3.9917344474140624</v>
      </c>
      <c r="AJ2220" s="78" t="s">
        <v>52</v>
      </c>
      <c r="AK2220" s="78" t="s">
        <v>20</v>
      </c>
      <c r="AL2220" s="78" t="s">
        <v>28</v>
      </c>
      <c r="AM2220" s="78" t="s">
        <v>51</v>
      </c>
      <c r="AN2220" s="78" t="s">
        <v>388</v>
      </c>
      <c r="AO2220" s="78">
        <v>1.030631135557631</v>
      </c>
    </row>
    <row r="2221" spans="29:41">
      <c r="AC2221" s="78" t="s">
        <v>52</v>
      </c>
      <c r="AD2221" s="78" t="s">
        <v>20</v>
      </c>
      <c r="AE2221" s="78" t="s">
        <v>72</v>
      </c>
      <c r="AF2221" s="78" t="s">
        <v>51</v>
      </c>
      <c r="AG2221" s="78" t="s">
        <v>439</v>
      </c>
      <c r="AH2221" s="78">
        <v>3.9917344474140624</v>
      </c>
      <c r="AJ2221" s="78" t="s">
        <v>52</v>
      </c>
      <c r="AK2221" s="78" t="s">
        <v>20</v>
      </c>
      <c r="AL2221" s="78" t="s">
        <v>28</v>
      </c>
      <c r="AM2221" s="78" t="s">
        <v>51</v>
      </c>
      <c r="AN2221" s="78" t="s">
        <v>389</v>
      </c>
      <c r="AO2221" s="78">
        <v>1.0041648578181281</v>
      </c>
    </row>
    <row r="2222" spans="29:41">
      <c r="AC2222" s="78" t="s">
        <v>52</v>
      </c>
      <c r="AD2222" s="78" t="s">
        <v>20</v>
      </c>
      <c r="AE2222" s="78" t="s">
        <v>72</v>
      </c>
      <c r="AF2222" s="78" t="s">
        <v>51</v>
      </c>
      <c r="AG2222" s="78" t="s">
        <v>440</v>
      </c>
      <c r="AH2222" s="78">
        <v>3.9270410898719863</v>
      </c>
      <c r="AJ2222" s="78" t="s">
        <v>52</v>
      </c>
      <c r="AK2222" s="78" t="s">
        <v>20</v>
      </c>
      <c r="AL2222" s="78" t="s">
        <v>28</v>
      </c>
      <c r="AM2222" s="78" t="s">
        <v>51</v>
      </c>
      <c r="AN2222" s="78" t="s">
        <v>418</v>
      </c>
      <c r="AO2222" s="78">
        <v>0.99435653710991811</v>
      </c>
    </row>
    <row r="2223" spans="29:41">
      <c r="AC2223" s="78" t="s">
        <v>52</v>
      </c>
      <c r="AD2223" s="78" t="s">
        <v>20</v>
      </c>
      <c r="AE2223" s="78" t="s">
        <v>72</v>
      </c>
      <c r="AF2223" s="78" t="s">
        <v>51</v>
      </c>
      <c r="AG2223" s="78" t="s">
        <v>441</v>
      </c>
      <c r="AH2223" s="78">
        <v>3.9917344474140624</v>
      </c>
      <c r="AJ2223" s="78" t="s">
        <v>52</v>
      </c>
      <c r="AK2223" s="78" t="s">
        <v>20</v>
      </c>
      <c r="AL2223" s="78" t="s">
        <v>28</v>
      </c>
      <c r="AM2223" s="78" t="s">
        <v>51</v>
      </c>
      <c r="AN2223" s="78" t="s">
        <v>390</v>
      </c>
      <c r="AO2223" s="78">
        <v>0.96875293457531797</v>
      </c>
    </row>
    <row r="2224" spans="29:41">
      <c r="AC2224" s="78" t="s">
        <v>52</v>
      </c>
      <c r="AD2224" s="78" t="s">
        <v>20</v>
      </c>
      <c r="AE2224" s="78" t="s">
        <v>72</v>
      </c>
      <c r="AF2224" s="78" t="s">
        <v>51</v>
      </c>
      <c r="AG2224" s="78" t="s">
        <v>442</v>
      </c>
      <c r="AH2224" s="78">
        <v>3.9270410898719863</v>
      </c>
      <c r="AJ2224" s="78" t="s">
        <v>52</v>
      </c>
      <c r="AK2224" s="78" t="s">
        <v>20</v>
      </c>
      <c r="AL2224" s="78" t="s">
        <v>28</v>
      </c>
      <c r="AM2224" s="78" t="s">
        <v>51</v>
      </c>
      <c r="AN2224" s="78" t="s">
        <v>419</v>
      </c>
      <c r="AO2224" s="78">
        <v>0.88741499827108794</v>
      </c>
    </row>
    <row r="2225" spans="29:41">
      <c r="AC2225" s="78" t="s">
        <v>52</v>
      </c>
      <c r="AD2225" s="78" t="s">
        <v>20</v>
      </c>
      <c r="AE2225" s="78" t="s">
        <v>72</v>
      </c>
      <c r="AF2225" s="78" t="s">
        <v>51</v>
      </c>
      <c r="AG2225" s="78" t="s">
        <v>443</v>
      </c>
      <c r="AH2225" s="78">
        <v>3.9270410898719863</v>
      </c>
      <c r="AJ2225" s="78" t="s">
        <v>52</v>
      </c>
      <c r="AK2225" s="78" t="s">
        <v>20</v>
      </c>
      <c r="AL2225" s="78" t="s">
        <v>28</v>
      </c>
      <c r="AM2225" s="78" t="s">
        <v>51</v>
      </c>
      <c r="AN2225" s="78" t="s">
        <v>391</v>
      </c>
      <c r="AO2225" s="78">
        <v>0.96685933486406161</v>
      </c>
    </row>
    <row r="2226" spans="29:41">
      <c r="AC2226" s="78" t="s">
        <v>52</v>
      </c>
      <c r="AD2226" s="78" t="s">
        <v>20</v>
      </c>
      <c r="AE2226" s="78" t="s">
        <v>72</v>
      </c>
      <c r="AF2226" s="78" t="s">
        <v>51</v>
      </c>
      <c r="AG2226" s="78" t="s">
        <v>444</v>
      </c>
      <c r="AH2226" s="78">
        <v>4.053330006698979</v>
      </c>
      <c r="AJ2226" s="78" t="s">
        <v>52</v>
      </c>
      <c r="AK2226" s="78" t="s">
        <v>20</v>
      </c>
      <c r="AL2226" s="78" t="s">
        <v>28</v>
      </c>
      <c r="AM2226" s="78" t="s">
        <v>51</v>
      </c>
      <c r="AN2226" s="78" t="s">
        <v>392</v>
      </c>
      <c r="AO2226" s="78">
        <v>0.95231123894581193</v>
      </c>
    </row>
    <row r="2227" spans="29:41">
      <c r="AC2227" s="78" t="s">
        <v>52</v>
      </c>
      <c r="AD2227" s="78" t="s">
        <v>20</v>
      </c>
      <c r="AE2227" s="78" t="s">
        <v>72</v>
      </c>
      <c r="AF2227" s="78" t="s">
        <v>51</v>
      </c>
      <c r="AG2227" s="78" t="s">
        <v>445</v>
      </c>
      <c r="AH2227" s="78">
        <v>3.9910062771736561</v>
      </c>
      <c r="AJ2227" s="78" t="s">
        <v>52</v>
      </c>
      <c r="AK2227" s="78" t="s">
        <v>20</v>
      </c>
      <c r="AL2227" s="78" t="s">
        <v>28</v>
      </c>
      <c r="AM2227" s="78" t="s">
        <v>51</v>
      </c>
      <c r="AN2227" s="78" t="s">
        <v>393</v>
      </c>
      <c r="AO2227" s="78">
        <v>1.5807709883886598</v>
      </c>
    </row>
    <row r="2228" spans="29:41">
      <c r="AC2228" s="78" t="s">
        <v>52</v>
      </c>
      <c r="AD2228" s="78" t="s">
        <v>20</v>
      </c>
      <c r="AE2228" s="78" t="s">
        <v>72</v>
      </c>
      <c r="AF2228" s="78" t="s">
        <v>51</v>
      </c>
      <c r="AG2228" s="78" t="s">
        <v>446</v>
      </c>
      <c r="AH2228" s="78">
        <v>4.055518341423701</v>
      </c>
      <c r="AJ2228" s="78" t="s">
        <v>52</v>
      </c>
      <c r="AK2228" s="78" t="s">
        <v>20</v>
      </c>
      <c r="AL2228" s="78" t="s">
        <v>28</v>
      </c>
      <c r="AM2228" s="78" t="s">
        <v>51</v>
      </c>
      <c r="AN2228" s="78" t="s">
        <v>394</v>
      </c>
      <c r="AO2228" s="78">
        <v>1.5661281905016897</v>
      </c>
    </row>
    <row r="2229" spans="29:41">
      <c r="AC2229" s="78" t="s">
        <v>52</v>
      </c>
      <c r="AD2229" s="78" t="s">
        <v>20</v>
      </c>
      <c r="AE2229" s="78" t="s">
        <v>72</v>
      </c>
      <c r="AF2229" s="78" t="s">
        <v>51</v>
      </c>
      <c r="AG2229" s="78" t="s">
        <v>447</v>
      </c>
      <c r="AH2229" s="78">
        <v>4.055518341423701</v>
      </c>
      <c r="AJ2229" s="78" t="s">
        <v>52</v>
      </c>
      <c r="AK2229" s="78" t="s">
        <v>20</v>
      </c>
      <c r="AL2229" s="78" t="s">
        <v>28</v>
      </c>
      <c r="AM2229" s="78" t="s">
        <v>51</v>
      </c>
      <c r="AN2229" s="78" t="s">
        <v>395</v>
      </c>
      <c r="AO2229" s="78">
        <v>1.6122810824928797</v>
      </c>
    </row>
    <row r="2230" spans="29:41">
      <c r="AC2230" s="78" t="s">
        <v>52</v>
      </c>
      <c r="AD2230" s="78" t="s">
        <v>20</v>
      </c>
      <c r="AE2230" s="78" t="s">
        <v>72</v>
      </c>
      <c r="AF2230" s="78" t="s">
        <v>51</v>
      </c>
      <c r="AG2230" s="78" t="s">
        <v>448</v>
      </c>
      <c r="AH2230" s="78">
        <v>3.9270410898719863</v>
      </c>
      <c r="AJ2230" s="78" t="s">
        <v>52</v>
      </c>
      <c r="AK2230" s="78" t="s">
        <v>20</v>
      </c>
      <c r="AL2230" s="78" t="s">
        <v>28</v>
      </c>
      <c r="AM2230" s="78" t="s">
        <v>51</v>
      </c>
      <c r="AN2230" s="78" t="s">
        <v>396</v>
      </c>
      <c r="AO2230" s="78">
        <v>1.5987907616417982</v>
      </c>
    </row>
    <row r="2231" spans="29:41">
      <c r="AC2231" s="78" t="s">
        <v>52</v>
      </c>
      <c r="AD2231" s="78" t="s">
        <v>20</v>
      </c>
      <c r="AE2231" s="78" t="s">
        <v>72</v>
      </c>
      <c r="AF2231" s="78" t="s">
        <v>51</v>
      </c>
      <c r="AG2231" s="78" t="s">
        <v>449</v>
      </c>
      <c r="AH2231" s="78">
        <v>3.8653304183638437</v>
      </c>
      <c r="AJ2231" s="78" t="s">
        <v>52</v>
      </c>
      <c r="AK2231" s="78" t="s">
        <v>20</v>
      </c>
      <c r="AL2231" s="78" t="s">
        <v>28</v>
      </c>
      <c r="AM2231" s="78" t="s">
        <v>51</v>
      </c>
      <c r="AN2231" s="78" t="s">
        <v>397</v>
      </c>
      <c r="AO2231" s="78">
        <v>1.5551716021545769</v>
      </c>
    </row>
    <row r="2232" spans="29:41">
      <c r="AC2232" s="78" t="s">
        <v>52</v>
      </c>
      <c r="AD2232" s="78" t="s">
        <v>20</v>
      </c>
      <c r="AE2232" s="78" t="s">
        <v>72</v>
      </c>
      <c r="AF2232" s="78" t="s">
        <v>51</v>
      </c>
      <c r="AG2232" s="78" t="s">
        <v>450</v>
      </c>
      <c r="AH2232" s="78">
        <v>3.8653304183638437</v>
      </c>
      <c r="AJ2232" s="78" t="s">
        <v>52</v>
      </c>
      <c r="AK2232" s="78" t="s">
        <v>20</v>
      </c>
      <c r="AL2232" s="78" t="s">
        <v>28</v>
      </c>
      <c r="AM2232" s="78" t="s">
        <v>51</v>
      </c>
      <c r="AN2232" s="78" t="s">
        <v>420</v>
      </c>
      <c r="AO2232" s="78">
        <v>1.5551716021545769</v>
      </c>
    </row>
    <row r="2233" spans="29:41">
      <c r="AC2233" s="78" t="s">
        <v>52</v>
      </c>
      <c r="AD2233" s="78" t="s">
        <v>20</v>
      </c>
      <c r="AE2233" s="78" t="s">
        <v>72</v>
      </c>
      <c r="AF2233" s="78" t="s">
        <v>51</v>
      </c>
      <c r="AG2233" s="78" t="s">
        <v>451</v>
      </c>
      <c r="AH2233" s="78">
        <v>3.9270410898719863</v>
      </c>
      <c r="AJ2233" s="78" t="s">
        <v>52</v>
      </c>
      <c r="AK2233" s="78" t="s">
        <v>20</v>
      </c>
      <c r="AL2233" s="78" t="s">
        <v>28</v>
      </c>
      <c r="AM2233" s="78" t="s">
        <v>51</v>
      </c>
      <c r="AN2233" s="78" t="s">
        <v>398</v>
      </c>
      <c r="AO2233" s="78">
        <v>1.5079917675069707</v>
      </c>
    </row>
    <row r="2234" spans="29:41">
      <c r="AC2234" s="78" t="s">
        <v>52</v>
      </c>
      <c r="AD2234" s="78" t="s">
        <v>20</v>
      </c>
      <c r="AE2234" s="78" t="s">
        <v>72</v>
      </c>
      <c r="AF2234" s="78" t="s">
        <v>51</v>
      </c>
      <c r="AG2234" s="78" t="s">
        <v>452</v>
      </c>
      <c r="AH2234" s="78">
        <v>3.9270410898719863</v>
      </c>
      <c r="AJ2234" s="78" t="s">
        <v>52</v>
      </c>
      <c r="AK2234" s="78" t="s">
        <v>20</v>
      </c>
      <c r="AL2234" s="78" t="s">
        <v>28</v>
      </c>
      <c r="AM2234" s="78" t="s">
        <v>51</v>
      </c>
      <c r="AN2234" s="78" t="s">
        <v>399</v>
      </c>
      <c r="AO2234" s="78">
        <v>1.5033730706469808</v>
      </c>
    </row>
    <row r="2235" spans="29:41">
      <c r="AC2235" s="78" t="s">
        <v>52</v>
      </c>
      <c r="AD2235" s="78" t="s">
        <v>20</v>
      </c>
      <c r="AE2235" s="78" t="s">
        <v>72</v>
      </c>
      <c r="AF2235" s="78" t="s">
        <v>51</v>
      </c>
      <c r="AG2235" s="78" t="s">
        <v>453</v>
      </c>
      <c r="AH2235" s="78">
        <v>3.9283386479583648</v>
      </c>
      <c r="AJ2235" s="78" t="s">
        <v>52</v>
      </c>
      <c r="AK2235" s="78" t="s">
        <v>20</v>
      </c>
      <c r="AL2235" s="78" t="s">
        <v>28</v>
      </c>
      <c r="AM2235" s="78" t="s">
        <v>51</v>
      </c>
      <c r="AN2235" s="78" t="s">
        <v>400</v>
      </c>
      <c r="AO2235" s="78">
        <v>1.539051955464201</v>
      </c>
    </row>
    <row r="2236" spans="29:41">
      <c r="AC2236" s="78" t="s">
        <v>52</v>
      </c>
      <c r="AD2236" s="78" t="s">
        <v>20</v>
      </c>
      <c r="AE2236" s="78" t="s">
        <v>72</v>
      </c>
      <c r="AF2236" s="78" t="s">
        <v>51</v>
      </c>
      <c r="AG2236" s="78" t="s">
        <v>454</v>
      </c>
      <c r="AH2236" s="78">
        <v>3.8634641896305983</v>
      </c>
      <c r="AJ2236" s="78" t="s">
        <v>52</v>
      </c>
      <c r="AK2236" s="78" t="s">
        <v>20</v>
      </c>
      <c r="AL2236" s="78" t="s">
        <v>28</v>
      </c>
      <c r="AM2236" s="78" t="s">
        <v>51</v>
      </c>
      <c r="AN2236" s="78" t="s">
        <v>401</v>
      </c>
      <c r="AO2236" s="78">
        <v>1.5364075341889092</v>
      </c>
    </row>
    <row r="2237" spans="29:41">
      <c r="AC2237" s="78" t="s">
        <v>52</v>
      </c>
      <c r="AD2237" s="78" t="s">
        <v>20</v>
      </c>
      <c r="AE2237" s="78" t="s">
        <v>72</v>
      </c>
      <c r="AF2237" s="78" t="s">
        <v>51</v>
      </c>
      <c r="AG2237" s="78" t="s">
        <v>455</v>
      </c>
      <c r="AH2237" s="78">
        <v>3.7396570277782288</v>
      </c>
      <c r="AJ2237" s="78" t="s">
        <v>52</v>
      </c>
      <c r="AK2237" s="78" t="s">
        <v>20</v>
      </c>
      <c r="AL2237" s="78" t="s">
        <v>28</v>
      </c>
      <c r="AM2237" s="78" t="s">
        <v>51</v>
      </c>
      <c r="AN2237" s="78" t="s">
        <v>402</v>
      </c>
      <c r="AO2237" s="78">
        <v>1.4883225483654561</v>
      </c>
    </row>
    <row r="2238" spans="29:41">
      <c r="AC2238" s="78" t="s">
        <v>52</v>
      </c>
      <c r="AD2238" s="78" t="s">
        <v>20</v>
      </c>
      <c r="AE2238" s="78" t="s">
        <v>72</v>
      </c>
      <c r="AF2238" s="78" t="s">
        <v>51</v>
      </c>
      <c r="AG2238" s="78" t="s">
        <v>456</v>
      </c>
      <c r="AH2238" s="78">
        <v>3.8634641896305983</v>
      </c>
      <c r="AJ2238" s="78" t="s">
        <v>52</v>
      </c>
      <c r="AK2238" s="78" t="s">
        <v>20</v>
      </c>
      <c r="AL2238" s="78" t="s">
        <v>28</v>
      </c>
      <c r="AM2238" s="78" t="s">
        <v>51</v>
      </c>
      <c r="AN2238" s="78" t="s">
        <v>403</v>
      </c>
      <c r="AO2238" s="78">
        <v>1.4727989852412562</v>
      </c>
    </row>
    <row r="2239" spans="29:41">
      <c r="AC2239" s="78" t="s">
        <v>52</v>
      </c>
      <c r="AD2239" s="78" t="s">
        <v>20</v>
      </c>
      <c r="AE2239" s="78" t="s">
        <v>72</v>
      </c>
      <c r="AF2239" s="78" t="s">
        <v>51</v>
      </c>
      <c r="AG2239" s="78" t="s">
        <v>457</v>
      </c>
      <c r="AH2239" s="78">
        <v>3.8634641896305983</v>
      </c>
      <c r="AJ2239" s="78" t="s">
        <v>52</v>
      </c>
      <c r="AK2239" s="78" t="s">
        <v>20</v>
      </c>
      <c r="AL2239" s="78" t="s">
        <v>28</v>
      </c>
      <c r="AM2239" s="78" t="s">
        <v>51</v>
      </c>
      <c r="AN2239" s="78" t="s">
        <v>404</v>
      </c>
      <c r="AO2239" s="78">
        <v>1.4772515825602461</v>
      </c>
    </row>
    <row r="2240" spans="29:41">
      <c r="AC2240" s="78" t="s">
        <v>52</v>
      </c>
      <c r="AD2240" s="78" t="s">
        <v>20</v>
      </c>
      <c r="AE2240" s="78" t="s">
        <v>72</v>
      </c>
      <c r="AF2240" s="78" t="s">
        <v>51</v>
      </c>
      <c r="AG2240" s="78" t="s">
        <v>458</v>
      </c>
      <c r="AH2240" s="78">
        <v>3.9283386479583648</v>
      </c>
      <c r="AJ2240" s="78" t="s">
        <v>52</v>
      </c>
      <c r="AK2240" s="78" t="s">
        <v>20</v>
      </c>
      <c r="AL2240" s="78" t="s">
        <v>28</v>
      </c>
      <c r="AM2240" s="78" t="s">
        <v>51</v>
      </c>
      <c r="AN2240" s="78" t="s">
        <v>405</v>
      </c>
      <c r="AO2240" s="78">
        <v>1.5297222317561108</v>
      </c>
    </row>
    <row r="2241" spans="29:41">
      <c r="AC2241" s="78" t="s">
        <v>52</v>
      </c>
      <c r="AD2241" s="78" t="s">
        <v>20</v>
      </c>
      <c r="AE2241" s="78" t="s">
        <v>72</v>
      </c>
      <c r="AF2241" s="78" t="s">
        <v>51</v>
      </c>
      <c r="AG2241" s="78" t="s">
        <v>459</v>
      </c>
      <c r="AH2241" s="78">
        <v>3.9283386479583648</v>
      </c>
      <c r="AJ2241" s="78" t="s">
        <v>52</v>
      </c>
      <c r="AK2241" s="78" t="s">
        <v>20</v>
      </c>
      <c r="AL2241" s="78" t="s">
        <v>28</v>
      </c>
      <c r="AM2241" s="78" t="s">
        <v>51</v>
      </c>
      <c r="AN2241" s="78" t="s">
        <v>406</v>
      </c>
      <c r="AO2241" s="78">
        <v>1.5720304848722604</v>
      </c>
    </row>
    <row r="2242" spans="29:41">
      <c r="AC2242" s="78" t="s">
        <v>52</v>
      </c>
      <c r="AD2242" s="78" t="s">
        <v>20</v>
      </c>
      <c r="AE2242" s="78" t="s">
        <v>72</v>
      </c>
      <c r="AF2242" s="78" t="s">
        <v>51</v>
      </c>
      <c r="AG2242" s="78" t="s">
        <v>460</v>
      </c>
      <c r="AH2242" s="78">
        <v>3.8653304183638437</v>
      </c>
      <c r="AJ2242" s="78" t="s">
        <v>52</v>
      </c>
      <c r="AK2242" s="78" t="s">
        <v>20</v>
      </c>
      <c r="AL2242" s="78" t="s">
        <v>28</v>
      </c>
      <c r="AM2242" s="78" t="s">
        <v>51</v>
      </c>
      <c r="AN2242" s="78" t="s">
        <v>407</v>
      </c>
      <c r="AO2242" s="78">
        <v>1.5312030152330207</v>
      </c>
    </row>
    <row r="2243" spans="29:41">
      <c r="AC2243" s="78" t="s">
        <v>52</v>
      </c>
      <c r="AD2243" s="78" t="s">
        <v>20</v>
      </c>
      <c r="AE2243" s="78" t="s">
        <v>72</v>
      </c>
      <c r="AF2243" s="78" t="s">
        <v>51</v>
      </c>
      <c r="AG2243" s="78" t="s">
        <v>461</v>
      </c>
      <c r="AH2243" s="78">
        <v>3.8653304183638437</v>
      </c>
      <c r="AJ2243" s="78" t="s">
        <v>52</v>
      </c>
      <c r="AK2243" s="78" t="s">
        <v>20</v>
      </c>
      <c r="AL2243" s="78" t="s">
        <v>28</v>
      </c>
      <c r="AM2243" s="78" t="s">
        <v>51</v>
      </c>
      <c r="AN2243" s="78" t="s">
        <v>408</v>
      </c>
      <c r="AO2243" s="78">
        <v>1.5047771857319008</v>
      </c>
    </row>
    <row r="2244" spans="29:41">
      <c r="AC2244" s="78" t="s">
        <v>52</v>
      </c>
      <c r="AD2244" s="78" t="s">
        <v>20</v>
      </c>
      <c r="AE2244" s="78" t="s">
        <v>72</v>
      </c>
      <c r="AF2244" s="78" t="s">
        <v>51</v>
      </c>
      <c r="AG2244" s="78" t="s">
        <v>462</v>
      </c>
      <c r="AH2244" s="78">
        <v>3.8663304183638441</v>
      </c>
      <c r="AJ2244" s="78" t="s">
        <v>52</v>
      </c>
      <c r="AK2244" s="78" t="s">
        <v>20</v>
      </c>
      <c r="AL2244" s="78" t="s">
        <v>28</v>
      </c>
      <c r="AM2244" s="78" t="s">
        <v>51</v>
      </c>
      <c r="AN2244" s="78" t="s">
        <v>409</v>
      </c>
      <c r="AO2244" s="78">
        <v>1.5195239820839042</v>
      </c>
    </row>
    <row r="2245" spans="29:41">
      <c r="AC2245" s="78" t="s">
        <v>52</v>
      </c>
      <c r="AD2245" s="78" t="s">
        <v>20</v>
      </c>
      <c r="AE2245" s="78" t="s">
        <v>72</v>
      </c>
      <c r="AF2245" s="78" t="s">
        <v>51</v>
      </c>
      <c r="AG2245" s="78" t="s">
        <v>463</v>
      </c>
      <c r="AH2245" s="78">
        <v>3.8663304183638441</v>
      </c>
      <c r="AJ2245" s="78" t="s">
        <v>52</v>
      </c>
      <c r="AK2245" s="78" t="s">
        <v>20</v>
      </c>
      <c r="AL2245" s="78" t="s">
        <v>28</v>
      </c>
      <c r="AM2245" s="78" t="s">
        <v>51</v>
      </c>
      <c r="AN2245" s="78" t="s">
        <v>410</v>
      </c>
      <c r="AO2245" s="78">
        <v>1.5702013768321681</v>
      </c>
    </row>
    <row r="2246" spans="29:41">
      <c r="AC2246" s="78" t="s">
        <v>52</v>
      </c>
      <c r="AD2246" s="78" t="s">
        <v>20</v>
      </c>
      <c r="AE2246" s="78" t="s">
        <v>72</v>
      </c>
      <c r="AF2246" s="78" t="s">
        <v>51</v>
      </c>
      <c r="AG2246" s="78" t="s">
        <v>464</v>
      </c>
      <c r="AH2246" s="78">
        <v>3.8663304183638441</v>
      </c>
      <c r="AJ2246" s="78" t="s">
        <v>52</v>
      </c>
      <c r="AK2246" s="78" t="s">
        <v>20</v>
      </c>
      <c r="AL2246" s="78" t="s">
        <v>28</v>
      </c>
      <c r="AM2246" s="78" t="s">
        <v>51</v>
      </c>
      <c r="AN2246" s="78" t="s">
        <v>411</v>
      </c>
      <c r="AO2246" s="78">
        <v>1.5053152246348664</v>
      </c>
    </row>
    <row r="2247" spans="29:41">
      <c r="AC2247" s="78" t="s">
        <v>52</v>
      </c>
      <c r="AD2247" s="78" t="s">
        <v>20</v>
      </c>
      <c r="AE2247" s="78" t="s">
        <v>72</v>
      </c>
      <c r="AF2247" s="78" t="s">
        <v>51</v>
      </c>
      <c r="AG2247" s="78" t="s">
        <v>465</v>
      </c>
      <c r="AH2247" s="78">
        <v>3.9280410898719866</v>
      </c>
      <c r="AJ2247" s="78" t="s">
        <v>52</v>
      </c>
      <c r="AK2247" s="78" t="s">
        <v>20</v>
      </c>
      <c r="AL2247" s="78" t="s">
        <v>28</v>
      </c>
      <c r="AM2247" s="78" t="s">
        <v>51</v>
      </c>
      <c r="AN2247" s="78" t="s">
        <v>412</v>
      </c>
      <c r="AO2247" s="78">
        <v>1.5124354533971966</v>
      </c>
    </row>
    <row r="2248" spans="29:41">
      <c r="AC2248" s="78" t="s">
        <v>52</v>
      </c>
      <c r="AD2248" s="78" t="s">
        <v>20</v>
      </c>
      <c r="AE2248" s="78" t="s">
        <v>72</v>
      </c>
      <c r="AF2248" s="78" t="s">
        <v>51</v>
      </c>
      <c r="AG2248" s="78" t="s">
        <v>466</v>
      </c>
      <c r="AH2248" s="78">
        <v>3.9280410898719866</v>
      </c>
      <c r="AJ2248" s="78" t="s">
        <v>52</v>
      </c>
      <c r="AK2248" s="78" t="s">
        <v>20</v>
      </c>
      <c r="AL2248" s="78" t="s">
        <v>28</v>
      </c>
      <c r="AM2248" s="78" t="s">
        <v>51</v>
      </c>
      <c r="AN2248" s="78" t="s">
        <v>413</v>
      </c>
      <c r="AO2248" s="78">
        <v>1.4957996831929166</v>
      </c>
    </row>
    <row r="2249" spans="29:41">
      <c r="AC2249" s="78" t="s">
        <v>52</v>
      </c>
      <c r="AD2249" s="78" t="s">
        <v>20</v>
      </c>
      <c r="AE2249" s="78" t="s">
        <v>72</v>
      </c>
      <c r="AF2249" s="78" t="s">
        <v>51</v>
      </c>
      <c r="AG2249" s="78" t="s">
        <v>467</v>
      </c>
      <c r="AH2249" s="78">
        <v>3.9280410898719866</v>
      </c>
      <c r="AJ2249" s="78" t="s">
        <v>52</v>
      </c>
      <c r="AK2249" s="78" t="s">
        <v>20</v>
      </c>
      <c r="AL2249" s="78" t="s">
        <v>28</v>
      </c>
      <c r="AM2249" s="78" t="s">
        <v>51</v>
      </c>
      <c r="AN2249" s="78" t="s">
        <v>414</v>
      </c>
      <c r="AO2249" s="78">
        <v>1.5359647010683777</v>
      </c>
    </row>
    <row r="2250" spans="29:41">
      <c r="AC2250" s="78" t="s">
        <v>52</v>
      </c>
      <c r="AD2250" s="78" t="s">
        <v>20</v>
      </c>
      <c r="AE2250" s="78" t="s">
        <v>72</v>
      </c>
      <c r="AF2250" s="78" t="s">
        <v>51</v>
      </c>
      <c r="AG2250" s="78" t="s">
        <v>468</v>
      </c>
      <c r="AH2250" s="78">
        <v>3.9280410898719866</v>
      </c>
      <c r="AJ2250" s="78" t="s">
        <v>52</v>
      </c>
      <c r="AK2250" s="78" t="s">
        <v>20</v>
      </c>
      <c r="AL2250" s="78" t="s">
        <v>28</v>
      </c>
      <c r="AM2250" s="78" t="s">
        <v>51</v>
      </c>
      <c r="AN2250" s="78" t="s">
        <v>415</v>
      </c>
      <c r="AO2250" s="78">
        <v>1.5206064257395766</v>
      </c>
    </row>
    <row r="2251" spans="29:41">
      <c r="AC2251" s="78" t="s">
        <v>52</v>
      </c>
      <c r="AD2251" s="78" t="s">
        <v>20</v>
      </c>
      <c r="AE2251" s="78" t="s">
        <v>72</v>
      </c>
      <c r="AF2251" s="78" t="s">
        <v>51</v>
      </c>
      <c r="AG2251" s="78" t="s">
        <v>469</v>
      </c>
      <c r="AH2251" s="78">
        <v>3.9927344474140627</v>
      </c>
      <c r="AJ2251" s="78" t="s">
        <v>52</v>
      </c>
      <c r="AK2251" s="78" t="s">
        <v>20</v>
      </c>
      <c r="AL2251" s="78" t="s">
        <v>28</v>
      </c>
      <c r="AM2251" s="78" t="s">
        <v>51</v>
      </c>
      <c r="AN2251" s="78" t="s">
        <v>429</v>
      </c>
      <c r="AO2251" s="78">
        <v>1.5172208726544567</v>
      </c>
    </row>
    <row r="2252" spans="29:41">
      <c r="AC2252" s="78" t="s">
        <v>52</v>
      </c>
      <c r="AD2252" s="78" t="s">
        <v>20</v>
      </c>
      <c r="AE2252" s="78" t="s">
        <v>72</v>
      </c>
      <c r="AF2252" s="78" t="s">
        <v>51</v>
      </c>
      <c r="AG2252" s="78" t="s">
        <v>470</v>
      </c>
      <c r="AH2252" s="78">
        <v>3.8663304183638441</v>
      </c>
      <c r="AJ2252" s="78" t="s">
        <v>52</v>
      </c>
      <c r="AK2252" s="78" t="s">
        <v>20</v>
      </c>
      <c r="AL2252" s="78" t="s">
        <v>28</v>
      </c>
      <c r="AM2252" s="78" t="s">
        <v>51</v>
      </c>
      <c r="AN2252" s="78" t="s">
        <v>430</v>
      </c>
      <c r="AO2252" s="78">
        <v>1.5898275082346682</v>
      </c>
    </row>
    <row r="2253" spans="29:41">
      <c r="AC2253" s="78" t="s">
        <v>52</v>
      </c>
      <c r="AD2253" s="78" t="s">
        <v>20</v>
      </c>
      <c r="AE2253" s="78" t="s">
        <v>72</v>
      </c>
      <c r="AF2253" s="78" t="s">
        <v>51</v>
      </c>
      <c r="AG2253" s="78" t="s">
        <v>471</v>
      </c>
      <c r="AH2253" s="78">
        <v>3.9293386479583652</v>
      </c>
      <c r="AJ2253" s="78" t="s">
        <v>52</v>
      </c>
      <c r="AK2253" s="78" t="s">
        <v>20</v>
      </c>
      <c r="AL2253" s="78" t="s">
        <v>28</v>
      </c>
      <c r="AM2253" s="78" t="s">
        <v>51</v>
      </c>
      <c r="AN2253" s="78" t="s">
        <v>431</v>
      </c>
      <c r="AO2253" s="78">
        <v>1.5107987925935131</v>
      </c>
    </row>
    <row r="2254" spans="29:41">
      <c r="AC2254" s="78" t="s">
        <v>52</v>
      </c>
      <c r="AD2254" s="78" t="s">
        <v>20</v>
      </c>
      <c r="AE2254" s="78" t="s">
        <v>72</v>
      </c>
      <c r="AF2254" s="78" t="s">
        <v>51</v>
      </c>
      <c r="AG2254" s="78" t="s">
        <v>472</v>
      </c>
      <c r="AH2254" s="78">
        <v>3.8644641896305987</v>
      </c>
      <c r="AJ2254" s="78" t="s">
        <v>52</v>
      </c>
      <c r="AK2254" s="78" t="s">
        <v>20</v>
      </c>
      <c r="AL2254" s="78" t="s">
        <v>28</v>
      </c>
      <c r="AM2254" s="78" t="s">
        <v>51</v>
      </c>
      <c r="AN2254" s="78" t="s">
        <v>432</v>
      </c>
      <c r="AO2254" s="78">
        <v>1.5831653171002547</v>
      </c>
    </row>
    <row r="2255" spans="29:41">
      <c r="AC2255" s="78" t="s">
        <v>52</v>
      </c>
      <c r="AD2255" s="78" t="s">
        <v>20</v>
      </c>
      <c r="AE2255" s="78" t="s">
        <v>72</v>
      </c>
      <c r="AF2255" s="78" t="s">
        <v>51</v>
      </c>
      <c r="AG2255" s="78" t="s">
        <v>473</v>
      </c>
      <c r="AH2255" s="78">
        <v>3.8663304183638441</v>
      </c>
      <c r="AJ2255" s="78" t="s">
        <v>52</v>
      </c>
      <c r="AK2255" s="78" t="s">
        <v>20</v>
      </c>
      <c r="AL2255" s="78" t="s">
        <v>28</v>
      </c>
      <c r="AM2255" s="78" t="s">
        <v>51</v>
      </c>
      <c r="AN2255" s="78" t="s">
        <v>433</v>
      </c>
      <c r="AO2255" s="78">
        <v>1.4898988971579759</v>
      </c>
    </row>
    <row r="2256" spans="29:41">
      <c r="AC2256" s="78" t="s">
        <v>52</v>
      </c>
      <c r="AD2256" s="78" t="s">
        <v>20</v>
      </c>
      <c r="AE2256" s="78" t="s">
        <v>72</v>
      </c>
      <c r="AF2256" s="78" t="s">
        <v>51</v>
      </c>
      <c r="AG2256" s="78" t="s">
        <v>474</v>
      </c>
      <c r="AH2256" s="78">
        <v>3.8663304183638441</v>
      </c>
      <c r="AJ2256" s="78" t="s">
        <v>52</v>
      </c>
      <c r="AK2256" s="78" t="s">
        <v>20</v>
      </c>
      <c r="AL2256" s="78" t="s">
        <v>28</v>
      </c>
      <c r="AM2256" s="78" t="s">
        <v>51</v>
      </c>
      <c r="AN2256" s="78" t="s">
        <v>434</v>
      </c>
      <c r="AO2256" s="78">
        <v>1.4820989414669159</v>
      </c>
    </row>
    <row r="2257" spans="29:41">
      <c r="AC2257" s="78" t="s">
        <v>52</v>
      </c>
      <c r="AD2257" s="78" t="s">
        <v>20</v>
      </c>
      <c r="AE2257" s="78" t="s">
        <v>72</v>
      </c>
      <c r="AF2257" s="78" t="s">
        <v>51</v>
      </c>
      <c r="AG2257" s="78" t="s">
        <v>475</v>
      </c>
      <c r="AH2257" s="78">
        <v>3.9293386479583652</v>
      </c>
      <c r="AJ2257" s="78" t="s">
        <v>52</v>
      </c>
      <c r="AK2257" s="78" t="s">
        <v>20</v>
      </c>
      <c r="AL2257" s="78" t="s">
        <v>28</v>
      </c>
      <c r="AM2257" s="78" t="s">
        <v>51</v>
      </c>
      <c r="AN2257" s="78" t="s">
        <v>435</v>
      </c>
      <c r="AO2257" s="78">
        <v>1.482605157180926</v>
      </c>
    </row>
    <row r="2258" spans="29:41">
      <c r="AC2258" s="78" t="s">
        <v>52</v>
      </c>
      <c r="AD2258" s="78" t="s">
        <v>20</v>
      </c>
      <c r="AE2258" s="78" t="s">
        <v>72</v>
      </c>
      <c r="AF2258" s="78" t="s">
        <v>51</v>
      </c>
      <c r="AG2258" s="78" t="s">
        <v>476</v>
      </c>
      <c r="AH2258" s="78">
        <v>3.9293386479583652</v>
      </c>
      <c r="AJ2258" s="78" t="s">
        <v>52</v>
      </c>
      <c r="AK2258" s="78" t="s">
        <v>20</v>
      </c>
      <c r="AL2258" s="78" t="s">
        <v>28</v>
      </c>
      <c r="AM2258" s="78" t="s">
        <v>51</v>
      </c>
      <c r="AN2258" s="78" t="s">
        <v>436</v>
      </c>
      <c r="AO2258" s="78">
        <v>1.490498504534616</v>
      </c>
    </row>
    <row r="2259" spans="29:41">
      <c r="AC2259" s="78" t="s">
        <v>52</v>
      </c>
      <c r="AD2259" s="78" t="s">
        <v>20</v>
      </c>
      <c r="AE2259" s="78" t="s">
        <v>72</v>
      </c>
      <c r="AF2259" s="78" t="s">
        <v>51</v>
      </c>
      <c r="AG2259" s="78" t="s">
        <v>477</v>
      </c>
      <c r="AH2259" s="78">
        <v>3.9280410898719866</v>
      </c>
      <c r="AJ2259" s="78" t="s">
        <v>52</v>
      </c>
      <c r="AK2259" s="78" t="s">
        <v>20</v>
      </c>
      <c r="AL2259" s="78" t="s">
        <v>28</v>
      </c>
      <c r="AM2259" s="78" t="s">
        <v>51</v>
      </c>
      <c r="AN2259" s="78" t="s">
        <v>437</v>
      </c>
      <c r="AO2259" s="78">
        <v>1.5060013541582022</v>
      </c>
    </row>
    <row r="2260" spans="29:41">
      <c r="AC2260" s="78" t="s">
        <v>52</v>
      </c>
      <c r="AD2260" s="78" t="s">
        <v>20</v>
      </c>
      <c r="AE2260" s="78" t="s">
        <v>72</v>
      </c>
      <c r="AF2260" s="78" t="s">
        <v>51</v>
      </c>
      <c r="AG2260" s="78" t="s">
        <v>478</v>
      </c>
      <c r="AH2260" s="78">
        <v>3.8663304183638441</v>
      </c>
      <c r="AJ2260" s="78" t="s">
        <v>52</v>
      </c>
      <c r="AK2260" s="78" t="s">
        <v>20</v>
      </c>
      <c r="AL2260" s="78" t="s">
        <v>28</v>
      </c>
      <c r="AM2260" s="78" t="s">
        <v>51</v>
      </c>
      <c r="AN2260" s="78" t="s">
        <v>438</v>
      </c>
      <c r="AO2260" s="78">
        <v>1.5222409863108319</v>
      </c>
    </row>
    <row r="2261" spans="29:41">
      <c r="AC2261" s="78" t="s">
        <v>52</v>
      </c>
      <c r="AD2261" s="78" t="s">
        <v>20</v>
      </c>
      <c r="AE2261" s="78" t="s">
        <v>72</v>
      </c>
      <c r="AF2261" s="78" t="s">
        <v>51</v>
      </c>
      <c r="AG2261" s="78" t="s">
        <v>479</v>
      </c>
      <c r="AH2261" s="78">
        <v>3.8644641896305987</v>
      </c>
      <c r="AJ2261" s="78" t="s">
        <v>52</v>
      </c>
      <c r="AK2261" s="78" t="s">
        <v>20</v>
      </c>
      <c r="AL2261" s="78" t="s">
        <v>28</v>
      </c>
      <c r="AM2261" s="78" t="s">
        <v>51</v>
      </c>
      <c r="AN2261" s="78" t="s">
        <v>439</v>
      </c>
      <c r="AO2261" s="78">
        <v>1.5326497597781024</v>
      </c>
    </row>
    <row r="2262" spans="29:41">
      <c r="AC2262" s="78" t="s">
        <v>52</v>
      </c>
      <c r="AD2262" s="78" t="s">
        <v>20</v>
      </c>
      <c r="AE2262" s="78" t="s">
        <v>72</v>
      </c>
      <c r="AF2262" s="78" t="s">
        <v>51</v>
      </c>
      <c r="AG2262" s="78" t="s">
        <v>480</v>
      </c>
      <c r="AH2262" s="78">
        <v>3.9337136479583643</v>
      </c>
      <c r="AJ2262" s="78" t="s">
        <v>52</v>
      </c>
      <c r="AK2262" s="78" t="s">
        <v>20</v>
      </c>
      <c r="AL2262" s="78" t="s">
        <v>28</v>
      </c>
      <c r="AM2262" s="78" t="s">
        <v>51</v>
      </c>
      <c r="AN2262" s="78" t="s">
        <v>440</v>
      </c>
      <c r="AO2262" s="78">
        <v>1.4593509791044763</v>
      </c>
    </row>
    <row r="2263" spans="29:41">
      <c r="AC2263" s="78" t="s">
        <v>52</v>
      </c>
      <c r="AD2263" s="78" t="s">
        <v>20</v>
      </c>
      <c r="AE2263" s="78" t="s">
        <v>72</v>
      </c>
      <c r="AF2263" s="78" t="s">
        <v>51</v>
      </c>
      <c r="AG2263" s="78" t="s">
        <v>481</v>
      </c>
      <c r="AH2263" s="78">
        <v>3.8272557574518813</v>
      </c>
      <c r="AJ2263" s="78" t="s">
        <v>52</v>
      </c>
      <c r="AK2263" s="78" t="s">
        <v>20</v>
      </c>
      <c r="AL2263" s="78" t="s">
        <v>28</v>
      </c>
      <c r="AM2263" s="78" t="s">
        <v>51</v>
      </c>
      <c r="AN2263" s="78" t="s">
        <v>441</v>
      </c>
      <c r="AO2263" s="78">
        <v>1.5413643178060124</v>
      </c>
    </row>
    <row r="2264" spans="29:41">
      <c r="AC2264" s="78" t="s">
        <v>52</v>
      </c>
      <c r="AD2264" s="78" t="s">
        <v>20</v>
      </c>
      <c r="AE2264" s="78" t="s">
        <v>72</v>
      </c>
      <c r="AF2264" s="78" t="s">
        <v>51</v>
      </c>
      <c r="AG2264" s="78" t="s">
        <v>482</v>
      </c>
      <c r="AH2264" s="78">
        <v>3.8707054183638441</v>
      </c>
      <c r="AJ2264" s="78" t="s">
        <v>52</v>
      </c>
      <c r="AK2264" s="78" t="s">
        <v>20</v>
      </c>
      <c r="AL2264" s="78" t="s">
        <v>28</v>
      </c>
      <c r="AM2264" s="78" t="s">
        <v>51</v>
      </c>
      <c r="AN2264" s="78" t="s">
        <v>442</v>
      </c>
      <c r="AO2264" s="78">
        <v>1.4955149551612261</v>
      </c>
    </row>
    <row r="2265" spans="29:41">
      <c r="AC2265" s="78" t="s">
        <v>52</v>
      </c>
      <c r="AD2265" s="78" t="s">
        <v>20</v>
      </c>
      <c r="AE2265" s="78" t="s">
        <v>72</v>
      </c>
      <c r="AF2265" s="78" t="s">
        <v>51</v>
      </c>
      <c r="AG2265" s="78" t="s">
        <v>483</v>
      </c>
      <c r="AH2265" s="78">
        <v>3.8272557574518813</v>
      </c>
      <c r="AJ2265" s="78" t="s">
        <v>52</v>
      </c>
      <c r="AK2265" s="78" t="s">
        <v>20</v>
      </c>
      <c r="AL2265" s="78" t="s">
        <v>28</v>
      </c>
      <c r="AM2265" s="78" t="s">
        <v>51</v>
      </c>
      <c r="AN2265" s="78" t="s">
        <v>443</v>
      </c>
      <c r="AO2265" s="78">
        <v>1.4480328667437763</v>
      </c>
    </row>
    <row r="2266" spans="29:41">
      <c r="AC2266" s="78" t="s">
        <v>52</v>
      </c>
      <c r="AD2266" s="78" t="s">
        <v>20</v>
      </c>
      <c r="AE2266" s="78" t="s">
        <v>72</v>
      </c>
      <c r="AF2266" s="78" t="s">
        <v>51</v>
      </c>
      <c r="AG2266" s="78" t="s">
        <v>484</v>
      </c>
      <c r="AH2266" s="78">
        <v>3.8272557574518813</v>
      </c>
      <c r="AJ2266" s="78" t="s">
        <v>52</v>
      </c>
      <c r="AK2266" s="78" t="s">
        <v>20</v>
      </c>
      <c r="AL2266" s="78" t="s">
        <v>28</v>
      </c>
      <c r="AM2266" s="78" t="s">
        <v>51</v>
      </c>
      <c r="AN2266" s="78" t="s">
        <v>444</v>
      </c>
      <c r="AO2266" s="78">
        <v>1.5500459174607888</v>
      </c>
    </row>
    <row r="2267" spans="29:41">
      <c r="AC2267" s="78" t="s">
        <v>52</v>
      </c>
      <c r="AD2267" s="78" t="s">
        <v>20</v>
      </c>
      <c r="AE2267" s="78" t="s">
        <v>72</v>
      </c>
      <c r="AF2267" s="78" t="s">
        <v>51</v>
      </c>
      <c r="AG2267" s="78" t="s">
        <v>485</v>
      </c>
      <c r="AH2267" s="78">
        <v>3.8707054183638441</v>
      </c>
      <c r="AJ2267" s="78" t="s">
        <v>52</v>
      </c>
      <c r="AK2267" s="78" t="s">
        <v>20</v>
      </c>
      <c r="AL2267" s="78" t="s">
        <v>28</v>
      </c>
      <c r="AM2267" s="78" t="s">
        <v>51</v>
      </c>
      <c r="AN2267" s="78" t="s">
        <v>445</v>
      </c>
      <c r="AO2267" s="78">
        <v>1.4756765697085963</v>
      </c>
    </row>
    <row r="2268" spans="29:41">
      <c r="AC2268" s="78" t="s">
        <v>52</v>
      </c>
      <c r="AD2268" s="78" t="s">
        <v>20</v>
      </c>
      <c r="AE2268" s="78" t="s">
        <v>72</v>
      </c>
      <c r="AF2268" s="78" t="s">
        <v>51</v>
      </c>
      <c r="AG2268" s="78" t="s">
        <v>486</v>
      </c>
      <c r="AH2268" s="78">
        <v>3.8707054183638441</v>
      </c>
      <c r="AJ2268" s="78" t="s">
        <v>52</v>
      </c>
      <c r="AK2268" s="78" t="s">
        <v>20</v>
      </c>
      <c r="AL2268" s="78" t="s">
        <v>28</v>
      </c>
      <c r="AM2268" s="78" t="s">
        <v>51</v>
      </c>
      <c r="AN2268" s="78" t="s">
        <v>446</v>
      </c>
      <c r="AO2268" s="78">
        <v>1.5450683947316106</v>
      </c>
    </row>
    <row r="2269" spans="29:41">
      <c r="AC2269" s="78" t="s">
        <v>52</v>
      </c>
      <c r="AD2269" s="78" t="s">
        <v>20</v>
      </c>
      <c r="AE2269" s="78" t="s">
        <v>72</v>
      </c>
      <c r="AF2269" s="78" t="s">
        <v>51</v>
      </c>
      <c r="AG2269" s="78" t="s">
        <v>487</v>
      </c>
      <c r="AH2269" s="78">
        <v>3.8272557574518813</v>
      </c>
      <c r="AJ2269" s="78" t="s">
        <v>52</v>
      </c>
      <c r="AK2269" s="78" t="s">
        <v>20</v>
      </c>
      <c r="AL2269" s="78" t="s">
        <v>28</v>
      </c>
      <c r="AM2269" s="78" t="s">
        <v>51</v>
      </c>
      <c r="AN2269" s="78" t="s">
        <v>447</v>
      </c>
      <c r="AO2269" s="78">
        <v>1.5226521888727109</v>
      </c>
    </row>
    <row r="2270" spans="29:41">
      <c r="AC2270" s="78" t="s">
        <v>52</v>
      </c>
      <c r="AD2270" s="78" t="s">
        <v>20</v>
      </c>
      <c r="AE2270" s="78" t="s">
        <v>72</v>
      </c>
      <c r="AF2270" s="78" t="s">
        <v>51</v>
      </c>
      <c r="AG2270" s="78" t="s">
        <v>488</v>
      </c>
      <c r="AH2270" s="78">
        <v>3.8707054183638441</v>
      </c>
      <c r="AJ2270" s="78" t="s">
        <v>52</v>
      </c>
      <c r="AK2270" s="78" t="s">
        <v>20</v>
      </c>
      <c r="AL2270" s="78" t="s">
        <v>28</v>
      </c>
      <c r="AM2270" s="78" t="s">
        <v>51</v>
      </c>
      <c r="AN2270" s="78" t="s">
        <v>448</v>
      </c>
      <c r="AO2270" s="78">
        <v>1.5046532434950961</v>
      </c>
    </row>
    <row r="2271" spans="29:41">
      <c r="AC2271" s="78" t="s">
        <v>52</v>
      </c>
      <c r="AD2271" s="78" t="s">
        <v>20</v>
      </c>
      <c r="AE2271" s="78" t="s">
        <v>72</v>
      </c>
      <c r="AF2271" s="78" t="s">
        <v>51</v>
      </c>
      <c r="AG2271" s="78" t="s">
        <v>489</v>
      </c>
      <c r="AH2271" s="78">
        <v>3.8272557574518813</v>
      </c>
      <c r="AJ2271" s="78" t="s">
        <v>52</v>
      </c>
      <c r="AK2271" s="78" t="s">
        <v>20</v>
      </c>
      <c r="AL2271" s="78" t="s">
        <v>28</v>
      </c>
      <c r="AM2271" s="78" t="s">
        <v>51</v>
      </c>
      <c r="AN2271" s="78" t="s">
        <v>449</v>
      </c>
      <c r="AO2271" s="78">
        <v>1.5755777007409137</v>
      </c>
    </row>
    <row r="2272" spans="29:41">
      <c r="AC2272" s="78" t="s">
        <v>52</v>
      </c>
      <c r="AD2272" s="78" t="s">
        <v>20</v>
      </c>
      <c r="AE2272" s="78" t="s">
        <v>72</v>
      </c>
      <c r="AF2272" s="78" t="s">
        <v>51</v>
      </c>
      <c r="AG2272" s="78" t="s">
        <v>423</v>
      </c>
      <c r="AH2272" s="78">
        <v>3.8707054183638441</v>
      </c>
      <c r="AJ2272" s="78" t="s">
        <v>52</v>
      </c>
      <c r="AK2272" s="78" t="s">
        <v>20</v>
      </c>
      <c r="AL2272" s="78" t="s">
        <v>28</v>
      </c>
      <c r="AM2272" s="78" t="s">
        <v>51</v>
      </c>
      <c r="AN2272" s="78" t="s">
        <v>450</v>
      </c>
      <c r="AO2272" s="78">
        <v>1.5728375454592638</v>
      </c>
    </row>
    <row r="2273" spans="29:41">
      <c r="AC2273" s="78" t="s">
        <v>52</v>
      </c>
      <c r="AD2273" s="78" t="s">
        <v>20</v>
      </c>
      <c r="AE2273" s="78" t="s">
        <v>72</v>
      </c>
      <c r="AF2273" s="78" t="s">
        <v>51</v>
      </c>
      <c r="AG2273" s="78" t="s">
        <v>490</v>
      </c>
      <c r="AH2273" s="78">
        <v>3.9324160898719867</v>
      </c>
      <c r="AJ2273" s="78" t="s">
        <v>52</v>
      </c>
      <c r="AK2273" s="78" t="s">
        <v>20</v>
      </c>
      <c r="AL2273" s="78" t="s">
        <v>28</v>
      </c>
      <c r="AM2273" s="78" t="s">
        <v>51</v>
      </c>
      <c r="AN2273" s="78" t="s">
        <v>451</v>
      </c>
      <c r="AO2273" s="78">
        <v>1.6404881203542863</v>
      </c>
    </row>
    <row r="2274" spans="29:41">
      <c r="AC2274" s="78" t="s">
        <v>52</v>
      </c>
      <c r="AD2274" s="78" t="s">
        <v>20</v>
      </c>
      <c r="AE2274" s="78" t="s">
        <v>72</v>
      </c>
      <c r="AF2274" s="78" t="s">
        <v>51</v>
      </c>
      <c r="AG2274" s="78" t="s">
        <v>491</v>
      </c>
      <c r="AH2274" s="78">
        <v>3.8707054183638441</v>
      </c>
      <c r="AJ2274" s="78" t="s">
        <v>52</v>
      </c>
      <c r="AK2274" s="78" t="s">
        <v>20</v>
      </c>
      <c r="AL2274" s="78" t="s">
        <v>28</v>
      </c>
      <c r="AM2274" s="78" t="s">
        <v>51</v>
      </c>
      <c r="AN2274" s="78" t="s">
        <v>452</v>
      </c>
      <c r="AO2274" s="78">
        <v>1.6795547207477863</v>
      </c>
    </row>
    <row r="2275" spans="29:41">
      <c r="AC2275" s="78" t="s">
        <v>52</v>
      </c>
      <c r="AD2275" s="78" t="s">
        <v>20</v>
      </c>
      <c r="AE2275" s="78" t="s">
        <v>72</v>
      </c>
      <c r="AF2275" s="78" t="s">
        <v>51</v>
      </c>
      <c r="AG2275" s="78" t="s">
        <v>492</v>
      </c>
      <c r="AH2275" s="78">
        <v>3.8707054183638441</v>
      </c>
      <c r="AJ2275" s="78" t="s">
        <v>52</v>
      </c>
      <c r="AK2275" s="78" t="s">
        <v>20</v>
      </c>
      <c r="AL2275" s="78" t="s">
        <v>28</v>
      </c>
      <c r="AM2275" s="78" t="s">
        <v>51</v>
      </c>
      <c r="AN2275" s="78" t="s">
        <v>453</v>
      </c>
      <c r="AO2275" s="78">
        <v>1.6885391253511648</v>
      </c>
    </row>
    <row r="2276" spans="29:41">
      <c r="AC2276" s="78" t="s">
        <v>52</v>
      </c>
      <c r="AD2276" s="78" t="s">
        <v>20</v>
      </c>
      <c r="AE2276" s="78" t="s">
        <v>72</v>
      </c>
      <c r="AF2276" s="78" t="s">
        <v>51</v>
      </c>
      <c r="AG2276" s="78" t="s">
        <v>493</v>
      </c>
      <c r="AH2276" s="78">
        <v>3.9963812771736564</v>
      </c>
      <c r="AJ2276" s="78" t="s">
        <v>52</v>
      </c>
      <c r="AK2276" s="78" t="s">
        <v>20</v>
      </c>
      <c r="AL2276" s="78" t="s">
        <v>28</v>
      </c>
      <c r="AM2276" s="78" t="s">
        <v>51</v>
      </c>
      <c r="AN2276" s="78" t="s">
        <v>454</v>
      </c>
      <c r="AO2276" s="78">
        <v>1.7038407483280782</v>
      </c>
    </row>
    <row r="2277" spans="29:41">
      <c r="AC2277" s="78" t="s">
        <v>52</v>
      </c>
      <c r="AD2277" s="78" t="s">
        <v>20</v>
      </c>
      <c r="AE2277" s="78" t="s">
        <v>72</v>
      </c>
      <c r="AF2277" s="78" t="s">
        <v>51</v>
      </c>
      <c r="AG2277" s="78" t="s">
        <v>494</v>
      </c>
      <c r="AH2277" s="78">
        <v>4.060893341423701</v>
      </c>
      <c r="AJ2277" s="78" t="s">
        <v>52</v>
      </c>
      <c r="AK2277" s="78" t="s">
        <v>20</v>
      </c>
      <c r="AL2277" s="78" t="s">
        <v>28</v>
      </c>
      <c r="AM2277" s="78" t="s">
        <v>51</v>
      </c>
      <c r="AN2277" s="78" t="s">
        <v>455</v>
      </c>
      <c r="AO2277" s="78">
        <v>1.5408298507826088</v>
      </c>
    </row>
    <row r="2278" spans="29:41">
      <c r="AC2278" s="78" t="s">
        <v>52</v>
      </c>
      <c r="AD2278" s="78" t="s">
        <v>20</v>
      </c>
      <c r="AE2278" s="78" t="s">
        <v>72</v>
      </c>
      <c r="AF2278" s="78" t="s">
        <v>51</v>
      </c>
      <c r="AG2278" s="78" t="s">
        <v>495</v>
      </c>
      <c r="AH2278" s="78">
        <v>4.0587050066989789</v>
      </c>
      <c r="AJ2278" s="78" t="s">
        <v>52</v>
      </c>
      <c r="AK2278" s="78" t="s">
        <v>20</v>
      </c>
      <c r="AL2278" s="78" t="s">
        <v>28</v>
      </c>
      <c r="AM2278" s="78" t="s">
        <v>51</v>
      </c>
      <c r="AN2278" s="78" t="s">
        <v>456</v>
      </c>
      <c r="AO2278" s="78">
        <v>1.6307286687530984</v>
      </c>
    </row>
    <row r="2279" spans="29:41">
      <c r="AC2279" s="78" t="s">
        <v>52</v>
      </c>
      <c r="AD2279" s="78" t="s">
        <v>20</v>
      </c>
      <c r="AE2279" s="78" t="s">
        <v>72</v>
      </c>
      <c r="AF2279" s="78" t="s">
        <v>51</v>
      </c>
      <c r="AG2279" s="78" t="s">
        <v>496</v>
      </c>
      <c r="AH2279" s="78">
        <v>3.9971094474140623</v>
      </c>
      <c r="AJ2279" s="78" t="s">
        <v>52</v>
      </c>
      <c r="AK2279" s="78" t="s">
        <v>20</v>
      </c>
      <c r="AL2279" s="78" t="s">
        <v>28</v>
      </c>
      <c r="AM2279" s="78" t="s">
        <v>51</v>
      </c>
      <c r="AN2279" s="78" t="s">
        <v>746</v>
      </c>
      <c r="AO2279" s="78">
        <v>1.6307286687530984</v>
      </c>
    </row>
    <row r="2280" spans="29:41">
      <c r="AC2280" s="78" t="s">
        <v>52</v>
      </c>
      <c r="AD2280" s="78" t="s">
        <v>20</v>
      </c>
      <c r="AE2280" s="78" t="s">
        <v>72</v>
      </c>
      <c r="AF2280" s="78" t="s">
        <v>51</v>
      </c>
      <c r="AG2280" s="78" t="s">
        <v>497</v>
      </c>
      <c r="AH2280" s="78">
        <v>3.9971094474140623</v>
      </c>
      <c r="AJ2280" s="78" t="s">
        <v>52</v>
      </c>
      <c r="AK2280" s="78" t="s">
        <v>20</v>
      </c>
      <c r="AL2280" s="78" t="s">
        <v>28</v>
      </c>
      <c r="AM2280" s="78" t="s">
        <v>51</v>
      </c>
      <c r="AN2280" s="78" t="s">
        <v>457</v>
      </c>
      <c r="AO2280" s="78">
        <v>1.6135805160292089</v>
      </c>
    </row>
    <row r="2281" spans="29:41">
      <c r="AC2281" s="78" t="s">
        <v>52</v>
      </c>
      <c r="AD2281" s="78" t="s">
        <v>20</v>
      </c>
      <c r="AE2281" s="78" t="s">
        <v>72</v>
      </c>
      <c r="AF2281" s="78" t="s">
        <v>51</v>
      </c>
      <c r="AG2281" s="78" t="s">
        <v>498</v>
      </c>
      <c r="AH2281" s="78">
        <v>3.9971094474140623</v>
      </c>
      <c r="AJ2281" s="78" t="s">
        <v>52</v>
      </c>
      <c r="AK2281" s="78" t="s">
        <v>20</v>
      </c>
      <c r="AL2281" s="78" t="s">
        <v>28</v>
      </c>
      <c r="AM2281" s="78" t="s">
        <v>51</v>
      </c>
      <c r="AN2281" s="78" t="s">
        <v>458</v>
      </c>
      <c r="AO2281" s="78">
        <v>1.6247412965555448</v>
      </c>
    </row>
    <row r="2282" spans="29:41">
      <c r="AC2282" s="78" t="s">
        <v>52</v>
      </c>
      <c r="AD2282" s="78" t="s">
        <v>20</v>
      </c>
      <c r="AE2282" s="78" t="s">
        <v>72</v>
      </c>
      <c r="AF2282" s="78" t="s">
        <v>51</v>
      </c>
      <c r="AG2282" s="78" t="s">
        <v>499</v>
      </c>
      <c r="AH2282" s="78">
        <v>3.9971094474140623</v>
      </c>
      <c r="AJ2282" s="78" t="s">
        <v>52</v>
      </c>
      <c r="AK2282" s="78" t="s">
        <v>20</v>
      </c>
      <c r="AL2282" s="78" t="s">
        <v>28</v>
      </c>
      <c r="AM2282" s="78" t="s">
        <v>51</v>
      </c>
      <c r="AN2282" s="78" t="s">
        <v>459</v>
      </c>
      <c r="AO2282" s="78">
        <v>1.6502551368317246</v>
      </c>
    </row>
    <row r="2283" spans="29:41">
      <c r="AC2283" s="78" t="s">
        <v>52</v>
      </c>
      <c r="AD2283" s="78" t="s">
        <v>20</v>
      </c>
      <c r="AE2283" s="78" t="s">
        <v>72</v>
      </c>
      <c r="AF2283" s="78" t="s">
        <v>51</v>
      </c>
      <c r="AG2283" s="78" t="s">
        <v>500</v>
      </c>
      <c r="AH2283" s="78">
        <v>3.9971094474140623</v>
      </c>
      <c r="AJ2283" s="78" t="s">
        <v>52</v>
      </c>
      <c r="AK2283" s="78" t="s">
        <v>20</v>
      </c>
      <c r="AL2283" s="78" t="s">
        <v>28</v>
      </c>
      <c r="AM2283" s="78" t="s">
        <v>51</v>
      </c>
      <c r="AN2283" s="78" t="s">
        <v>460</v>
      </c>
      <c r="AO2283" s="78">
        <v>1.5520575514465036</v>
      </c>
    </row>
    <row r="2284" spans="29:41">
      <c r="AC2284" s="78" t="s">
        <v>52</v>
      </c>
      <c r="AD2284" s="78" t="s">
        <v>20</v>
      </c>
      <c r="AE2284" s="78" t="s">
        <v>72</v>
      </c>
      <c r="AF2284" s="78" t="s">
        <v>51</v>
      </c>
      <c r="AG2284" s="78" t="s">
        <v>501</v>
      </c>
      <c r="AH2284" s="78">
        <v>3.9971094474140623</v>
      </c>
      <c r="AJ2284" s="78" t="s">
        <v>52</v>
      </c>
      <c r="AK2284" s="78" t="s">
        <v>20</v>
      </c>
      <c r="AL2284" s="78" t="s">
        <v>28</v>
      </c>
      <c r="AM2284" s="78" t="s">
        <v>51</v>
      </c>
      <c r="AN2284" s="78" t="s">
        <v>461</v>
      </c>
      <c r="AO2284" s="78">
        <v>1.5065731696305735</v>
      </c>
    </row>
    <row r="2285" spans="29:41">
      <c r="AC2285" s="78" t="s">
        <v>52</v>
      </c>
      <c r="AD2285" s="78" t="s">
        <v>20</v>
      </c>
      <c r="AE2285" s="78" t="s">
        <v>72</v>
      </c>
      <c r="AF2285" s="78" t="s">
        <v>51</v>
      </c>
      <c r="AG2285" s="78" t="s">
        <v>502</v>
      </c>
      <c r="AH2285" s="78">
        <v>3.8272557574518813</v>
      </c>
      <c r="AJ2285" s="78" t="s">
        <v>52</v>
      </c>
      <c r="AK2285" s="78" t="s">
        <v>20</v>
      </c>
      <c r="AL2285" s="78" t="s">
        <v>28</v>
      </c>
      <c r="AM2285" s="78" t="s">
        <v>51</v>
      </c>
      <c r="AN2285" s="78" t="s">
        <v>462</v>
      </c>
      <c r="AO2285" s="78">
        <v>1.5116219658395442</v>
      </c>
    </row>
    <row r="2286" spans="29:41">
      <c r="AC2286" s="78" t="s">
        <v>52</v>
      </c>
      <c r="AD2286" s="78" t="s">
        <v>20</v>
      </c>
      <c r="AE2286" s="78" t="s">
        <v>72</v>
      </c>
      <c r="AF2286" s="78" t="s">
        <v>51</v>
      </c>
      <c r="AG2286" s="78" t="s">
        <v>422</v>
      </c>
      <c r="AH2286" s="78">
        <v>3.8272557574518813</v>
      </c>
      <c r="AJ2286" s="78" t="s">
        <v>52</v>
      </c>
      <c r="AK2286" s="78" t="s">
        <v>20</v>
      </c>
      <c r="AL2286" s="78" t="s">
        <v>28</v>
      </c>
      <c r="AM2286" s="78" t="s">
        <v>51</v>
      </c>
      <c r="AN2286" s="78" t="s">
        <v>463</v>
      </c>
      <c r="AO2286" s="78">
        <v>1.5382973832442539</v>
      </c>
    </row>
    <row r="2287" spans="29:41">
      <c r="AC2287" s="78" t="s">
        <v>52</v>
      </c>
      <c r="AD2287" s="78" t="s">
        <v>20</v>
      </c>
      <c r="AE2287" s="78" t="s">
        <v>72</v>
      </c>
      <c r="AF2287" s="78" t="s">
        <v>51</v>
      </c>
      <c r="AG2287" s="78" t="s">
        <v>503</v>
      </c>
      <c r="AH2287" s="78">
        <v>3.8688391896305983</v>
      </c>
      <c r="AJ2287" s="78" t="s">
        <v>52</v>
      </c>
      <c r="AK2287" s="78" t="s">
        <v>20</v>
      </c>
      <c r="AL2287" s="78" t="s">
        <v>28</v>
      </c>
      <c r="AM2287" s="78" t="s">
        <v>51</v>
      </c>
      <c r="AN2287" s="78" t="s">
        <v>464</v>
      </c>
      <c r="AO2287" s="78">
        <v>1.5195523481023741</v>
      </c>
    </row>
    <row r="2288" spans="29:41">
      <c r="AC2288" s="78" t="s">
        <v>52</v>
      </c>
      <c r="AD2288" s="78" t="s">
        <v>20</v>
      </c>
      <c r="AE2288" s="78" t="s">
        <v>72</v>
      </c>
      <c r="AF2288" s="78" t="s">
        <v>51</v>
      </c>
      <c r="AG2288" s="78" t="s">
        <v>504</v>
      </c>
      <c r="AH2288" s="78">
        <v>3.8688391896305983</v>
      </c>
      <c r="AJ2288" s="78" t="s">
        <v>52</v>
      </c>
      <c r="AK2288" s="78" t="s">
        <v>20</v>
      </c>
      <c r="AL2288" s="78" t="s">
        <v>28</v>
      </c>
      <c r="AM2288" s="78" t="s">
        <v>51</v>
      </c>
      <c r="AN2288" s="78" t="s">
        <v>465</v>
      </c>
      <c r="AO2288" s="78">
        <v>1.5771753520299163</v>
      </c>
    </row>
    <row r="2289" spans="29:41">
      <c r="AC2289" s="78" t="s">
        <v>52</v>
      </c>
      <c r="AD2289" s="78" t="s">
        <v>20</v>
      </c>
      <c r="AE2289" s="78" t="s">
        <v>72</v>
      </c>
      <c r="AF2289" s="78" t="s">
        <v>51</v>
      </c>
      <c r="AG2289" s="78" t="s">
        <v>505</v>
      </c>
      <c r="AH2289" s="78">
        <v>3.8272557574518813</v>
      </c>
      <c r="AJ2289" s="78" t="s">
        <v>52</v>
      </c>
      <c r="AK2289" s="78" t="s">
        <v>20</v>
      </c>
      <c r="AL2289" s="78" t="s">
        <v>28</v>
      </c>
      <c r="AM2289" s="78" t="s">
        <v>51</v>
      </c>
      <c r="AN2289" s="78" t="s">
        <v>466</v>
      </c>
      <c r="AO2289" s="78">
        <v>1.5556731587860366</v>
      </c>
    </row>
    <row r="2290" spans="29:41">
      <c r="AC2290" s="78" t="s">
        <v>52</v>
      </c>
      <c r="AD2290" s="78" t="s">
        <v>20</v>
      </c>
      <c r="AE2290" s="78" t="s">
        <v>72</v>
      </c>
      <c r="AF2290" s="78" t="s">
        <v>51</v>
      </c>
      <c r="AG2290" s="78" t="s">
        <v>421</v>
      </c>
      <c r="AH2290" s="78">
        <v>3.8069633569142907</v>
      </c>
      <c r="AJ2290" s="78" t="s">
        <v>52</v>
      </c>
      <c r="AK2290" s="78" t="s">
        <v>20</v>
      </c>
      <c r="AL2290" s="78" t="s">
        <v>28</v>
      </c>
      <c r="AM2290" s="78" t="s">
        <v>51</v>
      </c>
      <c r="AN2290" s="78" t="s">
        <v>467</v>
      </c>
      <c r="AO2290" s="78">
        <v>1.5453070601100662</v>
      </c>
    </row>
    <row r="2291" spans="29:41">
      <c r="AC2291" s="78" t="s">
        <v>52</v>
      </c>
      <c r="AD2291" s="78" t="s">
        <v>20</v>
      </c>
      <c r="AE2291" s="78" t="s">
        <v>72</v>
      </c>
      <c r="AF2291" s="78" t="s">
        <v>51</v>
      </c>
      <c r="AG2291" s="78" t="s">
        <v>506</v>
      </c>
      <c r="AH2291" s="78">
        <v>3.8688391896305983</v>
      </c>
      <c r="AJ2291" s="78" t="s">
        <v>52</v>
      </c>
      <c r="AK2291" s="78" t="s">
        <v>20</v>
      </c>
      <c r="AL2291" s="78" t="s">
        <v>28</v>
      </c>
      <c r="AM2291" s="78" t="s">
        <v>51</v>
      </c>
      <c r="AN2291" s="78" t="s">
        <v>468</v>
      </c>
      <c r="AO2291" s="78">
        <v>1.5367265474709366</v>
      </c>
    </row>
    <row r="2292" spans="29:41">
      <c r="AC2292" s="78" t="s">
        <v>52</v>
      </c>
      <c r="AD2292" s="78" t="s">
        <v>20</v>
      </c>
      <c r="AE2292" s="78" t="s">
        <v>72</v>
      </c>
      <c r="AF2292" s="78" t="s">
        <v>51</v>
      </c>
      <c r="AG2292" s="78" t="s">
        <v>507</v>
      </c>
      <c r="AH2292" s="78">
        <v>3.8688391896305983</v>
      </c>
      <c r="AJ2292" s="78" t="s">
        <v>52</v>
      </c>
      <c r="AK2292" s="78" t="s">
        <v>20</v>
      </c>
      <c r="AL2292" s="78" t="s">
        <v>28</v>
      </c>
      <c r="AM2292" s="78" t="s">
        <v>51</v>
      </c>
      <c r="AN2292" s="78" t="s">
        <v>469</v>
      </c>
      <c r="AO2292" s="78">
        <v>1.6511947852561926</v>
      </c>
    </row>
    <row r="2293" spans="29:41">
      <c r="AC2293" s="78" t="s">
        <v>52</v>
      </c>
      <c r="AD2293" s="78" t="s">
        <v>20</v>
      </c>
      <c r="AE2293" s="78" t="s">
        <v>72</v>
      </c>
      <c r="AF2293" s="78" t="s">
        <v>51</v>
      </c>
      <c r="AG2293" s="78" t="s">
        <v>508</v>
      </c>
      <c r="AH2293" s="78">
        <v>3.8707054183638441</v>
      </c>
      <c r="AJ2293" s="78" t="s">
        <v>52</v>
      </c>
      <c r="AK2293" s="78" t="s">
        <v>20</v>
      </c>
      <c r="AL2293" s="78" t="s">
        <v>28</v>
      </c>
      <c r="AM2293" s="78" t="s">
        <v>51</v>
      </c>
      <c r="AN2293" s="78" t="s">
        <v>470</v>
      </c>
      <c r="AO2293" s="78">
        <v>1.544835507177434</v>
      </c>
    </row>
    <row r="2294" spans="29:41">
      <c r="AC2294" s="78" t="s">
        <v>52</v>
      </c>
      <c r="AD2294" s="78" t="s">
        <v>20</v>
      </c>
      <c r="AE2294" s="78" t="s">
        <v>72</v>
      </c>
      <c r="AF2294" s="78" t="s">
        <v>51</v>
      </c>
      <c r="AG2294" s="78" t="s">
        <v>509</v>
      </c>
      <c r="AH2294" s="78">
        <v>3.8707054183638441</v>
      </c>
      <c r="AJ2294" s="78" t="s">
        <v>52</v>
      </c>
      <c r="AK2294" s="78" t="s">
        <v>20</v>
      </c>
      <c r="AL2294" s="78" t="s">
        <v>28</v>
      </c>
      <c r="AM2294" s="78" t="s">
        <v>51</v>
      </c>
      <c r="AN2294" s="78" t="s">
        <v>471</v>
      </c>
      <c r="AO2294" s="78">
        <v>1.6634625774473748</v>
      </c>
    </row>
    <row r="2295" spans="29:41">
      <c r="AC2295" s="78" t="s">
        <v>52</v>
      </c>
      <c r="AD2295" s="78" t="s">
        <v>20</v>
      </c>
      <c r="AE2295" s="78" t="s">
        <v>72</v>
      </c>
      <c r="AF2295" s="78" t="s">
        <v>51</v>
      </c>
      <c r="AG2295" s="78" t="s">
        <v>510</v>
      </c>
      <c r="AH2295" s="78">
        <v>3.9324160898719867</v>
      </c>
      <c r="AJ2295" s="78" t="s">
        <v>52</v>
      </c>
      <c r="AK2295" s="78" t="s">
        <v>20</v>
      </c>
      <c r="AL2295" s="78" t="s">
        <v>28</v>
      </c>
      <c r="AM2295" s="78" t="s">
        <v>51</v>
      </c>
      <c r="AN2295" s="78" t="s">
        <v>472</v>
      </c>
      <c r="AO2295" s="78">
        <v>1.574138493007559</v>
      </c>
    </row>
    <row r="2296" spans="29:41">
      <c r="AC2296" s="78" t="s">
        <v>52</v>
      </c>
      <c r="AD2296" s="78" t="s">
        <v>20</v>
      </c>
      <c r="AE2296" s="78" t="s">
        <v>72</v>
      </c>
      <c r="AF2296" s="78" t="s">
        <v>51</v>
      </c>
      <c r="AG2296" s="78" t="s">
        <v>511</v>
      </c>
      <c r="AH2296" s="78">
        <v>3.9971094474140623</v>
      </c>
      <c r="AJ2296" s="78" t="s">
        <v>52</v>
      </c>
      <c r="AK2296" s="78" t="s">
        <v>20</v>
      </c>
      <c r="AL2296" s="78" t="s">
        <v>28</v>
      </c>
      <c r="AM2296" s="78" t="s">
        <v>51</v>
      </c>
      <c r="AN2296" s="78" t="s">
        <v>473</v>
      </c>
      <c r="AO2296" s="78">
        <v>1.5378066318134744</v>
      </c>
    </row>
    <row r="2297" spans="29:41">
      <c r="AC2297" s="78" t="s">
        <v>52</v>
      </c>
      <c r="AD2297" s="78" t="s">
        <v>20</v>
      </c>
      <c r="AE2297" s="78" t="s">
        <v>72</v>
      </c>
      <c r="AF2297" s="78" t="s">
        <v>51</v>
      </c>
      <c r="AG2297" s="78" t="s">
        <v>512</v>
      </c>
      <c r="AH2297" s="78">
        <v>4.0587050066989789</v>
      </c>
      <c r="AJ2297" s="78" t="s">
        <v>52</v>
      </c>
      <c r="AK2297" s="78" t="s">
        <v>20</v>
      </c>
      <c r="AL2297" s="78" t="s">
        <v>28</v>
      </c>
      <c r="AM2297" s="78" t="s">
        <v>51</v>
      </c>
      <c r="AN2297" s="78" t="s">
        <v>474</v>
      </c>
      <c r="AO2297" s="78">
        <v>1.5308011576804139</v>
      </c>
    </row>
    <row r="2298" spans="29:41">
      <c r="AC2298" s="78" t="s">
        <v>52</v>
      </c>
      <c r="AD2298" s="78" t="s">
        <v>20</v>
      </c>
      <c r="AE2298" s="78" t="s">
        <v>72</v>
      </c>
      <c r="AF2298" s="78" t="s">
        <v>51</v>
      </c>
      <c r="AG2298" s="78" t="s">
        <v>513</v>
      </c>
      <c r="AH2298" s="78">
        <v>3.9971094474140623</v>
      </c>
      <c r="AJ2298" s="78" t="s">
        <v>52</v>
      </c>
      <c r="AK2298" s="78" t="s">
        <v>20</v>
      </c>
      <c r="AL2298" s="78" t="s">
        <v>28</v>
      </c>
      <c r="AM2298" s="78" t="s">
        <v>51</v>
      </c>
      <c r="AN2298" s="78" t="s">
        <v>475</v>
      </c>
      <c r="AO2298" s="78">
        <v>1.6331190043024451</v>
      </c>
    </row>
    <row r="2299" spans="29:41">
      <c r="AC2299" s="78" t="s">
        <v>52</v>
      </c>
      <c r="AD2299" s="78" t="s">
        <v>20</v>
      </c>
      <c r="AE2299" s="78" t="s">
        <v>72</v>
      </c>
      <c r="AF2299" s="78" t="s">
        <v>51</v>
      </c>
      <c r="AG2299" s="78" t="s">
        <v>514</v>
      </c>
      <c r="AH2299" s="78">
        <v>3.9971094474140623</v>
      </c>
      <c r="AJ2299" s="78" t="s">
        <v>52</v>
      </c>
      <c r="AK2299" s="78" t="s">
        <v>20</v>
      </c>
      <c r="AL2299" s="78" t="s">
        <v>28</v>
      </c>
      <c r="AM2299" s="78" t="s">
        <v>51</v>
      </c>
      <c r="AN2299" s="78" t="s">
        <v>476</v>
      </c>
      <c r="AO2299" s="78">
        <v>1.5675757509209451</v>
      </c>
    </row>
    <row r="2300" spans="29:41">
      <c r="AC2300" s="78" t="s">
        <v>52</v>
      </c>
      <c r="AD2300" s="78" t="s">
        <v>20</v>
      </c>
      <c r="AE2300" s="78" t="s">
        <v>72</v>
      </c>
      <c r="AF2300" s="78" t="s">
        <v>51</v>
      </c>
      <c r="AG2300" s="78" t="s">
        <v>515</v>
      </c>
      <c r="AH2300" s="78">
        <v>4.0587050066989789</v>
      </c>
      <c r="AJ2300" s="78" t="s">
        <v>52</v>
      </c>
      <c r="AK2300" s="78" t="s">
        <v>20</v>
      </c>
      <c r="AL2300" s="78" t="s">
        <v>28</v>
      </c>
      <c r="AM2300" s="78" t="s">
        <v>51</v>
      </c>
      <c r="AN2300" s="78" t="s">
        <v>477</v>
      </c>
      <c r="AO2300" s="78">
        <v>1.5589128935054666</v>
      </c>
    </row>
    <row r="2301" spans="29:41">
      <c r="AC2301" s="78" t="s">
        <v>52</v>
      </c>
      <c r="AD2301" s="78" t="s">
        <v>20</v>
      </c>
      <c r="AE2301" s="78" t="s">
        <v>72</v>
      </c>
      <c r="AF2301" s="78" t="s">
        <v>51</v>
      </c>
      <c r="AG2301" s="78" t="s">
        <v>516</v>
      </c>
      <c r="AH2301" s="78">
        <v>3.9971094474140623</v>
      </c>
      <c r="AJ2301" s="78" t="s">
        <v>52</v>
      </c>
      <c r="AK2301" s="78" t="s">
        <v>20</v>
      </c>
      <c r="AL2301" s="78" t="s">
        <v>28</v>
      </c>
      <c r="AM2301" s="78" t="s">
        <v>51</v>
      </c>
      <c r="AN2301" s="78" t="s">
        <v>478</v>
      </c>
      <c r="AO2301" s="78">
        <v>1.5351399404742141</v>
      </c>
    </row>
    <row r="2302" spans="29:41">
      <c r="AC2302" s="78" t="s">
        <v>52</v>
      </c>
      <c r="AD2302" s="78" t="s">
        <v>20</v>
      </c>
      <c r="AE2302" s="78" t="s">
        <v>72</v>
      </c>
      <c r="AF2302" s="78" t="s">
        <v>51</v>
      </c>
      <c r="AG2302" s="78" t="s">
        <v>517</v>
      </c>
      <c r="AH2302" s="78">
        <v>3.9324160898719867</v>
      </c>
      <c r="AJ2302" s="78" t="s">
        <v>52</v>
      </c>
      <c r="AK2302" s="78" t="s">
        <v>20</v>
      </c>
      <c r="AL2302" s="78" t="s">
        <v>28</v>
      </c>
      <c r="AM2302" s="78" t="s">
        <v>51</v>
      </c>
      <c r="AN2302" s="78" t="s">
        <v>479</v>
      </c>
      <c r="AO2302" s="78">
        <v>1.5703871396504987</v>
      </c>
    </row>
    <row r="2303" spans="29:41">
      <c r="AC2303" s="78" t="s">
        <v>52</v>
      </c>
      <c r="AD2303" s="78" t="s">
        <v>20</v>
      </c>
      <c r="AE2303" s="78" t="s">
        <v>72</v>
      </c>
      <c r="AF2303" s="78" t="s">
        <v>51</v>
      </c>
      <c r="AG2303" s="78" t="s">
        <v>518</v>
      </c>
      <c r="AH2303" s="78">
        <v>3.9324160898719867</v>
      </c>
      <c r="AJ2303" s="78" t="s">
        <v>52</v>
      </c>
      <c r="AK2303" s="78" t="s">
        <v>20</v>
      </c>
      <c r="AL2303" s="78" t="s">
        <v>28</v>
      </c>
      <c r="AM2303" s="78" t="s">
        <v>51</v>
      </c>
      <c r="AN2303" s="78" t="s">
        <v>747</v>
      </c>
      <c r="AO2303" s="78">
        <v>1.5703871396504987</v>
      </c>
    </row>
    <row r="2304" spans="29:41">
      <c r="AC2304" s="78" t="s">
        <v>52</v>
      </c>
      <c r="AD2304" s="78" t="s">
        <v>20</v>
      </c>
      <c r="AE2304" s="78" t="s">
        <v>72</v>
      </c>
      <c r="AF2304" s="78" t="s">
        <v>51</v>
      </c>
      <c r="AG2304" s="78" t="s">
        <v>519</v>
      </c>
      <c r="AH2304" s="78">
        <v>3.9324160898719867</v>
      </c>
      <c r="AJ2304" s="78" t="s">
        <v>52</v>
      </c>
      <c r="AK2304" s="78" t="s">
        <v>20</v>
      </c>
      <c r="AL2304" s="78" t="s">
        <v>28</v>
      </c>
      <c r="AM2304" s="78" t="s">
        <v>51</v>
      </c>
      <c r="AN2304" s="78" t="s">
        <v>748</v>
      </c>
      <c r="AO2304" s="78">
        <v>1.5703871396504987</v>
      </c>
    </row>
    <row r="2305" spans="29:41">
      <c r="AC2305" s="78" t="s">
        <v>52</v>
      </c>
      <c r="AD2305" s="78" t="s">
        <v>20</v>
      </c>
      <c r="AE2305" s="78" t="s">
        <v>72</v>
      </c>
      <c r="AF2305" s="78" t="s">
        <v>51</v>
      </c>
      <c r="AG2305" s="78" t="s">
        <v>520</v>
      </c>
      <c r="AH2305" s="78">
        <v>3.8707054183638441</v>
      </c>
      <c r="AJ2305" s="78" t="s">
        <v>52</v>
      </c>
      <c r="AK2305" s="78" t="s">
        <v>20</v>
      </c>
      <c r="AL2305" s="78" t="s">
        <v>28</v>
      </c>
      <c r="AM2305" s="78" t="s">
        <v>51</v>
      </c>
      <c r="AN2305" s="78" t="s">
        <v>480</v>
      </c>
      <c r="AO2305" s="78">
        <v>1.5917045048435843</v>
      </c>
    </row>
    <row r="2306" spans="29:41">
      <c r="AC2306" s="78" t="s">
        <v>52</v>
      </c>
      <c r="AD2306" s="78" t="s">
        <v>20</v>
      </c>
      <c r="AE2306" s="78" t="s">
        <v>72</v>
      </c>
      <c r="AF2306" s="78" t="s">
        <v>51</v>
      </c>
      <c r="AG2306" s="78" t="s">
        <v>521</v>
      </c>
      <c r="AH2306" s="78">
        <v>3.9324160898719867</v>
      </c>
      <c r="AJ2306" s="78" t="s">
        <v>52</v>
      </c>
      <c r="AK2306" s="78" t="s">
        <v>20</v>
      </c>
      <c r="AL2306" s="78" t="s">
        <v>28</v>
      </c>
      <c r="AM2306" s="78" t="s">
        <v>51</v>
      </c>
      <c r="AN2306" s="78" t="s">
        <v>481</v>
      </c>
      <c r="AO2306" s="78">
        <v>1.4685085494990413</v>
      </c>
    </row>
    <row r="2307" spans="29:41">
      <c r="AC2307" s="78" t="s">
        <v>52</v>
      </c>
      <c r="AD2307" s="78" t="s">
        <v>20</v>
      </c>
      <c r="AE2307" s="78" t="s">
        <v>72</v>
      </c>
      <c r="AF2307" s="78" t="s">
        <v>51</v>
      </c>
      <c r="AG2307" s="78" t="s">
        <v>522</v>
      </c>
      <c r="AH2307" s="78">
        <v>3.9971094474140623</v>
      </c>
      <c r="AJ2307" s="78" t="s">
        <v>52</v>
      </c>
      <c r="AK2307" s="78" t="s">
        <v>20</v>
      </c>
      <c r="AL2307" s="78" t="s">
        <v>28</v>
      </c>
      <c r="AM2307" s="78" t="s">
        <v>51</v>
      </c>
      <c r="AN2307" s="78" t="s">
        <v>482</v>
      </c>
      <c r="AO2307" s="78">
        <v>1.5210994365031743</v>
      </c>
    </row>
    <row r="2308" spans="29:41">
      <c r="AC2308" s="78" t="s">
        <v>52</v>
      </c>
      <c r="AD2308" s="78" t="s">
        <v>20</v>
      </c>
      <c r="AE2308" s="78" t="s">
        <v>72</v>
      </c>
      <c r="AF2308" s="78" t="s">
        <v>51</v>
      </c>
      <c r="AG2308" s="78" t="s">
        <v>523</v>
      </c>
      <c r="AH2308" s="78">
        <v>4.060893341423701</v>
      </c>
      <c r="AJ2308" s="78" t="s">
        <v>52</v>
      </c>
      <c r="AK2308" s="78" t="s">
        <v>20</v>
      </c>
      <c r="AL2308" s="78" t="s">
        <v>28</v>
      </c>
      <c r="AM2308" s="78" t="s">
        <v>51</v>
      </c>
      <c r="AN2308" s="78" t="s">
        <v>483</v>
      </c>
      <c r="AO2308" s="78">
        <v>1.5052400509121013</v>
      </c>
    </row>
    <row r="2309" spans="29:41">
      <c r="AC2309" s="78" t="s">
        <v>52</v>
      </c>
      <c r="AD2309" s="78" t="s">
        <v>20</v>
      </c>
      <c r="AE2309" s="78" t="s">
        <v>72</v>
      </c>
      <c r="AF2309" s="78" t="s">
        <v>51</v>
      </c>
      <c r="AG2309" s="78" t="s">
        <v>524</v>
      </c>
      <c r="AH2309" s="78">
        <v>4.060893341423701</v>
      </c>
      <c r="AJ2309" s="78" t="s">
        <v>52</v>
      </c>
      <c r="AK2309" s="78" t="s">
        <v>20</v>
      </c>
      <c r="AL2309" s="78" t="s">
        <v>28</v>
      </c>
      <c r="AM2309" s="78" t="s">
        <v>51</v>
      </c>
      <c r="AN2309" s="78" t="s">
        <v>484</v>
      </c>
      <c r="AO2309" s="78">
        <v>1.4528478102226714</v>
      </c>
    </row>
    <row r="2310" spans="29:41">
      <c r="AC2310" s="78" t="s">
        <v>52</v>
      </c>
      <c r="AD2310" s="78" t="s">
        <v>20</v>
      </c>
      <c r="AE2310" s="78" t="s">
        <v>72</v>
      </c>
      <c r="AF2310" s="78" t="s">
        <v>51</v>
      </c>
      <c r="AG2310" s="78" t="s">
        <v>525</v>
      </c>
      <c r="AH2310" s="78">
        <v>3.9963812771736564</v>
      </c>
      <c r="AJ2310" s="78" t="s">
        <v>52</v>
      </c>
      <c r="AK2310" s="78" t="s">
        <v>20</v>
      </c>
      <c r="AL2310" s="78" t="s">
        <v>28</v>
      </c>
      <c r="AM2310" s="78" t="s">
        <v>51</v>
      </c>
      <c r="AN2310" s="78" t="s">
        <v>485</v>
      </c>
      <c r="AO2310" s="78">
        <v>1.519939304824764</v>
      </c>
    </row>
    <row r="2311" spans="29:41">
      <c r="AC2311" s="78" t="s">
        <v>52</v>
      </c>
      <c r="AD2311" s="78" t="s">
        <v>20</v>
      </c>
      <c r="AE2311" s="78" t="s">
        <v>72</v>
      </c>
      <c r="AF2311" s="78" t="s">
        <v>51</v>
      </c>
      <c r="AG2311" s="78" t="s">
        <v>526</v>
      </c>
      <c r="AH2311" s="78">
        <v>4.060893341423701</v>
      </c>
      <c r="AJ2311" s="78" t="s">
        <v>52</v>
      </c>
      <c r="AK2311" s="78" t="s">
        <v>20</v>
      </c>
      <c r="AL2311" s="78" t="s">
        <v>28</v>
      </c>
      <c r="AM2311" s="78" t="s">
        <v>51</v>
      </c>
      <c r="AN2311" s="78" t="s">
        <v>486</v>
      </c>
      <c r="AO2311" s="78">
        <v>1.5253107100218841</v>
      </c>
    </row>
    <row r="2312" spans="29:41">
      <c r="AC2312" s="78" t="s">
        <v>52</v>
      </c>
      <c r="AD2312" s="78" t="s">
        <v>20</v>
      </c>
      <c r="AE2312" s="78" t="s">
        <v>72</v>
      </c>
      <c r="AF2312" s="78" t="s">
        <v>51</v>
      </c>
      <c r="AG2312" s="78" t="s">
        <v>527</v>
      </c>
      <c r="AH2312" s="78">
        <v>4.0587050066989789</v>
      </c>
      <c r="AJ2312" s="78" t="s">
        <v>52</v>
      </c>
      <c r="AK2312" s="78" t="s">
        <v>20</v>
      </c>
      <c r="AL2312" s="78" t="s">
        <v>28</v>
      </c>
      <c r="AM2312" s="78" t="s">
        <v>51</v>
      </c>
      <c r="AN2312" s="78" t="s">
        <v>487</v>
      </c>
      <c r="AO2312" s="78">
        <v>1.4784379315707614</v>
      </c>
    </row>
    <row r="2313" spans="29:41">
      <c r="AC2313" s="78" t="s">
        <v>52</v>
      </c>
      <c r="AD2313" s="78" t="s">
        <v>20</v>
      </c>
      <c r="AE2313" s="78" t="s">
        <v>72</v>
      </c>
      <c r="AF2313" s="78" t="s">
        <v>51</v>
      </c>
      <c r="AG2313" s="78" t="s">
        <v>528</v>
      </c>
      <c r="AH2313" s="78">
        <v>4.060893341423701</v>
      </c>
      <c r="AJ2313" s="78" t="s">
        <v>52</v>
      </c>
      <c r="AK2313" s="78" t="s">
        <v>20</v>
      </c>
      <c r="AL2313" s="78" t="s">
        <v>28</v>
      </c>
      <c r="AM2313" s="78" t="s">
        <v>51</v>
      </c>
      <c r="AN2313" s="78" t="s">
        <v>749</v>
      </c>
      <c r="AO2313" s="78">
        <v>1.4784379315707614</v>
      </c>
    </row>
    <row r="2314" spans="29:41">
      <c r="AC2314" s="78" t="s">
        <v>52</v>
      </c>
      <c r="AD2314" s="78" t="s">
        <v>20</v>
      </c>
      <c r="AE2314" s="78" t="s">
        <v>72</v>
      </c>
      <c r="AF2314" s="78" t="s">
        <v>51</v>
      </c>
      <c r="AG2314" s="78" t="s">
        <v>529</v>
      </c>
      <c r="AH2314" s="78">
        <v>3.9324160898719867</v>
      </c>
      <c r="AJ2314" s="78" t="s">
        <v>52</v>
      </c>
      <c r="AK2314" s="78" t="s">
        <v>20</v>
      </c>
      <c r="AL2314" s="78" t="s">
        <v>28</v>
      </c>
      <c r="AM2314" s="78" t="s">
        <v>51</v>
      </c>
      <c r="AN2314" s="78" t="s">
        <v>750</v>
      </c>
      <c r="AO2314" s="78">
        <v>1.4784379315707614</v>
      </c>
    </row>
    <row r="2315" spans="29:41">
      <c r="AC2315" s="78" t="s">
        <v>52</v>
      </c>
      <c r="AD2315" s="78" t="s">
        <v>20</v>
      </c>
      <c r="AE2315" s="78" t="s">
        <v>72</v>
      </c>
      <c r="AF2315" s="78" t="s">
        <v>51</v>
      </c>
      <c r="AG2315" s="78" t="s">
        <v>530</v>
      </c>
      <c r="AH2315" s="78">
        <v>3.9963812771736564</v>
      </c>
      <c r="AJ2315" s="78" t="s">
        <v>52</v>
      </c>
      <c r="AK2315" s="78" t="s">
        <v>20</v>
      </c>
      <c r="AL2315" s="78" t="s">
        <v>28</v>
      </c>
      <c r="AM2315" s="78" t="s">
        <v>51</v>
      </c>
      <c r="AN2315" s="78" t="s">
        <v>488</v>
      </c>
      <c r="AO2315" s="78">
        <v>1.5070262581738245</v>
      </c>
    </row>
    <row r="2316" spans="29:41">
      <c r="AC2316" s="78" t="s">
        <v>52</v>
      </c>
      <c r="AD2316" s="78" t="s">
        <v>20</v>
      </c>
      <c r="AE2316" s="78" t="s">
        <v>72</v>
      </c>
      <c r="AF2316" s="78" t="s">
        <v>51</v>
      </c>
      <c r="AG2316" s="78" t="s">
        <v>531</v>
      </c>
      <c r="AH2316" s="78">
        <v>3.9963812771736564</v>
      </c>
      <c r="AJ2316" s="78" t="s">
        <v>52</v>
      </c>
      <c r="AK2316" s="78" t="s">
        <v>20</v>
      </c>
      <c r="AL2316" s="78" t="s">
        <v>28</v>
      </c>
      <c r="AM2316" s="78" t="s">
        <v>51</v>
      </c>
      <c r="AN2316" s="78" t="s">
        <v>489</v>
      </c>
      <c r="AO2316" s="78">
        <v>1.4598663799152614</v>
      </c>
    </row>
    <row r="2317" spans="29:41">
      <c r="AC2317" s="78" t="s">
        <v>52</v>
      </c>
      <c r="AD2317" s="78" t="s">
        <v>20</v>
      </c>
      <c r="AE2317" s="78" t="s">
        <v>72</v>
      </c>
      <c r="AF2317" s="78" t="s">
        <v>51</v>
      </c>
      <c r="AG2317" s="78" t="s">
        <v>532</v>
      </c>
      <c r="AH2317" s="78">
        <v>4.1734289804499189</v>
      </c>
      <c r="AJ2317" s="78" t="s">
        <v>52</v>
      </c>
      <c r="AK2317" s="78" t="s">
        <v>20</v>
      </c>
      <c r="AL2317" s="78" t="s">
        <v>28</v>
      </c>
      <c r="AM2317" s="78" t="s">
        <v>51</v>
      </c>
      <c r="AN2317" s="78" t="s">
        <v>423</v>
      </c>
      <c r="AO2317" s="78">
        <v>1.5040918785707342</v>
      </c>
    </row>
    <row r="2318" spans="29:41">
      <c r="AC2318" s="78" t="s">
        <v>52</v>
      </c>
      <c r="AD2318" s="78" t="s">
        <v>20</v>
      </c>
      <c r="AE2318" s="78" t="s">
        <v>72</v>
      </c>
      <c r="AF2318" s="78" t="s">
        <v>51</v>
      </c>
      <c r="AG2318" s="78" t="s">
        <v>533</v>
      </c>
      <c r="AH2318" s="78">
        <v>4.3118975972031501</v>
      </c>
      <c r="AJ2318" s="78" t="s">
        <v>52</v>
      </c>
      <c r="AK2318" s="78" t="s">
        <v>20</v>
      </c>
      <c r="AL2318" s="78" t="s">
        <v>28</v>
      </c>
      <c r="AM2318" s="78" t="s">
        <v>51</v>
      </c>
      <c r="AN2318" s="78" t="s">
        <v>490</v>
      </c>
      <c r="AO2318" s="78">
        <v>1.5521003889137166</v>
      </c>
    </row>
    <row r="2319" spans="29:41">
      <c r="AC2319" s="78" t="s">
        <v>52</v>
      </c>
      <c r="AD2319" s="78" t="s">
        <v>20</v>
      </c>
      <c r="AE2319" s="78" t="s">
        <v>72</v>
      </c>
      <c r="AF2319" s="78" t="s">
        <v>51</v>
      </c>
      <c r="AG2319" s="78" t="s">
        <v>534</v>
      </c>
      <c r="AH2319" s="78">
        <v>4.4991979147795913</v>
      </c>
      <c r="AJ2319" s="78" t="s">
        <v>52</v>
      </c>
      <c r="AK2319" s="78" t="s">
        <v>20</v>
      </c>
      <c r="AL2319" s="78" t="s">
        <v>28</v>
      </c>
      <c r="AM2319" s="78" t="s">
        <v>51</v>
      </c>
      <c r="AN2319" s="78" t="s">
        <v>751</v>
      </c>
      <c r="AO2319" s="78">
        <v>1.5521003889137166</v>
      </c>
    </row>
    <row r="2320" spans="29:41">
      <c r="AC2320" s="78" t="s">
        <v>52</v>
      </c>
      <c r="AD2320" s="78" t="s">
        <v>20</v>
      </c>
      <c r="AE2320" s="78" t="s">
        <v>72</v>
      </c>
      <c r="AF2320" s="78" t="s">
        <v>51</v>
      </c>
      <c r="AG2320" s="78" t="s">
        <v>535</v>
      </c>
      <c r="AH2320" s="78">
        <v>4.4384231677951833</v>
      </c>
      <c r="AJ2320" s="78" t="s">
        <v>52</v>
      </c>
      <c r="AK2320" s="78" t="s">
        <v>20</v>
      </c>
      <c r="AL2320" s="78" t="s">
        <v>28</v>
      </c>
      <c r="AM2320" s="78" t="s">
        <v>51</v>
      </c>
      <c r="AN2320" s="78" t="s">
        <v>752</v>
      </c>
      <c r="AO2320" s="78">
        <v>1.5521003889137166</v>
      </c>
    </row>
    <row r="2321" spans="29:41">
      <c r="AC2321" s="78" t="s">
        <v>52</v>
      </c>
      <c r="AD2321" s="78" t="s">
        <v>20</v>
      </c>
      <c r="AE2321" s="78" t="s">
        <v>72</v>
      </c>
      <c r="AF2321" s="78" t="s">
        <v>51</v>
      </c>
      <c r="AG2321" s="78" t="s">
        <v>536</v>
      </c>
      <c r="AH2321" s="78">
        <v>4.4384231677951833</v>
      </c>
      <c r="AJ2321" s="78" t="s">
        <v>52</v>
      </c>
      <c r="AK2321" s="78" t="s">
        <v>20</v>
      </c>
      <c r="AL2321" s="78" t="s">
        <v>28</v>
      </c>
      <c r="AM2321" s="78" t="s">
        <v>51</v>
      </c>
      <c r="AN2321" s="78" t="s">
        <v>491</v>
      </c>
      <c r="AO2321" s="78">
        <v>1.5254895983615342</v>
      </c>
    </row>
    <row r="2322" spans="29:41">
      <c r="AC2322" s="78" t="s">
        <v>52</v>
      </c>
      <c r="AD2322" s="78" t="s">
        <v>20</v>
      </c>
      <c r="AE2322" s="78" t="s">
        <v>72</v>
      </c>
      <c r="AF2322" s="78" t="s">
        <v>51</v>
      </c>
      <c r="AG2322" s="78" t="s">
        <v>537</v>
      </c>
      <c r="AH2322" s="78">
        <v>4.3746353816591084</v>
      </c>
      <c r="AJ2322" s="78" t="s">
        <v>52</v>
      </c>
      <c r="AK2322" s="78" t="s">
        <v>20</v>
      </c>
      <c r="AL2322" s="78" t="s">
        <v>28</v>
      </c>
      <c r="AM2322" s="78" t="s">
        <v>51</v>
      </c>
      <c r="AN2322" s="78" t="s">
        <v>492</v>
      </c>
      <c r="AO2322" s="78">
        <v>1.4864181354397439</v>
      </c>
    </row>
    <row r="2323" spans="29:41">
      <c r="AC2323" s="78" t="s">
        <v>52</v>
      </c>
      <c r="AD2323" s="78" t="s">
        <v>20</v>
      </c>
      <c r="AE2323" s="78" t="s">
        <v>72</v>
      </c>
      <c r="AF2323" s="78" t="s">
        <v>51</v>
      </c>
      <c r="AG2323" s="78" t="s">
        <v>538</v>
      </c>
      <c r="AH2323" s="78">
        <v>4.5004250935354104</v>
      </c>
      <c r="AJ2323" s="78" t="s">
        <v>52</v>
      </c>
      <c r="AK2323" s="78" t="s">
        <v>20</v>
      </c>
      <c r="AL2323" s="78" t="s">
        <v>28</v>
      </c>
      <c r="AM2323" s="78" t="s">
        <v>51</v>
      </c>
      <c r="AN2323" s="78" t="s">
        <v>753</v>
      </c>
      <c r="AO2323" s="78">
        <v>1.4864181354397439</v>
      </c>
    </row>
    <row r="2324" spans="29:41">
      <c r="AC2324" s="78" t="s">
        <v>52</v>
      </c>
      <c r="AD2324" s="78" t="s">
        <v>20</v>
      </c>
      <c r="AE2324" s="78" t="s">
        <v>72</v>
      </c>
      <c r="AF2324" s="78" t="s">
        <v>51</v>
      </c>
      <c r="AG2324" s="78" t="s">
        <v>539</v>
      </c>
      <c r="AH2324" s="78">
        <v>4.4544722357449444</v>
      </c>
      <c r="AJ2324" s="78" t="s">
        <v>52</v>
      </c>
      <c r="AK2324" s="78" t="s">
        <v>20</v>
      </c>
      <c r="AL2324" s="78" t="s">
        <v>28</v>
      </c>
      <c r="AM2324" s="78" t="s">
        <v>51</v>
      </c>
      <c r="AN2324" s="78" t="s">
        <v>493</v>
      </c>
      <c r="AO2324" s="78">
        <v>1.5535207406702964</v>
      </c>
    </row>
    <row r="2325" spans="29:41">
      <c r="AC2325" s="78" t="s">
        <v>52</v>
      </c>
      <c r="AD2325" s="78" t="s">
        <v>20</v>
      </c>
      <c r="AE2325" s="78" t="s">
        <v>72</v>
      </c>
      <c r="AF2325" s="78" t="s">
        <v>51</v>
      </c>
      <c r="AG2325" s="78" t="s">
        <v>540</v>
      </c>
      <c r="AH2325" s="78">
        <v>4.5628647075387256</v>
      </c>
      <c r="AJ2325" s="78" t="s">
        <v>52</v>
      </c>
      <c r="AK2325" s="78" t="s">
        <v>20</v>
      </c>
      <c r="AL2325" s="78" t="s">
        <v>28</v>
      </c>
      <c r="AM2325" s="78" t="s">
        <v>51</v>
      </c>
      <c r="AN2325" s="78" t="s">
        <v>494</v>
      </c>
      <c r="AO2325" s="78">
        <v>1.5849437383458411</v>
      </c>
    </row>
    <row r="2326" spans="29:41">
      <c r="AC2326" s="78" t="s">
        <v>52</v>
      </c>
      <c r="AD2326" s="78" t="s">
        <v>20</v>
      </c>
      <c r="AE2326" s="78" t="s">
        <v>72</v>
      </c>
      <c r="AF2326" s="78" t="s">
        <v>51</v>
      </c>
      <c r="AG2326" s="78" t="s">
        <v>541</v>
      </c>
      <c r="AH2326" s="78">
        <v>4.5489973351823689</v>
      </c>
      <c r="AJ2326" s="78" t="s">
        <v>52</v>
      </c>
      <c r="AK2326" s="78" t="s">
        <v>20</v>
      </c>
      <c r="AL2326" s="78" t="s">
        <v>28</v>
      </c>
      <c r="AM2326" s="78" t="s">
        <v>51</v>
      </c>
      <c r="AN2326" s="78" t="s">
        <v>495</v>
      </c>
      <c r="AO2326" s="78">
        <v>1.6134554439104289</v>
      </c>
    </row>
    <row r="2327" spans="29:41">
      <c r="AC2327" s="78" t="s">
        <v>52</v>
      </c>
      <c r="AD2327" s="78" t="s">
        <v>20</v>
      </c>
      <c r="AE2327" s="78" t="s">
        <v>72</v>
      </c>
      <c r="AF2327" s="78" t="s">
        <v>51</v>
      </c>
      <c r="AG2327" s="78" t="s">
        <v>542</v>
      </c>
      <c r="AH2327" s="78">
        <v>4.6879663696898612</v>
      </c>
      <c r="AJ2327" s="78" t="s">
        <v>52</v>
      </c>
      <c r="AK2327" s="78" t="s">
        <v>20</v>
      </c>
      <c r="AL2327" s="78" t="s">
        <v>28</v>
      </c>
      <c r="AM2327" s="78" t="s">
        <v>51</v>
      </c>
      <c r="AN2327" s="78" t="s">
        <v>496</v>
      </c>
      <c r="AO2327" s="78">
        <v>1.5430658055026421</v>
      </c>
    </row>
    <row r="2328" spans="29:41">
      <c r="AC2328" s="78" t="s">
        <v>52</v>
      </c>
      <c r="AD2328" s="78" t="s">
        <v>20</v>
      </c>
      <c r="AE2328" s="78" t="s">
        <v>72</v>
      </c>
      <c r="AF2328" s="78" t="s">
        <v>51</v>
      </c>
      <c r="AG2328" s="78" t="s">
        <v>543</v>
      </c>
      <c r="AH2328" s="78">
        <v>4.6245354086055812</v>
      </c>
      <c r="AJ2328" s="78" t="s">
        <v>52</v>
      </c>
      <c r="AK2328" s="78" t="s">
        <v>20</v>
      </c>
      <c r="AL2328" s="78" t="s">
        <v>28</v>
      </c>
      <c r="AM2328" s="78" t="s">
        <v>51</v>
      </c>
      <c r="AN2328" s="78" t="s">
        <v>497</v>
      </c>
      <c r="AO2328" s="78">
        <v>1.542404442405642</v>
      </c>
    </row>
    <row r="2329" spans="29:41">
      <c r="AC2329" s="78" t="s">
        <v>52</v>
      </c>
      <c r="AD2329" s="78" t="s">
        <v>20</v>
      </c>
      <c r="AE2329" s="78" t="s">
        <v>72</v>
      </c>
      <c r="AF2329" s="78" t="s">
        <v>51</v>
      </c>
      <c r="AG2329" s="78" t="s">
        <v>544</v>
      </c>
      <c r="AH2329" s="78">
        <v>4.5639756765749206</v>
      </c>
      <c r="AJ2329" s="78" t="s">
        <v>52</v>
      </c>
      <c r="AK2329" s="78" t="s">
        <v>20</v>
      </c>
      <c r="AL2329" s="78" t="s">
        <v>28</v>
      </c>
      <c r="AM2329" s="78" t="s">
        <v>51</v>
      </c>
      <c r="AN2329" s="78" t="s">
        <v>498</v>
      </c>
      <c r="AO2329" s="78">
        <v>1.5265894191736622</v>
      </c>
    </row>
    <row r="2330" spans="29:41">
      <c r="AC2330" s="78" t="s">
        <v>52</v>
      </c>
      <c r="AD2330" s="78" t="s">
        <v>20</v>
      </c>
      <c r="AE2330" s="78" t="s">
        <v>72</v>
      </c>
      <c r="AF2330" s="78" t="s">
        <v>51</v>
      </c>
      <c r="AG2330" s="78" t="s">
        <v>545</v>
      </c>
      <c r="AH2330" s="78">
        <v>4.5639756765749206</v>
      </c>
      <c r="AJ2330" s="78" t="s">
        <v>52</v>
      </c>
      <c r="AK2330" s="78" t="s">
        <v>20</v>
      </c>
      <c r="AL2330" s="78" t="s">
        <v>28</v>
      </c>
      <c r="AM2330" s="78" t="s">
        <v>51</v>
      </c>
      <c r="AN2330" s="78" t="s">
        <v>499</v>
      </c>
      <c r="AO2330" s="78">
        <v>1.5293659903593424</v>
      </c>
    </row>
    <row r="2331" spans="29:41">
      <c r="AC2331" s="78" t="s">
        <v>52</v>
      </c>
      <c r="AD2331" s="78" t="s">
        <v>20</v>
      </c>
      <c r="AE2331" s="78" t="s">
        <v>72</v>
      </c>
      <c r="AF2331" s="78" t="s">
        <v>51</v>
      </c>
      <c r="AG2331" s="78" t="s">
        <v>546</v>
      </c>
      <c r="AH2331" s="78">
        <v>4.6260926613935913</v>
      </c>
      <c r="AJ2331" s="78" t="s">
        <v>52</v>
      </c>
      <c r="AK2331" s="78" t="s">
        <v>20</v>
      </c>
      <c r="AL2331" s="78" t="s">
        <v>28</v>
      </c>
      <c r="AM2331" s="78" t="s">
        <v>51</v>
      </c>
      <c r="AN2331" s="78" t="s">
        <v>500</v>
      </c>
      <c r="AO2331" s="78">
        <v>1.5498796230929823</v>
      </c>
    </row>
    <row r="2332" spans="29:41">
      <c r="AC2332" s="78" t="s">
        <v>52</v>
      </c>
      <c r="AD2332" s="78" t="s">
        <v>20</v>
      </c>
      <c r="AE2332" s="78" t="s">
        <v>72</v>
      </c>
      <c r="AF2332" s="78" t="s">
        <v>51</v>
      </c>
      <c r="AG2332" s="78" t="s">
        <v>547</v>
      </c>
      <c r="AH2332" s="78">
        <v>4.5639756765749206</v>
      </c>
      <c r="AJ2332" s="78" t="s">
        <v>52</v>
      </c>
      <c r="AK2332" s="78" t="s">
        <v>20</v>
      </c>
      <c r="AL2332" s="78" t="s">
        <v>28</v>
      </c>
      <c r="AM2332" s="78" t="s">
        <v>51</v>
      </c>
      <c r="AN2332" s="78" t="s">
        <v>501</v>
      </c>
      <c r="AO2332" s="78">
        <v>1.5741195708035924</v>
      </c>
    </row>
    <row r="2333" spans="29:41">
      <c r="AC2333" s="78" t="s">
        <v>52</v>
      </c>
      <c r="AD2333" s="78" t="s">
        <v>20</v>
      </c>
      <c r="AE2333" s="78" t="s">
        <v>72</v>
      </c>
      <c r="AF2333" s="78" t="s">
        <v>51</v>
      </c>
      <c r="AG2333" s="78" t="s">
        <v>548</v>
      </c>
      <c r="AH2333" s="78">
        <v>4.5489973351823689</v>
      </c>
      <c r="AJ2333" s="78" t="s">
        <v>52</v>
      </c>
      <c r="AK2333" s="78" t="s">
        <v>20</v>
      </c>
      <c r="AL2333" s="78" t="s">
        <v>28</v>
      </c>
      <c r="AM2333" s="78" t="s">
        <v>51</v>
      </c>
      <c r="AN2333" s="78" t="s">
        <v>502</v>
      </c>
      <c r="AO2333" s="78">
        <v>1.4730786670833713</v>
      </c>
    </row>
    <row r="2334" spans="29:41">
      <c r="AC2334" s="78" t="s">
        <v>52</v>
      </c>
      <c r="AD2334" s="78" t="s">
        <v>20</v>
      </c>
      <c r="AE2334" s="78" t="s">
        <v>72</v>
      </c>
      <c r="AF2334" s="78" t="s">
        <v>51</v>
      </c>
      <c r="AG2334" s="78" t="s">
        <v>549</v>
      </c>
      <c r="AH2334" s="78">
        <v>4.6245354086055812</v>
      </c>
      <c r="AJ2334" s="78" t="s">
        <v>52</v>
      </c>
      <c r="AK2334" s="78" t="s">
        <v>20</v>
      </c>
      <c r="AL2334" s="78" t="s">
        <v>28</v>
      </c>
      <c r="AM2334" s="78" t="s">
        <v>51</v>
      </c>
      <c r="AN2334" s="78" t="s">
        <v>422</v>
      </c>
      <c r="AO2334" s="78">
        <v>1.5067958997317912</v>
      </c>
    </row>
    <row r="2335" spans="29:41">
      <c r="AC2335" s="78" t="s">
        <v>52</v>
      </c>
      <c r="AD2335" s="78" t="s">
        <v>20</v>
      </c>
      <c r="AE2335" s="78" t="s">
        <v>72</v>
      </c>
      <c r="AF2335" s="78" t="s">
        <v>51</v>
      </c>
      <c r="AG2335" s="78" t="s">
        <v>550</v>
      </c>
      <c r="AH2335" s="78">
        <v>4.5639756765749206</v>
      </c>
      <c r="AJ2335" s="78" t="s">
        <v>52</v>
      </c>
      <c r="AK2335" s="78" t="s">
        <v>20</v>
      </c>
      <c r="AL2335" s="78" t="s">
        <v>28</v>
      </c>
      <c r="AM2335" s="78" t="s">
        <v>51</v>
      </c>
      <c r="AN2335" s="78" t="s">
        <v>503</v>
      </c>
      <c r="AO2335" s="78">
        <v>1.5652296430606787</v>
      </c>
    </row>
    <row r="2336" spans="29:41">
      <c r="AC2336" s="78" t="s">
        <v>52</v>
      </c>
      <c r="AD2336" s="78" t="s">
        <v>20</v>
      </c>
      <c r="AE2336" s="78" t="s">
        <v>72</v>
      </c>
      <c r="AF2336" s="78" t="s">
        <v>51</v>
      </c>
      <c r="AG2336" s="78" t="s">
        <v>551</v>
      </c>
      <c r="AH2336" s="78">
        <v>4.6245354086055812</v>
      </c>
      <c r="AJ2336" s="78" t="s">
        <v>52</v>
      </c>
      <c r="AK2336" s="78" t="s">
        <v>20</v>
      </c>
      <c r="AL2336" s="78" t="s">
        <v>28</v>
      </c>
      <c r="AM2336" s="78" t="s">
        <v>51</v>
      </c>
      <c r="AN2336" s="78" t="s">
        <v>504</v>
      </c>
      <c r="AO2336" s="78">
        <v>1.5512826650793183</v>
      </c>
    </row>
    <row r="2337" spans="29:41">
      <c r="AC2337" s="78" t="s">
        <v>52</v>
      </c>
      <c r="AD2337" s="78" t="s">
        <v>20</v>
      </c>
      <c r="AE2337" s="78" t="s">
        <v>72</v>
      </c>
      <c r="AF2337" s="78" t="s">
        <v>51</v>
      </c>
      <c r="AG2337" s="78" t="s">
        <v>552</v>
      </c>
      <c r="AH2337" s="78">
        <v>4.5628647075387256</v>
      </c>
      <c r="AJ2337" s="78" t="s">
        <v>52</v>
      </c>
      <c r="AK2337" s="78" t="s">
        <v>20</v>
      </c>
      <c r="AL2337" s="78" t="s">
        <v>28</v>
      </c>
      <c r="AM2337" s="78" t="s">
        <v>51</v>
      </c>
      <c r="AN2337" s="78" t="s">
        <v>505</v>
      </c>
      <c r="AO2337" s="78">
        <v>1.5114621307348912</v>
      </c>
    </row>
    <row r="2338" spans="29:41">
      <c r="AC2338" s="78" t="s">
        <v>52</v>
      </c>
      <c r="AD2338" s="78" t="s">
        <v>20</v>
      </c>
      <c r="AE2338" s="78" t="s">
        <v>72</v>
      </c>
      <c r="AF2338" s="78" t="s">
        <v>51</v>
      </c>
      <c r="AG2338" s="78" t="s">
        <v>553</v>
      </c>
      <c r="AH2338" s="78">
        <v>4.6245354086055812</v>
      </c>
      <c r="AJ2338" s="78" t="s">
        <v>52</v>
      </c>
      <c r="AK2338" s="78" t="s">
        <v>20</v>
      </c>
      <c r="AL2338" s="78" t="s">
        <v>28</v>
      </c>
      <c r="AM2338" s="78" t="s">
        <v>51</v>
      </c>
      <c r="AN2338" s="78" t="s">
        <v>421</v>
      </c>
      <c r="AO2338" s="78">
        <v>1.4619386294039403</v>
      </c>
    </row>
    <row r="2339" spans="29:41">
      <c r="AC2339" s="78" t="s">
        <v>52</v>
      </c>
      <c r="AD2339" s="78" t="s">
        <v>20</v>
      </c>
      <c r="AE2339" s="78" t="s">
        <v>72</v>
      </c>
      <c r="AF2339" s="78" t="s">
        <v>51</v>
      </c>
      <c r="AG2339" s="78" t="s">
        <v>554</v>
      </c>
      <c r="AH2339" s="78">
        <v>4.6879663696898612</v>
      </c>
      <c r="AJ2339" s="78" t="s">
        <v>52</v>
      </c>
      <c r="AK2339" s="78" t="s">
        <v>20</v>
      </c>
      <c r="AL2339" s="78" t="s">
        <v>28</v>
      </c>
      <c r="AM2339" s="78" t="s">
        <v>51</v>
      </c>
      <c r="AN2339" s="78" t="s">
        <v>506</v>
      </c>
      <c r="AO2339" s="78">
        <v>1.5095161535928083</v>
      </c>
    </row>
    <row r="2340" spans="29:41">
      <c r="AC2340" s="78" t="s">
        <v>52</v>
      </c>
      <c r="AD2340" s="78" t="s">
        <v>20</v>
      </c>
      <c r="AE2340" s="78" t="s">
        <v>72</v>
      </c>
      <c r="AF2340" s="78" t="s">
        <v>51</v>
      </c>
      <c r="AG2340" s="78" t="s">
        <v>555</v>
      </c>
      <c r="AH2340" s="78">
        <v>4.5489973351823689</v>
      </c>
      <c r="AJ2340" s="78" t="s">
        <v>52</v>
      </c>
      <c r="AK2340" s="78" t="s">
        <v>20</v>
      </c>
      <c r="AL2340" s="78" t="s">
        <v>28</v>
      </c>
      <c r="AM2340" s="78" t="s">
        <v>51</v>
      </c>
      <c r="AN2340" s="78" t="s">
        <v>507</v>
      </c>
      <c r="AO2340" s="78">
        <v>1.4681024013795181</v>
      </c>
    </row>
    <row r="2341" spans="29:41">
      <c r="AC2341" s="78" t="s">
        <v>52</v>
      </c>
      <c r="AD2341" s="78" t="s">
        <v>20</v>
      </c>
      <c r="AE2341" s="78" t="s">
        <v>72</v>
      </c>
      <c r="AF2341" s="78" t="s">
        <v>51</v>
      </c>
      <c r="AG2341" s="78" t="s">
        <v>556</v>
      </c>
      <c r="AH2341" s="78">
        <v>4.7089234907517152</v>
      </c>
      <c r="AJ2341" s="78" t="s">
        <v>52</v>
      </c>
      <c r="AK2341" s="78" t="s">
        <v>20</v>
      </c>
      <c r="AL2341" s="78" t="s">
        <v>28</v>
      </c>
      <c r="AM2341" s="78" t="s">
        <v>51</v>
      </c>
      <c r="AN2341" s="78" t="s">
        <v>508</v>
      </c>
      <c r="AO2341" s="78">
        <v>1.447608919913574</v>
      </c>
    </row>
    <row r="2342" spans="29:41">
      <c r="AC2342" s="78" t="s">
        <v>52</v>
      </c>
      <c r="AD2342" s="78" t="s">
        <v>20</v>
      </c>
      <c r="AE2342" s="78" t="s">
        <v>72</v>
      </c>
      <c r="AF2342" s="78" t="s">
        <v>51</v>
      </c>
      <c r="AG2342" s="78" t="s">
        <v>557</v>
      </c>
      <c r="AH2342" s="78">
        <v>4.7089234907517152</v>
      </c>
      <c r="AJ2342" s="78" t="s">
        <v>52</v>
      </c>
      <c r="AK2342" s="78" t="s">
        <v>20</v>
      </c>
      <c r="AL2342" s="78" t="s">
        <v>28</v>
      </c>
      <c r="AM2342" s="78" t="s">
        <v>51</v>
      </c>
      <c r="AN2342" s="78" t="s">
        <v>509</v>
      </c>
      <c r="AO2342" s="78">
        <v>1.4281492864599739</v>
      </c>
    </row>
    <row r="2343" spans="29:41">
      <c r="AC2343" s="78" t="s">
        <v>52</v>
      </c>
      <c r="AD2343" s="78" t="s">
        <v>20</v>
      </c>
      <c r="AE2343" s="78" t="s">
        <v>72</v>
      </c>
      <c r="AF2343" s="78" t="s">
        <v>51</v>
      </c>
      <c r="AG2343" s="78" t="s">
        <v>558</v>
      </c>
      <c r="AH2343" s="78">
        <v>4.7089234907517152</v>
      </c>
      <c r="AJ2343" s="78" t="s">
        <v>52</v>
      </c>
      <c r="AK2343" s="78" t="s">
        <v>20</v>
      </c>
      <c r="AL2343" s="78" t="s">
        <v>28</v>
      </c>
      <c r="AM2343" s="78" t="s">
        <v>51</v>
      </c>
      <c r="AN2343" s="78" t="s">
        <v>510</v>
      </c>
      <c r="AO2343" s="78">
        <v>1.4829425052345568</v>
      </c>
    </row>
    <row r="2344" spans="29:41">
      <c r="AC2344" s="78" t="s">
        <v>52</v>
      </c>
      <c r="AD2344" s="78" t="s">
        <v>20</v>
      </c>
      <c r="AE2344" s="78" t="s">
        <v>72</v>
      </c>
      <c r="AF2344" s="78" t="s">
        <v>51</v>
      </c>
      <c r="AG2344" s="78" t="s">
        <v>559</v>
      </c>
      <c r="AH2344" s="78">
        <v>4.7089234907517152</v>
      </c>
      <c r="AJ2344" s="78" t="s">
        <v>52</v>
      </c>
      <c r="AK2344" s="78" t="s">
        <v>20</v>
      </c>
      <c r="AL2344" s="78" t="s">
        <v>28</v>
      </c>
      <c r="AM2344" s="78" t="s">
        <v>51</v>
      </c>
      <c r="AN2344" s="78" t="s">
        <v>511</v>
      </c>
      <c r="AO2344" s="78">
        <v>1.5235853271833921</v>
      </c>
    </row>
    <row r="2345" spans="29:41">
      <c r="AC2345" s="78" t="s">
        <v>52</v>
      </c>
      <c r="AD2345" s="78" t="s">
        <v>20</v>
      </c>
      <c r="AE2345" s="78" t="s">
        <v>72</v>
      </c>
      <c r="AF2345" s="78" t="s">
        <v>51</v>
      </c>
      <c r="AG2345" s="78" t="s">
        <v>560</v>
      </c>
      <c r="AH2345" s="78">
        <v>4.7089234907517152</v>
      </c>
      <c r="AJ2345" s="78" t="s">
        <v>52</v>
      </c>
      <c r="AK2345" s="78" t="s">
        <v>20</v>
      </c>
      <c r="AL2345" s="78" t="s">
        <v>28</v>
      </c>
      <c r="AM2345" s="78" t="s">
        <v>51</v>
      </c>
      <c r="AN2345" s="78" t="s">
        <v>512</v>
      </c>
      <c r="AO2345" s="78">
        <v>1.5678102544083989</v>
      </c>
    </row>
    <row r="2346" spans="29:41">
      <c r="AC2346" s="78" t="s">
        <v>52</v>
      </c>
      <c r="AD2346" s="78" t="s">
        <v>20</v>
      </c>
      <c r="AE2346" s="78" t="s">
        <v>72</v>
      </c>
      <c r="AF2346" s="78" t="s">
        <v>51</v>
      </c>
      <c r="AG2346" s="78" t="s">
        <v>561</v>
      </c>
      <c r="AH2346" s="78">
        <v>4.7089234907517152</v>
      </c>
      <c r="AJ2346" s="78" t="s">
        <v>52</v>
      </c>
      <c r="AK2346" s="78" t="s">
        <v>20</v>
      </c>
      <c r="AL2346" s="78" t="s">
        <v>28</v>
      </c>
      <c r="AM2346" s="78" t="s">
        <v>51</v>
      </c>
      <c r="AN2346" s="78" t="s">
        <v>513</v>
      </c>
      <c r="AO2346" s="78">
        <v>1.5404385869041521</v>
      </c>
    </row>
    <row r="2347" spans="29:41">
      <c r="AC2347" s="78" t="s">
        <v>52</v>
      </c>
      <c r="AD2347" s="78" t="s">
        <v>20</v>
      </c>
      <c r="AE2347" s="78" t="s">
        <v>72</v>
      </c>
      <c r="AF2347" s="78" t="s">
        <v>51</v>
      </c>
      <c r="AG2347" s="78" t="s">
        <v>562</v>
      </c>
      <c r="AH2347" s="78">
        <v>4.6776734907517152</v>
      </c>
      <c r="AJ2347" s="78" t="s">
        <v>52</v>
      </c>
      <c r="AK2347" s="78" t="s">
        <v>20</v>
      </c>
      <c r="AL2347" s="78" t="s">
        <v>28</v>
      </c>
      <c r="AM2347" s="78" t="s">
        <v>51</v>
      </c>
      <c r="AN2347" s="78" t="s">
        <v>514</v>
      </c>
      <c r="AO2347" s="78">
        <v>1.4939556027126721</v>
      </c>
    </row>
    <row r="2348" spans="29:41">
      <c r="AC2348" s="78" t="s">
        <v>52</v>
      </c>
      <c r="AD2348" s="78" t="s">
        <v>20</v>
      </c>
      <c r="AE2348" s="78" t="s">
        <v>72</v>
      </c>
      <c r="AF2348" s="78" t="s">
        <v>51</v>
      </c>
      <c r="AG2348" s="78" t="s">
        <v>563</v>
      </c>
      <c r="AH2348" s="78">
        <v>4.7089234907517152</v>
      </c>
      <c r="AJ2348" s="78" t="s">
        <v>52</v>
      </c>
      <c r="AK2348" s="78" t="s">
        <v>20</v>
      </c>
      <c r="AL2348" s="78" t="s">
        <v>28</v>
      </c>
      <c r="AM2348" s="78" t="s">
        <v>51</v>
      </c>
      <c r="AN2348" s="78" t="s">
        <v>515</v>
      </c>
      <c r="AO2348" s="78">
        <v>1.5720545085274387</v>
      </c>
    </row>
    <row r="2349" spans="29:41">
      <c r="AC2349" s="78" t="s">
        <v>52</v>
      </c>
      <c r="AD2349" s="78" t="s">
        <v>20</v>
      </c>
      <c r="AE2349" s="78" t="s">
        <v>72</v>
      </c>
      <c r="AF2349" s="78" t="s">
        <v>51</v>
      </c>
      <c r="AG2349" s="78" t="s">
        <v>564</v>
      </c>
      <c r="AH2349" s="78">
        <v>4.8158503721710213</v>
      </c>
      <c r="AJ2349" s="78" t="s">
        <v>52</v>
      </c>
      <c r="AK2349" s="78" t="s">
        <v>20</v>
      </c>
      <c r="AL2349" s="78" t="s">
        <v>28</v>
      </c>
      <c r="AM2349" s="78" t="s">
        <v>51</v>
      </c>
      <c r="AN2349" s="78" t="s">
        <v>516</v>
      </c>
      <c r="AO2349" s="78">
        <v>1.531590776126732</v>
      </c>
    </row>
    <row r="2350" spans="29:41">
      <c r="AC2350" s="78" t="s">
        <v>52</v>
      </c>
      <c r="AD2350" s="78" t="s">
        <v>20</v>
      </c>
      <c r="AE2350" s="78" t="s">
        <v>72</v>
      </c>
      <c r="AF2350" s="78" t="s">
        <v>51</v>
      </c>
      <c r="AG2350" s="78" t="s">
        <v>565</v>
      </c>
      <c r="AH2350" s="78">
        <v>4.6894071952244643</v>
      </c>
      <c r="AJ2350" s="78" t="s">
        <v>52</v>
      </c>
      <c r="AK2350" s="78" t="s">
        <v>20</v>
      </c>
      <c r="AL2350" s="78" t="s">
        <v>28</v>
      </c>
      <c r="AM2350" s="78" t="s">
        <v>51</v>
      </c>
      <c r="AN2350" s="78" t="s">
        <v>517</v>
      </c>
      <c r="AO2350" s="78">
        <v>1.4684583892715466</v>
      </c>
    </row>
    <row r="2351" spans="29:41">
      <c r="AC2351" s="78" t="s">
        <v>52</v>
      </c>
      <c r="AD2351" s="78" t="s">
        <v>20</v>
      </c>
      <c r="AE2351" s="78" t="s">
        <v>72</v>
      </c>
      <c r="AF2351" s="78" t="s">
        <v>51</v>
      </c>
      <c r="AG2351" s="78" t="s">
        <v>566</v>
      </c>
      <c r="AH2351" s="78">
        <v>4.6260926613935913</v>
      </c>
      <c r="AJ2351" s="78" t="s">
        <v>52</v>
      </c>
      <c r="AK2351" s="78" t="s">
        <v>20</v>
      </c>
      <c r="AL2351" s="78" t="s">
        <v>28</v>
      </c>
      <c r="AM2351" s="78" t="s">
        <v>51</v>
      </c>
      <c r="AN2351" s="78" t="s">
        <v>518</v>
      </c>
      <c r="AO2351" s="78">
        <v>1.4741447034816266</v>
      </c>
    </row>
    <row r="2352" spans="29:41">
      <c r="AC2352" s="78" t="s">
        <v>52</v>
      </c>
      <c r="AD2352" s="78" t="s">
        <v>20</v>
      </c>
      <c r="AE2352" s="78" t="s">
        <v>72</v>
      </c>
      <c r="AF2352" s="78" t="s">
        <v>51</v>
      </c>
      <c r="AG2352" s="78" t="s">
        <v>567</v>
      </c>
      <c r="AH2352" s="78">
        <v>4.6894071952244643</v>
      </c>
      <c r="AJ2352" s="78" t="s">
        <v>52</v>
      </c>
      <c r="AK2352" s="78" t="s">
        <v>20</v>
      </c>
      <c r="AL2352" s="78" t="s">
        <v>28</v>
      </c>
      <c r="AM2352" s="78" t="s">
        <v>51</v>
      </c>
      <c r="AN2352" s="78" t="s">
        <v>519</v>
      </c>
      <c r="AO2352" s="78">
        <v>1.4837383853133268</v>
      </c>
    </row>
    <row r="2353" spans="29:41">
      <c r="AC2353" s="78" t="s">
        <v>52</v>
      </c>
      <c r="AD2353" s="78" t="s">
        <v>20</v>
      </c>
      <c r="AE2353" s="78" t="s">
        <v>72</v>
      </c>
      <c r="AF2353" s="78" t="s">
        <v>51</v>
      </c>
      <c r="AG2353" s="78" t="s">
        <v>568</v>
      </c>
      <c r="AH2353" s="78">
        <v>4.6260926613935913</v>
      </c>
      <c r="AJ2353" s="78" t="s">
        <v>52</v>
      </c>
      <c r="AK2353" s="78" t="s">
        <v>20</v>
      </c>
      <c r="AL2353" s="78" t="s">
        <v>28</v>
      </c>
      <c r="AM2353" s="78" t="s">
        <v>51</v>
      </c>
      <c r="AN2353" s="78" t="s">
        <v>520</v>
      </c>
      <c r="AO2353" s="78">
        <v>1.4054404489049543</v>
      </c>
    </row>
    <row r="2354" spans="29:41">
      <c r="AC2354" s="78" t="s">
        <v>52</v>
      </c>
      <c r="AD2354" s="78" t="s">
        <v>20</v>
      </c>
      <c r="AE2354" s="78" t="s">
        <v>72</v>
      </c>
      <c r="AF2354" s="78" t="s">
        <v>51</v>
      </c>
      <c r="AG2354" s="78" t="s">
        <v>569</v>
      </c>
      <c r="AH2354" s="78">
        <v>4.5639756765749206</v>
      </c>
      <c r="AJ2354" s="78" t="s">
        <v>52</v>
      </c>
      <c r="AK2354" s="78" t="s">
        <v>20</v>
      </c>
      <c r="AL2354" s="78" t="s">
        <v>28</v>
      </c>
      <c r="AM2354" s="78" t="s">
        <v>51</v>
      </c>
      <c r="AN2354" s="78" t="s">
        <v>521</v>
      </c>
      <c r="AO2354" s="78">
        <v>1.4662854464712365</v>
      </c>
    </row>
    <row r="2355" spans="29:41">
      <c r="AC2355" s="78" t="s">
        <v>52</v>
      </c>
      <c r="AD2355" s="78" t="s">
        <v>20</v>
      </c>
      <c r="AE2355" s="78" t="s">
        <v>72</v>
      </c>
      <c r="AF2355" s="78" t="s">
        <v>51</v>
      </c>
      <c r="AG2355" s="78" t="s">
        <v>570</v>
      </c>
      <c r="AH2355" s="78">
        <v>4.6245354086055812</v>
      </c>
      <c r="AJ2355" s="78" t="s">
        <v>52</v>
      </c>
      <c r="AK2355" s="78" t="s">
        <v>20</v>
      </c>
      <c r="AL2355" s="78" t="s">
        <v>28</v>
      </c>
      <c r="AM2355" s="78" t="s">
        <v>51</v>
      </c>
      <c r="AN2355" s="78" t="s">
        <v>522</v>
      </c>
      <c r="AO2355" s="78">
        <v>1.5110519500366824</v>
      </c>
    </row>
    <row r="2356" spans="29:41">
      <c r="AC2356" s="78" t="s">
        <v>52</v>
      </c>
      <c r="AD2356" s="78" t="s">
        <v>20</v>
      </c>
      <c r="AE2356" s="78" t="s">
        <v>72</v>
      </c>
      <c r="AF2356" s="78" t="s">
        <v>51</v>
      </c>
      <c r="AG2356" s="78" t="s">
        <v>571</v>
      </c>
      <c r="AH2356" s="78">
        <v>4.6879663696898612</v>
      </c>
      <c r="AJ2356" s="78" t="s">
        <v>52</v>
      </c>
      <c r="AK2356" s="78" t="s">
        <v>20</v>
      </c>
      <c r="AL2356" s="78" t="s">
        <v>28</v>
      </c>
      <c r="AM2356" s="78" t="s">
        <v>51</v>
      </c>
      <c r="AN2356" s="78" t="s">
        <v>523</v>
      </c>
      <c r="AO2356" s="78">
        <v>1.530982872569121</v>
      </c>
    </row>
    <row r="2357" spans="29:41">
      <c r="AC2357" s="78" t="s">
        <v>52</v>
      </c>
      <c r="AD2357" s="78" t="s">
        <v>20</v>
      </c>
      <c r="AE2357" s="78" t="s">
        <v>72</v>
      </c>
      <c r="AF2357" s="78" t="s">
        <v>51</v>
      </c>
      <c r="AG2357" s="78" t="s">
        <v>572</v>
      </c>
      <c r="AH2357" s="78">
        <v>4.6245354086055812</v>
      </c>
      <c r="AJ2357" s="78" t="s">
        <v>52</v>
      </c>
      <c r="AK2357" s="78" t="s">
        <v>20</v>
      </c>
      <c r="AL2357" s="78" t="s">
        <v>28</v>
      </c>
      <c r="AM2357" s="78" t="s">
        <v>51</v>
      </c>
      <c r="AN2357" s="78" t="s">
        <v>524</v>
      </c>
      <c r="AO2357" s="78">
        <v>1.5277289687601514</v>
      </c>
    </row>
    <row r="2358" spans="29:41">
      <c r="AC2358" s="78" t="s">
        <v>52</v>
      </c>
      <c r="AD2358" s="78" t="s">
        <v>20</v>
      </c>
      <c r="AE2358" s="78" t="s">
        <v>72</v>
      </c>
      <c r="AF2358" s="78" t="s">
        <v>51</v>
      </c>
      <c r="AG2358" s="78" t="s">
        <v>573</v>
      </c>
      <c r="AH2358" s="78">
        <v>4.5639756765749206</v>
      </c>
      <c r="AJ2358" s="78" t="s">
        <v>52</v>
      </c>
      <c r="AK2358" s="78" t="s">
        <v>20</v>
      </c>
      <c r="AL2358" s="78" t="s">
        <v>28</v>
      </c>
      <c r="AM2358" s="78" t="s">
        <v>51</v>
      </c>
      <c r="AN2358" s="78" t="s">
        <v>525</v>
      </c>
      <c r="AO2358" s="78">
        <v>1.4627718075214564</v>
      </c>
    </row>
    <row r="2359" spans="29:41">
      <c r="AC2359" s="78" t="s">
        <v>52</v>
      </c>
      <c r="AD2359" s="78" t="s">
        <v>20</v>
      </c>
      <c r="AE2359" s="78" t="s">
        <v>72</v>
      </c>
      <c r="AF2359" s="78" t="s">
        <v>51</v>
      </c>
      <c r="AG2359" s="78" t="s">
        <v>574</v>
      </c>
      <c r="AH2359" s="78">
        <v>4.5004250935354104</v>
      </c>
      <c r="AJ2359" s="78" t="s">
        <v>52</v>
      </c>
      <c r="AK2359" s="78" t="s">
        <v>20</v>
      </c>
      <c r="AL2359" s="78" t="s">
        <v>28</v>
      </c>
      <c r="AM2359" s="78" t="s">
        <v>51</v>
      </c>
      <c r="AN2359" s="78" t="s">
        <v>526</v>
      </c>
      <c r="AO2359" s="78">
        <v>1.5312493188447913</v>
      </c>
    </row>
    <row r="2360" spans="29:41">
      <c r="AC2360" s="78" t="s">
        <v>52</v>
      </c>
      <c r="AD2360" s="78" t="s">
        <v>20</v>
      </c>
      <c r="AE2360" s="78" t="s">
        <v>72</v>
      </c>
      <c r="AF2360" s="78" t="s">
        <v>51</v>
      </c>
      <c r="AG2360" s="78" t="s">
        <v>575</v>
      </c>
      <c r="AH2360" s="78">
        <v>4.5802473351823689</v>
      </c>
      <c r="AJ2360" s="78" t="s">
        <v>52</v>
      </c>
      <c r="AK2360" s="78" t="s">
        <v>20</v>
      </c>
      <c r="AL2360" s="78" t="s">
        <v>28</v>
      </c>
      <c r="AM2360" s="78" t="s">
        <v>51</v>
      </c>
      <c r="AN2360" s="78" t="s">
        <v>527</v>
      </c>
      <c r="AO2360" s="78">
        <v>1.5344363611650087</v>
      </c>
    </row>
    <row r="2361" spans="29:41">
      <c r="AC2361" s="78" t="s">
        <v>52</v>
      </c>
      <c r="AD2361" s="78" t="s">
        <v>20</v>
      </c>
      <c r="AE2361" s="78" t="s">
        <v>72</v>
      </c>
      <c r="AF2361" s="78" t="s">
        <v>51</v>
      </c>
      <c r="AG2361" s="78" t="s">
        <v>576</v>
      </c>
      <c r="AH2361" s="78">
        <v>4.6245354086055812</v>
      </c>
      <c r="AJ2361" s="78" t="s">
        <v>52</v>
      </c>
      <c r="AK2361" s="78" t="s">
        <v>20</v>
      </c>
      <c r="AL2361" s="78" t="s">
        <v>28</v>
      </c>
      <c r="AM2361" s="78" t="s">
        <v>51</v>
      </c>
      <c r="AN2361" s="78" t="s">
        <v>528</v>
      </c>
      <c r="AO2361" s="78">
        <v>1.5283750149234714</v>
      </c>
    </row>
    <row r="2362" spans="29:41">
      <c r="AC2362" s="78" t="s">
        <v>52</v>
      </c>
      <c r="AD2362" s="78" t="s">
        <v>20</v>
      </c>
      <c r="AE2362" s="78" t="s">
        <v>72</v>
      </c>
      <c r="AF2362" s="78" t="s">
        <v>51</v>
      </c>
      <c r="AG2362" s="78" t="s">
        <v>577</v>
      </c>
      <c r="AH2362" s="78">
        <v>4.6879663696898612</v>
      </c>
      <c r="AJ2362" s="78" t="s">
        <v>52</v>
      </c>
      <c r="AK2362" s="78" t="s">
        <v>20</v>
      </c>
      <c r="AL2362" s="78" t="s">
        <v>28</v>
      </c>
      <c r="AM2362" s="78" t="s">
        <v>51</v>
      </c>
      <c r="AN2362" s="78" t="s">
        <v>529</v>
      </c>
      <c r="AO2362" s="78">
        <v>1.4154350162888967</v>
      </c>
    </row>
    <row r="2363" spans="29:41">
      <c r="AC2363" s="78" t="s">
        <v>52</v>
      </c>
      <c r="AD2363" s="78" t="s">
        <v>20</v>
      </c>
      <c r="AE2363" s="78" t="s">
        <v>72</v>
      </c>
      <c r="AF2363" s="78" t="s">
        <v>51</v>
      </c>
      <c r="AG2363" s="78" t="s">
        <v>578</v>
      </c>
      <c r="AH2363" s="78">
        <v>4.7526597180255612</v>
      </c>
      <c r="AJ2363" s="78" t="s">
        <v>52</v>
      </c>
      <c r="AK2363" s="78" t="s">
        <v>20</v>
      </c>
      <c r="AL2363" s="78" t="s">
        <v>28</v>
      </c>
      <c r="AM2363" s="78" t="s">
        <v>51</v>
      </c>
      <c r="AN2363" s="78" t="s">
        <v>530</v>
      </c>
      <c r="AO2363" s="78">
        <v>1.4526302050559066</v>
      </c>
    </row>
    <row r="2364" spans="29:41">
      <c r="AC2364" s="78" t="s">
        <v>52</v>
      </c>
      <c r="AD2364" s="78" t="s">
        <v>20</v>
      </c>
      <c r="AE2364" s="78" t="s">
        <v>72</v>
      </c>
      <c r="AF2364" s="78" t="s">
        <v>51</v>
      </c>
      <c r="AG2364" s="78" t="s">
        <v>579</v>
      </c>
      <c r="AH2364" s="78">
        <v>4.8158503721710213</v>
      </c>
      <c r="AJ2364" s="78" t="s">
        <v>52</v>
      </c>
      <c r="AK2364" s="78" t="s">
        <v>20</v>
      </c>
      <c r="AL2364" s="78" t="s">
        <v>28</v>
      </c>
      <c r="AM2364" s="78" t="s">
        <v>51</v>
      </c>
      <c r="AN2364" s="78" t="s">
        <v>531</v>
      </c>
      <c r="AO2364" s="78">
        <v>1.4148320270667165</v>
      </c>
    </row>
    <row r="2365" spans="29:41">
      <c r="AC2365" s="78" t="s">
        <v>52</v>
      </c>
      <c r="AD2365" s="78" t="s">
        <v>20</v>
      </c>
      <c r="AE2365" s="78" t="s">
        <v>72</v>
      </c>
      <c r="AF2365" s="78" t="s">
        <v>51</v>
      </c>
      <c r="AG2365" s="78" t="s">
        <v>580</v>
      </c>
      <c r="AH2365" s="78">
        <v>4.6260926613935913</v>
      </c>
      <c r="AJ2365" s="78" t="s">
        <v>52</v>
      </c>
      <c r="AK2365" s="78" t="s">
        <v>20</v>
      </c>
      <c r="AL2365" s="78" t="s">
        <v>28</v>
      </c>
      <c r="AM2365" s="78" t="s">
        <v>51</v>
      </c>
      <c r="AN2365" s="78" t="s">
        <v>532</v>
      </c>
      <c r="AO2365" s="78">
        <v>1.4155955114819991</v>
      </c>
    </row>
    <row r="2366" spans="29:41">
      <c r="AC2366" s="78" t="s">
        <v>52</v>
      </c>
      <c r="AD2366" s="78" t="s">
        <v>20</v>
      </c>
      <c r="AE2366" s="78" t="s">
        <v>72</v>
      </c>
      <c r="AF2366" s="78" t="s">
        <v>51</v>
      </c>
      <c r="AG2366" s="78" t="s">
        <v>581</v>
      </c>
      <c r="AH2366" s="78">
        <v>4.6260926613935913</v>
      </c>
      <c r="AJ2366" s="78" t="s">
        <v>52</v>
      </c>
      <c r="AK2366" s="78" t="s">
        <v>20</v>
      </c>
      <c r="AL2366" s="78" t="s">
        <v>28</v>
      </c>
      <c r="AM2366" s="78" t="s">
        <v>51</v>
      </c>
      <c r="AN2366" s="78" t="s">
        <v>533</v>
      </c>
      <c r="AO2366" s="78">
        <v>1.49155468435259</v>
      </c>
    </row>
    <row r="2367" spans="29:41">
      <c r="AC2367" s="78" t="s">
        <v>52</v>
      </c>
      <c r="AD2367" s="78" t="s">
        <v>20</v>
      </c>
      <c r="AE2367" s="78" t="s">
        <v>72</v>
      </c>
      <c r="AF2367" s="78" t="s">
        <v>51</v>
      </c>
      <c r="AG2367" s="78" t="s">
        <v>582</v>
      </c>
      <c r="AH2367" s="78">
        <v>4.7526597180255612</v>
      </c>
      <c r="AJ2367" s="78" t="s">
        <v>52</v>
      </c>
      <c r="AK2367" s="78" t="s">
        <v>20</v>
      </c>
      <c r="AL2367" s="78" t="s">
        <v>28</v>
      </c>
      <c r="AM2367" s="78" t="s">
        <v>51</v>
      </c>
      <c r="AN2367" s="78" t="s">
        <v>534</v>
      </c>
      <c r="AO2367" s="78">
        <v>1.547347163715711</v>
      </c>
    </row>
    <row r="2368" spans="29:41">
      <c r="AC2368" s="78" t="s">
        <v>52</v>
      </c>
      <c r="AD2368" s="78" t="s">
        <v>20</v>
      </c>
      <c r="AE2368" s="78" t="s">
        <v>72</v>
      </c>
      <c r="AF2368" s="78" t="s">
        <v>51</v>
      </c>
      <c r="AG2368" s="78" t="s">
        <v>583</v>
      </c>
      <c r="AH2368" s="78">
        <v>4.8158503721710213</v>
      </c>
      <c r="AJ2368" s="78" t="s">
        <v>52</v>
      </c>
      <c r="AK2368" s="78" t="s">
        <v>20</v>
      </c>
      <c r="AL2368" s="78" t="s">
        <v>28</v>
      </c>
      <c r="AM2368" s="78" t="s">
        <v>51</v>
      </c>
      <c r="AN2368" s="78" t="s">
        <v>535</v>
      </c>
      <c r="AO2368" s="78">
        <v>1.4996078864371831</v>
      </c>
    </row>
    <row r="2369" spans="29:41">
      <c r="AC2369" s="78" t="s">
        <v>52</v>
      </c>
      <c r="AD2369" s="78" t="s">
        <v>20</v>
      </c>
      <c r="AE2369" s="78" t="s">
        <v>72</v>
      </c>
      <c r="AF2369" s="78" t="s">
        <v>51</v>
      </c>
      <c r="AG2369" s="78" t="s">
        <v>584</v>
      </c>
      <c r="AH2369" s="78">
        <v>4.6894071952244643</v>
      </c>
      <c r="AJ2369" s="78" t="s">
        <v>52</v>
      </c>
      <c r="AK2369" s="78" t="s">
        <v>20</v>
      </c>
      <c r="AL2369" s="78" t="s">
        <v>28</v>
      </c>
      <c r="AM2369" s="78" t="s">
        <v>51</v>
      </c>
      <c r="AN2369" s="78" t="s">
        <v>536</v>
      </c>
      <c r="AO2369" s="78">
        <v>1.520368998030313</v>
      </c>
    </row>
    <row r="2370" spans="29:41">
      <c r="AC2370" s="78" t="s">
        <v>52</v>
      </c>
      <c r="AD2370" s="78" t="s">
        <v>20</v>
      </c>
      <c r="AE2370" s="78" t="s">
        <v>72</v>
      </c>
      <c r="AF2370" s="78" t="s">
        <v>51</v>
      </c>
      <c r="AG2370" s="78" t="s">
        <v>585</v>
      </c>
      <c r="AH2370" s="78">
        <v>4.5802473351823689</v>
      </c>
      <c r="AJ2370" s="78" t="s">
        <v>52</v>
      </c>
      <c r="AK2370" s="78" t="s">
        <v>20</v>
      </c>
      <c r="AL2370" s="78" t="s">
        <v>28</v>
      </c>
      <c r="AM2370" s="78" t="s">
        <v>51</v>
      </c>
      <c r="AN2370" s="78" t="s">
        <v>537</v>
      </c>
      <c r="AO2370" s="78">
        <v>1.416700000462418</v>
      </c>
    </row>
    <row r="2371" spans="29:41">
      <c r="AC2371" s="78" t="s">
        <v>52</v>
      </c>
      <c r="AD2371" s="78" t="s">
        <v>20</v>
      </c>
      <c r="AE2371" s="78" t="s">
        <v>72</v>
      </c>
      <c r="AF2371" s="78" t="s">
        <v>51</v>
      </c>
      <c r="AG2371" s="78" t="s">
        <v>586</v>
      </c>
      <c r="AH2371" s="78">
        <v>4.5802473351823689</v>
      </c>
      <c r="AJ2371" s="78" t="s">
        <v>52</v>
      </c>
      <c r="AK2371" s="78" t="s">
        <v>20</v>
      </c>
      <c r="AL2371" s="78" t="s">
        <v>28</v>
      </c>
      <c r="AM2371" s="78" t="s">
        <v>51</v>
      </c>
      <c r="AN2371" s="78" t="s">
        <v>538</v>
      </c>
      <c r="AO2371" s="78">
        <v>1.4687337757862202</v>
      </c>
    </row>
    <row r="2372" spans="29:41">
      <c r="AC2372" s="78" t="s">
        <v>52</v>
      </c>
      <c r="AD2372" s="78" t="s">
        <v>20</v>
      </c>
      <c r="AE2372" s="78" t="s">
        <v>72</v>
      </c>
      <c r="AF2372" s="78" t="s">
        <v>51</v>
      </c>
      <c r="AG2372" s="78" t="s">
        <v>587</v>
      </c>
      <c r="AH2372" s="78">
        <v>4.6260926613935913</v>
      </c>
      <c r="AJ2372" s="78" t="s">
        <v>52</v>
      </c>
      <c r="AK2372" s="78" t="s">
        <v>20</v>
      </c>
      <c r="AL2372" s="78" t="s">
        <v>28</v>
      </c>
      <c r="AM2372" s="78" t="s">
        <v>51</v>
      </c>
      <c r="AN2372" s="78" t="s">
        <v>539</v>
      </c>
      <c r="AO2372" s="78">
        <v>1.4121793361108539</v>
      </c>
    </row>
    <row r="2373" spans="29:41">
      <c r="AC2373" s="78" t="s">
        <v>52</v>
      </c>
      <c r="AD2373" s="78" t="s">
        <v>20</v>
      </c>
      <c r="AE2373" s="78" t="s">
        <v>72</v>
      </c>
      <c r="AF2373" s="78" t="s">
        <v>51</v>
      </c>
      <c r="AG2373" s="78" t="s">
        <v>588</v>
      </c>
      <c r="AH2373" s="78">
        <v>4.5489973351823689</v>
      </c>
      <c r="AJ2373" s="78" t="s">
        <v>52</v>
      </c>
      <c r="AK2373" s="78" t="s">
        <v>20</v>
      </c>
      <c r="AL2373" s="78" t="s">
        <v>28</v>
      </c>
      <c r="AM2373" s="78" t="s">
        <v>51</v>
      </c>
      <c r="AN2373" s="78" t="s">
        <v>540</v>
      </c>
      <c r="AO2373" s="78">
        <v>1.5374887606590462</v>
      </c>
    </row>
    <row r="2374" spans="29:41">
      <c r="AC2374" s="78" t="s">
        <v>52</v>
      </c>
      <c r="AD2374" s="78" t="s">
        <v>20</v>
      </c>
      <c r="AE2374" s="78" t="s">
        <v>72</v>
      </c>
      <c r="AF2374" s="78" t="s">
        <v>51</v>
      </c>
      <c r="AG2374" s="78" t="s">
        <v>589</v>
      </c>
      <c r="AH2374" s="78">
        <v>4.6879663696898612</v>
      </c>
      <c r="AJ2374" s="78" t="s">
        <v>52</v>
      </c>
      <c r="AK2374" s="78" t="s">
        <v>20</v>
      </c>
      <c r="AL2374" s="78" t="s">
        <v>28</v>
      </c>
      <c r="AM2374" s="78" t="s">
        <v>51</v>
      </c>
      <c r="AN2374" s="78" t="s">
        <v>541</v>
      </c>
      <c r="AO2374" s="78">
        <v>1.4678559959101494</v>
      </c>
    </row>
    <row r="2375" spans="29:41">
      <c r="AC2375" s="78" t="s">
        <v>52</v>
      </c>
      <c r="AD2375" s="78" t="s">
        <v>20</v>
      </c>
      <c r="AE2375" s="78" t="s">
        <v>72</v>
      </c>
      <c r="AF2375" s="78" t="s">
        <v>51</v>
      </c>
      <c r="AG2375" s="78" t="s">
        <v>590</v>
      </c>
      <c r="AH2375" s="78">
        <v>4.6879663696898612</v>
      </c>
      <c r="AJ2375" s="78" t="s">
        <v>52</v>
      </c>
      <c r="AK2375" s="78" t="s">
        <v>20</v>
      </c>
      <c r="AL2375" s="78" t="s">
        <v>28</v>
      </c>
      <c r="AM2375" s="78" t="s">
        <v>51</v>
      </c>
      <c r="AN2375" s="78" t="s">
        <v>542</v>
      </c>
      <c r="AO2375" s="78">
        <v>1.5754428062550314</v>
      </c>
    </row>
    <row r="2376" spans="29:41">
      <c r="AC2376" s="78" t="s">
        <v>52</v>
      </c>
      <c r="AD2376" s="78" t="s">
        <v>20</v>
      </c>
      <c r="AE2376" s="78" t="s">
        <v>72</v>
      </c>
      <c r="AF2376" s="78" t="s">
        <v>51</v>
      </c>
      <c r="AG2376" s="78" t="s">
        <v>591</v>
      </c>
      <c r="AH2376" s="78">
        <v>4.6879663696898612</v>
      </c>
      <c r="AJ2376" s="78" t="s">
        <v>52</v>
      </c>
      <c r="AK2376" s="78" t="s">
        <v>20</v>
      </c>
      <c r="AL2376" s="78" t="s">
        <v>28</v>
      </c>
      <c r="AM2376" s="78" t="s">
        <v>51</v>
      </c>
      <c r="AN2376" s="78" t="s">
        <v>543</v>
      </c>
      <c r="AO2376" s="78">
        <v>1.6012632336538113</v>
      </c>
    </row>
    <row r="2377" spans="29:41">
      <c r="AC2377" s="78" t="s">
        <v>52</v>
      </c>
      <c r="AD2377" s="78" t="s">
        <v>20</v>
      </c>
      <c r="AE2377" s="78" t="s">
        <v>72</v>
      </c>
      <c r="AF2377" s="78" t="s">
        <v>51</v>
      </c>
      <c r="AG2377" s="78" t="s">
        <v>592</v>
      </c>
      <c r="AH2377" s="78">
        <v>4.5639756765749206</v>
      </c>
      <c r="AJ2377" s="78" t="s">
        <v>52</v>
      </c>
      <c r="AK2377" s="78" t="s">
        <v>20</v>
      </c>
      <c r="AL2377" s="78" t="s">
        <v>28</v>
      </c>
      <c r="AM2377" s="78" t="s">
        <v>51</v>
      </c>
      <c r="AN2377" s="78" t="s">
        <v>544</v>
      </c>
      <c r="AO2377" s="78">
        <v>1.5607652471373104</v>
      </c>
    </row>
    <row r="2378" spans="29:41">
      <c r="AC2378" s="78" t="s">
        <v>52</v>
      </c>
      <c r="AD2378" s="78" t="s">
        <v>20</v>
      </c>
      <c r="AE2378" s="78" t="s">
        <v>72</v>
      </c>
      <c r="AF2378" s="78" t="s">
        <v>51</v>
      </c>
      <c r="AG2378" s="78" t="s">
        <v>593</v>
      </c>
      <c r="AH2378" s="78">
        <v>4.6879663696898612</v>
      </c>
      <c r="AJ2378" s="78" t="s">
        <v>52</v>
      </c>
      <c r="AK2378" s="78" t="s">
        <v>20</v>
      </c>
      <c r="AL2378" s="78" t="s">
        <v>28</v>
      </c>
      <c r="AM2378" s="78" t="s">
        <v>51</v>
      </c>
      <c r="AN2378" s="78" t="s">
        <v>545</v>
      </c>
      <c r="AO2378" s="78">
        <v>1.5039725376185202</v>
      </c>
    </row>
    <row r="2379" spans="29:41">
      <c r="AC2379" s="78" t="s">
        <v>52</v>
      </c>
      <c r="AD2379" s="78" t="s">
        <v>20</v>
      </c>
      <c r="AE2379" s="78" t="s">
        <v>72</v>
      </c>
      <c r="AF2379" s="78" t="s">
        <v>51</v>
      </c>
      <c r="AG2379" s="78" t="s">
        <v>594</v>
      </c>
      <c r="AH2379" s="78">
        <v>4.5639756765749206</v>
      </c>
      <c r="AJ2379" s="78" t="s">
        <v>52</v>
      </c>
      <c r="AK2379" s="78" t="s">
        <v>20</v>
      </c>
      <c r="AL2379" s="78" t="s">
        <v>28</v>
      </c>
      <c r="AM2379" s="78" t="s">
        <v>51</v>
      </c>
      <c r="AN2379" s="78" t="s">
        <v>546</v>
      </c>
      <c r="AO2379" s="78">
        <v>1.4900965561077117</v>
      </c>
    </row>
    <row r="2380" spans="29:41">
      <c r="AC2380" s="78" t="s">
        <v>52</v>
      </c>
      <c r="AD2380" s="78" t="s">
        <v>20</v>
      </c>
      <c r="AE2380" s="78" t="s">
        <v>72</v>
      </c>
      <c r="AF2380" s="78" t="s">
        <v>51</v>
      </c>
      <c r="AG2380" s="78" t="s">
        <v>595</v>
      </c>
      <c r="AH2380" s="78">
        <v>4.6879663696898612</v>
      </c>
      <c r="AJ2380" s="78" t="s">
        <v>52</v>
      </c>
      <c r="AK2380" s="78" t="s">
        <v>20</v>
      </c>
      <c r="AL2380" s="78" t="s">
        <v>28</v>
      </c>
      <c r="AM2380" s="78" t="s">
        <v>51</v>
      </c>
      <c r="AN2380" s="78" t="s">
        <v>547</v>
      </c>
      <c r="AO2380" s="78">
        <v>1.4806223344232106</v>
      </c>
    </row>
    <row r="2381" spans="29:41">
      <c r="AC2381" s="78" t="s">
        <v>52</v>
      </c>
      <c r="AD2381" s="78" t="s">
        <v>20</v>
      </c>
      <c r="AE2381" s="78" t="s">
        <v>72</v>
      </c>
      <c r="AF2381" s="78" t="s">
        <v>51</v>
      </c>
      <c r="AG2381" s="78" t="s">
        <v>596</v>
      </c>
      <c r="AH2381" s="78">
        <v>4.6879663696898612</v>
      </c>
      <c r="AJ2381" s="78" t="s">
        <v>52</v>
      </c>
      <c r="AK2381" s="78" t="s">
        <v>20</v>
      </c>
      <c r="AL2381" s="78" t="s">
        <v>28</v>
      </c>
      <c r="AM2381" s="78" t="s">
        <v>51</v>
      </c>
      <c r="AN2381" s="78" t="s">
        <v>548</v>
      </c>
      <c r="AO2381" s="78">
        <v>1.4653689109985288</v>
      </c>
    </row>
    <row r="2382" spans="29:41">
      <c r="AC2382" s="78" t="s">
        <v>52</v>
      </c>
      <c r="AD2382" s="78" t="s">
        <v>20</v>
      </c>
      <c r="AE2382" s="78" t="s">
        <v>72</v>
      </c>
      <c r="AF2382" s="78" t="s">
        <v>51</v>
      </c>
      <c r="AG2382" s="78" t="s">
        <v>597</v>
      </c>
      <c r="AH2382" s="78">
        <v>4.6245354086055812</v>
      </c>
      <c r="AJ2382" s="78" t="s">
        <v>52</v>
      </c>
      <c r="AK2382" s="78" t="s">
        <v>20</v>
      </c>
      <c r="AL2382" s="78" t="s">
        <v>28</v>
      </c>
      <c r="AM2382" s="78" t="s">
        <v>51</v>
      </c>
      <c r="AN2382" s="78" t="s">
        <v>549</v>
      </c>
      <c r="AO2382" s="78">
        <v>1.5405912785348408</v>
      </c>
    </row>
    <row r="2383" spans="29:41">
      <c r="AC2383" s="78" t="s">
        <v>52</v>
      </c>
      <c r="AD2383" s="78" t="s">
        <v>20</v>
      </c>
      <c r="AE2383" s="78" t="s">
        <v>72</v>
      </c>
      <c r="AF2383" s="78" t="s">
        <v>51</v>
      </c>
      <c r="AG2383" s="78" t="s">
        <v>598</v>
      </c>
      <c r="AH2383" s="78">
        <v>4.5628647075387256</v>
      </c>
      <c r="AJ2383" s="78" t="s">
        <v>52</v>
      </c>
      <c r="AK2383" s="78" t="s">
        <v>20</v>
      </c>
      <c r="AL2383" s="78" t="s">
        <v>28</v>
      </c>
      <c r="AM2383" s="78" t="s">
        <v>51</v>
      </c>
      <c r="AN2383" s="78" t="s">
        <v>550</v>
      </c>
      <c r="AO2383" s="78">
        <v>1.53516478797764</v>
      </c>
    </row>
    <row r="2384" spans="29:41">
      <c r="AC2384" s="78" t="s">
        <v>52</v>
      </c>
      <c r="AD2384" s="78" t="s">
        <v>20</v>
      </c>
      <c r="AE2384" s="78" t="s">
        <v>72</v>
      </c>
      <c r="AF2384" s="78" t="s">
        <v>51</v>
      </c>
      <c r="AG2384" s="78" t="s">
        <v>599</v>
      </c>
      <c r="AH2384" s="78">
        <v>4.5639756765749206</v>
      </c>
      <c r="AJ2384" s="78" t="s">
        <v>52</v>
      </c>
      <c r="AK2384" s="78" t="s">
        <v>20</v>
      </c>
      <c r="AL2384" s="78" t="s">
        <v>28</v>
      </c>
      <c r="AM2384" s="78" t="s">
        <v>51</v>
      </c>
      <c r="AN2384" s="78" t="s">
        <v>551</v>
      </c>
      <c r="AO2384" s="78">
        <v>1.5673083523940212</v>
      </c>
    </row>
    <row r="2385" spans="29:41">
      <c r="AC2385" s="78" t="s">
        <v>52</v>
      </c>
      <c r="AD2385" s="78" t="s">
        <v>20</v>
      </c>
      <c r="AE2385" s="78" t="s">
        <v>72</v>
      </c>
      <c r="AF2385" s="78" t="s">
        <v>51</v>
      </c>
      <c r="AG2385" s="78" t="s">
        <v>600</v>
      </c>
      <c r="AH2385" s="78">
        <v>4.5639756765749206</v>
      </c>
      <c r="AJ2385" s="78" t="s">
        <v>52</v>
      </c>
      <c r="AK2385" s="78" t="s">
        <v>20</v>
      </c>
      <c r="AL2385" s="78" t="s">
        <v>28</v>
      </c>
      <c r="AM2385" s="78" t="s">
        <v>51</v>
      </c>
      <c r="AN2385" s="78" t="s">
        <v>552</v>
      </c>
      <c r="AO2385" s="78">
        <v>1.4199994713350865</v>
      </c>
    </row>
    <row r="2386" spans="29:41">
      <c r="AC2386" s="78" t="s">
        <v>52</v>
      </c>
      <c r="AD2386" s="78" t="s">
        <v>20</v>
      </c>
      <c r="AE2386" s="78" t="s">
        <v>72</v>
      </c>
      <c r="AF2386" s="78" t="s">
        <v>51</v>
      </c>
      <c r="AG2386" s="78" t="s">
        <v>601</v>
      </c>
      <c r="AH2386" s="78">
        <v>4.5628647075387256</v>
      </c>
      <c r="AJ2386" s="78" t="s">
        <v>52</v>
      </c>
      <c r="AK2386" s="78" t="s">
        <v>20</v>
      </c>
      <c r="AL2386" s="78" t="s">
        <v>28</v>
      </c>
      <c r="AM2386" s="78" t="s">
        <v>51</v>
      </c>
      <c r="AN2386" s="78" t="s">
        <v>553</v>
      </c>
      <c r="AO2386" s="78">
        <v>1.4743009090143409</v>
      </c>
    </row>
    <row r="2387" spans="29:41">
      <c r="AC2387" s="78" t="s">
        <v>52</v>
      </c>
      <c r="AD2387" s="78" t="s">
        <v>20</v>
      </c>
      <c r="AE2387" s="78" t="s">
        <v>72</v>
      </c>
      <c r="AF2387" s="78" t="s">
        <v>51</v>
      </c>
      <c r="AG2387" s="78" t="s">
        <v>602</v>
      </c>
      <c r="AH2387" s="78">
        <v>4.4384231677951833</v>
      </c>
      <c r="AJ2387" s="78" t="s">
        <v>52</v>
      </c>
      <c r="AK2387" s="78" t="s">
        <v>20</v>
      </c>
      <c r="AL2387" s="78" t="s">
        <v>28</v>
      </c>
      <c r="AM2387" s="78" t="s">
        <v>51</v>
      </c>
      <c r="AN2387" s="78" t="s">
        <v>554</v>
      </c>
      <c r="AO2387" s="78">
        <v>1.525808834246261</v>
      </c>
    </row>
    <row r="2388" spans="29:41">
      <c r="AC2388" s="78" t="s">
        <v>52</v>
      </c>
      <c r="AD2388" s="78" t="s">
        <v>20</v>
      </c>
      <c r="AE2388" s="78" t="s">
        <v>72</v>
      </c>
      <c r="AF2388" s="78" t="s">
        <v>51</v>
      </c>
      <c r="AG2388" s="78" t="s">
        <v>603</v>
      </c>
      <c r="AH2388" s="78">
        <v>4.4384231677951833</v>
      </c>
      <c r="AJ2388" s="78" t="s">
        <v>52</v>
      </c>
      <c r="AK2388" s="78" t="s">
        <v>20</v>
      </c>
      <c r="AL2388" s="78" t="s">
        <v>28</v>
      </c>
      <c r="AM2388" s="78" t="s">
        <v>51</v>
      </c>
      <c r="AN2388" s="78" t="s">
        <v>555</v>
      </c>
      <c r="AO2388" s="78">
        <v>1.3311692756852394</v>
      </c>
    </row>
    <row r="2389" spans="29:41">
      <c r="AC2389" s="78" t="s">
        <v>52</v>
      </c>
      <c r="AD2389" s="78" t="s">
        <v>20</v>
      </c>
      <c r="AE2389" s="78" t="s">
        <v>72</v>
      </c>
      <c r="AF2389" s="78" t="s">
        <v>51</v>
      </c>
      <c r="AG2389" s="78" t="s">
        <v>604</v>
      </c>
      <c r="AH2389" s="78">
        <v>4.5628647075387256</v>
      </c>
      <c r="AJ2389" s="78" t="s">
        <v>52</v>
      </c>
      <c r="AK2389" s="78" t="s">
        <v>20</v>
      </c>
      <c r="AL2389" s="78" t="s">
        <v>28</v>
      </c>
      <c r="AM2389" s="78" t="s">
        <v>51</v>
      </c>
      <c r="AN2389" s="78" t="s">
        <v>556</v>
      </c>
      <c r="AO2389" s="78">
        <v>1.4038710512515749</v>
      </c>
    </row>
    <row r="2390" spans="29:41">
      <c r="AC2390" s="78" t="s">
        <v>52</v>
      </c>
      <c r="AD2390" s="78" t="s">
        <v>20</v>
      </c>
      <c r="AE2390" s="78" t="s">
        <v>72</v>
      </c>
      <c r="AF2390" s="78" t="s">
        <v>51</v>
      </c>
      <c r="AG2390" s="78" t="s">
        <v>605</v>
      </c>
      <c r="AH2390" s="78">
        <v>4.6245354086055812</v>
      </c>
      <c r="AJ2390" s="78" t="s">
        <v>52</v>
      </c>
      <c r="AK2390" s="78" t="s">
        <v>20</v>
      </c>
      <c r="AL2390" s="78" t="s">
        <v>28</v>
      </c>
      <c r="AM2390" s="78" t="s">
        <v>51</v>
      </c>
      <c r="AN2390" s="78" t="s">
        <v>557</v>
      </c>
      <c r="AO2390" s="78">
        <v>1.3784023498828055</v>
      </c>
    </row>
    <row r="2391" spans="29:41">
      <c r="AC2391" s="78" t="s">
        <v>52</v>
      </c>
      <c r="AD2391" s="78" t="s">
        <v>20</v>
      </c>
      <c r="AE2391" s="78" t="s">
        <v>72</v>
      </c>
      <c r="AF2391" s="78" t="s">
        <v>51</v>
      </c>
      <c r="AG2391" s="78" t="s">
        <v>606</v>
      </c>
      <c r="AH2391" s="78">
        <v>4.6245354086055812</v>
      </c>
      <c r="AJ2391" s="78" t="s">
        <v>52</v>
      </c>
      <c r="AK2391" s="78" t="s">
        <v>20</v>
      </c>
      <c r="AL2391" s="78" t="s">
        <v>28</v>
      </c>
      <c r="AM2391" s="78" t="s">
        <v>51</v>
      </c>
      <c r="AN2391" s="78" t="s">
        <v>558</v>
      </c>
      <c r="AO2391" s="78">
        <v>1.4353603994093653</v>
      </c>
    </row>
    <row r="2392" spans="29:41">
      <c r="AC2392" s="78" t="s">
        <v>52</v>
      </c>
      <c r="AD2392" s="78" t="s">
        <v>20</v>
      </c>
      <c r="AE2392" s="78" t="s">
        <v>72</v>
      </c>
      <c r="AF2392" s="78" t="s">
        <v>51</v>
      </c>
      <c r="AG2392" s="78" t="s">
        <v>607</v>
      </c>
      <c r="AH2392" s="78">
        <v>4.6879663696898612</v>
      </c>
      <c r="AJ2392" s="78" t="s">
        <v>52</v>
      </c>
      <c r="AK2392" s="78" t="s">
        <v>20</v>
      </c>
      <c r="AL2392" s="78" t="s">
        <v>28</v>
      </c>
      <c r="AM2392" s="78" t="s">
        <v>51</v>
      </c>
      <c r="AN2392" s="78" t="s">
        <v>559</v>
      </c>
      <c r="AO2392" s="78">
        <v>1.4205209011351854</v>
      </c>
    </row>
    <row r="2393" spans="29:41">
      <c r="AC2393" s="78" t="s">
        <v>52</v>
      </c>
      <c r="AD2393" s="78" t="s">
        <v>20</v>
      </c>
      <c r="AE2393" s="78" t="s">
        <v>72</v>
      </c>
      <c r="AF2393" s="78" t="s">
        <v>51</v>
      </c>
      <c r="AG2393" s="78" t="s">
        <v>608</v>
      </c>
      <c r="AH2393" s="78">
        <v>4.6879663696898612</v>
      </c>
      <c r="AJ2393" s="78" t="s">
        <v>52</v>
      </c>
      <c r="AK2393" s="78" t="s">
        <v>20</v>
      </c>
      <c r="AL2393" s="78" t="s">
        <v>28</v>
      </c>
      <c r="AM2393" s="78" t="s">
        <v>51</v>
      </c>
      <c r="AN2393" s="78" t="s">
        <v>560</v>
      </c>
      <c r="AO2393" s="78">
        <v>1.4500031772048054</v>
      </c>
    </row>
    <row r="2394" spans="29:41">
      <c r="AC2394" s="78" t="s">
        <v>52</v>
      </c>
      <c r="AD2394" s="78" t="s">
        <v>20</v>
      </c>
      <c r="AE2394" s="78" t="s">
        <v>72</v>
      </c>
      <c r="AF2394" s="78" t="s">
        <v>51</v>
      </c>
      <c r="AG2394" s="78" t="s">
        <v>609</v>
      </c>
      <c r="AH2394" s="78">
        <v>4.5489973351823689</v>
      </c>
      <c r="AJ2394" s="78" t="s">
        <v>52</v>
      </c>
      <c r="AK2394" s="78" t="s">
        <v>20</v>
      </c>
      <c r="AL2394" s="78" t="s">
        <v>28</v>
      </c>
      <c r="AM2394" s="78" t="s">
        <v>51</v>
      </c>
      <c r="AN2394" s="78" t="s">
        <v>561</v>
      </c>
      <c r="AO2394" s="78">
        <v>1.4544280388529154</v>
      </c>
    </row>
    <row r="2395" spans="29:41">
      <c r="AC2395" s="78" t="s">
        <v>52</v>
      </c>
      <c r="AD2395" s="78" t="s">
        <v>20</v>
      </c>
      <c r="AE2395" s="78" t="s">
        <v>72</v>
      </c>
      <c r="AF2395" s="78" t="s">
        <v>51</v>
      </c>
      <c r="AG2395" s="78" t="s">
        <v>610</v>
      </c>
      <c r="AH2395" s="78">
        <v>4.6260926613935913</v>
      </c>
      <c r="AJ2395" s="78" t="s">
        <v>52</v>
      </c>
      <c r="AK2395" s="78" t="s">
        <v>20</v>
      </c>
      <c r="AL2395" s="78" t="s">
        <v>28</v>
      </c>
      <c r="AM2395" s="78" t="s">
        <v>51</v>
      </c>
      <c r="AN2395" s="78" t="s">
        <v>562</v>
      </c>
      <c r="AO2395" s="78">
        <v>1.4222591938834253</v>
      </c>
    </row>
    <row r="2396" spans="29:41">
      <c r="AC2396" s="78" t="s">
        <v>52</v>
      </c>
      <c r="AD2396" s="78" t="s">
        <v>20</v>
      </c>
      <c r="AE2396" s="78" t="s">
        <v>72</v>
      </c>
      <c r="AF2396" s="78" t="s">
        <v>51</v>
      </c>
      <c r="AG2396" s="78" t="s">
        <v>611</v>
      </c>
      <c r="AH2396" s="78">
        <v>4.6894071952244643</v>
      </c>
      <c r="AJ2396" s="78" t="s">
        <v>52</v>
      </c>
      <c r="AK2396" s="78" t="s">
        <v>20</v>
      </c>
      <c r="AL2396" s="78" t="s">
        <v>28</v>
      </c>
      <c r="AM2396" s="78" t="s">
        <v>51</v>
      </c>
      <c r="AN2396" s="78" t="s">
        <v>563</v>
      </c>
      <c r="AO2396" s="78">
        <v>1.4363406675466053</v>
      </c>
    </row>
    <row r="2397" spans="29:41">
      <c r="AC2397" s="78" t="s">
        <v>52</v>
      </c>
      <c r="AD2397" s="78" t="s">
        <v>20</v>
      </c>
      <c r="AE2397" s="78" t="s">
        <v>72</v>
      </c>
      <c r="AF2397" s="78" t="s">
        <v>51</v>
      </c>
      <c r="AG2397" s="78" t="s">
        <v>612</v>
      </c>
      <c r="AH2397" s="78">
        <v>4.6894071952244643</v>
      </c>
      <c r="AJ2397" s="78" t="s">
        <v>52</v>
      </c>
      <c r="AK2397" s="78" t="s">
        <v>20</v>
      </c>
      <c r="AL2397" s="78" t="s">
        <v>28</v>
      </c>
      <c r="AM2397" s="78" t="s">
        <v>51</v>
      </c>
      <c r="AN2397" s="78" t="s">
        <v>564</v>
      </c>
      <c r="AO2397" s="78">
        <v>1.6075727207388515</v>
      </c>
    </row>
    <row r="2398" spans="29:41">
      <c r="AC2398" s="78" t="s">
        <v>52</v>
      </c>
      <c r="AD2398" s="78" t="s">
        <v>20</v>
      </c>
      <c r="AE2398" s="78" t="s">
        <v>72</v>
      </c>
      <c r="AF2398" s="78" t="s">
        <v>51</v>
      </c>
      <c r="AG2398" s="78" t="s">
        <v>613</v>
      </c>
      <c r="AH2398" s="78">
        <v>4.6894071952244643</v>
      </c>
      <c r="AJ2398" s="78" t="s">
        <v>52</v>
      </c>
      <c r="AK2398" s="78" t="s">
        <v>20</v>
      </c>
      <c r="AL2398" s="78" t="s">
        <v>28</v>
      </c>
      <c r="AM2398" s="78" t="s">
        <v>51</v>
      </c>
      <c r="AN2398" s="78" t="s">
        <v>565</v>
      </c>
      <c r="AO2398" s="78">
        <v>1.533973302013214</v>
      </c>
    </row>
    <row r="2399" spans="29:41">
      <c r="AC2399" s="78" t="s">
        <v>52</v>
      </c>
      <c r="AD2399" s="78" t="s">
        <v>20</v>
      </c>
      <c r="AE2399" s="78" t="s">
        <v>72</v>
      </c>
      <c r="AF2399" s="78" t="s">
        <v>51</v>
      </c>
      <c r="AG2399" s="78" t="s">
        <v>614</v>
      </c>
      <c r="AH2399" s="78">
        <v>4.8158503721710213</v>
      </c>
      <c r="AJ2399" s="78" t="s">
        <v>52</v>
      </c>
      <c r="AK2399" s="78" t="s">
        <v>20</v>
      </c>
      <c r="AL2399" s="78" t="s">
        <v>28</v>
      </c>
      <c r="AM2399" s="78" t="s">
        <v>51</v>
      </c>
      <c r="AN2399" s="78" t="s">
        <v>566</v>
      </c>
      <c r="AO2399" s="78">
        <v>1.5311620402154114</v>
      </c>
    </row>
    <row r="2400" spans="29:41">
      <c r="AC2400" s="78" t="s">
        <v>52</v>
      </c>
      <c r="AD2400" s="78" t="s">
        <v>20</v>
      </c>
      <c r="AE2400" s="78" t="s">
        <v>72</v>
      </c>
      <c r="AF2400" s="78" t="s">
        <v>51</v>
      </c>
      <c r="AG2400" s="78" t="s">
        <v>615</v>
      </c>
      <c r="AH2400" s="78">
        <v>4.7526597180255612</v>
      </c>
      <c r="AJ2400" s="78" t="s">
        <v>52</v>
      </c>
      <c r="AK2400" s="78" t="s">
        <v>20</v>
      </c>
      <c r="AL2400" s="78" t="s">
        <v>28</v>
      </c>
      <c r="AM2400" s="78" t="s">
        <v>51</v>
      </c>
      <c r="AN2400" s="78" t="s">
        <v>567</v>
      </c>
      <c r="AO2400" s="78">
        <v>1.567935686675934</v>
      </c>
    </row>
    <row r="2401" spans="29:41">
      <c r="AC2401" s="78" t="s">
        <v>52</v>
      </c>
      <c r="AD2401" s="78" t="s">
        <v>20</v>
      </c>
      <c r="AE2401" s="78" t="s">
        <v>72</v>
      </c>
      <c r="AF2401" s="78" t="s">
        <v>51</v>
      </c>
      <c r="AG2401" s="78" t="s">
        <v>616</v>
      </c>
      <c r="AH2401" s="78">
        <v>4.6879663696898612</v>
      </c>
      <c r="AJ2401" s="78" t="s">
        <v>52</v>
      </c>
      <c r="AK2401" s="78" t="s">
        <v>20</v>
      </c>
      <c r="AL2401" s="78" t="s">
        <v>28</v>
      </c>
      <c r="AM2401" s="78" t="s">
        <v>51</v>
      </c>
      <c r="AN2401" s="78" t="s">
        <v>568</v>
      </c>
      <c r="AO2401" s="78">
        <v>1.4875930262691621</v>
      </c>
    </row>
    <row r="2402" spans="29:41">
      <c r="AC2402" s="78" t="s">
        <v>52</v>
      </c>
      <c r="AD2402" s="78" t="s">
        <v>20</v>
      </c>
      <c r="AE2402" s="78" t="s">
        <v>72</v>
      </c>
      <c r="AF2402" s="78" t="s">
        <v>51</v>
      </c>
      <c r="AG2402" s="78" t="s">
        <v>617</v>
      </c>
      <c r="AH2402" s="78">
        <v>4.6879663696898612</v>
      </c>
      <c r="AJ2402" s="78" t="s">
        <v>52</v>
      </c>
      <c r="AK2402" s="78" t="s">
        <v>20</v>
      </c>
      <c r="AL2402" s="78" t="s">
        <v>28</v>
      </c>
      <c r="AM2402" s="78" t="s">
        <v>51</v>
      </c>
      <c r="AN2402" s="78" t="s">
        <v>569</v>
      </c>
      <c r="AO2402" s="78">
        <v>1.5188641778638003</v>
      </c>
    </row>
    <row r="2403" spans="29:41">
      <c r="AC2403" s="78" t="s">
        <v>52</v>
      </c>
      <c r="AD2403" s="78" t="s">
        <v>20</v>
      </c>
      <c r="AE2403" s="78" t="s">
        <v>72</v>
      </c>
      <c r="AF2403" s="78" t="s">
        <v>51</v>
      </c>
      <c r="AG2403" s="78" t="s">
        <v>618</v>
      </c>
      <c r="AH2403" s="78">
        <v>4.6879663696898612</v>
      </c>
      <c r="AJ2403" s="78" t="s">
        <v>52</v>
      </c>
      <c r="AK2403" s="78" t="s">
        <v>20</v>
      </c>
      <c r="AL2403" s="78" t="s">
        <v>28</v>
      </c>
      <c r="AM2403" s="78" t="s">
        <v>51</v>
      </c>
      <c r="AN2403" s="78" t="s">
        <v>570</v>
      </c>
      <c r="AO2403" s="78">
        <v>1.5213881976071308</v>
      </c>
    </row>
    <row r="2404" spans="29:41">
      <c r="AC2404" s="78" t="s">
        <v>52</v>
      </c>
      <c r="AD2404" s="78" t="s">
        <v>20</v>
      </c>
      <c r="AE2404" s="78" t="s">
        <v>72</v>
      </c>
      <c r="AF2404" s="78" t="s">
        <v>51</v>
      </c>
      <c r="AG2404" s="78" t="s">
        <v>619</v>
      </c>
      <c r="AH2404" s="78">
        <v>4.5004250935354104</v>
      </c>
      <c r="AJ2404" s="78" t="s">
        <v>52</v>
      </c>
      <c r="AK2404" s="78" t="s">
        <v>20</v>
      </c>
      <c r="AL2404" s="78" t="s">
        <v>28</v>
      </c>
      <c r="AM2404" s="78" t="s">
        <v>51</v>
      </c>
      <c r="AN2404" s="78" t="s">
        <v>571</v>
      </c>
      <c r="AO2404" s="78">
        <v>1.6117723629536409</v>
      </c>
    </row>
    <row r="2405" spans="29:41">
      <c r="AC2405" s="78" t="s">
        <v>52</v>
      </c>
      <c r="AD2405" s="78" t="s">
        <v>20</v>
      </c>
      <c r="AE2405" s="78" t="s">
        <v>72</v>
      </c>
      <c r="AF2405" s="78" t="s">
        <v>51</v>
      </c>
      <c r="AG2405" s="78" t="s">
        <v>620</v>
      </c>
      <c r="AH2405" s="78">
        <v>4.5004250935354104</v>
      </c>
      <c r="AJ2405" s="78" t="s">
        <v>52</v>
      </c>
      <c r="AK2405" s="78" t="s">
        <v>20</v>
      </c>
      <c r="AL2405" s="78" t="s">
        <v>28</v>
      </c>
      <c r="AM2405" s="78" t="s">
        <v>51</v>
      </c>
      <c r="AN2405" s="78" t="s">
        <v>572</v>
      </c>
      <c r="AO2405" s="78">
        <v>1.5513462164836012</v>
      </c>
    </row>
    <row r="2406" spans="29:41">
      <c r="AC2406" s="78" t="s">
        <v>52</v>
      </c>
      <c r="AD2406" s="78" t="s">
        <v>20</v>
      </c>
      <c r="AE2406" s="78" t="s">
        <v>72</v>
      </c>
      <c r="AF2406" s="78" t="s">
        <v>51</v>
      </c>
      <c r="AG2406" s="78" t="s">
        <v>621</v>
      </c>
      <c r="AH2406" s="78">
        <v>4.5004250935354104</v>
      </c>
      <c r="AJ2406" s="78" t="s">
        <v>52</v>
      </c>
      <c r="AK2406" s="78" t="s">
        <v>20</v>
      </c>
      <c r="AL2406" s="78" t="s">
        <v>28</v>
      </c>
      <c r="AM2406" s="78" t="s">
        <v>51</v>
      </c>
      <c r="AN2406" s="78" t="s">
        <v>573</v>
      </c>
      <c r="AO2406" s="78">
        <v>1.5108899047628106</v>
      </c>
    </row>
    <row r="2407" spans="29:41">
      <c r="AC2407" s="78" t="s">
        <v>52</v>
      </c>
      <c r="AD2407" s="78" t="s">
        <v>20</v>
      </c>
      <c r="AE2407" s="78" t="s">
        <v>72</v>
      </c>
      <c r="AF2407" s="78" t="s">
        <v>51</v>
      </c>
      <c r="AG2407" s="78" t="s">
        <v>622</v>
      </c>
      <c r="AH2407" s="78">
        <v>4.5639756765749206</v>
      </c>
      <c r="AJ2407" s="78" t="s">
        <v>52</v>
      </c>
      <c r="AK2407" s="78" t="s">
        <v>20</v>
      </c>
      <c r="AL2407" s="78" t="s">
        <v>28</v>
      </c>
      <c r="AM2407" s="78" t="s">
        <v>51</v>
      </c>
      <c r="AN2407" s="78" t="s">
        <v>574</v>
      </c>
      <c r="AO2407" s="78">
        <v>1.4513782082871103</v>
      </c>
    </row>
    <row r="2408" spans="29:41">
      <c r="AC2408" s="78" t="s">
        <v>52</v>
      </c>
      <c r="AD2408" s="78" t="s">
        <v>20</v>
      </c>
      <c r="AE2408" s="78" t="s">
        <v>72</v>
      </c>
      <c r="AF2408" s="78" t="s">
        <v>51</v>
      </c>
      <c r="AG2408" s="78" t="s">
        <v>623</v>
      </c>
      <c r="AH2408" s="78">
        <v>4.5004250935354104</v>
      </c>
      <c r="AJ2408" s="78" t="s">
        <v>52</v>
      </c>
      <c r="AK2408" s="78" t="s">
        <v>20</v>
      </c>
      <c r="AL2408" s="78" t="s">
        <v>28</v>
      </c>
      <c r="AM2408" s="78" t="s">
        <v>51</v>
      </c>
      <c r="AN2408" s="78" t="s">
        <v>575</v>
      </c>
      <c r="AO2408" s="78">
        <v>1.4980703221874991</v>
      </c>
    </row>
    <row r="2409" spans="29:41">
      <c r="AC2409" s="78" t="s">
        <v>52</v>
      </c>
      <c r="AD2409" s="78" t="s">
        <v>20</v>
      </c>
      <c r="AE2409" s="78" t="s">
        <v>72</v>
      </c>
      <c r="AF2409" s="78" t="s">
        <v>51</v>
      </c>
      <c r="AG2409" s="78" t="s">
        <v>624</v>
      </c>
      <c r="AH2409" s="78">
        <v>4.6245354086055812</v>
      </c>
      <c r="AJ2409" s="78" t="s">
        <v>52</v>
      </c>
      <c r="AK2409" s="78" t="s">
        <v>20</v>
      </c>
      <c r="AL2409" s="78" t="s">
        <v>28</v>
      </c>
      <c r="AM2409" s="78" t="s">
        <v>51</v>
      </c>
      <c r="AN2409" s="78" t="s">
        <v>576</v>
      </c>
      <c r="AO2409" s="78">
        <v>1.5866977263448212</v>
      </c>
    </row>
    <row r="2410" spans="29:41">
      <c r="AC2410" s="78" t="s">
        <v>52</v>
      </c>
      <c r="AD2410" s="78" t="s">
        <v>20</v>
      </c>
      <c r="AE2410" s="78" t="s">
        <v>72</v>
      </c>
      <c r="AF2410" s="78" t="s">
        <v>51</v>
      </c>
      <c r="AG2410" s="78" t="s">
        <v>625</v>
      </c>
      <c r="AH2410" s="78">
        <v>4.6245354086055812</v>
      </c>
      <c r="AJ2410" s="78" t="s">
        <v>52</v>
      </c>
      <c r="AK2410" s="78" t="s">
        <v>20</v>
      </c>
      <c r="AL2410" s="78" t="s">
        <v>28</v>
      </c>
      <c r="AM2410" s="78" t="s">
        <v>51</v>
      </c>
      <c r="AN2410" s="78" t="s">
        <v>577</v>
      </c>
      <c r="AO2410" s="78">
        <v>1.5649198817909211</v>
      </c>
    </row>
    <row r="2411" spans="29:41">
      <c r="AC2411" s="78" t="s">
        <v>52</v>
      </c>
      <c r="AD2411" s="78" t="s">
        <v>20</v>
      </c>
      <c r="AE2411" s="78" t="s">
        <v>72</v>
      </c>
      <c r="AF2411" s="78" t="s">
        <v>51</v>
      </c>
      <c r="AG2411" s="78" t="s">
        <v>626</v>
      </c>
      <c r="AH2411" s="78">
        <v>4.5639756765749206</v>
      </c>
      <c r="AJ2411" s="78" t="s">
        <v>52</v>
      </c>
      <c r="AK2411" s="78" t="s">
        <v>20</v>
      </c>
      <c r="AL2411" s="78" t="s">
        <v>28</v>
      </c>
      <c r="AM2411" s="78" t="s">
        <v>51</v>
      </c>
      <c r="AN2411" s="78" t="s">
        <v>578</v>
      </c>
      <c r="AO2411" s="78">
        <v>1.5665527834013815</v>
      </c>
    </row>
    <row r="2412" spans="29:41">
      <c r="AC2412" s="78" t="s">
        <v>52</v>
      </c>
      <c r="AD2412" s="78" t="s">
        <v>20</v>
      </c>
      <c r="AE2412" s="78" t="s">
        <v>72</v>
      </c>
      <c r="AF2412" s="78" t="s">
        <v>51</v>
      </c>
      <c r="AG2412" s="78" t="s">
        <v>627</v>
      </c>
      <c r="AH2412" s="78">
        <v>4.6245354086055812</v>
      </c>
      <c r="AJ2412" s="78" t="s">
        <v>52</v>
      </c>
      <c r="AK2412" s="78" t="s">
        <v>20</v>
      </c>
      <c r="AL2412" s="78" t="s">
        <v>28</v>
      </c>
      <c r="AM2412" s="78" t="s">
        <v>51</v>
      </c>
      <c r="AN2412" s="78" t="s">
        <v>579</v>
      </c>
      <c r="AO2412" s="78">
        <v>1.6322835453479609</v>
      </c>
    </row>
    <row r="2413" spans="29:41">
      <c r="AC2413" s="78" t="s">
        <v>52</v>
      </c>
      <c r="AD2413" s="78" t="s">
        <v>20</v>
      </c>
      <c r="AE2413" s="78" t="s">
        <v>72</v>
      </c>
      <c r="AF2413" s="78" t="s">
        <v>51</v>
      </c>
      <c r="AG2413" s="78" t="s">
        <v>628</v>
      </c>
      <c r="AH2413" s="78">
        <v>4.5004250935354104</v>
      </c>
      <c r="AJ2413" s="78" t="s">
        <v>52</v>
      </c>
      <c r="AK2413" s="78" t="s">
        <v>20</v>
      </c>
      <c r="AL2413" s="78" t="s">
        <v>28</v>
      </c>
      <c r="AM2413" s="78" t="s">
        <v>51</v>
      </c>
      <c r="AN2413" s="78" t="s">
        <v>580</v>
      </c>
      <c r="AO2413" s="78">
        <v>1.5127254125225316</v>
      </c>
    </row>
    <row r="2414" spans="29:41">
      <c r="AC2414" s="78" t="s">
        <v>52</v>
      </c>
      <c r="AD2414" s="78" t="s">
        <v>20</v>
      </c>
      <c r="AE2414" s="78" t="s">
        <v>72</v>
      </c>
      <c r="AF2414" s="78" t="s">
        <v>51</v>
      </c>
      <c r="AG2414" s="78" t="s">
        <v>629</v>
      </c>
      <c r="AH2414" s="78">
        <v>4.5628647075387256</v>
      </c>
      <c r="AJ2414" s="78" t="s">
        <v>52</v>
      </c>
      <c r="AK2414" s="78" t="s">
        <v>20</v>
      </c>
      <c r="AL2414" s="78" t="s">
        <v>28</v>
      </c>
      <c r="AM2414" s="78" t="s">
        <v>51</v>
      </c>
      <c r="AN2414" s="78" t="s">
        <v>581</v>
      </c>
      <c r="AO2414" s="78">
        <v>1.4431793670117217</v>
      </c>
    </row>
    <row r="2415" spans="29:41">
      <c r="AC2415" s="78" t="s">
        <v>52</v>
      </c>
      <c r="AD2415" s="78" t="s">
        <v>20</v>
      </c>
      <c r="AE2415" s="78" t="s">
        <v>72</v>
      </c>
      <c r="AF2415" s="78" t="s">
        <v>51</v>
      </c>
      <c r="AG2415" s="78" t="s">
        <v>630</v>
      </c>
      <c r="AH2415" s="78">
        <v>4.4544722357449444</v>
      </c>
      <c r="AJ2415" s="78" t="s">
        <v>52</v>
      </c>
      <c r="AK2415" s="78" t="s">
        <v>20</v>
      </c>
      <c r="AL2415" s="78" t="s">
        <v>28</v>
      </c>
      <c r="AM2415" s="78" t="s">
        <v>51</v>
      </c>
      <c r="AN2415" s="78" t="s">
        <v>582</v>
      </c>
      <c r="AO2415" s="78">
        <v>1.5203647844648012</v>
      </c>
    </row>
    <row r="2416" spans="29:41">
      <c r="AC2416" s="78" t="s">
        <v>52</v>
      </c>
      <c r="AD2416" s="78" t="s">
        <v>20</v>
      </c>
      <c r="AE2416" s="78" t="s">
        <v>72</v>
      </c>
      <c r="AF2416" s="78" t="s">
        <v>51</v>
      </c>
      <c r="AG2416" s="78" t="s">
        <v>631</v>
      </c>
      <c r="AH2416" s="78">
        <v>4.5628647075387256</v>
      </c>
      <c r="AJ2416" s="78" t="s">
        <v>52</v>
      </c>
      <c r="AK2416" s="78" t="s">
        <v>20</v>
      </c>
      <c r="AL2416" s="78" t="s">
        <v>28</v>
      </c>
      <c r="AM2416" s="78" t="s">
        <v>51</v>
      </c>
      <c r="AN2416" s="78" t="s">
        <v>583</v>
      </c>
      <c r="AO2416" s="78">
        <v>1.5978014946940309</v>
      </c>
    </row>
    <row r="2417" spans="29:41">
      <c r="AC2417" s="78" t="s">
        <v>52</v>
      </c>
      <c r="AD2417" s="78" t="s">
        <v>20</v>
      </c>
      <c r="AE2417" s="78" t="s">
        <v>72</v>
      </c>
      <c r="AF2417" s="78" t="s">
        <v>51</v>
      </c>
      <c r="AG2417" s="78" t="s">
        <v>632</v>
      </c>
      <c r="AH2417" s="78">
        <v>4.4991979147795913</v>
      </c>
      <c r="AJ2417" s="78" t="s">
        <v>52</v>
      </c>
      <c r="AK2417" s="78" t="s">
        <v>20</v>
      </c>
      <c r="AL2417" s="78" t="s">
        <v>28</v>
      </c>
      <c r="AM2417" s="78" t="s">
        <v>51</v>
      </c>
      <c r="AN2417" s="78" t="s">
        <v>584</v>
      </c>
      <c r="AO2417" s="78">
        <v>1.4986445143293738</v>
      </c>
    </row>
    <row r="2418" spans="29:41">
      <c r="AC2418" s="78" t="s">
        <v>52</v>
      </c>
      <c r="AD2418" s="78" t="s">
        <v>20</v>
      </c>
      <c r="AE2418" s="78" t="s">
        <v>72</v>
      </c>
      <c r="AF2418" s="78" t="s">
        <v>51</v>
      </c>
      <c r="AG2418" s="78" t="s">
        <v>633</v>
      </c>
      <c r="AH2418" s="78">
        <v>4.5004250935354104</v>
      </c>
      <c r="AJ2418" s="78" t="s">
        <v>52</v>
      </c>
      <c r="AK2418" s="78" t="s">
        <v>20</v>
      </c>
      <c r="AL2418" s="78" t="s">
        <v>28</v>
      </c>
      <c r="AM2418" s="78" t="s">
        <v>51</v>
      </c>
      <c r="AN2418" s="78" t="s">
        <v>585</v>
      </c>
      <c r="AO2418" s="78">
        <v>1.3961455233475493</v>
      </c>
    </row>
    <row r="2419" spans="29:41">
      <c r="AC2419" s="78" t="s">
        <v>52</v>
      </c>
      <c r="AD2419" s="78" t="s">
        <v>20</v>
      </c>
      <c r="AE2419" s="78" t="s">
        <v>72</v>
      </c>
      <c r="AF2419" s="78" t="s">
        <v>51</v>
      </c>
      <c r="AG2419" s="78" t="s">
        <v>634</v>
      </c>
      <c r="AH2419" s="78">
        <v>4.4232222357449436</v>
      </c>
      <c r="AJ2419" s="78" t="s">
        <v>52</v>
      </c>
      <c r="AK2419" s="78" t="s">
        <v>20</v>
      </c>
      <c r="AL2419" s="78" t="s">
        <v>28</v>
      </c>
      <c r="AM2419" s="78" t="s">
        <v>51</v>
      </c>
      <c r="AN2419" s="78" t="s">
        <v>586</v>
      </c>
      <c r="AO2419" s="78">
        <v>1.4154013773215992</v>
      </c>
    </row>
    <row r="2420" spans="29:41">
      <c r="AC2420" s="78" t="s">
        <v>52</v>
      </c>
      <c r="AD2420" s="78" t="s">
        <v>20</v>
      </c>
      <c r="AE2420" s="78" t="s">
        <v>72</v>
      </c>
      <c r="AF2420" s="78" t="s">
        <v>51</v>
      </c>
      <c r="AG2420" s="78" t="s">
        <v>635</v>
      </c>
      <c r="AH2420" s="78">
        <v>4.4991979147795913</v>
      </c>
      <c r="AJ2420" s="78" t="s">
        <v>52</v>
      </c>
      <c r="AK2420" s="78" t="s">
        <v>20</v>
      </c>
      <c r="AL2420" s="78" t="s">
        <v>28</v>
      </c>
      <c r="AM2420" s="78" t="s">
        <v>51</v>
      </c>
      <c r="AN2420" s="78" t="s">
        <v>587</v>
      </c>
      <c r="AO2420" s="78">
        <v>1.4369176703463216</v>
      </c>
    </row>
    <row r="2421" spans="29:41">
      <c r="AC2421" s="78" t="s">
        <v>52</v>
      </c>
      <c r="AD2421" s="78" t="s">
        <v>20</v>
      </c>
      <c r="AE2421" s="78" t="s">
        <v>72</v>
      </c>
      <c r="AF2421" s="78" t="s">
        <v>51</v>
      </c>
      <c r="AG2421" s="78" t="s">
        <v>636</v>
      </c>
      <c r="AH2421" s="78">
        <v>4.4384231677951833</v>
      </c>
      <c r="AJ2421" s="78" t="s">
        <v>52</v>
      </c>
      <c r="AK2421" s="78" t="s">
        <v>20</v>
      </c>
      <c r="AL2421" s="78" t="s">
        <v>28</v>
      </c>
      <c r="AM2421" s="78" t="s">
        <v>51</v>
      </c>
      <c r="AN2421" s="78" t="s">
        <v>588</v>
      </c>
      <c r="AO2421" s="78">
        <v>1.3737724879279392</v>
      </c>
    </row>
    <row r="2422" spans="29:41">
      <c r="AC2422" s="78" t="s">
        <v>52</v>
      </c>
      <c r="AD2422" s="78" t="s">
        <v>20</v>
      </c>
      <c r="AE2422" s="78" t="s">
        <v>72</v>
      </c>
      <c r="AF2422" s="78" t="s">
        <v>51</v>
      </c>
      <c r="AG2422" s="78" t="s">
        <v>637</v>
      </c>
      <c r="AH2422" s="78">
        <v>4.3746353816591084</v>
      </c>
      <c r="AJ2422" s="78" t="s">
        <v>52</v>
      </c>
      <c r="AK2422" s="78" t="s">
        <v>20</v>
      </c>
      <c r="AL2422" s="78" t="s">
        <v>28</v>
      </c>
      <c r="AM2422" s="78" t="s">
        <v>51</v>
      </c>
      <c r="AN2422" s="78" t="s">
        <v>589</v>
      </c>
      <c r="AO2422" s="78">
        <v>1.4942654648562612</v>
      </c>
    </row>
    <row r="2423" spans="29:41">
      <c r="AC2423" s="78" t="s">
        <v>52</v>
      </c>
      <c r="AD2423" s="78" t="s">
        <v>20</v>
      </c>
      <c r="AE2423" s="78" t="s">
        <v>72</v>
      </c>
      <c r="AF2423" s="78" t="s">
        <v>51</v>
      </c>
      <c r="AG2423" s="78" t="s">
        <v>638</v>
      </c>
      <c r="AH2423" s="78">
        <v>4.3285744659487024</v>
      </c>
      <c r="AJ2423" s="78" t="s">
        <v>52</v>
      </c>
      <c r="AK2423" s="78" t="s">
        <v>20</v>
      </c>
      <c r="AL2423" s="78" t="s">
        <v>28</v>
      </c>
      <c r="AM2423" s="78" t="s">
        <v>51</v>
      </c>
      <c r="AN2423" s="78" t="s">
        <v>590</v>
      </c>
      <c r="AO2423" s="78">
        <v>1.5623281500520108</v>
      </c>
    </row>
    <row r="2424" spans="29:41">
      <c r="AC2424" s="78" t="s">
        <v>52</v>
      </c>
      <c r="AD2424" s="78" t="s">
        <v>20</v>
      </c>
      <c r="AE2424" s="78" t="s">
        <v>72</v>
      </c>
      <c r="AF2424" s="78" t="s">
        <v>51</v>
      </c>
      <c r="AG2424" s="78" t="s">
        <v>639</v>
      </c>
      <c r="AH2424" s="78">
        <v>4.3285744659487024</v>
      </c>
      <c r="AJ2424" s="78" t="s">
        <v>52</v>
      </c>
      <c r="AK2424" s="78" t="s">
        <v>20</v>
      </c>
      <c r="AL2424" s="78" t="s">
        <v>28</v>
      </c>
      <c r="AM2424" s="78" t="s">
        <v>51</v>
      </c>
      <c r="AN2424" s="78" t="s">
        <v>591</v>
      </c>
      <c r="AO2424" s="78">
        <v>1.576518024958341</v>
      </c>
    </row>
    <row r="2425" spans="29:41">
      <c r="AC2425" s="78" t="s">
        <v>52</v>
      </c>
      <c r="AD2425" s="78" t="s">
        <v>20</v>
      </c>
      <c r="AE2425" s="78" t="s">
        <v>72</v>
      </c>
      <c r="AF2425" s="78" t="s">
        <v>51</v>
      </c>
      <c r="AG2425" s="78" t="s">
        <v>640</v>
      </c>
      <c r="AH2425" s="78">
        <v>4.3746353816591084</v>
      </c>
      <c r="AJ2425" s="78" t="s">
        <v>52</v>
      </c>
      <c r="AK2425" s="78" t="s">
        <v>20</v>
      </c>
      <c r="AL2425" s="78" t="s">
        <v>28</v>
      </c>
      <c r="AM2425" s="78" t="s">
        <v>51</v>
      </c>
      <c r="AN2425" s="78" t="s">
        <v>592</v>
      </c>
      <c r="AO2425" s="78">
        <v>1.5025221196198404</v>
      </c>
    </row>
    <row r="2426" spans="29:41">
      <c r="AC2426" s="78" t="s">
        <v>52</v>
      </c>
      <c r="AD2426" s="78" t="s">
        <v>20</v>
      </c>
      <c r="AE2426" s="78" t="s">
        <v>72</v>
      </c>
      <c r="AF2426" s="78" t="s">
        <v>51</v>
      </c>
      <c r="AG2426" s="78" t="s">
        <v>641</v>
      </c>
      <c r="AH2426" s="78">
        <v>4.3746353816591084</v>
      </c>
      <c r="AJ2426" s="78" t="s">
        <v>52</v>
      </c>
      <c r="AK2426" s="78" t="s">
        <v>20</v>
      </c>
      <c r="AL2426" s="78" t="s">
        <v>28</v>
      </c>
      <c r="AM2426" s="78" t="s">
        <v>51</v>
      </c>
      <c r="AN2426" s="78" t="s">
        <v>593</v>
      </c>
      <c r="AO2426" s="78">
        <v>1.561270966965201</v>
      </c>
    </row>
    <row r="2427" spans="29:41">
      <c r="AC2427" s="78" t="s">
        <v>52</v>
      </c>
      <c r="AD2427" s="78" t="s">
        <v>20</v>
      </c>
      <c r="AE2427" s="78" t="s">
        <v>72</v>
      </c>
      <c r="AF2427" s="78" t="s">
        <v>51</v>
      </c>
      <c r="AG2427" s="78" t="s">
        <v>642</v>
      </c>
      <c r="AH2427" s="78">
        <v>4.4991979147795913</v>
      </c>
      <c r="AJ2427" s="78" t="s">
        <v>52</v>
      </c>
      <c r="AK2427" s="78" t="s">
        <v>20</v>
      </c>
      <c r="AL2427" s="78" t="s">
        <v>28</v>
      </c>
      <c r="AM2427" s="78" t="s">
        <v>51</v>
      </c>
      <c r="AN2427" s="78" t="s">
        <v>594</v>
      </c>
      <c r="AO2427" s="78">
        <v>1.4181011283852802</v>
      </c>
    </row>
    <row r="2428" spans="29:41">
      <c r="AC2428" s="78" t="s">
        <v>52</v>
      </c>
      <c r="AD2428" s="78" t="s">
        <v>20</v>
      </c>
      <c r="AE2428" s="78" t="s">
        <v>72</v>
      </c>
      <c r="AF2428" s="78" t="s">
        <v>51</v>
      </c>
      <c r="AG2428" s="78" t="s">
        <v>643</v>
      </c>
      <c r="AH2428" s="78">
        <v>4.4991979147795913</v>
      </c>
      <c r="AJ2428" s="78" t="s">
        <v>52</v>
      </c>
      <c r="AK2428" s="78" t="s">
        <v>20</v>
      </c>
      <c r="AL2428" s="78" t="s">
        <v>28</v>
      </c>
      <c r="AM2428" s="78" t="s">
        <v>51</v>
      </c>
      <c r="AN2428" s="78" t="s">
        <v>595</v>
      </c>
      <c r="AO2428" s="78">
        <v>1.5117006633325609</v>
      </c>
    </row>
    <row r="2429" spans="29:41">
      <c r="AC2429" s="78" t="s">
        <v>52</v>
      </c>
      <c r="AD2429" s="78" t="s">
        <v>20</v>
      </c>
      <c r="AE2429" s="78" t="s">
        <v>72</v>
      </c>
      <c r="AF2429" s="78" t="s">
        <v>51</v>
      </c>
      <c r="AG2429" s="78" t="s">
        <v>644</v>
      </c>
      <c r="AH2429" s="78">
        <v>4.4544722357449444</v>
      </c>
      <c r="AJ2429" s="78" t="s">
        <v>52</v>
      </c>
      <c r="AK2429" s="78" t="s">
        <v>20</v>
      </c>
      <c r="AL2429" s="78" t="s">
        <v>28</v>
      </c>
      <c r="AM2429" s="78" t="s">
        <v>51</v>
      </c>
      <c r="AN2429" s="78" t="s">
        <v>596</v>
      </c>
      <c r="AO2429" s="78">
        <v>1.4714965312658514</v>
      </c>
    </row>
    <row r="2430" spans="29:41">
      <c r="AC2430" s="78" t="s">
        <v>52</v>
      </c>
      <c r="AD2430" s="78" t="s">
        <v>20</v>
      </c>
      <c r="AE2430" s="78" t="s">
        <v>72</v>
      </c>
      <c r="AF2430" s="78" t="s">
        <v>51</v>
      </c>
      <c r="AG2430" s="78" t="s">
        <v>645</v>
      </c>
      <c r="AH2430" s="78">
        <v>4.5628647075387256</v>
      </c>
      <c r="AJ2430" s="78" t="s">
        <v>52</v>
      </c>
      <c r="AK2430" s="78" t="s">
        <v>20</v>
      </c>
      <c r="AL2430" s="78" t="s">
        <v>28</v>
      </c>
      <c r="AM2430" s="78" t="s">
        <v>51</v>
      </c>
      <c r="AN2430" s="78" t="s">
        <v>597</v>
      </c>
      <c r="AO2430" s="78">
        <v>1.4594008817182209</v>
      </c>
    </row>
    <row r="2431" spans="29:41">
      <c r="AC2431" s="78" t="s">
        <v>52</v>
      </c>
      <c r="AD2431" s="78" t="s">
        <v>20</v>
      </c>
      <c r="AE2431" s="78" t="s">
        <v>72</v>
      </c>
      <c r="AF2431" s="78" t="s">
        <v>51</v>
      </c>
      <c r="AG2431" s="78" t="s">
        <v>646</v>
      </c>
      <c r="AH2431" s="78">
        <v>4.5628647075387256</v>
      </c>
      <c r="AJ2431" s="78" t="s">
        <v>52</v>
      </c>
      <c r="AK2431" s="78" t="s">
        <v>20</v>
      </c>
      <c r="AL2431" s="78" t="s">
        <v>28</v>
      </c>
      <c r="AM2431" s="78" t="s">
        <v>51</v>
      </c>
      <c r="AN2431" s="78" t="s">
        <v>598</v>
      </c>
      <c r="AO2431" s="78">
        <v>1.4214883974871861</v>
      </c>
    </row>
    <row r="2432" spans="29:41">
      <c r="AC2432" s="78" t="s">
        <v>52</v>
      </c>
      <c r="AD2432" s="78" t="s">
        <v>20</v>
      </c>
      <c r="AE2432" s="78" t="s">
        <v>72</v>
      </c>
      <c r="AF2432" s="78" t="s">
        <v>51</v>
      </c>
      <c r="AG2432" s="78" t="s">
        <v>647</v>
      </c>
      <c r="AH2432" s="78">
        <v>4.4991979147795913</v>
      </c>
      <c r="AJ2432" s="78" t="s">
        <v>52</v>
      </c>
      <c r="AK2432" s="78" t="s">
        <v>20</v>
      </c>
      <c r="AL2432" s="78" t="s">
        <v>28</v>
      </c>
      <c r="AM2432" s="78" t="s">
        <v>51</v>
      </c>
      <c r="AN2432" s="78" t="s">
        <v>599</v>
      </c>
      <c r="AO2432" s="78">
        <v>1.4078654791306606</v>
      </c>
    </row>
    <row r="2433" spans="29:41">
      <c r="AC2433" s="78" t="s">
        <v>52</v>
      </c>
      <c r="AD2433" s="78" t="s">
        <v>20</v>
      </c>
      <c r="AE2433" s="78" t="s">
        <v>72</v>
      </c>
      <c r="AF2433" s="78" t="s">
        <v>51</v>
      </c>
      <c r="AG2433" s="78" t="s">
        <v>648</v>
      </c>
      <c r="AH2433" s="78">
        <v>4.5628647075387256</v>
      </c>
      <c r="AJ2433" s="78" t="s">
        <v>52</v>
      </c>
      <c r="AK2433" s="78" t="s">
        <v>20</v>
      </c>
      <c r="AL2433" s="78" t="s">
        <v>28</v>
      </c>
      <c r="AM2433" s="78" t="s">
        <v>51</v>
      </c>
      <c r="AN2433" s="78" t="s">
        <v>600</v>
      </c>
      <c r="AO2433" s="78">
        <v>1.4108981434786603</v>
      </c>
    </row>
    <row r="2434" spans="29:41">
      <c r="AC2434" s="78" t="s">
        <v>52</v>
      </c>
      <c r="AD2434" s="78" t="s">
        <v>20</v>
      </c>
      <c r="AE2434" s="78" t="s">
        <v>72</v>
      </c>
      <c r="AF2434" s="78" t="s">
        <v>51</v>
      </c>
      <c r="AG2434" s="78" t="s">
        <v>649</v>
      </c>
      <c r="AH2434" s="78">
        <v>4.4384231677951833</v>
      </c>
      <c r="AJ2434" s="78" t="s">
        <v>52</v>
      </c>
      <c r="AK2434" s="78" t="s">
        <v>20</v>
      </c>
      <c r="AL2434" s="78" t="s">
        <v>28</v>
      </c>
      <c r="AM2434" s="78" t="s">
        <v>51</v>
      </c>
      <c r="AN2434" s="78" t="s">
        <v>601</v>
      </c>
      <c r="AO2434" s="78">
        <v>1.4428402460535259</v>
      </c>
    </row>
    <row r="2435" spans="29:41">
      <c r="AC2435" s="78" t="s">
        <v>52</v>
      </c>
      <c r="AD2435" s="78" t="s">
        <v>20</v>
      </c>
      <c r="AE2435" s="78" t="s">
        <v>72</v>
      </c>
      <c r="AF2435" s="78" t="s">
        <v>51</v>
      </c>
      <c r="AG2435" s="78" t="s">
        <v>650</v>
      </c>
      <c r="AH2435" s="78">
        <v>4.5628647075387256</v>
      </c>
      <c r="AJ2435" s="78" t="s">
        <v>52</v>
      </c>
      <c r="AK2435" s="78" t="s">
        <v>20</v>
      </c>
      <c r="AL2435" s="78" t="s">
        <v>28</v>
      </c>
      <c r="AM2435" s="78" t="s">
        <v>51</v>
      </c>
      <c r="AN2435" s="78" t="s">
        <v>602</v>
      </c>
      <c r="AO2435" s="78">
        <v>1.3904824766648827</v>
      </c>
    </row>
    <row r="2436" spans="29:41">
      <c r="AC2436" s="78" t="s">
        <v>52</v>
      </c>
      <c r="AD2436" s="78" t="s">
        <v>20</v>
      </c>
      <c r="AE2436" s="78" t="s">
        <v>72</v>
      </c>
      <c r="AF2436" s="78" t="s">
        <v>51</v>
      </c>
      <c r="AG2436" s="78" t="s">
        <v>651</v>
      </c>
      <c r="AH2436" s="78">
        <v>4.4991979147795913</v>
      </c>
      <c r="AJ2436" s="78" t="s">
        <v>52</v>
      </c>
      <c r="AK2436" s="78" t="s">
        <v>20</v>
      </c>
      <c r="AL2436" s="78" t="s">
        <v>28</v>
      </c>
      <c r="AM2436" s="78" t="s">
        <v>51</v>
      </c>
      <c r="AN2436" s="78" t="s">
        <v>603</v>
      </c>
      <c r="AO2436" s="78">
        <v>1.3279899171049332</v>
      </c>
    </row>
    <row r="2437" spans="29:41">
      <c r="AC2437" s="78" t="s">
        <v>52</v>
      </c>
      <c r="AD2437" s="78" t="s">
        <v>20</v>
      </c>
      <c r="AE2437" s="78" t="s">
        <v>72</v>
      </c>
      <c r="AF2437" s="78" t="s">
        <v>51</v>
      </c>
      <c r="AG2437" s="78" t="s">
        <v>652</v>
      </c>
      <c r="AH2437" s="78">
        <v>4.5628647075387256</v>
      </c>
      <c r="AJ2437" s="78" t="s">
        <v>52</v>
      </c>
      <c r="AK2437" s="78" t="s">
        <v>20</v>
      </c>
      <c r="AL2437" s="78" t="s">
        <v>28</v>
      </c>
      <c r="AM2437" s="78" t="s">
        <v>51</v>
      </c>
      <c r="AN2437" s="78" t="s">
        <v>604</v>
      </c>
      <c r="AO2437" s="78">
        <v>1.4594355531546661</v>
      </c>
    </row>
    <row r="2438" spans="29:41">
      <c r="AC2438" s="78" t="s">
        <v>52</v>
      </c>
      <c r="AD2438" s="78" t="s">
        <v>20</v>
      </c>
      <c r="AE2438" s="78" t="s">
        <v>72</v>
      </c>
      <c r="AF2438" s="78" t="s">
        <v>51</v>
      </c>
      <c r="AG2438" s="78" t="s">
        <v>653</v>
      </c>
      <c r="AH2438" s="78">
        <v>4.5628647075387256</v>
      </c>
      <c r="AJ2438" s="78" t="s">
        <v>52</v>
      </c>
      <c r="AK2438" s="78" t="s">
        <v>20</v>
      </c>
      <c r="AL2438" s="78" t="s">
        <v>28</v>
      </c>
      <c r="AM2438" s="78" t="s">
        <v>51</v>
      </c>
      <c r="AN2438" s="78" t="s">
        <v>605</v>
      </c>
      <c r="AO2438" s="78">
        <v>1.4181151572648314</v>
      </c>
    </row>
    <row r="2439" spans="29:41">
      <c r="AC2439" s="78" t="s">
        <v>52</v>
      </c>
      <c r="AD2439" s="78" t="s">
        <v>20</v>
      </c>
      <c r="AE2439" s="78" t="s">
        <v>72</v>
      </c>
      <c r="AF2439" s="78" t="s">
        <v>51</v>
      </c>
      <c r="AG2439" s="78" t="s">
        <v>654</v>
      </c>
      <c r="AH2439" s="78">
        <v>4.5628647075387256</v>
      </c>
      <c r="AJ2439" s="78" t="s">
        <v>52</v>
      </c>
      <c r="AK2439" s="78" t="s">
        <v>20</v>
      </c>
      <c r="AL2439" s="78" t="s">
        <v>28</v>
      </c>
      <c r="AM2439" s="78" t="s">
        <v>51</v>
      </c>
      <c r="AN2439" s="78" t="s">
        <v>606</v>
      </c>
      <c r="AO2439" s="78">
        <v>1.3902596744988309</v>
      </c>
    </row>
    <row r="2440" spans="29:41">
      <c r="AC2440" s="78" t="s">
        <v>52</v>
      </c>
      <c r="AD2440" s="78" t="s">
        <v>20</v>
      </c>
      <c r="AE2440" s="78" t="s">
        <v>72</v>
      </c>
      <c r="AF2440" s="78" t="s">
        <v>51</v>
      </c>
      <c r="AG2440" s="78" t="s">
        <v>655</v>
      </c>
      <c r="AH2440" s="78">
        <v>4.4544722357449444</v>
      </c>
      <c r="AJ2440" s="78" t="s">
        <v>52</v>
      </c>
      <c r="AK2440" s="78" t="s">
        <v>20</v>
      </c>
      <c r="AL2440" s="78" t="s">
        <v>28</v>
      </c>
      <c r="AM2440" s="78" t="s">
        <v>51</v>
      </c>
      <c r="AN2440" s="78" t="s">
        <v>607</v>
      </c>
      <c r="AO2440" s="78">
        <v>1.4559438333814914</v>
      </c>
    </row>
    <row r="2441" spans="29:41">
      <c r="AC2441" s="78" t="s">
        <v>52</v>
      </c>
      <c r="AD2441" s="78" t="s">
        <v>20</v>
      </c>
      <c r="AE2441" s="78" t="s">
        <v>72</v>
      </c>
      <c r="AF2441" s="78" t="s">
        <v>51</v>
      </c>
      <c r="AG2441" s="78" t="s">
        <v>656</v>
      </c>
      <c r="AH2441" s="78">
        <v>4.4991979147795913</v>
      </c>
      <c r="AJ2441" s="78" t="s">
        <v>52</v>
      </c>
      <c r="AK2441" s="78" t="s">
        <v>20</v>
      </c>
      <c r="AL2441" s="78" t="s">
        <v>28</v>
      </c>
      <c r="AM2441" s="78" t="s">
        <v>51</v>
      </c>
      <c r="AN2441" s="78" t="s">
        <v>608</v>
      </c>
      <c r="AO2441" s="78">
        <v>1.462731737672631</v>
      </c>
    </row>
    <row r="2442" spans="29:41">
      <c r="AC2442" s="78" t="s">
        <v>52</v>
      </c>
      <c r="AD2442" s="78" t="s">
        <v>20</v>
      </c>
      <c r="AE2442" s="78" t="s">
        <v>72</v>
      </c>
      <c r="AF2442" s="78" t="s">
        <v>51</v>
      </c>
      <c r="AG2442" s="78" t="s">
        <v>657</v>
      </c>
      <c r="AH2442" s="78">
        <v>4.4991979147795913</v>
      </c>
      <c r="AJ2442" s="78" t="s">
        <v>52</v>
      </c>
      <c r="AK2442" s="78" t="s">
        <v>20</v>
      </c>
      <c r="AL2442" s="78" t="s">
        <v>28</v>
      </c>
      <c r="AM2442" s="78" t="s">
        <v>51</v>
      </c>
      <c r="AN2442" s="78" t="s">
        <v>609</v>
      </c>
      <c r="AO2442" s="78">
        <v>1.3058417332023793</v>
      </c>
    </row>
    <row r="2443" spans="29:41">
      <c r="AC2443" s="78" t="s">
        <v>52</v>
      </c>
      <c r="AD2443" s="78" t="s">
        <v>20</v>
      </c>
      <c r="AE2443" s="78" t="s">
        <v>72</v>
      </c>
      <c r="AF2443" s="78" t="s">
        <v>51</v>
      </c>
      <c r="AG2443" s="78" t="s">
        <v>658</v>
      </c>
      <c r="AH2443" s="78">
        <v>4.4349282413789313</v>
      </c>
      <c r="AJ2443" s="78" t="s">
        <v>52</v>
      </c>
      <c r="AK2443" s="78" t="s">
        <v>20</v>
      </c>
      <c r="AL2443" s="78" t="s">
        <v>28</v>
      </c>
      <c r="AM2443" s="78" t="s">
        <v>51</v>
      </c>
      <c r="AN2443" s="78" t="s">
        <v>610</v>
      </c>
      <c r="AO2443" s="78">
        <v>1.3441174251334411</v>
      </c>
    </row>
    <row r="2444" spans="29:41">
      <c r="AC2444" s="78" t="s">
        <v>52</v>
      </c>
      <c r="AD2444" s="78" t="s">
        <v>20</v>
      </c>
      <c r="AE2444" s="78" t="s">
        <v>72</v>
      </c>
      <c r="AF2444" s="78" t="s">
        <v>51</v>
      </c>
      <c r="AG2444" s="78" t="s">
        <v>659</v>
      </c>
      <c r="AH2444" s="78">
        <v>4.3739903763055512</v>
      </c>
      <c r="AJ2444" s="78" t="s">
        <v>52</v>
      </c>
      <c r="AK2444" s="78" t="s">
        <v>20</v>
      </c>
      <c r="AL2444" s="78" t="s">
        <v>28</v>
      </c>
      <c r="AM2444" s="78" t="s">
        <v>51</v>
      </c>
      <c r="AN2444" s="78" t="s">
        <v>611</v>
      </c>
      <c r="AO2444" s="78">
        <v>1.3487855279605838</v>
      </c>
    </row>
    <row r="2445" spans="29:41">
      <c r="AC2445" s="78" t="s">
        <v>52</v>
      </c>
      <c r="AD2445" s="78" t="s">
        <v>20</v>
      </c>
      <c r="AE2445" s="78" t="s">
        <v>72</v>
      </c>
      <c r="AF2445" s="78" t="s">
        <v>51</v>
      </c>
      <c r="AG2445" s="78" t="s">
        <v>660</v>
      </c>
      <c r="AH2445" s="78">
        <v>4.3285744659487024</v>
      </c>
      <c r="AJ2445" s="78" t="s">
        <v>52</v>
      </c>
      <c r="AK2445" s="78" t="s">
        <v>20</v>
      </c>
      <c r="AL2445" s="78" t="s">
        <v>28</v>
      </c>
      <c r="AM2445" s="78" t="s">
        <v>51</v>
      </c>
      <c r="AN2445" s="78" t="s">
        <v>612</v>
      </c>
      <c r="AO2445" s="78">
        <v>1.3687146419115941</v>
      </c>
    </row>
    <row r="2446" spans="29:41">
      <c r="AC2446" s="78" t="s">
        <v>52</v>
      </c>
      <c r="AD2446" s="78" t="s">
        <v>20</v>
      </c>
      <c r="AE2446" s="78" t="s">
        <v>72</v>
      </c>
      <c r="AF2446" s="78" t="s">
        <v>51</v>
      </c>
      <c r="AG2446" s="78" t="s">
        <v>661</v>
      </c>
      <c r="AH2446" s="78">
        <v>4.3746353816591084</v>
      </c>
      <c r="AJ2446" s="78" t="s">
        <v>52</v>
      </c>
      <c r="AK2446" s="78" t="s">
        <v>20</v>
      </c>
      <c r="AL2446" s="78" t="s">
        <v>28</v>
      </c>
      <c r="AM2446" s="78" t="s">
        <v>51</v>
      </c>
      <c r="AN2446" s="78" t="s">
        <v>613</v>
      </c>
      <c r="AO2446" s="78">
        <v>1.3349248554037241</v>
      </c>
    </row>
    <row r="2447" spans="29:41">
      <c r="AC2447" s="78" t="s">
        <v>52</v>
      </c>
      <c r="AD2447" s="78" t="s">
        <v>20</v>
      </c>
      <c r="AE2447" s="78" t="s">
        <v>72</v>
      </c>
      <c r="AF2447" s="78" t="s">
        <v>51</v>
      </c>
      <c r="AG2447" s="78" t="s">
        <v>662</v>
      </c>
      <c r="AH2447" s="78">
        <v>4.3746353816591084</v>
      </c>
      <c r="AJ2447" s="78" t="s">
        <v>52</v>
      </c>
      <c r="AK2447" s="78" t="s">
        <v>20</v>
      </c>
      <c r="AL2447" s="78" t="s">
        <v>28</v>
      </c>
      <c r="AM2447" s="78" t="s">
        <v>51</v>
      </c>
      <c r="AN2447" s="78" t="s">
        <v>614</v>
      </c>
      <c r="AO2447" s="78">
        <v>1.4651033742245314</v>
      </c>
    </row>
    <row r="2448" spans="29:41">
      <c r="AC2448" s="78" t="s">
        <v>52</v>
      </c>
      <c r="AD2448" s="78" t="s">
        <v>20</v>
      </c>
      <c r="AE2448" s="78" t="s">
        <v>72</v>
      </c>
      <c r="AF2448" s="78" t="s">
        <v>51</v>
      </c>
      <c r="AG2448" s="78" t="s">
        <v>663</v>
      </c>
      <c r="AH2448" s="78">
        <v>4.4384231677951833</v>
      </c>
      <c r="AJ2448" s="78" t="s">
        <v>52</v>
      </c>
      <c r="AK2448" s="78" t="s">
        <v>20</v>
      </c>
      <c r="AL2448" s="78" t="s">
        <v>28</v>
      </c>
      <c r="AM2448" s="78" t="s">
        <v>51</v>
      </c>
      <c r="AN2448" s="78" t="s">
        <v>615</v>
      </c>
      <c r="AO2448" s="78">
        <v>1.507206647700801</v>
      </c>
    </row>
    <row r="2449" spans="29:41">
      <c r="AC2449" s="78" t="s">
        <v>52</v>
      </c>
      <c r="AD2449" s="78" t="s">
        <v>20</v>
      </c>
      <c r="AE2449" s="78" t="s">
        <v>72</v>
      </c>
      <c r="AF2449" s="78" t="s">
        <v>51</v>
      </c>
      <c r="AG2449" s="78" t="s">
        <v>664</v>
      </c>
      <c r="AH2449" s="78">
        <v>4.3746353816591084</v>
      </c>
      <c r="AJ2449" s="78" t="s">
        <v>52</v>
      </c>
      <c r="AK2449" s="78" t="s">
        <v>20</v>
      </c>
      <c r="AL2449" s="78" t="s">
        <v>28</v>
      </c>
      <c r="AM2449" s="78" t="s">
        <v>51</v>
      </c>
      <c r="AN2449" s="78" t="s">
        <v>616</v>
      </c>
      <c r="AO2449" s="78">
        <v>1.4275620627445209</v>
      </c>
    </row>
    <row r="2450" spans="29:41">
      <c r="AC2450" s="78" t="s">
        <v>52</v>
      </c>
      <c r="AD2450" s="78" t="s">
        <v>20</v>
      </c>
      <c r="AE2450" s="78" t="s">
        <v>72</v>
      </c>
      <c r="AF2450" s="78" t="s">
        <v>51</v>
      </c>
      <c r="AG2450" s="78" t="s">
        <v>665</v>
      </c>
      <c r="AH2450" s="78">
        <v>4.4349282413789313</v>
      </c>
      <c r="AJ2450" s="78" t="s">
        <v>52</v>
      </c>
      <c r="AK2450" s="78" t="s">
        <v>20</v>
      </c>
      <c r="AL2450" s="78" t="s">
        <v>28</v>
      </c>
      <c r="AM2450" s="78" t="s">
        <v>51</v>
      </c>
      <c r="AN2450" s="78" t="s">
        <v>617</v>
      </c>
      <c r="AO2450" s="78">
        <v>1.4508639880159011</v>
      </c>
    </row>
    <row r="2451" spans="29:41">
      <c r="AC2451" s="78" t="s">
        <v>52</v>
      </c>
      <c r="AD2451" s="78" t="s">
        <v>20</v>
      </c>
      <c r="AE2451" s="78" t="s">
        <v>72</v>
      </c>
      <c r="AF2451" s="78" t="s">
        <v>51</v>
      </c>
      <c r="AG2451" s="78" t="s">
        <v>666</v>
      </c>
      <c r="AH2451" s="78">
        <v>4.3739903763055512</v>
      </c>
      <c r="AJ2451" s="78" t="s">
        <v>52</v>
      </c>
      <c r="AK2451" s="78" t="s">
        <v>20</v>
      </c>
      <c r="AL2451" s="78" t="s">
        <v>28</v>
      </c>
      <c r="AM2451" s="78" t="s">
        <v>51</v>
      </c>
      <c r="AN2451" s="78" t="s">
        <v>618</v>
      </c>
      <c r="AO2451" s="78">
        <v>1.4718726101986914</v>
      </c>
    </row>
    <row r="2452" spans="29:41">
      <c r="AC2452" s="78" t="s">
        <v>52</v>
      </c>
      <c r="AD2452" s="78" t="s">
        <v>20</v>
      </c>
      <c r="AE2452" s="78" t="s">
        <v>72</v>
      </c>
      <c r="AF2452" s="78" t="s">
        <v>51</v>
      </c>
      <c r="AG2452" s="78" t="s">
        <v>667</v>
      </c>
      <c r="AH2452" s="78">
        <v>4.4349282413789313</v>
      </c>
      <c r="AJ2452" s="78" t="s">
        <v>52</v>
      </c>
      <c r="AK2452" s="78" t="s">
        <v>20</v>
      </c>
      <c r="AL2452" s="78" t="s">
        <v>28</v>
      </c>
      <c r="AM2452" s="78" t="s">
        <v>51</v>
      </c>
      <c r="AN2452" s="78" t="s">
        <v>619</v>
      </c>
      <c r="AO2452" s="78">
        <v>1.3312621812810301</v>
      </c>
    </row>
    <row r="2453" spans="29:41">
      <c r="AC2453" s="78" t="s">
        <v>52</v>
      </c>
      <c r="AD2453" s="78" t="s">
        <v>20</v>
      </c>
      <c r="AE2453" s="78" t="s">
        <v>72</v>
      </c>
      <c r="AF2453" s="78" t="s">
        <v>51</v>
      </c>
      <c r="AG2453" s="78" t="s">
        <v>668</v>
      </c>
      <c r="AH2453" s="78">
        <v>4.2028039804499189</v>
      </c>
      <c r="AJ2453" s="78" t="s">
        <v>52</v>
      </c>
      <c r="AK2453" s="78" t="s">
        <v>20</v>
      </c>
      <c r="AL2453" s="78" t="s">
        <v>28</v>
      </c>
      <c r="AM2453" s="78" t="s">
        <v>51</v>
      </c>
      <c r="AN2453" s="78" t="s">
        <v>620</v>
      </c>
      <c r="AO2453" s="78">
        <v>1.3644120068434704</v>
      </c>
    </row>
    <row r="2454" spans="29:41">
      <c r="AC2454" s="78" t="s">
        <v>52</v>
      </c>
      <c r="AD2454" s="78" t="s">
        <v>20</v>
      </c>
      <c r="AE2454" s="78" t="s">
        <v>72</v>
      </c>
      <c r="AF2454" s="78" t="s">
        <v>51</v>
      </c>
      <c r="AG2454" s="78" t="s">
        <v>669</v>
      </c>
      <c r="AH2454" s="78">
        <v>4.2028039804499189</v>
      </c>
      <c r="AJ2454" s="78" t="s">
        <v>52</v>
      </c>
      <c r="AK2454" s="78" t="s">
        <v>20</v>
      </c>
      <c r="AL2454" s="78" t="s">
        <v>28</v>
      </c>
      <c r="AM2454" s="78" t="s">
        <v>51</v>
      </c>
      <c r="AN2454" s="78" t="s">
        <v>621</v>
      </c>
      <c r="AO2454" s="78">
        <v>1.3381436644980302</v>
      </c>
    </row>
    <row r="2455" spans="29:41">
      <c r="AC2455" s="78" t="s">
        <v>52</v>
      </c>
      <c r="AD2455" s="78" t="s">
        <v>20</v>
      </c>
      <c r="AE2455" s="78" t="s">
        <v>72</v>
      </c>
      <c r="AF2455" s="78" t="s">
        <v>51</v>
      </c>
      <c r="AG2455" s="78" t="s">
        <v>670</v>
      </c>
      <c r="AH2455" s="78">
        <v>4.3099419961318617</v>
      </c>
      <c r="AJ2455" s="78" t="s">
        <v>52</v>
      </c>
      <c r="AK2455" s="78" t="s">
        <v>20</v>
      </c>
      <c r="AL2455" s="78" t="s">
        <v>28</v>
      </c>
      <c r="AM2455" s="78" t="s">
        <v>51</v>
      </c>
      <c r="AN2455" s="78" t="s">
        <v>622</v>
      </c>
      <c r="AO2455" s="78">
        <v>1.4082065957863801</v>
      </c>
    </row>
    <row r="2456" spans="29:41">
      <c r="AC2456" s="78" t="s">
        <v>52</v>
      </c>
      <c r="AD2456" s="78" t="s">
        <v>20</v>
      </c>
      <c r="AE2456" s="78" t="s">
        <v>72</v>
      </c>
      <c r="AF2456" s="78" t="s">
        <v>51</v>
      </c>
      <c r="AG2456" s="78" t="s">
        <v>671</v>
      </c>
      <c r="AH2456" s="78">
        <v>4.3099419961318617</v>
      </c>
      <c r="AJ2456" s="78" t="s">
        <v>52</v>
      </c>
      <c r="AK2456" s="78" t="s">
        <v>20</v>
      </c>
      <c r="AL2456" s="78" t="s">
        <v>28</v>
      </c>
      <c r="AM2456" s="78" t="s">
        <v>51</v>
      </c>
      <c r="AN2456" s="78" t="s">
        <v>623</v>
      </c>
      <c r="AO2456" s="78">
        <v>1.37468689981579</v>
      </c>
    </row>
    <row r="2457" spans="29:41">
      <c r="AC2457" s="78" t="s">
        <v>52</v>
      </c>
      <c r="AD2457" s="78" t="s">
        <v>20</v>
      </c>
      <c r="AE2457" s="78" t="s">
        <v>72</v>
      </c>
      <c r="AF2457" s="78" t="s">
        <v>51</v>
      </c>
      <c r="AG2457" s="78" t="s">
        <v>672</v>
      </c>
      <c r="AH2457" s="78">
        <v>4.2028039804499189</v>
      </c>
      <c r="AJ2457" s="78" t="s">
        <v>52</v>
      </c>
      <c r="AK2457" s="78" t="s">
        <v>20</v>
      </c>
      <c r="AL2457" s="78" t="s">
        <v>28</v>
      </c>
      <c r="AM2457" s="78" t="s">
        <v>51</v>
      </c>
      <c r="AN2457" s="78" t="s">
        <v>624</v>
      </c>
      <c r="AO2457" s="78">
        <v>1.4453248476930107</v>
      </c>
    </row>
    <row r="2458" spans="29:41">
      <c r="AC2458" s="78" t="s">
        <v>52</v>
      </c>
      <c r="AD2458" s="78" t="s">
        <v>20</v>
      </c>
      <c r="AE2458" s="78" t="s">
        <v>72</v>
      </c>
      <c r="AF2458" s="78" t="s">
        <v>51</v>
      </c>
      <c r="AG2458" s="78" t="s">
        <v>673</v>
      </c>
      <c r="AH2458" s="78">
        <v>4.2489734701408617</v>
      </c>
      <c r="AJ2458" s="78" t="s">
        <v>52</v>
      </c>
      <c r="AK2458" s="78" t="s">
        <v>20</v>
      </c>
      <c r="AL2458" s="78" t="s">
        <v>28</v>
      </c>
      <c r="AM2458" s="78" t="s">
        <v>51</v>
      </c>
      <c r="AN2458" s="78" t="s">
        <v>625</v>
      </c>
      <c r="AO2458" s="78">
        <v>1.482992963249951</v>
      </c>
    </row>
    <row r="2459" spans="29:41">
      <c r="AC2459" s="78" t="s">
        <v>52</v>
      </c>
      <c r="AD2459" s="78" t="s">
        <v>20</v>
      </c>
      <c r="AE2459" s="78" t="s">
        <v>72</v>
      </c>
      <c r="AF2459" s="78" t="s">
        <v>51</v>
      </c>
      <c r="AG2459" s="78" t="s">
        <v>674</v>
      </c>
      <c r="AH2459" s="78">
        <v>4.2489734701408617</v>
      </c>
      <c r="AJ2459" s="78" t="s">
        <v>52</v>
      </c>
      <c r="AK2459" s="78" t="s">
        <v>20</v>
      </c>
      <c r="AL2459" s="78" t="s">
        <v>28</v>
      </c>
      <c r="AM2459" s="78" t="s">
        <v>51</v>
      </c>
      <c r="AN2459" s="78" t="s">
        <v>626</v>
      </c>
      <c r="AO2459" s="78">
        <v>1.3985624704711499</v>
      </c>
    </row>
    <row r="2460" spans="29:41">
      <c r="AC2460" s="78" t="s">
        <v>52</v>
      </c>
      <c r="AD2460" s="78" t="s">
        <v>20</v>
      </c>
      <c r="AE2460" s="78" t="s">
        <v>72</v>
      </c>
      <c r="AF2460" s="78" t="s">
        <v>51</v>
      </c>
      <c r="AG2460" s="78" t="s">
        <v>675</v>
      </c>
      <c r="AH2460" s="78">
        <v>4.3100225972031501</v>
      </c>
      <c r="AJ2460" s="78" t="s">
        <v>52</v>
      </c>
      <c r="AK2460" s="78" t="s">
        <v>20</v>
      </c>
      <c r="AL2460" s="78" t="s">
        <v>28</v>
      </c>
      <c r="AM2460" s="78" t="s">
        <v>51</v>
      </c>
      <c r="AN2460" s="78" t="s">
        <v>627</v>
      </c>
      <c r="AO2460" s="78">
        <v>1.4780693750842011</v>
      </c>
    </row>
    <row r="2461" spans="29:41">
      <c r="AC2461" s="78" t="s">
        <v>52</v>
      </c>
      <c r="AD2461" s="78" t="s">
        <v>20</v>
      </c>
      <c r="AE2461" s="78" t="s">
        <v>72</v>
      </c>
      <c r="AF2461" s="78" t="s">
        <v>51</v>
      </c>
      <c r="AG2461" s="78" t="s">
        <v>676</v>
      </c>
      <c r="AH2461" s="78">
        <v>4.2028039804499189</v>
      </c>
      <c r="AJ2461" s="78" t="s">
        <v>52</v>
      </c>
      <c r="AK2461" s="78" t="s">
        <v>20</v>
      </c>
      <c r="AL2461" s="78" t="s">
        <v>28</v>
      </c>
      <c r="AM2461" s="78" t="s">
        <v>51</v>
      </c>
      <c r="AN2461" s="78" t="s">
        <v>628</v>
      </c>
      <c r="AO2461" s="78">
        <v>1.4076550248571102</v>
      </c>
    </row>
    <row r="2462" spans="29:41">
      <c r="AC2462" s="78" t="s">
        <v>52</v>
      </c>
      <c r="AD2462" s="78" t="s">
        <v>20</v>
      </c>
      <c r="AE2462" s="78" t="s">
        <v>72</v>
      </c>
      <c r="AF2462" s="78" t="s">
        <v>51</v>
      </c>
      <c r="AG2462" s="78" t="s">
        <v>677</v>
      </c>
      <c r="AH2462" s="78">
        <v>4.2489734701408617</v>
      </c>
      <c r="AJ2462" s="78" t="s">
        <v>52</v>
      </c>
      <c r="AK2462" s="78" t="s">
        <v>20</v>
      </c>
      <c r="AL2462" s="78" t="s">
        <v>28</v>
      </c>
      <c r="AM2462" s="78" t="s">
        <v>51</v>
      </c>
      <c r="AN2462" s="78" t="s">
        <v>629</v>
      </c>
      <c r="AO2462" s="78">
        <v>1.4774859755130261</v>
      </c>
    </row>
    <row r="2463" spans="29:41">
      <c r="AC2463" s="78" t="s">
        <v>52</v>
      </c>
      <c r="AD2463" s="78" t="s">
        <v>20</v>
      </c>
      <c r="AE2463" s="78" t="s">
        <v>72</v>
      </c>
      <c r="AF2463" s="78" t="s">
        <v>51</v>
      </c>
      <c r="AG2463" s="78" t="s">
        <v>678</v>
      </c>
      <c r="AH2463" s="78">
        <v>4.2489734701408617</v>
      </c>
      <c r="AJ2463" s="78" t="s">
        <v>52</v>
      </c>
      <c r="AK2463" s="78" t="s">
        <v>20</v>
      </c>
      <c r="AL2463" s="78" t="s">
        <v>28</v>
      </c>
      <c r="AM2463" s="78" t="s">
        <v>51</v>
      </c>
      <c r="AN2463" s="78" t="s">
        <v>630</v>
      </c>
      <c r="AO2463" s="78">
        <v>1.3546497725814941</v>
      </c>
    </row>
    <row r="2464" spans="29:41">
      <c r="AC2464" s="78" t="s">
        <v>52</v>
      </c>
      <c r="AD2464" s="78" t="s">
        <v>20</v>
      </c>
      <c r="AE2464" s="78" t="s">
        <v>72</v>
      </c>
      <c r="AF2464" s="78" t="s">
        <v>51</v>
      </c>
      <c r="AG2464" s="78" t="s">
        <v>679</v>
      </c>
      <c r="AH2464" s="78">
        <v>4.2489734701408617</v>
      </c>
      <c r="AJ2464" s="78" t="s">
        <v>52</v>
      </c>
      <c r="AK2464" s="78" t="s">
        <v>20</v>
      </c>
      <c r="AL2464" s="78" t="s">
        <v>28</v>
      </c>
      <c r="AM2464" s="78" t="s">
        <v>51</v>
      </c>
      <c r="AN2464" s="78" t="s">
        <v>631</v>
      </c>
      <c r="AO2464" s="78">
        <v>1.4821420018000762</v>
      </c>
    </row>
    <row r="2465" spans="29:41">
      <c r="AC2465" s="78" t="s">
        <v>52</v>
      </c>
      <c r="AD2465" s="78" t="s">
        <v>20</v>
      </c>
      <c r="AE2465" s="78" t="s">
        <v>72</v>
      </c>
      <c r="AF2465" s="78" t="s">
        <v>51</v>
      </c>
      <c r="AG2465" s="78" t="s">
        <v>680</v>
      </c>
      <c r="AH2465" s="78">
        <v>4.2489734701408617</v>
      </c>
      <c r="AJ2465" s="78" t="s">
        <v>52</v>
      </c>
      <c r="AK2465" s="78" t="s">
        <v>20</v>
      </c>
      <c r="AL2465" s="78" t="s">
        <v>28</v>
      </c>
      <c r="AM2465" s="78" t="s">
        <v>51</v>
      </c>
      <c r="AN2465" s="78" t="s">
        <v>632</v>
      </c>
      <c r="AO2465" s="78">
        <v>1.3782789910817308</v>
      </c>
    </row>
    <row r="2466" spans="29:41">
      <c r="AC2466" s="78" t="s">
        <v>52</v>
      </c>
      <c r="AD2466" s="78" t="s">
        <v>20</v>
      </c>
      <c r="AE2466" s="78" t="s">
        <v>72</v>
      </c>
      <c r="AF2466" s="78" t="s">
        <v>51</v>
      </c>
      <c r="AG2466" s="78" t="s">
        <v>681</v>
      </c>
      <c r="AH2466" s="78">
        <v>4.2489734701408617</v>
      </c>
      <c r="AJ2466" s="78" t="s">
        <v>52</v>
      </c>
      <c r="AK2466" s="78" t="s">
        <v>20</v>
      </c>
      <c r="AL2466" s="78" t="s">
        <v>28</v>
      </c>
      <c r="AM2466" s="78" t="s">
        <v>51</v>
      </c>
      <c r="AN2466" s="78" t="s">
        <v>633</v>
      </c>
      <c r="AO2466" s="78">
        <v>1.3862286853500798</v>
      </c>
    </row>
    <row r="2467" spans="29:41">
      <c r="AC2467" s="78" t="s">
        <v>52</v>
      </c>
      <c r="AD2467" s="78" t="s">
        <v>20</v>
      </c>
      <c r="AE2467" s="78" t="s">
        <v>72</v>
      </c>
      <c r="AF2467" s="78" t="s">
        <v>51</v>
      </c>
      <c r="AG2467" s="78" t="s">
        <v>682</v>
      </c>
      <c r="AH2467" s="78">
        <v>4.2489734701408617</v>
      </c>
      <c r="AJ2467" s="78" t="s">
        <v>52</v>
      </c>
      <c r="AK2467" s="78" t="s">
        <v>20</v>
      </c>
      <c r="AL2467" s="78" t="s">
        <v>28</v>
      </c>
      <c r="AM2467" s="78" t="s">
        <v>51</v>
      </c>
      <c r="AN2467" s="78" t="s">
        <v>634</v>
      </c>
      <c r="AO2467" s="78">
        <v>1.3857282109144342</v>
      </c>
    </row>
    <row r="2468" spans="29:41">
      <c r="AC2468" s="78" t="s">
        <v>52</v>
      </c>
      <c r="AD2468" s="78" t="s">
        <v>20</v>
      </c>
      <c r="AE2468" s="78" t="s">
        <v>72</v>
      </c>
      <c r="AF2468" s="78" t="s">
        <v>51</v>
      </c>
      <c r="AG2468" s="78" t="s">
        <v>683</v>
      </c>
      <c r="AH2468" s="78">
        <v>4.2028039804499189</v>
      </c>
      <c r="AJ2468" s="78" t="s">
        <v>52</v>
      </c>
      <c r="AK2468" s="78" t="s">
        <v>20</v>
      </c>
      <c r="AL2468" s="78" t="s">
        <v>28</v>
      </c>
      <c r="AM2468" s="78" t="s">
        <v>51</v>
      </c>
      <c r="AN2468" s="78" t="s">
        <v>635</v>
      </c>
      <c r="AO2468" s="78">
        <v>1.4606036730355507</v>
      </c>
    </row>
    <row r="2469" spans="29:41">
      <c r="AC2469" s="78" t="s">
        <v>52</v>
      </c>
      <c r="AD2469" s="78" t="s">
        <v>20</v>
      </c>
      <c r="AE2469" s="78" t="s">
        <v>72</v>
      </c>
      <c r="AF2469" s="78" t="s">
        <v>51</v>
      </c>
      <c r="AG2469" s="78" t="s">
        <v>684</v>
      </c>
      <c r="AH2469" s="78">
        <v>4.2028039804499189</v>
      </c>
      <c r="AJ2469" s="78" t="s">
        <v>52</v>
      </c>
      <c r="AK2469" s="78" t="s">
        <v>20</v>
      </c>
      <c r="AL2469" s="78" t="s">
        <v>28</v>
      </c>
      <c r="AM2469" s="78" t="s">
        <v>51</v>
      </c>
      <c r="AN2469" s="78" t="s">
        <v>636</v>
      </c>
      <c r="AO2469" s="78">
        <v>1.4630019074425429</v>
      </c>
    </row>
    <row r="2470" spans="29:41">
      <c r="AC2470" s="78" t="s">
        <v>52</v>
      </c>
      <c r="AD2470" s="78" t="s">
        <v>20</v>
      </c>
      <c r="AE2470" s="78" t="s">
        <v>72</v>
      </c>
      <c r="AF2470" s="78" t="s">
        <v>51</v>
      </c>
      <c r="AG2470" s="78" t="s">
        <v>685</v>
      </c>
      <c r="AH2470" s="78">
        <v>4.2489734701408617</v>
      </c>
      <c r="AJ2470" s="78" t="s">
        <v>52</v>
      </c>
      <c r="AK2470" s="78" t="s">
        <v>20</v>
      </c>
      <c r="AL2470" s="78" t="s">
        <v>28</v>
      </c>
      <c r="AM2470" s="78" t="s">
        <v>51</v>
      </c>
      <c r="AN2470" s="78" t="s">
        <v>637</v>
      </c>
      <c r="AO2470" s="78">
        <v>1.3905360321072682</v>
      </c>
    </row>
    <row r="2471" spans="29:41">
      <c r="AC2471" s="78" t="s">
        <v>52</v>
      </c>
      <c r="AD2471" s="78" t="s">
        <v>20</v>
      </c>
      <c r="AE2471" s="78" t="s">
        <v>72</v>
      </c>
      <c r="AF2471" s="78" t="s">
        <v>51</v>
      </c>
      <c r="AG2471" s="78" t="s">
        <v>686</v>
      </c>
      <c r="AH2471" s="78">
        <v>4.3100225972031501</v>
      </c>
      <c r="AJ2471" s="78" t="s">
        <v>52</v>
      </c>
      <c r="AK2471" s="78" t="s">
        <v>20</v>
      </c>
      <c r="AL2471" s="78" t="s">
        <v>28</v>
      </c>
      <c r="AM2471" s="78" t="s">
        <v>51</v>
      </c>
      <c r="AN2471" s="78" t="s">
        <v>638</v>
      </c>
      <c r="AO2471" s="78">
        <v>1.4035271558797924</v>
      </c>
    </row>
    <row r="2472" spans="29:41">
      <c r="AC2472" s="78" t="s">
        <v>52</v>
      </c>
      <c r="AD2472" s="78" t="s">
        <v>20</v>
      </c>
      <c r="AE2472" s="78" t="s">
        <v>72</v>
      </c>
      <c r="AF2472" s="78" t="s">
        <v>51</v>
      </c>
      <c r="AG2472" s="78" t="s">
        <v>687</v>
      </c>
      <c r="AH2472" s="78">
        <v>4.3739903763055512</v>
      </c>
      <c r="AJ2472" s="78" t="s">
        <v>52</v>
      </c>
      <c r="AK2472" s="78" t="s">
        <v>20</v>
      </c>
      <c r="AL2472" s="78" t="s">
        <v>28</v>
      </c>
      <c r="AM2472" s="78" t="s">
        <v>51</v>
      </c>
      <c r="AN2472" s="78" t="s">
        <v>639</v>
      </c>
      <c r="AO2472" s="78">
        <v>1.3794872428127423</v>
      </c>
    </row>
    <row r="2473" spans="29:41">
      <c r="AC2473" s="78" t="s">
        <v>52</v>
      </c>
      <c r="AD2473" s="78" t="s">
        <v>20</v>
      </c>
      <c r="AE2473" s="78" t="s">
        <v>72</v>
      </c>
      <c r="AF2473" s="78" t="s">
        <v>51</v>
      </c>
      <c r="AG2473" s="78" t="s">
        <v>688</v>
      </c>
      <c r="AH2473" s="78">
        <v>4.4349282413789313</v>
      </c>
      <c r="AJ2473" s="78" t="s">
        <v>52</v>
      </c>
      <c r="AK2473" s="78" t="s">
        <v>20</v>
      </c>
      <c r="AL2473" s="78" t="s">
        <v>28</v>
      </c>
      <c r="AM2473" s="78" t="s">
        <v>51</v>
      </c>
      <c r="AN2473" s="78" t="s">
        <v>640</v>
      </c>
      <c r="AO2473" s="78">
        <v>1.3864593289206881</v>
      </c>
    </row>
    <row r="2474" spans="29:41">
      <c r="AC2474" s="78" t="s">
        <v>52</v>
      </c>
      <c r="AD2474" s="78" t="s">
        <v>20</v>
      </c>
      <c r="AE2474" s="78" t="s">
        <v>72</v>
      </c>
      <c r="AF2474" s="78" t="s">
        <v>51</v>
      </c>
      <c r="AG2474" s="78" t="s">
        <v>689</v>
      </c>
      <c r="AH2474" s="78">
        <v>4.3748853816591078</v>
      </c>
      <c r="AJ2474" s="78" t="s">
        <v>52</v>
      </c>
      <c r="AK2474" s="78" t="s">
        <v>20</v>
      </c>
      <c r="AL2474" s="78" t="s">
        <v>28</v>
      </c>
      <c r="AM2474" s="78" t="s">
        <v>51</v>
      </c>
      <c r="AN2474" s="78" t="s">
        <v>641</v>
      </c>
      <c r="AO2474" s="78">
        <v>1.3936493962277383</v>
      </c>
    </row>
    <row r="2475" spans="29:41">
      <c r="AC2475" s="78" t="s">
        <v>52</v>
      </c>
      <c r="AD2475" s="78" t="s">
        <v>20</v>
      </c>
      <c r="AE2475" s="78" t="s">
        <v>72</v>
      </c>
      <c r="AF2475" s="78" t="s">
        <v>51</v>
      </c>
      <c r="AG2475" s="78" t="s">
        <v>690</v>
      </c>
      <c r="AH2475" s="78">
        <v>4.4994479147795907</v>
      </c>
      <c r="AJ2475" s="78" t="s">
        <v>52</v>
      </c>
      <c r="AK2475" s="78" t="s">
        <v>20</v>
      </c>
      <c r="AL2475" s="78" t="s">
        <v>28</v>
      </c>
      <c r="AM2475" s="78" t="s">
        <v>51</v>
      </c>
      <c r="AN2475" s="78" t="s">
        <v>642</v>
      </c>
      <c r="AO2475" s="78">
        <v>1.4822069432466709</v>
      </c>
    </row>
    <row r="2476" spans="29:41">
      <c r="AC2476" s="78" t="s">
        <v>52</v>
      </c>
      <c r="AD2476" s="78" t="s">
        <v>20</v>
      </c>
      <c r="AE2476" s="78" t="s">
        <v>72</v>
      </c>
      <c r="AF2476" s="78" t="s">
        <v>51</v>
      </c>
      <c r="AG2476" s="78" t="s">
        <v>691</v>
      </c>
      <c r="AH2476" s="78">
        <v>4.4994479147795907</v>
      </c>
      <c r="AJ2476" s="78" t="s">
        <v>52</v>
      </c>
      <c r="AK2476" s="78" t="s">
        <v>20</v>
      </c>
      <c r="AL2476" s="78" t="s">
        <v>28</v>
      </c>
      <c r="AM2476" s="78" t="s">
        <v>51</v>
      </c>
      <c r="AN2476" s="78" t="s">
        <v>643</v>
      </c>
      <c r="AO2476" s="78">
        <v>1.4117632351876508</v>
      </c>
    </row>
    <row r="2477" spans="29:41">
      <c r="AC2477" s="78" t="s">
        <v>52</v>
      </c>
      <c r="AD2477" s="78" t="s">
        <v>20</v>
      </c>
      <c r="AE2477" s="78" t="s">
        <v>72</v>
      </c>
      <c r="AF2477" s="78" t="s">
        <v>51</v>
      </c>
      <c r="AG2477" s="78" t="s">
        <v>692</v>
      </c>
      <c r="AH2477" s="78">
        <v>4.4994479147795907</v>
      </c>
      <c r="AJ2477" s="78" t="s">
        <v>52</v>
      </c>
      <c r="AK2477" s="78" t="s">
        <v>20</v>
      </c>
      <c r="AL2477" s="78" t="s">
        <v>28</v>
      </c>
      <c r="AM2477" s="78" t="s">
        <v>51</v>
      </c>
      <c r="AN2477" s="78" t="s">
        <v>644</v>
      </c>
      <c r="AO2477" s="78">
        <v>1.3942586566110839</v>
      </c>
    </row>
    <row r="2478" spans="29:41">
      <c r="AC2478" s="78" t="s">
        <v>52</v>
      </c>
      <c r="AD2478" s="78" t="s">
        <v>20</v>
      </c>
      <c r="AE2478" s="78" t="s">
        <v>72</v>
      </c>
      <c r="AF2478" s="78" t="s">
        <v>51</v>
      </c>
      <c r="AG2478" s="78" t="s">
        <v>693</v>
      </c>
      <c r="AH2478" s="78">
        <v>4.4994479147795907</v>
      </c>
      <c r="AJ2478" s="78" t="s">
        <v>52</v>
      </c>
      <c r="AK2478" s="78" t="s">
        <v>20</v>
      </c>
      <c r="AL2478" s="78" t="s">
        <v>28</v>
      </c>
      <c r="AM2478" s="78" t="s">
        <v>51</v>
      </c>
      <c r="AN2478" s="78" t="s">
        <v>645</v>
      </c>
      <c r="AO2478" s="78">
        <v>1.5282889942229261</v>
      </c>
    </row>
    <row r="2479" spans="29:41">
      <c r="AC2479" s="78" t="s">
        <v>52</v>
      </c>
      <c r="AD2479" s="78" t="s">
        <v>20</v>
      </c>
      <c r="AE2479" s="78" t="s">
        <v>72</v>
      </c>
      <c r="AF2479" s="78" t="s">
        <v>51</v>
      </c>
      <c r="AG2479" s="78" t="s">
        <v>694</v>
      </c>
      <c r="AH2479" s="78">
        <v>4.3748853816591078</v>
      </c>
      <c r="AJ2479" s="78" t="s">
        <v>52</v>
      </c>
      <c r="AK2479" s="78" t="s">
        <v>20</v>
      </c>
      <c r="AL2479" s="78" t="s">
        <v>28</v>
      </c>
      <c r="AM2479" s="78" t="s">
        <v>51</v>
      </c>
      <c r="AN2479" s="78" t="s">
        <v>646</v>
      </c>
      <c r="AO2479" s="78">
        <v>1.546054472096436</v>
      </c>
    </row>
    <row r="2480" spans="29:41">
      <c r="AC2480" s="78" t="s">
        <v>52</v>
      </c>
      <c r="AD2480" s="78" t="s">
        <v>20</v>
      </c>
      <c r="AE2480" s="78" t="s">
        <v>72</v>
      </c>
      <c r="AF2480" s="78" t="s">
        <v>51</v>
      </c>
      <c r="AG2480" s="78" t="s">
        <v>695</v>
      </c>
      <c r="AH2480" s="78">
        <v>4.3748853816591078</v>
      </c>
      <c r="AJ2480" s="78" t="s">
        <v>52</v>
      </c>
      <c r="AK2480" s="78" t="s">
        <v>20</v>
      </c>
      <c r="AL2480" s="78" t="s">
        <v>28</v>
      </c>
      <c r="AM2480" s="78" t="s">
        <v>51</v>
      </c>
      <c r="AN2480" s="78" t="s">
        <v>647</v>
      </c>
      <c r="AO2480" s="78">
        <v>1.4411418591504708</v>
      </c>
    </row>
    <row r="2481" spans="29:41">
      <c r="AC2481" s="78" t="s">
        <v>52</v>
      </c>
      <c r="AD2481" s="78" t="s">
        <v>20</v>
      </c>
      <c r="AE2481" s="78" t="s">
        <v>72</v>
      </c>
      <c r="AF2481" s="78" t="s">
        <v>51</v>
      </c>
      <c r="AG2481" s="78" t="s">
        <v>696</v>
      </c>
      <c r="AH2481" s="78">
        <v>4.3742403763055506</v>
      </c>
      <c r="AJ2481" s="78" t="s">
        <v>52</v>
      </c>
      <c r="AK2481" s="78" t="s">
        <v>20</v>
      </c>
      <c r="AL2481" s="78" t="s">
        <v>28</v>
      </c>
      <c r="AM2481" s="78" t="s">
        <v>51</v>
      </c>
      <c r="AN2481" s="78" t="s">
        <v>648</v>
      </c>
      <c r="AO2481" s="78">
        <v>1.5409098093237559</v>
      </c>
    </row>
    <row r="2482" spans="29:41">
      <c r="AC2482" s="78" t="s">
        <v>52</v>
      </c>
      <c r="AD2482" s="78" t="s">
        <v>20</v>
      </c>
      <c r="AE2482" s="78" t="s">
        <v>72</v>
      </c>
      <c r="AF2482" s="78" t="s">
        <v>51</v>
      </c>
      <c r="AG2482" s="78" t="s">
        <v>697</v>
      </c>
      <c r="AH2482" s="78">
        <v>4.4351782413789307</v>
      </c>
      <c r="AJ2482" s="78" t="s">
        <v>52</v>
      </c>
      <c r="AK2482" s="78" t="s">
        <v>20</v>
      </c>
      <c r="AL2482" s="78" t="s">
        <v>28</v>
      </c>
      <c r="AM2482" s="78" t="s">
        <v>51</v>
      </c>
      <c r="AN2482" s="78" t="s">
        <v>649</v>
      </c>
      <c r="AO2482" s="78">
        <v>1.3917321667470131</v>
      </c>
    </row>
    <row r="2483" spans="29:41">
      <c r="AC2483" s="78" t="s">
        <v>52</v>
      </c>
      <c r="AD2483" s="78" t="s">
        <v>20</v>
      </c>
      <c r="AE2483" s="78" t="s">
        <v>72</v>
      </c>
      <c r="AF2483" s="78" t="s">
        <v>51</v>
      </c>
      <c r="AG2483" s="78" t="s">
        <v>698</v>
      </c>
      <c r="AH2483" s="78">
        <v>4.3742403763055506</v>
      </c>
      <c r="AJ2483" s="78" t="s">
        <v>52</v>
      </c>
      <c r="AK2483" s="78" t="s">
        <v>20</v>
      </c>
      <c r="AL2483" s="78" t="s">
        <v>28</v>
      </c>
      <c r="AM2483" s="78" t="s">
        <v>51</v>
      </c>
      <c r="AN2483" s="78" t="s">
        <v>650</v>
      </c>
      <c r="AO2483" s="78">
        <v>1.479119060238296</v>
      </c>
    </row>
    <row r="2484" spans="29:41">
      <c r="AC2484" s="78" t="s">
        <v>52</v>
      </c>
      <c r="AD2484" s="78" t="s">
        <v>20</v>
      </c>
      <c r="AE2484" s="78" t="s">
        <v>72</v>
      </c>
      <c r="AF2484" s="78" t="s">
        <v>51</v>
      </c>
      <c r="AG2484" s="78" t="s">
        <v>699</v>
      </c>
      <c r="AH2484" s="78">
        <v>4.3742403763055506</v>
      </c>
      <c r="AJ2484" s="78" t="s">
        <v>52</v>
      </c>
      <c r="AK2484" s="78" t="s">
        <v>20</v>
      </c>
      <c r="AL2484" s="78" t="s">
        <v>28</v>
      </c>
      <c r="AM2484" s="78" t="s">
        <v>51</v>
      </c>
      <c r="AN2484" s="78" t="s">
        <v>651</v>
      </c>
      <c r="AO2484" s="78">
        <v>1.4236951358804311</v>
      </c>
    </row>
    <row r="2485" spans="29:41">
      <c r="AC2485" s="78" t="s">
        <v>52</v>
      </c>
      <c r="AD2485" s="78" t="s">
        <v>20</v>
      </c>
      <c r="AE2485" s="78" t="s">
        <v>72</v>
      </c>
      <c r="AF2485" s="78" t="s">
        <v>51</v>
      </c>
      <c r="AG2485" s="78" t="s">
        <v>700</v>
      </c>
      <c r="AH2485" s="78">
        <v>4.3742403763055506</v>
      </c>
      <c r="AJ2485" s="78" t="s">
        <v>52</v>
      </c>
      <c r="AK2485" s="78" t="s">
        <v>20</v>
      </c>
      <c r="AL2485" s="78" t="s">
        <v>28</v>
      </c>
      <c r="AM2485" s="78" t="s">
        <v>51</v>
      </c>
      <c r="AN2485" s="78" t="s">
        <v>652</v>
      </c>
      <c r="AO2485" s="78">
        <v>1.4703711789415259</v>
      </c>
    </row>
    <row r="2486" spans="29:41">
      <c r="AC2486" s="78" t="s">
        <v>52</v>
      </c>
      <c r="AD2486" s="78" t="s">
        <v>20</v>
      </c>
      <c r="AE2486" s="78" t="s">
        <v>72</v>
      </c>
      <c r="AF2486" s="78" t="s">
        <v>51</v>
      </c>
      <c r="AG2486" s="78" t="s">
        <v>701</v>
      </c>
      <c r="AH2486" s="78">
        <v>4.3742403763055506</v>
      </c>
      <c r="AJ2486" s="78" t="s">
        <v>52</v>
      </c>
      <c r="AK2486" s="78" t="s">
        <v>20</v>
      </c>
      <c r="AL2486" s="78" t="s">
        <v>28</v>
      </c>
      <c r="AM2486" s="78" t="s">
        <v>51</v>
      </c>
      <c r="AN2486" s="78" t="s">
        <v>653</v>
      </c>
      <c r="AO2486" s="78">
        <v>1.4258420801721357</v>
      </c>
    </row>
    <row r="2487" spans="29:41">
      <c r="AC2487" s="78" t="s">
        <v>52</v>
      </c>
      <c r="AD2487" s="78" t="s">
        <v>20</v>
      </c>
      <c r="AE2487" s="78" t="s">
        <v>72</v>
      </c>
      <c r="AF2487" s="78" t="s">
        <v>51</v>
      </c>
      <c r="AG2487" s="78" t="s">
        <v>702</v>
      </c>
      <c r="AH2487" s="78">
        <v>4.4351782413789307</v>
      </c>
      <c r="AJ2487" s="78" t="s">
        <v>52</v>
      </c>
      <c r="AK2487" s="78" t="s">
        <v>20</v>
      </c>
      <c r="AL2487" s="78" t="s">
        <v>28</v>
      </c>
      <c r="AM2487" s="78" t="s">
        <v>51</v>
      </c>
      <c r="AN2487" s="78" t="s">
        <v>654</v>
      </c>
      <c r="AO2487" s="78">
        <v>1.4293201497036661</v>
      </c>
    </row>
    <row r="2488" spans="29:41">
      <c r="AC2488" s="78" t="s">
        <v>52</v>
      </c>
      <c r="AD2488" s="78" t="s">
        <v>20</v>
      </c>
      <c r="AE2488" s="78" t="s">
        <v>72</v>
      </c>
      <c r="AF2488" s="78" t="s">
        <v>51</v>
      </c>
      <c r="AG2488" s="78" t="s">
        <v>703</v>
      </c>
      <c r="AH2488" s="78">
        <v>4.3748853816591078</v>
      </c>
      <c r="AJ2488" s="78" t="s">
        <v>52</v>
      </c>
      <c r="AK2488" s="78" t="s">
        <v>20</v>
      </c>
      <c r="AL2488" s="78" t="s">
        <v>28</v>
      </c>
      <c r="AM2488" s="78" t="s">
        <v>51</v>
      </c>
      <c r="AN2488" s="78" t="s">
        <v>655</v>
      </c>
      <c r="AO2488" s="78">
        <v>1.4040761326195341</v>
      </c>
    </row>
    <row r="2489" spans="29:41">
      <c r="AC2489" s="78" t="s">
        <v>52</v>
      </c>
      <c r="AD2489" s="78" t="s">
        <v>20</v>
      </c>
      <c r="AE2489" s="78" t="s">
        <v>72</v>
      </c>
      <c r="AF2489" s="78" t="s">
        <v>51</v>
      </c>
      <c r="AG2489" s="78" t="s">
        <v>704</v>
      </c>
      <c r="AH2489" s="78">
        <v>4.4351782413789307</v>
      </c>
      <c r="AJ2489" s="78" t="s">
        <v>52</v>
      </c>
      <c r="AK2489" s="78" t="s">
        <v>20</v>
      </c>
      <c r="AL2489" s="78" t="s">
        <v>28</v>
      </c>
      <c r="AM2489" s="78" t="s">
        <v>51</v>
      </c>
      <c r="AN2489" s="78" t="s">
        <v>656</v>
      </c>
      <c r="AO2489" s="78">
        <v>1.445172226162331</v>
      </c>
    </row>
    <row r="2490" spans="29:41">
      <c r="AC2490" s="78" t="s">
        <v>52</v>
      </c>
      <c r="AD2490" s="78" t="s">
        <v>20</v>
      </c>
      <c r="AE2490" s="78" t="s">
        <v>72</v>
      </c>
      <c r="AF2490" s="78" t="s">
        <v>51</v>
      </c>
      <c r="AG2490" s="78" t="s">
        <v>705</v>
      </c>
      <c r="AH2490" s="78">
        <v>4.3748853816591078</v>
      </c>
      <c r="AJ2490" s="78" t="s">
        <v>52</v>
      </c>
      <c r="AK2490" s="78" t="s">
        <v>20</v>
      </c>
      <c r="AL2490" s="78" t="s">
        <v>28</v>
      </c>
      <c r="AM2490" s="78" t="s">
        <v>51</v>
      </c>
      <c r="AN2490" s="78" t="s">
        <v>657</v>
      </c>
      <c r="AO2490" s="78">
        <v>1.4624230456872409</v>
      </c>
    </row>
    <row r="2491" spans="29:41">
      <c r="AC2491" s="78" t="s">
        <v>52</v>
      </c>
      <c r="AD2491" s="78" t="s">
        <v>20</v>
      </c>
      <c r="AE2491" s="78" t="s">
        <v>72</v>
      </c>
      <c r="AF2491" s="78" t="s">
        <v>51</v>
      </c>
      <c r="AG2491" s="78" t="s">
        <v>706</v>
      </c>
      <c r="AH2491" s="78">
        <v>4.4351782413789307</v>
      </c>
      <c r="AJ2491" s="78" t="s">
        <v>52</v>
      </c>
      <c r="AK2491" s="78" t="s">
        <v>20</v>
      </c>
      <c r="AL2491" s="78" t="s">
        <v>28</v>
      </c>
      <c r="AM2491" s="78" t="s">
        <v>51</v>
      </c>
      <c r="AN2491" s="78" t="s">
        <v>658</v>
      </c>
      <c r="AO2491" s="78">
        <v>1.5093522997570514</v>
      </c>
    </row>
    <row r="2492" spans="29:41">
      <c r="AC2492" s="78" t="s">
        <v>52</v>
      </c>
      <c r="AD2492" s="78" t="s">
        <v>20</v>
      </c>
      <c r="AE2492" s="78" t="s">
        <v>72</v>
      </c>
      <c r="AF2492" s="78" t="s">
        <v>51</v>
      </c>
      <c r="AG2492" s="78" t="s">
        <v>707</v>
      </c>
      <c r="AH2492" s="78">
        <v>4.3288244659487027</v>
      </c>
      <c r="AJ2492" s="78" t="s">
        <v>52</v>
      </c>
      <c r="AK2492" s="78" t="s">
        <v>20</v>
      </c>
      <c r="AL2492" s="78" t="s">
        <v>28</v>
      </c>
      <c r="AM2492" s="78" t="s">
        <v>51</v>
      </c>
      <c r="AN2492" s="78" t="s">
        <v>659</v>
      </c>
      <c r="AO2492" s="78">
        <v>1.413211182790431</v>
      </c>
    </row>
    <row r="2493" spans="29:41">
      <c r="AC2493" s="78" t="s">
        <v>52</v>
      </c>
      <c r="AD2493" s="78" t="s">
        <v>20</v>
      </c>
      <c r="AE2493" s="78" t="s">
        <v>72</v>
      </c>
      <c r="AF2493" s="78" t="s">
        <v>51</v>
      </c>
      <c r="AG2493" s="78" t="s">
        <v>708</v>
      </c>
      <c r="AH2493" s="78">
        <v>4.3742403763055506</v>
      </c>
      <c r="AJ2493" s="78" t="s">
        <v>52</v>
      </c>
      <c r="AK2493" s="78" t="s">
        <v>20</v>
      </c>
      <c r="AL2493" s="78" t="s">
        <v>28</v>
      </c>
      <c r="AM2493" s="78" t="s">
        <v>51</v>
      </c>
      <c r="AN2493" s="78" t="s">
        <v>660</v>
      </c>
      <c r="AO2493" s="78">
        <v>1.3513684732365223</v>
      </c>
    </row>
    <row r="2494" spans="29:41">
      <c r="AC2494" s="78" t="s">
        <v>52</v>
      </c>
      <c r="AD2494" s="78" t="s">
        <v>20</v>
      </c>
      <c r="AE2494" s="78" t="s">
        <v>72</v>
      </c>
      <c r="AF2494" s="78" t="s">
        <v>51</v>
      </c>
      <c r="AG2494" s="78" t="s">
        <v>709</v>
      </c>
      <c r="AH2494" s="78">
        <v>4.3102725972031495</v>
      </c>
      <c r="AJ2494" s="78" t="s">
        <v>52</v>
      </c>
      <c r="AK2494" s="78" t="s">
        <v>20</v>
      </c>
      <c r="AL2494" s="78" t="s">
        <v>28</v>
      </c>
      <c r="AM2494" s="78" t="s">
        <v>51</v>
      </c>
      <c r="AN2494" s="78" t="s">
        <v>661</v>
      </c>
      <c r="AO2494" s="78">
        <v>1.392102402461088</v>
      </c>
    </row>
    <row r="2495" spans="29:41">
      <c r="AC2495" s="78" t="s">
        <v>52</v>
      </c>
      <c r="AD2495" s="78" t="s">
        <v>20</v>
      </c>
      <c r="AE2495" s="78" t="s">
        <v>72</v>
      </c>
      <c r="AF2495" s="78" t="s">
        <v>51</v>
      </c>
      <c r="AG2495" s="78" t="s">
        <v>710</v>
      </c>
      <c r="AH2495" s="78">
        <v>4.3742403763055506</v>
      </c>
      <c r="AJ2495" s="78" t="s">
        <v>52</v>
      </c>
      <c r="AK2495" s="78" t="s">
        <v>20</v>
      </c>
      <c r="AL2495" s="78" t="s">
        <v>28</v>
      </c>
      <c r="AM2495" s="78" t="s">
        <v>51</v>
      </c>
      <c r="AN2495" s="78" t="s">
        <v>662</v>
      </c>
      <c r="AO2495" s="78">
        <v>1.3687653896838781</v>
      </c>
    </row>
    <row r="2496" spans="29:41">
      <c r="AC2496" s="78" t="s">
        <v>52</v>
      </c>
      <c r="AD2496" s="78" t="s">
        <v>20</v>
      </c>
      <c r="AE2496" s="78" t="s">
        <v>72</v>
      </c>
      <c r="AF2496" s="78" t="s">
        <v>51</v>
      </c>
      <c r="AG2496" s="78" t="s">
        <v>711</v>
      </c>
      <c r="AH2496" s="78">
        <v>4.3742403763055506</v>
      </c>
      <c r="AJ2496" s="78" t="s">
        <v>52</v>
      </c>
      <c r="AK2496" s="78" t="s">
        <v>20</v>
      </c>
      <c r="AL2496" s="78" t="s">
        <v>28</v>
      </c>
      <c r="AM2496" s="78" t="s">
        <v>51</v>
      </c>
      <c r="AN2496" s="78" t="s">
        <v>663</v>
      </c>
      <c r="AO2496" s="78">
        <v>1.4534137234834332</v>
      </c>
    </row>
    <row r="2497" spans="29:41">
      <c r="AC2497" s="78" t="s">
        <v>52</v>
      </c>
      <c r="AD2497" s="78" t="s">
        <v>20</v>
      </c>
      <c r="AE2497" s="78" t="s">
        <v>72</v>
      </c>
      <c r="AF2497" s="78" t="s">
        <v>51</v>
      </c>
      <c r="AG2497" s="78" t="s">
        <v>712</v>
      </c>
      <c r="AH2497" s="78">
        <v>4.3742403763055506</v>
      </c>
      <c r="AJ2497" s="78" t="s">
        <v>52</v>
      </c>
      <c r="AK2497" s="78" t="s">
        <v>20</v>
      </c>
      <c r="AL2497" s="78" t="s">
        <v>28</v>
      </c>
      <c r="AM2497" s="78" t="s">
        <v>51</v>
      </c>
      <c r="AN2497" s="78" t="s">
        <v>664</v>
      </c>
      <c r="AO2497" s="78">
        <v>1.4090362132302581</v>
      </c>
    </row>
    <row r="2498" spans="29:41">
      <c r="AC2498" s="78" t="s">
        <v>52</v>
      </c>
      <c r="AD2498" s="78" t="s">
        <v>20</v>
      </c>
      <c r="AE2498" s="78" t="s">
        <v>72</v>
      </c>
      <c r="AF2498" s="78" t="s">
        <v>51</v>
      </c>
      <c r="AG2498" s="78" t="s">
        <v>713</v>
      </c>
      <c r="AH2498" s="78">
        <v>4.3102725972031495</v>
      </c>
      <c r="AJ2498" s="78" t="s">
        <v>52</v>
      </c>
      <c r="AK2498" s="78" t="s">
        <v>20</v>
      </c>
      <c r="AL2498" s="78" t="s">
        <v>28</v>
      </c>
      <c r="AM2498" s="78" t="s">
        <v>51</v>
      </c>
      <c r="AN2498" s="78" t="s">
        <v>665</v>
      </c>
      <c r="AO2498" s="78">
        <v>1.4976736648962712</v>
      </c>
    </row>
    <row r="2499" spans="29:41">
      <c r="AC2499" s="78" t="s">
        <v>52</v>
      </c>
      <c r="AD2499" s="78" t="s">
        <v>20</v>
      </c>
      <c r="AE2499" s="78" t="s">
        <v>72</v>
      </c>
      <c r="AF2499" s="78" t="s">
        <v>51</v>
      </c>
      <c r="AG2499" s="78" t="s">
        <v>714</v>
      </c>
      <c r="AH2499" s="78">
        <v>4.3102725972031495</v>
      </c>
      <c r="AJ2499" s="78" t="s">
        <v>52</v>
      </c>
      <c r="AK2499" s="78" t="s">
        <v>20</v>
      </c>
      <c r="AL2499" s="78" t="s">
        <v>28</v>
      </c>
      <c r="AM2499" s="78" t="s">
        <v>51</v>
      </c>
      <c r="AN2499" s="78" t="s">
        <v>666</v>
      </c>
      <c r="AO2499" s="78">
        <v>1.4509692714613114</v>
      </c>
    </row>
    <row r="2500" spans="29:41">
      <c r="AC2500" s="78" t="s">
        <v>52</v>
      </c>
      <c r="AD2500" s="78" t="s">
        <v>20</v>
      </c>
      <c r="AE2500" s="78" t="s">
        <v>72</v>
      </c>
      <c r="AF2500" s="78" t="s">
        <v>51</v>
      </c>
      <c r="AG2500" s="78" t="s">
        <v>715</v>
      </c>
      <c r="AH2500" s="78">
        <v>4.3102725972031495</v>
      </c>
      <c r="AJ2500" s="78" t="s">
        <v>52</v>
      </c>
      <c r="AK2500" s="78" t="s">
        <v>20</v>
      </c>
      <c r="AL2500" s="78" t="s">
        <v>28</v>
      </c>
      <c r="AM2500" s="78" t="s">
        <v>51</v>
      </c>
      <c r="AN2500" s="78" t="s">
        <v>667</v>
      </c>
      <c r="AO2500" s="78">
        <v>1.4860427350785215</v>
      </c>
    </row>
    <row r="2501" spans="29:41">
      <c r="AC2501" s="78" t="s">
        <v>52</v>
      </c>
      <c r="AD2501" s="78" t="s">
        <v>20</v>
      </c>
      <c r="AE2501" s="78" t="s">
        <v>72</v>
      </c>
      <c r="AF2501" s="78" t="s">
        <v>51</v>
      </c>
      <c r="AG2501" s="78" t="s">
        <v>716</v>
      </c>
      <c r="AH2501" s="78">
        <v>4.3742403763055506</v>
      </c>
      <c r="AJ2501" s="78" t="s">
        <v>52</v>
      </c>
      <c r="AK2501" s="78" t="s">
        <v>20</v>
      </c>
      <c r="AL2501" s="78" t="s">
        <v>28</v>
      </c>
      <c r="AM2501" s="78" t="s">
        <v>51</v>
      </c>
      <c r="AN2501" s="78" t="s">
        <v>668</v>
      </c>
      <c r="AO2501" s="78">
        <v>1.3020194626581791</v>
      </c>
    </row>
    <row r="2502" spans="29:41">
      <c r="AC2502" s="78" t="s">
        <v>52</v>
      </c>
      <c r="AD2502" s="78" t="s">
        <v>20</v>
      </c>
      <c r="AE2502" s="78" t="s">
        <v>72</v>
      </c>
      <c r="AF2502" s="78" t="s">
        <v>51</v>
      </c>
      <c r="AG2502" s="78" t="s">
        <v>717</v>
      </c>
      <c r="AH2502" s="78">
        <v>4.3742403763055506</v>
      </c>
      <c r="AJ2502" s="78" t="s">
        <v>52</v>
      </c>
      <c r="AK2502" s="78" t="s">
        <v>20</v>
      </c>
      <c r="AL2502" s="78" t="s">
        <v>28</v>
      </c>
      <c r="AM2502" s="78" t="s">
        <v>51</v>
      </c>
      <c r="AN2502" s="78" t="s">
        <v>669</v>
      </c>
      <c r="AO2502" s="78">
        <v>1.2893978285568792</v>
      </c>
    </row>
    <row r="2503" spans="29:41">
      <c r="AC2503" s="78" t="s">
        <v>52</v>
      </c>
      <c r="AD2503" s="78" t="s">
        <v>20</v>
      </c>
      <c r="AE2503" s="78" t="s">
        <v>72</v>
      </c>
      <c r="AF2503" s="78" t="s">
        <v>51</v>
      </c>
      <c r="AG2503" s="78" t="s">
        <v>718</v>
      </c>
      <c r="AH2503" s="78">
        <v>4.3742403763055506</v>
      </c>
      <c r="AJ2503" s="78" t="s">
        <v>52</v>
      </c>
      <c r="AK2503" s="78" t="s">
        <v>20</v>
      </c>
      <c r="AL2503" s="78" t="s">
        <v>28</v>
      </c>
      <c r="AM2503" s="78" t="s">
        <v>51</v>
      </c>
      <c r="AN2503" s="78" t="s">
        <v>670</v>
      </c>
      <c r="AO2503" s="78">
        <v>1.4326833206004017</v>
      </c>
    </row>
    <row r="2504" spans="29:41">
      <c r="AC2504" s="78" t="s">
        <v>52</v>
      </c>
      <c r="AD2504" s="78" t="s">
        <v>20</v>
      </c>
      <c r="AE2504" s="78" t="s">
        <v>72</v>
      </c>
      <c r="AF2504" s="78" t="s">
        <v>51</v>
      </c>
      <c r="AG2504" s="78" t="s">
        <v>719</v>
      </c>
      <c r="AH2504" s="78">
        <v>4.3102725972031495</v>
      </c>
      <c r="AJ2504" s="78" t="s">
        <v>52</v>
      </c>
      <c r="AK2504" s="78" t="s">
        <v>20</v>
      </c>
      <c r="AL2504" s="78" t="s">
        <v>28</v>
      </c>
      <c r="AM2504" s="78" t="s">
        <v>51</v>
      </c>
      <c r="AN2504" s="78" t="s">
        <v>671</v>
      </c>
      <c r="AO2504" s="78">
        <v>1.4091456303615615</v>
      </c>
    </row>
    <row r="2505" spans="29:41">
      <c r="AC2505" s="78" t="s">
        <v>52</v>
      </c>
      <c r="AD2505" s="78" t="s">
        <v>20</v>
      </c>
      <c r="AE2505" s="78" t="s">
        <v>72</v>
      </c>
      <c r="AF2505" s="78" t="s">
        <v>51</v>
      </c>
      <c r="AG2505" s="78" t="s">
        <v>720</v>
      </c>
      <c r="AH2505" s="78">
        <v>4.3102725972031495</v>
      </c>
      <c r="AJ2505" s="78" t="s">
        <v>52</v>
      </c>
      <c r="AK2505" s="78" t="s">
        <v>20</v>
      </c>
      <c r="AL2505" s="78" t="s">
        <v>28</v>
      </c>
      <c r="AM2505" s="78" t="s">
        <v>51</v>
      </c>
      <c r="AN2505" s="78" t="s">
        <v>672</v>
      </c>
      <c r="AO2505" s="78">
        <v>1.2943678075642391</v>
      </c>
    </row>
    <row r="2506" spans="29:41">
      <c r="AC2506" s="78" t="s">
        <v>52</v>
      </c>
      <c r="AD2506" s="78" t="s">
        <v>20</v>
      </c>
      <c r="AE2506" s="78" t="s">
        <v>72</v>
      </c>
      <c r="AF2506" s="78" t="s">
        <v>51</v>
      </c>
      <c r="AG2506" s="78" t="s">
        <v>721</v>
      </c>
      <c r="AH2506" s="78">
        <v>4.3102725972031495</v>
      </c>
      <c r="AJ2506" s="78" t="s">
        <v>52</v>
      </c>
      <c r="AK2506" s="78" t="s">
        <v>20</v>
      </c>
      <c r="AL2506" s="78" t="s">
        <v>28</v>
      </c>
      <c r="AM2506" s="78" t="s">
        <v>51</v>
      </c>
      <c r="AN2506" s="78" t="s">
        <v>673</v>
      </c>
      <c r="AO2506" s="78">
        <v>1.3240197377930418</v>
      </c>
    </row>
    <row r="2507" spans="29:41">
      <c r="AC2507" s="78" t="s">
        <v>52</v>
      </c>
      <c r="AD2507" s="78" t="s">
        <v>20</v>
      </c>
      <c r="AE2507" s="78" t="s">
        <v>72</v>
      </c>
      <c r="AF2507" s="78" t="s">
        <v>51</v>
      </c>
      <c r="AG2507" s="78" t="s">
        <v>722</v>
      </c>
      <c r="AH2507" s="78">
        <v>4.249223470140862</v>
      </c>
      <c r="AJ2507" s="78" t="s">
        <v>52</v>
      </c>
      <c r="AK2507" s="78" t="s">
        <v>20</v>
      </c>
      <c r="AL2507" s="78" t="s">
        <v>28</v>
      </c>
      <c r="AM2507" s="78" t="s">
        <v>51</v>
      </c>
      <c r="AN2507" s="78" t="s">
        <v>674</v>
      </c>
      <c r="AO2507" s="78">
        <v>1.3063878653315522</v>
      </c>
    </row>
    <row r="2508" spans="29:41">
      <c r="AC2508" s="78" t="s">
        <v>52</v>
      </c>
      <c r="AD2508" s="78" t="s">
        <v>20</v>
      </c>
      <c r="AE2508" s="78" t="s">
        <v>72</v>
      </c>
      <c r="AF2508" s="78" t="s">
        <v>51</v>
      </c>
      <c r="AG2508" s="78" t="s">
        <v>723</v>
      </c>
      <c r="AH2508" s="78">
        <v>4.3102725972031495</v>
      </c>
      <c r="AJ2508" s="78" t="s">
        <v>52</v>
      </c>
      <c r="AK2508" s="78" t="s">
        <v>20</v>
      </c>
      <c r="AL2508" s="78" t="s">
        <v>28</v>
      </c>
      <c r="AM2508" s="78" t="s">
        <v>51</v>
      </c>
      <c r="AN2508" s="78" t="s">
        <v>675</v>
      </c>
      <c r="AO2508" s="78">
        <v>1.3701571055766204</v>
      </c>
    </row>
    <row r="2509" spans="29:41">
      <c r="AC2509" s="78" t="s">
        <v>52</v>
      </c>
      <c r="AD2509" s="78" t="s">
        <v>20</v>
      </c>
      <c r="AE2509" s="78" t="s">
        <v>72</v>
      </c>
      <c r="AF2509" s="78" t="s">
        <v>51</v>
      </c>
      <c r="AG2509" s="78" t="s">
        <v>724</v>
      </c>
      <c r="AH2509" s="78">
        <v>4.3102725972031495</v>
      </c>
      <c r="AJ2509" s="78" t="s">
        <v>52</v>
      </c>
      <c r="AK2509" s="78" t="s">
        <v>20</v>
      </c>
      <c r="AL2509" s="78" t="s">
        <v>28</v>
      </c>
      <c r="AM2509" s="78" t="s">
        <v>51</v>
      </c>
      <c r="AN2509" s="78" t="s">
        <v>676</v>
      </c>
      <c r="AO2509" s="78">
        <v>1.3275091588651193</v>
      </c>
    </row>
    <row r="2510" spans="29:41">
      <c r="AC2510" s="78" t="s">
        <v>52</v>
      </c>
      <c r="AD2510" s="78" t="s">
        <v>20</v>
      </c>
      <c r="AE2510" s="78" t="s">
        <v>72</v>
      </c>
      <c r="AF2510" s="78" t="s">
        <v>51</v>
      </c>
      <c r="AG2510" s="78" t="s">
        <v>725</v>
      </c>
      <c r="AH2510" s="78">
        <v>4.249223470140862</v>
      </c>
      <c r="AJ2510" s="78" t="s">
        <v>52</v>
      </c>
      <c r="AK2510" s="78" t="s">
        <v>20</v>
      </c>
      <c r="AL2510" s="78" t="s">
        <v>28</v>
      </c>
      <c r="AM2510" s="78" t="s">
        <v>51</v>
      </c>
      <c r="AN2510" s="78" t="s">
        <v>677</v>
      </c>
      <c r="AO2510" s="78">
        <v>1.3414067043062021</v>
      </c>
    </row>
    <row r="2511" spans="29:41">
      <c r="AC2511" s="78" t="s">
        <v>52</v>
      </c>
      <c r="AD2511" s="78" t="s">
        <v>20</v>
      </c>
      <c r="AE2511" s="78" t="s">
        <v>72</v>
      </c>
      <c r="AF2511" s="78" t="s">
        <v>51</v>
      </c>
      <c r="AG2511" s="78" t="s">
        <v>726</v>
      </c>
      <c r="AH2511" s="78">
        <v>4.310191996131862</v>
      </c>
      <c r="AJ2511" s="78" t="s">
        <v>52</v>
      </c>
      <c r="AK2511" s="78" t="s">
        <v>20</v>
      </c>
      <c r="AL2511" s="78" t="s">
        <v>28</v>
      </c>
      <c r="AM2511" s="78" t="s">
        <v>51</v>
      </c>
      <c r="AN2511" s="78" t="s">
        <v>678</v>
      </c>
      <c r="AO2511" s="78">
        <v>1.351890435678162</v>
      </c>
    </row>
    <row r="2512" spans="29:41">
      <c r="AC2512" s="78" t="s">
        <v>52</v>
      </c>
      <c r="AD2512" s="78" t="s">
        <v>20</v>
      </c>
      <c r="AE2512" s="78" t="s">
        <v>72</v>
      </c>
      <c r="AF2512" s="78" t="s">
        <v>51</v>
      </c>
      <c r="AG2512" s="78" t="s">
        <v>426</v>
      </c>
      <c r="AH2512" s="78">
        <v>4.249223470140862</v>
      </c>
      <c r="AJ2512" s="78" t="s">
        <v>52</v>
      </c>
      <c r="AK2512" s="78" t="s">
        <v>20</v>
      </c>
      <c r="AL2512" s="78" t="s">
        <v>28</v>
      </c>
      <c r="AM2512" s="78" t="s">
        <v>51</v>
      </c>
      <c r="AN2512" s="78" t="s">
        <v>679</v>
      </c>
      <c r="AO2512" s="78">
        <v>1.326042506575912</v>
      </c>
    </row>
    <row r="2513" spans="29:41">
      <c r="AC2513" s="78" t="s">
        <v>52</v>
      </c>
      <c r="AD2513" s="78" t="s">
        <v>20</v>
      </c>
      <c r="AE2513" s="78" t="s">
        <v>72</v>
      </c>
      <c r="AF2513" s="78" t="s">
        <v>51</v>
      </c>
      <c r="AG2513" s="78" t="s">
        <v>727</v>
      </c>
      <c r="AH2513" s="78">
        <v>4.310191996131862</v>
      </c>
      <c r="AJ2513" s="78" t="s">
        <v>52</v>
      </c>
      <c r="AK2513" s="78" t="s">
        <v>20</v>
      </c>
      <c r="AL2513" s="78" t="s">
        <v>28</v>
      </c>
      <c r="AM2513" s="78" t="s">
        <v>51</v>
      </c>
      <c r="AN2513" s="78" t="s">
        <v>680</v>
      </c>
      <c r="AO2513" s="78">
        <v>1.3659905592540822</v>
      </c>
    </row>
    <row r="2514" spans="29:41">
      <c r="AC2514" s="78" t="s">
        <v>52</v>
      </c>
      <c r="AD2514" s="78" t="s">
        <v>20</v>
      </c>
      <c r="AE2514" s="78" t="s">
        <v>72</v>
      </c>
      <c r="AF2514" s="78" t="s">
        <v>51</v>
      </c>
      <c r="AG2514" s="78" t="s">
        <v>728</v>
      </c>
      <c r="AH2514" s="78">
        <v>4.310191996131862</v>
      </c>
      <c r="AJ2514" s="78" t="s">
        <v>52</v>
      </c>
      <c r="AK2514" s="78" t="s">
        <v>20</v>
      </c>
      <c r="AL2514" s="78" t="s">
        <v>28</v>
      </c>
      <c r="AM2514" s="78" t="s">
        <v>51</v>
      </c>
      <c r="AN2514" s="78" t="s">
        <v>681</v>
      </c>
      <c r="AO2514" s="78">
        <v>1.3522041426193818</v>
      </c>
    </row>
    <row r="2515" spans="29:41">
      <c r="AC2515" s="78" t="s">
        <v>52</v>
      </c>
      <c r="AD2515" s="78" t="s">
        <v>20</v>
      </c>
      <c r="AE2515" s="78" t="s">
        <v>72</v>
      </c>
      <c r="AF2515" s="78" t="s">
        <v>51</v>
      </c>
      <c r="AG2515" s="78" t="s">
        <v>729</v>
      </c>
      <c r="AH2515" s="78">
        <v>4.310191996131862</v>
      </c>
      <c r="AJ2515" s="78" t="s">
        <v>52</v>
      </c>
      <c r="AK2515" s="78" t="s">
        <v>20</v>
      </c>
      <c r="AL2515" s="78" t="s">
        <v>28</v>
      </c>
      <c r="AM2515" s="78" t="s">
        <v>51</v>
      </c>
      <c r="AN2515" s="78" t="s">
        <v>682</v>
      </c>
      <c r="AO2515" s="78">
        <v>1.353948357065822</v>
      </c>
    </row>
    <row r="2516" spans="29:41">
      <c r="AC2516" s="78" t="s">
        <v>52</v>
      </c>
      <c r="AD2516" s="78" t="s">
        <v>20</v>
      </c>
      <c r="AE2516" s="78" t="s">
        <v>72</v>
      </c>
      <c r="AF2516" s="78" t="s">
        <v>51</v>
      </c>
      <c r="AG2516" s="78" t="s">
        <v>730</v>
      </c>
      <c r="AH2516" s="78">
        <v>4.1235643018144366</v>
      </c>
      <c r="AJ2516" s="78" t="s">
        <v>52</v>
      </c>
      <c r="AK2516" s="78" t="s">
        <v>20</v>
      </c>
      <c r="AL2516" s="78" t="s">
        <v>28</v>
      </c>
      <c r="AM2516" s="78" t="s">
        <v>51</v>
      </c>
      <c r="AN2516" s="78" t="s">
        <v>683</v>
      </c>
      <c r="AO2516" s="78">
        <v>1.3142146449146095</v>
      </c>
    </row>
    <row r="2517" spans="29:41">
      <c r="AC2517" s="78" t="s">
        <v>52</v>
      </c>
      <c r="AD2517" s="78" t="s">
        <v>20</v>
      </c>
      <c r="AE2517" s="78" t="s">
        <v>72</v>
      </c>
      <c r="AF2517" s="78" t="s">
        <v>51</v>
      </c>
      <c r="AG2517" s="78" t="s">
        <v>731</v>
      </c>
      <c r="AH2517" s="78">
        <v>4.1235643018144366</v>
      </c>
      <c r="AJ2517" s="78" t="s">
        <v>52</v>
      </c>
      <c r="AK2517" s="78" t="s">
        <v>20</v>
      </c>
      <c r="AL2517" s="78" t="s">
        <v>28</v>
      </c>
      <c r="AM2517" s="78" t="s">
        <v>51</v>
      </c>
      <c r="AN2517" s="78" t="s">
        <v>684</v>
      </c>
      <c r="AO2517" s="78">
        <v>1.3241862981043993</v>
      </c>
    </row>
    <row r="2518" spans="29:41">
      <c r="AC2518" s="78" t="s">
        <v>52</v>
      </c>
      <c r="AD2518" s="78" t="s">
        <v>20</v>
      </c>
      <c r="AE2518" s="78" t="s">
        <v>72</v>
      </c>
      <c r="AF2518" s="78" t="s">
        <v>51</v>
      </c>
      <c r="AG2518" s="78" t="s">
        <v>732</v>
      </c>
      <c r="AH2518" s="78">
        <v>4.1235643018144366</v>
      </c>
      <c r="AJ2518" s="78" t="s">
        <v>52</v>
      </c>
      <c r="AK2518" s="78" t="s">
        <v>20</v>
      </c>
      <c r="AL2518" s="78" t="s">
        <v>28</v>
      </c>
      <c r="AM2518" s="78" t="s">
        <v>51</v>
      </c>
      <c r="AN2518" s="78" t="s">
        <v>685</v>
      </c>
      <c r="AO2518" s="78">
        <v>1.3183797857023123</v>
      </c>
    </row>
    <row r="2519" spans="29:41">
      <c r="AC2519" s="78" t="s">
        <v>52</v>
      </c>
      <c r="AD2519" s="78" t="s">
        <v>20</v>
      </c>
      <c r="AE2519" s="78" t="s">
        <v>72</v>
      </c>
      <c r="AF2519" s="78" t="s">
        <v>51</v>
      </c>
      <c r="AG2519" s="78" t="s">
        <v>733</v>
      </c>
      <c r="AH2519" s="78">
        <v>4.1848311341021383</v>
      </c>
      <c r="AJ2519" s="78" t="s">
        <v>52</v>
      </c>
      <c r="AK2519" s="78" t="s">
        <v>20</v>
      </c>
      <c r="AL2519" s="78" t="s">
        <v>28</v>
      </c>
      <c r="AM2519" s="78" t="s">
        <v>51</v>
      </c>
      <c r="AN2519" s="78" t="s">
        <v>686</v>
      </c>
      <c r="AO2519" s="78">
        <v>1.3695981951160003</v>
      </c>
    </row>
    <row r="2520" spans="29:41">
      <c r="AC2520" s="78" t="s">
        <v>52</v>
      </c>
      <c r="AD2520" s="78" t="s">
        <v>20</v>
      </c>
      <c r="AE2520" s="78" t="s">
        <v>72</v>
      </c>
      <c r="AF2520" s="78" t="s">
        <v>51</v>
      </c>
      <c r="AG2520" s="78" t="s">
        <v>734</v>
      </c>
      <c r="AH2520" s="78">
        <v>4.2460443194521895</v>
      </c>
      <c r="AJ2520" s="78" t="s">
        <v>52</v>
      </c>
      <c r="AK2520" s="78" t="s">
        <v>20</v>
      </c>
      <c r="AL2520" s="78" t="s">
        <v>28</v>
      </c>
      <c r="AM2520" s="78" t="s">
        <v>51</v>
      </c>
      <c r="AN2520" s="78" t="s">
        <v>687</v>
      </c>
      <c r="AO2520" s="78">
        <v>1.3939022968140411</v>
      </c>
    </row>
    <row r="2521" spans="29:41">
      <c r="AC2521" s="78" t="s">
        <v>52</v>
      </c>
      <c r="AD2521" s="78" t="s">
        <v>20</v>
      </c>
      <c r="AE2521" s="78" t="s">
        <v>72</v>
      </c>
      <c r="AF2521" s="78" t="s">
        <v>51</v>
      </c>
      <c r="AG2521" s="78" t="s">
        <v>735</v>
      </c>
      <c r="AH2521" s="78">
        <v>4.2460443194521895</v>
      </c>
      <c r="AJ2521" s="78" t="s">
        <v>52</v>
      </c>
      <c r="AK2521" s="78" t="s">
        <v>20</v>
      </c>
      <c r="AL2521" s="78" t="s">
        <v>28</v>
      </c>
      <c r="AM2521" s="78" t="s">
        <v>51</v>
      </c>
      <c r="AN2521" s="78" t="s">
        <v>688</v>
      </c>
      <c r="AO2521" s="78">
        <v>1.4123138432377811</v>
      </c>
    </row>
    <row r="2522" spans="29:41">
      <c r="AC2522" s="78" t="s">
        <v>52</v>
      </c>
      <c r="AD2522" s="78" t="s">
        <v>20</v>
      </c>
      <c r="AE2522" s="78" t="s">
        <v>72</v>
      </c>
      <c r="AF2522" s="78" t="s">
        <v>51</v>
      </c>
      <c r="AG2522" s="78" t="s">
        <v>736</v>
      </c>
      <c r="AH2522" s="78">
        <v>4.310191996131862</v>
      </c>
      <c r="AJ2522" s="78" t="s">
        <v>52</v>
      </c>
      <c r="AK2522" s="78" t="s">
        <v>20</v>
      </c>
      <c r="AL2522" s="78" t="s">
        <v>28</v>
      </c>
      <c r="AM2522" s="78" t="s">
        <v>51</v>
      </c>
      <c r="AN2522" s="78" t="s">
        <v>689</v>
      </c>
      <c r="AO2522" s="78">
        <v>1.3010247705289579</v>
      </c>
    </row>
    <row r="2523" spans="29:41">
      <c r="AC2523" s="78" t="s">
        <v>52</v>
      </c>
      <c r="AD2523" s="78" t="s">
        <v>20</v>
      </c>
      <c r="AE2523" s="78" t="s">
        <v>72</v>
      </c>
      <c r="AF2523" s="78" t="s">
        <v>51</v>
      </c>
      <c r="AG2523" s="78" t="s">
        <v>737</v>
      </c>
      <c r="AH2523" s="78">
        <v>4.2460443194521895</v>
      </c>
      <c r="AJ2523" s="78" t="s">
        <v>52</v>
      </c>
      <c r="AK2523" s="78" t="s">
        <v>20</v>
      </c>
      <c r="AL2523" s="78" t="s">
        <v>28</v>
      </c>
      <c r="AM2523" s="78" t="s">
        <v>51</v>
      </c>
      <c r="AN2523" s="78" t="s">
        <v>690</v>
      </c>
      <c r="AO2523" s="78">
        <v>1.4452481715516103</v>
      </c>
    </row>
    <row r="2524" spans="29:41">
      <c r="AC2524" s="78" t="s">
        <v>52</v>
      </c>
      <c r="AD2524" s="78" t="s">
        <v>20</v>
      </c>
      <c r="AE2524" s="78" t="s">
        <v>72</v>
      </c>
      <c r="AF2524" s="78" t="s">
        <v>51</v>
      </c>
      <c r="AG2524" s="78" t="s">
        <v>738</v>
      </c>
      <c r="AH2524" s="78">
        <v>4.310191996131862</v>
      </c>
      <c r="AJ2524" s="78" t="s">
        <v>52</v>
      </c>
      <c r="AK2524" s="78" t="s">
        <v>20</v>
      </c>
      <c r="AL2524" s="78" t="s">
        <v>28</v>
      </c>
      <c r="AM2524" s="78" t="s">
        <v>51</v>
      </c>
      <c r="AN2524" s="78" t="s">
        <v>691</v>
      </c>
      <c r="AO2524" s="78">
        <v>1.3933461618396001</v>
      </c>
    </row>
    <row r="2525" spans="29:41">
      <c r="AC2525" s="78" t="s">
        <v>52</v>
      </c>
      <c r="AD2525" s="78" t="s">
        <v>20</v>
      </c>
      <c r="AE2525" s="78" t="s">
        <v>72</v>
      </c>
      <c r="AF2525" s="78" t="s">
        <v>51</v>
      </c>
      <c r="AG2525" s="78" t="s">
        <v>739</v>
      </c>
      <c r="AH2525" s="78">
        <v>4.310191996131862</v>
      </c>
      <c r="AJ2525" s="78" t="s">
        <v>52</v>
      </c>
      <c r="AK2525" s="78" t="s">
        <v>20</v>
      </c>
      <c r="AL2525" s="78" t="s">
        <v>28</v>
      </c>
      <c r="AM2525" s="78" t="s">
        <v>51</v>
      </c>
      <c r="AN2525" s="78" t="s">
        <v>692</v>
      </c>
      <c r="AO2525" s="78">
        <v>1.4175815195535606</v>
      </c>
    </row>
    <row r="2526" spans="29:41">
      <c r="AC2526" s="78" t="s">
        <v>52</v>
      </c>
      <c r="AD2526" s="78" t="s">
        <v>20</v>
      </c>
      <c r="AE2526" s="78" t="s">
        <v>72</v>
      </c>
      <c r="AF2526" s="78" t="s">
        <v>51</v>
      </c>
      <c r="AG2526" s="78" t="s">
        <v>740</v>
      </c>
      <c r="AH2526" s="78">
        <v>4.310191996131862</v>
      </c>
      <c r="AJ2526" s="78" t="s">
        <v>52</v>
      </c>
      <c r="AK2526" s="78" t="s">
        <v>20</v>
      </c>
      <c r="AL2526" s="78" t="s">
        <v>28</v>
      </c>
      <c r="AM2526" s="78" t="s">
        <v>51</v>
      </c>
      <c r="AN2526" s="78" t="s">
        <v>693</v>
      </c>
      <c r="AO2526" s="78">
        <v>1.4302210255413603</v>
      </c>
    </row>
    <row r="2527" spans="29:41">
      <c r="AC2527" s="78" t="s">
        <v>52</v>
      </c>
      <c r="AD2527" s="78" t="s">
        <v>20</v>
      </c>
      <c r="AE2527" s="78" t="s">
        <v>72</v>
      </c>
      <c r="AF2527" s="78" t="s">
        <v>51</v>
      </c>
      <c r="AG2527" s="78" t="s">
        <v>741</v>
      </c>
      <c r="AH2527" s="78">
        <v>4.249223470140862</v>
      </c>
      <c r="AJ2527" s="78" t="s">
        <v>52</v>
      </c>
      <c r="AK2527" s="78" t="s">
        <v>20</v>
      </c>
      <c r="AL2527" s="78" t="s">
        <v>28</v>
      </c>
      <c r="AM2527" s="78" t="s">
        <v>51</v>
      </c>
      <c r="AN2527" s="78" t="s">
        <v>694</v>
      </c>
      <c r="AO2527" s="78">
        <v>1.3608488214964978</v>
      </c>
    </row>
    <row r="2528" spans="29:41">
      <c r="AC2528" s="78" t="s">
        <v>52</v>
      </c>
      <c r="AD2528" s="78" t="s">
        <v>20</v>
      </c>
      <c r="AE2528" s="78" t="s">
        <v>72</v>
      </c>
      <c r="AF2528" s="78" t="s">
        <v>51</v>
      </c>
      <c r="AG2528" s="78" t="s">
        <v>742</v>
      </c>
      <c r="AH2528" s="78">
        <v>4.249223470140862</v>
      </c>
      <c r="AJ2528" s="78" t="s">
        <v>52</v>
      </c>
      <c r="AK2528" s="78" t="s">
        <v>20</v>
      </c>
      <c r="AL2528" s="78" t="s">
        <v>28</v>
      </c>
      <c r="AM2528" s="78" t="s">
        <v>51</v>
      </c>
      <c r="AN2528" s="78" t="s">
        <v>695</v>
      </c>
      <c r="AO2528" s="78">
        <v>1.3422653933716777</v>
      </c>
    </row>
    <row r="2529" spans="29:41">
      <c r="AC2529" s="78" t="s">
        <v>52</v>
      </c>
      <c r="AD2529" s="78" t="s">
        <v>20</v>
      </c>
      <c r="AE2529" s="78" t="s">
        <v>72</v>
      </c>
      <c r="AF2529" s="78" t="s">
        <v>51</v>
      </c>
      <c r="AG2529" s="78" t="s">
        <v>425</v>
      </c>
      <c r="AH2529" s="78">
        <v>4.2030539804499192</v>
      </c>
      <c r="AJ2529" s="78" t="s">
        <v>52</v>
      </c>
      <c r="AK2529" s="78" t="s">
        <v>20</v>
      </c>
      <c r="AL2529" s="78" t="s">
        <v>28</v>
      </c>
      <c r="AM2529" s="78" t="s">
        <v>51</v>
      </c>
      <c r="AN2529" s="78" t="s">
        <v>696</v>
      </c>
      <c r="AO2529" s="78">
        <v>1.3584191450862204</v>
      </c>
    </row>
    <row r="2530" spans="29:41">
      <c r="AC2530" s="78" t="s">
        <v>52</v>
      </c>
      <c r="AD2530" s="78" t="s">
        <v>20</v>
      </c>
      <c r="AE2530" s="78" t="s">
        <v>72</v>
      </c>
      <c r="AF2530" s="78" t="s">
        <v>51</v>
      </c>
      <c r="AG2530" s="78" t="s">
        <v>743</v>
      </c>
      <c r="AH2530" s="78">
        <v>4.310191996131862</v>
      </c>
      <c r="AJ2530" s="78" t="s">
        <v>52</v>
      </c>
      <c r="AK2530" s="78" t="s">
        <v>20</v>
      </c>
      <c r="AL2530" s="78" t="s">
        <v>28</v>
      </c>
      <c r="AM2530" s="78" t="s">
        <v>51</v>
      </c>
      <c r="AN2530" s="78" t="s">
        <v>697</v>
      </c>
      <c r="AO2530" s="78">
        <v>1.4305750129733907</v>
      </c>
    </row>
    <row r="2531" spans="29:41">
      <c r="AC2531" s="78" t="s">
        <v>52</v>
      </c>
      <c r="AD2531" s="78" t="s">
        <v>20</v>
      </c>
      <c r="AE2531" s="78" t="s">
        <v>72</v>
      </c>
      <c r="AF2531" s="78" t="s">
        <v>51</v>
      </c>
      <c r="AG2531" s="78" t="s">
        <v>744</v>
      </c>
      <c r="AH2531" s="78">
        <v>4.249223470140862</v>
      </c>
      <c r="AJ2531" s="78" t="s">
        <v>52</v>
      </c>
      <c r="AK2531" s="78" t="s">
        <v>20</v>
      </c>
      <c r="AL2531" s="78" t="s">
        <v>28</v>
      </c>
      <c r="AM2531" s="78" t="s">
        <v>51</v>
      </c>
      <c r="AN2531" s="78" t="s">
        <v>698</v>
      </c>
      <c r="AO2531" s="78">
        <v>1.4036760929309806</v>
      </c>
    </row>
    <row r="2532" spans="29:41">
      <c r="AC2532" s="78" t="s">
        <v>52</v>
      </c>
      <c r="AD2532" s="78" t="s">
        <v>20</v>
      </c>
      <c r="AE2532" s="78" t="s">
        <v>72</v>
      </c>
      <c r="AF2532" s="78" t="s">
        <v>51</v>
      </c>
      <c r="AG2532" s="78" t="s">
        <v>745</v>
      </c>
      <c r="AH2532" s="78">
        <v>4.3102725972031495</v>
      </c>
      <c r="AJ2532" s="78" t="s">
        <v>52</v>
      </c>
      <c r="AK2532" s="78" t="s">
        <v>20</v>
      </c>
      <c r="AL2532" s="78" t="s">
        <v>28</v>
      </c>
      <c r="AM2532" s="78" t="s">
        <v>51</v>
      </c>
      <c r="AN2532" s="78" t="s">
        <v>699</v>
      </c>
      <c r="AO2532" s="78">
        <v>1.4017762178314308</v>
      </c>
    </row>
    <row r="2533" spans="29:41">
      <c r="AC2533" s="78" t="s">
        <v>52</v>
      </c>
      <c r="AD2533" s="78" t="s">
        <v>20</v>
      </c>
      <c r="AE2533" s="78" t="s">
        <v>72</v>
      </c>
      <c r="AF2533" s="78" t="s">
        <v>51</v>
      </c>
      <c r="AG2533" s="78" t="s">
        <v>424</v>
      </c>
      <c r="AH2533" s="78">
        <v>4.2030539804499192</v>
      </c>
      <c r="AJ2533" s="78" t="s">
        <v>52</v>
      </c>
      <c r="AK2533" s="78" t="s">
        <v>20</v>
      </c>
      <c r="AL2533" s="78" t="s">
        <v>28</v>
      </c>
      <c r="AM2533" s="78" t="s">
        <v>51</v>
      </c>
      <c r="AN2533" s="78" t="s">
        <v>700</v>
      </c>
      <c r="AO2533" s="78">
        <v>1.4316652637636909</v>
      </c>
    </row>
    <row r="2534" spans="29:41">
      <c r="AC2534" s="78" t="s">
        <v>52</v>
      </c>
      <c r="AD2534" s="78" t="s">
        <v>20</v>
      </c>
      <c r="AE2534" s="78" t="s">
        <v>72</v>
      </c>
      <c r="AF2534" s="78" t="s">
        <v>51</v>
      </c>
      <c r="AG2534" s="78" t="s">
        <v>427</v>
      </c>
      <c r="AH2534" s="78">
        <v>4.3102725972031495</v>
      </c>
      <c r="AJ2534" s="78" t="s">
        <v>52</v>
      </c>
      <c r="AK2534" s="78" t="s">
        <v>20</v>
      </c>
      <c r="AL2534" s="78" t="s">
        <v>28</v>
      </c>
      <c r="AM2534" s="78" t="s">
        <v>51</v>
      </c>
      <c r="AN2534" s="78" t="s">
        <v>701</v>
      </c>
      <c r="AO2534" s="78">
        <v>1.4203187109654305</v>
      </c>
    </row>
    <row r="2535" spans="29:41">
      <c r="AC2535" s="78" t="s">
        <v>53</v>
      </c>
      <c r="AD2535" s="78" t="s">
        <v>20</v>
      </c>
      <c r="AE2535" s="78" t="s">
        <v>72</v>
      </c>
      <c r="AF2535" s="78" t="s">
        <v>51</v>
      </c>
      <c r="AG2535" s="78" t="s">
        <v>129</v>
      </c>
      <c r="AH2535" s="78">
        <v>4.0036250000000004</v>
      </c>
      <c r="AJ2535" s="78" t="s">
        <v>52</v>
      </c>
      <c r="AK2535" s="78" t="s">
        <v>20</v>
      </c>
      <c r="AL2535" s="78" t="s">
        <v>28</v>
      </c>
      <c r="AM2535" s="78" t="s">
        <v>51</v>
      </c>
      <c r="AN2535" s="78" t="s">
        <v>702</v>
      </c>
      <c r="AO2535" s="78">
        <v>1.4130238102090409</v>
      </c>
    </row>
    <row r="2536" spans="29:41">
      <c r="AC2536" s="78" t="s">
        <v>53</v>
      </c>
      <c r="AD2536" s="78" t="s">
        <v>20</v>
      </c>
      <c r="AE2536" s="78" t="s">
        <v>72</v>
      </c>
      <c r="AF2536" s="78" t="s">
        <v>51</v>
      </c>
      <c r="AG2536" s="78" t="s">
        <v>130</v>
      </c>
      <c r="AH2536" s="78">
        <v>4.0036250000000004</v>
      </c>
      <c r="AJ2536" s="78" t="s">
        <v>52</v>
      </c>
      <c r="AK2536" s="78" t="s">
        <v>20</v>
      </c>
      <c r="AL2536" s="78" t="s">
        <v>28</v>
      </c>
      <c r="AM2536" s="78" t="s">
        <v>51</v>
      </c>
      <c r="AN2536" s="78" t="s">
        <v>703</v>
      </c>
      <c r="AO2536" s="78">
        <v>1.4047723915272776</v>
      </c>
    </row>
    <row r="2537" spans="29:41">
      <c r="AC2537" s="78" t="s">
        <v>53</v>
      </c>
      <c r="AD2537" s="78" t="s">
        <v>20</v>
      </c>
      <c r="AE2537" s="78" t="s">
        <v>72</v>
      </c>
      <c r="AF2537" s="78" t="s">
        <v>51</v>
      </c>
      <c r="AG2537" s="78" t="s">
        <v>131</v>
      </c>
      <c r="AH2537" s="78">
        <v>3.9717500000000001</v>
      </c>
      <c r="AJ2537" s="78" t="s">
        <v>52</v>
      </c>
      <c r="AK2537" s="78" t="s">
        <v>20</v>
      </c>
      <c r="AL2537" s="78" t="s">
        <v>28</v>
      </c>
      <c r="AM2537" s="78" t="s">
        <v>51</v>
      </c>
      <c r="AN2537" s="78" t="s">
        <v>704</v>
      </c>
      <c r="AO2537" s="78">
        <v>1.4413511974793205</v>
      </c>
    </row>
    <row r="2538" spans="29:41">
      <c r="AC2538" s="78" t="s">
        <v>53</v>
      </c>
      <c r="AD2538" s="78" t="s">
        <v>20</v>
      </c>
      <c r="AE2538" s="78" t="s">
        <v>72</v>
      </c>
      <c r="AF2538" s="78" t="s">
        <v>51</v>
      </c>
      <c r="AG2538" s="78" t="s">
        <v>132</v>
      </c>
      <c r="AH2538" s="78">
        <v>4.0676249999999996</v>
      </c>
      <c r="AJ2538" s="78" t="s">
        <v>52</v>
      </c>
      <c r="AK2538" s="78" t="s">
        <v>20</v>
      </c>
      <c r="AL2538" s="78" t="s">
        <v>28</v>
      </c>
      <c r="AM2538" s="78" t="s">
        <v>51</v>
      </c>
      <c r="AN2538" s="78" t="s">
        <v>705</v>
      </c>
      <c r="AO2538" s="78">
        <v>1.4008713083142776</v>
      </c>
    </row>
    <row r="2539" spans="29:41">
      <c r="AC2539" s="78" t="s">
        <v>53</v>
      </c>
      <c r="AD2539" s="78" t="s">
        <v>20</v>
      </c>
      <c r="AE2539" s="78" t="s">
        <v>72</v>
      </c>
      <c r="AF2539" s="78" t="s">
        <v>51</v>
      </c>
      <c r="AG2539" s="78" t="s">
        <v>133</v>
      </c>
      <c r="AH2539" s="78">
        <v>4.0353750000000002</v>
      </c>
      <c r="AJ2539" s="78" t="s">
        <v>52</v>
      </c>
      <c r="AK2539" s="78" t="s">
        <v>20</v>
      </c>
      <c r="AL2539" s="78" t="s">
        <v>28</v>
      </c>
      <c r="AM2539" s="78" t="s">
        <v>51</v>
      </c>
      <c r="AN2539" s="78" t="s">
        <v>706</v>
      </c>
      <c r="AO2539" s="78">
        <v>1.4588019989217806</v>
      </c>
    </row>
    <row r="2540" spans="29:41">
      <c r="AC2540" s="78" t="s">
        <v>53</v>
      </c>
      <c r="AD2540" s="78" t="s">
        <v>20</v>
      </c>
      <c r="AE2540" s="78" t="s">
        <v>72</v>
      </c>
      <c r="AF2540" s="78" t="s">
        <v>51</v>
      </c>
      <c r="AG2540" s="78" t="s">
        <v>134</v>
      </c>
      <c r="AH2540" s="78">
        <v>4.0353750000000002</v>
      </c>
      <c r="AJ2540" s="78" t="s">
        <v>52</v>
      </c>
      <c r="AK2540" s="78" t="s">
        <v>20</v>
      </c>
      <c r="AL2540" s="78" t="s">
        <v>28</v>
      </c>
      <c r="AM2540" s="78" t="s">
        <v>51</v>
      </c>
      <c r="AN2540" s="78" t="s">
        <v>707</v>
      </c>
      <c r="AO2540" s="78">
        <v>1.3884577069689925</v>
      </c>
    </row>
    <row r="2541" spans="29:41">
      <c r="AC2541" s="78" t="s">
        <v>53</v>
      </c>
      <c r="AD2541" s="78" t="s">
        <v>20</v>
      </c>
      <c r="AE2541" s="78" t="s">
        <v>72</v>
      </c>
      <c r="AF2541" s="78" t="s">
        <v>51</v>
      </c>
      <c r="AG2541" s="78" t="s">
        <v>135</v>
      </c>
      <c r="AH2541" s="78">
        <v>4.0036250000000004</v>
      </c>
      <c r="AJ2541" s="78" t="s">
        <v>52</v>
      </c>
      <c r="AK2541" s="78" t="s">
        <v>20</v>
      </c>
      <c r="AL2541" s="78" t="s">
        <v>28</v>
      </c>
      <c r="AM2541" s="78" t="s">
        <v>51</v>
      </c>
      <c r="AN2541" s="78" t="s">
        <v>708</v>
      </c>
      <c r="AO2541" s="78">
        <v>1.4263861566974905</v>
      </c>
    </row>
    <row r="2542" spans="29:41">
      <c r="AC2542" s="78" t="s">
        <v>53</v>
      </c>
      <c r="AD2542" s="78" t="s">
        <v>20</v>
      </c>
      <c r="AE2542" s="78" t="s">
        <v>72</v>
      </c>
      <c r="AF2542" s="78" t="s">
        <v>51</v>
      </c>
      <c r="AG2542" s="78" t="s">
        <v>136</v>
      </c>
      <c r="AH2542" s="78">
        <v>3.9717500000000001</v>
      </c>
      <c r="AJ2542" s="78" t="s">
        <v>52</v>
      </c>
      <c r="AK2542" s="78" t="s">
        <v>20</v>
      </c>
      <c r="AL2542" s="78" t="s">
        <v>28</v>
      </c>
      <c r="AM2542" s="78" t="s">
        <v>51</v>
      </c>
      <c r="AN2542" s="78" t="s">
        <v>709</v>
      </c>
      <c r="AO2542" s="78">
        <v>1.3912445460602496</v>
      </c>
    </row>
    <row r="2543" spans="29:41">
      <c r="AC2543" s="78" t="s">
        <v>53</v>
      </c>
      <c r="AD2543" s="78" t="s">
        <v>20</v>
      </c>
      <c r="AE2543" s="78" t="s">
        <v>72</v>
      </c>
      <c r="AF2543" s="78" t="s">
        <v>51</v>
      </c>
      <c r="AG2543" s="78" t="s">
        <v>137</v>
      </c>
      <c r="AH2543" s="78">
        <v>4.0036250000000004</v>
      </c>
      <c r="AJ2543" s="78" t="s">
        <v>52</v>
      </c>
      <c r="AK2543" s="78" t="s">
        <v>20</v>
      </c>
      <c r="AL2543" s="78" t="s">
        <v>28</v>
      </c>
      <c r="AM2543" s="78" t="s">
        <v>51</v>
      </c>
      <c r="AN2543" s="78" t="s">
        <v>710</v>
      </c>
      <c r="AO2543" s="78">
        <v>1.4272994326428905</v>
      </c>
    </row>
    <row r="2544" spans="29:41">
      <c r="AC2544" s="78" t="s">
        <v>53</v>
      </c>
      <c r="AD2544" s="78" t="s">
        <v>20</v>
      </c>
      <c r="AE2544" s="78" t="s">
        <v>72</v>
      </c>
      <c r="AF2544" s="78" t="s">
        <v>51</v>
      </c>
      <c r="AG2544" s="78" t="s">
        <v>138</v>
      </c>
      <c r="AH2544" s="78">
        <v>3.9717500000000001</v>
      </c>
      <c r="AJ2544" s="78" t="s">
        <v>52</v>
      </c>
      <c r="AK2544" s="78" t="s">
        <v>20</v>
      </c>
      <c r="AL2544" s="78" t="s">
        <v>28</v>
      </c>
      <c r="AM2544" s="78" t="s">
        <v>51</v>
      </c>
      <c r="AN2544" s="78" t="s">
        <v>711</v>
      </c>
      <c r="AO2544" s="78">
        <v>1.4405398370917311</v>
      </c>
    </row>
    <row r="2545" spans="29:41">
      <c r="AC2545" s="78" t="s">
        <v>53</v>
      </c>
      <c r="AD2545" s="78" t="s">
        <v>20</v>
      </c>
      <c r="AE2545" s="78" t="s">
        <v>72</v>
      </c>
      <c r="AF2545" s="78" t="s">
        <v>51</v>
      </c>
      <c r="AG2545" s="78" t="s">
        <v>139</v>
      </c>
      <c r="AH2545" s="78">
        <v>3.9717500000000001</v>
      </c>
      <c r="AJ2545" s="78" t="s">
        <v>52</v>
      </c>
      <c r="AK2545" s="78" t="s">
        <v>20</v>
      </c>
      <c r="AL2545" s="78" t="s">
        <v>28</v>
      </c>
      <c r="AM2545" s="78" t="s">
        <v>51</v>
      </c>
      <c r="AN2545" s="78" t="s">
        <v>712</v>
      </c>
      <c r="AO2545" s="78">
        <v>1.4209626007247205</v>
      </c>
    </row>
    <row r="2546" spans="29:41">
      <c r="AC2546" s="78" t="s">
        <v>53</v>
      </c>
      <c r="AD2546" s="78" t="s">
        <v>20</v>
      </c>
      <c r="AE2546" s="78" t="s">
        <v>72</v>
      </c>
      <c r="AF2546" s="78" t="s">
        <v>51</v>
      </c>
      <c r="AG2546" s="78" t="s">
        <v>140</v>
      </c>
      <c r="AH2546" s="78">
        <v>3.8759999999999994</v>
      </c>
      <c r="AJ2546" s="78" t="s">
        <v>52</v>
      </c>
      <c r="AK2546" s="78" t="s">
        <v>20</v>
      </c>
      <c r="AL2546" s="78" t="s">
        <v>28</v>
      </c>
      <c r="AM2546" s="78" t="s">
        <v>51</v>
      </c>
      <c r="AN2546" s="78" t="s">
        <v>713</v>
      </c>
      <c r="AO2546" s="78">
        <v>1.3953598705700399</v>
      </c>
    </row>
    <row r="2547" spans="29:41">
      <c r="AC2547" s="78" t="s">
        <v>53</v>
      </c>
      <c r="AD2547" s="78" t="s">
        <v>20</v>
      </c>
      <c r="AE2547" s="78" t="s">
        <v>72</v>
      </c>
      <c r="AF2547" s="78" t="s">
        <v>51</v>
      </c>
      <c r="AG2547" s="78" t="s">
        <v>141</v>
      </c>
      <c r="AH2547" s="78">
        <v>3.8441249999999996</v>
      </c>
      <c r="AJ2547" s="78" t="s">
        <v>52</v>
      </c>
      <c r="AK2547" s="78" t="s">
        <v>20</v>
      </c>
      <c r="AL2547" s="78" t="s">
        <v>28</v>
      </c>
      <c r="AM2547" s="78" t="s">
        <v>51</v>
      </c>
      <c r="AN2547" s="78" t="s">
        <v>714</v>
      </c>
      <c r="AO2547" s="78">
        <v>1.40449132672512</v>
      </c>
    </row>
    <row r="2548" spans="29:41">
      <c r="AC2548" s="78" t="s">
        <v>53</v>
      </c>
      <c r="AD2548" s="78" t="s">
        <v>20</v>
      </c>
      <c r="AE2548" s="78" t="s">
        <v>72</v>
      </c>
      <c r="AF2548" s="78" t="s">
        <v>51</v>
      </c>
      <c r="AG2548" s="78" t="s">
        <v>142</v>
      </c>
      <c r="AH2548" s="78">
        <v>3.9077500000000001</v>
      </c>
      <c r="AJ2548" s="78" t="s">
        <v>52</v>
      </c>
      <c r="AK2548" s="78" t="s">
        <v>20</v>
      </c>
      <c r="AL2548" s="78" t="s">
        <v>28</v>
      </c>
      <c r="AM2548" s="78" t="s">
        <v>51</v>
      </c>
      <c r="AN2548" s="78" t="s">
        <v>715</v>
      </c>
      <c r="AO2548" s="78">
        <v>1.4234287192866797</v>
      </c>
    </row>
    <row r="2549" spans="29:41">
      <c r="AC2549" s="78" t="s">
        <v>53</v>
      </c>
      <c r="AD2549" s="78" t="s">
        <v>20</v>
      </c>
      <c r="AE2549" s="78" t="s">
        <v>72</v>
      </c>
      <c r="AF2549" s="78" t="s">
        <v>51</v>
      </c>
      <c r="AG2549" s="78" t="s">
        <v>143</v>
      </c>
      <c r="AH2549" s="78">
        <v>3.8759999999999994</v>
      </c>
      <c r="AJ2549" s="78" t="s">
        <v>52</v>
      </c>
      <c r="AK2549" s="78" t="s">
        <v>20</v>
      </c>
      <c r="AL2549" s="78" t="s">
        <v>28</v>
      </c>
      <c r="AM2549" s="78" t="s">
        <v>51</v>
      </c>
      <c r="AN2549" s="78" t="s">
        <v>716</v>
      </c>
      <c r="AO2549" s="78">
        <v>1.4752884912251205</v>
      </c>
    </row>
    <row r="2550" spans="29:41">
      <c r="AC2550" s="78" t="s">
        <v>53</v>
      </c>
      <c r="AD2550" s="78" t="s">
        <v>20</v>
      </c>
      <c r="AE2550" s="78" t="s">
        <v>72</v>
      </c>
      <c r="AF2550" s="78" t="s">
        <v>51</v>
      </c>
      <c r="AG2550" s="78" t="s">
        <v>144</v>
      </c>
      <c r="AH2550" s="78">
        <v>3.8441249999999996</v>
      </c>
      <c r="AJ2550" s="78" t="s">
        <v>52</v>
      </c>
      <c r="AK2550" s="78" t="s">
        <v>20</v>
      </c>
      <c r="AL2550" s="78" t="s">
        <v>28</v>
      </c>
      <c r="AM2550" s="78" t="s">
        <v>51</v>
      </c>
      <c r="AN2550" s="78" t="s">
        <v>717</v>
      </c>
      <c r="AO2550" s="78">
        <v>1.4347327904452007</v>
      </c>
    </row>
    <row r="2551" spans="29:41">
      <c r="AC2551" s="78" t="s">
        <v>53</v>
      </c>
      <c r="AD2551" s="78" t="s">
        <v>20</v>
      </c>
      <c r="AE2551" s="78" t="s">
        <v>72</v>
      </c>
      <c r="AF2551" s="78" t="s">
        <v>51</v>
      </c>
      <c r="AG2551" s="78" t="s">
        <v>145</v>
      </c>
      <c r="AH2551" s="78">
        <v>3.8441249999999996</v>
      </c>
      <c r="AJ2551" s="78" t="s">
        <v>52</v>
      </c>
      <c r="AK2551" s="78" t="s">
        <v>20</v>
      </c>
      <c r="AL2551" s="78" t="s">
        <v>28</v>
      </c>
      <c r="AM2551" s="78" t="s">
        <v>51</v>
      </c>
      <c r="AN2551" s="78" t="s">
        <v>718</v>
      </c>
      <c r="AO2551" s="78">
        <v>1.4709443068544505</v>
      </c>
    </row>
    <row r="2552" spans="29:41">
      <c r="AC2552" s="78" t="s">
        <v>53</v>
      </c>
      <c r="AD2552" s="78" t="s">
        <v>20</v>
      </c>
      <c r="AE2552" s="78" t="s">
        <v>72</v>
      </c>
      <c r="AF2552" s="78" t="s">
        <v>51</v>
      </c>
      <c r="AG2552" s="78" t="s">
        <v>146</v>
      </c>
      <c r="AH2552" s="78">
        <v>3.9077500000000001</v>
      </c>
      <c r="AJ2552" s="78" t="s">
        <v>52</v>
      </c>
      <c r="AK2552" s="78" t="s">
        <v>20</v>
      </c>
      <c r="AL2552" s="78" t="s">
        <v>28</v>
      </c>
      <c r="AM2552" s="78" t="s">
        <v>51</v>
      </c>
      <c r="AN2552" s="78" t="s">
        <v>719</v>
      </c>
      <c r="AO2552" s="78">
        <v>1.4314397025985501</v>
      </c>
    </row>
    <row r="2553" spans="29:41">
      <c r="AC2553" s="78" t="s">
        <v>53</v>
      </c>
      <c r="AD2553" s="78" t="s">
        <v>20</v>
      </c>
      <c r="AE2553" s="78" t="s">
        <v>72</v>
      </c>
      <c r="AF2553" s="78" t="s">
        <v>51</v>
      </c>
      <c r="AG2553" s="78" t="s">
        <v>147</v>
      </c>
      <c r="AH2553" s="78">
        <v>3.9077500000000001</v>
      </c>
      <c r="AJ2553" s="78" t="s">
        <v>52</v>
      </c>
      <c r="AK2553" s="78" t="s">
        <v>20</v>
      </c>
      <c r="AL2553" s="78" t="s">
        <v>28</v>
      </c>
      <c r="AM2553" s="78" t="s">
        <v>51</v>
      </c>
      <c r="AN2553" s="78" t="s">
        <v>720</v>
      </c>
      <c r="AO2553" s="78">
        <v>1.4253566322754498</v>
      </c>
    </row>
    <row r="2554" spans="29:41">
      <c r="AC2554" s="78" t="s">
        <v>53</v>
      </c>
      <c r="AD2554" s="78" t="s">
        <v>20</v>
      </c>
      <c r="AE2554" s="78" t="s">
        <v>72</v>
      </c>
      <c r="AF2554" s="78" t="s">
        <v>51</v>
      </c>
      <c r="AG2554" s="78" t="s">
        <v>148</v>
      </c>
      <c r="AH2554" s="78">
        <v>3.9077500000000001</v>
      </c>
      <c r="AJ2554" s="78" t="s">
        <v>52</v>
      </c>
      <c r="AK2554" s="78" t="s">
        <v>20</v>
      </c>
      <c r="AL2554" s="78" t="s">
        <v>28</v>
      </c>
      <c r="AM2554" s="78" t="s">
        <v>51</v>
      </c>
      <c r="AN2554" s="78" t="s">
        <v>721</v>
      </c>
      <c r="AO2554" s="78">
        <v>1.4063213341131098</v>
      </c>
    </row>
    <row r="2555" spans="29:41">
      <c r="AC2555" s="78" t="s">
        <v>53</v>
      </c>
      <c r="AD2555" s="78" t="s">
        <v>20</v>
      </c>
      <c r="AE2555" s="78" t="s">
        <v>72</v>
      </c>
      <c r="AF2555" s="78" t="s">
        <v>51</v>
      </c>
      <c r="AG2555" s="78" t="s">
        <v>149</v>
      </c>
      <c r="AH2555" s="78">
        <v>3.8759999999999994</v>
      </c>
      <c r="AJ2555" s="78" t="s">
        <v>52</v>
      </c>
      <c r="AK2555" s="78" t="s">
        <v>20</v>
      </c>
      <c r="AL2555" s="78" t="s">
        <v>28</v>
      </c>
      <c r="AM2555" s="78" t="s">
        <v>51</v>
      </c>
      <c r="AN2555" s="78" t="s">
        <v>722</v>
      </c>
      <c r="AO2555" s="78">
        <v>1.3816591622245116</v>
      </c>
    </row>
    <row r="2556" spans="29:41">
      <c r="AC2556" s="78" t="s">
        <v>53</v>
      </c>
      <c r="AD2556" s="78" t="s">
        <v>20</v>
      </c>
      <c r="AE2556" s="78" t="s">
        <v>72</v>
      </c>
      <c r="AF2556" s="78" t="s">
        <v>51</v>
      </c>
      <c r="AG2556" s="78" t="s">
        <v>150</v>
      </c>
      <c r="AH2556" s="78">
        <v>3.8123749999999998</v>
      </c>
      <c r="AJ2556" s="78" t="s">
        <v>52</v>
      </c>
      <c r="AK2556" s="78" t="s">
        <v>20</v>
      </c>
      <c r="AL2556" s="78" t="s">
        <v>28</v>
      </c>
      <c r="AM2556" s="78" t="s">
        <v>51</v>
      </c>
      <c r="AN2556" s="78" t="s">
        <v>723</v>
      </c>
      <c r="AO2556" s="78">
        <v>1.4288416153517398</v>
      </c>
    </row>
    <row r="2557" spans="29:41">
      <c r="AC2557" s="78" t="s">
        <v>53</v>
      </c>
      <c r="AD2557" s="78" t="s">
        <v>20</v>
      </c>
      <c r="AE2557" s="78" t="s">
        <v>72</v>
      </c>
      <c r="AF2557" s="78" t="s">
        <v>51</v>
      </c>
      <c r="AG2557" s="78" t="s">
        <v>151</v>
      </c>
      <c r="AH2557" s="78">
        <v>3.7805</v>
      </c>
      <c r="AJ2557" s="78" t="s">
        <v>52</v>
      </c>
      <c r="AK2557" s="78" t="s">
        <v>20</v>
      </c>
      <c r="AL2557" s="78" t="s">
        <v>28</v>
      </c>
      <c r="AM2557" s="78" t="s">
        <v>51</v>
      </c>
      <c r="AN2557" s="78" t="s">
        <v>724</v>
      </c>
      <c r="AO2557" s="78">
        <v>1.4555655836810197</v>
      </c>
    </row>
    <row r="2558" spans="29:41">
      <c r="AC2558" s="78" t="s">
        <v>53</v>
      </c>
      <c r="AD2558" s="78" t="s">
        <v>20</v>
      </c>
      <c r="AE2558" s="78" t="s">
        <v>72</v>
      </c>
      <c r="AF2558" s="78" t="s">
        <v>51</v>
      </c>
      <c r="AG2558" s="78" t="s">
        <v>152</v>
      </c>
      <c r="AH2558" s="78">
        <v>3.7805</v>
      </c>
      <c r="AJ2558" s="78" t="s">
        <v>52</v>
      </c>
      <c r="AK2558" s="78" t="s">
        <v>20</v>
      </c>
      <c r="AL2558" s="78" t="s">
        <v>28</v>
      </c>
      <c r="AM2558" s="78" t="s">
        <v>51</v>
      </c>
      <c r="AN2558" s="78" t="s">
        <v>725</v>
      </c>
      <c r="AO2558" s="78">
        <v>1.4036475607819616</v>
      </c>
    </row>
    <row r="2559" spans="29:41">
      <c r="AC2559" s="78" t="s">
        <v>53</v>
      </c>
      <c r="AD2559" s="78" t="s">
        <v>20</v>
      </c>
      <c r="AE2559" s="78" t="s">
        <v>72</v>
      </c>
      <c r="AF2559" s="78" t="s">
        <v>51</v>
      </c>
      <c r="AG2559" s="78" t="s">
        <v>153</v>
      </c>
      <c r="AH2559" s="78">
        <v>3.964</v>
      </c>
      <c r="AJ2559" s="78" t="s">
        <v>52</v>
      </c>
      <c r="AK2559" s="78" t="s">
        <v>20</v>
      </c>
      <c r="AL2559" s="78" t="s">
        <v>28</v>
      </c>
      <c r="AM2559" s="78" t="s">
        <v>51</v>
      </c>
      <c r="AN2559" s="78" t="s">
        <v>726</v>
      </c>
      <c r="AO2559" s="78">
        <v>1.4798422706524217</v>
      </c>
    </row>
    <row r="2560" spans="29:41">
      <c r="AC2560" s="78" t="s">
        <v>53</v>
      </c>
      <c r="AD2560" s="78" t="s">
        <v>20</v>
      </c>
      <c r="AE2560" s="78" t="s">
        <v>72</v>
      </c>
      <c r="AF2560" s="78" t="s">
        <v>51</v>
      </c>
      <c r="AG2560" s="78" t="s">
        <v>154</v>
      </c>
      <c r="AH2560" s="78">
        <v>3.964</v>
      </c>
      <c r="AJ2560" s="78" t="s">
        <v>52</v>
      </c>
      <c r="AK2560" s="78" t="s">
        <v>20</v>
      </c>
      <c r="AL2560" s="78" t="s">
        <v>28</v>
      </c>
      <c r="AM2560" s="78" t="s">
        <v>51</v>
      </c>
      <c r="AN2560" s="78" t="s">
        <v>426</v>
      </c>
      <c r="AO2560" s="78">
        <v>1.4065919384744214</v>
      </c>
    </row>
    <row r="2561" spans="29:41">
      <c r="AC2561" s="78" t="s">
        <v>53</v>
      </c>
      <c r="AD2561" s="78" t="s">
        <v>20</v>
      </c>
      <c r="AE2561" s="78" t="s">
        <v>72</v>
      </c>
      <c r="AF2561" s="78" t="s">
        <v>51</v>
      </c>
      <c r="AG2561" s="78" t="s">
        <v>155</v>
      </c>
      <c r="AH2561" s="78">
        <v>4.0271249999999998</v>
      </c>
      <c r="AJ2561" s="78" t="s">
        <v>52</v>
      </c>
      <c r="AK2561" s="78" t="s">
        <v>20</v>
      </c>
      <c r="AL2561" s="78" t="s">
        <v>28</v>
      </c>
      <c r="AM2561" s="78" t="s">
        <v>51</v>
      </c>
      <c r="AN2561" s="78" t="s">
        <v>727</v>
      </c>
      <c r="AO2561" s="78">
        <v>1.4924538943171921</v>
      </c>
    </row>
    <row r="2562" spans="29:41">
      <c r="AC2562" s="78" t="s">
        <v>53</v>
      </c>
      <c r="AD2562" s="78" t="s">
        <v>20</v>
      </c>
      <c r="AE2562" s="78" t="s">
        <v>72</v>
      </c>
      <c r="AF2562" s="78" t="s">
        <v>51</v>
      </c>
      <c r="AG2562" s="78" t="s">
        <v>156</v>
      </c>
      <c r="AH2562" s="78">
        <v>3.9634999999999998</v>
      </c>
      <c r="AJ2562" s="78" t="s">
        <v>52</v>
      </c>
      <c r="AK2562" s="78" t="s">
        <v>20</v>
      </c>
      <c r="AL2562" s="78" t="s">
        <v>28</v>
      </c>
      <c r="AM2562" s="78" t="s">
        <v>51</v>
      </c>
      <c r="AN2562" s="78" t="s">
        <v>728</v>
      </c>
      <c r="AO2562" s="78">
        <v>1.4596260346493619</v>
      </c>
    </row>
    <row r="2563" spans="29:41">
      <c r="AC2563" s="78" t="s">
        <v>53</v>
      </c>
      <c r="AD2563" s="78" t="s">
        <v>20</v>
      </c>
      <c r="AE2563" s="78" t="s">
        <v>72</v>
      </c>
      <c r="AF2563" s="78" t="s">
        <v>51</v>
      </c>
      <c r="AG2563" s="78" t="s">
        <v>157</v>
      </c>
      <c r="AH2563" s="78">
        <v>4.0271249999999998</v>
      </c>
      <c r="AJ2563" s="78" t="s">
        <v>52</v>
      </c>
      <c r="AK2563" s="78" t="s">
        <v>20</v>
      </c>
      <c r="AL2563" s="78" t="s">
        <v>28</v>
      </c>
      <c r="AM2563" s="78" t="s">
        <v>51</v>
      </c>
      <c r="AN2563" s="78" t="s">
        <v>729</v>
      </c>
      <c r="AO2563" s="78">
        <v>1.5415532575164717</v>
      </c>
    </row>
    <row r="2564" spans="29:41">
      <c r="AC2564" s="78" t="s">
        <v>53</v>
      </c>
      <c r="AD2564" s="78" t="s">
        <v>20</v>
      </c>
      <c r="AE2564" s="78" t="s">
        <v>72</v>
      </c>
      <c r="AF2564" s="78" t="s">
        <v>51</v>
      </c>
      <c r="AG2564" s="78" t="s">
        <v>158</v>
      </c>
      <c r="AH2564" s="78">
        <v>4.0271249999999998</v>
      </c>
      <c r="AJ2564" s="78" t="s">
        <v>52</v>
      </c>
      <c r="AK2564" s="78" t="s">
        <v>20</v>
      </c>
      <c r="AL2564" s="78" t="s">
        <v>28</v>
      </c>
      <c r="AM2564" s="78" t="s">
        <v>51</v>
      </c>
      <c r="AN2564" s="78" t="s">
        <v>730</v>
      </c>
      <c r="AO2564" s="78">
        <v>1.3103146386166762</v>
      </c>
    </row>
    <row r="2565" spans="29:41">
      <c r="AC2565" s="78" t="s">
        <v>53</v>
      </c>
      <c r="AD2565" s="78" t="s">
        <v>20</v>
      </c>
      <c r="AE2565" s="78" t="s">
        <v>72</v>
      </c>
      <c r="AF2565" s="78" t="s">
        <v>51</v>
      </c>
      <c r="AG2565" s="78" t="s">
        <v>159</v>
      </c>
      <c r="AH2565" s="78">
        <v>3.8995000000000002</v>
      </c>
      <c r="AJ2565" s="78" t="s">
        <v>52</v>
      </c>
      <c r="AK2565" s="78" t="s">
        <v>20</v>
      </c>
      <c r="AL2565" s="78" t="s">
        <v>28</v>
      </c>
      <c r="AM2565" s="78" t="s">
        <v>51</v>
      </c>
      <c r="AN2565" s="78" t="s">
        <v>731</v>
      </c>
      <c r="AO2565" s="78">
        <v>1.3547121366230364</v>
      </c>
    </row>
    <row r="2566" spans="29:41">
      <c r="AC2566" s="78" t="s">
        <v>53</v>
      </c>
      <c r="AD2566" s="78" t="s">
        <v>20</v>
      </c>
      <c r="AE2566" s="78" t="s">
        <v>72</v>
      </c>
      <c r="AF2566" s="78" t="s">
        <v>51</v>
      </c>
      <c r="AG2566" s="78" t="s">
        <v>160</v>
      </c>
      <c r="AH2566" s="78">
        <v>3.8995000000000002</v>
      </c>
      <c r="AJ2566" s="78" t="s">
        <v>52</v>
      </c>
      <c r="AK2566" s="78" t="s">
        <v>20</v>
      </c>
      <c r="AL2566" s="78" t="s">
        <v>28</v>
      </c>
      <c r="AM2566" s="78" t="s">
        <v>51</v>
      </c>
      <c r="AN2566" s="78" t="s">
        <v>732</v>
      </c>
      <c r="AO2566" s="78">
        <v>1.3539758520217864</v>
      </c>
    </row>
    <row r="2567" spans="29:41">
      <c r="AC2567" s="78" t="s">
        <v>53</v>
      </c>
      <c r="AD2567" s="78" t="s">
        <v>20</v>
      </c>
      <c r="AE2567" s="78" t="s">
        <v>72</v>
      </c>
      <c r="AF2567" s="78" t="s">
        <v>51</v>
      </c>
      <c r="AG2567" s="78" t="s">
        <v>161</v>
      </c>
      <c r="AH2567" s="78">
        <v>3.9634999999999998</v>
      </c>
      <c r="AJ2567" s="78" t="s">
        <v>52</v>
      </c>
      <c r="AK2567" s="78" t="s">
        <v>20</v>
      </c>
      <c r="AL2567" s="78" t="s">
        <v>28</v>
      </c>
      <c r="AM2567" s="78" t="s">
        <v>51</v>
      </c>
      <c r="AN2567" s="78" t="s">
        <v>733</v>
      </c>
      <c r="AO2567" s="78">
        <v>1.3514350867526881</v>
      </c>
    </row>
    <row r="2568" spans="29:41">
      <c r="AC2568" s="78" t="s">
        <v>53</v>
      </c>
      <c r="AD2568" s="78" t="s">
        <v>20</v>
      </c>
      <c r="AE2568" s="78" t="s">
        <v>72</v>
      </c>
      <c r="AF2568" s="78" t="s">
        <v>51</v>
      </c>
      <c r="AG2568" s="78" t="s">
        <v>162</v>
      </c>
      <c r="AH2568" s="78">
        <v>3.9634999999999998</v>
      </c>
      <c r="AJ2568" s="78" t="s">
        <v>52</v>
      </c>
      <c r="AK2568" s="78" t="s">
        <v>20</v>
      </c>
      <c r="AL2568" s="78" t="s">
        <v>28</v>
      </c>
      <c r="AM2568" s="78" t="s">
        <v>51</v>
      </c>
      <c r="AN2568" s="78" t="s">
        <v>734</v>
      </c>
      <c r="AO2568" s="78">
        <v>1.38839778777584</v>
      </c>
    </row>
    <row r="2569" spans="29:41">
      <c r="AC2569" s="78" t="s">
        <v>53</v>
      </c>
      <c r="AD2569" s="78" t="s">
        <v>20</v>
      </c>
      <c r="AE2569" s="78" t="s">
        <v>72</v>
      </c>
      <c r="AF2569" s="78" t="s">
        <v>51</v>
      </c>
      <c r="AG2569" s="78" t="s">
        <v>163</v>
      </c>
      <c r="AH2569" s="78">
        <v>3.8995000000000002</v>
      </c>
      <c r="AJ2569" s="78" t="s">
        <v>52</v>
      </c>
      <c r="AK2569" s="78" t="s">
        <v>20</v>
      </c>
      <c r="AL2569" s="78" t="s">
        <v>28</v>
      </c>
      <c r="AM2569" s="78" t="s">
        <v>51</v>
      </c>
      <c r="AN2569" s="78" t="s">
        <v>735</v>
      </c>
      <c r="AO2569" s="78">
        <v>1.3729794246504896</v>
      </c>
    </row>
    <row r="2570" spans="29:41">
      <c r="AC2570" s="78" t="s">
        <v>53</v>
      </c>
      <c r="AD2570" s="78" t="s">
        <v>20</v>
      </c>
      <c r="AE2570" s="78" t="s">
        <v>72</v>
      </c>
      <c r="AF2570" s="78" t="s">
        <v>51</v>
      </c>
      <c r="AG2570" s="78" t="s">
        <v>164</v>
      </c>
      <c r="AH2570" s="78">
        <v>3.9634999999999998</v>
      </c>
      <c r="AJ2570" s="78" t="s">
        <v>52</v>
      </c>
      <c r="AK2570" s="78" t="s">
        <v>20</v>
      </c>
      <c r="AL2570" s="78" t="s">
        <v>28</v>
      </c>
      <c r="AM2570" s="78" t="s">
        <v>51</v>
      </c>
      <c r="AN2570" s="78" t="s">
        <v>736</v>
      </c>
      <c r="AO2570" s="78">
        <v>1.4350631488626013</v>
      </c>
    </row>
    <row r="2571" spans="29:41">
      <c r="AC2571" s="78" t="s">
        <v>53</v>
      </c>
      <c r="AD2571" s="78" t="s">
        <v>20</v>
      </c>
      <c r="AE2571" s="78" t="s">
        <v>72</v>
      </c>
      <c r="AF2571" s="78" t="s">
        <v>51</v>
      </c>
      <c r="AG2571" s="78" t="s">
        <v>165</v>
      </c>
      <c r="AH2571" s="78">
        <v>4.0271249999999998</v>
      </c>
      <c r="AJ2571" s="78" t="s">
        <v>52</v>
      </c>
      <c r="AK2571" s="78" t="s">
        <v>20</v>
      </c>
      <c r="AL2571" s="78" t="s">
        <v>28</v>
      </c>
      <c r="AM2571" s="78" t="s">
        <v>51</v>
      </c>
      <c r="AN2571" s="78" t="s">
        <v>737</v>
      </c>
      <c r="AO2571" s="78">
        <v>1.3654510487966596</v>
      </c>
    </row>
    <row r="2572" spans="29:41">
      <c r="AC2572" s="78" t="s">
        <v>53</v>
      </c>
      <c r="AD2572" s="78" t="s">
        <v>20</v>
      </c>
      <c r="AE2572" s="78" t="s">
        <v>72</v>
      </c>
      <c r="AF2572" s="78" t="s">
        <v>51</v>
      </c>
      <c r="AG2572" s="78" t="s">
        <v>166</v>
      </c>
      <c r="AH2572" s="78">
        <v>4.0271249999999998</v>
      </c>
      <c r="AJ2572" s="78" t="s">
        <v>52</v>
      </c>
      <c r="AK2572" s="78" t="s">
        <v>20</v>
      </c>
      <c r="AL2572" s="78" t="s">
        <v>28</v>
      </c>
      <c r="AM2572" s="78" t="s">
        <v>51</v>
      </c>
      <c r="AN2572" s="78" t="s">
        <v>738</v>
      </c>
      <c r="AO2572" s="78">
        <v>1.4044195996781916</v>
      </c>
    </row>
    <row r="2573" spans="29:41">
      <c r="AC2573" s="78" t="s">
        <v>53</v>
      </c>
      <c r="AD2573" s="78" t="s">
        <v>20</v>
      </c>
      <c r="AE2573" s="78" t="s">
        <v>72</v>
      </c>
      <c r="AF2573" s="78" t="s">
        <v>51</v>
      </c>
      <c r="AG2573" s="78" t="s">
        <v>167</v>
      </c>
      <c r="AH2573" s="78">
        <v>3.9953749999999997</v>
      </c>
      <c r="AJ2573" s="78" t="s">
        <v>52</v>
      </c>
      <c r="AK2573" s="78" t="s">
        <v>20</v>
      </c>
      <c r="AL2573" s="78" t="s">
        <v>28</v>
      </c>
      <c r="AM2573" s="78" t="s">
        <v>51</v>
      </c>
      <c r="AN2573" s="78" t="s">
        <v>739</v>
      </c>
      <c r="AO2573" s="78">
        <v>1.4058204284730216</v>
      </c>
    </row>
    <row r="2574" spans="29:41">
      <c r="AC2574" s="78" t="s">
        <v>53</v>
      </c>
      <c r="AD2574" s="78" t="s">
        <v>20</v>
      </c>
      <c r="AE2574" s="78" t="s">
        <v>72</v>
      </c>
      <c r="AF2574" s="78" t="s">
        <v>51</v>
      </c>
      <c r="AG2574" s="78" t="s">
        <v>168</v>
      </c>
      <c r="AH2574" s="78">
        <v>4.0271249999999998</v>
      </c>
      <c r="AJ2574" s="78" t="s">
        <v>52</v>
      </c>
      <c r="AK2574" s="78" t="s">
        <v>20</v>
      </c>
      <c r="AL2574" s="78" t="s">
        <v>28</v>
      </c>
      <c r="AM2574" s="78" t="s">
        <v>51</v>
      </c>
      <c r="AN2574" s="78" t="s">
        <v>740</v>
      </c>
      <c r="AO2574" s="78">
        <v>1.3702396473424516</v>
      </c>
    </row>
    <row r="2575" spans="29:41">
      <c r="AC2575" s="78" t="s">
        <v>53</v>
      </c>
      <c r="AD2575" s="78" t="s">
        <v>20</v>
      </c>
      <c r="AE2575" s="78" t="s">
        <v>72</v>
      </c>
      <c r="AF2575" s="78" t="s">
        <v>51</v>
      </c>
      <c r="AG2575" s="78" t="s">
        <v>169</v>
      </c>
      <c r="AH2575" s="78">
        <v>3.9321250000000001</v>
      </c>
      <c r="AJ2575" s="78" t="s">
        <v>52</v>
      </c>
      <c r="AK2575" s="78" t="s">
        <v>20</v>
      </c>
      <c r="AL2575" s="78" t="s">
        <v>28</v>
      </c>
      <c r="AM2575" s="78" t="s">
        <v>51</v>
      </c>
      <c r="AN2575" s="78" t="s">
        <v>741</v>
      </c>
      <c r="AO2575" s="78">
        <v>1.3108922104783916</v>
      </c>
    </row>
    <row r="2576" spans="29:41">
      <c r="AC2576" s="78" t="s">
        <v>53</v>
      </c>
      <c r="AD2576" s="78" t="s">
        <v>20</v>
      </c>
      <c r="AE2576" s="78" t="s">
        <v>72</v>
      </c>
      <c r="AF2576" s="78" t="s">
        <v>51</v>
      </c>
      <c r="AG2576" s="78" t="s">
        <v>170</v>
      </c>
      <c r="AH2576" s="78">
        <v>4.0274999999999999</v>
      </c>
      <c r="AJ2576" s="78" t="s">
        <v>52</v>
      </c>
      <c r="AK2576" s="78" t="s">
        <v>20</v>
      </c>
      <c r="AL2576" s="78" t="s">
        <v>28</v>
      </c>
      <c r="AM2576" s="78" t="s">
        <v>51</v>
      </c>
      <c r="AN2576" s="78" t="s">
        <v>742</v>
      </c>
      <c r="AO2576" s="78">
        <v>1.3251372974266817</v>
      </c>
    </row>
    <row r="2577" spans="29:41">
      <c r="AC2577" s="78" t="s">
        <v>53</v>
      </c>
      <c r="AD2577" s="78" t="s">
        <v>20</v>
      </c>
      <c r="AE2577" s="78" t="s">
        <v>72</v>
      </c>
      <c r="AF2577" s="78" t="s">
        <v>51</v>
      </c>
      <c r="AG2577" s="78" t="s">
        <v>171</v>
      </c>
      <c r="AH2577" s="78">
        <v>3.9957500000000001</v>
      </c>
      <c r="AJ2577" s="78" t="s">
        <v>52</v>
      </c>
      <c r="AK2577" s="78" t="s">
        <v>20</v>
      </c>
      <c r="AL2577" s="78" t="s">
        <v>28</v>
      </c>
      <c r="AM2577" s="78" t="s">
        <v>51</v>
      </c>
      <c r="AN2577" s="78" t="s">
        <v>425</v>
      </c>
      <c r="AO2577" s="78">
        <v>1.3189893873635086</v>
      </c>
    </row>
    <row r="2578" spans="29:41">
      <c r="AC2578" s="78" t="s">
        <v>53</v>
      </c>
      <c r="AD2578" s="78" t="s">
        <v>20</v>
      </c>
      <c r="AE2578" s="78" t="s">
        <v>72</v>
      </c>
      <c r="AF2578" s="78" t="s">
        <v>51</v>
      </c>
      <c r="AG2578" s="78" t="s">
        <v>172</v>
      </c>
      <c r="AH2578" s="78">
        <v>3.9957500000000001</v>
      </c>
      <c r="AJ2578" s="78" t="s">
        <v>52</v>
      </c>
      <c r="AK2578" s="78" t="s">
        <v>20</v>
      </c>
      <c r="AL2578" s="78" t="s">
        <v>28</v>
      </c>
      <c r="AM2578" s="78" t="s">
        <v>51</v>
      </c>
      <c r="AN2578" s="78" t="s">
        <v>743</v>
      </c>
      <c r="AO2578" s="78">
        <v>1.4224443496757915</v>
      </c>
    </row>
    <row r="2579" spans="29:41">
      <c r="AC2579" s="78" t="s">
        <v>53</v>
      </c>
      <c r="AD2579" s="78" t="s">
        <v>20</v>
      </c>
      <c r="AE2579" s="78" t="s">
        <v>72</v>
      </c>
      <c r="AF2579" s="78" t="s">
        <v>51</v>
      </c>
      <c r="AG2579" s="78" t="s">
        <v>173</v>
      </c>
      <c r="AH2579" s="78">
        <v>4.0593750000000002</v>
      </c>
      <c r="AJ2579" s="78" t="s">
        <v>52</v>
      </c>
      <c r="AK2579" s="78" t="s">
        <v>20</v>
      </c>
      <c r="AL2579" s="78" t="s">
        <v>28</v>
      </c>
      <c r="AM2579" s="78" t="s">
        <v>51</v>
      </c>
      <c r="AN2579" s="78" t="s">
        <v>744</v>
      </c>
      <c r="AO2579" s="78">
        <v>1.2959204493549517</v>
      </c>
    </row>
    <row r="2580" spans="29:41">
      <c r="AC2580" s="78" t="s">
        <v>53</v>
      </c>
      <c r="AD2580" s="78" t="s">
        <v>20</v>
      </c>
      <c r="AE2580" s="78" t="s">
        <v>72</v>
      </c>
      <c r="AF2580" s="78" t="s">
        <v>51</v>
      </c>
      <c r="AG2580" s="78" t="s">
        <v>174</v>
      </c>
      <c r="AH2580" s="78">
        <v>4.0911249999999999</v>
      </c>
      <c r="AJ2580" s="78" t="s">
        <v>52</v>
      </c>
      <c r="AK2580" s="78" t="s">
        <v>20</v>
      </c>
      <c r="AL2580" s="78" t="s">
        <v>28</v>
      </c>
      <c r="AM2580" s="78" t="s">
        <v>51</v>
      </c>
      <c r="AN2580" s="78" t="s">
        <v>745</v>
      </c>
      <c r="AO2580" s="78">
        <v>1.3713622614163299</v>
      </c>
    </row>
    <row r="2581" spans="29:41">
      <c r="AC2581" s="78" t="s">
        <v>53</v>
      </c>
      <c r="AD2581" s="78" t="s">
        <v>20</v>
      </c>
      <c r="AE2581" s="78" t="s">
        <v>72</v>
      </c>
      <c r="AF2581" s="78" t="s">
        <v>51</v>
      </c>
      <c r="AG2581" s="78" t="s">
        <v>175</v>
      </c>
      <c r="AH2581" s="78">
        <v>4.1547499999999999</v>
      </c>
      <c r="AJ2581" s="78" t="s">
        <v>52</v>
      </c>
      <c r="AK2581" s="78" t="s">
        <v>20</v>
      </c>
      <c r="AL2581" s="78" t="s">
        <v>28</v>
      </c>
      <c r="AM2581" s="78" t="s">
        <v>51</v>
      </c>
      <c r="AN2581" s="78" t="s">
        <v>424</v>
      </c>
      <c r="AO2581" s="78">
        <v>1.2498437509823688</v>
      </c>
    </row>
    <row r="2582" spans="29:41">
      <c r="AC2582" s="78" t="s">
        <v>53</v>
      </c>
      <c r="AD2582" s="78" t="s">
        <v>20</v>
      </c>
      <c r="AE2582" s="78" t="s">
        <v>72</v>
      </c>
      <c r="AF2582" s="78" t="s">
        <v>51</v>
      </c>
      <c r="AG2582" s="78" t="s">
        <v>176</v>
      </c>
      <c r="AH2582" s="78">
        <v>4.1547499999999999</v>
      </c>
      <c r="AJ2582" s="78" t="s">
        <v>52</v>
      </c>
      <c r="AK2582" s="78" t="s">
        <v>20</v>
      </c>
      <c r="AL2582" s="78" t="s">
        <v>28</v>
      </c>
      <c r="AM2582" s="78" t="s">
        <v>51</v>
      </c>
      <c r="AN2582" s="78" t="s">
        <v>427</v>
      </c>
      <c r="AO2582" s="78">
        <v>1.3525237141218998</v>
      </c>
    </row>
    <row r="2583" spans="29:41">
      <c r="AC2583" s="78" t="s">
        <v>53</v>
      </c>
      <c r="AD2583" s="78" t="s">
        <v>20</v>
      </c>
      <c r="AE2583" s="78" t="s">
        <v>72</v>
      </c>
      <c r="AF2583" s="78" t="s">
        <v>51</v>
      </c>
      <c r="AG2583" s="78" t="s">
        <v>177</v>
      </c>
      <c r="AH2583" s="78">
        <v>4.0274999999999999</v>
      </c>
      <c r="AJ2583" s="78" t="s">
        <v>74</v>
      </c>
      <c r="AK2583" s="78" t="s">
        <v>87</v>
      </c>
      <c r="AL2583" s="78" t="s">
        <v>25</v>
      </c>
      <c r="AM2583" s="78" t="s">
        <v>51</v>
      </c>
      <c r="AN2583" s="78" t="s">
        <v>129</v>
      </c>
      <c r="AO2583" s="78">
        <v>2.8341999400292899</v>
      </c>
    </row>
    <row r="2584" spans="29:41">
      <c r="AC2584" s="78" t="s">
        <v>53</v>
      </c>
      <c r="AD2584" s="78" t="s">
        <v>20</v>
      </c>
      <c r="AE2584" s="78" t="s">
        <v>72</v>
      </c>
      <c r="AF2584" s="78" t="s">
        <v>51</v>
      </c>
      <c r="AG2584" s="78" t="s">
        <v>178</v>
      </c>
      <c r="AH2584" s="78">
        <v>4.1229999999999993</v>
      </c>
      <c r="AJ2584" s="78" t="s">
        <v>74</v>
      </c>
      <c r="AK2584" s="78" t="s">
        <v>87</v>
      </c>
      <c r="AL2584" s="78" t="s">
        <v>25</v>
      </c>
      <c r="AM2584" s="78" t="s">
        <v>51</v>
      </c>
      <c r="AN2584" s="78" t="s">
        <v>130</v>
      </c>
      <c r="AO2584" s="78">
        <v>2.8241837227534399</v>
      </c>
    </row>
    <row r="2585" spans="29:41">
      <c r="AC2585" s="78" t="s">
        <v>53</v>
      </c>
      <c r="AD2585" s="78" t="s">
        <v>20</v>
      </c>
      <c r="AE2585" s="78" t="s">
        <v>72</v>
      </c>
      <c r="AF2585" s="78" t="s">
        <v>51</v>
      </c>
      <c r="AG2585" s="78" t="s">
        <v>179</v>
      </c>
      <c r="AH2585" s="78">
        <v>4.1229999999999993</v>
      </c>
      <c r="AJ2585" s="78" t="s">
        <v>74</v>
      </c>
      <c r="AK2585" s="78" t="s">
        <v>87</v>
      </c>
      <c r="AL2585" s="78" t="s">
        <v>25</v>
      </c>
      <c r="AM2585" s="78" t="s">
        <v>51</v>
      </c>
      <c r="AN2585" s="78" t="s">
        <v>131</v>
      </c>
      <c r="AO2585" s="78">
        <v>2.81556157497667</v>
      </c>
    </row>
    <row r="2586" spans="29:41">
      <c r="AC2586" s="78" t="s">
        <v>53</v>
      </c>
      <c r="AD2586" s="78" t="s">
        <v>20</v>
      </c>
      <c r="AE2586" s="78" t="s">
        <v>72</v>
      </c>
      <c r="AF2586" s="78" t="s">
        <v>51</v>
      </c>
      <c r="AG2586" s="78" t="s">
        <v>180</v>
      </c>
      <c r="AH2586" s="78">
        <v>4.1547499999999999</v>
      </c>
      <c r="AJ2586" s="78" t="s">
        <v>74</v>
      </c>
      <c r="AK2586" s="78" t="s">
        <v>87</v>
      </c>
      <c r="AL2586" s="78" t="s">
        <v>25</v>
      </c>
      <c r="AM2586" s="78" t="s">
        <v>51</v>
      </c>
      <c r="AN2586" s="78" t="s">
        <v>132</v>
      </c>
      <c r="AO2586" s="78">
        <v>2.9303170109018999</v>
      </c>
    </row>
    <row r="2587" spans="29:41">
      <c r="AC2587" s="78" t="s">
        <v>53</v>
      </c>
      <c r="AD2587" s="78" t="s">
        <v>20</v>
      </c>
      <c r="AE2587" s="78" t="s">
        <v>72</v>
      </c>
      <c r="AF2587" s="78" t="s">
        <v>51</v>
      </c>
      <c r="AG2587" s="78" t="s">
        <v>181</v>
      </c>
      <c r="AH2587" s="78">
        <v>4.1547499999999999</v>
      </c>
      <c r="AJ2587" s="78" t="s">
        <v>74</v>
      </c>
      <c r="AK2587" s="78" t="s">
        <v>87</v>
      </c>
      <c r="AL2587" s="78" t="s">
        <v>25</v>
      </c>
      <c r="AM2587" s="78" t="s">
        <v>51</v>
      </c>
      <c r="AN2587" s="78" t="s">
        <v>133</v>
      </c>
      <c r="AO2587" s="78">
        <v>2.90222752352993</v>
      </c>
    </row>
    <row r="2588" spans="29:41">
      <c r="AC2588" s="78" t="s">
        <v>53</v>
      </c>
      <c r="AD2588" s="78" t="s">
        <v>20</v>
      </c>
      <c r="AE2588" s="78" t="s">
        <v>72</v>
      </c>
      <c r="AF2588" s="78" t="s">
        <v>51</v>
      </c>
      <c r="AG2588" s="78" t="s">
        <v>182</v>
      </c>
      <c r="AH2588" s="78">
        <v>4.0593750000000002</v>
      </c>
      <c r="AJ2588" s="78" t="s">
        <v>74</v>
      </c>
      <c r="AK2588" s="78" t="s">
        <v>87</v>
      </c>
      <c r="AL2588" s="78" t="s">
        <v>25</v>
      </c>
      <c r="AM2588" s="78" t="s">
        <v>51</v>
      </c>
      <c r="AN2588" s="78" t="s">
        <v>134</v>
      </c>
      <c r="AO2588" s="78">
        <v>2.84635033680676</v>
      </c>
    </row>
    <row r="2589" spans="29:41">
      <c r="AC2589" s="78" t="s">
        <v>53</v>
      </c>
      <c r="AD2589" s="78" t="s">
        <v>20</v>
      </c>
      <c r="AE2589" s="78" t="s">
        <v>72</v>
      </c>
      <c r="AF2589" s="78" t="s">
        <v>51</v>
      </c>
      <c r="AG2589" s="78" t="s">
        <v>183</v>
      </c>
      <c r="AH2589" s="78">
        <v>4.0911249999999999</v>
      </c>
      <c r="AJ2589" s="78" t="s">
        <v>74</v>
      </c>
      <c r="AK2589" s="78" t="s">
        <v>87</v>
      </c>
      <c r="AL2589" s="78" t="s">
        <v>25</v>
      </c>
      <c r="AM2589" s="78" t="s">
        <v>51</v>
      </c>
      <c r="AN2589" s="78" t="s">
        <v>135</v>
      </c>
      <c r="AO2589" s="78">
        <v>2.8278353033181198</v>
      </c>
    </row>
    <row r="2590" spans="29:41">
      <c r="AC2590" s="78" t="s">
        <v>53</v>
      </c>
      <c r="AD2590" s="78" t="s">
        <v>20</v>
      </c>
      <c r="AE2590" s="78" t="s">
        <v>72</v>
      </c>
      <c r="AF2590" s="78" t="s">
        <v>51</v>
      </c>
      <c r="AG2590" s="78" t="s">
        <v>184</v>
      </c>
      <c r="AH2590" s="78">
        <v>4.1547499999999999</v>
      </c>
      <c r="AJ2590" s="78" t="s">
        <v>74</v>
      </c>
      <c r="AK2590" s="78" t="s">
        <v>87</v>
      </c>
      <c r="AL2590" s="78" t="s">
        <v>25</v>
      </c>
      <c r="AM2590" s="78" t="s">
        <v>51</v>
      </c>
      <c r="AN2590" s="78" t="s">
        <v>136</v>
      </c>
      <c r="AO2590" s="78">
        <v>2.8138191102539798</v>
      </c>
    </row>
    <row r="2591" spans="29:41">
      <c r="AC2591" s="78" t="s">
        <v>53</v>
      </c>
      <c r="AD2591" s="78" t="s">
        <v>20</v>
      </c>
      <c r="AE2591" s="78" t="s">
        <v>72</v>
      </c>
      <c r="AF2591" s="78" t="s">
        <v>51</v>
      </c>
      <c r="AG2591" s="78" t="s">
        <v>185</v>
      </c>
      <c r="AH2591" s="78">
        <v>4.1547499999999999</v>
      </c>
      <c r="AJ2591" s="78" t="s">
        <v>74</v>
      </c>
      <c r="AK2591" s="78" t="s">
        <v>87</v>
      </c>
      <c r="AL2591" s="78" t="s">
        <v>25</v>
      </c>
      <c r="AM2591" s="78" t="s">
        <v>51</v>
      </c>
      <c r="AN2591" s="78" t="s">
        <v>137</v>
      </c>
      <c r="AO2591" s="78">
        <v>2.8315057491425</v>
      </c>
    </row>
    <row r="2592" spans="29:41">
      <c r="AC2592" s="78" t="s">
        <v>53</v>
      </c>
      <c r="AD2592" s="78" t="s">
        <v>20</v>
      </c>
      <c r="AE2592" s="78" t="s">
        <v>72</v>
      </c>
      <c r="AF2592" s="78" t="s">
        <v>51</v>
      </c>
      <c r="AG2592" s="78" t="s">
        <v>186</v>
      </c>
      <c r="AH2592" s="78">
        <v>4.1547499999999999</v>
      </c>
      <c r="AJ2592" s="78" t="s">
        <v>74</v>
      </c>
      <c r="AK2592" s="78" t="s">
        <v>87</v>
      </c>
      <c r="AL2592" s="78" t="s">
        <v>25</v>
      </c>
      <c r="AM2592" s="78" t="s">
        <v>51</v>
      </c>
      <c r="AN2592" s="78" t="s">
        <v>138</v>
      </c>
      <c r="AO2592" s="78">
        <v>2.8241768518279202</v>
      </c>
    </row>
    <row r="2593" spans="29:41">
      <c r="AC2593" s="78" t="s">
        <v>53</v>
      </c>
      <c r="AD2593" s="78" t="s">
        <v>20</v>
      </c>
      <c r="AE2593" s="78" t="s">
        <v>72</v>
      </c>
      <c r="AF2593" s="78" t="s">
        <v>51</v>
      </c>
      <c r="AG2593" s="78" t="s">
        <v>187</v>
      </c>
      <c r="AH2593" s="78">
        <v>4.1547499999999999</v>
      </c>
      <c r="AJ2593" s="78" t="s">
        <v>74</v>
      </c>
      <c r="AK2593" s="78" t="s">
        <v>87</v>
      </c>
      <c r="AL2593" s="78" t="s">
        <v>25</v>
      </c>
      <c r="AM2593" s="78" t="s">
        <v>51</v>
      </c>
      <c r="AN2593" s="78" t="s">
        <v>139</v>
      </c>
      <c r="AO2593" s="78">
        <v>2.79584100930466</v>
      </c>
    </row>
    <row r="2594" spans="29:41">
      <c r="AC2594" s="78" t="s">
        <v>53</v>
      </c>
      <c r="AD2594" s="78" t="s">
        <v>20</v>
      </c>
      <c r="AE2594" s="78" t="s">
        <v>72</v>
      </c>
      <c r="AF2594" s="78" t="s">
        <v>51</v>
      </c>
      <c r="AG2594" s="78" t="s">
        <v>188</v>
      </c>
      <c r="AH2594" s="78">
        <v>4.155125</v>
      </c>
      <c r="AJ2594" s="78" t="s">
        <v>74</v>
      </c>
      <c r="AK2594" s="78" t="s">
        <v>87</v>
      </c>
      <c r="AL2594" s="78" t="s">
        <v>25</v>
      </c>
      <c r="AM2594" s="78" t="s">
        <v>51</v>
      </c>
      <c r="AN2594" s="78" t="s">
        <v>140</v>
      </c>
      <c r="AO2594" s="78">
        <v>2.6928489030954199</v>
      </c>
    </row>
    <row r="2595" spans="29:41">
      <c r="AC2595" s="78" t="s">
        <v>53</v>
      </c>
      <c r="AD2595" s="78" t="s">
        <v>20</v>
      </c>
      <c r="AE2595" s="78" t="s">
        <v>72</v>
      </c>
      <c r="AF2595" s="78" t="s">
        <v>51</v>
      </c>
      <c r="AG2595" s="78" t="s">
        <v>189</v>
      </c>
      <c r="AH2595" s="78">
        <v>4.1547499999999999</v>
      </c>
      <c r="AJ2595" s="78" t="s">
        <v>74</v>
      </c>
      <c r="AK2595" s="78" t="s">
        <v>87</v>
      </c>
      <c r="AL2595" s="78" t="s">
        <v>25</v>
      </c>
      <c r="AM2595" s="78" t="s">
        <v>51</v>
      </c>
      <c r="AN2595" s="78" t="s">
        <v>141</v>
      </c>
      <c r="AO2595" s="78">
        <v>2.70955656376128</v>
      </c>
    </row>
    <row r="2596" spans="29:41">
      <c r="AC2596" s="78" t="s">
        <v>53</v>
      </c>
      <c r="AD2596" s="78" t="s">
        <v>20</v>
      </c>
      <c r="AE2596" s="78" t="s">
        <v>72</v>
      </c>
      <c r="AF2596" s="78" t="s">
        <v>51</v>
      </c>
      <c r="AG2596" s="78" t="s">
        <v>190</v>
      </c>
      <c r="AH2596" s="78">
        <v>4.1229999999999993</v>
      </c>
      <c r="AJ2596" s="78" t="s">
        <v>74</v>
      </c>
      <c r="AK2596" s="78" t="s">
        <v>87</v>
      </c>
      <c r="AL2596" s="78" t="s">
        <v>25</v>
      </c>
      <c r="AM2596" s="78" t="s">
        <v>51</v>
      </c>
      <c r="AN2596" s="78" t="s">
        <v>142</v>
      </c>
      <c r="AO2596" s="78">
        <v>2.6717729385436999</v>
      </c>
    </row>
    <row r="2597" spans="29:41">
      <c r="AC2597" s="78" t="s">
        <v>53</v>
      </c>
      <c r="AD2597" s="78" t="s">
        <v>20</v>
      </c>
      <c r="AE2597" s="78" t="s">
        <v>72</v>
      </c>
      <c r="AF2597" s="78" t="s">
        <v>51</v>
      </c>
      <c r="AG2597" s="78" t="s">
        <v>191</v>
      </c>
      <c r="AH2597" s="78">
        <v>4.0911249999999999</v>
      </c>
      <c r="AJ2597" s="78" t="s">
        <v>74</v>
      </c>
      <c r="AK2597" s="78" t="s">
        <v>87</v>
      </c>
      <c r="AL2597" s="78" t="s">
        <v>25</v>
      </c>
      <c r="AM2597" s="78" t="s">
        <v>51</v>
      </c>
      <c r="AN2597" s="78" t="s">
        <v>143</v>
      </c>
      <c r="AO2597" s="78">
        <v>2.6575094779916602</v>
      </c>
    </row>
    <row r="2598" spans="29:41">
      <c r="AC2598" s="78" t="s">
        <v>53</v>
      </c>
      <c r="AD2598" s="78" t="s">
        <v>20</v>
      </c>
      <c r="AE2598" s="78" t="s">
        <v>72</v>
      </c>
      <c r="AF2598" s="78" t="s">
        <v>51</v>
      </c>
      <c r="AG2598" s="78" t="s">
        <v>192</v>
      </c>
      <c r="AH2598" s="78">
        <v>4.0993750000000002</v>
      </c>
      <c r="AJ2598" s="78" t="s">
        <v>74</v>
      </c>
      <c r="AK2598" s="78" t="s">
        <v>87</v>
      </c>
      <c r="AL2598" s="78" t="s">
        <v>25</v>
      </c>
      <c r="AM2598" s="78" t="s">
        <v>51</v>
      </c>
      <c r="AN2598" s="78" t="s">
        <v>144</v>
      </c>
      <c r="AO2598" s="78">
        <v>2.60984671554638</v>
      </c>
    </row>
    <row r="2599" spans="29:41">
      <c r="AC2599" s="78" t="s">
        <v>53</v>
      </c>
      <c r="AD2599" s="78" t="s">
        <v>20</v>
      </c>
      <c r="AE2599" s="78" t="s">
        <v>72</v>
      </c>
      <c r="AF2599" s="78" t="s">
        <v>51</v>
      </c>
      <c r="AG2599" s="78" t="s">
        <v>193</v>
      </c>
      <c r="AH2599" s="78">
        <v>4.0993750000000002</v>
      </c>
      <c r="AJ2599" s="78" t="s">
        <v>74</v>
      </c>
      <c r="AK2599" s="78" t="s">
        <v>87</v>
      </c>
      <c r="AL2599" s="78" t="s">
        <v>25</v>
      </c>
      <c r="AM2599" s="78" t="s">
        <v>51</v>
      </c>
      <c r="AN2599" s="78" t="s">
        <v>145</v>
      </c>
      <c r="AO2599" s="78">
        <v>2.6641693960453199</v>
      </c>
    </row>
    <row r="2600" spans="29:41">
      <c r="AC2600" s="78" t="s">
        <v>53</v>
      </c>
      <c r="AD2600" s="78" t="s">
        <v>20</v>
      </c>
      <c r="AE2600" s="78" t="s">
        <v>72</v>
      </c>
      <c r="AF2600" s="78" t="s">
        <v>51</v>
      </c>
      <c r="AG2600" s="78" t="s">
        <v>194</v>
      </c>
      <c r="AH2600" s="78">
        <v>4.2910000000000004</v>
      </c>
      <c r="AJ2600" s="78" t="s">
        <v>74</v>
      </c>
      <c r="AK2600" s="78" t="s">
        <v>87</v>
      </c>
      <c r="AL2600" s="78" t="s">
        <v>25</v>
      </c>
      <c r="AM2600" s="78" t="s">
        <v>51</v>
      </c>
      <c r="AN2600" s="78" t="s">
        <v>146</v>
      </c>
      <c r="AO2600" s="78">
        <v>2.7519990602785001</v>
      </c>
    </row>
    <row r="2601" spans="29:41">
      <c r="AC2601" s="78" t="s">
        <v>53</v>
      </c>
      <c r="AD2601" s="78" t="s">
        <v>20</v>
      </c>
      <c r="AE2601" s="78" t="s">
        <v>72</v>
      </c>
      <c r="AF2601" s="78" t="s">
        <v>51</v>
      </c>
      <c r="AG2601" s="78" t="s">
        <v>195</v>
      </c>
      <c r="AH2601" s="78">
        <v>4.2588749999999997</v>
      </c>
      <c r="AJ2601" s="78" t="s">
        <v>74</v>
      </c>
      <c r="AK2601" s="78" t="s">
        <v>87</v>
      </c>
      <c r="AL2601" s="78" t="s">
        <v>25</v>
      </c>
      <c r="AM2601" s="78" t="s">
        <v>51</v>
      </c>
      <c r="AN2601" s="78" t="s">
        <v>147</v>
      </c>
      <c r="AO2601" s="78">
        <v>2.6934832462996599</v>
      </c>
    </row>
    <row r="2602" spans="29:41">
      <c r="AC2602" s="78" t="s">
        <v>53</v>
      </c>
      <c r="AD2602" s="78" t="s">
        <v>20</v>
      </c>
      <c r="AE2602" s="78" t="s">
        <v>72</v>
      </c>
      <c r="AF2602" s="78" t="s">
        <v>51</v>
      </c>
      <c r="AG2602" s="78" t="s">
        <v>196</v>
      </c>
      <c r="AH2602" s="78">
        <v>4.2592500000000006</v>
      </c>
      <c r="AJ2602" s="78" t="s">
        <v>74</v>
      </c>
      <c r="AK2602" s="78" t="s">
        <v>87</v>
      </c>
      <c r="AL2602" s="78" t="s">
        <v>25</v>
      </c>
      <c r="AM2602" s="78" t="s">
        <v>51</v>
      </c>
      <c r="AN2602" s="78" t="s">
        <v>148</v>
      </c>
      <c r="AO2602" s="78">
        <v>2.6906214304432701</v>
      </c>
    </row>
    <row r="2603" spans="29:41">
      <c r="AC2603" s="78" t="s">
        <v>53</v>
      </c>
      <c r="AD2603" s="78" t="s">
        <v>20</v>
      </c>
      <c r="AE2603" s="78" t="s">
        <v>72</v>
      </c>
      <c r="AF2603" s="78" t="s">
        <v>51</v>
      </c>
      <c r="AG2603" s="78" t="s">
        <v>197</v>
      </c>
      <c r="AH2603" s="78">
        <v>4.2275</v>
      </c>
      <c r="AJ2603" s="78" t="s">
        <v>74</v>
      </c>
      <c r="AK2603" s="78" t="s">
        <v>87</v>
      </c>
      <c r="AL2603" s="78" t="s">
        <v>25</v>
      </c>
      <c r="AM2603" s="78" t="s">
        <v>51</v>
      </c>
      <c r="AN2603" s="78" t="s">
        <v>149</v>
      </c>
      <c r="AO2603" s="78">
        <v>2.66103516127894</v>
      </c>
    </row>
    <row r="2604" spans="29:41">
      <c r="AC2604" s="78" t="s">
        <v>53</v>
      </c>
      <c r="AD2604" s="78" t="s">
        <v>20</v>
      </c>
      <c r="AE2604" s="78" t="s">
        <v>72</v>
      </c>
      <c r="AF2604" s="78" t="s">
        <v>51</v>
      </c>
      <c r="AG2604" s="78" t="s">
        <v>198</v>
      </c>
      <c r="AH2604" s="78">
        <v>4.1956249999999997</v>
      </c>
      <c r="AJ2604" s="78" t="s">
        <v>74</v>
      </c>
      <c r="AK2604" s="78" t="s">
        <v>87</v>
      </c>
      <c r="AL2604" s="78" t="s">
        <v>25</v>
      </c>
      <c r="AM2604" s="78" t="s">
        <v>51</v>
      </c>
      <c r="AN2604" s="78" t="s">
        <v>150</v>
      </c>
      <c r="AO2604" s="78">
        <v>2.5992657753902901</v>
      </c>
    </row>
    <row r="2605" spans="29:41">
      <c r="AC2605" s="78" t="s">
        <v>53</v>
      </c>
      <c r="AD2605" s="78" t="s">
        <v>20</v>
      </c>
      <c r="AE2605" s="78" t="s">
        <v>72</v>
      </c>
      <c r="AF2605" s="78" t="s">
        <v>51</v>
      </c>
      <c r="AG2605" s="78" t="s">
        <v>199</v>
      </c>
      <c r="AH2605" s="78">
        <v>4.2275</v>
      </c>
      <c r="AJ2605" s="78" t="s">
        <v>74</v>
      </c>
      <c r="AK2605" s="78" t="s">
        <v>87</v>
      </c>
      <c r="AL2605" s="78" t="s">
        <v>25</v>
      </c>
      <c r="AM2605" s="78" t="s">
        <v>51</v>
      </c>
      <c r="AN2605" s="78" t="s">
        <v>151</v>
      </c>
      <c r="AO2605" s="78">
        <v>2.6512826680006101</v>
      </c>
    </row>
    <row r="2606" spans="29:41">
      <c r="AC2606" s="78" t="s">
        <v>53</v>
      </c>
      <c r="AD2606" s="78" t="s">
        <v>20</v>
      </c>
      <c r="AE2606" s="78" t="s">
        <v>72</v>
      </c>
      <c r="AF2606" s="78" t="s">
        <v>51</v>
      </c>
      <c r="AG2606" s="78" t="s">
        <v>200</v>
      </c>
      <c r="AH2606" s="78">
        <v>4.1956249999999997</v>
      </c>
      <c r="AJ2606" s="78" t="s">
        <v>74</v>
      </c>
      <c r="AK2606" s="78" t="s">
        <v>87</v>
      </c>
      <c r="AL2606" s="78" t="s">
        <v>25</v>
      </c>
      <c r="AM2606" s="78" t="s">
        <v>51</v>
      </c>
      <c r="AN2606" s="78" t="s">
        <v>152</v>
      </c>
      <c r="AO2606" s="78">
        <v>2.5908884215358099</v>
      </c>
    </row>
    <row r="2607" spans="29:41">
      <c r="AC2607" s="78" t="s">
        <v>53</v>
      </c>
      <c r="AD2607" s="78" t="s">
        <v>20</v>
      </c>
      <c r="AE2607" s="78" t="s">
        <v>72</v>
      </c>
      <c r="AF2607" s="78" t="s">
        <v>51</v>
      </c>
      <c r="AG2607" s="78" t="s">
        <v>201</v>
      </c>
      <c r="AH2607" s="78">
        <v>4.2906250000000004</v>
      </c>
      <c r="AJ2607" s="78" t="s">
        <v>74</v>
      </c>
      <c r="AK2607" s="78" t="s">
        <v>87</v>
      </c>
      <c r="AL2607" s="78" t="s">
        <v>25</v>
      </c>
      <c r="AM2607" s="78" t="s">
        <v>51</v>
      </c>
      <c r="AN2607" s="78" t="s">
        <v>153</v>
      </c>
      <c r="AO2607" s="78">
        <v>2.63391710374052</v>
      </c>
    </row>
    <row r="2608" spans="29:41">
      <c r="AC2608" s="78" t="s">
        <v>53</v>
      </c>
      <c r="AD2608" s="78" t="s">
        <v>20</v>
      </c>
      <c r="AE2608" s="78" t="s">
        <v>72</v>
      </c>
      <c r="AF2608" s="78" t="s">
        <v>51</v>
      </c>
      <c r="AG2608" s="78" t="s">
        <v>202</v>
      </c>
      <c r="AH2608" s="78">
        <v>4.2906250000000004</v>
      </c>
      <c r="AJ2608" s="78" t="s">
        <v>74</v>
      </c>
      <c r="AK2608" s="78" t="s">
        <v>87</v>
      </c>
      <c r="AL2608" s="78" t="s">
        <v>25</v>
      </c>
      <c r="AM2608" s="78" t="s">
        <v>51</v>
      </c>
      <c r="AN2608" s="78" t="s">
        <v>154</v>
      </c>
      <c r="AO2608" s="78">
        <v>2.6287824588785198</v>
      </c>
    </row>
    <row r="2609" spans="29:41">
      <c r="AC2609" s="78" t="s">
        <v>53</v>
      </c>
      <c r="AD2609" s="78" t="s">
        <v>20</v>
      </c>
      <c r="AE2609" s="78" t="s">
        <v>72</v>
      </c>
      <c r="AF2609" s="78" t="s">
        <v>51</v>
      </c>
      <c r="AG2609" s="78" t="s">
        <v>203</v>
      </c>
      <c r="AH2609" s="78">
        <v>4.2275</v>
      </c>
      <c r="AJ2609" s="78" t="s">
        <v>74</v>
      </c>
      <c r="AK2609" s="78" t="s">
        <v>87</v>
      </c>
      <c r="AL2609" s="78" t="s">
        <v>25</v>
      </c>
      <c r="AM2609" s="78" t="s">
        <v>51</v>
      </c>
      <c r="AN2609" s="78" t="s">
        <v>155</v>
      </c>
      <c r="AO2609" s="78">
        <v>2.62032151165119</v>
      </c>
    </row>
    <row r="2610" spans="29:41">
      <c r="AC2610" s="78" t="s">
        <v>53</v>
      </c>
      <c r="AD2610" s="78" t="s">
        <v>20</v>
      </c>
      <c r="AE2610" s="78" t="s">
        <v>72</v>
      </c>
      <c r="AF2610" s="78" t="s">
        <v>51</v>
      </c>
      <c r="AG2610" s="78" t="s">
        <v>204</v>
      </c>
      <c r="AH2610" s="78">
        <v>4.2275</v>
      </c>
      <c r="AJ2610" s="78" t="s">
        <v>74</v>
      </c>
      <c r="AK2610" s="78" t="s">
        <v>87</v>
      </c>
      <c r="AL2610" s="78" t="s">
        <v>25</v>
      </c>
      <c r="AM2610" s="78" t="s">
        <v>51</v>
      </c>
      <c r="AN2610" s="78" t="s">
        <v>156</v>
      </c>
      <c r="AO2610" s="78">
        <v>2.6476582784281</v>
      </c>
    </row>
    <row r="2611" spans="29:41">
      <c r="AC2611" s="78" t="s">
        <v>53</v>
      </c>
      <c r="AD2611" s="78" t="s">
        <v>20</v>
      </c>
      <c r="AE2611" s="78" t="s">
        <v>72</v>
      </c>
      <c r="AF2611" s="78" t="s">
        <v>51</v>
      </c>
      <c r="AG2611" s="78" t="s">
        <v>205</v>
      </c>
      <c r="AH2611" s="78">
        <v>4.2588749999999997</v>
      </c>
      <c r="AJ2611" s="78" t="s">
        <v>74</v>
      </c>
      <c r="AK2611" s="78" t="s">
        <v>87</v>
      </c>
      <c r="AL2611" s="78" t="s">
        <v>25</v>
      </c>
      <c r="AM2611" s="78" t="s">
        <v>51</v>
      </c>
      <c r="AN2611" s="78" t="s">
        <v>157</v>
      </c>
      <c r="AO2611" s="78">
        <v>2.6673945625319102</v>
      </c>
    </row>
    <row r="2612" spans="29:41">
      <c r="AC2612" s="78" t="s">
        <v>53</v>
      </c>
      <c r="AD2612" s="78" t="s">
        <v>20</v>
      </c>
      <c r="AE2612" s="78" t="s">
        <v>72</v>
      </c>
      <c r="AF2612" s="78" t="s">
        <v>51</v>
      </c>
      <c r="AG2612" s="78" t="s">
        <v>206</v>
      </c>
      <c r="AH2612" s="78">
        <v>4.2270000000000003</v>
      </c>
      <c r="AJ2612" s="78" t="s">
        <v>74</v>
      </c>
      <c r="AK2612" s="78" t="s">
        <v>87</v>
      </c>
      <c r="AL2612" s="78" t="s">
        <v>25</v>
      </c>
      <c r="AM2612" s="78" t="s">
        <v>51</v>
      </c>
      <c r="AN2612" s="78" t="s">
        <v>158</v>
      </c>
      <c r="AO2612" s="78">
        <v>2.64134045041691</v>
      </c>
    </row>
    <row r="2613" spans="29:41">
      <c r="AC2613" s="78" t="s">
        <v>53</v>
      </c>
      <c r="AD2613" s="78" t="s">
        <v>20</v>
      </c>
      <c r="AE2613" s="78" t="s">
        <v>72</v>
      </c>
      <c r="AF2613" s="78" t="s">
        <v>51</v>
      </c>
      <c r="AG2613" s="78" t="s">
        <v>207</v>
      </c>
      <c r="AH2613" s="78">
        <v>4.2906250000000004</v>
      </c>
      <c r="AJ2613" s="78" t="s">
        <v>74</v>
      </c>
      <c r="AK2613" s="78" t="s">
        <v>87</v>
      </c>
      <c r="AL2613" s="78" t="s">
        <v>25</v>
      </c>
      <c r="AM2613" s="78" t="s">
        <v>51</v>
      </c>
      <c r="AN2613" s="78" t="s">
        <v>159</v>
      </c>
      <c r="AO2613" s="78">
        <v>2.5968587672613901</v>
      </c>
    </row>
    <row r="2614" spans="29:41">
      <c r="AC2614" s="78" t="s">
        <v>53</v>
      </c>
      <c r="AD2614" s="78" t="s">
        <v>20</v>
      </c>
      <c r="AE2614" s="78" t="s">
        <v>72</v>
      </c>
      <c r="AF2614" s="78" t="s">
        <v>51</v>
      </c>
      <c r="AG2614" s="78" t="s">
        <v>208</v>
      </c>
      <c r="AH2614" s="78">
        <v>4.3228750000000007</v>
      </c>
      <c r="AJ2614" s="78" t="s">
        <v>74</v>
      </c>
      <c r="AK2614" s="78" t="s">
        <v>87</v>
      </c>
      <c r="AL2614" s="78" t="s">
        <v>25</v>
      </c>
      <c r="AM2614" s="78" t="s">
        <v>51</v>
      </c>
      <c r="AN2614" s="78" t="s">
        <v>160</v>
      </c>
      <c r="AO2614" s="78">
        <v>2.58469358456979</v>
      </c>
    </row>
    <row r="2615" spans="29:41">
      <c r="AC2615" s="78" t="s">
        <v>53</v>
      </c>
      <c r="AD2615" s="78" t="s">
        <v>20</v>
      </c>
      <c r="AE2615" s="78" t="s">
        <v>72</v>
      </c>
      <c r="AF2615" s="78" t="s">
        <v>51</v>
      </c>
      <c r="AG2615" s="78" t="s">
        <v>209</v>
      </c>
      <c r="AH2615" s="78">
        <v>4.2910000000000004</v>
      </c>
      <c r="AJ2615" s="78" t="s">
        <v>74</v>
      </c>
      <c r="AK2615" s="78" t="s">
        <v>87</v>
      </c>
      <c r="AL2615" s="78" t="s">
        <v>25</v>
      </c>
      <c r="AM2615" s="78" t="s">
        <v>51</v>
      </c>
      <c r="AN2615" s="78" t="s">
        <v>161</v>
      </c>
      <c r="AO2615" s="78">
        <v>2.5759029417987498</v>
      </c>
    </row>
    <row r="2616" spans="29:41">
      <c r="AC2616" s="78" t="s">
        <v>53</v>
      </c>
      <c r="AD2616" s="78" t="s">
        <v>20</v>
      </c>
      <c r="AE2616" s="78" t="s">
        <v>72</v>
      </c>
      <c r="AF2616" s="78" t="s">
        <v>51</v>
      </c>
      <c r="AG2616" s="78" t="s">
        <v>210</v>
      </c>
      <c r="AH2616" s="78">
        <v>4.2910000000000004</v>
      </c>
      <c r="AJ2616" s="78" t="s">
        <v>74</v>
      </c>
      <c r="AK2616" s="78" t="s">
        <v>87</v>
      </c>
      <c r="AL2616" s="78" t="s">
        <v>25</v>
      </c>
      <c r="AM2616" s="78" t="s">
        <v>51</v>
      </c>
      <c r="AN2616" s="78" t="s">
        <v>162</v>
      </c>
      <c r="AO2616" s="78">
        <v>2.56712042045777</v>
      </c>
    </row>
    <row r="2617" spans="29:41">
      <c r="AC2617" s="78" t="s">
        <v>53</v>
      </c>
      <c r="AD2617" s="78" t="s">
        <v>20</v>
      </c>
      <c r="AE2617" s="78" t="s">
        <v>72</v>
      </c>
      <c r="AF2617" s="78" t="s">
        <v>51</v>
      </c>
      <c r="AG2617" s="78" t="s">
        <v>211</v>
      </c>
      <c r="AH2617" s="78">
        <v>4.3546250000000004</v>
      </c>
      <c r="AJ2617" s="78" t="s">
        <v>74</v>
      </c>
      <c r="AK2617" s="78" t="s">
        <v>87</v>
      </c>
      <c r="AL2617" s="78" t="s">
        <v>25</v>
      </c>
      <c r="AM2617" s="78" t="s">
        <v>51</v>
      </c>
      <c r="AN2617" s="78" t="s">
        <v>163</v>
      </c>
      <c r="AO2617" s="78">
        <v>2.59858921707026</v>
      </c>
    </row>
    <row r="2618" spans="29:41">
      <c r="AC2618" s="78" t="s">
        <v>53</v>
      </c>
      <c r="AD2618" s="78" t="s">
        <v>20</v>
      </c>
      <c r="AE2618" s="78" t="s">
        <v>72</v>
      </c>
      <c r="AF2618" s="78" t="s">
        <v>51</v>
      </c>
      <c r="AG2618" s="78" t="s">
        <v>212</v>
      </c>
      <c r="AH2618" s="78">
        <v>4.2910000000000004</v>
      </c>
      <c r="AJ2618" s="78" t="s">
        <v>74</v>
      </c>
      <c r="AK2618" s="78" t="s">
        <v>87</v>
      </c>
      <c r="AL2618" s="78" t="s">
        <v>25</v>
      </c>
      <c r="AM2618" s="78" t="s">
        <v>51</v>
      </c>
      <c r="AN2618" s="78" t="s">
        <v>164</v>
      </c>
      <c r="AO2618" s="78">
        <v>2.62252108008507</v>
      </c>
    </row>
    <row r="2619" spans="29:41">
      <c r="AC2619" s="78" t="s">
        <v>53</v>
      </c>
      <c r="AD2619" s="78" t="s">
        <v>20</v>
      </c>
      <c r="AE2619" s="78" t="s">
        <v>72</v>
      </c>
      <c r="AF2619" s="78" t="s">
        <v>51</v>
      </c>
      <c r="AG2619" s="78" t="s">
        <v>97</v>
      </c>
      <c r="AH2619" s="78">
        <v>4.2592500000000006</v>
      </c>
      <c r="AJ2619" s="78" t="s">
        <v>74</v>
      </c>
      <c r="AK2619" s="78" t="s">
        <v>87</v>
      </c>
      <c r="AL2619" s="78" t="s">
        <v>25</v>
      </c>
      <c r="AM2619" s="78" t="s">
        <v>51</v>
      </c>
      <c r="AN2619" s="78" t="s">
        <v>165</v>
      </c>
      <c r="AO2619" s="78">
        <v>2.6753264137467299</v>
      </c>
    </row>
    <row r="2620" spans="29:41">
      <c r="AC2620" s="78" t="s">
        <v>53</v>
      </c>
      <c r="AD2620" s="78" t="s">
        <v>20</v>
      </c>
      <c r="AE2620" s="78" t="s">
        <v>72</v>
      </c>
      <c r="AF2620" s="78" t="s">
        <v>51</v>
      </c>
      <c r="AG2620" s="78" t="s">
        <v>95</v>
      </c>
      <c r="AH2620" s="78">
        <v>4.3228750000000007</v>
      </c>
      <c r="AJ2620" s="78" t="s">
        <v>74</v>
      </c>
      <c r="AK2620" s="78" t="s">
        <v>87</v>
      </c>
      <c r="AL2620" s="78" t="s">
        <v>25</v>
      </c>
      <c r="AM2620" s="78" t="s">
        <v>51</v>
      </c>
      <c r="AN2620" s="78" t="s">
        <v>166</v>
      </c>
      <c r="AO2620" s="78">
        <v>2.6562875815293401</v>
      </c>
    </row>
    <row r="2621" spans="29:41">
      <c r="AC2621" s="78" t="s">
        <v>53</v>
      </c>
      <c r="AD2621" s="78" t="s">
        <v>20</v>
      </c>
      <c r="AE2621" s="78" t="s">
        <v>72</v>
      </c>
      <c r="AF2621" s="78" t="s">
        <v>51</v>
      </c>
      <c r="AG2621" s="78" t="s">
        <v>96</v>
      </c>
      <c r="AH2621" s="78">
        <v>4.2910000000000004</v>
      </c>
      <c r="AJ2621" s="78" t="s">
        <v>74</v>
      </c>
      <c r="AK2621" s="78" t="s">
        <v>87</v>
      </c>
      <c r="AL2621" s="78" t="s">
        <v>25</v>
      </c>
      <c r="AM2621" s="78" t="s">
        <v>51</v>
      </c>
      <c r="AN2621" s="78" t="s">
        <v>167</v>
      </c>
      <c r="AO2621" s="78">
        <v>2.62955921776924</v>
      </c>
    </row>
    <row r="2622" spans="29:41">
      <c r="AC2622" s="78" t="s">
        <v>53</v>
      </c>
      <c r="AD2622" s="78" t="s">
        <v>20</v>
      </c>
      <c r="AE2622" s="78" t="s">
        <v>72</v>
      </c>
      <c r="AF2622" s="78" t="s">
        <v>51</v>
      </c>
      <c r="AG2622" s="78" t="s">
        <v>100</v>
      </c>
      <c r="AH2622" s="78">
        <v>4.2592500000000006</v>
      </c>
      <c r="AJ2622" s="78" t="s">
        <v>74</v>
      </c>
      <c r="AK2622" s="78" t="s">
        <v>87</v>
      </c>
      <c r="AL2622" s="78" t="s">
        <v>25</v>
      </c>
      <c r="AM2622" s="78" t="s">
        <v>51</v>
      </c>
      <c r="AN2622" s="78" t="s">
        <v>168</v>
      </c>
      <c r="AO2622" s="78">
        <v>2.6437338504186898</v>
      </c>
    </row>
    <row r="2623" spans="29:41">
      <c r="AC2623" s="78" t="s">
        <v>53</v>
      </c>
      <c r="AD2623" s="78" t="s">
        <v>20</v>
      </c>
      <c r="AE2623" s="78" t="s">
        <v>72</v>
      </c>
      <c r="AF2623" s="78" t="s">
        <v>51</v>
      </c>
      <c r="AG2623" s="78" t="s">
        <v>101</v>
      </c>
      <c r="AH2623" s="78">
        <v>4.2906250000000004</v>
      </c>
      <c r="AJ2623" s="78" t="s">
        <v>74</v>
      </c>
      <c r="AK2623" s="78" t="s">
        <v>87</v>
      </c>
      <c r="AL2623" s="78" t="s">
        <v>25</v>
      </c>
      <c r="AM2623" s="78" t="s">
        <v>51</v>
      </c>
      <c r="AN2623" s="78" t="s">
        <v>169</v>
      </c>
      <c r="AO2623" s="78">
        <v>2.6991414546305501</v>
      </c>
    </row>
    <row r="2624" spans="29:41">
      <c r="AC2624" s="78" t="s">
        <v>53</v>
      </c>
      <c r="AD2624" s="78" t="s">
        <v>20</v>
      </c>
      <c r="AE2624" s="78" t="s">
        <v>72</v>
      </c>
      <c r="AF2624" s="78" t="s">
        <v>51</v>
      </c>
      <c r="AG2624" s="78" t="s">
        <v>102</v>
      </c>
      <c r="AH2624" s="78">
        <v>4.2910000000000004</v>
      </c>
      <c r="AJ2624" s="78" t="s">
        <v>74</v>
      </c>
      <c r="AK2624" s="78" t="s">
        <v>87</v>
      </c>
      <c r="AL2624" s="78" t="s">
        <v>25</v>
      </c>
      <c r="AM2624" s="78" t="s">
        <v>51</v>
      </c>
      <c r="AN2624" s="78" t="s">
        <v>170</v>
      </c>
      <c r="AO2624" s="78">
        <v>2.7467458715573199</v>
      </c>
    </row>
    <row r="2625" spans="29:41">
      <c r="AC2625" s="78" t="s">
        <v>53</v>
      </c>
      <c r="AD2625" s="78" t="s">
        <v>20</v>
      </c>
      <c r="AE2625" s="78" t="s">
        <v>72</v>
      </c>
      <c r="AF2625" s="78" t="s">
        <v>51</v>
      </c>
      <c r="AG2625" s="78" t="s">
        <v>103</v>
      </c>
      <c r="AH2625" s="78">
        <v>4.2592500000000006</v>
      </c>
      <c r="AJ2625" s="78" t="s">
        <v>74</v>
      </c>
      <c r="AK2625" s="78" t="s">
        <v>87</v>
      </c>
      <c r="AL2625" s="78" t="s">
        <v>25</v>
      </c>
      <c r="AM2625" s="78" t="s">
        <v>51</v>
      </c>
      <c r="AN2625" s="78" t="s">
        <v>171</v>
      </c>
      <c r="AO2625" s="78">
        <v>2.7480147229669498</v>
      </c>
    </row>
    <row r="2626" spans="29:41">
      <c r="AC2626" s="78" t="s">
        <v>53</v>
      </c>
      <c r="AD2626" s="78" t="s">
        <v>20</v>
      </c>
      <c r="AE2626" s="78" t="s">
        <v>72</v>
      </c>
      <c r="AF2626" s="78" t="s">
        <v>51</v>
      </c>
      <c r="AG2626" s="78" t="s">
        <v>104</v>
      </c>
      <c r="AH2626" s="78">
        <v>4.3228750000000007</v>
      </c>
      <c r="AJ2626" s="78" t="s">
        <v>74</v>
      </c>
      <c r="AK2626" s="78" t="s">
        <v>87</v>
      </c>
      <c r="AL2626" s="78" t="s">
        <v>25</v>
      </c>
      <c r="AM2626" s="78" t="s">
        <v>51</v>
      </c>
      <c r="AN2626" s="78" t="s">
        <v>172</v>
      </c>
      <c r="AO2626" s="78">
        <v>2.8064099070641602</v>
      </c>
    </row>
    <row r="2627" spans="29:41">
      <c r="AC2627" s="78" t="s">
        <v>53</v>
      </c>
      <c r="AD2627" s="78" t="s">
        <v>20</v>
      </c>
      <c r="AE2627" s="78" t="s">
        <v>72</v>
      </c>
      <c r="AF2627" s="78" t="s">
        <v>51</v>
      </c>
      <c r="AG2627" s="78" t="s">
        <v>105</v>
      </c>
      <c r="AH2627" s="78">
        <v>4.3864999999999998</v>
      </c>
      <c r="AJ2627" s="78" t="s">
        <v>74</v>
      </c>
      <c r="AK2627" s="78" t="s">
        <v>87</v>
      </c>
      <c r="AL2627" s="78" t="s">
        <v>25</v>
      </c>
      <c r="AM2627" s="78" t="s">
        <v>51</v>
      </c>
      <c r="AN2627" s="78" t="s">
        <v>173</v>
      </c>
      <c r="AO2627" s="78">
        <v>2.8416760056146502</v>
      </c>
    </row>
    <row r="2628" spans="29:41">
      <c r="AC2628" s="78" t="s">
        <v>53</v>
      </c>
      <c r="AD2628" s="78" t="s">
        <v>20</v>
      </c>
      <c r="AE2628" s="78" t="s">
        <v>72</v>
      </c>
      <c r="AF2628" s="78" t="s">
        <v>51</v>
      </c>
      <c r="AG2628" s="78" t="s">
        <v>106</v>
      </c>
      <c r="AH2628" s="78">
        <v>4.2910000000000004</v>
      </c>
      <c r="AJ2628" s="78" t="s">
        <v>74</v>
      </c>
      <c r="AK2628" s="78" t="s">
        <v>87</v>
      </c>
      <c r="AL2628" s="78" t="s">
        <v>25</v>
      </c>
      <c r="AM2628" s="78" t="s">
        <v>51</v>
      </c>
      <c r="AN2628" s="78" t="s">
        <v>174</v>
      </c>
      <c r="AO2628" s="78">
        <v>2.8756484754346898</v>
      </c>
    </row>
    <row r="2629" spans="29:41">
      <c r="AC2629" s="78" t="s">
        <v>53</v>
      </c>
      <c r="AD2629" s="78" t="s">
        <v>20</v>
      </c>
      <c r="AE2629" s="78" t="s">
        <v>72</v>
      </c>
      <c r="AF2629" s="78" t="s">
        <v>51</v>
      </c>
      <c r="AG2629" s="78" t="s">
        <v>107</v>
      </c>
      <c r="AH2629" s="78">
        <v>4.2592500000000006</v>
      </c>
      <c r="AJ2629" s="78" t="s">
        <v>74</v>
      </c>
      <c r="AK2629" s="78" t="s">
        <v>87</v>
      </c>
      <c r="AL2629" s="78" t="s">
        <v>25</v>
      </c>
      <c r="AM2629" s="78" t="s">
        <v>51</v>
      </c>
      <c r="AN2629" s="78" t="s">
        <v>175</v>
      </c>
      <c r="AO2629" s="78">
        <v>2.91930519695658</v>
      </c>
    </row>
    <row r="2630" spans="29:41">
      <c r="AC2630" s="78" t="s">
        <v>53</v>
      </c>
      <c r="AD2630" s="78" t="s">
        <v>20</v>
      </c>
      <c r="AE2630" s="78" t="s">
        <v>72</v>
      </c>
      <c r="AF2630" s="78" t="s">
        <v>51</v>
      </c>
      <c r="AG2630" s="78" t="s">
        <v>99</v>
      </c>
      <c r="AH2630" s="78">
        <v>4.2592500000000006</v>
      </c>
      <c r="AJ2630" s="78" t="s">
        <v>74</v>
      </c>
      <c r="AK2630" s="78" t="s">
        <v>87</v>
      </c>
      <c r="AL2630" s="78" t="s">
        <v>25</v>
      </c>
      <c r="AM2630" s="78" t="s">
        <v>51</v>
      </c>
      <c r="AN2630" s="78" t="s">
        <v>176</v>
      </c>
      <c r="AO2630" s="78">
        <v>2.86177796804412</v>
      </c>
    </row>
    <row r="2631" spans="29:41">
      <c r="AC2631" s="78" t="s">
        <v>53</v>
      </c>
      <c r="AD2631" s="78" t="s">
        <v>20</v>
      </c>
      <c r="AE2631" s="78" t="s">
        <v>72</v>
      </c>
      <c r="AF2631" s="78" t="s">
        <v>51</v>
      </c>
      <c r="AG2631" s="78" t="s">
        <v>108</v>
      </c>
      <c r="AH2631" s="78">
        <v>4.2592500000000006</v>
      </c>
      <c r="AJ2631" s="78" t="s">
        <v>74</v>
      </c>
      <c r="AK2631" s="78" t="s">
        <v>87</v>
      </c>
      <c r="AL2631" s="78" t="s">
        <v>25</v>
      </c>
      <c r="AM2631" s="78" t="s">
        <v>51</v>
      </c>
      <c r="AN2631" s="78" t="s">
        <v>177</v>
      </c>
      <c r="AO2631" s="78">
        <v>2.8101076932532698</v>
      </c>
    </row>
    <row r="2632" spans="29:41">
      <c r="AC2632" s="78" t="s">
        <v>53</v>
      </c>
      <c r="AD2632" s="78" t="s">
        <v>20</v>
      </c>
      <c r="AE2632" s="78" t="s">
        <v>72</v>
      </c>
      <c r="AF2632" s="78" t="s">
        <v>51</v>
      </c>
      <c r="AG2632" s="78" t="s">
        <v>109</v>
      </c>
      <c r="AH2632" s="78">
        <v>4.2910000000000004</v>
      </c>
      <c r="AJ2632" s="78" t="s">
        <v>74</v>
      </c>
      <c r="AK2632" s="78" t="s">
        <v>87</v>
      </c>
      <c r="AL2632" s="78" t="s">
        <v>25</v>
      </c>
      <c r="AM2632" s="78" t="s">
        <v>51</v>
      </c>
      <c r="AN2632" s="78" t="s">
        <v>178</v>
      </c>
      <c r="AO2632" s="78">
        <v>2.9199815904284798</v>
      </c>
    </row>
    <row r="2633" spans="29:41">
      <c r="AC2633" s="78" t="s">
        <v>53</v>
      </c>
      <c r="AD2633" s="78" t="s">
        <v>20</v>
      </c>
      <c r="AE2633" s="78" t="s">
        <v>72</v>
      </c>
      <c r="AF2633" s="78" t="s">
        <v>51</v>
      </c>
      <c r="AG2633" s="78" t="s">
        <v>110</v>
      </c>
      <c r="AH2633" s="78">
        <v>4.2906250000000004</v>
      </c>
      <c r="AJ2633" s="78" t="s">
        <v>74</v>
      </c>
      <c r="AK2633" s="78" t="s">
        <v>87</v>
      </c>
      <c r="AL2633" s="78" t="s">
        <v>25</v>
      </c>
      <c r="AM2633" s="78" t="s">
        <v>51</v>
      </c>
      <c r="AN2633" s="78" t="s">
        <v>179</v>
      </c>
      <c r="AO2633" s="78">
        <v>2.9362897451124002</v>
      </c>
    </row>
    <row r="2634" spans="29:41">
      <c r="AC2634" s="78" t="s">
        <v>53</v>
      </c>
      <c r="AD2634" s="78" t="s">
        <v>20</v>
      </c>
      <c r="AE2634" s="78" t="s">
        <v>72</v>
      </c>
      <c r="AF2634" s="78" t="s">
        <v>51</v>
      </c>
      <c r="AG2634" s="78" t="s">
        <v>98</v>
      </c>
      <c r="AH2634" s="78">
        <v>4.2906250000000004</v>
      </c>
      <c r="AJ2634" s="78" t="s">
        <v>74</v>
      </c>
      <c r="AK2634" s="78" t="s">
        <v>87</v>
      </c>
      <c r="AL2634" s="78" t="s">
        <v>25</v>
      </c>
      <c r="AM2634" s="78" t="s">
        <v>51</v>
      </c>
      <c r="AN2634" s="78" t="s">
        <v>180</v>
      </c>
      <c r="AO2634" s="78">
        <v>2.9586092652733198</v>
      </c>
    </row>
    <row r="2635" spans="29:41">
      <c r="AC2635" s="78" t="s">
        <v>53</v>
      </c>
      <c r="AD2635" s="78" t="s">
        <v>20</v>
      </c>
      <c r="AE2635" s="78" t="s">
        <v>72</v>
      </c>
      <c r="AF2635" s="78" t="s">
        <v>51</v>
      </c>
      <c r="AG2635" s="78" t="s">
        <v>125</v>
      </c>
      <c r="AH2635" s="78">
        <v>4.2592500000000006</v>
      </c>
      <c r="AJ2635" s="78" t="s">
        <v>74</v>
      </c>
      <c r="AK2635" s="78" t="s">
        <v>87</v>
      </c>
      <c r="AL2635" s="78" t="s">
        <v>25</v>
      </c>
      <c r="AM2635" s="78" t="s">
        <v>51</v>
      </c>
      <c r="AN2635" s="78" t="s">
        <v>181</v>
      </c>
      <c r="AO2635" s="78">
        <v>2.9068905487933598</v>
      </c>
    </row>
    <row r="2636" spans="29:41">
      <c r="AC2636" s="78" t="s">
        <v>53</v>
      </c>
      <c r="AD2636" s="78" t="s">
        <v>20</v>
      </c>
      <c r="AE2636" s="78" t="s">
        <v>72</v>
      </c>
      <c r="AF2636" s="78" t="s">
        <v>51</v>
      </c>
      <c r="AG2636" s="78" t="s">
        <v>123</v>
      </c>
      <c r="AH2636" s="78">
        <v>4.2588749999999997</v>
      </c>
      <c r="AJ2636" s="78" t="s">
        <v>74</v>
      </c>
      <c r="AK2636" s="78" t="s">
        <v>87</v>
      </c>
      <c r="AL2636" s="78" t="s">
        <v>25</v>
      </c>
      <c r="AM2636" s="78" t="s">
        <v>51</v>
      </c>
      <c r="AN2636" s="78" t="s">
        <v>182</v>
      </c>
      <c r="AO2636" s="78">
        <v>2.82631669904023</v>
      </c>
    </row>
    <row r="2637" spans="29:41">
      <c r="AC2637" s="78" t="s">
        <v>53</v>
      </c>
      <c r="AD2637" s="78" t="s">
        <v>20</v>
      </c>
      <c r="AE2637" s="78" t="s">
        <v>72</v>
      </c>
      <c r="AF2637" s="78" t="s">
        <v>51</v>
      </c>
      <c r="AG2637" s="78" t="s">
        <v>126</v>
      </c>
      <c r="AH2637" s="78">
        <v>4.2588749999999997</v>
      </c>
      <c r="AJ2637" s="78" t="s">
        <v>74</v>
      </c>
      <c r="AK2637" s="78" t="s">
        <v>87</v>
      </c>
      <c r="AL2637" s="78" t="s">
        <v>25</v>
      </c>
      <c r="AM2637" s="78" t="s">
        <v>51</v>
      </c>
      <c r="AN2637" s="78" t="s">
        <v>183</v>
      </c>
      <c r="AO2637" s="78">
        <v>2.8896799307946499</v>
      </c>
    </row>
    <row r="2638" spans="29:41">
      <c r="AC2638" s="78" t="s">
        <v>53</v>
      </c>
      <c r="AD2638" s="78" t="s">
        <v>20</v>
      </c>
      <c r="AE2638" s="78" t="s">
        <v>72</v>
      </c>
      <c r="AF2638" s="78" t="s">
        <v>51</v>
      </c>
      <c r="AG2638" s="78" t="s">
        <v>127</v>
      </c>
      <c r="AH2638" s="78">
        <v>4.2906250000000004</v>
      </c>
      <c r="AJ2638" s="78" t="s">
        <v>74</v>
      </c>
      <c r="AK2638" s="78" t="s">
        <v>87</v>
      </c>
      <c r="AL2638" s="78" t="s">
        <v>25</v>
      </c>
      <c r="AM2638" s="78" t="s">
        <v>51</v>
      </c>
      <c r="AN2638" s="78" t="s">
        <v>184</v>
      </c>
      <c r="AO2638" s="78">
        <v>2.9214483553786899</v>
      </c>
    </row>
    <row r="2639" spans="29:41">
      <c r="AC2639" s="78" t="s">
        <v>53</v>
      </c>
      <c r="AD2639" s="78" t="s">
        <v>20</v>
      </c>
      <c r="AE2639" s="78" t="s">
        <v>72</v>
      </c>
      <c r="AF2639" s="78" t="s">
        <v>51</v>
      </c>
      <c r="AG2639" s="78" t="s">
        <v>128</v>
      </c>
      <c r="AH2639" s="78">
        <v>4.2906250000000004</v>
      </c>
      <c r="AJ2639" s="78" t="s">
        <v>74</v>
      </c>
      <c r="AK2639" s="78" t="s">
        <v>87</v>
      </c>
      <c r="AL2639" s="78" t="s">
        <v>25</v>
      </c>
      <c r="AM2639" s="78" t="s">
        <v>51</v>
      </c>
      <c r="AN2639" s="78" t="s">
        <v>185</v>
      </c>
      <c r="AO2639" s="78">
        <v>2.9102623265110599</v>
      </c>
    </row>
    <row r="2640" spans="29:41">
      <c r="AC2640" s="78" t="s">
        <v>53</v>
      </c>
      <c r="AD2640" s="78" t="s">
        <v>20</v>
      </c>
      <c r="AE2640" s="78" t="s">
        <v>72</v>
      </c>
      <c r="AF2640" s="78" t="s">
        <v>51</v>
      </c>
      <c r="AG2640" s="78" t="s">
        <v>122</v>
      </c>
      <c r="AH2640" s="78">
        <v>4.2906250000000004</v>
      </c>
      <c r="AJ2640" s="78" t="s">
        <v>74</v>
      </c>
      <c r="AK2640" s="78" t="s">
        <v>87</v>
      </c>
      <c r="AL2640" s="78" t="s">
        <v>25</v>
      </c>
      <c r="AM2640" s="78" t="s">
        <v>51</v>
      </c>
      <c r="AN2640" s="78" t="s">
        <v>186</v>
      </c>
      <c r="AO2640" s="78">
        <v>2.8599760435846102</v>
      </c>
    </row>
    <row r="2641" spans="29:41">
      <c r="AC2641" s="78" t="s">
        <v>53</v>
      </c>
      <c r="AD2641" s="78" t="s">
        <v>20</v>
      </c>
      <c r="AE2641" s="78" t="s">
        <v>72</v>
      </c>
      <c r="AF2641" s="78" t="s">
        <v>51</v>
      </c>
      <c r="AG2641" s="78" t="s">
        <v>124</v>
      </c>
      <c r="AH2641" s="78">
        <v>4.1630000000000003</v>
      </c>
      <c r="AJ2641" s="78" t="s">
        <v>74</v>
      </c>
      <c r="AK2641" s="78" t="s">
        <v>87</v>
      </c>
      <c r="AL2641" s="78" t="s">
        <v>25</v>
      </c>
      <c r="AM2641" s="78" t="s">
        <v>51</v>
      </c>
      <c r="AN2641" s="78" t="s">
        <v>187</v>
      </c>
      <c r="AO2641" s="78">
        <v>2.8915210158303699</v>
      </c>
    </row>
    <row r="2642" spans="29:41">
      <c r="AC2642" s="78" t="s">
        <v>53</v>
      </c>
      <c r="AD2642" s="78" t="s">
        <v>20</v>
      </c>
      <c r="AE2642" s="78" t="s">
        <v>72</v>
      </c>
      <c r="AF2642" s="78" t="s">
        <v>51</v>
      </c>
      <c r="AG2642" s="78" t="s">
        <v>214</v>
      </c>
      <c r="AH2642" s="78">
        <v>4.1312500000000005</v>
      </c>
      <c r="AJ2642" s="78" t="s">
        <v>74</v>
      </c>
      <c r="AK2642" s="78" t="s">
        <v>87</v>
      </c>
      <c r="AL2642" s="78" t="s">
        <v>25</v>
      </c>
      <c r="AM2642" s="78" t="s">
        <v>51</v>
      </c>
      <c r="AN2642" s="78" t="s">
        <v>188</v>
      </c>
      <c r="AO2642" s="78">
        <v>2.8500704386135798</v>
      </c>
    </row>
    <row r="2643" spans="29:41">
      <c r="AC2643" s="78" t="s">
        <v>53</v>
      </c>
      <c r="AD2643" s="78" t="s">
        <v>20</v>
      </c>
      <c r="AE2643" s="78" t="s">
        <v>72</v>
      </c>
      <c r="AF2643" s="78" t="s">
        <v>51</v>
      </c>
      <c r="AG2643" s="78" t="s">
        <v>218</v>
      </c>
      <c r="AH2643" s="78">
        <v>4.2588749999999997</v>
      </c>
      <c r="AJ2643" s="78" t="s">
        <v>74</v>
      </c>
      <c r="AK2643" s="78" t="s">
        <v>87</v>
      </c>
      <c r="AL2643" s="78" t="s">
        <v>25</v>
      </c>
      <c r="AM2643" s="78" t="s">
        <v>51</v>
      </c>
      <c r="AN2643" s="78" t="s">
        <v>189</v>
      </c>
      <c r="AO2643" s="78">
        <v>2.8460665334928898</v>
      </c>
    </row>
    <row r="2644" spans="29:41">
      <c r="AC2644" s="78" t="s">
        <v>53</v>
      </c>
      <c r="AD2644" s="78" t="s">
        <v>20</v>
      </c>
      <c r="AE2644" s="78" t="s">
        <v>72</v>
      </c>
      <c r="AF2644" s="78" t="s">
        <v>51</v>
      </c>
      <c r="AG2644" s="78" t="s">
        <v>219</v>
      </c>
      <c r="AH2644" s="78">
        <v>4.2906250000000004</v>
      </c>
      <c r="AJ2644" s="78" t="s">
        <v>74</v>
      </c>
      <c r="AK2644" s="78" t="s">
        <v>87</v>
      </c>
      <c r="AL2644" s="78" t="s">
        <v>25</v>
      </c>
      <c r="AM2644" s="78" t="s">
        <v>51</v>
      </c>
      <c r="AN2644" s="78" t="s">
        <v>190</v>
      </c>
      <c r="AO2644" s="78">
        <v>2.8413672152174398</v>
      </c>
    </row>
    <row r="2645" spans="29:41">
      <c r="AC2645" s="78" t="s">
        <v>53</v>
      </c>
      <c r="AD2645" s="78" t="s">
        <v>20</v>
      </c>
      <c r="AE2645" s="78" t="s">
        <v>72</v>
      </c>
      <c r="AF2645" s="78" t="s">
        <v>51</v>
      </c>
      <c r="AG2645" s="78" t="s">
        <v>220</v>
      </c>
      <c r="AH2645" s="78">
        <v>4.2588749999999997</v>
      </c>
      <c r="AJ2645" s="78" t="s">
        <v>74</v>
      </c>
      <c r="AK2645" s="78" t="s">
        <v>87</v>
      </c>
      <c r="AL2645" s="78" t="s">
        <v>25</v>
      </c>
      <c r="AM2645" s="78" t="s">
        <v>51</v>
      </c>
      <c r="AN2645" s="78" t="s">
        <v>191</v>
      </c>
      <c r="AO2645" s="78">
        <v>2.8125589424365498</v>
      </c>
    </row>
    <row r="2646" spans="29:41">
      <c r="AC2646" s="78" t="s">
        <v>53</v>
      </c>
      <c r="AD2646" s="78" t="s">
        <v>20</v>
      </c>
      <c r="AE2646" s="78" t="s">
        <v>72</v>
      </c>
      <c r="AF2646" s="78" t="s">
        <v>51</v>
      </c>
      <c r="AG2646" s="78" t="s">
        <v>221</v>
      </c>
      <c r="AH2646" s="78">
        <v>4.2270000000000003</v>
      </c>
      <c r="AJ2646" s="78" t="s">
        <v>74</v>
      </c>
      <c r="AK2646" s="78" t="s">
        <v>87</v>
      </c>
      <c r="AL2646" s="78" t="s">
        <v>25</v>
      </c>
      <c r="AM2646" s="78" t="s">
        <v>51</v>
      </c>
      <c r="AN2646" s="78" t="s">
        <v>192</v>
      </c>
      <c r="AO2646" s="78">
        <v>2.8873082715202201</v>
      </c>
    </row>
    <row r="2647" spans="29:41">
      <c r="AC2647" s="78" t="s">
        <v>53</v>
      </c>
      <c r="AD2647" s="78" t="s">
        <v>20</v>
      </c>
      <c r="AE2647" s="78" t="s">
        <v>72</v>
      </c>
      <c r="AF2647" s="78" t="s">
        <v>51</v>
      </c>
      <c r="AG2647" s="78" t="s">
        <v>222</v>
      </c>
      <c r="AH2647" s="78">
        <v>4.2588749999999997</v>
      </c>
      <c r="AJ2647" s="78" t="s">
        <v>74</v>
      </c>
      <c r="AK2647" s="78" t="s">
        <v>87</v>
      </c>
      <c r="AL2647" s="78" t="s">
        <v>25</v>
      </c>
      <c r="AM2647" s="78" t="s">
        <v>51</v>
      </c>
      <c r="AN2647" s="78" t="s">
        <v>193</v>
      </c>
      <c r="AO2647" s="78">
        <v>2.96123512742628</v>
      </c>
    </row>
    <row r="2648" spans="29:41">
      <c r="AC2648" s="78" t="s">
        <v>53</v>
      </c>
      <c r="AD2648" s="78" t="s">
        <v>20</v>
      </c>
      <c r="AE2648" s="78" t="s">
        <v>72</v>
      </c>
      <c r="AF2648" s="78" t="s">
        <v>51</v>
      </c>
      <c r="AG2648" s="78" t="s">
        <v>223</v>
      </c>
      <c r="AH2648" s="78">
        <v>4.1312500000000005</v>
      </c>
      <c r="AJ2648" s="78" t="s">
        <v>74</v>
      </c>
      <c r="AK2648" s="78" t="s">
        <v>87</v>
      </c>
      <c r="AL2648" s="78" t="s">
        <v>25</v>
      </c>
      <c r="AM2648" s="78" t="s">
        <v>51</v>
      </c>
      <c r="AN2648" s="78" t="s">
        <v>194</v>
      </c>
      <c r="AO2648" s="78">
        <v>3.0744144315737501</v>
      </c>
    </row>
    <row r="2649" spans="29:41">
      <c r="AC2649" s="78" t="s">
        <v>53</v>
      </c>
      <c r="AD2649" s="78" t="s">
        <v>20</v>
      </c>
      <c r="AE2649" s="78" t="s">
        <v>72</v>
      </c>
      <c r="AF2649" s="78" t="s">
        <v>51</v>
      </c>
      <c r="AG2649" s="78" t="s">
        <v>224</v>
      </c>
      <c r="AH2649" s="78">
        <v>4.0993750000000002</v>
      </c>
      <c r="AJ2649" s="78" t="s">
        <v>74</v>
      </c>
      <c r="AK2649" s="78" t="s">
        <v>87</v>
      </c>
      <c r="AL2649" s="78" t="s">
        <v>25</v>
      </c>
      <c r="AM2649" s="78" t="s">
        <v>51</v>
      </c>
      <c r="AN2649" s="78" t="s">
        <v>195</v>
      </c>
      <c r="AO2649" s="78">
        <v>3.0256748636149999</v>
      </c>
    </row>
    <row r="2650" spans="29:41">
      <c r="AC2650" s="78" t="s">
        <v>53</v>
      </c>
      <c r="AD2650" s="78" t="s">
        <v>20</v>
      </c>
      <c r="AE2650" s="78" t="s">
        <v>72</v>
      </c>
      <c r="AF2650" s="78" t="s">
        <v>51</v>
      </c>
      <c r="AG2650" s="78" t="s">
        <v>225</v>
      </c>
      <c r="AH2650" s="78">
        <v>4.0993750000000002</v>
      </c>
      <c r="AJ2650" s="78" t="s">
        <v>74</v>
      </c>
      <c r="AK2650" s="78" t="s">
        <v>87</v>
      </c>
      <c r="AL2650" s="78" t="s">
        <v>25</v>
      </c>
      <c r="AM2650" s="78" t="s">
        <v>51</v>
      </c>
      <c r="AN2650" s="78" t="s">
        <v>196</v>
      </c>
      <c r="AO2650" s="78">
        <v>3.1185389251118698</v>
      </c>
    </row>
    <row r="2651" spans="29:41">
      <c r="AC2651" s="78" t="s">
        <v>53</v>
      </c>
      <c r="AD2651" s="78" t="s">
        <v>20</v>
      </c>
      <c r="AE2651" s="78" t="s">
        <v>72</v>
      </c>
      <c r="AF2651" s="78" t="s">
        <v>51</v>
      </c>
      <c r="AG2651" s="78" t="s">
        <v>226</v>
      </c>
      <c r="AH2651" s="78">
        <v>4.1630000000000003</v>
      </c>
      <c r="AJ2651" s="78" t="s">
        <v>74</v>
      </c>
      <c r="AK2651" s="78" t="s">
        <v>87</v>
      </c>
      <c r="AL2651" s="78" t="s">
        <v>25</v>
      </c>
      <c r="AM2651" s="78" t="s">
        <v>51</v>
      </c>
      <c r="AN2651" s="78" t="s">
        <v>197</v>
      </c>
      <c r="AO2651" s="78">
        <v>3.0852280715370801</v>
      </c>
    </row>
    <row r="2652" spans="29:41">
      <c r="AC2652" s="78" t="s">
        <v>53</v>
      </c>
      <c r="AD2652" s="78" t="s">
        <v>20</v>
      </c>
      <c r="AE2652" s="78" t="s">
        <v>72</v>
      </c>
      <c r="AF2652" s="78" t="s">
        <v>51</v>
      </c>
      <c r="AG2652" s="78" t="s">
        <v>227</v>
      </c>
      <c r="AH2652" s="78">
        <v>4.2270000000000003</v>
      </c>
      <c r="AJ2652" s="78" t="s">
        <v>74</v>
      </c>
      <c r="AK2652" s="78" t="s">
        <v>87</v>
      </c>
      <c r="AL2652" s="78" t="s">
        <v>25</v>
      </c>
      <c r="AM2652" s="78" t="s">
        <v>51</v>
      </c>
      <c r="AN2652" s="78" t="s">
        <v>198</v>
      </c>
      <c r="AO2652" s="78">
        <v>3.1292995796246399</v>
      </c>
    </row>
    <row r="2653" spans="29:41">
      <c r="AC2653" s="78" t="s">
        <v>53</v>
      </c>
      <c r="AD2653" s="78" t="s">
        <v>20</v>
      </c>
      <c r="AE2653" s="78" t="s">
        <v>72</v>
      </c>
      <c r="AF2653" s="78" t="s">
        <v>51</v>
      </c>
      <c r="AG2653" s="78" t="s">
        <v>228</v>
      </c>
      <c r="AH2653" s="78">
        <v>4.2588749999999997</v>
      </c>
      <c r="AJ2653" s="78" t="s">
        <v>74</v>
      </c>
      <c r="AK2653" s="78" t="s">
        <v>87</v>
      </c>
      <c r="AL2653" s="78" t="s">
        <v>25</v>
      </c>
      <c r="AM2653" s="78" t="s">
        <v>51</v>
      </c>
      <c r="AN2653" s="78" t="s">
        <v>199</v>
      </c>
      <c r="AO2653" s="78">
        <v>3.1773446759928401</v>
      </c>
    </row>
    <row r="2654" spans="29:41">
      <c r="AC2654" s="78" t="s">
        <v>53</v>
      </c>
      <c r="AD2654" s="78" t="s">
        <v>20</v>
      </c>
      <c r="AE2654" s="78" t="s">
        <v>72</v>
      </c>
      <c r="AF2654" s="78" t="s">
        <v>51</v>
      </c>
      <c r="AG2654" s="78" t="s">
        <v>229</v>
      </c>
      <c r="AH2654" s="78">
        <v>4.1630000000000003</v>
      </c>
      <c r="AJ2654" s="78" t="s">
        <v>74</v>
      </c>
      <c r="AK2654" s="78" t="s">
        <v>87</v>
      </c>
      <c r="AL2654" s="78" t="s">
        <v>25</v>
      </c>
      <c r="AM2654" s="78" t="s">
        <v>51</v>
      </c>
      <c r="AN2654" s="78" t="s">
        <v>200</v>
      </c>
      <c r="AO2654" s="78">
        <v>3.0761153132050598</v>
      </c>
    </row>
    <row r="2655" spans="29:41">
      <c r="AC2655" s="78" t="s">
        <v>53</v>
      </c>
      <c r="AD2655" s="78" t="s">
        <v>20</v>
      </c>
      <c r="AE2655" s="78" t="s">
        <v>72</v>
      </c>
      <c r="AF2655" s="78" t="s">
        <v>51</v>
      </c>
      <c r="AG2655" s="78" t="s">
        <v>216</v>
      </c>
      <c r="AH2655" s="78">
        <v>4.1312500000000005</v>
      </c>
      <c r="AJ2655" s="78" t="s">
        <v>74</v>
      </c>
      <c r="AK2655" s="78" t="s">
        <v>87</v>
      </c>
      <c r="AL2655" s="78" t="s">
        <v>25</v>
      </c>
      <c r="AM2655" s="78" t="s">
        <v>51</v>
      </c>
      <c r="AN2655" s="78" t="s">
        <v>201</v>
      </c>
      <c r="AO2655" s="78">
        <v>3.0919401279735599</v>
      </c>
    </row>
    <row r="2656" spans="29:41">
      <c r="AC2656" s="78" t="s">
        <v>53</v>
      </c>
      <c r="AD2656" s="78" t="s">
        <v>20</v>
      </c>
      <c r="AE2656" s="78" t="s">
        <v>72</v>
      </c>
      <c r="AF2656" s="78" t="s">
        <v>51</v>
      </c>
      <c r="AG2656" s="78" t="s">
        <v>230</v>
      </c>
      <c r="AH2656" s="78">
        <v>4.0993750000000002</v>
      </c>
      <c r="AJ2656" s="78" t="s">
        <v>74</v>
      </c>
      <c r="AK2656" s="78" t="s">
        <v>87</v>
      </c>
      <c r="AL2656" s="78" t="s">
        <v>25</v>
      </c>
      <c r="AM2656" s="78" t="s">
        <v>51</v>
      </c>
      <c r="AN2656" s="78" t="s">
        <v>202</v>
      </c>
      <c r="AO2656" s="78">
        <v>3.0848485059502999</v>
      </c>
    </row>
    <row r="2657" spans="29:41">
      <c r="AC2657" s="78" t="s">
        <v>53</v>
      </c>
      <c r="AD2657" s="78" t="s">
        <v>20</v>
      </c>
      <c r="AE2657" s="78" t="s">
        <v>72</v>
      </c>
      <c r="AF2657" s="78" t="s">
        <v>51</v>
      </c>
      <c r="AG2657" s="78" t="s">
        <v>231</v>
      </c>
      <c r="AH2657" s="78">
        <v>4.0353750000000002</v>
      </c>
      <c r="AJ2657" s="78" t="s">
        <v>74</v>
      </c>
      <c r="AK2657" s="78" t="s">
        <v>87</v>
      </c>
      <c r="AL2657" s="78" t="s">
        <v>25</v>
      </c>
      <c r="AM2657" s="78" t="s">
        <v>51</v>
      </c>
      <c r="AN2657" s="78" t="s">
        <v>203</v>
      </c>
      <c r="AO2657" s="78">
        <v>3.0537402902567599</v>
      </c>
    </row>
    <row r="2658" spans="29:41">
      <c r="AC2658" s="78" t="s">
        <v>53</v>
      </c>
      <c r="AD2658" s="78" t="s">
        <v>20</v>
      </c>
      <c r="AE2658" s="78" t="s">
        <v>72</v>
      </c>
      <c r="AF2658" s="78" t="s">
        <v>51</v>
      </c>
      <c r="AG2658" s="78" t="s">
        <v>232</v>
      </c>
      <c r="AH2658" s="78">
        <v>4.1630000000000003</v>
      </c>
      <c r="AJ2658" s="78" t="s">
        <v>74</v>
      </c>
      <c r="AK2658" s="78" t="s">
        <v>87</v>
      </c>
      <c r="AL2658" s="78" t="s">
        <v>25</v>
      </c>
      <c r="AM2658" s="78" t="s">
        <v>51</v>
      </c>
      <c r="AN2658" s="78" t="s">
        <v>204</v>
      </c>
      <c r="AO2658" s="78">
        <v>3.03216152423493</v>
      </c>
    </row>
    <row r="2659" spans="29:41">
      <c r="AC2659" s="78" t="s">
        <v>53</v>
      </c>
      <c r="AD2659" s="78" t="s">
        <v>20</v>
      </c>
      <c r="AE2659" s="78" t="s">
        <v>72</v>
      </c>
      <c r="AF2659" s="78" t="s">
        <v>51</v>
      </c>
      <c r="AG2659" s="78" t="s">
        <v>215</v>
      </c>
      <c r="AH2659" s="78">
        <v>4.2270000000000003</v>
      </c>
      <c r="AJ2659" s="78" t="s">
        <v>74</v>
      </c>
      <c r="AK2659" s="78" t="s">
        <v>87</v>
      </c>
      <c r="AL2659" s="78" t="s">
        <v>25</v>
      </c>
      <c r="AM2659" s="78" t="s">
        <v>51</v>
      </c>
      <c r="AN2659" s="78" t="s">
        <v>205</v>
      </c>
      <c r="AO2659" s="78">
        <v>3.0468019127231698</v>
      </c>
    </row>
    <row r="2660" spans="29:41">
      <c r="AC2660" s="78" t="s">
        <v>53</v>
      </c>
      <c r="AD2660" s="78" t="s">
        <v>20</v>
      </c>
      <c r="AE2660" s="78" t="s">
        <v>72</v>
      </c>
      <c r="AF2660" s="78" t="s">
        <v>51</v>
      </c>
      <c r="AG2660" s="78" t="s">
        <v>217</v>
      </c>
      <c r="AH2660" s="78">
        <v>4.2270000000000003</v>
      </c>
      <c r="AJ2660" s="78" t="s">
        <v>74</v>
      </c>
      <c r="AK2660" s="78" t="s">
        <v>87</v>
      </c>
      <c r="AL2660" s="78" t="s">
        <v>25</v>
      </c>
      <c r="AM2660" s="78" t="s">
        <v>51</v>
      </c>
      <c r="AN2660" s="78" t="s">
        <v>206</v>
      </c>
      <c r="AO2660" s="78">
        <v>2.9822174038917302</v>
      </c>
    </row>
    <row r="2661" spans="29:41">
      <c r="AC2661" s="78" t="s">
        <v>53</v>
      </c>
      <c r="AD2661" s="78" t="s">
        <v>20</v>
      </c>
      <c r="AE2661" s="78" t="s">
        <v>72</v>
      </c>
      <c r="AF2661" s="78" t="s">
        <v>51</v>
      </c>
      <c r="AG2661" s="78" t="s">
        <v>237</v>
      </c>
      <c r="AH2661" s="78">
        <v>4.1312500000000005</v>
      </c>
      <c r="AJ2661" s="78" t="s">
        <v>74</v>
      </c>
      <c r="AK2661" s="78" t="s">
        <v>87</v>
      </c>
      <c r="AL2661" s="78" t="s">
        <v>25</v>
      </c>
      <c r="AM2661" s="78" t="s">
        <v>51</v>
      </c>
      <c r="AN2661" s="78" t="s">
        <v>207</v>
      </c>
      <c r="AO2661" s="78">
        <v>3.0761568887156101</v>
      </c>
    </row>
    <row r="2662" spans="29:41">
      <c r="AC2662" s="78" t="s">
        <v>53</v>
      </c>
      <c r="AD2662" s="78" t="s">
        <v>20</v>
      </c>
      <c r="AE2662" s="78" t="s">
        <v>72</v>
      </c>
      <c r="AF2662" s="78" t="s">
        <v>51</v>
      </c>
      <c r="AG2662" s="78" t="s">
        <v>238</v>
      </c>
      <c r="AH2662" s="78">
        <v>4.1312500000000005</v>
      </c>
      <c r="AJ2662" s="78" t="s">
        <v>74</v>
      </c>
      <c r="AK2662" s="78" t="s">
        <v>87</v>
      </c>
      <c r="AL2662" s="78" t="s">
        <v>25</v>
      </c>
      <c r="AM2662" s="78" t="s">
        <v>51</v>
      </c>
      <c r="AN2662" s="78" t="s">
        <v>208</v>
      </c>
      <c r="AO2662" s="78">
        <v>3.1219045210798799</v>
      </c>
    </row>
    <row r="2663" spans="29:41">
      <c r="AC2663" s="78" t="s">
        <v>53</v>
      </c>
      <c r="AD2663" s="78" t="s">
        <v>20</v>
      </c>
      <c r="AE2663" s="78" t="s">
        <v>72</v>
      </c>
      <c r="AF2663" s="78" t="s">
        <v>51</v>
      </c>
      <c r="AG2663" s="78" t="s">
        <v>239</v>
      </c>
      <c r="AH2663" s="78">
        <v>4.1312500000000005</v>
      </c>
      <c r="AJ2663" s="78" t="s">
        <v>74</v>
      </c>
      <c r="AK2663" s="78" t="s">
        <v>87</v>
      </c>
      <c r="AL2663" s="78" t="s">
        <v>25</v>
      </c>
      <c r="AM2663" s="78" t="s">
        <v>51</v>
      </c>
      <c r="AN2663" s="78" t="s">
        <v>209</v>
      </c>
      <c r="AO2663" s="78">
        <v>3.0912606104251101</v>
      </c>
    </row>
    <row r="2664" spans="29:41">
      <c r="AC2664" s="78" t="s">
        <v>53</v>
      </c>
      <c r="AD2664" s="78" t="s">
        <v>20</v>
      </c>
      <c r="AE2664" s="78" t="s">
        <v>72</v>
      </c>
      <c r="AF2664" s="78" t="s">
        <v>51</v>
      </c>
      <c r="AG2664" s="78" t="s">
        <v>240</v>
      </c>
      <c r="AH2664" s="78">
        <v>4.2270000000000003</v>
      </c>
      <c r="AJ2664" s="78" t="s">
        <v>74</v>
      </c>
      <c r="AK2664" s="78" t="s">
        <v>87</v>
      </c>
      <c r="AL2664" s="78" t="s">
        <v>25</v>
      </c>
      <c r="AM2664" s="78" t="s">
        <v>51</v>
      </c>
      <c r="AN2664" s="78" t="s">
        <v>210</v>
      </c>
      <c r="AO2664" s="78">
        <v>3.1158923075545402</v>
      </c>
    </row>
    <row r="2665" spans="29:41">
      <c r="AC2665" s="78" t="s">
        <v>53</v>
      </c>
      <c r="AD2665" s="78" t="s">
        <v>20</v>
      </c>
      <c r="AE2665" s="78" t="s">
        <v>72</v>
      </c>
      <c r="AF2665" s="78" t="s">
        <v>51</v>
      </c>
      <c r="AG2665" s="78" t="s">
        <v>241</v>
      </c>
      <c r="AH2665" s="78">
        <v>4.1630000000000003</v>
      </c>
      <c r="AJ2665" s="78" t="s">
        <v>74</v>
      </c>
      <c r="AK2665" s="78" t="s">
        <v>87</v>
      </c>
      <c r="AL2665" s="78" t="s">
        <v>25</v>
      </c>
      <c r="AM2665" s="78" t="s">
        <v>51</v>
      </c>
      <c r="AN2665" s="78" t="s">
        <v>211</v>
      </c>
      <c r="AO2665" s="78">
        <v>3.2022687944333499</v>
      </c>
    </row>
    <row r="2666" spans="29:41">
      <c r="AC2666" s="78" t="s">
        <v>53</v>
      </c>
      <c r="AD2666" s="78" t="s">
        <v>20</v>
      </c>
      <c r="AE2666" s="78" t="s">
        <v>72</v>
      </c>
      <c r="AF2666" s="78" t="s">
        <v>51</v>
      </c>
      <c r="AG2666" s="78" t="s">
        <v>242</v>
      </c>
      <c r="AH2666" s="78">
        <v>4.1312500000000005</v>
      </c>
      <c r="AJ2666" s="78" t="s">
        <v>74</v>
      </c>
      <c r="AK2666" s="78" t="s">
        <v>87</v>
      </c>
      <c r="AL2666" s="78" t="s">
        <v>25</v>
      </c>
      <c r="AM2666" s="78" t="s">
        <v>51</v>
      </c>
      <c r="AN2666" s="78" t="s">
        <v>212</v>
      </c>
      <c r="AO2666" s="78">
        <v>3.0851869199683102</v>
      </c>
    </row>
    <row r="2667" spans="29:41">
      <c r="AC2667" s="78" t="s">
        <v>53</v>
      </c>
      <c r="AD2667" s="78" t="s">
        <v>20</v>
      </c>
      <c r="AE2667" s="78" t="s">
        <v>72</v>
      </c>
      <c r="AF2667" s="78" t="s">
        <v>51</v>
      </c>
      <c r="AG2667" s="78" t="s">
        <v>243</v>
      </c>
      <c r="AH2667" s="78">
        <v>4.1630000000000003</v>
      </c>
      <c r="AJ2667" s="78" t="s">
        <v>74</v>
      </c>
      <c r="AK2667" s="78" t="s">
        <v>87</v>
      </c>
      <c r="AL2667" s="78" t="s">
        <v>25</v>
      </c>
      <c r="AM2667" s="78" t="s">
        <v>51</v>
      </c>
      <c r="AN2667" s="78" t="s">
        <v>97</v>
      </c>
      <c r="AO2667" s="78">
        <v>3.0732804432921599</v>
      </c>
    </row>
    <row r="2668" spans="29:41">
      <c r="AC2668" s="78" t="s">
        <v>53</v>
      </c>
      <c r="AD2668" s="78" t="s">
        <v>20</v>
      </c>
      <c r="AE2668" s="78" t="s">
        <v>72</v>
      </c>
      <c r="AF2668" s="78" t="s">
        <v>51</v>
      </c>
      <c r="AG2668" s="78" t="s">
        <v>244</v>
      </c>
      <c r="AH2668" s="78">
        <v>4.1312500000000005</v>
      </c>
      <c r="AJ2668" s="78" t="s">
        <v>74</v>
      </c>
      <c r="AK2668" s="78" t="s">
        <v>87</v>
      </c>
      <c r="AL2668" s="78" t="s">
        <v>25</v>
      </c>
      <c r="AM2668" s="78" t="s">
        <v>51</v>
      </c>
      <c r="AN2668" s="78" t="s">
        <v>95</v>
      </c>
      <c r="AO2668" s="78">
        <v>3.16276525236256</v>
      </c>
    </row>
    <row r="2669" spans="29:41">
      <c r="AC2669" s="78" t="s">
        <v>53</v>
      </c>
      <c r="AD2669" s="78" t="s">
        <v>20</v>
      </c>
      <c r="AE2669" s="78" t="s">
        <v>72</v>
      </c>
      <c r="AF2669" s="78" t="s">
        <v>51</v>
      </c>
      <c r="AG2669" s="78" t="s">
        <v>245</v>
      </c>
      <c r="AH2669" s="78">
        <v>4.0993750000000002</v>
      </c>
      <c r="AJ2669" s="78" t="s">
        <v>74</v>
      </c>
      <c r="AK2669" s="78" t="s">
        <v>87</v>
      </c>
      <c r="AL2669" s="78" t="s">
        <v>25</v>
      </c>
      <c r="AM2669" s="78" t="s">
        <v>51</v>
      </c>
      <c r="AN2669" s="78" t="s">
        <v>96</v>
      </c>
      <c r="AO2669" s="78">
        <v>3.1329453977786899</v>
      </c>
    </row>
    <row r="2670" spans="29:41">
      <c r="AC2670" s="78" t="s">
        <v>53</v>
      </c>
      <c r="AD2670" s="78" t="s">
        <v>20</v>
      </c>
      <c r="AE2670" s="78" t="s">
        <v>72</v>
      </c>
      <c r="AF2670" s="78" t="s">
        <v>51</v>
      </c>
      <c r="AG2670" s="78" t="s">
        <v>246</v>
      </c>
      <c r="AH2670" s="78">
        <v>4.0676249999999996</v>
      </c>
      <c r="AJ2670" s="78" t="s">
        <v>74</v>
      </c>
      <c r="AK2670" s="78" t="s">
        <v>87</v>
      </c>
      <c r="AL2670" s="78" t="s">
        <v>25</v>
      </c>
      <c r="AM2670" s="78" t="s">
        <v>51</v>
      </c>
      <c r="AN2670" s="78" t="s">
        <v>100</v>
      </c>
      <c r="AO2670" s="78">
        <v>3.0409627195865201</v>
      </c>
    </row>
    <row r="2671" spans="29:41">
      <c r="AC2671" s="78" t="s">
        <v>53</v>
      </c>
      <c r="AD2671" s="78" t="s">
        <v>20</v>
      </c>
      <c r="AE2671" s="78" t="s">
        <v>72</v>
      </c>
      <c r="AF2671" s="78" t="s">
        <v>51</v>
      </c>
      <c r="AG2671" s="78" t="s">
        <v>247</v>
      </c>
      <c r="AH2671" s="78">
        <v>4.0763750000000005</v>
      </c>
      <c r="AJ2671" s="78" t="s">
        <v>74</v>
      </c>
      <c r="AK2671" s="78" t="s">
        <v>87</v>
      </c>
      <c r="AL2671" s="78" t="s">
        <v>25</v>
      </c>
      <c r="AM2671" s="78" t="s">
        <v>51</v>
      </c>
      <c r="AN2671" s="78" t="s">
        <v>101</v>
      </c>
      <c r="AO2671" s="78">
        <v>3.00985191194196</v>
      </c>
    </row>
    <row r="2672" spans="29:41">
      <c r="AC2672" s="78" t="s">
        <v>53</v>
      </c>
      <c r="AD2672" s="78" t="s">
        <v>20</v>
      </c>
      <c r="AE2672" s="78" t="s">
        <v>72</v>
      </c>
      <c r="AF2672" s="78" t="s">
        <v>51</v>
      </c>
      <c r="AG2672" s="78" t="s">
        <v>248</v>
      </c>
      <c r="AH2672" s="78">
        <v>4.2357500000000003</v>
      </c>
      <c r="AJ2672" s="78" t="s">
        <v>74</v>
      </c>
      <c r="AK2672" s="78" t="s">
        <v>87</v>
      </c>
      <c r="AL2672" s="78" t="s">
        <v>25</v>
      </c>
      <c r="AM2672" s="78" t="s">
        <v>51</v>
      </c>
      <c r="AN2672" s="78" t="s">
        <v>102</v>
      </c>
      <c r="AO2672" s="78">
        <v>2.9791453962399599</v>
      </c>
    </row>
    <row r="2673" spans="29:41">
      <c r="AC2673" s="78" t="s">
        <v>53</v>
      </c>
      <c r="AD2673" s="78" t="s">
        <v>20</v>
      </c>
      <c r="AE2673" s="78" t="s">
        <v>72</v>
      </c>
      <c r="AF2673" s="78" t="s">
        <v>51</v>
      </c>
      <c r="AG2673" s="78" t="s">
        <v>249</v>
      </c>
      <c r="AH2673" s="78">
        <v>4.2676249999999998</v>
      </c>
      <c r="AJ2673" s="78" t="s">
        <v>74</v>
      </c>
      <c r="AK2673" s="78" t="s">
        <v>87</v>
      </c>
      <c r="AL2673" s="78" t="s">
        <v>25</v>
      </c>
      <c r="AM2673" s="78" t="s">
        <v>51</v>
      </c>
      <c r="AN2673" s="78" t="s">
        <v>103</v>
      </c>
      <c r="AO2673" s="78">
        <v>3.0519928057207899</v>
      </c>
    </row>
    <row r="2674" spans="29:41">
      <c r="AC2674" s="78" t="s">
        <v>53</v>
      </c>
      <c r="AD2674" s="78" t="s">
        <v>20</v>
      </c>
      <c r="AE2674" s="78" t="s">
        <v>72</v>
      </c>
      <c r="AF2674" s="78" t="s">
        <v>51</v>
      </c>
      <c r="AG2674" s="78" t="s">
        <v>250</v>
      </c>
      <c r="AH2674" s="78">
        <v>4.1717499999999994</v>
      </c>
      <c r="AJ2674" s="78" t="s">
        <v>74</v>
      </c>
      <c r="AK2674" s="78" t="s">
        <v>87</v>
      </c>
      <c r="AL2674" s="78" t="s">
        <v>25</v>
      </c>
      <c r="AM2674" s="78" t="s">
        <v>51</v>
      </c>
      <c r="AN2674" s="78" t="s">
        <v>104</v>
      </c>
      <c r="AO2674" s="78">
        <v>3.1469144966257199</v>
      </c>
    </row>
    <row r="2675" spans="29:41">
      <c r="AC2675" s="78" t="s">
        <v>53</v>
      </c>
      <c r="AD2675" s="78" t="s">
        <v>20</v>
      </c>
      <c r="AE2675" s="78" t="s">
        <v>72</v>
      </c>
      <c r="AF2675" s="78" t="s">
        <v>51</v>
      </c>
      <c r="AG2675" s="78" t="s">
        <v>251</v>
      </c>
      <c r="AH2675" s="78">
        <v>4.0123749999999996</v>
      </c>
      <c r="AJ2675" s="78" t="s">
        <v>74</v>
      </c>
      <c r="AK2675" s="78" t="s">
        <v>87</v>
      </c>
      <c r="AL2675" s="78" t="s">
        <v>25</v>
      </c>
      <c r="AM2675" s="78" t="s">
        <v>51</v>
      </c>
      <c r="AN2675" s="78" t="s">
        <v>105</v>
      </c>
      <c r="AO2675" s="78">
        <v>3.1440801611331</v>
      </c>
    </row>
    <row r="2676" spans="29:41">
      <c r="AC2676" s="78" t="s">
        <v>53</v>
      </c>
      <c r="AD2676" s="78" t="s">
        <v>20</v>
      </c>
      <c r="AE2676" s="78" t="s">
        <v>72</v>
      </c>
      <c r="AF2676" s="78" t="s">
        <v>51</v>
      </c>
      <c r="AG2676" s="78" t="s">
        <v>252</v>
      </c>
      <c r="AH2676" s="78">
        <v>4.0441250000000002</v>
      </c>
      <c r="AJ2676" s="78" t="s">
        <v>74</v>
      </c>
      <c r="AK2676" s="78" t="s">
        <v>87</v>
      </c>
      <c r="AL2676" s="78" t="s">
        <v>25</v>
      </c>
      <c r="AM2676" s="78" t="s">
        <v>51</v>
      </c>
      <c r="AN2676" s="78" t="s">
        <v>106</v>
      </c>
      <c r="AO2676" s="78">
        <v>3.1081065530197201</v>
      </c>
    </row>
    <row r="2677" spans="29:41">
      <c r="AC2677" s="78" t="s">
        <v>53</v>
      </c>
      <c r="AD2677" s="78" t="s">
        <v>20</v>
      </c>
      <c r="AE2677" s="78" t="s">
        <v>72</v>
      </c>
      <c r="AF2677" s="78" t="s">
        <v>51</v>
      </c>
      <c r="AG2677" s="78" t="s">
        <v>253</v>
      </c>
      <c r="AH2677" s="78">
        <v>4.0441250000000002</v>
      </c>
      <c r="AJ2677" s="78" t="s">
        <v>74</v>
      </c>
      <c r="AK2677" s="78" t="s">
        <v>87</v>
      </c>
      <c r="AL2677" s="78" t="s">
        <v>25</v>
      </c>
      <c r="AM2677" s="78" t="s">
        <v>51</v>
      </c>
      <c r="AN2677" s="78" t="s">
        <v>107</v>
      </c>
      <c r="AO2677" s="78">
        <v>3.0651881254767099</v>
      </c>
    </row>
    <row r="2678" spans="29:41">
      <c r="AC2678" s="78" t="s">
        <v>53</v>
      </c>
      <c r="AD2678" s="78" t="s">
        <v>20</v>
      </c>
      <c r="AE2678" s="78" t="s">
        <v>72</v>
      </c>
      <c r="AF2678" s="78" t="s">
        <v>51</v>
      </c>
      <c r="AG2678" s="78" t="s">
        <v>254</v>
      </c>
      <c r="AH2678" s="78">
        <v>4.0123749999999996</v>
      </c>
      <c r="AJ2678" s="78" t="s">
        <v>74</v>
      </c>
      <c r="AK2678" s="78" t="s">
        <v>87</v>
      </c>
      <c r="AL2678" s="78" t="s">
        <v>25</v>
      </c>
      <c r="AM2678" s="78" t="s">
        <v>51</v>
      </c>
      <c r="AN2678" s="78" t="s">
        <v>99</v>
      </c>
      <c r="AO2678" s="78">
        <v>3.0642370952529001</v>
      </c>
    </row>
    <row r="2679" spans="29:41">
      <c r="AC2679" s="78" t="s">
        <v>53</v>
      </c>
      <c r="AD2679" s="78" t="s">
        <v>20</v>
      </c>
      <c r="AE2679" s="78" t="s">
        <v>72</v>
      </c>
      <c r="AF2679" s="78" t="s">
        <v>51</v>
      </c>
      <c r="AG2679" s="78" t="s">
        <v>255</v>
      </c>
      <c r="AH2679" s="78">
        <v>4.0123749999999996</v>
      </c>
      <c r="AJ2679" s="78" t="s">
        <v>74</v>
      </c>
      <c r="AK2679" s="78" t="s">
        <v>87</v>
      </c>
      <c r="AL2679" s="78" t="s">
        <v>25</v>
      </c>
      <c r="AM2679" s="78" t="s">
        <v>51</v>
      </c>
      <c r="AN2679" s="78" t="s">
        <v>108</v>
      </c>
      <c r="AO2679" s="78">
        <v>3.0508649511892498</v>
      </c>
    </row>
    <row r="2680" spans="29:41">
      <c r="AC2680" s="78" t="s">
        <v>53</v>
      </c>
      <c r="AD2680" s="78" t="s">
        <v>20</v>
      </c>
      <c r="AE2680" s="78" t="s">
        <v>72</v>
      </c>
      <c r="AF2680" s="78" t="s">
        <v>51</v>
      </c>
      <c r="AG2680" s="78" t="s">
        <v>256</v>
      </c>
      <c r="AH2680" s="78">
        <v>4.0763750000000005</v>
      </c>
      <c r="AJ2680" s="78" t="s">
        <v>74</v>
      </c>
      <c r="AK2680" s="78" t="s">
        <v>87</v>
      </c>
      <c r="AL2680" s="78" t="s">
        <v>25</v>
      </c>
      <c r="AM2680" s="78" t="s">
        <v>51</v>
      </c>
      <c r="AN2680" s="78" t="s">
        <v>109</v>
      </c>
      <c r="AO2680" s="78">
        <v>3.07026860246684</v>
      </c>
    </row>
    <row r="2681" spans="29:41">
      <c r="AC2681" s="78" t="s">
        <v>53</v>
      </c>
      <c r="AD2681" s="78" t="s">
        <v>20</v>
      </c>
      <c r="AE2681" s="78" t="s">
        <v>72</v>
      </c>
      <c r="AF2681" s="78" t="s">
        <v>51</v>
      </c>
      <c r="AG2681" s="78" t="s">
        <v>257</v>
      </c>
      <c r="AH2681" s="78">
        <v>4.1901250000000001</v>
      </c>
      <c r="AJ2681" s="78" t="s">
        <v>74</v>
      </c>
      <c r="AK2681" s="78" t="s">
        <v>87</v>
      </c>
      <c r="AL2681" s="78" t="s">
        <v>25</v>
      </c>
      <c r="AM2681" s="78" t="s">
        <v>51</v>
      </c>
      <c r="AN2681" s="78" t="s">
        <v>110</v>
      </c>
      <c r="AO2681" s="78">
        <v>3.04099858929172</v>
      </c>
    </row>
    <row r="2682" spans="29:41">
      <c r="AC2682" s="78" t="s">
        <v>53</v>
      </c>
      <c r="AD2682" s="78" t="s">
        <v>20</v>
      </c>
      <c r="AE2682" s="78" t="s">
        <v>72</v>
      </c>
      <c r="AF2682" s="78" t="s">
        <v>51</v>
      </c>
      <c r="AG2682" s="78" t="s">
        <v>258</v>
      </c>
      <c r="AH2682" s="78">
        <v>4.1583750000000004</v>
      </c>
      <c r="AJ2682" s="78" t="s">
        <v>74</v>
      </c>
      <c r="AK2682" s="78" t="s">
        <v>87</v>
      </c>
      <c r="AL2682" s="78" t="s">
        <v>25</v>
      </c>
      <c r="AM2682" s="78" t="s">
        <v>51</v>
      </c>
      <c r="AN2682" s="78" t="s">
        <v>98</v>
      </c>
      <c r="AO2682" s="78">
        <v>3.0272722743659699</v>
      </c>
    </row>
    <row r="2683" spans="29:41">
      <c r="AC2683" s="78" t="s">
        <v>53</v>
      </c>
      <c r="AD2683" s="78" t="s">
        <v>20</v>
      </c>
      <c r="AE2683" s="78" t="s">
        <v>72</v>
      </c>
      <c r="AF2683" s="78" t="s">
        <v>51</v>
      </c>
      <c r="AG2683" s="78" t="s">
        <v>259</v>
      </c>
      <c r="AH2683" s="78">
        <v>4.126125</v>
      </c>
      <c r="AJ2683" s="78" t="s">
        <v>74</v>
      </c>
      <c r="AK2683" s="78" t="s">
        <v>87</v>
      </c>
      <c r="AL2683" s="78" t="s">
        <v>25</v>
      </c>
      <c r="AM2683" s="78" t="s">
        <v>51</v>
      </c>
      <c r="AN2683" s="78" t="s">
        <v>125</v>
      </c>
      <c r="AO2683" s="78">
        <v>3.00152435884748</v>
      </c>
    </row>
    <row r="2684" spans="29:41">
      <c r="AC2684" s="78" t="s">
        <v>53</v>
      </c>
      <c r="AD2684" s="78" t="s">
        <v>20</v>
      </c>
      <c r="AE2684" s="78" t="s">
        <v>72</v>
      </c>
      <c r="AF2684" s="78" t="s">
        <v>51</v>
      </c>
      <c r="AG2684" s="78" t="s">
        <v>260</v>
      </c>
      <c r="AH2684" s="78">
        <v>4.0625</v>
      </c>
      <c r="AJ2684" s="78" t="s">
        <v>74</v>
      </c>
      <c r="AK2684" s="78" t="s">
        <v>87</v>
      </c>
      <c r="AL2684" s="78" t="s">
        <v>25</v>
      </c>
      <c r="AM2684" s="78" t="s">
        <v>51</v>
      </c>
      <c r="AN2684" s="78" t="s">
        <v>123</v>
      </c>
      <c r="AO2684" s="78">
        <v>3.00880742941581</v>
      </c>
    </row>
    <row r="2685" spans="29:41">
      <c r="AC2685" s="78" t="s">
        <v>53</v>
      </c>
      <c r="AD2685" s="78" t="s">
        <v>20</v>
      </c>
      <c r="AE2685" s="78" t="s">
        <v>72</v>
      </c>
      <c r="AF2685" s="78" t="s">
        <v>51</v>
      </c>
      <c r="AG2685" s="78" t="s">
        <v>261</v>
      </c>
      <c r="AH2685" s="78">
        <v>3.9348750000000003</v>
      </c>
      <c r="AJ2685" s="78" t="s">
        <v>74</v>
      </c>
      <c r="AK2685" s="78" t="s">
        <v>87</v>
      </c>
      <c r="AL2685" s="78" t="s">
        <v>25</v>
      </c>
      <c r="AM2685" s="78" t="s">
        <v>51</v>
      </c>
      <c r="AN2685" s="78" t="s">
        <v>126</v>
      </c>
      <c r="AO2685" s="78">
        <v>2.9768819813504899</v>
      </c>
    </row>
    <row r="2686" spans="29:41">
      <c r="AC2686" s="78" t="s">
        <v>53</v>
      </c>
      <c r="AD2686" s="78" t="s">
        <v>20</v>
      </c>
      <c r="AE2686" s="78" t="s">
        <v>72</v>
      </c>
      <c r="AF2686" s="78" t="s">
        <v>51</v>
      </c>
      <c r="AG2686" s="78" t="s">
        <v>262</v>
      </c>
      <c r="AH2686" s="78">
        <v>4.0307500000000003</v>
      </c>
      <c r="AJ2686" s="78" t="s">
        <v>74</v>
      </c>
      <c r="AK2686" s="78" t="s">
        <v>87</v>
      </c>
      <c r="AL2686" s="78" t="s">
        <v>25</v>
      </c>
      <c r="AM2686" s="78" t="s">
        <v>51</v>
      </c>
      <c r="AN2686" s="78" t="s">
        <v>127</v>
      </c>
      <c r="AO2686" s="78">
        <v>2.9700273705701301</v>
      </c>
    </row>
    <row r="2687" spans="29:41">
      <c r="AC2687" s="78" t="s">
        <v>53</v>
      </c>
      <c r="AD2687" s="78" t="s">
        <v>20</v>
      </c>
      <c r="AE2687" s="78" t="s">
        <v>72</v>
      </c>
      <c r="AF2687" s="78" t="s">
        <v>51</v>
      </c>
      <c r="AG2687" s="78" t="s">
        <v>263</v>
      </c>
      <c r="AH2687" s="78">
        <v>4.0625</v>
      </c>
      <c r="AJ2687" s="78" t="s">
        <v>74</v>
      </c>
      <c r="AK2687" s="78" t="s">
        <v>87</v>
      </c>
      <c r="AL2687" s="78" t="s">
        <v>25</v>
      </c>
      <c r="AM2687" s="78" t="s">
        <v>51</v>
      </c>
      <c r="AN2687" s="78" t="s">
        <v>128</v>
      </c>
      <c r="AO2687" s="78">
        <v>2.9952166878972601</v>
      </c>
    </row>
    <row r="2688" spans="29:41">
      <c r="AC2688" s="78" t="s">
        <v>53</v>
      </c>
      <c r="AD2688" s="78" t="s">
        <v>20</v>
      </c>
      <c r="AE2688" s="78" t="s">
        <v>72</v>
      </c>
      <c r="AF2688" s="78" t="s">
        <v>51</v>
      </c>
      <c r="AG2688" s="78" t="s">
        <v>264</v>
      </c>
      <c r="AH2688" s="78">
        <v>4.0625</v>
      </c>
      <c r="AJ2688" s="78" t="s">
        <v>74</v>
      </c>
      <c r="AK2688" s="78" t="s">
        <v>87</v>
      </c>
      <c r="AL2688" s="78" t="s">
        <v>25</v>
      </c>
      <c r="AM2688" s="78" t="s">
        <v>51</v>
      </c>
      <c r="AN2688" s="78" t="s">
        <v>122</v>
      </c>
      <c r="AO2688" s="78">
        <v>2.9944455468035298</v>
      </c>
    </row>
    <row r="2689" spans="29:41">
      <c r="AC2689" s="78" t="s">
        <v>53</v>
      </c>
      <c r="AD2689" s="78" t="s">
        <v>20</v>
      </c>
      <c r="AE2689" s="78" t="s">
        <v>72</v>
      </c>
      <c r="AF2689" s="78" t="s">
        <v>51</v>
      </c>
      <c r="AG2689" s="78" t="s">
        <v>265</v>
      </c>
      <c r="AH2689" s="78">
        <v>4.0307500000000003</v>
      </c>
      <c r="AJ2689" s="78" t="s">
        <v>74</v>
      </c>
      <c r="AK2689" s="78" t="s">
        <v>87</v>
      </c>
      <c r="AL2689" s="78" t="s">
        <v>25</v>
      </c>
      <c r="AM2689" s="78" t="s">
        <v>51</v>
      </c>
      <c r="AN2689" s="78" t="s">
        <v>124</v>
      </c>
      <c r="AO2689" s="78">
        <v>2.9155081259623699</v>
      </c>
    </row>
    <row r="2690" spans="29:41">
      <c r="AC2690" s="78" t="s">
        <v>53</v>
      </c>
      <c r="AD2690" s="78" t="s">
        <v>20</v>
      </c>
      <c r="AE2690" s="78" t="s">
        <v>72</v>
      </c>
      <c r="AF2690" s="78" t="s">
        <v>51</v>
      </c>
      <c r="AG2690" s="78" t="s">
        <v>266</v>
      </c>
      <c r="AH2690" s="78">
        <v>4.0943750000000003</v>
      </c>
      <c r="AJ2690" s="78" t="s">
        <v>74</v>
      </c>
      <c r="AK2690" s="78" t="s">
        <v>87</v>
      </c>
      <c r="AL2690" s="78" t="s">
        <v>25</v>
      </c>
      <c r="AM2690" s="78" t="s">
        <v>51</v>
      </c>
      <c r="AN2690" s="78" t="s">
        <v>214</v>
      </c>
      <c r="AO2690" s="78">
        <v>2.8859588833612699</v>
      </c>
    </row>
    <row r="2691" spans="29:41">
      <c r="AC2691" s="78" t="s">
        <v>53</v>
      </c>
      <c r="AD2691" s="78" t="s">
        <v>20</v>
      </c>
      <c r="AE2691" s="78" t="s">
        <v>72</v>
      </c>
      <c r="AF2691" s="78" t="s">
        <v>51</v>
      </c>
      <c r="AG2691" s="78" t="s">
        <v>267</v>
      </c>
      <c r="AH2691" s="78">
        <v>4.0307500000000003</v>
      </c>
      <c r="AJ2691" s="78" t="s">
        <v>74</v>
      </c>
      <c r="AK2691" s="78" t="s">
        <v>87</v>
      </c>
      <c r="AL2691" s="78" t="s">
        <v>25</v>
      </c>
      <c r="AM2691" s="78" t="s">
        <v>51</v>
      </c>
      <c r="AN2691" s="78" t="s">
        <v>218</v>
      </c>
      <c r="AO2691" s="78">
        <v>2.9592567116727899</v>
      </c>
    </row>
    <row r="2692" spans="29:41">
      <c r="AC2692" s="78" t="s">
        <v>53</v>
      </c>
      <c r="AD2692" s="78" t="s">
        <v>20</v>
      </c>
      <c r="AE2692" s="78" t="s">
        <v>72</v>
      </c>
      <c r="AF2692" s="78" t="s">
        <v>51</v>
      </c>
      <c r="AG2692" s="78" t="s">
        <v>268</v>
      </c>
      <c r="AH2692" s="78">
        <v>3.9984999999999999</v>
      </c>
      <c r="AJ2692" s="78" t="s">
        <v>74</v>
      </c>
      <c r="AK2692" s="78" t="s">
        <v>87</v>
      </c>
      <c r="AL2692" s="78" t="s">
        <v>25</v>
      </c>
      <c r="AM2692" s="78" t="s">
        <v>51</v>
      </c>
      <c r="AN2692" s="78" t="s">
        <v>219</v>
      </c>
      <c r="AO2692" s="78">
        <v>3.0089114844805001</v>
      </c>
    </row>
    <row r="2693" spans="29:41">
      <c r="AC2693" s="78" t="s">
        <v>53</v>
      </c>
      <c r="AD2693" s="78" t="s">
        <v>20</v>
      </c>
      <c r="AE2693" s="78" t="s">
        <v>72</v>
      </c>
      <c r="AF2693" s="78" t="s">
        <v>51</v>
      </c>
      <c r="AG2693" s="78" t="s">
        <v>269</v>
      </c>
      <c r="AH2693" s="78">
        <v>3.9984999999999999</v>
      </c>
      <c r="AJ2693" s="78" t="s">
        <v>74</v>
      </c>
      <c r="AK2693" s="78" t="s">
        <v>87</v>
      </c>
      <c r="AL2693" s="78" t="s">
        <v>25</v>
      </c>
      <c r="AM2693" s="78" t="s">
        <v>51</v>
      </c>
      <c r="AN2693" s="78" t="s">
        <v>220</v>
      </c>
      <c r="AO2693" s="78">
        <v>2.9719648499802398</v>
      </c>
    </row>
    <row r="2694" spans="29:41">
      <c r="AC2694" s="78" t="s">
        <v>53</v>
      </c>
      <c r="AD2694" s="78" t="s">
        <v>20</v>
      </c>
      <c r="AE2694" s="78" t="s">
        <v>72</v>
      </c>
      <c r="AF2694" s="78" t="s">
        <v>51</v>
      </c>
      <c r="AG2694" s="78" t="s">
        <v>270</v>
      </c>
      <c r="AH2694" s="78">
        <v>3.9667500000000002</v>
      </c>
      <c r="AJ2694" s="78" t="s">
        <v>74</v>
      </c>
      <c r="AK2694" s="78" t="s">
        <v>87</v>
      </c>
      <c r="AL2694" s="78" t="s">
        <v>25</v>
      </c>
      <c r="AM2694" s="78" t="s">
        <v>51</v>
      </c>
      <c r="AN2694" s="78" t="s">
        <v>221</v>
      </c>
      <c r="AO2694" s="78">
        <v>2.92350190324946</v>
      </c>
    </row>
    <row r="2695" spans="29:41">
      <c r="AC2695" s="78" t="s">
        <v>53</v>
      </c>
      <c r="AD2695" s="78" t="s">
        <v>20</v>
      </c>
      <c r="AE2695" s="78" t="s">
        <v>72</v>
      </c>
      <c r="AF2695" s="78" t="s">
        <v>51</v>
      </c>
      <c r="AG2695" s="78" t="s">
        <v>271</v>
      </c>
      <c r="AH2695" s="78">
        <v>3.9984999999999999</v>
      </c>
      <c r="AJ2695" s="78" t="s">
        <v>74</v>
      </c>
      <c r="AK2695" s="78" t="s">
        <v>87</v>
      </c>
      <c r="AL2695" s="78" t="s">
        <v>25</v>
      </c>
      <c r="AM2695" s="78" t="s">
        <v>51</v>
      </c>
      <c r="AN2695" s="78" t="s">
        <v>222</v>
      </c>
      <c r="AO2695" s="78">
        <v>2.9753003706109098</v>
      </c>
    </row>
    <row r="2696" spans="29:41">
      <c r="AC2696" s="78" t="s">
        <v>53</v>
      </c>
      <c r="AD2696" s="78" t="s">
        <v>20</v>
      </c>
      <c r="AE2696" s="78" t="s">
        <v>72</v>
      </c>
      <c r="AF2696" s="78" t="s">
        <v>51</v>
      </c>
      <c r="AG2696" s="78" t="s">
        <v>272</v>
      </c>
      <c r="AH2696" s="78">
        <v>4.0307500000000003</v>
      </c>
      <c r="AJ2696" s="78" t="s">
        <v>74</v>
      </c>
      <c r="AK2696" s="78" t="s">
        <v>87</v>
      </c>
      <c r="AL2696" s="78" t="s">
        <v>25</v>
      </c>
      <c r="AM2696" s="78" t="s">
        <v>51</v>
      </c>
      <c r="AN2696" s="78" t="s">
        <v>223</v>
      </c>
      <c r="AO2696" s="78">
        <v>2.8894517792115599</v>
      </c>
    </row>
    <row r="2697" spans="29:41">
      <c r="AC2697" s="78" t="s">
        <v>53</v>
      </c>
      <c r="AD2697" s="78" t="s">
        <v>20</v>
      </c>
      <c r="AE2697" s="78" t="s">
        <v>72</v>
      </c>
      <c r="AF2697" s="78" t="s">
        <v>51</v>
      </c>
      <c r="AG2697" s="78" t="s">
        <v>273</v>
      </c>
      <c r="AH2697" s="78">
        <v>4.0307500000000003</v>
      </c>
      <c r="AJ2697" s="78" t="s">
        <v>74</v>
      </c>
      <c r="AK2697" s="78" t="s">
        <v>87</v>
      </c>
      <c r="AL2697" s="78" t="s">
        <v>25</v>
      </c>
      <c r="AM2697" s="78" t="s">
        <v>51</v>
      </c>
      <c r="AN2697" s="78" t="s">
        <v>224</v>
      </c>
      <c r="AO2697" s="78">
        <v>2.8863432484098199</v>
      </c>
    </row>
    <row r="2698" spans="29:41">
      <c r="AC2698" s="78" t="s">
        <v>53</v>
      </c>
      <c r="AD2698" s="78" t="s">
        <v>20</v>
      </c>
      <c r="AE2698" s="78" t="s">
        <v>72</v>
      </c>
      <c r="AF2698" s="78" t="s">
        <v>51</v>
      </c>
      <c r="AG2698" s="78" t="s">
        <v>274</v>
      </c>
      <c r="AH2698" s="78">
        <v>3.9984999999999999</v>
      </c>
      <c r="AJ2698" s="78" t="s">
        <v>74</v>
      </c>
      <c r="AK2698" s="78" t="s">
        <v>87</v>
      </c>
      <c r="AL2698" s="78" t="s">
        <v>25</v>
      </c>
      <c r="AM2698" s="78" t="s">
        <v>51</v>
      </c>
      <c r="AN2698" s="78" t="s">
        <v>225</v>
      </c>
      <c r="AO2698" s="78">
        <v>2.94154866689746</v>
      </c>
    </row>
    <row r="2699" spans="29:41">
      <c r="AC2699" s="78" t="s">
        <v>53</v>
      </c>
      <c r="AD2699" s="78" t="s">
        <v>20</v>
      </c>
      <c r="AE2699" s="78" t="s">
        <v>72</v>
      </c>
      <c r="AF2699" s="78" t="s">
        <v>51</v>
      </c>
      <c r="AG2699" s="78" t="s">
        <v>275</v>
      </c>
      <c r="AH2699" s="78">
        <v>3.9984999999999999</v>
      </c>
      <c r="AJ2699" s="78" t="s">
        <v>74</v>
      </c>
      <c r="AK2699" s="78" t="s">
        <v>87</v>
      </c>
      <c r="AL2699" s="78" t="s">
        <v>25</v>
      </c>
      <c r="AM2699" s="78" t="s">
        <v>51</v>
      </c>
      <c r="AN2699" s="78" t="s">
        <v>226</v>
      </c>
      <c r="AO2699" s="78">
        <v>2.9622833477952701</v>
      </c>
    </row>
    <row r="2700" spans="29:41">
      <c r="AC2700" s="78" t="s">
        <v>53</v>
      </c>
      <c r="AD2700" s="78" t="s">
        <v>20</v>
      </c>
      <c r="AE2700" s="78" t="s">
        <v>72</v>
      </c>
      <c r="AF2700" s="78" t="s">
        <v>51</v>
      </c>
      <c r="AG2700" s="78" t="s">
        <v>276</v>
      </c>
      <c r="AH2700" s="78">
        <v>3.9988749999999995</v>
      </c>
      <c r="AJ2700" s="78" t="s">
        <v>74</v>
      </c>
      <c r="AK2700" s="78" t="s">
        <v>87</v>
      </c>
      <c r="AL2700" s="78" t="s">
        <v>25</v>
      </c>
      <c r="AM2700" s="78" t="s">
        <v>51</v>
      </c>
      <c r="AN2700" s="78" t="s">
        <v>227</v>
      </c>
      <c r="AO2700" s="78">
        <v>2.9357435322539001</v>
      </c>
    </row>
    <row r="2701" spans="29:41">
      <c r="AC2701" s="78" t="s">
        <v>53</v>
      </c>
      <c r="AD2701" s="78" t="s">
        <v>20</v>
      </c>
      <c r="AE2701" s="78" t="s">
        <v>72</v>
      </c>
      <c r="AF2701" s="78" t="s">
        <v>51</v>
      </c>
      <c r="AG2701" s="78" t="s">
        <v>277</v>
      </c>
      <c r="AH2701" s="78">
        <v>3.9984999999999999</v>
      </c>
      <c r="AJ2701" s="78" t="s">
        <v>74</v>
      </c>
      <c r="AK2701" s="78" t="s">
        <v>87</v>
      </c>
      <c r="AL2701" s="78" t="s">
        <v>25</v>
      </c>
      <c r="AM2701" s="78" t="s">
        <v>51</v>
      </c>
      <c r="AN2701" s="78" t="s">
        <v>228</v>
      </c>
      <c r="AO2701" s="78">
        <v>2.9596582925735899</v>
      </c>
    </row>
    <row r="2702" spans="29:41">
      <c r="AC2702" s="78" t="s">
        <v>53</v>
      </c>
      <c r="AD2702" s="78" t="s">
        <v>20</v>
      </c>
      <c r="AE2702" s="78" t="s">
        <v>72</v>
      </c>
      <c r="AF2702" s="78" t="s">
        <v>51</v>
      </c>
      <c r="AG2702" s="78" t="s">
        <v>278</v>
      </c>
      <c r="AH2702" s="78">
        <v>3.9984999999999999</v>
      </c>
      <c r="AJ2702" s="78" t="s">
        <v>74</v>
      </c>
      <c r="AK2702" s="78" t="s">
        <v>87</v>
      </c>
      <c r="AL2702" s="78" t="s">
        <v>25</v>
      </c>
      <c r="AM2702" s="78" t="s">
        <v>51</v>
      </c>
      <c r="AN2702" s="78" t="s">
        <v>229</v>
      </c>
      <c r="AO2702" s="78">
        <v>2.8898853758214198</v>
      </c>
    </row>
    <row r="2703" spans="29:41">
      <c r="AC2703" s="78" t="s">
        <v>53</v>
      </c>
      <c r="AD2703" s="78" t="s">
        <v>20</v>
      </c>
      <c r="AE2703" s="78" t="s">
        <v>72</v>
      </c>
      <c r="AF2703" s="78" t="s">
        <v>51</v>
      </c>
      <c r="AG2703" s="78" t="s">
        <v>279</v>
      </c>
      <c r="AH2703" s="78">
        <v>4.0943750000000003</v>
      </c>
      <c r="AJ2703" s="78" t="s">
        <v>74</v>
      </c>
      <c r="AK2703" s="78" t="s">
        <v>87</v>
      </c>
      <c r="AL2703" s="78" t="s">
        <v>25</v>
      </c>
      <c r="AM2703" s="78" t="s">
        <v>51</v>
      </c>
      <c r="AN2703" s="78" t="s">
        <v>216</v>
      </c>
      <c r="AO2703" s="78">
        <v>2.85986737962509</v>
      </c>
    </row>
    <row r="2704" spans="29:41">
      <c r="AC2704" s="78" t="s">
        <v>53</v>
      </c>
      <c r="AD2704" s="78" t="s">
        <v>20</v>
      </c>
      <c r="AE2704" s="78" t="s">
        <v>72</v>
      </c>
      <c r="AF2704" s="78" t="s">
        <v>51</v>
      </c>
      <c r="AG2704" s="78" t="s">
        <v>280</v>
      </c>
      <c r="AH2704" s="78">
        <v>4.126125</v>
      </c>
      <c r="AJ2704" s="78" t="s">
        <v>74</v>
      </c>
      <c r="AK2704" s="78" t="s">
        <v>87</v>
      </c>
      <c r="AL2704" s="78" t="s">
        <v>25</v>
      </c>
      <c r="AM2704" s="78" t="s">
        <v>51</v>
      </c>
      <c r="AN2704" s="78" t="s">
        <v>230</v>
      </c>
      <c r="AO2704" s="78">
        <v>2.8344803887664098</v>
      </c>
    </row>
    <row r="2705" spans="29:41">
      <c r="AC2705" s="78" t="s">
        <v>53</v>
      </c>
      <c r="AD2705" s="78" t="s">
        <v>20</v>
      </c>
      <c r="AE2705" s="78" t="s">
        <v>72</v>
      </c>
      <c r="AF2705" s="78" t="s">
        <v>51</v>
      </c>
      <c r="AG2705" s="78" t="s">
        <v>281</v>
      </c>
      <c r="AH2705" s="78">
        <v>4.0943750000000003</v>
      </c>
      <c r="AJ2705" s="78" t="s">
        <v>74</v>
      </c>
      <c r="AK2705" s="78" t="s">
        <v>87</v>
      </c>
      <c r="AL2705" s="78" t="s">
        <v>25</v>
      </c>
      <c r="AM2705" s="78" t="s">
        <v>51</v>
      </c>
      <c r="AN2705" s="78" t="s">
        <v>231</v>
      </c>
      <c r="AO2705" s="78">
        <v>2.79004351105465</v>
      </c>
    </row>
    <row r="2706" spans="29:41">
      <c r="AC2706" s="78" t="s">
        <v>53</v>
      </c>
      <c r="AD2706" s="78" t="s">
        <v>20</v>
      </c>
      <c r="AE2706" s="78" t="s">
        <v>72</v>
      </c>
      <c r="AF2706" s="78" t="s">
        <v>51</v>
      </c>
      <c r="AG2706" s="78" t="s">
        <v>282</v>
      </c>
      <c r="AH2706" s="78">
        <v>4.0943750000000003</v>
      </c>
      <c r="AJ2706" s="78" t="s">
        <v>74</v>
      </c>
      <c r="AK2706" s="78" t="s">
        <v>87</v>
      </c>
      <c r="AL2706" s="78" t="s">
        <v>25</v>
      </c>
      <c r="AM2706" s="78" t="s">
        <v>51</v>
      </c>
      <c r="AN2706" s="78" t="s">
        <v>232</v>
      </c>
      <c r="AO2706" s="78">
        <v>2.9080768711615201</v>
      </c>
    </row>
    <row r="2707" spans="29:41">
      <c r="AC2707" s="78" t="s">
        <v>53</v>
      </c>
      <c r="AD2707" s="78" t="s">
        <v>20</v>
      </c>
      <c r="AE2707" s="78" t="s">
        <v>72</v>
      </c>
      <c r="AF2707" s="78" t="s">
        <v>51</v>
      </c>
      <c r="AG2707" s="78" t="s">
        <v>283</v>
      </c>
      <c r="AH2707" s="78">
        <v>4.126125</v>
      </c>
      <c r="AJ2707" s="78" t="s">
        <v>74</v>
      </c>
      <c r="AK2707" s="78" t="s">
        <v>87</v>
      </c>
      <c r="AL2707" s="78" t="s">
        <v>25</v>
      </c>
      <c r="AM2707" s="78" t="s">
        <v>51</v>
      </c>
      <c r="AN2707" s="78" t="s">
        <v>215</v>
      </c>
      <c r="AO2707" s="78">
        <v>2.9117942461472701</v>
      </c>
    </row>
    <row r="2708" spans="29:41">
      <c r="AC2708" s="78" t="s">
        <v>53</v>
      </c>
      <c r="AD2708" s="78" t="s">
        <v>20</v>
      </c>
      <c r="AE2708" s="78" t="s">
        <v>72</v>
      </c>
      <c r="AF2708" s="78" t="s">
        <v>51</v>
      </c>
      <c r="AG2708" s="78" t="s">
        <v>284</v>
      </c>
      <c r="AH2708" s="78">
        <v>4.1583750000000004</v>
      </c>
      <c r="AJ2708" s="78" t="s">
        <v>74</v>
      </c>
      <c r="AK2708" s="78" t="s">
        <v>87</v>
      </c>
      <c r="AL2708" s="78" t="s">
        <v>25</v>
      </c>
      <c r="AM2708" s="78" t="s">
        <v>51</v>
      </c>
      <c r="AN2708" s="78" t="s">
        <v>217</v>
      </c>
      <c r="AO2708" s="78">
        <v>2.9085457311755398</v>
      </c>
    </row>
    <row r="2709" spans="29:41">
      <c r="AC2709" s="78" t="s">
        <v>53</v>
      </c>
      <c r="AD2709" s="78" t="s">
        <v>20</v>
      </c>
      <c r="AE2709" s="78" t="s">
        <v>72</v>
      </c>
      <c r="AF2709" s="78" t="s">
        <v>51</v>
      </c>
      <c r="AG2709" s="78" t="s">
        <v>285</v>
      </c>
      <c r="AH2709" s="78">
        <v>4.2537500000000001</v>
      </c>
      <c r="AJ2709" s="78" t="s">
        <v>74</v>
      </c>
      <c r="AK2709" s="78" t="s">
        <v>87</v>
      </c>
      <c r="AL2709" s="78" t="s">
        <v>25</v>
      </c>
      <c r="AM2709" s="78" t="s">
        <v>51</v>
      </c>
      <c r="AN2709" s="78" t="s">
        <v>237</v>
      </c>
      <c r="AO2709" s="78">
        <v>2.9130814289562301</v>
      </c>
    </row>
    <row r="2710" spans="29:41">
      <c r="AC2710" s="78" t="s">
        <v>53</v>
      </c>
      <c r="AD2710" s="78" t="s">
        <v>20</v>
      </c>
      <c r="AE2710" s="78" t="s">
        <v>72</v>
      </c>
      <c r="AF2710" s="78" t="s">
        <v>51</v>
      </c>
      <c r="AG2710" s="78" t="s">
        <v>286</v>
      </c>
      <c r="AH2710" s="78">
        <v>4.2537500000000001</v>
      </c>
      <c r="AJ2710" s="78" t="s">
        <v>74</v>
      </c>
      <c r="AK2710" s="78" t="s">
        <v>87</v>
      </c>
      <c r="AL2710" s="78" t="s">
        <v>25</v>
      </c>
      <c r="AM2710" s="78" t="s">
        <v>51</v>
      </c>
      <c r="AN2710" s="78" t="s">
        <v>238</v>
      </c>
      <c r="AO2710" s="78">
        <v>2.9344470402340699</v>
      </c>
    </row>
    <row r="2711" spans="29:41">
      <c r="AC2711" s="78" t="s">
        <v>53</v>
      </c>
      <c r="AD2711" s="78" t="s">
        <v>20</v>
      </c>
      <c r="AE2711" s="78" t="s">
        <v>72</v>
      </c>
      <c r="AF2711" s="78" t="s">
        <v>51</v>
      </c>
      <c r="AG2711" s="78" t="s">
        <v>287</v>
      </c>
      <c r="AH2711" s="78">
        <v>4.3496249999999996</v>
      </c>
      <c r="AJ2711" s="78" t="s">
        <v>74</v>
      </c>
      <c r="AK2711" s="78" t="s">
        <v>87</v>
      </c>
      <c r="AL2711" s="78" t="s">
        <v>25</v>
      </c>
      <c r="AM2711" s="78" t="s">
        <v>51</v>
      </c>
      <c r="AN2711" s="78" t="s">
        <v>239</v>
      </c>
      <c r="AO2711" s="78">
        <v>2.9096799662845698</v>
      </c>
    </row>
    <row r="2712" spans="29:41">
      <c r="AC2712" s="78" t="s">
        <v>53</v>
      </c>
      <c r="AD2712" s="78" t="s">
        <v>20</v>
      </c>
      <c r="AE2712" s="78" t="s">
        <v>72</v>
      </c>
      <c r="AF2712" s="78" t="s">
        <v>51</v>
      </c>
      <c r="AG2712" s="78" t="s">
        <v>288</v>
      </c>
      <c r="AH2712" s="78">
        <v>4.3496249999999996</v>
      </c>
      <c r="AJ2712" s="78" t="s">
        <v>74</v>
      </c>
      <c r="AK2712" s="78" t="s">
        <v>87</v>
      </c>
      <c r="AL2712" s="78" t="s">
        <v>25</v>
      </c>
      <c r="AM2712" s="78" t="s">
        <v>51</v>
      </c>
      <c r="AN2712" s="78" t="s">
        <v>240</v>
      </c>
      <c r="AO2712" s="78">
        <v>2.9358931445910401</v>
      </c>
    </row>
    <row r="2713" spans="29:41">
      <c r="AC2713" s="78" t="s">
        <v>53</v>
      </c>
      <c r="AD2713" s="78" t="s">
        <v>20</v>
      </c>
      <c r="AE2713" s="78" t="s">
        <v>72</v>
      </c>
      <c r="AF2713" s="78" t="s">
        <v>51</v>
      </c>
      <c r="AG2713" s="78" t="s">
        <v>289</v>
      </c>
      <c r="AH2713" s="78">
        <v>4.2537500000000001</v>
      </c>
      <c r="AJ2713" s="78" t="s">
        <v>74</v>
      </c>
      <c r="AK2713" s="78" t="s">
        <v>87</v>
      </c>
      <c r="AL2713" s="78" t="s">
        <v>25</v>
      </c>
      <c r="AM2713" s="78" t="s">
        <v>51</v>
      </c>
      <c r="AN2713" s="78" t="s">
        <v>241</v>
      </c>
      <c r="AO2713" s="78">
        <v>2.90498942377981</v>
      </c>
    </row>
    <row r="2714" spans="29:41">
      <c r="AC2714" s="78" t="s">
        <v>53</v>
      </c>
      <c r="AD2714" s="78" t="s">
        <v>20</v>
      </c>
      <c r="AE2714" s="78" t="s">
        <v>72</v>
      </c>
      <c r="AF2714" s="78" t="s">
        <v>51</v>
      </c>
      <c r="AG2714" s="78" t="s">
        <v>290</v>
      </c>
      <c r="AH2714" s="78">
        <v>4.2220000000000004</v>
      </c>
      <c r="AJ2714" s="78" t="s">
        <v>74</v>
      </c>
      <c r="AK2714" s="78" t="s">
        <v>87</v>
      </c>
      <c r="AL2714" s="78" t="s">
        <v>25</v>
      </c>
      <c r="AM2714" s="78" t="s">
        <v>51</v>
      </c>
      <c r="AN2714" s="78" t="s">
        <v>242</v>
      </c>
      <c r="AO2714" s="78">
        <v>2.8787744272910301</v>
      </c>
    </row>
    <row r="2715" spans="29:41">
      <c r="AC2715" s="78" t="s">
        <v>53</v>
      </c>
      <c r="AD2715" s="78" t="s">
        <v>20</v>
      </c>
      <c r="AE2715" s="78" t="s">
        <v>72</v>
      </c>
      <c r="AF2715" s="78" t="s">
        <v>51</v>
      </c>
      <c r="AG2715" s="78" t="s">
        <v>291</v>
      </c>
      <c r="AH2715" s="78">
        <v>4.2537500000000001</v>
      </c>
      <c r="AJ2715" s="78" t="s">
        <v>74</v>
      </c>
      <c r="AK2715" s="78" t="s">
        <v>87</v>
      </c>
      <c r="AL2715" s="78" t="s">
        <v>25</v>
      </c>
      <c r="AM2715" s="78" t="s">
        <v>51</v>
      </c>
      <c r="AN2715" s="78" t="s">
        <v>243</v>
      </c>
      <c r="AO2715" s="78">
        <v>2.9185627226684798</v>
      </c>
    </row>
    <row r="2716" spans="29:41">
      <c r="AC2716" s="78" t="s">
        <v>53</v>
      </c>
      <c r="AD2716" s="78" t="s">
        <v>20</v>
      </c>
      <c r="AE2716" s="78" t="s">
        <v>72</v>
      </c>
      <c r="AF2716" s="78" t="s">
        <v>51</v>
      </c>
      <c r="AG2716" s="78" t="s">
        <v>292</v>
      </c>
      <c r="AH2716" s="78">
        <v>4.2537500000000001</v>
      </c>
      <c r="AJ2716" s="78" t="s">
        <v>74</v>
      </c>
      <c r="AK2716" s="78" t="s">
        <v>87</v>
      </c>
      <c r="AL2716" s="78" t="s">
        <v>25</v>
      </c>
      <c r="AM2716" s="78" t="s">
        <v>51</v>
      </c>
      <c r="AN2716" s="78" t="s">
        <v>244</v>
      </c>
      <c r="AO2716" s="78">
        <v>2.9027513521030701</v>
      </c>
    </row>
    <row r="2717" spans="29:41">
      <c r="AC2717" s="78" t="s">
        <v>53</v>
      </c>
      <c r="AD2717" s="78" t="s">
        <v>20</v>
      </c>
      <c r="AE2717" s="78" t="s">
        <v>72</v>
      </c>
      <c r="AF2717" s="78" t="s">
        <v>51</v>
      </c>
      <c r="AG2717" s="78" t="s">
        <v>293</v>
      </c>
      <c r="AH2717" s="78">
        <v>4.2220000000000004</v>
      </c>
      <c r="AJ2717" s="78" t="s">
        <v>74</v>
      </c>
      <c r="AK2717" s="78" t="s">
        <v>87</v>
      </c>
      <c r="AL2717" s="78" t="s">
        <v>25</v>
      </c>
      <c r="AM2717" s="78" t="s">
        <v>51</v>
      </c>
      <c r="AN2717" s="78" t="s">
        <v>245</v>
      </c>
      <c r="AO2717" s="78">
        <v>2.9327229891480799</v>
      </c>
    </row>
    <row r="2718" spans="29:41">
      <c r="AC2718" s="78" t="s">
        <v>53</v>
      </c>
      <c r="AD2718" s="78" t="s">
        <v>20</v>
      </c>
      <c r="AE2718" s="78" t="s">
        <v>72</v>
      </c>
      <c r="AF2718" s="78" t="s">
        <v>51</v>
      </c>
      <c r="AG2718" s="78" t="s">
        <v>294</v>
      </c>
      <c r="AH2718" s="78">
        <v>4.2537500000000001</v>
      </c>
      <c r="AJ2718" s="78" t="s">
        <v>74</v>
      </c>
      <c r="AK2718" s="78" t="s">
        <v>87</v>
      </c>
      <c r="AL2718" s="78" t="s">
        <v>25</v>
      </c>
      <c r="AM2718" s="78" t="s">
        <v>51</v>
      </c>
      <c r="AN2718" s="78" t="s">
        <v>246</v>
      </c>
      <c r="AO2718" s="78">
        <v>2.9154645829543302</v>
      </c>
    </row>
    <row r="2719" spans="29:41">
      <c r="AC2719" s="78" t="s">
        <v>53</v>
      </c>
      <c r="AD2719" s="78" t="s">
        <v>20</v>
      </c>
      <c r="AE2719" s="78" t="s">
        <v>72</v>
      </c>
      <c r="AF2719" s="78" t="s">
        <v>51</v>
      </c>
      <c r="AG2719" s="78" t="s">
        <v>235</v>
      </c>
      <c r="AH2719" s="78">
        <v>4.3177500000000002</v>
      </c>
      <c r="AJ2719" s="78" t="s">
        <v>74</v>
      </c>
      <c r="AK2719" s="78" t="s">
        <v>87</v>
      </c>
      <c r="AL2719" s="78" t="s">
        <v>25</v>
      </c>
      <c r="AM2719" s="78" t="s">
        <v>51</v>
      </c>
      <c r="AN2719" s="78" t="s">
        <v>247</v>
      </c>
      <c r="AO2719" s="78">
        <v>2.90800506731745</v>
      </c>
    </row>
    <row r="2720" spans="29:41">
      <c r="AC2720" s="78" t="s">
        <v>53</v>
      </c>
      <c r="AD2720" s="78" t="s">
        <v>20</v>
      </c>
      <c r="AE2720" s="78" t="s">
        <v>72</v>
      </c>
      <c r="AF2720" s="78" t="s">
        <v>51</v>
      </c>
      <c r="AG2720" s="78" t="s">
        <v>295</v>
      </c>
      <c r="AH2720" s="78">
        <v>4.3177500000000002</v>
      </c>
      <c r="AJ2720" s="78" t="s">
        <v>74</v>
      </c>
      <c r="AK2720" s="78" t="s">
        <v>87</v>
      </c>
      <c r="AL2720" s="78" t="s">
        <v>25</v>
      </c>
      <c r="AM2720" s="78" t="s">
        <v>51</v>
      </c>
      <c r="AN2720" s="78" t="s">
        <v>248</v>
      </c>
      <c r="AO2720" s="78">
        <v>2.9912109118513701</v>
      </c>
    </row>
    <row r="2721" spans="29:41">
      <c r="AC2721" s="78" t="s">
        <v>53</v>
      </c>
      <c r="AD2721" s="78" t="s">
        <v>20</v>
      </c>
      <c r="AE2721" s="78" t="s">
        <v>72</v>
      </c>
      <c r="AF2721" s="78" t="s">
        <v>51</v>
      </c>
      <c r="AG2721" s="78" t="s">
        <v>296</v>
      </c>
      <c r="AH2721" s="78">
        <v>4.3177500000000002</v>
      </c>
      <c r="AJ2721" s="78" t="s">
        <v>74</v>
      </c>
      <c r="AK2721" s="78" t="s">
        <v>87</v>
      </c>
      <c r="AL2721" s="78" t="s">
        <v>25</v>
      </c>
      <c r="AM2721" s="78" t="s">
        <v>51</v>
      </c>
      <c r="AN2721" s="78" t="s">
        <v>249</v>
      </c>
      <c r="AO2721" s="78">
        <v>2.9926621611582802</v>
      </c>
    </row>
    <row r="2722" spans="29:41">
      <c r="AC2722" s="78" t="s">
        <v>53</v>
      </c>
      <c r="AD2722" s="78" t="s">
        <v>20</v>
      </c>
      <c r="AE2722" s="78" t="s">
        <v>72</v>
      </c>
      <c r="AF2722" s="78" t="s">
        <v>51</v>
      </c>
      <c r="AG2722" s="78" t="s">
        <v>297</v>
      </c>
      <c r="AH2722" s="78">
        <v>4.2537500000000001</v>
      </c>
      <c r="AJ2722" s="78" t="s">
        <v>74</v>
      </c>
      <c r="AK2722" s="78" t="s">
        <v>87</v>
      </c>
      <c r="AL2722" s="78" t="s">
        <v>25</v>
      </c>
      <c r="AM2722" s="78" t="s">
        <v>51</v>
      </c>
      <c r="AN2722" s="78" t="s">
        <v>250</v>
      </c>
      <c r="AO2722" s="78">
        <v>2.8946199392202701</v>
      </c>
    </row>
    <row r="2723" spans="29:41">
      <c r="AC2723" s="78" t="s">
        <v>53</v>
      </c>
      <c r="AD2723" s="78" t="s">
        <v>20</v>
      </c>
      <c r="AE2723" s="78" t="s">
        <v>72</v>
      </c>
      <c r="AF2723" s="78" t="s">
        <v>51</v>
      </c>
      <c r="AG2723" s="78" t="s">
        <v>298</v>
      </c>
      <c r="AH2723" s="78">
        <v>4.2220000000000004</v>
      </c>
      <c r="AJ2723" s="78" t="s">
        <v>74</v>
      </c>
      <c r="AK2723" s="78" t="s">
        <v>87</v>
      </c>
      <c r="AL2723" s="78" t="s">
        <v>25</v>
      </c>
      <c r="AM2723" s="78" t="s">
        <v>51</v>
      </c>
      <c r="AN2723" s="78" t="s">
        <v>251</v>
      </c>
      <c r="AO2723" s="78">
        <v>2.8362882018725202</v>
      </c>
    </row>
    <row r="2724" spans="29:41">
      <c r="AC2724" s="78" t="s">
        <v>53</v>
      </c>
      <c r="AD2724" s="78" t="s">
        <v>20</v>
      </c>
      <c r="AE2724" s="78" t="s">
        <v>72</v>
      </c>
      <c r="AF2724" s="78" t="s">
        <v>51</v>
      </c>
      <c r="AG2724" s="78" t="s">
        <v>299</v>
      </c>
      <c r="AH2724" s="78">
        <v>4.1583750000000004</v>
      </c>
      <c r="AJ2724" s="78" t="s">
        <v>74</v>
      </c>
      <c r="AK2724" s="78" t="s">
        <v>87</v>
      </c>
      <c r="AL2724" s="78" t="s">
        <v>25</v>
      </c>
      <c r="AM2724" s="78" t="s">
        <v>51</v>
      </c>
      <c r="AN2724" s="78" t="s">
        <v>252</v>
      </c>
      <c r="AO2724" s="78">
        <v>2.91486476009828</v>
      </c>
    </row>
    <row r="2725" spans="29:41">
      <c r="AC2725" s="78" t="s">
        <v>53</v>
      </c>
      <c r="AD2725" s="78" t="s">
        <v>20</v>
      </c>
      <c r="AE2725" s="78" t="s">
        <v>72</v>
      </c>
      <c r="AF2725" s="78" t="s">
        <v>51</v>
      </c>
      <c r="AG2725" s="78" t="s">
        <v>300</v>
      </c>
      <c r="AH2725" s="78">
        <v>4.1901250000000001</v>
      </c>
      <c r="AJ2725" s="78" t="s">
        <v>74</v>
      </c>
      <c r="AK2725" s="78" t="s">
        <v>87</v>
      </c>
      <c r="AL2725" s="78" t="s">
        <v>25</v>
      </c>
      <c r="AM2725" s="78" t="s">
        <v>51</v>
      </c>
      <c r="AN2725" s="78" t="s">
        <v>253</v>
      </c>
      <c r="AO2725" s="78">
        <v>2.8594352216235301</v>
      </c>
    </row>
    <row r="2726" spans="29:41">
      <c r="AC2726" s="78" t="s">
        <v>53</v>
      </c>
      <c r="AD2726" s="78" t="s">
        <v>20</v>
      </c>
      <c r="AE2726" s="78" t="s">
        <v>72</v>
      </c>
      <c r="AF2726" s="78" t="s">
        <v>51</v>
      </c>
      <c r="AG2726" s="78" t="s">
        <v>301</v>
      </c>
      <c r="AH2726" s="78">
        <v>4.3813750000000002</v>
      </c>
      <c r="AJ2726" s="78" t="s">
        <v>74</v>
      </c>
      <c r="AK2726" s="78" t="s">
        <v>87</v>
      </c>
      <c r="AL2726" s="78" t="s">
        <v>25</v>
      </c>
      <c r="AM2726" s="78" t="s">
        <v>51</v>
      </c>
      <c r="AN2726" s="78" t="s">
        <v>254</v>
      </c>
      <c r="AO2726" s="78">
        <v>2.8734950564364601</v>
      </c>
    </row>
    <row r="2727" spans="29:41">
      <c r="AC2727" s="78" t="s">
        <v>53</v>
      </c>
      <c r="AD2727" s="78" t="s">
        <v>20</v>
      </c>
      <c r="AE2727" s="78" t="s">
        <v>72</v>
      </c>
      <c r="AF2727" s="78" t="s">
        <v>51</v>
      </c>
      <c r="AG2727" s="78" t="s">
        <v>302</v>
      </c>
      <c r="AH2727" s="78">
        <v>4.3177500000000002</v>
      </c>
      <c r="AJ2727" s="78" t="s">
        <v>74</v>
      </c>
      <c r="AK2727" s="78" t="s">
        <v>87</v>
      </c>
      <c r="AL2727" s="78" t="s">
        <v>25</v>
      </c>
      <c r="AM2727" s="78" t="s">
        <v>51</v>
      </c>
      <c r="AN2727" s="78" t="s">
        <v>255</v>
      </c>
      <c r="AO2727" s="78">
        <v>2.8712695086990299</v>
      </c>
    </row>
    <row r="2728" spans="29:41">
      <c r="AC2728" s="78" t="s">
        <v>53</v>
      </c>
      <c r="AD2728" s="78" t="s">
        <v>20</v>
      </c>
      <c r="AE2728" s="78" t="s">
        <v>72</v>
      </c>
      <c r="AF2728" s="78" t="s">
        <v>51</v>
      </c>
      <c r="AG2728" s="78" t="s">
        <v>303</v>
      </c>
      <c r="AH2728" s="78">
        <v>4.1901250000000001</v>
      </c>
      <c r="AJ2728" s="78" t="s">
        <v>74</v>
      </c>
      <c r="AK2728" s="78" t="s">
        <v>87</v>
      </c>
      <c r="AL2728" s="78" t="s">
        <v>25</v>
      </c>
      <c r="AM2728" s="78" t="s">
        <v>51</v>
      </c>
      <c r="AN2728" s="78" t="s">
        <v>256</v>
      </c>
      <c r="AO2728" s="78">
        <v>2.8987506443333801</v>
      </c>
    </row>
    <row r="2729" spans="29:41">
      <c r="AC2729" s="78" t="s">
        <v>53</v>
      </c>
      <c r="AD2729" s="78" t="s">
        <v>20</v>
      </c>
      <c r="AE2729" s="78" t="s">
        <v>72</v>
      </c>
      <c r="AF2729" s="78" t="s">
        <v>51</v>
      </c>
      <c r="AG2729" s="78" t="s">
        <v>304</v>
      </c>
      <c r="AH2729" s="78">
        <v>4.1583750000000004</v>
      </c>
      <c r="AJ2729" s="78" t="s">
        <v>74</v>
      </c>
      <c r="AK2729" s="78" t="s">
        <v>87</v>
      </c>
      <c r="AL2729" s="78" t="s">
        <v>25</v>
      </c>
      <c r="AM2729" s="78" t="s">
        <v>51</v>
      </c>
      <c r="AN2729" s="78" t="s">
        <v>257</v>
      </c>
      <c r="AO2729" s="78">
        <v>2.8546348135519901</v>
      </c>
    </row>
    <row r="2730" spans="29:41">
      <c r="AC2730" s="78" t="s">
        <v>53</v>
      </c>
      <c r="AD2730" s="78" t="s">
        <v>20</v>
      </c>
      <c r="AE2730" s="78" t="s">
        <v>72</v>
      </c>
      <c r="AF2730" s="78" t="s">
        <v>51</v>
      </c>
      <c r="AG2730" s="78" t="s">
        <v>305</v>
      </c>
      <c r="AH2730" s="78">
        <v>4.1901250000000001</v>
      </c>
      <c r="AJ2730" s="78" t="s">
        <v>74</v>
      </c>
      <c r="AK2730" s="78" t="s">
        <v>87</v>
      </c>
      <c r="AL2730" s="78" t="s">
        <v>25</v>
      </c>
      <c r="AM2730" s="78" t="s">
        <v>51</v>
      </c>
      <c r="AN2730" s="78" t="s">
        <v>258</v>
      </c>
      <c r="AO2730" s="78">
        <v>2.8124515814242899</v>
      </c>
    </row>
    <row r="2731" spans="29:41">
      <c r="AC2731" s="78" t="s">
        <v>53</v>
      </c>
      <c r="AD2731" s="78" t="s">
        <v>20</v>
      </c>
      <c r="AE2731" s="78" t="s">
        <v>72</v>
      </c>
      <c r="AF2731" s="78" t="s">
        <v>51</v>
      </c>
      <c r="AG2731" s="78" t="s">
        <v>306</v>
      </c>
      <c r="AH2731" s="78">
        <v>4.1901250000000001</v>
      </c>
      <c r="AJ2731" s="78" t="s">
        <v>74</v>
      </c>
      <c r="AK2731" s="78" t="s">
        <v>87</v>
      </c>
      <c r="AL2731" s="78" t="s">
        <v>25</v>
      </c>
      <c r="AM2731" s="78" t="s">
        <v>51</v>
      </c>
      <c r="AN2731" s="78" t="s">
        <v>259</v>
      </c>
      <c r="AO2731" s="78">
        <v>2.8018988061488499</v>
      </c>
    </row>
    <row r="2732" spans="29:41">
      <c r="AC2732" s="78" t="s">
        <v>53</v>
      </c>
      <c r="AD2732" s="78" t="s">
        <v>20</v>
      </c>
      <c r="AE2732" s="78" t="s">
        <v>72</v>
      </c>
      <c r="AF2732" s="78" t="s">
        <v>51</v>
      </c>
      <c r="AG2732" s="78" t="s">
        <v>307</v>
      </c>
      <c r="AH2732" s="78">
        <v>4.1901250000000001</v>
      </c>
      <c r="AJ2732" s="78" t="s">
        <v>74</v>
      </c>
      <c r="AK2732" s="78" t="s">
        <v>87</v>
      </c>
      <c r="AL2732" s="78" t="s">
        <v>25</v>
      </c>
      <c r="AM2732" s="78" t="s">
        <v>51</v>
      </c>
      <c r="AN2732" s="78" t="s">
        <v>260</v>
      </c>
      <c r="AO2732" s="78">
        <v>2.7784102270308701</v>
      </c>
    </row>
    <row r="2733" spans="29:41">
      <c r="AC2733" s="78" t="s">
        <v>53</v>
      </c>
      <c r="AD2733" s="78" t="s">
        <v>20</v>
      </c>
      <c r="AE2733" s="78" t="s">
        <v>72</v>
      </c>
      <c r="AF2733" s="78" t="s">
        <v>51</v>
      </c>
      <c r="AG2733" s="78" t="s">
        <v>308</v>
      </c>
      <c r="AH2733" s="78">
        <v>4.2220000000000004</v>
      </c>
      <c r="AJ2733" s="78" t="s">
        <v>74</v>
      </c>
      <c r="AK2733" s="78" t="s">
        <v>87</v>
      </c>
      <c r="AL2733" s="78" t="s">
        <v>25</v>
      </c>
      <c r="AM2733" s="78" t="s">
        <v>51</v>
      </c>
      <c r="AN2733" s="78" t="s">
        <v>261</v>
      </c>
      <c r="AO2733" s="78">
        <v>2.7296334551710499</v>
      </c>
    </row>
    <row r="2734" spans="29:41">
      <c r="AC2734" s="78" t="s">
        <v>53</v>
      </c>
      <c r="AD2734" s="78" t="s">
        <v>20</v>
      </c>
      <c r="AE2734" s="78" t="s">
        <v>72</v>
      </c>
      <c r="AF2734" s="78" t="s">
        <v>51</v>
      </c>
      <c r="AG2734" s="78" t="s">
        <v>309</v>
      </c>
      <c r="AH2734" s="78">
        <v>4.3496249999999996</v>
      </c>
      <c r="AJ2734" s="78" t="s">
        <v>74</v>
      </c>
      <c r="AK2734" s="78" t="s">
        <v>87</v>
      </c>
      <c r="AL2734" s="78" t="s">
        <v>25</v>
      </c>
      <c r="AM2734" s="78" t="s">
        <v>51</v>
      </c>
      <c r="AN2734" s="78" t="s">
        <v>262</v>
      </c>
      <c r="AO2734" s="78">
        <v>2.7734212235563001</v>
      </c>
    </row>
    <row r="2735" spans="29:41">
      <c r="AC2735" s="78" t="s">
        <v>53</v>
      </c>
      <c r="AD2735" s="78" t="s">
        <v>20</v>
      </c>
      <c r="AE2735" s="78" t="s">
        <v>72</v>
      </c>
      <c r="AF2735" s="78" t="s">
        <v>51</v>
      </c>
      <c r="AG2735" s="78" t="s">
        <v>310</v>
      </c>
      <c r="AH2735" s="78">
        <v>4.3496249999999996</v>
      </c>
      <c r="AJ2735" s="78" t="s">
        <v>74</v>
      </c>
      <c r="AK2735" s="78" t="s">
        <v>87</v>
      </c>
      <c r="AL2735" s="78" t="s">
        <v>25</v>
      </c>
      <c r="AM2735" s="78" t="s">
        <v>51</v>
      </c>
      <c r="AN2735" s="78" t="s">
        <v>263</v>
      </c>
      <c r="AO2735" s="78">
        <v>2.7570320859498798</v>
      </c>
    </row>
    <row r="2736" spans="29:41">
      <c r="AC2736" s="78" t="s">
        <v>53</v>
      </c>
      <c r="AD2736" s="78" t="s">
        <v>20</v>
      </c>
      <c r="AE2736" s="78" t="s">
        <v>72</v>
      </c>
      <c r="AF2736" s="78" t="s">
        <v>51</v>
      </c>
      <c r="AG2736" s="78" t="s">
        <v>234</v>
      </c>
      <c r="AH2736" s="78">
        <v>4.2537500000000001</v>
      </c>
      <c r="AJ2736" s="78" t="s">
        <v>74</v>
      </c>
      <c r="AK2736" s="78" t="s">
        <v>87</v>
      </c>
      <c r="AL2736" s="78" t="s">
        <v>25</v>
      </c>
      <c r="AM2736" s="78" t="s">
        <v>51</v>
      </c>
      <c r="AN2736" s="78" t="s">
        <v>264</v>
      </c>
      <c r="AO2736" s="78">
        <v>2.77010275743095</v>
      </c>
    </row>
    <row r="2737" spans="29:41">
      <c r="AC2737" s="78" t="s">
        <v>53</v>
      </c>
      <c r="AD2737" s="78" t="s">
        <v>20</v>
      </c>
      <c r="AE2737" s="78" t="s">
        <v>72</v>
      </c>
      <c r="AF2737" s="78" t="s">
        <v>51</v>
      </c>
      <c r="AG2737" s="78" t="s">
        <v>311</v>
      </c>
      <c r="AH2737" s="78">
        <v>4.2220000000000004</v>
      </c>
      <c r="AJ2737" s="78" t="s">
        <v>74</v>
      </c>
      <c r="AK2737" s="78" t="s">
        <v>87</v>
      </c>
      <c r="AL2737" s="78" t="s">
        <v>25</v>
      </c>
      <c r="AM2737" s="78" t="s">
        <v>51</v>
      </c>
      <c r="AN2737" s="78" t="s">
        <v>265</v>
      </c>
      <c r="AO2737" s="78">
        <v>2.81486937200697</v>
      </c>
    </row>
    <row r="2738" spans="29:41">
      <c r="AC2738" s="78" t="s">
        <v>53</v>
      </c>
      <c r="AD2738" s="78" t="s">
        <v>20</v>
      </c>
      <c r="AE2738" s="78" t="s">
        <v>72</v>
      </c>
      <c r="AF2738" s="78" t="s">
        <v>51</v>
      </c>
      <c r="AG2738" s="78" t="s">
        <v>312</v>
      </c>
      <c r="AH2738" s="78">
        <v>4.1901250000000001</v>
      </c>
      <c r="AJ2738" s="78" t="s">
        <v>74</v>
      </c>
      <c r="AK2738" s="78" t="s">
        <v>87</v>
      </c>
      <c r="AL2738" s="78" t="s">
        <v>25</v>
      </c>
      <c r="AM2738" s="78" t="s">
        <v>51</v>
      </c>
      <c r="AN2738" s="78" t="s">
        <v>266</v>
      </c>
      <c r="AO2738" s="78">
        <v>2.8165675160693602</v>
      </c>
    </row>
    <row r="2739" spans="29:41">
      <c r="AC2739" s="78" t="s">
        <v>53</v>
      </c>
      <c r="AD2739" s="78" t="s">
        <v>20</v>
      </c>
      <c r="AE2739" s="78" t="s">
        <v>72</v>
      </c>
      <c r="AF2739" s="78" t="s">
        <v>51</v>
      </c>
      <c r="AG2739" s="78" t="s">
        <v>313</v>
      </c>
      <c r="AH2739" s="78">
        <v>4.2220000000000004</v>
      </c>
      <c r="AJ2739" s="78" t="s">
        <v>74</v>
      </c>
      <c r="AK2739" s="78" t="s">
        <v>87</v>
      </c>
      <c r="AL2739" s="78" t="s">
        <v>25</v>
      </c>
      <c r="AM2739" s="78" t="s">
        <v>51</v>
      </c>
      <c r="AN2739" s="78" t="s">
        <v>267</v>
      </c>
      <c r="AO2739" s="78">
        <v>2.7891999400544001</v>
      </c>
    </row>
    <row r="2740" spans="29:41">
      <c r="AC2740" s="78" t="s">
        <v>53</v>
      </c>
      <c r="AD2740" s="78" t="s">
        <v>20</v>
      </c>
      <c r="AE2740" s="78" t="s">
        <v>72</v>
      </c>
      <c r="AF2740" s="78" t="s">
        <v>51</v>
      </c>
      <c r="AG2740" s="78" t="s">
        <v>233</v>
      </c>
      <c r="AH2740" s="78">
        <v>4.3496249999999996</v>
      </c>
      <c r="AJ2740" s="78" t="s">
        <v>74</v>
      </c>
      <c r="AK2740" s="78" t="s">
        <v>87</v>
      </c>
      <c r="AL2740" s="78" t="s">
        <v>25</v>
      </c>
      <c r="AM2740" s="78" t="s">
        <v>51</v>
      </c>
      <c r="AN2740" s="78" t="s">
        <v>268</v>
      </c>
      <c r="AO2740" s="78">
        <v>2.7081035827114999</v>
      </c>
    </row>
    <row r="2741" spans="29:41">
      <c r="AC2741" s="78" t="s">
        <v>53</v>
      </c>
      <c r="AD2741" s="78" t="s">
        <v>20</v>
      </c>
      <c r="AE2741" s="78" t="s">
        <v>72</v>
      </c>
      <c r="AF2741" s="78" t="s">
        <v>51</v>
      </c>
      <c r="AG2741" s="78" t="s">
        <v>236</v>
      </c>
      <c r="AH2741" s="78">
        <v>4.3177500000000002</v>
      </c>
      <c r="AJ2741" s="78" t="s">
        <v>74</v>
      </c>
      <c r="AK2741" s="78" t="s">
        <v>87</v>
      </c>
      <c r="AL2741" s="78" t="s">
        <v>25</v>
      </c>
      <c r="AM2741" s="78" t="s">
        <v>51</v>
      </c>
      <c r="AN2741" s="78" t="s">
        <v>269</v>
      </c>
      <c r="AO2741" s="78">
        <v>2.73044392273518</v>
      </c>
    </row>
    <row r="2742" spans="29:41">
      <c r="AC2742" s="78" t="s">
        <v>53</v>
      </c>
      <c r="AD2742" s="78" t="s">
        <v>20</v>
      </c>
      <c r="AE2742" s="78" t="s">
        <v>72</v>
      </c>
      <c r="AF2742" s="78" t="s">
        <v>51</v>
      </c>
      <c r="AG2742" s="78" t="s">
        <v>318</v>
      </c>
      <c r="AH2742" s="78">
        <v>4.3496249999999996</v>
      </c>
      <c r="AJ2742" s="78" t="s">
        <v>74</v>
      </c>
      <c r="AK2742" s="78" t="s">
        <v>87</v>
      </c>
      <c r="AL2742" s="78" t="s">
        <v>25</v>
      </c>
      <c r="AM2742" s="78" t="s">
        <v>51</v>
      </c>
      <c r="AN2742" s="78" t="s">
        <v>270</v>
      </c>
      <c r="AO2742" s="78">
        <v>2.7334728347211201</v>
      </c>
    </row>
    <row r="2743" spans="29:41">
      <c r="AC2743" s="78" t="s">
        <v>53</v>
      </c>
      <c r="AD2743" s="78" t="s">
        <v>20</v>
      </c>
      <c r="AE2743" s="78" t="s">
        <v>72</v>
      </c>
      <c r="AF2743" s="78" t="s">
        <v>51</v>
      </c>
      <c r="AG2743" s="78" t="s">
        <v>319</v>
      </c>
      <c r="AH2743" s="78">
        <v>4.3177500000000002</v>
      </c>
      <c r="AJ2743" s="78" t="s">
        <v>74</v>
      </c>
      <c r="AK2743" s="78" t="s">
        <v>87</v>
      </c>
      <c r="AL2743" s="78" t="s">
        <v>25</v>
      </c>
      <c r="AM2743" s="78" t="s">
        <v>51</v>
      </c>
      <c r="AN2743" s="78" t="s">
        <v>271</v>
      </c>
      <c r="AO2743" s="78">
        <v>2.7352021596982001</v>
      </c>
    </row>
    <row r="2744" spans="29:41">
      <c r="AC2744" s="78" t="s">
        <v>53</v>
      </c>
      <c r="AD2744" s="78" t="s">
        <v>20</v>
      </c>
      <c r="AE2744" s="78" t="s">
        <v>72</v>
      </c>
      <c r="AF2744" s="78" t="s">
        <v>51</v>
      </c>
      <c r="AG2744" s="78" t="s">
        <v>320</v>
      </c>
      <c r="AH2744" s="78">
        <v>4.3177500000000002</v>
      </c>
      <c r="AJ2744" s="78" t="s">
        <v>74</v>
      </c>
      <c r="AK2744" s="78" t="s">
        <v>87</v>
      </c>
      <c r="AL2744" s="78" t="s">
        <v>25</v>
      </c>
      <c r="AM2744" s="78" t="s">
        <v>51</v>
      </c>
      <c r="AN2744" s="78" t="s">
        <v>272</v>
      </c>
      <c r="AO2744" s="78">
        <v>2.7729349961757701</v>
      </c>
    </row>
    <row r="2745" spans="29:41">
      <c r="AC2745" s="78" t="s">
        <v>53</v>
      </c>
      <c r="AD2745" s="78" t="s">
        <v>20</v>
      </c>
      <c r="AE2745" s="78" t="s">
        <v>72</v>
      </c>
      <c r="AF2745" s="78" t="s">
        <v>51</v>
      </c>
      <c r="AG2745" s="78" t="s">
        <v>321</v>
      </c>
      <c r="AH2745" s="78">
        <v>4.2220000000000004</v>
      </c>
      <c r="AJ2745" s="78" t="s">
        <v>74</v>
      </c>
      <c r="AK2745" s="78" t="s">
        <v>87</v>
      </c>
      <c r="AL2745" s="78" t="s">
        <v>25</v>
      </c>
      <c r="AM2745" s="78" t="s">
        <v>51</v>
      </c>
      <c r="AN2745" s="78" t="s">
        <v>273</v>
      </c>
      <c r="AO2745" s="78">
        <v>2.7446763066937101</v>
      </c>
    </row>
    <row r="2746" spans="29:41">
      <c r="AC2746" s="78" t="s">
        <v>53</v>
      </c>
      <c r="AD2746" s="78" t="s">
        <v>20</v>
      </c>
      <c r="AE2746" s="78" t="s">
        <v>72</v>
      </c>
      <c r="AF2746" s="78" t="s">
        <v>51</v>
      </c>
      <c r="AG2746" s="78" t="s">
        <v>322</v>
      </c>
      <c r="AH2746" s="78">
        <v>4.2220000000000004</v>
      </c>
      <c r="AJ2746" s="78" t="s">
        <v>74</v>
      </c>
      <c r="AK2746" s="78" t="s">
        <v>87</v>
      </c>
      <c r="AL2746" s="78" t="s">
        <v>25</v>
      </c>
      <c r="AM2746" s="78" t="s">
        <v>51</v>
      </c>
      <c r="AN2746" s="78" t="s">
        <v>274</v>
      </c>
      <c r="AO2746" s="78">
        <v>2.7173642653119501</v>
      </c>
    </row>
    <row r="2747" spans="29:41">
      <c r="AC2747" s="78" t="s">
        <v>53</v>
      </c>
      <c r="AD2747" s="78" t="s">
        <v>20</v>
      </c>
      <c r="AE2747" s="78" t="s">
        <v>72</v>
      </c>
      <c r="AF2747" s="78" t="s">
        <v>51</v>
      </c>
      <c r="AG2747" s="78" t="s">
        <v>323</v>
      </c>
      <c r="AH2747" s="78">
        <v>4.2537500000000001</v>
      </c>
      <c r="AJ2747" s="78" t="s">
        <v>74</v>
      </c>
      <c r="AK2747" s="78" t="s">
        <v>87</v>
      </c>
      <c r="AL2747" s="78" t="s">
        <v>25</v>
      </c>
      <c r="AM2747" s="78" t="s">
        <v>51</v>
      </c>
      <c r="AN2747" s="78" t="s">
        <v>275</v>
      </c>
      <c r="AO2747" s="78">
        <v>2.77127537293183</v>
      </c>
    </row>
    <row r="2748" spans="29:41">
      <c r="AC2748" s="78" t="s">
        <v>53</v>
      </c>
      <c r="AD2748" s="78" t="s">
        <v>20</v>
      </c>
      <c r="AE2748" s="78" t="s">
        <v>72</v>
      </c>
      <c r="AF2748" s="78" t="s">
        <v>51</v>
      </c>
      <c r="AG2748" s="78" t="s">
        <v>324</v>
      </c>
      <c r="AH2748" s="78">
        <v>4.1901250000000001</v>
      </c>
      <c r="AJ2748" s="78" t="s">
        <v>74</v>
      </c>
      <c r="AK2748" s="78" t="s">
        <v>87</v>
      </c>
      <c r="AL2748" s="78" t="s">
        <v>25</v>
      </c>
      <c r="AM2748" s="78" t="s">
        <v>51</v>
      </c>
      <c r="AN2748" s="78" t="s">
        <v>276</v>
      </c>
      <c r="AO2748" s="78">
        <v>2.7558575864349502</v>
      </c>
    </row>
    <row r="2749" spans="29:41">
      <c r="AC2749" s="78" t="s">
        <v>53</v>
      </c>
      <c r="AD2749" s="78" t="s">
        <v>20</v>
      </c>
      <c r="AE2749" s="78" t="s">
        <v>72</v>
      </c>
      <c r="AF2749" s="78" t="s">
        <v>51</v>
      </c>
      <c r="AG2749" s="78" t="s">
        <v>325</v>
      </c>
      <c r="AH2749" s="78">
        <v>4.1583750000000004</v>
      </c>
      <c r="AJ2749" s="78" t="s">
        <v>74</v>
      </c>
      <c r="AK2749" s="78" t="s">
        <v>87</v>
      </c>
      <c r="AL2749" s="78" t="s">
        <v>25</v>
      </c>
      <c r="AM2749" s="78" t="s">
        <v>51</v>
      </c>
      <c r="AN2749" s="78" t="s">
        <v>277</v>
      </c>
      <c r="AO2749" s="78">
        <v>2.7239833090670502</v>
      </c>
    </row>
    <row r="2750" spans="29:41">
      <c r="AC2750" s="78" t="s">
        <v>53</v>
      </c>
      <c r="AD2750" s="78" t="s">
        <v>20</v>
      </c>
      <c r="AE2750" s="78" t="s">
        <v>72</v>
      </c>
      <c r="AF2750" s="78" t="s">
        <v>51</v>
      </c>
      <c r="AG2750" s="78" t="s">
        <v>326</v>
      </c>
      <c r="AH2750" s="78">
        <v>4.1901250000000001</v>
      </c>
      <c r="AJ2750" s="78" t="s">
        <v>74</v>
      </c>
      <c r="AK2750" s="78" t="s">
        <v>87</v>
      </c>
      <c r="AL2750" s="78" t="s">
        <v>25</v>
      </c>
      <c r="AM2750" s="78" t="s">
        <v>51</v>
      </c>
      <c r="AN2750" s="78" t="s">
        <v>278</v>
      </c>
      <c r="AO2750" s="78">
        <v>2.7958120452124602</v>
      </c>
    </row>
    <row r="2751" spans="29:41">
      <c r="AC2751" s="78" t="s">
        <v>53</v>
      </c>
      <c r="AD2751" s="78" t="s">
        <v>20</v>
      </c>
      <c r="AE2751" s="78" t="s">
        <v>72</v>
      </c>
      <c r="AF2751" s="78" t="s">
        <v>51</v>
      </c>
      <c r="AG2751" s="78" t="s">
        <v>327</v>
      </c>
      <c r="AH2751" s="78">
        <v>4.126125</v>
      </c>
      <c r="AJ2751" s="78" t="s">
        <v>74</v>
      </c>
      <c r="AK2751" s="78" t="s">
        <v>87</v>
      </c>
      <c r="AL2751" s="78" t="s">
        <v>25</v>
      </c>
      <c r="AM2751" s="78" t="s">
        <v>51</v>
      </c>
      <c r="AN2751" s="78" t="s">
        <v>279</v>
      </c>
      <c r="AO2751" s="78">
        <v>2.8760429870518398</v>
      </c>
    </row>
    <row r="2752" spans="29:41">
      <c r="AC2752" s="78" t="s">
        <v>53</v>
      </c>
      <c r="AD2752" s="78" t="s">
        <v>20</v>
      </c>
      <c r="AE2752" s="78" t="s">
        <v>72</v>
      </c>
      <c r="AF2752" s="78" t="s">
        <v>51</v>
      </c>
      <c r="AG2752" s="78" t="s">
        <v>328</v>
      </c>
      <c r="AH2752" s="78">
        <v>4.1901250000000001</v>
      </c>
      <c r="AJ2752" s="78" t="s">
        <v>74</v>
      </c>
      <c r="AK2752" s="78" t="s">
        <v>87</v>
      </c>
      <c r="AL2752" s="78" t="s">
        <v>25</v>
      </c>
      <c r="AM2752" s="78" t="s">
        <v>51</v>
      </c>
      <c r="AN2752" s="78" t="s">
        <v>280</v>
      </c>
      <c r="AO2752" s="78">
        <v>2.8444181025455899</v>
      </c>
    </row>
    <row r="2753" spans="29:41">
      <c r="AC2753" s="78" t="s">
        <v>53</v>
      </c>
      <c r="AD2753" s="78" t="s">
        <v>20</v>
      </c>
      <c r="AE2753" s="78" t="s">
        <v>72</v>
      </c>
      <c r="AF2753" s="78" t="s">
        <v>51</v>
      </c>
      <c r="AG2753" s="78" t="s">
        <v>329</v>
      </c>
      <c r="AH2753" s="78">
        <v>4.1901250000000001</v>
      </c>
      <c r="AJ2753" s="78" t="s">
        <v>74</v>
      </c>
      <c r="AK2753" s="78" t="s">
        <v>87</v>
      </c>
      <c r="AL2753" s="78" t="s">
        <v>25</v>
      </c>
      <c r="AM2753" s="78" t="s">
        <v>51</v>
      </c>
      <c r="AN2753" s="78" t="s">
        <v>281</v>
      </c>
      <c r="AO2753" s="78">
        <v>2.8650468207927799</v>
      </c>
    </row>
    <row r="2754" spans="29:41">
      <c r="AC2754" s="78" t="s">
        <v>53</v>
      </c>
      <c r="AD2754" s="78" t="s">
        <v>20</v>
      </c>
      <c r="AE2754" s="78" t="s">
        <v>72</v>
      </c>
      <c r="AF2754" s="78" t="s">
        <v>51</v>
      </c>
      <c r="AG2754" s="78" t="s">
        <v>330</v>
      </c>
      <c r="AH2754" s="78">
        <v>4.0943750000000003</v>
      </c>
      <c r="AJ2754" s="78" t="s">
        <v>74</v>
      </c>
      <c r="AK2754" s="78" t="s">
        <v>87</v>
      </c>
      <c r="AL2754" s="78" t="s">
        <v>25</v>
      </c>
      <c r="AM2754" s="78" t="s">
        <v>51</v>
      </c>
      <c r="AN2754" s="78" t="s">
        <v>282</v>
      </c>
      <c r="AO2754" s="78">
        <v>2.8982983852453801</v>
      </c>
    </row>
    <row r="2755" spans="29:41">
      <c r="AC2755" s="78" t="s">
        <v>53</v>
      </c>
      <c r="AD2755" s="78" t="s">
        <v>20</v>
      </c>
      <c r="AE2755" s="78" t="s">
        <v>72</v>
      </c>
      <c r="AF2755" s="78" t="s">
        <v>51</v>
      </c>
      <c r="AG2755" s="78" t="s">
        <v>331</v>
      </c>
      <c r="AH2755" s="78">
        <v>4.1583750000000004</v>
      </c>
      <c r="AJ2755" s="78" t="s">
        <v>74</v>
      </c>
      <c r="AK2755" s="78" t="s">
        <v>87</v>
      </c>
      <c r="AL2755" s="78" t="s">
        <v>25</v>
      </c>
      <c r="AM2755" s="78" t="s">
        <v>51</v>
      </c>
      <c r="AN2755" s="78" t="s">
        <v>283</v>
      </c>
      <c r="AO2755" s="78">
        <v>2.9340630334667899</v>
      </c>
    </row>
    <row r="2756" spans="29:41">
      <c r="AC2756" s="78" t="s">
        <v>53</v>
      </c>
      <c r="AD2756" s="78" t="s">
        <v>20</v>
      </c>
      <c r="AE2756" s="78" t="s">
        <v>72</v>
      </c>
      <c r="AF2756" s="78" t="s">
        <v>51</v>
      </c>
      <c r="AG2756" s="78" t="s">
        <v>332</v>
      </c>
      <c r="AH2756" s="78">
        <v>4.0943750000000003</v>
      </c>
      <c r="AJ2756" s="78" t="s">
        <v>74</v>
      </c>
      <c r="AK2756" s="78" t="s">
        <v>87</v>
      </c>
      <c r="AL2756" s="78" t="s">
        <v>25</v>
      </c>
      <c r="AM2756" s="78" t="s">
        <v>51</v>
      </c>
      <c r="AN2756" s="78" t="s">
        <v>284</v>
      </c>
      <c r="AO2756" s="78">
        <v>2.9388026853832501</v>
      </c>
    </row>
    <row r="2757" spans="29:41">
      <c r="AC2757" s="78" t="s">
        <v>53</v>
      </c>
      <c r="AD2757" s="78" t="s">
        <v>20</v>
      </c>
      <c r="AE2757" s="78" t="s">
        <v>72</v>
      </c>
      <c r="AF2757" s="78" t="s">
        <v>51</v>
      </c>
      <c r="AG2757" s="78" t="s">
        <v>333</v>
      </c>
      <c r="AH2757" s="78">
        <v>4.126125</v>
      </c>
      <c r="AJ2757" s="78" t="s">
        <v>74</v>
      </c>
      <c r="AK2757" s="78" t="s">
        <v>87</v>
      </c>
      <c r="AL2757" s="78" t="s">
        <v>25</v>
      </c>
      <c r="AM2757" s="78" t="s">
        <v>51</v>
      </c>
      <c r="AN2757" s="78" t="s">
        <v>285</v>
      </c>
      <c r="AO2757" s="78">
        <v>3.0126979954339599</v>
      </c>
    </row>
    <row r="2758" spans="29:41">
      <c r="AC2758" s="78" t="s">
        <v>53</v>
      </c>
      <c r="AD2758" s="78" t="s">
        <v>20</v>
      </c>
      <c r="AE2758" s="78" t="s">
        <v>72</v>
      </c>
      <c r="AF2758" s="78" t="s">
        <v>51</v>
      </c>
      <c r="AG2758" s="78" t="s">
        <v>334</v>
      </c>
      <c r="AH2758" s="78">
        <v>4.1901250000000001</v>
      </c>
      <c r="AJ2758" s="78" t="s">
        <v>74</v>
      </c>
      <c r="AK2758" s="78" t="s">
        <v>87</v>
      </c>
      <c r="AL2758" s="78" t="s">
        <v>25</v>
      </c>
      <c r="AM2758" s="78" t="s">
        <v>51</v>
      </c>
      <c r="AN2758" s="78" t="s">
        <v>286</v>
      </c>
      <c r="AO2758" s="78">
        <v>3.0394713990433302</v>
      </c>
    </row>
    <row r="2759" spans="29:41">
      <c r="AC2759" s="78" t="s">
        <v>53</v>
      </c>
      <c r="AD2759" s="78" t="s">
        <v>20</v>
      </c>
      <c r="AE2759" s="78" t="s">
        <v>72</v>
      </c>
      <c r="AF2759" s="78" t="s">
        <v>51</v>
      </c>
      <c r="AG2759" s="78" t="s">
        <v>335</v>
      </c>
      <c r="AH2759" s="78">
        <v>4.1583750000000004</v>
      </c>
      <c r="AJ2759" s="78" t="s">
        <v>74</v>
      </c>
      <c r="AK2759" s="78" t="s">
        <v>87</v>
      </c>
      <c r="AL2759" s="78" t="s">
        <v>25</v>
      </c>
      <c r="AM2759" s="78" t="s">
        <v>51</v>
      </c>
      <c r="AN2759" s="78" t="s">
        <v>287</v>
      </c>
      <c r="AO2759" s="78">
        <v>3.0240881034818901</v>
      </c>
    </row>
    <row r="2760" spans="29:41">
      <c r="AC2760" s="78" t="s">
        <v>53</v>
      </c>
      <c r="AD2760" s="78" t="s">
        <v>20</v>
      </c>
      <c r="AE2760" s="78" t="s">
        <v>72</v>
      </c>
      <c r="AF2760" s="78" t="s">
        <v>51</v>
      </c>
      <c r="AG2760" s="78" t="s">
        <v>315</v>
      </c>
      <c r="AH2760" s="78">
        <v>4.126125</v>
      </c>
      <c r="AJ2760" s="78" t="s">
        <v>74</v>
      </c>
      <c r="AK2760" s="78" t="s">
        <v>87</v>
      </c>
      <c r="AL2760" s="78" t="s">
        <v>25</v>
      </c>
      <c r="AM2760" s="78" t="s">
        <v>51</v>
      </c>
      <c r="AN2760" s="78" t="s">
        <v>288</v>
      </c>
      <c r="AO2760" s="78">
        <v>3.0415503408748101</v>
      </c>
    </row>
    <row r="2761" spans="29:41">
      <c r="AC2761" s="78" t="s">
        <v>53</v>
      </c>
      <c r="AD2761" s="78" t="s">
        <v>20</v>
      </c>
      <c r="AE2761" s="78" t="s">
        <v>72</v>
      </c>
      <c r="AF2761" s="78" t="s">
        <v>51</v>
      </c>
      <c r="AG2761" s="78" t="s">
        <v>336</v>
      </c>
      <c r="AH2761" s="78">
        <v>4.1583750000000004</v>
      </c>
      <c r="AJ2761" s="78" t="s">
        <v>74</v>
      </c>
      <c r="AK2761" s="78" t="s">
        <v>87</v>
      </c>
      <c r="AL2761" s="78" t="s">
        <v>25</v>
      </c>
      <c r="AM2761" s="78" t="s">
        <v>51</v>
      </c>
      <c r="AN2761" s="78" t="s">
        <v>289</v>
      </c>
      <c r="AO2761" s="78">
        <v>3.0032203766891601</v>
      </c>
    </row>
    <row r="2762" spans="29:41">
      <c r="AC2762" s="78" t="s">
        <v>53</v>
      </c>
      <c r="AD2762" s="78" t="s">
        <v>20</v>
      </c>
      <c r="AE2762" s="78" t="s">
        <v>72</v>
      </c>
      <c r="AF2762" s="78" t="s">
        <v>51</v>
      </c>
      <c r="AG2762" s="78" t="s">
        <v>337</v>
      </c>
      <c r="AH2762" s="78">
        <v>4.126125</v>
      </c>
      <c r="AJ2762" s="78" t="s">
        <v>74</v>
      </c>
      <c r="AK2762" s="78" t="s">
        <v>87</v>
      </c>
      <c r="AL2762" s="78" t="s">
        <v>25</v>
      </c>
      <c r="AM2762" s="78" t="s">
        <v>51</v>
      </c>
      <c r="AN2762" s="78" t="s">
        <v>290</v>
      </c>
      <c r="AO2762" s="78">
        <v>2.9962349476624799</v>
      </c>
    </row>
    <row r="2763" spans="29:41">
      <c r="AC2763" s="78" t="s">
        <v>53</v>
      </c>
      <c r="AD2763" s="78" t="s">
        <v>20</v>
      </c>
      <c r="AE2763" s="78" t="s">
        <v>72</v>
      </c>
      <c r="AF2763" s="78" t="s">
        <v>51</v>
      </c>
      <c r="AG2763" s="78" t="s">
        <v>338</v>
      </c>
      <c r="AH2763" s="78">
        <v>4.0625</v>
      </c>
      <c r="AJ2763" s="78" t="s">
        <v>74</v>
      </c>
      <c r="AK2763" s="78" t="s">
        <v>87</v>
      </c>
      <c r="AL2763" s="78" t="s">
        <v>25</v>
      </c>
      <c r="AM2763" s="78" t="s">
        <v>51</v>
      </c>
      <c r="AN2763" s="78" t="s">
        <v>291</v>
      </c>
      <c r="AO2763" s="78">
        <v>2.9829487992520902</v>
      </c>
    </row>
    <row r="2764" spans="29:41">
      <c r="AC2764" s="78" t="s">
        <v>53</v>
      </c>
      <c r="AD2764" s="78" t="s">
        <v>20</v>
      </c>
      <c r="AE2764" s="78" t="s">
        <v>72</v>
      </c>
      <c r="AF2764" s="78" t="s">
        <v>51</v>
      </c>
      <c r="AG2764" s="78" t="s">
        <v>314</v>
      </c>
      <c r="AH2764" s="78">
        <v>4.0943750000000003</v>
      </c>
      <c r="AJ2764" s="78" t="s">
        <v>74</v>
      </c>
      <c r="AK2764" s="78" t="s">
        <v>87</v>
      </c>
      <c r="AL2764" s="78" t="s">
        <v>25</v>
      </c>
      <c r="AM2764" s="78" t="s">
        <v>51</v>
      </c>
      <c r="AN2764" s="78" t="s">
        <v>292</v>
      </c>
      <c r="AO2764" s="78">
        <v>2.97922271147955</v>
      </c>
    </row>
    <row r="2765" spans="29:41">
      <c r="AC2765" s="78" t="s">
        <v>53</v>
      </c>
      <c r="AD2765" s="78" t="s">
        <v>20</v>
      </c>
      <c r="AE2765" s="78" t="s">
        <v>72</v>
      </c>
      <c r="AF2765" s="78" t="s">
        <v>51</v>
      </c>
      <c r="AG2765" s="78" t="s">
        <v>317</v>
      </c>
      <c r="AH2765" s="78">
        <v>4.0943750000000003</v>
      </c>
      <c r="AJ2765" s="78" t="s">
        <v>74</v>
      </c>
      <c r="AK2765" s="78" t="s">
        <v>87</v>
      </c>
      <c r="AL2765" s="78" t="s">
        <v>25</v>
      </c>
      <c r="AM2765" s="78" t="s">
        <v>51</v>
      </c>
      <c r="AN2765" s="78" t="s">
        <v>293</v>
      </c>
      <c r="AO2765" s="78">
        <v>2.9567440380932299</v>
      </c>
    </row>
    <row r="2766" spans="29:41">
      <c r="AC2766" s="78" t="s">
        <v>53</v>
      </c>
      <c r="AD2766" s="78" t="s">
        <v>20</v>
      </c>
      <c r="AE2766" s="78" t="s">
        <v>72</v>
      </c>
      <c r="AF2766" s="78" t="s">
        <v>51</v>
      </c>
      <c r="AG2766" s="78" t="s">
        <v>344</v>
      </c>
      <c r="AH2766" s="78">
        <v>4.0943750000000003</v>
      </c>
      <c r="AJ2766" s="78" t="s">
        <v>74</v>
      </c>
      <c r="AK2766" s="78" t="s">
        <v>87</v>
      </c>
      <c r="AL2766" s="78" t="s">
        <v>25</v>
      </c>
      <c r="AM2766" s="78" t="s">
        <v>51</v>
      </c>
      <c r="AN2766" s="78" t="s">
        <v>294</v>
      </c>
      <c r="AO2766" s="78">
        <v>2.9778815410804498</v>
      </c>
    </row>
    <row r="2767" spans="29:41">
      <c r="AC2767" s="78" t="s">
        <v>53</v>
      </c>
      <c r="AD2767" s="78" t="s">
        <v>20</v>
      </c>
      <c r="AE2767" s="78" t="s">
        <v>72</v>
      </c>
      <c r="AF2767" s="78" t="s">
        <v>51</v>
      </c>
      <c r="AG2767" s="78" t="s">
        <v>342</v>
      </c>
      <c r="AH2767" s="78">
        <v>4.0943750000000003</v>
      </c>
      <c r="AJ2767" s="78" t="s">
        <v>74</v>
      </c>
      <c r="AK2767" s="78" t="s">
        <v>87</v>
      </c>
      <c r="AL2767" s="78" t="s">
        <v>25</v>
      </c>
      <c r="AM2767" s="78" t="s">
        <v>51</v>
      </c>
      <c r="AN2767" s="78" t="s">
        <v>235</v>
      </c>
      <c r="AO2767" s="78">
        <v>2.9783756626827098</v>
      </c>
    </row>
    <row r="2768" spans="29:41">
      <c r="AC2768" s="78" t="s">
        <v>53</v>
      </c>
      <c r="AD2768" s="78" t="s">
        <v>20</v>
      </c>
      <c r="AE2768" s="78" t="s">
        <v>72</v>
      </c>
      <c r="AF2768" s="78" t="s">
        <v>51</v>
      </c>
      <c r="AG2768" s="78" t="s">
        <v>345</v>
      </c>
      <c r="AH2768" s="78">
        <v>4.126125</v>
      </c>
      <c r="AJ2768" s="78" t="s">
        <v>74</v>
      </c>
      <c r="AK2768" s="78" t="s">
        <v>87</v>
      </c>
      <c r="AL2768" s="78" t="s">
        <v>25</v>
      </c>
      <c r="AM2768" s="78" t="s">
        <v>51</v>
      </c>
      <c r="AN2768" s="78" t="s">
        <v>295</v>
      </c>
      <c r="AO2768" s="78">
        <v>2.9726150604600501</v>
      </c>
    </row>
    <row r="2769" spans="29:41">
      <c r="AC2769" s="78" t="s">
        <v>53</v>
      </c>
      <c r="AD2769" s="78" t="s">
        <v>20</v>
      </c>
      <c r="AE2769" s="78" t="s">
        <v>72</v>
      </c>
      <c r="AF2769" s="78" t="s">
        <v>51</v>
      </c>
      <c r="AG2769" s="78" t="s">
        <v>346</v>
      </c>
      <c r="AH2769" s="78">
        <v>4.0943750000000003</v>
      </c>
      <c r="AJ2769" s="78" t="s">
        <v>74</v>
      </c>
      <c r="AK2769" s="78" t="s">
        <v>87</v>
      </c>
      <c r="AL2769" s="78" t="s">
        <v>25</v>
      </c>
      <c r="AM2769" s="78" t="s">
        <v>51</v>
      </c>
      <c r="AN2769" s="78" t="s">
        <v>296</v>
      </c>
      <c r="AO2769" s="78">
        <v>2.9699990408330801</v>
      </c>
    </row>
    <row r="2770" spans="29:41">
      <c r="AC2770" s="78" t="s">
        <v>53</v>
      </c>
      <c r="AD2770" s="78" t="s">
        <v>20</v>
      </c>
      <c r="AE2770" s="78" t="s">
        <v>72</v>
      </c>
      <c r="AF2770" s="78" t="s">
        <v>51</v>
      </c>
      <c r="AG2770" s="78" t="s">
        <v>343</v>
      </c>
      <c r="AH2770" s="78">
        <v>4.0625</v>
      </c>
      <c r="AJ2770" s="78" t="s">
        <v>74</v>
      </c>
      <c r="AK2770" s="78" t="s">
        <v>87</v>
      </c>
      <c r="AL2770" s="78" t="s">
        <v>25</v>
      </c>
      <c r="AM2770" s="78" t="s">
        <v>51</v>
      </c>
      <c r="AN2770" s="78" t="s">
        <v>297</v>
      </c>
      <c r="AO2770" s="78">
        <v>2.9627998266716902</v>
      </c>
    </row>
    <row r="2771" spans="29:41">
      <c r="AC2771" s="78" t="s">
        <v>53</v>
      </c>
      <c r="AD2771" s="78" t="s">
        <v>20</v>
      </c>
      <c r="AE2771" s="78" t="s">
        <v>72</v>
      </c>
      <c r="AF2771" s="78" t="s">
        <v>51</v>
      </c>
      <c r="AG2771" s="78" t="s">
        <v>341</v>
      </c>
      <c r="AH2771" s="78">
        <v>4.0943750000000003</v>
      </c>
      <c r="AJ2771" s="78" t="s">
        <v>74</v>
      </c>
      <c r="AK2771" s="78" t="s">
        <v>87</v>
      </c>
      <c r="AL2771" s="78" t="s">
        <v>25</v>
      </c>
      <c r="AM2771" s="78" t="s">
        <v>51</v>
      </c>
      <c r="AN2771" s="78" t="s">
        <v>298</v>
      </c>
      <c r="AO2771" s="78">
        <v>2.9474672658602201</v>
      </c>
    </row>
    <row r="2772" spans="29:41">
      <c r="AC2772" s="78" t="s">
        <v>53</v>
      </c>
      <c r="AD2772" s="78" t="s">
        <v>20</v>
      </c>
      <c r="AE2772" s="78" t="s">
        <v>72</v>
      </c>
      <c r="AF2772" s="78" t="s">
        <v>51</v>
      </c>
      <c r="AG2772" s="78" t="s">
        <v>347</v>
      </c>
      <c r="AH2772" s="78">
        <v>4.0307500000000003</v>
      </c>
      <c r="AJ2772" s="78" t="s">
        <v>74</v>
      </c>
      <c r="AK2772" s="78" t="s">
        <v>87</v>
      </c>
      <c r="AL2772" s="78" t="s">
        <v>25</v>
      </c>
      <c r="AM2772" s="78" t="s">
        <v>51</v>
      </c>
      <c r="AN2772" s="78" t="s">
        <v>299</v>
      </c>
      <c r="AO2772" s="78">
        <v>2.8947298491443201</v>
      </c>
    </row>
    <row r="2773" spans="29:41">
      <c r="AC2773" s="78" t="s">
        <v>53</v>
      </c>
      <c r="AD2773" s="78" t="s">
        <v>20</v>
      </c>
      <c r="AE2773" s="78" t="s">
        <v>72</v>
      </c>
      <c r="AF2773" s="78" t="s">
        <v>51</v>
      </c>
      <c r="AG2773" s="78" t="s">
        <v>348</v>
      </c>
      <c r="AH2773" s="78">
        <v>4.126125</v>
      </c>
      <c r="AJ2773" s="78" t="s">
        <v>74</v>
      </c>
      <c r="AK2773" s="78" t="s">
        <v>87</v>
      </c>
      <c r="AL2773" s="78" t="s">
        <v>25</v>
      </c>
      <c r="AM2773" s="78" t="s">
        <v>51</v>
      </c>
      <c r="AN2773" s="78" t="s">
        <v>300</v>
      </c>
      <c r="AO2773" s="78">
        <v>2.9165593470462001</v>
      </c>
    </row>
    <row r="2774" spans="29:41">
      <c r="AC2774" s="78" t="s">
        <v>53</v>
      </c>
      <c r="AD2774" s="78" t="s">
        <v>20</v>
      </c>
      <c r="AE2774" s="78" t="s">
        <v>72</v>
      </c>
      <c r="AF2774" s="78" t="s">
        <v>51</v>
      </c>
      <c r="AG2774" s="78" t="s">
        <v>349</v>
      </c>
      <c r="AH2774" s="78">
        <v>4.126125</v>
      </c>
      <c r="AJ2774" s="78" t="s">
        <v>74</v>
      </c>
      <c r="AK2774" s="78" t="s">
        <v>87</v>
      </c>
      <c r="AL2774" s="78" t="s">
        <v>25</v>
      </c>
      <c r="AM2774" s="78" t="s">
        <v>51</v>
      </c>
      <c r="AN2774" s="78" t="s">
        <v>301</v>
      </c>
      <c r="AO2774" s="78">
        <v>3.0544306669029599</v>
      </c>
    </row>
    <row r="2775" spans="29:41">
      <c r="AC2775" s="78" t="s">
        <v>53</v>
      </c>
      <c r="AD2775" s="78" t="s">
        <v>20</v>
      </c>
      <c r="AE2775" s="78" t="s">
        <v>72</v>
      </c>
      <c r="AF2775" s="78" t="s">
        <v>51</v>
      </c>
      <c r="AG2775" s="78" t="s">
        <v>350</v>
      </c>
      <c r="AH2775" s="78">
        <v>4.126125</v>
      </c>
      <c r="AJ2775" s="78" t="s">
        <v>74</v>
      </c>
      <c r="AK2775" s="78" t="s">
        <v>87</v>
      </c>
      <c r="AL2775" s="78" t="s">
        <v>25</v>
      </c>
      <c r="AM2775" s="78" t="s">
        <v>51</v>
      </c>
      <c r="AN2775" s="78" t="s">
        <v>302</v>
      </c>
      <c r="AO2775" s="78">
        <v>2.9966381834712199</v>
      </c>
    </row>
    <row r="2776" spans="29:41">
      <c r="AC2776" s="78" t="s">
        <v>53</v>
      </c>
      <c r="AD2776" s="78" t="s">
        <v>20</v>
      </c>
      <c r="AE2776" s="78" t="s">
        <v>72</v>
      </c>
      <c r="AF2776" s="78" t="s">
        <v>51</v>
      </c>
      <c r="AG2776" s="78" t="s">
        <v>351</v>
      </c>
      <c r="AH2776" s="78">
        <v>4.0943750000000003</v>
      </c>
      <c r="AJ2776" s="78" t="s">
        <v>74</v>
      </c>
      <c r="AK2776" s="78" t="s">
        <v>87</v>
      </c>
      <c r="AL2776" s="78" t="s">
        <v>25</v>
      </c>
      <c r="AM2776" s="78" t="s">
        <v>51</v>
      </c>
      <c r="AN2776" s="78" t="s">
        <v>303</v>
      </c>
      <c r="AO2776" s="78">
        <v>2.9498986890501602</v>
      </c>
    </row>
    <row r="2777" spans="29:41">
      <c r="AC2777" s="78" t="s">
        <v>53</v>
      </c>
      <c r="AD2777" s="78" t="s">
        <v>20</v>
      </c>
      <c r="AE2777" s="78" t="s">
        <v>72</v>
      </c>
      <c r="AF2777" s="78" t="s">
        <v>51</v>
      </c>
      <c r="AG2777" s="78" t="s">
        <v>352</v>
      </c>
      <c r="AH2777" s="78">
        <v>4.0943750000000003</v>
      </c>
      <c r="AJ2777" s="78" t="s">
        <v>74</v>
      </c>
      <c r="AK2777" s="78" t="s">
        <v>87</v>
      </c>
      <c r="AL2777" s="78" t="s">
        <v>25</v>
      </c>
      <c r="AM2777" s="78" t="s">
        <v>51</v>
      </c>
      <c r="AN2777" s="78" t="s">
        <v>304</v>
      </c>
      <c r="AO2777" s="78">
        <v>2.97492729888162</v>
      </c>
    </row>
    <row r="2778" spans="29:41">
      <c r="AC2778" s="78" t="s">
        <v>53</v>
      </c>
      <c r="AD2778" s="78" t="s">
        <v>20</v>
      </c>
      <c r="AE2778" s="78" t="s">
        <v>72</v>
      </c>
      <c r="AF2778" s="78" t="s">
        <v>51</v>
      </c>
      <c r="AG2778" s="78" t="s">
        <v>353</v>
      </c>
      <c r="AH2778" s="78">
        <v>4.0943750000000003</v>
      </c>
      <c r="AJ2778" s="78" t="s">
        <v>74</v>
      </c>
      <c r="AK2778" s="78" t="s">
        <v>87</v>
      </c>
      <c r="AL2778" s="78" t="s">
        <v>25</v>
      </c>
      <c r="AM2778" s="78" t="s">
        <v>51</v>
      </c>
      <c r="AN2778" s="78" t="s">
        <v>305</v>
      </c>
      <c r="AO2778" s="78">
        <v>2.9584562580557998</v>
      </c>
    </row>
    <row r="2779" spans="29:41">
      <c r="AC2779" s="78" t="s">
        <v>53</v>
      </c>
      <c r="AD2779" s="78" t="s">
        <v>20</v>
      </c>
      <c r="AE2779" s="78" t="s">
        <v>72</v>
      </c>
      <c r="AF2779" s="78" t="s">
        <v>51</v>
      </c>
      <c r="AG2779" s="78" t="s">
        <v>354</v>
      </c>
      <c r="AH2779" s="78">
        <v>4.0943750000000003</v>
      </c>
      <c r="AJ2779" s="78" t="s">
        <v>74</v>
      </c>
      <c r="AK2779" s="78" t="s">
        <v>87</v>
      </c>
      <c r="AL2779" s="78" t="s">
        <v>25</v>
      </c>
      <c r="AM2779" s="78" t="s">
        <v>51</v>
      </c>
      <c r="AN2779" s="78" t="s">
        <v>306</v>
      </c>
      <c r="AO2779" s="78">
        <v>2.9975278287112799</v>
      </c>
    </row>
    <row r="2780" spans="29:41">
      <c r="AC2780" s="78" t="s">
        <v>53</v>
      </c>
      <c r="AD2780" s="78" t="s">
        <v>20</v>
      </c>
      <c r="AE2780" s="78" t="s">
        <v>72</v>
      </c>
      <c r="AF2780" s="78" t="s">
        <v>51</v>
      </c>
      <c r="AG2780" s="78" t="s">
        <v>355</v>
      </c>
      <c r="AH2780" s="78">
        <v>4.0625</v>
      </c>
      <c r="AJ2780" s="78" t="s">
        <v>74</v>
      </c>
      <c r="AK2780" s="78" t="s">
        <v>87</v>
      </c>
      <c r="AL2780" s="78" t="s">
        <v>25</v>
      </c>
      <c r="AM2780" s="78" t="s">
        <v>51</v>
      </c>
      <c r="AN2780" s="78" t="s">
        <v>307</v>
      </c>
      <c r="AO2780" s="78">
        <v>2.93038775773327</v>
      </c>
    </row>
    <row r="2781" spans="29:41">
      <c r="AC2781" s="78" t="s">
        <v>53</v>
      </c>
      <c r="AD2781" s="78" t="s">
        <v>20</v>
      </c>
      <c r="AE2781" s="78" t="s">
        <v>72</v>
      </c>
      <c r="AF2781" s="78" t="s">
        <v>51</v>
      </c>
      <c r="AG2781" s="78" t="s">
        <v>356</v>
      </c>
      <c r="AH2781" s="78">
        <v>3.9742500000000001</v>
      </c>
      <c r="AJ2781" s="78" t="s">
        <v>74</v>
      </c>
      <c r="AK2781" s="78" t="s">
        <v>87</v>
      </c>
      <c r="AL2781" s="78" t="s">
        <v>25</v>
      </c>
      <c r="AM2781" s="78" t="s">
        <v>51</v>
      </c>
      <c r="AN2781" s="78" t="s">
        <v>308</v>
      </c>
      <c r="AO2781" s="78">
        <v>2.9956917661864102</v>
      </c>
    </row>
    <row r="2782" spans="29:41">
      <c r="AC2782" s="78" t="s">
        <v>53</v>
      </c>
      <c r="AD2782" s="78" t="s">
        <v>20</v>
      </c>
      <c r="AE2782" s="78" t="s">
        <v>72</v>
      </c>
      <c r="AF2782" s="78" t="s">
        <v>51</v>
      </c>
      <c r="AG2782" s="78" t="s">
        <v>357</v>
      </c>
      <c r="AH2782" s="78">
        <v>3.9425000000000003</v>
      </c>
      <c r="AJ2782" s="78" t="s">
        <v>74</v>
      </c>
      <c r="AK2782" s="78" t="s">
        <v>87</v>
      </c>
      <c r="AL2782" s="78" t="s">
        <v>25</v>
      </c>
      <c r="AM2782" s="78" t="s">
        <v>51</v>
      </c>
      <c r="AN2782" s="78" t="s">
        <v>309</v>
      </c>
      <c r="AO2782" s="78">
        <v>3.0277544715368299</v>
      </c>
    </row>
    <row r="2783" spans="29:41">
      <c r="AC2783" s="78" t="s">
        <v>53</v>
      </c>
      <c r="AD2783" s="78" t="s">
        <v>20</v>
      </c>
      <c r="AE2783" s="78" t="s">
        <v>72</v>
      </c>
      <c r="AF2783" s="78" t="s">
        <v>51</v>
      </c>
      <c r="AG2783" s="78" t="s">
        <v>358</v>
      </c>
      <c r="AH2783" s="78">
        <v>4.1820000000000004</v>
      </c>
      <c r="AJ2783" s="78" t="s">
        <v>74</v>
      </c>
      <c r="AK2783" s="78" t="s">
        <v>87</v>
      </c>
      <c r="AL2783" s="78" t="s">
        <v>25</v>
      </c>
      <c r="AM2783" s="78" t="s">
        <v>51</v>
      </c>
      <c r="AN2783" s="78" t="s">
        <v>310</v>
      </c>
      <c r="AO2783" s="78">
        <v>3.0337070171743399</v>
      </c>
    </row>
    <row r="2784" spans="29:41">
      <c r="AC2784" s="78" t="s">
        <v>53</v>
      </c>
      <c r="AD2784" s="78" t="s">
        <v>20</v>
      </c>
      <c r="AE2784" s="78" t="s">
        <v>72</v>
      </c>
      <c r="AF2784" s="78" t="s">
        <v>51</v>
      </c>
      <c r="AG2784" s="78" t="s">
        <v>359</v>
      </c>
      <c r="AH2784" s="78">
        <v>3.9742500000000001</v>
      </c>
      <c r="AJ2784" s="78" t="s">
        <v>74</v>
      </c>
      <c r="AK2784" s="78" t="s">
        <v>87</v>
      </c>
      <c r="AL2784" s="78" t="s">
        <v>25</v>
      </c>
      <c r="AM2784" s="78" t="s">
        <v>51</v>
      </c>
      <c r="AN2784" s="78" t="s">
        <v>234</v>
      </c>
      <c r="AO2784" s="78">
        <v>2.9938542795846499</v>
      </c>
    </row>
    <row r="2785" spans="29:41">
      <c r="AC2785" s="78" t="s">
        <v>53</v>
      </c>
      <c r="AD2785" s="78" t="s">
        <v>20</v>
      </c>
      <c r="AE2785" s="78" t="s">
        <v>72</v>
      </c>
      <c r="AF2785" s="78" t="s">
        <v>51</v>
      </c>
      <c r="AG2785" s="78" t="s">
        <v>360</v>
      </c>
      <c r="AH2785" s="78">
        <v>3.9742500000000001</v>
      </c>
      <c r="AJ2785" s="78" t="s">
        <v>74</v>
      </c>
      <c r="AK2785" s="78" t="s">
        <v>87</v>
      </c>
      <c r="AL2785" s="78" t="s">
        <v>25</v>
      </c>
      <c r="AM2785" s="78" t="s">
        <v>51</v>
      </c>
      <c r="AN2785" s="78" t="s">
        <v>311</v>
      </c>
      <c r="AO2785" s="78">
        <v>2.9654454819851401</v>
      </c>
    </row>
    <row r="2786" spans="29:41">
      <c r="AC2786" s="78" t="s">
        <v>53</v>
      </c>
      <c r="AD2786" s="78" t="s">
        <v>20</v>
      </c>
      <c r="AE2786" s="78" t="s">
        <v>72</v>
      </c>
      <c r="AF2786" s="78" t="s">
        <v>51</v>
      </c>
      <c r="AG2786" s="78" t="s">
        <v>361</v>
      </c>
      <c r="AH2786" s="78">
        <v>3.9742500000000001</v>
      </c>
      <c r="AJ2786" s="78" t="s">
        <v>74</v>
      </c>
      <c r="AK2786" s="78" t="s">
        <v>87</v>
      </c>
      <c r="AL2786" s="78" t="s">
        <v>25</v>
      </c>
      <c r="AM2786" s="78" t="s">
        <v>51</v>
      </c>
      <c r="AN2786" s="78" t="s">
        <v>312</v>
      </c>
      <c r="AO2786" s="78">
        <v>2.9731174036640602</v>
      </c>
    </row>
    <row r="2787" spans="29:41">
      <c r="AC2787" s="78" t="s">
        <v>53</v>
      </c>
      <c r="AD2787" s="78" t="s">
        <v>20</v>
      </c>
      <c r="AE2787" s="78" t="s">
        <v>72</v>
      </c>
      <c r="AF2787" s="78" t="s">
        <v>51</v>
      </c>
      <c r="AG2787" s="78" t="s">
        <v>362</v>
      </c>
      <c r="AH2787" s="78">
        <v>4.0061249999999999</v>
      </c>
      <c r="AJ2787" s="78" t="s">
        <v>74</v>
      </c>
      <c r="AK2787" s="78" t="s">
        <v>87</v>
      </c>
      <c r="AL2787" s="78" t="s">
        <v>25</v>
      </c>
      <c r="AM2787" s="78" t="s">
        <v>51</v>
      </c>
      <c r="AN2787" s="78" t="s">
        <v>313</v>
      </c>
      <c r="AO2787" s="78">
        <v>3.0177597197552002</v>
      </c>
    </row>
    <row r="2788" spans="29:41">
      <c r="AC2788" s="78" t="s">
        <v>53</v>
      </c>
      <c r="AD2788" s="78" t="s">
        <v>20</v>
      </c>
      <c r="AE2788" s="78" t="s">
        <v>72</v>
      </c>
      <c r="AF2788" s="78" t="s">
        <v>51</v>
      </c>
      <c r="AG2788" s="78" t="s">
        <v>363</v>
      </c>
      <c r="AH2788" s="78">
        <v>3.9742500000000001</v>
      </c>
      <c r="AJ2788" s="78" t="s">
        <v>74</v>
      </c>
      <c r="AK2788" s="78" t="s">
        <v>87</v>
      </c>
      <c r="AL2788" s="78" t="s">
        <v>25</v>
      </c>
      <c r="AM2788" s="78" t="s">
        <v>51</v>
      </c>
      <c r="AN2788" s="78" t="s">
        <v>233</v>
      </c>
      <c r="AO2788" s="78">
        <v>3.0426080275796101</v>
      </c>
    </row>
    <row r="2789" spans="29:41">
      <c r="AC2789" s="78" t="s">
        <v>53</v>
      </c>
      <c r="AD2789" s="78" t="s">
        <v>20</v>
      </c>
      <c r="AE2789" s="78" t="s">
        <v>72</v>
      </c>
      <c r="AF2789" s="78" t="s">
        <v>51</v>
      </c>
      <c r="AG2789" s="78" t="s">
        <v>364</v>
      </c>
      <c r="AH2789" s="78">
        <v>4.0061249999999999</v>
      </c>
      <c r="AJ2789" s="78" t="s">
        <v>74</v>
      </c>
      <c r="AK2789" s="78" t="s">
        <v>87</v>
      </c>
      <c r="AL2789" s="78" t="s">
        <v>25</v>
      </c>
      <c r="AM2789" s="78" t="s">
        <v>51</v>
      </c>
      <c r="AN2789" s="78" t="s">
        <v>236</v>
      </c>
      <c r="AO2789" s="78">
        <v>3.0275766664066102</v>
      </c>
    </row>
    <row r="2790" spans="29:41">
      <c r="AC2790" s="78" t="s">
        <v>53</v>
      </c>
      <c r="AD2790" s="78" t="s">
        <v>20</v>
      </c>
      <c r="AE2790" s="78" t="s">
        <v>72</v>
      </c>
      <c r="AF2790" s="78" t="s">
        <v>51</v>
      </c>
      <c r="AG2790" s="78" t="s">
        <v>365</v>
      </c>
      <c r="AH2790" s="78">
        <v>4.0061249999999999</v>
      </c>
      <c r="AJ2790" s="78" t="s">
        <v>74</v>
      </c>
      <c r="AK2790" s="78" t="s">
        <v>87</v>
      </c>
      <c r="AL2790" s="78" t="s">
        <v>25</v>
      </c>
      <c r="AM2790" s="78" t="s">
        <v>51</v>
      </c>
      <c r="AN2790" s="78" t="s">
        <v>318</v>
      </c>
      <c r="AO2790" s="78">
        <v>3.0029644484734299</v>
      </c>
    </row>
    <row r="2791" spans="29:41">
      <c r="AC2791" s="78" t="s">
        <v>53</v>
      </c>
      <c r="AD2791" s="78" t="s">
        <v>20</v>
      </c>
      <c r="AE2791" s="78" t="s">
        <v>72</v>
      </c>
      <c r="AF2791" s="78" t="s">
        <v>51</v>
      </c>
      <c r="AG2791" s="78" t="s">
        <v>366</v>
      </c>
      <c r="AH2791" s="78">
        <v>4.0378749999999997</v>
      </c>
      <c r="AJ2791" s="78" t="s">
        <v>74</v>
      </c>
      <c r="AK2791" s="78" t="s">
        <v>87</v>
      </c>
      <c r="AL2791" s="78" t="s">
        <v>25</v>
      </c>
      <c r="AM2791" s="78" t="s">
        <v>51</v>
      </c>
      <c r="AN2791" s="78" t="s">
        <v>319</v>
      </c>
      <c r="AO2791" s="78">
        <v>3.05738829293283</v>
      </c>
    </row>
    <row r="2792" spans="29:41">
      <c r="AC2792" s="78" t="s">
        <v>53</v>
      </c>
      <c r="AD2792" s="78" t="s">
        <v>20</v>
      </c>
      <c r="AE2792" s="78" t="s">
        <v>72</v>
      </c>
      <c r="AF2792" s="78" t="s">
        <v>51</v>
      </c>
      <c r="AG2792" s="78" t="s">
        <v>367</v>
      </c>
      <c r="AH2792" s="78">
        <v>4.0378749999999997</v>
      </c>
      <c r="AJ2792" s="78" t="s">
        <v>74</v>
      </c>
      <c r="AK2792" s="78" t="s">
        <v>87</v>
      </c>
      <c r="AL2792" s="78" t="s">
        <v>25</v>
      </c>
      <c r="AM2792" s="78" t="s">
        <v>51</v>
      </c>
      <c r="AN2792" s="78" t="s">
        <v>316</v>
      </c>
      <c r="AO2792" s="78">
        <v>3.0484600868524701</v>
      </c>
    </row>
    <row r="2793" spans="29:41">
      <c r="AC2793" s="78" t="s">
        <v>53</v>
      </c>
      <c r="AD2793" s="78" t="s">
        <v>20</v>
      </c>
      <c r="AE2793" s="78" t="s">
        <v>72</v>
      </c>
      <c r="AF2793" s="78" t="s">
        <v>51</v>
      </c>
      <c r="AG2793" s="78" t="s">
        <v>368</v>
      </c>
      <c r="AH2793" s="78">
        <v>3.9742500000000001</v>
      </c>
      <c r="AJ2793" s="78" t="s">
        <v>74</v>
      </c>
      <c r="AK2793" s="78" t="s">
        <v>87</v>
      </c>
      <c r="AL2793" s="78" t="s">
        <v>25</v>
      </c>
      <c r="AM2793" s="78" t="s">
        <v>51</v>
      </c>
      <c r="AN2793" s="78" t="s">
        <v>320</v>
      </c>
      <c r="AO2793" s="78">
        <v>3.0053894082817201</v>
      </c>
    </row>
    <row r="2794" spans="29:41">
      <c r="AC2794" s="78" t="s">
        <v>53</v>
      </c>
      <c r="AD2794" s="78" t="s">
        <v>20</v>
      </c>
      <c r="AE2794" s="78" t="s">
        <v>72</v>
      </c>
      <c r="AF2794" s="78" t="s">
        <v>51</v>
      </c>
      <c r="AG2794" s="78" t="s">
        <v>369</v>
      </c>
      <c r="AH2794" s="78">
        <v>4.070125</v>
      </c>
      <c r="AJ2794" s="78" t="s">
        <v>74</v>
      </c>
      <c r="AK2794" s="78" t="s">
        <v>87</v>
      </c>
      <c r="AL2794" s="78" t="s">
        <v>25</v>
      </c>
      <c r="AM2794" s="78" t="s">
        <v>51</v>
      </c>
      <c r="AN2794" s="78" t="s">
        <v>321</v>
      </c>
      <c r="AO2794" s="78">
        <v>2.993452685197</v>
      </c>
    </row>
    <row r="2795" spans="29:41">
      <c r="AC2795" s="78" t="s">
        <v>53</v>
      </c>
      <c r="AD2795" s="78" t="s">
        <v>20</v>
      </c>
      <c r="AE2795" s="78" t="s">
        <v>72</v>
      </c>
      <c r="AF2795" s="78" t="s">
        <v>51</v>
      </c>
      <c r="AG2795" s="78" t="s">
        <v>370</v>
      </c>
      <c r="AH2795" s="78">
        <v>3.91025</v>
      </c>
      <c r="AJ2795" s="78" t="s">
        <v>74</v>
      </c>
      <c r="AK2795" s="78" t="s">
        <v>87</v>
      </c>
      <c r="AL2795" s="78" t="s">
        <v>25</v>
      </c>
      <c r="AM2795" s="78" t="s">
        <v>51</v>
      </c>
      <c r="AN2795" s="78" t="s">
        <v>322</v>
      </c>
      <c r="AO2795" s="78">
        <v>2.99513727920968</v>
      </c>
    </row>
    <row r="2796" spans="29:41">
      <c r="AC2796" s="78" t="s">
        <v>53</v>
      </c>
      <c r="AD2796" s="78" t="s">
        <v>20</v>
      </c>
      <c r="AE2796" s="78" t="s">
        <v>72</v>
      </c>
      <c r="AF2796" s="78" t="s">
        <v>51</v>
      </c>
      <c r="AG2796" s="78" t="s">
        <v>371</v>
      </c>
      <c r="AH2796" s="78">
        <v>3.91025</v>
      </c>
      <c r="AJ2796" s="78" t="s">
        <v>74</v>
      </c>
      <c r="AK2796" s="78" t="s">
        <v>87</v>
      </c>
      <c r="AL2796" s="78" t="s">
        <v>25</v>
      </c>
      <c r="AM2796" s="78" t="s">
        <v>51</v>
      </c>
      <c r="AN2796" s="78" t="s">
        <v>323</v>
      </c>
      <c r="AO2796" s="78">
        <v>2.9334005201837599</v>
      </c>
    </row>
    <row r="2797" spans="29:41">
      <c r="AC2797" s="78" t="s">
        <v>53</v>
      </c>
      <c r="AD2797" s="78" t="s">
        <v>20</v>
      </c>
      <c r="AE2797" s="78" t="s">
        <v>72</v>
      </c>
      <c r="AF2797" s="78" t="s">
        <v>51</v>
      </c>
      <c r="AG2797" s="78" t="s">
        <v>372</v>
      </c>
      <c r="AH2797" s="78">
        <v>3.9742500000000001</v>
      </c>
      <c r="AJ2797" s="78" t="s">
        <v>74</v>
      </c>
      <c r="AK2797" s="78" t="s">
        <v>87</v>
      </c>
      <c r="AL2797" s="78" t="s">
        <v>25</v>
      </c>
      <c r="AM2797" s="78" t="s">
        <v>51</v>
      </c>
      <c r="AN2797" s="78" t="s">
        <v>324</v>
      </c>
      <c r="AO2797" s="78">
        <v>2.9119506998989602</v>
      </c>
    </row>
    <row r="2798" spans="29:41">
      <c r="AC2798" s="78" t="s">
        <v>53</v>
      </c>
      <c r="AD2798" s="78" t="s">
        <v>20</v>
      </c>
      <c r="AE2798" s="78" t="s">
        <v>72</v>
      </c>
      <c r="AF2798" s="78" t="s">
        <v>51</v>
      </c>
      <c r="AG2798" s="78" t="s">
        <v>373</v>
      </c>
      <c r="AH2798" s="78">
        <v>3.9742500000000001</v>
      </c>
      <c r="AJ2798" s="78" t="s">
        <v>74</v>
      </c>
      <c r="AK2798" s="78" t="s">
        <v>87</v>
      </c>
      <c r="AL2798" s="78" t="s">
        <v>25</v>
      </c>
      <c r="AM2798" s="78" t="s">
        <v>51</v>
      </c>
      <c r="AN2798" s="78" t="s">
        <v>325</v>
      </c>
      <c r="AO2798" s="78">
        <v>2.88545680781831</v>
      </c>
    </row>
    <row r="2799" spans="29:41">
      <c r="AC2799" s="78" t="s">
        <v>53</v>
      </c>
      <c r="AD2799" s="78" t="s">
        <v>20</v>
      </c>
      <c r="AE2799" s="78" t="s">
        <v>72</v>
      </c>
      <c r="AF2799" s="78" t="s">
        <v>51</v>
      </c>
      <c r="AG2799" s="78" t="s">
        <v>374</v>
      </c>
      <c r="AH2799" s="78">
        <v>4.0061249999999999</v>
      </c>
      <c r="AJ2799" s="78" t="s">
        <v>74</v>
      </c>
      <c r="AK2799" s="78" t="s">
        <v>87</v>
      </c>
      <c r="AL2799" s="78" t="s">
        <v>25</v>
      </c>
      <c r="AM2799" s="78" t="s">
        <v>51</v>
      </c>
      <c r="AN2799" s="78" t="s">
        <v>326</v>
      </c>
      <c r="AO2799" s="78">
        <v>2.8978342309890999</v>
      </c>
    </row>
    <row r="2800" spans="29:41">
      <c r="AC2800" s="78" t="s">
        <v>53</v>
      </c>
      <c r="AD2800" s="78" t="s">
        <v>20</v>
      </c>
      <c r="AE2800" s="78" t="s">
        <v>72</v>
      </c>
      <c r="AF2800" s="78" t="s">
        <v>51</v>
      </c>
      <c r="AG2800" s="78" t="s">
        <v>375</v>
      </c>
      <c r="AH2800" s="78">
        <v>4.070125</v>
      </c>
      <c r="AJ2800" s="78" t="s">
        <v>74</v>
      </c>
      <c r="AK2800" s="78" t="s">
        <v>87</v>
      </c>
      <c r="AL2800" s="78" t="s">
        <v>25</v>
      </c>
      <c r="AM2800" s="78" t="s">
        <v>51</v>
      </c>
      <c r="AN2800" s="78" t="s">
        <v>327</v>
      </c>
      <c r="AO2800" s="78">
        <v>2.8424738889513801</v>
      </c>
    </row>
    <row r="2801" spans="29:41">
      <c r="AC2801" s="78" t="s">
        <v>53</v>
      </c>
      <c r="AD2801" s="78" t="s">
        <v>20</v>
      </c>
      <c r="AE2801" s="78" t="s">
        <v>72</v>
      </c>
      <c r="AF2801" s="78" t="s">
        <v>51</v>
      </c>
      <c r="AG2801" s="78" t="s">
        <v>376</v>
      </c>
      <c r="AH2801" s="78">
        <v>3.9425000000000003</v>
      </c>
      <c r="AJ2801" s="78" t="s">
        <v>74</v>
      </c>
      <c r="AK2801" s="78" t="s">
        <v>87</v>
      </c>
      <c r="AL2801" s="78" t="s">
        <v>25</v>
      </c>
      <c r="AM2801" s="78" t="s">
        <v>51</v>
      </c>
      <c r="AN2801" s="78" t="s">
        <v>328</v>
      </c>
      <c r="AO2801" s="78">
        <v>2.8127941632470699</v>
      </c>
    </row>
    <row r="2802" spans="29:41">
      <c r="AC2802" s="78" t="s">
        <v>53</v>
      </c>
      <c r="AD2802" s="78" t="s">
        <v>20</v>
      </c>
      <c r="AE2802" s="78" t="s">
        <v>72</v>
      </c>
      <c r="AF2802" s="78" t="s">
        <v>51</v>
      </c>
      <c r="AG2802" s="78" t="s">
        <v>377</v>
      </c>
      <c r="AH2802" s="78">
        <v>3.9425000000000003</v>
      </c>
      <c r="AJ2802" s="78" t="s">
        <v>74</v>
      </c>
      <c r="AK2802" s="78" t="s">
        <v>87</v>
      </c>
      <c r="AL2802" s="78" t="s">
        <v>25</v>
      </c>
      <c r="AM2802" s="78" t="s">
        <v>51</v>
      </c>
      <c r="AN2802" s="78" t="s">
        <v>329</v>
      </c>
      <c r="AO2802" s="78">
        <v>2.82567876803239</v>
      </c>
    </row>
    <row r="2803" spans="29:41">
      <c r="AC2803" s="78" t="s">
        <v>53</v>
      </c>
      <c r="AD2803" s="78" t="s">
        <v>20</v>
      </c>
      <c r="AE2803" s="78" t="s">
        <v>72</v>
      </c>
      <c r="AF2803" s="78" t="s">
        <v>51</v>
      </c>
      <c r="AG2803" s="78" t="s">
        <v>378</v>
      </c>
      <c r="AH2803" s="78">
        <v>3.9425000000000003</v>
      </c>
      <c r="AJ2803" s="78" t="s">
        <v>74</v>
      </c>
      <c r="AK2803" s="78" t="s">
        <v>87</v>
      </c>
      <c r="AL2803" s="78" t="s">
        <v>25</v>
      </c>
      <c r="AM2803" s="78" t="s">
        <v>51</v>
      </c>
      <c r="AN2803" s="78" t="s">
        <v>330</v>
      </c>
      <c r="AO2803" s="78">
        <v>2.78255799649583</v>
      </c>
    </row>
    <row r="2804" spans="29:41">
      <c r="AC2804" s="78" t="s">
        <v>53</v>
      </c>
      <c r="AD2804" s="78" t="s">
        <v>20</v>
      </c>
      <c r="AE2804" s="78" t="s">
        <v>72</v>
      </c>
      <c r="AF2804" s="78" t="s">
        <v>51</v>
      </c>
      <c r="AG2804" s="78" t="s">
        <v>379</v>
      </c>
      <c r="AH2804" s="78">
        <v>3.8784999999999998</v>
      </c>
      <c r="AJ2804" s="78" t="s">
        <v>74</v>
      </c>
      <c r="AK2804" s="78" t="s">
        <v>87</v>
      </c>
      <c r="AL2804" s="78" t="s">
        <v>25</v>
      </c>
      <c r="AM2804" s="78" t="s">
        <v>51</v>
      </c>
      <c r="AN2804" s="78" t="s">
        <v>331</v>
      </c>
      <c r="AO2804" s="78">
        <v>2.78837847860318</v>
      </c>
    </row>
    <row r="2805" spans="29:41">
      <c r="AC2805" s="78" t="s">
        <v>53</v>
      </c>
      <c r="AD2805" s="78" t="s">
        <v>20</v>
      </c>
      <c r="AE2805" s="78" t="s">
        <v>72</v>
      </c>
      <c r="AF2805" s="78" t="s">
        <v>51</v>
      </c>
      <c r="AG2805" s="78" t="s">
        <v>380</v>
      </c>
      <c r="AH2805" s="78">
        <v>3.8784999999999998</v>
      </c>
      <c r="AJ2805" s="78" t="s">
        <v>74</v>
      </c>
      <c r="AK2805" s="78" t="s">
        <v>87</v>
      </c>
      <c r="AL2805" s="78" t="s">
        <v>25</v>
      </c>
      <c r="AM2805" s="78" t="s">
        <v>51</v>
      </c>
      <c r="AN2805" s="78" t="s">
        <v>332</v>
      </c>
      <c r="AO2805" s="78">
        <v>2.7399955828051801</v>
      </c>
    </row>
    <row r="2806" spans="29:41">
      <c r="AC2806" s="78" t="s">
        <v>53</v>
      </c>
      <c r="AD2806" s="78" t="s">
        <v>20</v>
      </c>
      <c r="AE2806" s="78" t="s">
        <v>72</v>
      </c>
      <c r="AF2806" s="78" t="s">
        <v>51</v>
      </c>
      <c r="AG2806" s="78" t="s">
        <v>381</v>
      </c>
      <c r="AH2806" s="78">
        <v>3.8784999999999998</v>
      </c>
      <c r="AJ2806" s="78" t="s">
        <v>74</v>
      </c>
      <c r="AK2806" s="78" t="s">
        <v>87</v>
      </c>
      <c r="AL2806" s="78" t="s">
        <v>25</v>
      </c>
      <c r="AM2806" s="78" t="s">
        <v>51</v>
      </c>
      <c r="AN2806" s="78" t="s">
        <v>333</v>
      </c>
      <c r="AO2806" s="78">
        <v>2.7634717888750999</v>
      </c>
    </row>
    <row r="2807" spans="29:41">
      <c r="AC2807" s="78" t="s">
        <v>53</v>
      </c>
      <c r="AD2807" s="78" t="s">
        <v>20</v>
      </c>
      <c r="AE2807" s="78" t="s">
        <v>72</v>
      </c>
      <c r="AF2807" s="78" t="s">
        <v>51</v>
      </c>
      <c r="AG2807" s="78" t="s">
        <v>382</v>
      </c>
      <c r="AH2807" s="78">
        <v>3.91025</v>
      </c>
      <c r="AJ2807" s="78" t="s">
        <v>74</v>
      </c>
      <c r="AK2807" s="78" t="s">
        <v>87</v>
      </c>
      <c r="AL2807" s="78" t="s">
        <v>25</v>
      </c>
      <c r="AM2807" s="78" t="s">
        <v>51</v>
      </c>
      <c r="AN2807" s="78" t="s">
        <v>334</v>
      </c>
      <c r="AO2807" s="78">
        <v>2.7884908118762199</v>
      </c>
    </row>
    <row r="2808" spans="29:41">
      <c r="AC2808" s="78" t="s">
        <v>53</v>
      </c>
      <c r="AD2808" s="78" t="s">
        <v>20</v>
      </c>
      <c r="AE2808" s="78" t="s">
        <v>72</v>
      </c>
      <c r="AF2808" s="78" t="s">
        <v>51</v>
      </c>
      <c r="AG2808" s="78" t="s">
        <v>383</v>
      </c>
      <c r="AH2808" s="78">
        <v>3.91025</v>
      </c>
      <c r="AJ2808" s="78" t="s">
        <v>74</v>
      </c>
      <c r="AK2808" s="78" t="s">
        <v>87</v>
      </c>
      <c r="AL2808" s="78" t="s">
        <v>25</v>
      </c>
      <c r="AM2808" s="78" t="s">
        <v>51</v>
      </c>
      <c r="AN2808" s="78" t="s">
        <v>335</v>
      </c>
      <c r="AO2808" s="78">
        <v>2.7702129413051901</v>
      </c>
    </row>
    <row r="2809" spans="29:41">
      <c r="AC2809" s="78" t="s">
        <v>53</v>
      </c>
      <c r="AD2809" s="78" t="s">
        <v>20</v>
      </c>
      <c r="AE2809" s="78" t="s">
        <v>72</v>
      </c>
      <c r="AF2809" s="78" t="s">
        <v>51</v>
      </c>
      <c r="AG2809" s="78" t="s">
        <v>384</v>
      </c>
      <c r="AH2809" s="78">
        <v>3.846625</v>
      </c>
      <c r="AJ2809" s="78" t="s">
        <v>74</v>
      </c>
      <c r="AK2809" s="78" t="s">
        <v>87</v>
      </c>
      <c r="AL2809" s="78" t="s">
        <v>25</v>
      </c>
      <c r="AM2809" s="78" t="s">
        <v>51</v>
      </c>
      <c r="AN2809" s="78" t="s">
        <v>315</v>
      </c>
      <c r="AO2809" s="78">
        <v>2.7316832790579499</v>
      </c>
    </row>
    <row r="2810" spans="29:41">
      <c r="AC2810" s="78" t="s">
        <v>53</v>
      </c>
      <c r="AD2810" s="78" t="s">
        <v>20</v>
      </c>
      <c r="AE2810" s="78" t="s">
        <v>72</v>
      </c>
      <c r="AF2810" s="78" t="s">
        <v>51</v>
      </c>
      <c r="AG2810" s="78" t="s">
        <v>385</v>
      </c>
      <c r="AH2810" s="78">
        <v>3.846625</v>
      </c>
      <c r="AJ2810" s="78" t="s">
        <v>74</v>
      </c>
      <c r="AK2810" s="78" t="s">
        <v>87</v>
      </c>
      <c r="AL2810" s="78" t="s">
        <v>25</v>
      </c>
      <c r="AM2810" s="78" t="s">
        <v>51</v>
      </c>
      <c r="AN2810" s="78" t="s">
        <v>336</v>
      </c>
      <c r="AO2810" s="78">
        <v>2.73574020589367</v>
      </c>
    </row>
    <row r="2811" spans="29:41">
      <c r="AC2811" s="78" t="s">
        <v>53</v>
      </c>
      <c r="AD2811" s="78" t="s">
        <v>20</v>
      </c>
      <c r="AE2811" s="78" t="s">
        <v>72</v>
      </c>
      <c r="AF2811" s="78" t="s">
        <v>51</v>
      </c>
      <c r="AG2811" s="78" t="s">
        <v>386</v>
      </c>
      <c r="AH2811" s="78">
        <v>3.846625</v>
      </c>
      <c r="AJ2811" s="78" t="s">
        <v>74</v>
      </c>
      <c r="AK2811" s="78" t="s">
        <v>87</v>
      </c>
      <c r="AL2811" s="78" t="s">
        <v>25</v>
      </c>
      <c r="AM2811" s="78" t="s">
        <v>51</v>
      </c>
      <c r="AN2811" s="78" t="s">
        <v>337</v>
      </c>
      <c r="AO2811" s="78">
        <v>2.70685241961761</v>
      </c>
    </row>
    <row r="2812" spans="29:41">
      <c r="AC2812" s="78" t="s">
        <v>53</v>
      </c>
      <c r="AD2812" s="78" t="s">
        <v>20</v>
      </c>
      <c r="AE2812" s="78" t="s">
        <v>72</v>
      </c>
      <c r="AF2812" s="78" t="s">
        <v>51</v>
      </c>
      <c r="AG2812" s="78" t="s">
        <v>387</v>
      </c>
      <c r="AH2812" s="78">
        <v>3.846625</v>
      </c>
      <c r="AJ2812" s="78" t="s">
        <v>74</v>
      </c>
      <c r="AK2812" s="78" t="s">
        <v>87</v>
      </c>
      <c r="AL2812" s="78" t="s">
        <v>25</v>
      </c>
      <c r="AM2812" s="78" t="s">
        <v>51</v>
      </c>
      <c r="AN2812" s="78" t="s">
        <v>338</v>
      </c>
      <c r="AO2812" s="78">
        <v>2.6475345232254401</v>
      </c>
    </row>
    <row r="2813" spans="29:41">
      <c r="AC2813" s="78" t="s">
        <v>53</v>
      </c>
      <c r="AD2813" s="78" t="s">
        <v>20</v>
      </c>
      <c r="AE2813" s="78" t="s">
        <v>72</v>
      </c>
      <c r="AF2813" s="78" t="s">
        <v>51</v>
      </c>
      <c r="AG2813" s="78" t="s">
        <v>388</v>
      </c>
      <c r="AH2813" s="78">
        <v>3.846625</v>
      </c>
      <c r="AJ2813" s="78" t="s">
        <v>74</v>
      </c>
      <c r="AK2813" s="78" t="s">
        <v>87</v>
      </c>
      <c r="AL2813" s="78" t="s">
        <v>25</v>
      </c>
      <c r="AM2813" s="78" t="s">
        <v>51</v>
      </c>
      <c r="AN2813" s="78" t="s">
        <v>314</v>
      </c>
      <c r="AO2813" s="78">
        <v>2.7082747576934199</v>
      </c>
    </row>
    <row r="2814" spans="29:41">
      <c r="AC2814" s="78" t="s">
        <v>53</v>
      </c>
      <c r="AD2814" s="78" t="s">
        <v>20</v>
      </c>
      <c r="AE2814" s="78" t="s">
        <v>72</v>
      </c>
      <c r="AF2814" s="78" t="s">
        <v>51</v>
      </c>
      <c r="AG2814" s="78" t="s">
        <v>389</v>
      </c>
      <c r="AH2814" s="78">
        <v>3.846625</v>
      </c>
      <c r="AJ2814" s="78" t="s">
        <v>74</v>
      </c>
      <c r="AK2814" s="78" t="s">
        <v>87</v>
      </c>
      <c r="AL2814" s="78" t="s">
        <v>25</v>
      </c>
      <c r="AM2814" s="78" t="s">
        <v>51</v>
      </c>
      <c r="AN2814" s="78" t="s">
        <v>317</v>
      </c>
      <c r="AO2814" s="78">
        <v>2.6172888132357301</v>
      </c>
    </row>
    <row r="2815" spans="29:41">
      <c r="AC2815" s="78" t="s">
        <v>53</v>
      </c>
      <c r="AD2815" s="78" t="s">
        <v>20</v>
      </c>
      <c r="AE2815" s="78" t="s">
        <v>72</v>
      </c>
      <c r="AF2815" s="78" t="s">
        <v>51</v>
      </c>
      <c r="AG2815" s="78" t="s">
        <v>418</v>
      </c>
      <c r="AH2815" s="78">
        <v>3.846625</v>
      </c>
      <c r="AJ2815" s="78" t="s">
        <v>74</v>
      </c>
      <c r="AK2815" s="78" t="s">
        <v>87</v>
      </c>
      <c r="AL2815" s="78" t="s">
        <v>25</v>
      </c>
      <c r="AM2815" s="78" t="s">
        <v>51</v>
      </c>
      <c r="AN2815" s="78" t="s">
        <v>344</v>
      </c>
      <c r="AO2815" s="78">
        <v>2.6150928157028002</v>
      </c>
    </row>
    <row r="2816" spans="29:41">
      <c r="AC2816" s="78" t="s">
        <v>53</v>
      </c>
      <c r="AD2816" s="78" t="s">
        <v>20</v>
      </c>
      <c r="AE2816" s="78" t="s">
        <v>72</v>
      </c>
      <c r="AF2816" s="78" t="s">
        <v>51</v>
      </c>
      <c r="AG2816" s="78" t="s">
        <v>390</v>
      </c>
      <c r="AH2816" s="78">
        <v>3.846625</v>
      </c>
      <c r="AJ2816" s="78" t="s">
        <v>74</v>
      </c>
      <c r="AK2816" s="78" t="s">
        <v>87</v>
      </c>
      <c r="AL2816" s="78" t="s">
        <v>25</v>
      </c>
      <c r="AM2816" s="78" t="s">
        <v>51</v>
      </c>
      <c r="AN2816" s="78" t="s">
        <v>342</v>
      </c>
      <c r="AO2816" s="78">
        <v>2.6195226711190198</v>
      </c>
    </row>
    <row r="2817" spans="29:41">
      <c r="AC2817" s="78" t="s">
        <v>53</v>
      </c>
      <c r="AD2817" s="78" t="s">
        <v>20</v>
      </c>
      <c r="AE2817" s="78" t="s">
        <v>72</v>
      </c>
      <c r="AF2817" s="78" t="s">
        <v>51</v>
      </c>
      <c r="AG2817" s="78" t="s">
        <v>419</v>
      </c>
      <c r="AH2817" s="78">
        <v>3.846625</v>
      </c>
      <c r="AJ2817" s="78" t="s">
        <v>74</v>
      </c>
      <c r="AK2817" s="78" t="s">
        <v>87</v>
      </c>
      <c r="AL2817" s="78" t="s">
        <v>25</v>
      </c>
      <c r="AM2817" s="78" t="s">
        <v>51</v>
      </c>
      <c r="AN2817" s="78" t="s">
        <v>345</v>
      </c>
      <c r="AO2817" s="78">
        <v>2.6103236546711099</v>
      </c>
    </row>
    <row r="2818" spans="29:41">
      <c r="AC2818" s="78" t="s">
        <v>53</v>
      </c>
      <c r="AD2818" s="78" t="s">
        <v>20</v>
      </c>
      <c r="AE2818" s="78" t="s">
        <v>72</v>
      </c>
      <c r="AF2818" s="78" t="s">
        <v>51</v>
      </c>
      <c r="AG2818" s="78" t="s">
        <v>391</v>
      </c>
      <c r="AH2818" s="78">
        <v>3.846625</v>
      </c>
      <c r="AJ2818" s="78" t="s">
        <v>74</v>
      </c>
      <c r="AK2818" s="78" t="s">
        <v>87</v>
      </c>
      <c r="AL2818" s="78" t="s">
        <v>25</v>
      </c>
      <c r="AM2818" s="78" t="s">
        <v>51</v>
      </c>
      <c r="AN2818" s="78" t="s">
        <v>346</v>
      </c>
      <c r="AO2818" s="78">
        <v>2.5303433230650998</v>
      </c>
    </row>
    <row r="2819" spans="29:41">
      <c r="AC2819" s="78" t="s">
        <v>53</v>
      </c>
      <c r="AD2819" s="78" t="s">
        <v>20</v>
      </c>
      <c r="AE2819" s="78" t="s">
        <v>72</v>
      </c>
      <c r="AF2819" s="78" t="s">
        <v>51</v>
      </c>
      <c r="AG2819" s="78" t="s">
        <v>392</v>
      </c>
      <c r="AH2819" s="78">
        <v>3.846625</v>
      </c>
      <c r="AJ2819" s="78" t="s">
        <v>74</v>
      </c>
      <c r="AK2819" s="78" t="s">
        <v>87</v>
      </c>
      <c r="AL2819" s="78" t="s">
        <v>25</v>
      </c>
      <c r="AM2819" s="78" t="s">
        <v>51</v>
      </c>
      <c r="AN2819" s="78" t="s">
        <v>343</v>
      </c>
      <c r="AO2819" s="78">
        <v>2.5047286028973201</v>
      </c>
    </row>
    <row r="2820" spans="29:41">
      <c r="AC2820" s="78" t="s">
        <v>53</v>
      </c>
      <c r="AD2820" s="78" t="s">
        <v>20</v>
      </c>
      <c r="AE2820" s="78" t="s">
        <v>72</v>
      </c>
      <c r="AF2820" s="78" t="s">
        <v>51</v>
      </c>
      <c r="AG2820" s="78" t="s">
        <v>393</v>
      </c>
      <c r="AH2820" s="78">
        <v>3.846625</v>
      </c>
      <c r="AJ2820" s="78" t="s">
        <v>74</v>
      </c>
      <c r="AK2820" s="78" t="s">
        <v>87</v>
      </c>
      <c r="AL2820" s="78" t="s">
        <v>25</v>
      </c>
      <c r="AM2820" s="78" t="s">
        <v>51</v>
      </c>
      <c r="AN2820" s="78" t="s">
        <v>341</v>
      </c>
      <c r="AO2820" s="78">
        <v>2.4821302759437298</v>
      </c>
    </row>
    <row r="2821" spans="29:41">
      <c r="AC2821" s="78" t="s">
        <v>53</v>
      </c>
      <c r="AD2821" s="78" t="s">
        <v>20</v>
      </c>
      <c r="AE2821" s="78" t="s">
        <v>72</v>
      </c>
      <c r="AF2821" s="78" t="s">
        <v>51</v>
      </c>
      <c r="AG2821" s="78" t="s">
        <v>394</v>
      </c>
      <c r="AH2821" s="78">
        <v>3.8784999999999998</v>
      </c>
      <c r="AJ2821" s="78" t="s">
        <v>74</v>
      </c>
      <c r="AK2821" s="78" t="s">
        <v>87</v>
      </c>
      <c r="AL2821" s="78" t="s">
        <v>25</v>
      </c>
      <c r="AM2821" s="78" t="s">
        <v>51</v>
      </c>
      <c r="AN2821" s="78" t="s">
        <v>347</v>
      </c>
      <c r="AO2821" s="78">
        <v>2.42881647726065</v>
      </c>
    </row>
    <row r="2822" spans="29:41">
      <c r="AC2822" s="78" t="s">
        <v>53</v>
      </c>
      <c r="AD2822" s="78" t="s">
        <v>20</v>
      </c>
      <c r="AE2822" s="78" t="s">
        <v>72</v>
      </c>
      <c r="AF2822" s="78" t="s">
        <v>51</v>
      </c>
      <c r="AG2822" s="78" t="s">
        <v>395</v>
      </c>
      <c r="AH2822" s="78">
        <v>3.8784999999999998</v>
      </c>
      <c r="AJ2822" s="78" t="s">
        <v>74</v>
      </c>
      <c r="AK2822" s="78" t="s">
        <v>87</v>
      </c>
      <c r="AL2822" s="78" t="s">
        <v>25</v>
      </c>
      <c r="AM2822" s="78" t="s">
        <v>51</v>
      </c>
      <c r="AN2822" s="78" t="s">
        <v>348</v>
      </c>
      <c r="AO2822" s="78">
        <v>2.5557387123841</v>
      </c>
    </row>
    <row r="2823" spans="29:41">
      <c r="AC2823" s="78" t="s">
        <v>53</v>
      </c>
      <c r="AD2823" s="78" t="s">
        <v>20</v>
      </c>
      <c r="AE2823" s="78" t="s">
        <v>72</v>
      </c>
      <c r="AF2823" s="78" t="s">
        <v>51</v>
      </c>
      <c r="AG2823" s="78" t="s">
        <v>396</v>
      </c>
      <c r="AH2823" s="78">
        <v>3.8784999999999998</v>
      </c>
      <c r="AJ2823" s="78" t="s">
        <v>74</v>
      </c>
      <c r="AK2823" s="78" t="s">
        <v>87</v>
      </c>
      <c r="AL2823" s="78" t="s">
        <v>25</v>
      </c>
      <c r="AM2823" s="78" t="s">
        <v>51</v>
      </c>
      <c r="AN2823" s="78" t="s">
        <v>349</v>
      </c>
      <c r="AO2823" s="78">
        <v>2.5621450125099101</v>
      </c>
    </row>
    <row r="2824" spans="29:41">
      <c r="AC2824" s="78" t="s">
        <v>53</v>
      </c>
      <c r="AD2824" s="78" t="s">
        <v>20</v>
      </c>
      <c r="AE2824" s="78" t="s">
        <v>72</v>
      </c>
      <c r="AF2824" s="78" t="s">
        <v>51</v>
      </c>
      <c r="AG2824" s="78" t="s">
        <v>397</v>
      </c>
      <c r="AH2824" s="78">
        <v>3.8784999999999998</v>
      </c>
      <c r="AJ2824" s="78" t="s">
        <v>74</v>
      </c>
      <c r="AK2824" s="78" t="s">
        <v>87</v>
      </c>
      <c r="AL2824" s="78" t="s">
        <v>25</v>
      </c>
      <c r="AM2824" s="78" t="s">
        <v>51</v>
      </c>
      <c r="AN2824" s="78" t="s">
        <v>350</v>
      </c>
      <c r="AO2824" s="78">
        <v>2.60333938625172</v>
      </c>
    </row>
    <row r="2825" spans="29:41">
      <c r="AC2825" s="78" t="s">
        <v>53</v>
      </c>
      <c r="AD2825" s="78" t="s">
        <v>20</v>
      </c>
      <c r="AE2825" s="78" t="s">
        <v>72</v>
      </c>
      <c r="AF2825" s="78" t="s">
        <v>51</v>
      </c>
      <c r="AG2825" s="78" t="s">
        <v>398</v>
      </c>
      <c r="AH2825" s="78">
        <v>3.8148749999999993</v>
      </c>
      <c r="AJ2825" s="78" t="s">
        <v>74</v>
      </c>
      <c r="AK2825" s="78" t="s">
        <v>87</v>
      </c>
      <c r="AL2825" s="78" t="s">
        <v>25</v>
      </c>
      <c r="AM2825" s="78" t="s">
        <v>51</v>
      </c>
      <c r="AN2825" s="78" t="s">
        <v>351</v>
      </c>
      <c r="AO2825" s="78">
        <v>2.5443053522825401</v>
      </c>
    </row>
    <row r="2826" spans="29:41">
      <c r="AC2826" s="78" t="s">
        <v>53</v>
      </c>
      <c r="AD2826" s="78" t="s">
        <v>20</v>
      </c>
      <c r="AE2826" s="78" t="s">
        <v>72</v>
      </c>
      <c r="AF2826" s="78" t="s">
        <v>51</v>
      </c>
      <c r="AG2826" s="78" t="s">
        <v>399</v>
      </c>
      <c r="AH2826" s="78">
        <v>3.846625</v>
      </c>
      <c r="AJ2826" s="78" t="s">
        <v>74</v>
      </c>
      <c r="AK2826" s="78" t="s">
        <v>87</v>
      </c>
      <c r="AL2826" s="78" t="s">
        <v>25</v>
      </c>
      <c r="AM2826" s="78" t="s">
        <v>51</v>
      </c>
      <c r="AN2826" s="78" t="s">
        <v>352</v>
      </c>
      <c r="AO2826" s="78">
        <v>2.5449659922268899</v>
      </c>
    </row>
    <row r="2827" spans="29:41">
      <c r="AC2827" s="78" t="s">
        <v>53</v>
      </c>
      <c r="AD2827" s="78" t="s">
        <v>20</v>
      </c>
      <c r="AE2827" s="78" t="s">
        <v>72</v>
      </c>
      <c r="AF2827" s="78" t="s">
        <v>51</v>
      </c>
      <c r="AG2827" s="78" t="s">
        <v>400</v>
      </c>
      <c r="AH2827" s="78">
        <v>3.846625</v>
      </c>
      <c r="AJ2827" s="78" t="s">
        <v>74</v>
      </c>
      <c r="AK2827" s="78" t="s">
        <v>87</v>
      </c>
      <c r="AL2827" s="78" t="s">
        <v>25</v>
      </c>
      <c r="AM2827" s="78" t="s">
        <v>51</v>
      </c>
      <c r="AN2827" s="78" t="s">
        <v>353</v>
      </c>
      <c r="AO2827" s="78">
        <v>2.5540295471269099</v>
      </c>
    </row>
    <row r="2828" spans="29:41">
      <c r="AC2828" s="78" t="s">
        <v>53</v>
      </c>
      <c r="AD2828" s="78" t="s">
        <v>20</v>
      </c>
      <c r="AE2828" s="78" t="s">
        <v>72</v>
      </c>
      <c r="AF2828" s="78" t="s">
        <v>51</v>
      </c>
      <c r="AG2828" s="78" t="s">
        <v>401</v>
      </c>
      <c r="AH2828" s="78">
        <v>3.8148749999999993</v>
      </c>
      <c r="AJ2828" s="78" t="s">
        <v>74</v>
      </c>
      <c r="AK2828" s="78" t="s">
        <v>87</v>
      </c>
      <c r="AL2828" s="78" t="s">
        <v>25</v>
      </c>
      <c r="AM2828" s="78" t="s">
        <v>51</v>
      </c>
      <c r="AN2828" s="78" t="s">
        <v>354</v>
      </c>
      <c r="AO2828" s="78">
        <v>2.5356667445590699</v>
      </c>
    </row>
    <row r="2829" spans="29:41">
      <c r="AC2829" s="78" t="s">
        <v>53</v>
      </c>
      <c r="AD2829" s="78" t="s">
        <v>20</v>
      </c>
      <c r="AE2829" s="78" t="s">
        <v>72</v>
      </c>
      <c r="AF2829" s="78" t="s">
        <v>51</v>
      </c>
      <c r="AG2829" s="78" t="s">
        <v>402</v>
      </c>
      <c r="AH2829" s="78">
        <v>3.7829999999999995</v>
      </c>
      <c r="AJ2829" s="78" t="s">
        <v>74</v>
      </c>
      <c r="AK2829" s="78" t="s">
        <v>87</v>
      </c>
      <c r="AL2829" s="78" t="s">
        <v>25</v>
      </c>
      <c r="AM2829" s="78" t="s">
        <v>51</v>
      </c>
      <c r="AN2829" s="78" t="s">
        <v>416</v>
      </c>
      <c r="AO2829" s="78">
        <v>2.5165312715175401</v>
      </c>
    </row>
    <row r="2830" spans="29:41">
      <c r="AC2830" s="78" t="s">
        <v>53</v>
      </c>
      <c r="AD2830" s="78" t="s">
        <v>20</v>
      </c>
      <c r="AE2830" s="78" t="s">
        <v>72</v>
      </c>
      <c r="AF2830" s="78" t="s">
        <v>51</v>
      </c>
      <c r="AG2830" s="78" t="s">
        <v>403</v>
      </c>
      <c r="AH2830" s="78">
        <v>4.2052500000000004</v>
      </c>
      <c r="AJ2830" s="78" t="s">
        <v>74</v>
      </c>
      <c r="AK2830" s="78" t="s">
        <v>87</v>
      </c>
      <c r="AL2830" s="78" t="s">
        <v>25</v>
      </c>
      <c r="AM2830" s="78" t="s">
        <v>51</v>
      </c>
      <c r="AN2830" s="78" t="s">
        <v>355</v>
      </c>
      <c r="AO2830" s="78">
        <v>2.4936082120119001</v>
      </c>
    </row>
    <row r="2831" spans="29:41">
      <c r="AC2831" s="78" t="s">
        <v>53</v>
      </c>
      <c r="AD2831" s="78" t="s">
        <v>20</v>
      </c>
      <c r="AE2831" s="78" t="s">
        <v>72</v>
      </c>
      <c r="AF2831" s="78" t="s">
        <v>51</v>
      </c>
      <c r="AG2831" s="78" t="s">
        <v>404</v>
      </c>
      <c r="AH2831" s="78">
        <v>3.7829999999999995</v>
      </c>
      <c r="AJ2831" s="78" t="s">
        <v>74</v>
      </c>
      <c r="AK2831" s="78" t="s">
        <v>87</v>
      </c>
      <c r="AL2831" s="78" t="s">
        <v>25</v>
      </c>
      <c r="AM2831" s="78" t="s">
        <v>51</v>
      </c>
      <c r="AN2831" s="78" t="s">
        <v>356</v>
      </c>
      <c r="AO2831" s="78">
        <v>2.5559111404476602</v>
      </c>
    </row>
    <row r="2832" spans="29:41">
      <c r="AC2832" s="78" t="s">
        <v>53</v>
      </c>
      <c r="AD2832" s="78" t="s">
        <v>20</v>
      </c>
      <c r="AE2832" s="78" t="s">
        <v>72</v>
      </c>
      <c r="AF2832" s="78" t="s">
        <v>51</v>
      </c>
      <c r="AG2832" s="78" t="s">
        <v>405</v>
      </c>
      <c r="AH2832" s="78">
        <v>3.7829999999999995</v>
      </c>
      <c r="AJ2832" s="78" t="s">
        <v>74</v>
      </c>
      <c r="AK2832" s="78" t="s">
        <v>87</v>
      </c>
      <c r="AL2832" s="78" t="s">
        <v>25</v>
      </c>
      <c r="AM2832" s="78" t="s">
        <v>51</v>
      </c>
      <c r="AN2832" s="78" t="s">
        <v>357</v>
      </c>
      <c r="AO2832" s="78">
        <v>2.52735457322752</v>
      </c>
    </row>
    <row r="2833" spans="29:41">
      <c r="AC2833" s="78" t="s">
        <v>53</v>
      </c>
      <c r="AD2833" s="78" t="s">
        <v>20</v>
      </c>
      <c r="AE2833" s="78" t="s">
        <v>72</v>
      </c>
      <c r="AF2833" s="78" t="s">
        <v>51</v>
      </c>
      <c r="AG2833" s="78" t="s">
        <v>406</v>
      </c>
      <c r="AH2833" s="78">
        <v>3.7829999999999995</v>
      </c>
      <c r="AJ2833" s="78" t="s">
        <v>74</v>
      </c>
      <c r="AK2833" s="78" t="s">
        <v>87</v>
      </c>
      <c r="AL2833" s="78" t="s">
        <v>25</v>
      </c>
      <c r="AM2833" s="78" t="s">
        <v>51</v>
      </c>
      <c r="AN2833" s="78" t="s">
        <v>358</v>
      </c>
      <c r="AO2833" s="78">
        <v>2.6160113869012802</v>
      </c>
    </row>
    <row r="2834" spans="29:41">
      <c r="AC2834" s="78" t="s">
        <v>53</v>
      </c>
      <c r="AD2834" s="78" t="s">
        <v>20</v>
      </c>
      <c r="AE2834" s="78" t="s">
        <v>72</v>
      </c>
      <c r="AF2834" s="78" t="s">
        <v>51</v>
      </c>
      <c r="AG2834" s="78" t="s">
        <v>407</v>
      </c>
      <c r="AH2834" s="78">
        <v>3.8148749999999993</v>
      </c>
      <c r="AJ2834" s="78" t="s">
        <v>74</v>
      </c>
      <c r="AK2834" s="78" t="s">
        <v>87</v>
      </c>
      <c r="AL2834" s="78" t="s">
        <v>25</v>
      </c>
      <c r="AM2834" s="78" t="s">
        <v>51</v>
      </c>
      <c r="AN2834" s="78" t="s">
        <v>359</v>
      </c>
      <c r="AO2834" s="78">
        <v>2.6371866759210301</v>
      </c>
    </row>
    <row r="2835" spans="29:41">
      <c r="AC2835" s="78" t="s">
        <v>53</v>
      </c>
      <c r="AD2835" s="78" t="s">
        <v>20</v>
      </c>
      <c r="AE2835" s="78" t="s">
        <v>72</v>
      </c>
      <c r="AF2835" s="78" t="s">
        <v>51</v>
      </c>
      <c r="AG2835" s="78" t="s">
        <v>408</v>
      </c>
      <c r="AH2835" s="78">
        <v>3.846625</v>
      </c>
      <c r="AJ2835" s="78" t="s">
        <v>74</v>
      </c>
      <c r="AK2835" s="78" t="s">
        <v>87</v>
      </c>
      <c r="AL2835" s="78" t="s">
        <v>25</v>
      </c>
      <c r="AM2835" s="78" t="s">
        <v>51</v>
      </c>
      <c r="AN2835" s="78" t="s">
        <v>360</v>
      </c>
      <c r="AO2835" s="78">
        <v>2.6040316185117298</v>
      </c>
    </row>
    <row r="2836" spans="29:41">
      <c r="AC2836" s="78" t="s">
        <v>53</v>
      </c>
      <c r="AD2836" s="78" t="s">
        <v>20</v>
      </c>
      <c r="AE2836" s="78" t="s">
        <v>72</v>
      </c>
      <c r="AF2836" s="78" t="s">
        <v>51</v>
      </c>
      <c r="AG2836" s="78" t="s">
        <v>409</v>
      </c>
      <c r="AH2836" s="78">
        <v>3.91025</v>
      </c>
      <c r="AJ2836" s="78" t="s">
        <v>74</v>
      </c>
      <c r="AK2836" s="78" t="s">
        <v>87</v>
      </c>
      <c r="AL2836" s="78" t="s">
        <v>25</v>
      </c>
      <c r="AM2836" s="78" t="s">
        <v>51</v>
      </c>
      <c r="AN2836" s="78" t="s">
        <v>361</v>
      </c>
      <c r="AO2836" s="78">
        <v>2.6456437130167698</v>
      </c>
    </row>
    <row r="2837" spans="29:41">
      <c r="AC2837" s="78" t="s">
        <v>53</v>
      </c>
      <c r="AD2837" s="78" t="s">
        <v>20</v>
      </c>
      <c r="AE2837" s="78" t="s">
        <v>72</v>
      </c>
      <c r="AF2837" s="78" t="s">
        <v>51</v>
      </c>
      <c r="AG2837" s="78" t="s">
        <v>410</v>
      </c>
      <c r="AH2837" s="78">
        <v>3.9742500000000001</v>
      </c>
      <c r="AJ2837" s="78" t="s">
        <v>74</v>
      </c>
      <c r="AK2837" s="78" t="s">
        <v>87</v>
      </c>
      <c r="AL2837" s="78" t="s">
        <v>25</v>
      </c>
      <c r="AM2837" s="78" t="s">
        <v>51</v>
      </c>
      <c r="AN2837" s="78" t="s">
        <v>362</v>
      </c>
      <c r="AO2837" s="78">
        <v>2.6797159507930601</v>
      </c>
    </row>
    <row r="2838" spans="29:41">
      <c r="AC2838" s="78" t="s">
        <v>53</v>
      </c>
      <c r="AD2838" s="78" t="s">
        <v>20</v>
      </c>
      <c r="AE2838" s="78" t="s">
        <v>72</v>
      </c>
      <c r="AF2838" s="78" t="s">
        <v>51</v>
      </c>
      <c r="AG2838" s="78" t="s">
        <v>411</v>
      </c>
      <c r="AH2838" s="78">
        <v>3.9425000000000003</v>
      </c>
      <c r="AJ2838" s="78" t="s">
        <v>74</v>
      </c>
      <c r="AK2838" s="78" t="s">
        <v>87</v>
      </c>
      <c r="AL2838" s="78" t="s">
        <v>25</v>
      </c>
      <c r="AM2838" s="78" t="s">
        <v>51</v>
      </c>
      <c r="AN2838" s="78" t="s">
        <v>363</v>
      </c>
      <c r="AO2838" s="78">
        <v>2.6318246797468499</v>
      </c>
    </row>
    <row r="2839" spans="29:41">
      <c r="AC2839" s="78" t="s">
        <v>53</v>
      </c>
      <c r="AD2839" s="78" t="s">
        <v>20</v>
      </c>
      <c r="AE2839" s="78" t="s">
        <v>72</v>
      </c>
      <c r="AF2839" s="78" t="s">
        <v>51</v>
      </c>
      <c r="AG2839" s="78" t="s">
        <v>412</v>
      </c>
      <c r="AH2839" s="78">
        <v>3.9425000000000003</v>
      </c>
      <c r="AJ2839" s="78" t="s">
        <v>74</v>
      </c>
      <c r="AK2839" s="78" t="s">
        <v>87</v>
      </c>
      <c r="AL2839" s="78" t="s">
        <v>25</v>
      </c>
      <c r="AM2839" s="78" t="s">
        <v>51</v>
      </c>
      <c r="AN2839" s="78" t="s">
        <v>364</v>
      </c>
      <c r="AO2839" s="78">
        <v>2.6993160821671598</v>
      </c>
    </row>
    <row r="2840" spans="29:41">
      <c r="AC2840" s="78" t="s">
        <v>53</v>
      </c>
      <c r="AD2840" s="78" t="s">
        <v>20</v>
      </c>
      <c r="AE2840" s="78" t="s">
        <v>72</v>
      </c>
      <c r="AF2840" s="78" t="s">
        <v>51</v>
      </c>
      <c r="AG2840" s="78" t="s">
        <v>413</v>
      </c>
      <c r="AH2840" s="78">
        <v>3.9425000000000003</v>
      </c>
      <c r="AJ2840" s="78" t="s">
        <v>74</v>
      </c>
      <c r="AK2840" s="78" t="s">
        <v>87</v>
      </c>
      <c r="AL2840" s="78" t="s">
        <v>25</v>
      </c>
      <c r="AM2840" s="78" t="s">
        <v>51</v>
      </c>
      <c r="AN2840" s="78" t="s">
        <v>365</v>
      </c>
      <c r="AO2840" s="78">
        <v>2.7087001450916599</v>
      </c>
    </row>
    <row r="2841" spans="29:41">
      <c r="AC2841" s="78" t="s">
        <v>53</v>
      </c>
      <c r="AD2841" s="78" t="s">
        <v>20</v>
      </c>
      <c r="AE2841" s="78" t="s">
        <v>72</v>
      </c>
      <c r="AF2841" s="78" t="s">
        <v>51</v>
      </c>
      <c r="AG2841" s="78" t="s">
        <v>414</v>
      </c>
      <c r="AH2841" s="78">
        <v>3.9425000000000003</v>
      </c>
      <c r="AJ2841" s="78" t="s">
        <v>74</v>
      </c>
      <c r="AK2841" s="78" t="s">
        <v>87</v>
      </c>
      <c r="AL2841" s="78" t="s">
        <v>25</v>
      </c>
      <c r="AM2841" s="78" t="s">
        <v>51</v>
      </c>
      <c r="AN2841" s="78" t="s">
        <v>366</v>
      </c>
      <c r="AO2841" s="78">
        <v>2.7411857736504301</v>
      </c>
    </row>
    <row r="2842" spans="29:41">
      <c r="AC2842" s="78" t="s">
        <v>53</v>
      </c>
      <c r="AD2842" s="78" t="s">
        <v>20</v>
      </c>
      <c r="AE2842" s="78" t="s">
        <v>72</v>
      </c>
      <c r="AF2842" s="78" t="s">
        <v>51</v>
      </c>
      <c r="AG2842" s="78" t="s">
        <v>415</v>
      </c>
      <c r="AH2842" s="78">
        <v>3.9425000000000003</v>
      </c>
      <c r="AJ2842" s="78" t="s">
        <v>74</v>
      </c>
      <c r="AK2842" s="78" t="s">
        <v>87</v>
      </c>
      <c r="AL2842" s="78" t="s">
        <v>25</v>
      </c>
      <c r="AM2842" s="78" t="s">
        <v>51</v>
      </c>
      <c r="AN2842" s="78" t="s">
        <v>367</v>
      </c>
      <c r="AO2842" s="78">
        <v>2.7302113432602999</v>
      </c>
    </row>
    <row r="2843" spans="29:41">
      <c r="AC2843" s="78" t="s">
        <v>53</v>
      </c>
      <c r="AD2843" s="78" t="s">
        <v>20</v>
      </c>
      <c r="AE2843" s="78" t="s">
        <v>72</v>
      </c>
      <c r="AF2843" s="78" t="s">
        <v>51</v>
      </c>
      <c r="AG2843" s="78" t="s">
        <v>429</v>
      </c>
      <c r="AH2843" s="78">
        <v>3.9425000000000003</v>
      </c>
      <c r="AJ2843" s="78" t="s">
        <v>74</v>
      </c>
      <c r="AK2843" s="78" t="s">
        <v>87</v>
      </c>
      <c r="AL2843" s="78" t="s">
        <v>25</v>
      </c>
      <c r="AM2843" s="78" t="s">
        <v>51</v>
      </c>
      <c r="AN2843" s="78" t="s">
        <v>368</v>
      </c>
      <c r="AO2843" s="78">
        <v>2.7488667702223699</v>
      </c>
    </row>
    <row r="2844" spans="29:41">
      <c r="AC2844" s="78" t="s">
        <v>53</v>
      </c>
      <c r="AD2844" s="78" t="s">
        <v>20</v>
      </c>
      <c r="AE2844" s="78" t="s">
        <v>72</v>
      </c>
      <c r="AF2844" s="78" t="s">
        <v>51</v>
      </c>
      <c r="AG2844" s="78" t="s">
        <v>430</v>
      </c>
      <c r="AH2844" s="78">
        <v>3.9742500000000001</v>
      </c>
      <c r="AJ2844" s="78" t="s">
        <v>74</v>
      </c>
      <c r="AK2844" s="78" t="s">
        <v>87</v>
      </c>
      <c r="AL2844" s="78" t="s">
        <v>25</v>
      </c>
      <c r="AM2844" s="78" t="s">
        <v>51</v>
      </c>
      <c r="AN2844" s="78" t="s">
        <v>369</v>
      </c>
      <c r="AO2844" s="78">
        <v>2.6989079918651599</v>
      </c>
    </row>
    <row r="2845" spans="29:41">
      <c r="AC2845" s="78" t="s">
        <v>53</v>
      </c>
      <c r="AD2845" s="78" t="s">
        <v>20</v>
      </c>
      <c r="AE2845" s="78" t="s">
        <v>72</v>
      </c>
      <c r="AF2845" s="78" t="s">
        <v>51</v>
      </c>
      <c r="AG2845" s="78" t="s">
        <v>431</v>
      </c>
      <c r="AH2845" s="78">
        <v>3.91025</v>
      </c>
      <c r="AJ2845" s="78" t="s">
        <v>74</v>
      </c>
      <c r="AK2845" s="78" t="s">
        <v>87</v>
      </c>
      <c r="AL2845" s="78" t="s">
        <v>25</v>
      </c>
      <c r="AM2845" s="78" t="s">
        <v>51</v>
      </c>
      <c r="AN2845" s="78" t="s">
        <v>370</v>
      </c>
      <c r="AO2845" s="78">
        <v>2.6507645211895499</v>
      </c>
    </row>
    <row r="2846" spans="29:41">
      <c r="AC2846" s="78" t="s">
        <v>53</v>
      </c>
      <c r="AD2846" s="78" t="s">
        <v>20</v>
      </c>
      <c r="AE2846" s="78" t="s">
        <v>72</v>
      </c>
      <c r="AF2846" s="78" t="s">
        <v>51</v>
      </c>
      <c r="AG2846" s="78" t="s">
        <v>432</v>
      </c>
      <c r="AH2846" s="78">
        <v>3.9742500000000001</v>
      </c>
      <c r="AJ2846" s="78" t="s">
        <v>74</v>
      </c>
      <c r="AK2846" s="78" t="s">
        <v>87</v>
      </c>
      <c r="AL2846" s="78" t="s">
        <v>25</v>
      </c>
      <c r="AM2846" s="78" t="s">
        <v>51</v>
      </c>
      <c r="AN2846" s="78" t="s">
        <v>371</v>
      </c>
      <c r="AO2846" s="78">
        <v>2.6443435040904602</v>
      </c>
    </row>
    <row r="2847" spans="29:41">
      <c r="AC2847" s="78" t="s">
        <v>53</v>
      </c>
      <c r="AD2847" s="78" t="s">
        <v>20</v>
      </c>
      <c r="AE2847" s="78" t="s">
        <v>72</v>
      </c>
      <c r="AF2847" s="78" t="s">
        <v>51</v>
      </c>
      <c r="AG2847" s="78" t="s">
        <v>433</v>
      </c>
      <c r="AH2847" s="78">
        <v>3.91025</v>
      </c>
      <c r="AJ2847" s="78" t="s">
        <v>74</v>
      </c>
      <c r="AK2847" s="78" t="s">
        <v>87</v>
      </c>
      <c r="AL2847" s="78" t="s">
        <v>25</v>
      </c>
      <c r="AM2847" s="78" t="s">
        <v>51</v>
      </c>
      <c r="AN2847" s="78" t="s">
        <v>372</v>
      </c>
      <c r="AO2847" s="78">
        <v>2.6999804416345499</v>
      </c>
    </row>
    <row r="2848" spans="29:41">
      <c r="AC2848" s="78" t="s">
        <v>53</v>
      </c>
      <c r="AD2848" s="78" t="s">
        <v>20</v>
      </c>
      <c r="AE2848" s="78" t="s">
        <v>72</v>
      </c>
      <c r="AF2848" s="78" t="s">
        <v>51</v>
      </c>
      <c r="AG2848" s="78" t="s">
        <v>434</v>
      </c>
      <c r="AH2848" s="78">
        <v>3.8784999999999998</v>
      </c>
      <c r="AJ2848" s="78" t="s">
        <v>74</v>
      </c>
      <c r="AK2848" s="78" t="s">
        <v>87</v>
      </c>
      <c r="AL2848" s="78" t="s">
        <v>25</v>
      </c>
      <c r="AM2848" s="78" t="s">
        <v>51</v>
      </c>
      <c r="AN2848" s="78" t="s">
        <v>373</v>
      </c>
      <c r="AO2848" s="78">
        <v>2.7181679952198698</v>
      </c>
    </row>
    <row r="2849" spans="29:41">
      <c r="AC2849" s="78" t="s">
        <v>53</v>
      </c>
      <c r="AD2849" s="78" t="s">
        <v>20</v>
      </c>
      <c r="AE2849" s="78" t="s">
        <v>72</v>
      </c>
      <c r="AF2849" s="78" t="s">
        <v>51</v>
      </c>
      <c r="AG2849" s="78" t="s">
        <v>435</v>
      </c>
      <c r="AH2849" s="78">
        <v>3.8784999999999998</v>
      </c>
      <c r="AJ2849" s="78" t="s">
        <v>74</v>
      </c>
      <c r="AK2849" s="78" t="s">
        <v>87</v>
      </c>
      <c r="AL2849" s="78" t="s">
        <v>25</v>
      </c>
      <c r="AM2849" s="78" t="s">
        <v>51</v>
      </c>
      <c r="AN2849" s="78" t="s">
        <v>374</v>
      </c>
      <c r="AO2849" s="78">
        <v>2.66584672213606</v>
      </c>
    </row>
    <row r="2850" spans="29:41">
      <c r="AC2850" s="78" t="s">
        <v>53</v>
      </c>
      <c r="AD2850" s="78" t="s">
        <v>20</v>
      </c>
      <c r="AE2850" s="78" t="s">
        <v>72</v>
      </c>
      <c r="AF2850" s="78" t="s">
        <v>51</v>
      </c>
      <c r="AG2850" s="78" t="s">
        <v>436</v>
      </c>
      <c r="AH2850" s="78">
        <v>4.2359999999999998</v>
      </c>
      <c r="AJ2850" s="78" t="s">
        <v>74</v>
      </c>
      <c r="AK2850" s="78" t="s">
        <v>87</v>
      </c>
      <c r="AL2850" s="78" t="s">
        <v>25</v>
      </c>
      <c r="AM2850" s="78" t="s">
        <v>51</v>
      </c>
      <c r="AN2850" s="78" t="s">
        <v>417</v>
      </c>
      <c r="AO2850" s="78">
        <v>2.6924441854195602</v>
      </c>
    </row>
    <row r="2851" spans="29:41">
      <c r="AC2851" s="78" t="s">
        <v>53</v>
      </c>
      <c r="AD2851" s="78" t="s">
        <v>20</v>
      </c>
      <c r="AE2851" s="78" t="s">
        <v>72</v>
      </c>
      <c r="AF2851" s="78" t="s">
        <v>51</v>
      </c>
      <c r="AG2851" s="78" t="s">
        <v>437</v>
      </c>
      <c r="AH2851" s="78">
        <v>3.8784999999999998</v>
      </c>
      <c r="AJ2851" s="78" t="s">
        <v>74</v>
      </c>
      <c r="AK2851" s="78" t="s">
        <v>87</v>
      </c>
      <c r="AL2851" s="78" t="s">
        <v>25</v>
      </c>
      <c r="AM2851" s="78" t="s">
        <v>51</v>
      </c>
      <c r="AN2851" s="78" t="s">
        <v>375</v>
      </c>
      <c r="AO2851" s="78">
        <v>2.6784573232198698</v>
      </c>
    </row>
    <row r="2852" spans="29:41">
      <c r="AC2852" s="78" t="s">
        <v>53</v>
      </c>
      <c r="AD2852" s="78" t="s">
        <v>20</v>
      </c>
      <c r="AE2852" s="78" t="s">
        <v>72</v>
      </c>
      <c r="AF2852" s="78" t="s">
        <v>51</v>
      </c>
      <c r="AG2852" s="78" t="s">
        <v>438</v>
      </c>
      <c r="AH2852" s="78">
        <v>3.8784999999999998</v>
      </c>
      <c r="AJ2852" s="78" t="s">
        <v>74</v>
      </c>
      <c r="AK2852" s="78" t="s">
        <v>87</v>
      </c>
      <c r="AL2852" s="78" t="s">
        <v>25</v>
      </c>
      <c r="AM2852" s="78" t="s">
        <v>51</v>
      </c>
      <c r="AN2852" s="78" t="s">
        <v>376</v>
      </c>
      <c r="AO2852" s="78">
        <v>2.5818538340504298</v>
      </c>
    </row>
    <row r="2853" spans="29:41">
      <c r="AC2853" s="78" t="s">
        <v>53</v>
      </c>
      <c r="AD2853" s="78" t="s">
        <v>20</v>
      </c>
      <c r="AE2853" s="78" t="s">
        <v>72</v>
      </c>
      <c r="AF2853" s="78" t="s">
        <v>51</v>
      </c>
      <c r="AG2853" s="78" t="s">
        <v>439</v>
      </c>
      <c r="AH2853" s="78">
        <v>3.8784999999999998</v>
      </c>
      <c r="AJ2853" s="78" t="s">
        <v>74</v>
      </c>
      <c r="AK2853" s="78" t="s">
        <v>87</v>
      </c>
      <c r="AL2853" s="78" t="s">
        <v>25</v>
      </c>
      <c r="AM2853" s="78" t="s">
        <v>51</v>
      </c>
      <c r="AN2853" s="78" t="s">
        <v>377</v>
      </c>
      <c r="AO2853" s="78">
        <v>2.5932132712975302</v>
      </c>
    </row>
    <row r="2854" spans="29:41">
      <c r="AC2854" s="78" t="s">
        <v>53</v>
      </c>
      <c r="AD2854" s="78" t="s">
        <v>20</v>
      </c>
      <c r="AE2854" s="78" t="s">
        <v>72</v>
      </c>
      <c r="AF2854" s="78" t="s">
        <v>51</v>
      </c>
      <c r="AG2854" s="78" t="s">
        <v>440</v>
      </c>
      <c r="AH2854" s="78">
        <v>3.8784999999999998</v>
      </c>
      <c r="AJ2854" s="78" t="s">
        <v>74</v>
      </c>
      <c r="AK2854" s="78" t="s">
        <v>87</v>
      </c>
      <c r="AL2854" s="78" t="s">
        <v>25</v>
      </c>
      <c r="AM2854" s="78" t="s">
        <v>51</v>
      </c>
      <c r="AN2854" s="78" t="s">
        <v>378</v>
      </c>
      <c r="AO2854" s="78">
        <v>2.5397621553493499</v>
      </c>
    </row>
    <row r="2855" spans="29:41">
      <c r="AC2855" s="78" t="s">
        <v>53</v>
      </c>
      <c r="AD2855" s="78" t="s">
        <v>20</v>
      </c>
      <c r="AE2855" s="78" t="s">
        <v>72</v>
      </c>
      <c r="AF2855" s="78" t="s">
        <v>51</v>
      </c>
      <c r="AG2855" s="78" t="s">
        <v>441</v>
      </c>
      <c r="AH2855" s="78">
        <v>4.1180000000000003</v>
      </c>
      <c r="AJ2855" s="78" t="s">
        <v>74</v>
      </c>
      <c r="AK2855" s="78" t="s">
        <v>87</v>
      </c>
      <c r="AL2855" s="78" t="s">
        <v>25</v>
      </c>
      <c r="AM2855" s="78" t="s">
        <v>51</v>
      </c>
      <c r="AN2855" s="78" t="s">
        <v>379</v>
      </c>
      <c r="AO2855" s="78">
        <v>2.5354129105946002</v>
      </c>
    </row>
    <row r="2856" spans="29:41">
      <c r="AC2856" s="78" t="s">
        <v>53</v>
      </c>
      <c r="AD2856" s="78" t="s">
        <v>20</v>
      </c>
      <c r="AE2856" s="78" t="s">
        <v>72</v>
      </c>
      <c r="AF2856" s="78" t="s">
        <v>51</v>
      </c>
      <c r="AG2856" s="78" t="s">
        <v>442</v>
      </c>
      <c r="AH2856" s="78">
        <v>3.846625</v>
      </c>
      <c r="AJ2856" s="78" t="s">
        <v>74</v>
      </c>
      <c r="AK2856" s="78" t="s">
        <v>87</v>
      </c>
      <c r="AL2856" s="78" t="s">
        <v>25</v>
      </c>
      <c r="AM2856" s="78" t="s">
        <v>51</v>
      </c>
      <c r="AN2856" s="78" t="s">
        <v>380</v>
      </c>
      <c r="AO2856" s="78">
        <v>2.5272030973588802</v>
      </c>
    </row>
    <row r="2857" spans="29:41">
      <c r="AC2857" s="78" t="s">
        <v>53</v>
      </c>
      <c r="AD2857" s="78" t="s">
        <v>20</v>
      </c>
      <c r="AE2857" s="78" t="s">
        <v>72</v>
      </c>
      <c r="AF2857" s="78" t="s">
        <v>51</v>
      </c>
      <c r="AG2857" s="78" t="s">
        <v>443</v>
      </c>
      <c r="AH2857" s="78">
        <v>3.846625</v>
      </c>
      <c r="AJ2857" s="78" t="s">
        <v>74</v>
      </c>
      <c r="AK2857" s="78" t="s">
        <v>87</v>
      </c>
      <c r="AL2857" s="78" t="s">
        <v>25</v>
      </c>
      <c r="AM2857" s="78" t="s">
        <v>51</v>
      </c>
      <c r="AN2857" s="78" t="s">
        <v>381</v>
      </c>
      <c r="AO2857" s="78">
        <v>2.49044583951994</v>
      </c>
    </row>
    <row r="2858" spans="29:41">
      <c r="AC2858" s="78" t="s">
        <v>53</v>
      </c>
      <c r="AD2858" s="78" t="s">
        <v>20</v>
      </c>
      <c r="AE2858" s="78" t="s">
        <v>72</v>
      </c>
      <c r="AF2858" s="78" t="s">
        <v>51</v>
      </c>
      <c r="AG2858" s="78" t="s">
        <v>444</v>
      </c>
      <c r="AH2858" s="78">
        <v>3.8784999999999998</v>
      </c>
      <c r="AJ2858" s="78" t="s">
        <v>74</v>
      </c>
      <c r="AK2858" s="78" t="s">
        <v>87</v>
      </c>
      <c r="AL2858" s="78" t="s">
        <v>25</v>
      </c>
      <c r="AM2858" s="78" t="s">
        <v>51</v>
      </c>
      <c r="AN2858" s="78" t="s">
        <v>382</v>
      </c>
      <c r="AO2858" s="78">
        <v>2.5206676223705302</v>
      </c>
    </row>
    <row r="2859" spans="29:41">
      <c r="AC2859" s="78" t="s">
        <v>53</v>
      </c>
      <c r="AD2859" s="78" t="s">
        <v>20</v>
      </c>
      <c r="AE2859" s="78" t="s">
        <v>72</v>
      </c>
      <c r="AF2859" s="78" t="s">
        <v>51</v>
      </c>
      <c r="AG2859" s="78" t="s">
        <v>445</v>
      </c>
      <c r="AH2859" s="78">
        <v>3.91025</v>
      </c>
      <c r="AJ2859" s="78" t="s">
        <v>74</v>
      </c>
      <c r="AK2859" s="78" t="s">
        <v>87</v>
      </c>
      <c r="AL2859" s="78" t="s">
        <v>25</v>
      </c>
      <c r="AM2859" s="78" t="s">
        <v>51</v>
      </c>
      <c r="AN2859" s="78" t="s">
        <v>383</v>
      </c>
      <c r="AO2859" s="78">
        <v>2.47278907327191</v>
      </c>
    </row>
    <row r="2860" spans="29:41">
      <c r="AC2860" s="78" t="s">
        <v>53</v>
      </c>
      <c r="AD2860" s="78" t="s">
        <v>20</v>
      </c>
      <c r="AE2860" s="78" t="s">
        <v>72</v>
      </c>
      <c r="AF2860" s="78" t="s">
        <v>51</v>
      </c>
      <c r="AG2860" s="78" t="s">
        <v>446</v>
      </c>
      <c r="AH2860" s="78">
        <v>3.91025</v>
      </c>
      <c r="AJ2860" s="78" t="s">
        <v>74</v>
      </c>
      <c r="AK2860" s="78" t="s">
        <v>87</v>
      </c>
      <c r="AL2860" s="78" t="s">
        <v>25</v>
      </c>
      <c r="AM2860" s="78" t="s">
        <v>51</v>
      </c>
      <c r="AN2860" s="78" t="s">
        <v>384</v>
      </c>
      <c r="AO2860" s="78">
        <v>2.47640548535824</v>
      </c>
    </row>
    <row r="2861" spans="29:41">
      <c r="AC2861" s="78" t="s">
        <v>53</v>
      </c>
      <c r="AD2861" s="78" t="s">
        <v>20</v>
      </c>
      <c r="AE2861" s="78" t="s">
        <v>72</v>
      </c>
      <c r="AF2861" s="78" t="s">
        <v>51</v>
      </c>
      <c r="AG2861" s="78" t="s">
        <v>447</v>
      </c>
      <c r="AH2861" s="78">
        <v>3.91025</v>
      </c>
      <c r="AJ2861" s="78" t="s">
        <v>74</v>
      </c>
      <c r="AK2861" s="78" t="s">
        <v>87</v>
      </c>
      <c r="AL2861" s="78" t="s">
        <v>25</v>
      </c>
      <c r="AM2861" s="78" t="s">
        <v>51</v>
      </c>
      <c r="AN2861" s="78" t="s">
        <v>385</v>
      </c>
      <c r="AO2861" s="78">
        <v>2.4761946977279501</v>
      </c>
    </row>
    <row r="2862" spans="29:41">
      <c r="AC2862" s="78" t="s">
        <v>53</v>
      </c>
      <c r="AD2862" s="78" t="s">
        <v>20</v>
      </c>
      <c r="AE2862" s="78" t="s">
        <v>72</v>
      </c>
      <c r="AF2862" s="78" t="s">
        <v>51</v>
      </c>
      <c r="AG2862" s="78" t="s">
        <v>448</v>
      </c>
      <c r="AH2862" s="78">
        <v>3.7826249999999999</v>
      </c>
      <c r="AJ2862" s="78" t="s">
        <v>74</v>
      </c>
      <c r="AK2862" s="78" t="s">
        <v>87</v>
      </c>
      <c r="AL2862" s="78" t="s">
        <v>25</v>
      </c>
      <c r="AM2862" s="78" t="s">
        <v>51</v>
      </c>
      <c r="AN2862" s="78" t="s">
        <v>386</v>
      </c>
      <c r="AO2862" s="78">
        <v>2.52514420347971</v>
      </c>
    </row>
    <row r="2863" spans="29:41">
      <c r="AC2863" s="78" t="s">
        <v>53</v>
      </c>
      <c r="AD2863" s="78" t="s">
        <v>20</v>
      </c>
      <c r="AE2863" s="78" t="s">
        <v>72</v>
      </c>
      <c r="AF2863" s="78" t="s">
        <v>51</v>
      </c>
      <c r="AG2863" s="78" t="s">
        <v>449</v>
      </c>
      <c r="AH2863" s="78">
        <v>3.7508750000000002</v>
      </c>
      <c r="AJ2863" s="78" t="s">
        <v>74</v>
      </c>
      <c r="AK2863" s="78" t="s">
        <v>87</v>
      </c>
      <c r="AL2863" s="78" t="s">
        <v>25</v>
      </c>
      <c r="AM2863" s="78" t="s">
        <v>51</v>
      </c>
      <c r="AN2863" s="78" t="s">
        <v>387</v>
      </c>
      <c r="AO2863" s="78">
        <v>2.5121043496510298</v>
      </c>
    </row>
    <row r="2864" spans="29:41">
      <c r="AC2864" s="78" t="s">
        <v>53</v>
      </c>
      <c r="AD2864" s="78" t="s">
        <v>20</v>
      </c>
      <c r="AE2864" s="78" t="s">
        <v>72</v>
      </c>
      <c r="AF2864" s="78" t="s">
        <v>51</v>
      </c>
      <c r="AG2864" s="78" t="s">
        <v>450</v>
      </c>
      <c r="AH2864" s="78">
        <v>3.7508750000000002</v>
      </c>
      <c r="AJ2864" s="78" t="s">
        <v>74</v>
      </c>
      <c r="AK2864" s="78" t="s">
        <v>87</v>
      </c>
      <c r="AL2864" s="78" t="s">
        <v>25</v>
      </c>
      <c r="AM2864" s="78" t="s">
        <v>51</v>
      </c>
      <c r="AN2864" s="78" t="s">
        <v>388</v>
      </c>
      <c r="AO2864" s="78">
        <v>2.5130719329869802</v>
      </c>
    </row>
    <row r="2865" spans="29:41">
      <c r="AC2865" s="78" t="s">
        <v>53</v>
      </c>
      <c r="AD2865" s="78" t="s">
        <v>20</v>
      </c>
      <c r="AE2865" s="78" t="s">
        <v>72</v>
      </c>
      <c r="AF2865" s="78" t="s">
        <v>51</v>
      </c>
      <c r="AG2865" s="78" t="s">
        <v>451</v>
      </c>
      <c r="AH2865" s="78">
        <v>3.7826249999999999</v>
      </c>
      <c r="AJ2865" s="78" t="s">
        <v>74</v>
      </c>
      <c r="AK2865" s="78" t="s">
        <v>87</v>
      </c>
      <c r="AL2865" s="78" t="s">
        <v>25</v>
      </c>
      <c r="AM2865" s="78" t="s">
        <v>51</v>
      </c>
      <c r="AN2865" s="78" t="s">
        <v>389</v>
      </c>
      <c r="AO2865" s="78">
        <v>2.50830487739315</v>
      </c>
    </row>
    <row r="2866" spans="29:41">
      <c r="AC2866" s="78" t="s">
        <v>53</v>
      </c>
      <c r="AD2866" s="78" t="s">
        <v>20</v>
      </c>
      <c r="AE2866" s="78" t="s">
        <v>72</v>
      </c>
      <c r="AF2866" s="78" t="s">
        <v>51</v>
      </c>
      <c r="AG2866" s="78" t="s">
        <v>452</v>
      </c>
      <c r="AH2866" s="78">
        <v>3.7826249999999999</v>
      </c>
      <c r="AJ2866" s="78" t="s">
        <v>74</v>
      </c>
      <c r="AK2866" s="78" t="s">
        <v>87</v>
      </c>
      <c r="AL2866" s="78" t="s">
        <v>25</v>
      </c>
      <c r="AM2866" s="78" t="s">
        <v>51</v>
      </c>
      <c r="AN2866" s="78" t="s">
        <v>418</v>
      </c>
      <c r="AO2866" s="78">
        <v>2.5181131981013598</v>
      </c>
    </row>
    <row r="2867" spans="29:41">
      <c r="AC2867" s="78" t="s">
        <v>53</v>
      </c>
      <c r="AD2867" s="78" t="s">
        <v>20</v>
      </c>
      <c r="AE2867" s="78" t="s">
        <v>72</v>
      </c>
      <c r="AF2867" s="78" t="s">
        <v>51</v>
      </c>
      <c r="AG2867" s="78" t="s">
        <v>453</v>
      </c>
      <c r="AH2867" s="78">
        <v>3.7190000000000003</v>
      </c>
      <c r="AJ2867" s="78" t="s">
        <v>74</v>
      </c>
      <c r="AK2867" s="78" t="s">
        <v>87</v>
      </c>
      <c r="AL2867" s="78" t="s">
        <v>25</v>
      </c>
      <c r="AM2867" s="78" t="s">
        <v>51</v>
      </c>
      <c r="AN2867" s="78" t="s">
        <v>390</v>
      </c>
      <c r="AO2867" s="78">
        <v>2.5437168006359601</v>
      </c>
    </row>
    <row r="2868" spans="29:41">
      <c r="AC2868" s="78" t="s">
        <v>53</v>
      </c>
      <c r="AD2868" s="78" t="s">
        <v>20</v>
      </c>
      <c r="AE2868" s="78" t="s">
        <v>72</v>
      </c>
      <c r="AF2868" s="78" t="s">
        <v>51</v>
      </c>
      <c r="AG2868" s="78" t="s">
        <v>454</v>
      </c>
      <c r="AH2868" s="78">
        <v>3.6550000000000007</v>
      </c>
      <c r="AJ2868" s="78" t="s">
        <v>74</v>
      </c>
      <c r="AK2868" s="78" t="s">
        <v>87</v>
      </c>
      <c r="AL2868" s="78" t="s">
        <v>25</v>
      </c>
      <c r="AM2868" s="78" t="s">
        <v>51</v>
      </c>
      <c r="AN2868" s="78" t="s">
        <v>419</v>
      </c>
      <c r="AO2868" s="78">
        <v>2.6250547369401902</v>
      </c>
    </row>
    <row r="2869" spans="29:41">
      <c r="AC2869" s="78" t="s">
        <v>53</v>
      </c>
      <c r="AD2869" s="78" t="s">
        <v>20</v>
      </c>
      <c r="AE2869" s="78" t="s">
        <v>72</v>
      </c>
      <c r="AF2869" s="78" t="s">
        <v>51</v>
      </c>
      <c r="AG2869" s="78" t="s">
        <v>455</v>
      </c>
      <c r="AH2869" s="78">
        <v>3.6232500000000001</v>
      </c>
      <c r="AJ2869" s="78" t="s">
        <v>74</v>
      </c>
      <c r="AK2869" s="78" t="s">
        <v>87</v>
      </c>
      <c r="AL2869" s="78" t="s">
        <v>25</v>
      </c>
      <c r="AM2869" s="78" t="s">
        <v>51</v>
      </c>
      <c r="AN2869" s="78" t="s">
        <v>391</v>
      </c>
      <c r="AO2869" s="78">
        <v>2.6404764057609502</v>
      </c>
    </row>
    <row r="2870" spans="29:41">
      <c r="AC2870" s="78" t="s">
        <v>53</v>
      </c>
      <c r="AD2870" s="78" t="s">
        <v>20</v>
      </c>
      <c r="AE2870" s="78" t="s">
        <v>72</v>
      </c>
      <c r="AF2870" s="78" t="s">
        <v>51</v>
      </c>
      <c r="AG2870" s="78" t="s">
        <v>456</v>
      </c>
      <c r="AH2870" s="78">
        <v>3.7190000000000003</v>
      </c>
      <c r="AJ2870" s="78" t="s">
        <v>74</v>
      </c>
      <c r="AK2870" s="78" t="s">
        <v>87</v>
      </c>
      <c r="AL2870" s="78" t="s">
        <v>25</v>
      </c>
      <c r="AM2870" s="78" t="s">
        <v>51</v>
      </c>
      <c r="AN2870" s="78" t="s">
        <v>392</v>
      </c>
      <c r="AO2870" s="78">
        <v>2.6550245016792</v>
      </c>
    </row>
    <row r="2871" spans="29:41">
      <c r="AC2871" s="78" t="s">
        <v>53</v>
      </c>
      <c r="AD2871" s="78" t="s">
        <v>20</v>
      </c>
      <c r="AE2871" s="78" t="s">
        <v>72</v>
      </c>
      <c r="AF2871" s="78" t="s">
        <v>51</v>
      </c>
      <c r="AG2871" s="78" t="s">
        <v>457</v>
      </c>
      <c r="AH2871" s="78">
        <v>3.7190000000000003</v>
      </c>
      <c r="AJ2871" s="78" t="s">
        <v>74</v>
      </c>
      <c r="AK2871" s="78" t="s">
        <v>87</v>
      </c>
      <c r="AL2871" s="78" t="s">
        <v>25</v>
      </c>
      <c r="AM2871" s="78" t="s">
        <v>51</v>
      </c>
      <c r="AN2871" s="78" t="s">
        <v>393</v>
      </c>
      <c r="AO2871" s="78">
        <v>2.6615233310635298</v>
      </c>
    </row>
    <row r="2872" spans="29:41">
      <c r="AC2872" s="78" t="s">
        <v>53</v>
      </c>
      <c r="AD2872" s="78" t="s">
        <v>20</v>
      </c>
      <c r="AE2872" s="78" t="s">
        <v>72</v>
      </c>
      <c r="AF2872" s="78" t="s">
        <v>51</v>
      </c>
      <c r="AG2872" s="78" t="s">
        <v>458</v>
      </c>
      <c r="AH2872" s="78">
        <v>3.7508750000000002</v>
      </c>
      <c r="AJ2872" s="78" t="s">
        <v>74</v>
      </c>
      <c r="AK2872" s="78" t="s">
        <v>87</v>
      </c>
      <c r="AL2872" s="78" t="s">
        <v>25</v>
      </c>
      <c r="AM2872" s="78" t="s">
        <v>51</v>
      </c>
      <c r="AN2872" s="78" t="s">
        <v>394</v>
      </c>
      <c r="AO2872" s="78">
        <v>2.6761661289504999</v>
      </c>
    </row>
    <row r="2873" spans="29:41">
      <c r="AC2873" s="78" t="s">
        <v>53</v>
      </c>
      <c r="AD2873" s="78" t="s">
        <v>20</v>
      </c>
      <c r="AE2873" s="78" t="s">
        <v>72</v>
      </c>
      <c r="AF2873" s="78" t="s">
        <v>51</v>
      </c>
      <c r="AG2873" s="78" t="s">
        <v>459</v>
      </c>
      <c r="AH2873" s="78">
        <v>3.7190000000000003</v>
      </c>
      <c r="AJ2873" s="78" t="s">
        <v>74</v>
      </c>
      <c r="AK2873" s="78" t="s">
        <v>87</v>
      </c>
      <c r="AL2873" s="78" t="s">
        <v>25</v>
      </c>
      <c r="AM2873" s="78" t="s">
        <v>51</v>
      </c>
      <c r="AN2873" s="78" t="s">
        <v>395</v>
      </c>
      <c r="AO2873" s="78">
        <v>2.6300132369593099</v>
      </c>
    </row>
    <row r="2874" spans="29:41">
      <c r="AC2874" s="78" t="s">
        <v>53</v>
      </c>
      <c r="AD2874" s="78" t="s">
        <v>20</v>
      </c>
      <c r="AE2874" s="78" t="s">
        <v>72</v>
      </c>
      <c r="AF2874" s="78" t="s">
        <v>51</v>
      </c>
      <c r="AG2874" s="78" t="s">
        <v>460</v>
      </c>
      <c r="AH2874" s="78">
        <v>3.7508750000000002</v>
      </c>
      <c r="AJ2874" s="78" t="s">
        <v>74</v>
      </c>
      <c r="AK2874" s="78" t="s">
        <v>87</v>
      </c>
      <c r="AL2874" s="78" t="s">
        <v>25</v>
      </c>
      <c r="AM2874" s="78" t="s">
        <v>51</v>
      </c>
      <c r="AN2874" s="78" t="s">
        <v>396</v>
      </c>
      <c r="AO2874" s="78">
        <v>2.5822903724603399</v>
      </c>
    </row>
    <row r="2875" spans="29:41">
      <c r="AC2875" s="78" t="s">
        <v>53</v>
      </c>
      <c r="AD2875" s="78" t="s">
        <v>20</v>
      </c>
      <c r="AE2875" s="78" t="s">
        <v>72</v>
      </c>
      <c r="AF2875" s="78" t="s">
        <v>51</v>
      </c>
      <c r="AG2875" s="78" t="s">
        <v>461</v>
      </c>
      <c r="AH2875" s="78">
        <v>3.7508750000000002</v>
      </c>
      <c r="AJ2875" s="78" t="s">
        <v>74</v>
      </c>
      <c r="AK2875" s="78" t="s">
        <v>87</v>
      </c>
      <c r="AL2875" s="78" t="s">
        <v>25</v>
      </c>
      <c r="AM2875" s="78" t="s">
        <v>51</v>
      </c>
      <c r="AN2875" s="78" t="s">
        <v>397</v>
      </c>
      <c r="AO2875" s="78">
        <v>2.5646426996598599</v>
      </c>
    </row>
    <row r="2876" spans="29:41">
      <c r="AC2876" s="78" t="s">
        <v>53</v>
      </c>
      <c r="AD2876" s="78" t="s">
        <v>20</v>
      </c>
      <c r="AE2876" s="78" t="s">
        <v>72</v>
      </c>
      <c r="AF2876" s="78" t="s">
        <v>51</v>
      </c>
      <c r="AG2876" s="78" t="s">
        <v>462</v>
      </c>
      <c r="AH2876" s="78">
        <v>3.7518749999999996</v>
      </c>
      <c r="AJ2876" s="78" t="s">
        <v>74</v>
      </c>
      <c r="AK2876" s="78" t="s">
        <v>87</v>
      </c>
      <c r="AL2876" s="78" t="s">
        <v>25</v>
      </c>
      <c r="AM2876" s="78" t="s">
        <v>51</v>
      </c>
      <c r="AN2876" s="78" t="s">
        <v>420</v>
      </c>
      <c r="AO2876" s="78">
        <v>2.6083213948699102</v>
      </c>
    </row>
    <row r="2877" spans="29:41">
      <c r="AC2877" s="78" t="s">
        <v>53</v>
      </c>
      <c r="AD2877" s="78" t="s">
        <v>20</v>
      </c>
      <c r="AE2877" s="78" t="s">
        <v>72</v>
      </c>
      <c r="AF2877" s="78" t="s">
        <v>51</v>
      </c>
      <c r="AG2877" s="78" t="s">
        <v>463</v>
      </c>
      <c r="AH2877" s="78">
        <v>3.7518749999999996</v>
      </c>
      <c r="AJ2877" s="78" t="s">
        <v>74</v>
      </c>
      <c r="AK2877" s="78" t="s">
        <v>87</v>
      </c>
      <c r="AL2877" s="78" t="s">
        <v>25</v>
      </c>
      <c r="AM2877" s="78" t="s">
        <v>51</v>
      </c>
      <c r="AN2877" s="78" t="s">
        <v>398</v>
      </c>
      <c r="AO2877" s="78">
        <v>2.5475265739167301</v>
      </c>
    </row>
    <row r="2878" spans="29:41">
      <c r="AC2878" s="78" t="s">
        <v>53</v>
      </c>
      <c r="AD2878" s="78" t="s">
        <v>20</v>
      </c>
      <c r="AE2878" s="78" t="s">
        <v>72</v>
      </c>
      <c r="AF2878" s="78" t="s">
        <v>51</v>
      </c>
      <c r="AG2878" s="78" t="s">
        <v>464</v>
      </c>
      <c r="AH2878" s="78">
        <v>3.7199999999999998</v>
      </c>
      <c r="AJ2878" s="78" t="s">
        <v>74</v>
      </c>
      <c r="AK2878" s="78" t="s">
        <v>87</v>
      </c>
      <c r="AL2878" s="78" t="s">
        <v>25</v>
      </c>
      <c r="AM2878" s="78" t="s">
        <v>51</v>
      </c>
      <c r="AN2878" s="78" t="s">
        <v>399</v>
      </c>
      <c r="AO2878" s="78">
        <v>2.55214527077672</v>
      </c>
    </row>
    <row r="2879" spans="29:41">
      <c r="AC2879" s="78" t="s">
        <v>53</v>
      </c>
      <c r="AD2879" s="78" t="s">
        <v>20</v>
      </c>
      <c r="AE2879" s="78" t="s">
        <v>72</v>
      </c>
      <c r="AF2879" s="78" t="s">
        <v>51</v>
      </c>
      <c r="AG2879" s="78" t="s">
        <v>465</v>
      </c>
      <c r="AH2879" s="78">
        <v>3.7518749999999996</v>
      </c>
      <c r="AJ2879" s="78" t="s">
        <v>74</v>
      </c>
      <c r="AK2879" s="78" t="s">
        <v>87</v>
      </c>
      <c r="AL2879" s="78" t="s">
        <v>25</v>
      </c>
      <c r="AM2879" s="78" t="s">
        <v>51</v>
      </c>
      <c r="AN2879" s="78" t="s">
        <v>400</v>
      </c>
      <c r="AO2879" s="78">
        <v>2.5164663859594998</v>
      </c>
    </row>
    <row r="2880" spans="29:41">
      <c r="AC2880" s="78" t="s">
        <v>53</v>
      </c>
      <c r="AD2880" s="78" t="s">
        <v>20</v>
      </c>
      <c r="AE2880" s="78" t="s">
        <v>72</v>
      </c>
      <c r="AF2880" s="78" t="s">
        <v>51</v>
      </c>
      <c r="AG2880" s="78" t="s">
        <v>466</v>
      </c>
      <c r="AH2880" s="78">
        <v>3.7836249999999993</v>
      </c>
      <c r="AJ2880" s="78" t="s">
        <v>74</v>
      </c>
      <c r="AK2880" s="78" t="s">
        <v>87</v>
      </c>
      <c r="AL2880" s="78" t="s">
        <v>25</v>
      </c>
      <c r="AM2880" s="78" t="s">
        <v>51</v>
      </c>
      <c r="AN2880" s="78" t="s">
        <v>401</v>
      </c>
      <c r="AO2880" s="78">
        <v>2.5169224725100698</v>
      </c>
    </row>
    <row r="2881" spans="29:41">
      <c r="AC2881" s="78" t="s">
        <v>53</v>
      </c>
      <c r="AD2881" s="78" t="s">
        <v>20</v>
      </c>
      <c r="AE2881" s="78" t="s">
        <v>72</v>
      </c>
      <c r="AF2881" s="78" t="s">
        <v>51</v>
      </c>
      <c r="AG2881" s="78" t="s">
        <v>467</v>
      </c>
      <c r="AH2881" s="78">
        <v>3.7836249999999993</v>
      </c>
      <c r="AJ2881" s="78" t="s">
        <v>74</v>
      </c>
      <c r="AK2881" s="78" t="s">
        <v>87</v>
      </c>
      <c r="AL2881" s="78" t="s">
        <v>25</v>
      </c>
      <c r="AM2881" s="78" t="s">
        <v>51</v>
      </c>
      <c r="AN2881" s="78" t="s">
        <v>402</v>
      </c>
      <c r="AO2881" s="78">
        <v>2.5026837288081998</v>
      </c>
    </row>
    <row r="2882" spans="29:41">
      <c r="AC2882" s="78" t="s">
        <v>53</v>
      </c>
      <c r="AD2882" s="78" t="s">
        <v>20</v>
      </c>
      <c r="AE2882" s="78" t="s">
        <v>72</v>
      </c>
      <c r="AF2882" s="78" t="s">
        <v>51</v>
      </c>
      <c r="AG2882" s="78" t="s">
        <v>468</v>
      </c>
      <c r="AH2882" s="78">
        <v>3.7836249999999993</v>
      </c>
      <c r="AJ2882" s="78" t="s">
        <v>74</v>
      </c>
      <c r="AK2882" s="78" t="s">
        <v>87</v>
      </c>
      <c r="AL2882" s="78" t="s">
        <v>25</v>
      </c>
      <c r="AM2882" s="78" t="s">
        <v>51</v>
      </c>
      <c r="AN2882" s="78" t="s">
        <v>403</v>
      </c>
      <c r="AO2882" s="78">
        <v>2.5182072919323999</v>
      </c>
    </row>
    <row r="2883" spans="29:41">
      <c r="AC2883" s="78" t="s">
        <v>53</v>
      </c>
      <c r="AD2883" s="78" t="s">
        <v>20</v>
      </c>
      <c r="AE2883" s="78" t="s">
        <v>72</v>
      </c>
      <c r="AF2883" s="78" t="s">
        <v>51</v>
      </c>
      <c r="AG2883" s="78" t="s">
        <v>469</v>
      </c>
      <c r="AH2883" s="78">
        <v>3.8794999999999997</v>
      </c>
      <c r="AJ2883" s="78" t="s">
        <v>74</v>
      </c>
      <c r="AK2883" s="78" t="s">
        <v>87</v>
      </c>
      <c r="AL2883" s="78" t="s">
        <v>25</v>
      </c>
      <c r="AM2883" s="78" t="s">
        <v>51</v>
      </c>
      <c r="AN2883" s="78" t="s">
        <v>404</v>
      </c>
      <c r="AO2883" s="78">
        <v>2.5137546946134099</v>
      </c>
    </row>
    <row r="2884" spans="29:41">
      <c r="AC2884" s="78" t="s">
        <v>53</v>
      </c>
      <c r="AD2884" s="78" t="s">
        <v>20</v>
      </c>
      <c r="AE2884" s="78" t="s">
        <v>72</v>
      </c>
      <c r="AF2884" s="78" t="s">
        <v>51</v>
      </c>
      <c r="AG2884" s="78" t="s">
        <v>470</v>
      </c>
      <c r="AH2884" s="78">
        <v>3.7518749999999996</v>
      </c>
      <c r="AJ2884" s="78" t="s">
        <v>74</v>
      </c>
      <c r="AK2884" s="78" t="s">
        <v>87</v>
      </c>
      <c r="AL2884" s="78" t="s">
        <v>25</v>
      </c>
      <c r="AM2884" s="78" t="s">
        <v>51</v>
      </c>
      <c r="AN2884" s="78" t="s">
        <v>405</v>
      </c>
      <c r="AO2884" s="78">
        <v>2.5257961096675898</v>
      </c>
    </row>
    <row r="2885" spans="29:41">
      <c r="AC2885" s="78" t="s">
        <v>53</v>
      </c>
      <c r="AD2885" s="78" t="s">
        <v>20</v>
      </c>
      <c r="AE2885" s="78" t="s">
        <v>72</v>
      </c>
      <c r="AF2885" s="78" t="s">
        <v>51</v>
      </c>
      <c r="AG2885" s="78" t="s">
        <v>471</v>
      </c>
      <c r="AH2885" s="78">
        <v>3.6560000000000001</v>
      </c>
      <c r="AJ2885" s="78" t="s">
        <v>74</v>
      </c>
      <c r="AK2885" s="78" t="s">
        <v>87</v>
      </c>
      <c r="AL2885" s="78" t="s">
        <v>25</v>
      </c>
      <c r="AM2885" s="78" t="s">
        <v>51</v>
      </c>
      <c r="AN2885" s="78" t="s">
        <v>406</v>
      </c>
      <c r="AO2885" s="78">
        <v>2.4834878565514402</v>
      </c>
    </row>
    <row r="2886" spans="29:41">
      <c r="AC2886" s="78" t="s">
        <v>53</v>
      </c>
      <c r="AD2886" s="78" t="s">
        <v>20</v>
      </c>
      <c r="AE2886" s="78" t="s">
        <v>72</v>
      </c>
      <c r="AF2886" s="78" t="s">
        <v>51</v>
      </c>
      <c r="AG2886" s="78" t="s">
        <v>472</v>
      </c>
      <c r="AH2886" s="78">
        <v>3.6242500000000004</v>
      </c>
      <c r="AJ2886" s="78" t="s">
        <v>74</v>
      </c>
      <c r="AK2886" s="78" t="s">
        <v>87</v>
      </c>
      <c r="AL2886" s="78" t="s">
        <v>25</v>
      </c>
      <c r="AM2886" s="78" t="s">
        <v>51</v>
      </c>
      <c r="AN2886" s="78" t="s">
        <v>407</v>
      </c>
      <c r="AO2886" s="78">
        <v>2.5243153261906799</v>
      </c>
    </row>
    <row r="2887" spans="29:41">
      <c r="AC2887" s="78" t="s">
        <v>53</v>
      </c>
      <c r="AD2887" s="78" t="s">
        <v>20</v>
      </c>
      <c r="AE2887" s="78" t="s">
        <v>72</v>
      </c>
      <c r="AF2887" s="78" t="s">
        <v>51</v>
      </c>
      <c r="AG2887" s="78" t="s">
        <v>473</v>
      </c>
      <c r="AH2887" s="78">
        <v>3.7199999999999998</v>
      </c>
      <c r="AJ2887" s="78" t="s">
        <v>74</v>
      </c>
      <c r="AK2887" s="78" t="s">
        <v>87</v>
      </c>
      <c r="AL2887" s="78" t="s">
        <v>25</v>
      </c>
      <c r="AM2887" s="78" t="s">
        <v>51</v>
      </c>
      <c r="AN2887" s="78" t="s">
        <v>408</v>
      </c>
      <c r="AO2887" s="78">
        <v>2.5507411556917998</v>
      </c>
    </row>
    <row r="2888" spans="29:41">
      <c r="AC2888" s="78" t="s">
        <v>53</v>
      </c>
      <c r="AD2888" s="78" t="s">
        <v>20</v>
      </c>
      <c r="AE2888" s="78" t="s">
        <v>72</v>
      </c>
      <c r="AF2888" s="78" t="s">
        <v>51</v>
      </c>
      <c r="AG2888" s="78" t="s">
        <v>474</v>
      </c>
      <c r="AH2888" s="78">
        <v>3.7199999999999998</v>
      </c>
      <c r="AJ2888" s="78" t="s">
        <v>74</v>
      </c>
      <c r="AK2888" s="78" t="s">
        <v>87</v>
      </c>
      <c r="AL2888" s="78" t="s">
        <v>25</v>
      </c>
      <c r="AM2888" s="78" t="s">
        <v>51</v>
      </c>
      <c r="AN2888" s="78" t="s">
        <v>409</v>
      </c>
      <c r="AO2888" s="78">
        <v>2.6588027556734102</v>
      </c>
    </row>
    <row r="2889" spans="29:41">
      <c r="AC2889" s="78" t="s">
        <v>53</v>
      </c>
      <c r="AD2889" s="78" t="s">
        <v>20</v>
      </c>
      <c r="AE2889" s="78" t="s">
        <v>72</v>
      </c>
      <c r="AF2889" s="78" t="s">
        <v>51</v>
      </c>
      <c r="AG2889" s="78" t="s">
        <v>475</v>
      </c>
      <c r="AH2889" s="78">
        <v>3.6560000000000001</v>
      </c>
      <c r="AJ2889" s="78" t="s">
        <v>74</v>
      </c>
      <c r="AK2889" s="78" t="s">
        <v>87</v>
      </c>
      <c r="AL2889" s="78" t="s">
        <v>25</v>
      </c>
      <c r="AM2889" s="78" t="s">
        <v>51</v>
      </c>
      <c r="AN2889" s="78" t="s">
        <v>410</v>
      </c>
      <c r="AO2889" s="78">
        <v>2.61087975726997</v>
      </c>
    </row>
    <row r="2890" spans="29:41">
      <c r="AC2890" s="78" t="s">
        <v>53</v>
      </c>
      <c r="AD2890" s="78" t="s">
        <v>20</v>
      </c>
      <c r="AE2890" s="78" t="s">
        <v>72</v>
      </c>
      <c r="AF2890" s="78" t="s">
        <v>51</v>
      </c>
      <c r="AG2890" s="78" t="s">
        <v>476</v>
      </c>
      <c r="AH2890" s="78">
        <v>3.6242500000000004</v>
      </c>
      <c r="AJ2890" s="78" t="s">
        <v>74</v>
      </c>
      <c r="AK2890" s="78" t="s">
        <v>87</v>
      </c>
      <c r="AL2890" s="78" t="s">
        <v>25</v>
      </c>
      <c r="AM2890" s="78" t="s">
        <v>51</v>
      </c>
      <c r="AN2890" s="78" t="s">
        <v>411</v>
      </c>
      <c r="AO2890" s="78">
        <v>2.6144990771795702</v>
      </c>
    </row>
    <row r="2891" spans="29:41">
      <c r="AC2891" s="78" t="s">
        <v>53</v>
      </c>
      <c r="AD2891" s="78" t="s">
        <v>20</v>
      </c>
      <c r="AE2891" s="78" t="s">
        <v>72</v>
      </c>
      <c r="AF2891" s="78" t="s">
        <v>51</v>
      </c>
      <c r="AG2891" s="78" t="s">
        <v>477</v>
      </c>
      <c r="AH2891" s="78">
        <v>3.7199999999999998</v>
      </c>
      <c r="AJ2891" s="78" t="s">
        <v>74</v>
      </c>
      <c r="AK2891" s="78" t="s">
        <v>87</v>
      </c>
      <c r="AL2891" s="78" t="s">
        <v>25</v>
      </c>
      <c r="AM2891" s="78" t="s">
        <v>51</v>
      </c>
      <c r="AN2891" s="78" t="s">
        <v>412</v>
      </c>
      <c r="AO2891" s="78">
        <v>2.6073788484172402</v>
      </c>
    </row>
    <row r="2892" spans="29:41">
      <c r="AC2892" s="78" t="s">
        <v>53</v>
      </c>
      <c r="AD2892" s="78" t="s">
        <v>20</v>
      </c>
      <c r="AE2892" s="78" t="s">
        <v>72</v>
      </c>
      <c r="AF2892" s="78" t="s">
        <v>51</v>
      </c>
      <c r="AG2892" s="78" t="s">
        <v>478</v>
      </c>
      <c r="AH2892" s="78">
        <v>3.7199999999999998</v>
      </c>
      <c r="AJ2892" s="78" t="s">
        <v>74</v>
      </c>
      <c r="AK2892" s="78" t="s">
        <v>87</v>
      </c>
      <c r="AL2892" s="78" t="s">
        <v>25</v>
      </c>
      <c r="AM2892" s="78" t="s">
        <v>51</v>
      </c>
      <c r="AN2892" s="78" t="s">
        <v>413</v>
      </c>
      <c r="AO2892" s="78">
        <v>2.6240146186215201</v>
      </c>
    </row>
    <row r="2893" spans="29:41">
      <c r="AC2893" s="78" t="s">
        <v>53</v>
      </c>
      <c r="AD2893" s="78" t="s">
        <v>20</v>
      </c>
      <c r="AE2893" s="78" t="s">
        <v>72</v>
      </c>
      <c r="AF2893" s="78" t="s">
        <v>51</v>
      </c>
      <c r="AG2893" s="78" t="s">
        <v>479</v>
      </c>
      <c r="AH2893" s="78">
        <v>3.6242500000000004</v>
      </c>
      <c r="AJ2893" s="78" t="s">
        <v>74</v>
      </c>
      <c r="AK2893" s="78" t="s">
        <v>87</v>
      </c>
      <c r="AL2893" s="78" t="s">
        <v>25</v>
      </c>
      <c r="AM2893" s="78" t="s">
        <v>51</v>
      </c>
      <c r="AN2893" s="78" t="s">
        <v>414</v>
      </c>
      <c r="AO2893" s="78">
        <v>2.6451164330337602</v>
      </c>
    </row>
    <row r="2894" spans="29:41">
      <c r="AC2894" s="78" t="s">
        <v>53</v>
      </c>
      <c r="AD2894" s="78" t="s">
        <v>20</v>
      </c>
      <c r="AE2894" s="78" t="s">
        <v>72</v>
      </c>
      <c r="AF2894" s="78" t="s">
        <v>51</v>
      </c>
      <c r="AG2894" s="78" t="s">
        <v>480</v>
      </c>
      <c r="AH2894" s="78">
        <v>3.6242500000000004</v>
      </c>
      <c r="AJ2894" s="78" t="s">
        <v>74</v>
      </c>
      <c r="AK2894" s="78" t="s">
        <v>87</v>
      </c>
      <c r="AL2894" s="78" t="s">
        <v>25</v>
      </c>
      <c r="AM2894" s="78" t="s">
        <v>51</v>
      </c>
      <c r="AN2894" s="78" t="s">
        <v>415</v>
      </c>
      <c r="AO2894" s="78">
        <v>2.59920787607486</v>
      </c>
    </row>
    <row r="2895" spans="29:41">
      <c r="AC2895" s="78" t="s">
        <v>53</v>
      </c>
      <c r="AD2895" s="78" t="s">
        <v>20</v>
      </c>
      <c r="AE2895" s="78" t="s">
        <v>72</v>
      </c>
      <c r="AF2895" s="78" t="s">
        <v>51</v>
      </c>
      <c r="AG2895" s="78" t="s">
        <v>481</v>
      </c>
      <c r="AH2895" s="78">
        <v>3.6560000000000001</v>
      </c>
      <c r="AJ2895" s="78" t="s">
        <v>74</v>
      </c>
      <c r="AK2895" s="78" t="s">
        <v>87</v>
      </c>
      <c r="AL2895" s="78" t="s">
        <v>25</v>
      </c>
      <c r="AM2895" s="78" t="s">
        <v>51</v>
      </c>
      <c r="AN2895" s="78" t="s">
        <v>429</v>
      </c>
      <c r="AO2895" s="78">
        <v>2.6025934291599802</v>
      </c>
    </row>
    <row r="2896" spans="29:41">
      <c r="AC2896" s="78" t="s">
        <v>53</v>
      </c>
      <c r="AD2896" s="78" t="s">
        <v>20</v>
      </c>
      <c r="AE2896" s="78" t="s">
        <v>72</v>
      </c>
      <c r="AF2896" s="78" t="s">
        <v>51</v>
      </c>
      <c r="AG2896" s="78" t="s">
        <v>482</v>
      </c>
      <c r="AH2896" s="78">
        <v>3.7518749999999996</v>
      </c>
      <c r="AJ2896" s="78" t="s">
        <v>74</v>
      </c>
      <c r="AK2896" s="78" t="s">
        <v>87</v>
      </c>
      <c r="AL2896" s="78" t="s">
        <v>25</v>
      </c>
      <c r="AM2896" s="78" t="s">
        <v>51</v>
      </c>
      <c r="AN2896" s="78" t="s">
        <v>430</v>
      </c>
      <c r="AO2896" s="78">
        <v>2.5912536258674699</v>
      </c>
    </row>
    <row r="2897" spans="29:41">
      <c r="AC2897" s="78" t="s">
        <v>53</v>
      </c>
      <c r="AD2897" s="78" t="s">
        <v>20</v>
      </c>
      <c r="AE2897" s="78" t="s">
        <v>72</v>
      </c>
      <c r="AF2897" s="78" t="s">
        <v>51</v>
      </c>
      <c r="AG2897" s="78" t="s">
        <v>483</v>
      </c>
      <c r="AH2897" s="78">
        <v>3.6560000000000001</v>
      </c>
      <c r="AJ2897" s="78" t="s">
        <v>74</v>
      </c>
      <c r="AK2897" s="78" t="s">
        <v>87</v>
      </c>
      <c r="AL2897" s="78" t="s">
        <v>25</v>
      </c>
      <c r="AM2897" s="78" t="s">
        <v>51</v>
      </c>
      <c r="AN2897" s="78" t="s">
        <v>431</v>
      </c>
      <c r="AO2897" s="78">
        <v>2.6061508171936398</v>
      </c>
    </row>
    <row r="2898" spans="29:41">
      <c r="AC2898" s="78" t="s">
        <v>53</v>
      </c>
      <c r="AD2898" s="78" t="s">
        <v>20</v>
      </c>
      <c r="AE2898" s="78" t="s">
        <v>72</v>
      </c>
      <c r="AF2898" s="78" t="s">
        <v>51</v>
      </c>
      <c r="AG2898" s="78" t="s">
        <v>484</v>
      </c>
      <c r="AH2898" s="78">
        <v>3.7199999999999998</v>
      </c>
      <c r="AJ2898" s="78" t="s">
        <v>74</v>
      </c>
      <c r="AK2898" s="78" t="s">
        <v>87</v>
      </c>
      <c r="AL2898" s="78" t="s">
        <v>25</v>
      </c>
      <c r="AM2898" s="78" t="s">
        <v>51</v>
      </c>
      <c r="AN2898" s="78" t="s">
        <v>432</v>
      </c>
      <c r="AO2898" s="78">
        <v>2.5951614206570599</v>
      </c>
    </row>
    <row r="2899" spans="29:41">
      <c r="AC2899" s="78" t="s">
        <v>53</v>
      </c>
      <c r="AD2899" s="78" t="s">
        <v>20</v>
      </c>
      <c r="AE2899" s="78" t="s">
        <v>72</v>
      </c>
      <c r="AF2899" s="78" t="s">
        <v>51</v>
      </c>
      <c r="AG2899" s="78" t="s">
        <v>485</v>
      </c>
      <c r="AH2899" s="78">
        <v>3.7518749999999996</v>
      </c>
      <c r="AJ2899" s="78" t="s">
        <v>74</v>
      </c>
      <c r="AK2899" s="78" t="s">
        <v>87</v>
      </c>
      <c r="AL2899" s="78" t="s">
        <v>25</v>
      </c>
      <c r="AM2899" s="78" t="s">
        <v>51</v>
      </c>
      <c r="AN2899" s="78" t="s">
        <v>433</v>
      </c>
      <c r="AO2899" s="78">
        <v>2.50110738001568</v>
      </c>
    </row>
    <row r="2900" spans="29:41">
      <c r="AC2900" s="78" t="s">
        <v>53</v>
      </c>
      <c r="AD2900" s="78" t="s">
        <v>20</v>
      </c>
      <c r="AE2900" s="78" t="s">
        <v>72</v>
      </c>
      <c r="AF2900" s="78" t="s">
        <v>51</v>
      </c>
      <c r="AG2900" s="78" t="s">
        <v>486</v>
      </c>
      <c r="AH2900" s="78">
        <v>3.7199999999999998</v>
      </c>
      <c r="AJ2900" s="78" t="s">
        <v>74</v>
      </c>
      <c r="AK2900" s="78" t="s">
        <v>87</v>
      </c>
      <c r="AL2900" s="78" t="s">
        <v>25</v>
      </c>
      <c r="AM2900" s="78" t="s">
        <v>51</v>
      </c>
      <c r="AN2900" s="78" t="s">
        <v>434</v>
      </c>
      <c r="AO2900" s="78">
        <v>2.50890733570674</v>
      </c>
    </row>
    <row r="2901" spans="29:41">
      <c r="AC2901" s="78" t="s">
        <v>53</v>
      </c>
      <c r="AD2901" s="78" t="s">
        <v>20</v>
      </c>
      <c r="AE2901" s="78" t="s">
        <v>72</v>
      </c>
      <c r="AF2901" s="78" t="s">
        <v>51</v>
      </c>
      <c r="AG2901" s="78" t="s">
        <v>487</v>
      </c>
      <c r="AH2901" s="78">
        <v>3.7199999999999998</v>
      </c>
      <c r="AJ2901" s="78" t="s">
        <v>74</v>
      </c>
      <c r="AK2901" s="78" t="s">
        <v>87</v>
      </c>
      <c r="AL2901" s="78" t="s">
        <v>25</v>
      </c>
      <c r="AM2901" s="78" t="s">
        <v>51</v>
      </c>
      <c r="AN2901" s="78" t="s">
        <v>435</v>
      </c>
      <c r="AO2901" s="78">
        <v>2.5084011199927301</v>
      </c>
    </row>
    <row r="2902" spans="29:41">
      <c r="AC2902" s="78" t="s">
        <v>53</v>
      </c>
      <c r="AD2902" s="78" t="s">
        <v>20</v>
      </c>
      <c r="AE2902" s="78" t="s">
        <v>72</v>
      </c>
      <c r="AF2902" s="78" t="s">
        <v>51</v>
      </c>
      <c r="AG2902" s="78" t="s">
        <v>488</v>
      </c>
      <c r="AH2902" s="78">
        <v>3.7518749999999996</v>
      </c>
      <c r="AJ2902" s="78" t="s">
        <v>74</v>
      </c>
      <c r="AK2902" s="78" t="s">
        <v>87</v>
      </c>
      <c r="AL2902" s="78" t="s">
        <v>25</v>
      </c>
      <c r="AM2902" s="78" t="s">
        <v>51</v>
      </c>
      <c r="AN2902" s="78" t="s">
        <v>436</v>
      </c>
      <c r="AO2902" s="78">
        <v>2.5005077726390401</v>
      </c>
    </row>
    <row r="2903" spans="29:41">
      <c r="AC2903" s="78" t="s">
        <v>53</v>
      </c>
      <c r="AD2903" s="78" t="s">
        <v>20</v>
      </c>
      <c r="AE2903" s="78" t="s">
        <v>72</v>
      </c>
      <c r="AF2903" s="78" t="s">
        <v>51</v>
      </c>
      <c r="AG2903" s="78" t="s">
        <v>489</v>
      </c>
      <c r="AH2903" s="78">
        <v>3.7199999999999998</v>
      </c>
      <c r="AJ2903" s="78" t="s">
        <v>74</v>
      </c>
      <c r="AK2903" s="78" t="s">
        <v>87</v>
      </c>
      <c r="AL2903" s="78" t="s">
        <v>25</v>
      </c>
      <c r="AM2903" s="78" t="s">
        <v>51</v>
      </c>
      <c r="AN2903" s="78" t="s">
        <v>437</v>
      </c>
      <c r="AO2903" s="78">
        <v>2.4857330932558601</v>
      </c>
    </row>
    <row r="2904" spans="29:41">
      <c r="AC2904" s="78" t="s">
        <v>53</v>
      </c>
      <c r="AD2904" s="78" t="s">
        <v>20</v>
      </c>
      <c r="AE2904" s="78" t="s">
        <v>72</v>
      </c>
      <c r="AF2904" s="78" t="s">
        <v>51</v>
      </c>
      <c r="AG2904" s="78" t="s">
        <v>423</v>
      </c>
      <c r="AH2904" s="78">
        <v>3.7518749999999996</v>
      </c>
      <c r="AJ2904" s="78" t="s">
        <v>74</v>
      </c>
      <c r="AK2904" s="78" t="s">
        <v>87</v>
      </c>
      <c r="AL2904" s="78" t="s">
        <v>25</v>
      </c>
      <c r="AM2904" s="78" t="s">
        <v>51</v>
      </c>
      <c r="AN2904" s="78" t="s">
        <v>438</v>
      </c>
      <c r="AO2904" s="78">
        <v>2.4694934611032302</v>
      </c>
    </row>
    <row r="2905" spans="29:41">
      <c r="AC2905" s="78" t="s">
        <v>53</v>
      </c>
      <c r="AD2905" s="78" t="s">
        <v>20</v>
      </c>
      <c r="AE2905" s="78" t="s">
        <v>72</v>
      </c>
      <c r="AF2905" s="78" t="s">
        <v>51</v>
      </c>
      <c r="AG2905" s="78" t="s">
        <v>490</v>
      </c>
      <c r="AH2905" s="78">
        <v>3.7199999999999998</v>
      </c>
      <c r="AJ2905" s="78" t="s">
        <v>74</v>
      </c>
      <c r="AK2905" s="78" t="s">
        <v>87</v>
      </c>
      <c r="AL2905" s="78" t="s">
        <v>25</v>
      </c>
      <c r="AM2905" s="78" t="s">
        <v>51</v>
      </c>
      <c r="AN2905" s="78" t="s">
        <v>439</v>
      </c>
      <c r="AO2905" s="78">
        <v>2.45908468763596</v>
      </c>
    </row>
    <row r="2906" spans="29:41">
      <c r="AC2906" s="78" t="s">
        <v>53</v>
      </c>
      <c r="AD2906" s="78" t="s">
        <v>20</v>
      </c>
      <c r="AE2906" s="78" t="s">
        <v>72</v>
      </c>
      <c r="AF2906" s="78" t="s">
        <v>51</v>
      </c>
      <c r="AG2906" s="78" t="s">
        <v>491</v>
      </c>
      <c r="AH2906" s="78">
        <v>3.6242500000000004</v>
      </c>
      <c r="AJ2906" s="78" t="s">
        <v>74</v>
      </c>
      <c r="AK2906" s="78" t="s">
        <v>87</v>
      </c>
      <c r="AL2906" s="78" t="s">
        <v>25</v>
      </c>
      <c r="AM2906" s="78" t="s">
        <v>51</v>
      </c>
      <c r="AN2906" s="78" t="s">
        <v>440</v>
      </c>
      <c r="AO2906" s="78">
        <v>2.46769011076751</v>
      </c>
    </row>
    <row r="2907" spans="29:41">
      <c r="AC2907" s="78" t="s">
        <v>53</v>
      </c>
      <c r="AD2907" s="78" t="s">
        <v>20</v>
      </c>
      <c r="AE2907" s="78" t="s">
        <v>72</v>
      </c>
      <c r="AF2907" s="78" t="s">
        <v>51</v>
      </c>
      <c r="AG2907" s="78" t="s">
        <v>492</v>
      </c>
      <c r="AH2907" s="78">
        <v>3.6560000000000001</v>
      </c>
      <c r="AJ2907" s="78" t="s">
        <v>74</v>
      </c>
      <c r="AK2907" s="78" t="s">
        <v>87</v>
      </c>
      <c r="AL2907" s="78" t="s">
        <v>25</v>
      </c>
      <c r="AM2907" s="78" t="s">
        <v>51</v>
      </c>
      <c r="AN2907" s="78" t="s">
        <v>441</v>
      </c>
      <c r="AO2907" s="78">
        <v>2.45037012960805</v>
      </c>
    </row>
    <row r="2908" spans="29:41">
      <c r="AC2908" s="78" t="s">
        <v>53</v>
      </c>
      <c r="AD2908" s="78" t="s">
        <v>20</v>
      </c>
      <c r="AE2908" s="78" t="s">
        <v>72</v>
      </c>
      <c r="AF2908" s="78" t="s">
        <v>51</v>
      </c>
      <c r="AG2908" s="78" t="s">
        <v>493</v>
      </c>
      <c r="AH2908" s="78">
        <v>3.7836249999999993</v>
      </c>
      <c r="AJ2908" s="78" t="s">
        <v>74</v>
      </c>
      <c r="AK2908" s="78" t="s">
        <v>87</v>
      </c>
      <c r="AL2908" s="78" t="s">
        <v>25</v>
      </c>
      <c r="AM2908" s="78" t="s">
        <v>51</v>
      </c>
      <c r="AN2908" s="78" t="s">
        <v>442</v>
      </c>
      <c r="AO2908" s="78">
        <v>2.4315261347107602</v>
      </c>
    </row>
    <row r="2909" spans="29:41">
      <c r="AC2909" s="78" t="s">
        <v>53</v>
      </c>
      <c r="AD2909" s="78" t="s">
        <v>20</v>
      </c>
      <c r="AE2909" s="78" t="s">
        <v>72</v>
      </c>
      <c r="AF2909" s="78" t="s">
        <v>51</v>
      </c>
      <c r="AG2909" s="78" t="s">
        <v>494</v>
      </c>
      <c r="AH2909" s="78">
        <v>3.8794999999999997</v>
      </c>
      <c r="AJ2909" s="78" t="s">
        <v>74</v>
      </c>
      <c r="AK2909" s="78" t="s">
        <v>87</v>
      </c>
      <c r="AL2909" s="78" t="s">
        <v>25</v>
      </c>
      <c r="AM2909" s="78" t="s">
        <v>51</v>
      </c>
      <c r="AN2909" s="78" t="s">
        <v>443</v>
      </c>
      <c r="AO2909" s="78">
        <v>2.47900822312821</v>
      </c>
    </row>
    <row r="2910" spans="29:41">
      <c r="AC2910" s="78" t="s">
        <v>53</v>
      </c>
      <c r="AD2910" s="78" t="s">
        <v>20</v>
      </c>
      <c r="AE2910" s="78" t="s">
        <v>72</v>
      </c>
      <c r="AF2910" s="78" t="s">
        <v>51</v>
      </c>
      <c r="AG2910" s="78" t="s">
        <v>495</v>
      </c>
      <c r="AH2910" s="78">
        <v>3.7518749999999996</v>
      </c>
      <c r="AJ2910" s="78" t="s">
        <v>74</v>
      </c>
      <c r="AK2910" s="78" t="s">
        <v>87</v>
      </c>
      <c r="AL2910" s="78" t="s">
        <v>25</v>
      </c>
      <c r="AM2910" s="78" t="s">
        <v>51</v>
      </c>
      <c r="AN2910" s="78" t="s">
        <v>444</v>
      </c>
      <c r="AO2910" s="78">
        <v>2.50328408923819</v>
      </c>
    </row>
    <row r="2911" spans="29:41">
      <c r="AC2911" s="78" t="s">
        <v>53</v>
      </c>
      <c r="AD2911" s="78" t="s">
        <v>20</v>
      </c>
      <c r="AE2911" s="78" t="s">
        <v>72</v>
      </c>
      <c r="AF2911" s="78" t="s">
        <v>51</v>
      </c>
      <c r="AG2911" s="78" t="s">
        <v>496</v>
      </c>
      <c r="AH2911" s="78">
        <v>3.7199999999999998</v>
      </c>
      <c r="AJ2911" s="78" t="s">
        <v>74</v>
      </c>
      <c r="AK2911" s="78" t="s">
        <v>87</v>
      </c>
      <c r="AL2911" s="78" t="s">
        <v>25</v>
      </c>
      <c r="AM2911" s="78" t="s">
        <v>51</v>
      </c>
      <c r="AN2911" s="78" t="s">
        <v>445</v>
      </c>
      <c r="AO2911" s="78">
        <v>2.5153297074650598</v>
      </c>
    </row>
    <row r="2912" spans="29:41">
      <c r="AC2912" s="78" t="s">
        <v>53</v>
      </c>
      <c r="AD2912" s="78" t="s">
        <v>20</v>
      </c>
      <c r="AE2912" s="78" t="s">
        <v>72</v>
      </c>
      <c r="AF2912" s="78" t="s">
        <v>51</v>
      </c>
      <c r="AG2912" s="78" t="s">
        <v>497</v>
      </c>
      <c r="AH2912" s="78">
        <v>3.7199999999999998</v>
      </c>
      <c r="AJ2912" s="78" t="s">
        <v>74</v>
      </c>
      <c r="AK2912" s="78" t="s">
        <v>87</v>
      </c>
      <c r="AL2912" s="78" t="s">
        <v>25</v>
      </c>
      <c r="AM2912" s="78" t="s">
        <v>51</v>
      </c>
      <c r="AN2912" s="78" t="s">
        <v>446</v>
      </c>
      <c r="AO2912" s="78">
        <v>2.51044994669209</v>
      </c>
    </row>
    <row r="2913" spans="29:41">
      <c r="AC2913" s="78" t="s">
        <v>53</v>
      </c>
      <c r="AD2913" s="78" t="s">
        <v>20</v>
      </c>
      <c r="AE2913" s="78" t="s">
        <v>72</v>
      </c>
      <c r="AF2913" s="78" t="s">
        <v>51</v>
      </c>
      <c r="AG2913" s="78" t="s">
        <v>498</v>
      </c>
      <c r="AH2913" s="78">
        <v>3.7518749999999996</v>
      </c>
      <c r="AJ2913" s="78" t="s">
        <v>74</v>
      </c>
      <c r="AK2913" s="78" t="s">
        <v>87</v>
      </c>
      <c r="AL2913" s="78" t="s">
        <v>25</v>
      </c>
      <c r="AM2913" s="78" t="s">
        <v>51</v>
      </c>
      <c r="AN2913" s="78" t="s">
        <v>447</v>
      </c>
      <c r="AO2913" s="78">
        <v>2.5328661525509899</v>
      </c>
    </row>
    <row r="2914" spans="29:41">
      <c r="AC2914" s="78" t="s">
        <v>53</v>
      </c>
      <c r="AD2914" s="78" t="s">
        <v>20</v>
      </c>
      <c r="AE2914" s="78" t="s">
        <v>72</v>
      </c>
      <c r="AF2914" s="78" t="s">
        <v>51</v>
      </c>
      <c r="AG2914" s="78" t="s">
        <v>499</v>
      </c>
      <c r="AH2914" s="78">
        <v>3.7518749999999996</v>
      </c>
      <c r="AJ2914" s="78" t="s">
        <v>74</v>
      </c>
      <c r="AK2914" s="78" t="s">
        <v>87</v>
      </c>
      <c r="AL2914" s="78" t="s">
        <v>25</v>
      </c>
      <c r="AM2914" s="78" t="s">
        <v>51</v>
      </c>
      <c r="AN2914" s="78" t="s">
        <v>448</v>
      </c>
      <c r="AO2914" s="78">
        <v>2.42238784637689</v>
      </c>
    </row>
    <row r="2915" spans="29:41">
      <c r="AC2915" s="78" t="s">
        <v>53</v>
      </c>
      <c r="AD2915" s="78" t="s">
        <v>20</v>
      </c>
      <c r="AE2915" s="78" t="s">
        <v>72</v>
      </c>
      <c r="AF2915" s="78" t="s">
        <v>51</v>
      </c>
      <c r="AG2915" s="78" t="s">
        <v>500</v>
      </c>
      <c r="AH2915" s="78">
        <v>3.7518749999999996</v>
      </c>
      <c r="AJ2915" s="78" t="s">
        <v>74</v>
      </c>
      <c r="AK2915" s="78" t="s">
        <v>87</v>
      </c>
      <c r="AL2915" s="78" t="s">
        <v>25</v>
      </c>
      <c r="AM2915" s="78" t="s">
        <v>51</v>
      </c>
      <c r="AN2915" s="78" t="s">
        <v>449</v>
      </c>
      <c r="AO2915" s="78">
        <v>2.28975271762293</v>
      </c>
    </row>
    <row r="2916" spans="29:41">
      <c r="AC2916" s="78" t="s">
        <v>53</v>
      </c>
      <c r="AD2916" s="78" t="s">
        <v>20</v>
      </c>
      <c r="AE2916" s="78" t="s">
        <v>72</v>
      </c>
      <c r="AF2916" s="78" t="s">
        <v>51</v>
      </c>
      <c r="AG2916" s="78" t="s">
        <v>501</v>
      </c>
      <c r="AH2916" s="78">
        <v>3.7518749999999996</v>
      </c>
      <c r="AJ2916" s="78" t="s">
        <v>74</v>
      </c>
      <c r="AK2916" s="78" t="s">
        <v>87</v>
      </c>
      <c r="AL2916" s="78" t="s">
        <v>25</v>
      </c>
      <c r="AM2916" s="78" t="s">
        <v>51</v>
      </c>
      <c r="AN2916" s="78" t="s">
        <v>450</v>
      </c>
      <c r="AO2916" s="78">
        <v>2.2924928729045799</v>
      </c>
    </row>
    <row r="2917" spans="29:41">
      <c r="AC2917" s="78" t="s">
        <v>53</v>
      </c>
      <c r="AD2917" s="78" t="s">
        <v>20</v>
      </c>
      <c r="AE2917" s="78" t="s">
        <v>72</v>
      </c>
      <c r="AF2917" s="78" t="s">
        <v>51</v>
      </c>
      <c r="AG2917" s="78" t="s">
        <v>502</v>
      </c>
      <c r="AH2917" s="78">
        <v>3.6560000000000001</v>
      </c>
      <c r="AJ2917" s="78" t="s">
        <v>74</v>
      </c>
      <c r="AK2917" s="78" t="s">
        <v>87</v>
      </c>
      <c r="AL2917" s="78" t="s">
        <v>25</v>
      </c>
      <c r="AM2917" s="78" t="s">
        <v>51</v>
      </c>
      <c r="AN2917" s="78" t="s">
        <v>451</v>
      </c>
      <c r="AO2917" s="78">
        <v>2.2865529695176998</v>
      </c>
    </row>
    <row r="2918" spans="29:41">
      <c r="AC2918" s="78" t="s">
        <v>53</v>
      </c>
      <c r="AD2918" s="78" t="s">
        <v>20</v>
      </c>
      <c r="AE2918" s="78" t="s">
        <v>72</v>
      </c>
      <c r="AF2918" s="78" t="s">
        <v>51</v>
      </c>
      <c r="AG2918" s="78" t="s">
        <v>422</v>
      </c>
      <c r="AH2918" s="78">
        <v>3.6242500000000004</v>
      </c>
      <c r="AJ2918" s="78" t="s">
        <v>74</v>
      </c>
      <c r="AK2918" s="78" t="s">
        <v>87</v>
      </c>
      <c r="AL2918" s="78" t="s">
        <v>25</v>
      </c>
      <c r="AM2918" s="78" t="s">
        <v>51</v>
      </c>
      <c r="AN2918" s="78" t="s">
        <v>452</v>
      </c>
      <c r="AO2918" s="78">
        <v>2.2474863691242</v>
      </c>
    </row>
    <row r="2919" spans="29:41">
      <c r="AC2919" s="78" t="s">
        <v>53</v>
      </c>
      <c r="AD2919" s="78" t="s">
        <v>20</v>
      </c>
      <c r="AE2919" s="78" t="s">
        <v>72</v>
      </c>
      <c r="AF2919" s="78" t="s">
        <v>51</v>
      </c>
      <c r="AG2919" s="78" t="s">
        <v>503</v>
      </c>
      <c r="AH2919" s="78">
        <v>3.5606250000000008</v>
      </c>
      <c r="AJ2919" s="78" t="s">
        <v>74</v>
      </c>
      <c r="AK2919" s="78" t="s">
        <v>87</v>
      </c>
      <c r="AL2919" s="78" t="s">
        <v>25</v>
      </c>
      <c r="AM2919" s="78" t="s">
        <v>51</v>
      </c>
      <c r="AN2919" s="78" t="s">
        <v>453</v>
      </c>
      <c r="AO2919" s="78">
        <v>2.2397995226071998</v>
      </c>
    </row>
    <row r="2920" spans="29:41">
      <c r="AC2920" s="78" t="s">
        <v>53</v>
      </c>
      <c r="AD2920" s="78" t="s">
        <v>20</v>
      </c>
      <c r="AE2920" s="78" t="s">
        <v>72</v>
      </c>
      <c r="AF2920" s="78" t="s">
        <v>51</v>
      </c>
      <c r="AG2920" s="78" t="s">
        <v>504</v>
      </c>
      <c r="AH2920" s="78">
        <v>3.5606250000000008</v>
      </c>
      <c r="AJ2920" s="78" t="s">
        <v>74</v>
      </c>
      <c r="AK2920" s="78" t="s">
        <v>87</v>
      </c>
      <c r="AL2920" s="78" t="s">
        <v>25</v>
      </c>
      <c r="AM2920" s="78" t="s">
        <v>51</v>
      </c>
      <c r="AN2920" s="78" t="s">
        <v>454</v>
      </c>
      <c r="AO2920" s="78">
        <v>2.1596234413025202</v>
      </c>
    </row>
    <row r="2921" spans="29:41">
      <c r="AC2921" s="78" t="s">
        <v>53</v>
      </c>
      <c r="AD2921" s="78" t="s">
        <v>20</v>
      </c>
      <c r="AE2921" s="78" t="s">
        <v>72</v>
      </c>
      <c r="AF2921" s="78" t="s">
        <v>51</v>
      </c>
      <c r="AG2921" s="78" t="s">
        <v>505</v>
      </c>
      <c r="AH2921" s="78">
        <v>3.6242500000000004</v>
      </c>
      <c r="AJ2921" s="78" t="s">
        <v>74</v>
      </c>
      <c r="AK2921" s="78" t="s">
        <v>87</v>
      </c>
      <c r="AL2921" s="78" t="s">
        <v>25</v>
      </c>
      <c r="AM2921" s="78" t="s">
        <v>51</v>
      </c>
      <c r="AN2921" s="78" t="s">
        <v>455</v>
      </c>
      <c r="AO2921" s="78">
        <v>2.19882717699562</v>
      </c>
    </row>
    <row r="2922" spans="29:41">
      <c r="AC2922" s="78" t="s">
        <v>53</v>
      </c>
      <c r="AD2922" s="78" t="s">
        <v>20</v>
      </c>
      <c r="AE2922" s="78" t="s">
        <v>72</v>
      </c>
      <c r="AF2922" s="78" t="s">
        <v>51</v>
      </c>
      <c r="AG2922" s="78" t="s">
        <v>421</v>
      </c>
      <c r="AH2922" s="78">
        <v>3.5923750000000005</v>
      </c>
      <c r="AJ2922" s="78" t="s">
        <v>74</v>
      </c>
      <c r="AK2922" s="78" t="s">
        <v>87</v>
      </c>
      <c r="AL2922" s="78" t="s">
        <v>25</v>
      </c>
      <c r="AM2922" s="78" t="s">
        <v>51</v>
      </c>
      <c r="AN2922" s="78" t="s">
        <v>456</v>
      </c>
      <c r="AO2922" s="78">
        <v>2.2327355208775002</v>
      </c>
    </row>
    <row r="2923" spans="29:41">
      <c r="AC2923" s="78" t="s">
        <v>53</v>
      </c>
      <c r="AD2923" s="78" t="s">
        <v>20</v>
      </c>
      <c r="AE2923" s="78" t="s">
        <v>72</v>
      </c>
      <c r="AF2923" s="78" t="s">
        <v>51</v>
      </c>
      <c r="AG2923" s="78" t="s">
        <v>506</v>
      </c>
      <c r="AH2923" s="78">
        <v>3.6242500000000004</v>
      </c>
      <c r="AJ2923" s="78" t="s">
        <v>74</v>
      </c>
      <c r="AK2923" s="78" t="s">
        <v>87</v>
      </c>
      <c r="AL2923" s="78" t="s">
        <v>25</v>
      </c>
      <c r="AM2923" s="78" t="s">
        <v>51</v>
      </c>
      <c r="AN2923" s="78" t="s">
        <v>746</v>
      </c>
      <c r="AO2923" s="78">
        <v>2.22171317291324</v>
      </c>
    </row>
    <row r="2924" spans="29:41">
      <c r="AC2924" s="78" t="s">
        <v>53</v>
      </c>
      <c r="AD2924" s="78" t="s">
        <v>20</v>
      </c>
      <c r="AE2924" s="78" t="s">
        <v>72</v>
      </c>
      <c r="AF2924" s="78" t="s">
        <v>51</v>
      </c>
      <c r="AG2924" s="78" t="s">
        <v>507</v>
      </c>
      <c r="AH2924" s="78">
        <v>3.6242500000000004</v>
      </c>
      <c r="AJ2924" s="78" t="s">
        <v>74</v>
      </c>
      <c r="AK2924" s="78" t="s">
        <v>87</v>
      </c>
      <c r="AL2924" s="78" t="s">
        <v>25</v>
      </c>
      <c r="AM2924" s="78" t="s">
        <v>51</v>
      </c>
      <c r="AN2924" s="78" t="s">
        <v>457</v>
      </c>
      <c r="AO2924" s="78">
        <v>2.2498836736013899</v>
      </c>
    </row>
    <row r="2925" spans="29:41">
      <c r="AC2925" s="78" t="s">
        <v>53</v>
      </c>
      <c r="AD2925" s="78" t="s">
        <v>20</v>
      </c>
      <c r="AE2925" s="78" t="s">
        <v>72</v>
      </c>
      <c r="AF2925" s="78" t="s">
        <v>51</v>
      </c>
      <c r="AG2925" s="78" t="s">
        <v>508</v>
      </c>
      <c r="AH2925" s="78">
        <v>3.68825</v>
      </c>
      <c r="AJ2925" s="78" t="s">
        <v>74</v>
      </c>
      <c r="AK2925" s="78" t="s">
        <v>87</v>
      </c>
      <c r="AL2925" s="78" t="s">
        <v>25</v>
      </c>
      <c r="AM2925" s="78" t="s">
        <v>51</v>
      </c>
      <c r="AN2925" s="78" t="s">
        <v>458</v>
      </c>
      <c r="AO2925" s="78">
        <v>2.3035973514028201</v>
      </c>
    </row>
    <row r="2926" spans="29:41">
      <c r="AC2926" s="78" t="s">
        <v>53</v>
      </c>
      <c r="AD2926" s="78" t="s">
        <v>20</v>
      </c>
      <c r="AE2926" s="78" t="s">
        <v>72</v>
      </c>
      <c r="AF2926" s="78" t="s">
        <v>51</v>
      </c>
      <c r="AG2926" s="78" t="s">
        <v>509</v>
      </c>
      <c r="AH2926" s="78">
        <v>3.6560000000000001</v>
      </c>
      <c r="AJ2926" s="78" t="s">
        <v>74</v>
      </c>
      <c r="AK2926" s="78" t="s">
        <v>87</v>
      </c>
      <c r="AL2926" s="78" t="s">
        <v>25</v>
      </c>
      <c r="AM2926" s="78" t="s">
        <v>51</v>
      </c>
      <c r="AN2926" s="78" t="s">
        <v>459</v>
      </c>
      <c r="AO2926" s="78">
        <v>2.2780835111266402</v>
      </c>
    </row>
    <row r="2927" spans="29:41">
      <c r="AC2927" s="78" t="s">
        <v>53</v>
      </c>
      <c r="AD2927" s="78" t="s">
        <v>20</v>
      </c>
      <c r="AE2927" s="78" t="s">
        <v>72</v>
      </c>
      <c r="AF2927" s="78" t="s">
        <v>51</v>
      </c>
      <c r="AG2927" s="78" t="s">
        <v>510</v>
      </c>
      <c r="AH2927" s="78">
        <v>3.7199999999999998</v>
      </c>
      <c r="AJ2927" s="78" t="s">
        <v>74</v>
      </c>
      <c r="AK2927" s="78" t="s">
        <v>87</v>
      </c>
      <c r="AL2927" s="78" t="s">
        <v>25</v>
      </c>
      <c r="AM2927" s="78" t="s">
        <v>51</v>
      </c>
      <c r="AN2927" s="78" t="s">
        <v>460</v>
      </c>
      <c r="AO2927" s="78">
        <v>2.3132728669173401</v>
      </c>
    </row>
    <row r="2928" spans="29:41">
      <c r="AC2928" s="78" t="s">
        <v>53</v>
      </c>
      <c r="AD2928" s="78" t="s">
        <v>20</v>
      </c>
      <c r="AE2928" s="78" t="s">
        <v>72</v>
      </c>
      <c r="AF2928" s="78" t="s">
        <v>51</v>
      </c>
      <c r="AG2928" s="78" t="s">
        <v>511</v>
      </c>
      <c r="AH2928" s="78">
        <v>3.7518749999999996</v>
      </c>
      <c r="AJ2928" s="78" t="s">
        <v>74</v>
      </c>
      <c r="AK2928" s="78" t="s">
        <v>87</v>
      </c>
      <c r="AL2928" s="78" t="s">
        <v>25</v>
      </c>
      <c r="AM2928" s="78" t="s">
        <v>51</v>
      </c>
      <c r="AN2928" s="78" t="s">
        <v>461</v>
      </c>
      <c r="AO2928" s="78">
        <v>2.3587572487332702</v>
      </c>
    </row>
    <row r="2929" spans="29:41">
      <c r="AC2929" s="78" t="s">
        <v>53</v>
      </c>
      <c r="AD2929" s="78" t="s">
        <v>20</v>
      </c>
      <c r="AE2929" s="78" t="s">
        <v>72</v>
      </c>
      <c r="AF2929" s="78" t="s">
        <v>51</v>
      </c>
      <c r="AG2929" s="78" t="s">
        <v>512</v>
      </c>
      <c r="AH2929" s="78">
        <v>3.7518749999999996</v>
      </c>
      <c r="AJ2929" s="78" t="s">
        <v>74</v>
      </c>
      <c r="AK2929" s="78" t="s">
        <v>87</v>
      </c>
      <c r="AL2929" s="78" t="s">
        <v>25</v>
      </c>
      <c r="AM2929" s="78" t="s">
        <v>51</v>
      </c>
      <c r="AN2929" s="78" t="s">
        <v>462</v>
      </c>
      <c r="AO2929" s="78">
        <v>2.3547084525242998</v>
      </c>
    </row>
    <row r="2930" spans="29:41">
      <c r="AC2930" s="78" t="s">
        <v>53</v>
      </c>
      <c r="AD2930" s="78" t="s">
        <v>20</v>
      </c>
      <c r="AE2930" s="78" t="s">
        <v>72</v>
      </c>
      <c r="AF2930" s="78" t="s">
        <v>51</v>
      </c>
      <c r="AG2930" s="78" t="s">
        <v>513</v>
      </c>
      <c r="AH2930" s="78">
        <v>3.7199999999999998</v>
      </c>
      <c r="AJ2930" s="78" t="s">
        <v>74</v>
      </c>
      <c r="AK2930" s="78" t="s">
        <v>87</v>
      </c>
      <c r="AL2930" s="78" t="s">
        <v>25</v>
      </c>
      <c r="AM2930" s="78" t="s">
        <v>51</v>
      </c>
      <c r="AN2930" s="78" t="s">
        <v>463</v>
      </c>
      <c r="AO2930" s="78">
        <v>2.3280330351195899</v>
      </c>
    </row>
    <row r="2931" spans="29:41">
      <c r="AC2931" s="78" t="s">
        <v>53</v>
      </c>
      <c r="AD2931" s="78" t="s">
        <v>20</v>
      </c>
      <c r="AE2931" s="78" t="s">
        <v>72</v>
      </c>
      <c r="AF2931" s="78" t="s">
        <v>51</v>
      </c>
      <c r="AG2931" s="78" t="s">
        <v>514</v>
      </c>
      <c r="AH2931" s="78">
        <v>3.7199999999999998</v>
      </c>
      <c r="AJ2931" s="78" t="s">
        <v>74</v>
      </c>
      <c r="AK2931" s="78" t="s">
        <v>87</v>
      </c>
      <c r="AL2931" s="78" t="s">
        <v>25</v>
      </c>
      <c r="AM2931" s="78" t="s">
        <v>51</v>
      </c>
      <c r="AN2931" s="78" t="s">
        <v>464</v>
      </c>
      <c r="AO2931" s="78">
        <v>2.34677807026147</v>
      </c>
    </row>
    <row r="2932" spans="29:41">
      <c r="AC2932" s="78" t="s">
        <v>53</v>
      </c>
      <c r="AD2932" s="78" t="s">
        <v>20</v>
      </c>
      <c r="AE2932" s="78" t="s">
        <v>72</v>
      </c>
      <c r="AF2932" s="78" t="s">
        <v>51</v>
      </c>
      <c r="AG2932" s="78" t="s">
        <v>515</v>
      </c>
      <c r="AH2932" s="78">
        <v>3.7518749999999996</v>
      </c>
      <c r="AJ2932" s="78" t="s">
        <v>74</v>
      </c>
      <c r="AK2932" s="78" t="s">
        <v>87</v>
      </c>
      <c r="AL2932" s="78" t="s">
        <v>25</v>
      </c>
      <c r="AM2932" s="78" t="s">
        <v>51</v>
      </c>
      <c r="AN2932" s="78" t="s">
        <v>465</v>
      </c>
      <c r="AO2932" s="78">
        <v>2.3508657378420699</v>
      </c>
    </row>
    <row r="2933" spans="29:41">
      <c r="AC2933" s="78" t="s">
        <v>53</v>
      </c>
      <c r="AD2933" s="78" t="s">
        <v>20</v>
      </c>
      <c r="AE2933" s="78" t="s">
        <v>72</v>
      </c>
      <c r="AF2933" s="78" t="s">
        <v>51</v>
      </c>
      <c r="AG2933" s="78" t="s">
        <v>516</v>
      </c>
      <c r="AH2933" s="78">
        <v>3.7199999999999998</v>
      </c>
      <c r="AJ2933" s="78" t="s">
        <v>74</v>
      </c>
      <c r="AK2933" s="78" t="s">
        <v>87</v>
      </c>
      <c r="AL2933" s="78" t="s">
        <v>25</v>
      </c>
      <c r="AM2933" s="78" t="s">
        <v>51</v>
      </c>
      <c r="AN2933" s="78" t="s">
        <v>466</v>
      </c>
      <c r="AO2933" s="78">
        <v>2.3723679310859498</v>
      </c>
    </row>
    <row r="2934" spans="29:41">
      <c r="AC2934" s="78" t="s">
        <v>53</v>
      </c>
      <c r="AD2934" s="78" t="s">
        <v>20</v>
      </c>
      <c r="AE2934" s="78" t="s">
        <v>72</v>
      </c>
      <c r="AF2934" s="78" t="s">
        <v>51</v>
      </c>
      <c r="AG2934" s="78" t="s">
        <v>517</v>
      </c>
      <c r="AH2934" s="78">
        <v>3.7199999999999998</v>
      </c>
      <c r="AJ2934" s="78" t="s">
        <v>74</v>
      </c>
      <c r="AK2934" s="78" t="s">
        <v>87</v>
      </c>
      <c r="AL2934" s="78" t="s">
        <v>25</v>
      </c>
      <c r="AM2934" s="78" t="s">
        <v>51</v>
      </c>
      <c r="AN2934" s="78" t="s">
        <v>467</v>
      </c>
      <c r="AO2934" s="78">
        <v>2.3827340297619202</v>
      </c>
    </row>
    <row r="2935" spans="29:41">
      <c r="AC2935" s="78" t="s">
        <v>53</v>
      </c>
      <c r="AD2935" s="78" t="s">
        <v>20</v>
      </c>
      <c r="AE2935" s="78" t="s">
        <v>72</v>
      </c>
      <c r="AF2935" s="78" t="s">
        <v>51</v>
      </c>
      <c r="AG2935" s="78" t="s">
        <v>518</v>
      </c>
      <c r="AH2935" s="78">
        <v>3.7199999999999998</v>
      </c>
      <c r="AJ2935" s="78" t="s">
        <v>74</v>
      </c>
      <c r="AK2935" s="78" t="s">
        <v>87</v>
      </c>
      <c r="AL2935" s="78" t="s">
        <v>25</v>
      </c>
      <c r="AM2935" s="78" t="s">
        <v>51</v>
      </c>
      <c r="AN2935" s="78" t="s">
        <v>468</v>
      </c>
      <c r="AO2935" s="78">
        <v>2.3913145424010498</v>
      </c>
    </row>
    <row r="2936" spans="29:41">
      <c r="AC2936" s="78" t="s">
        <v>53</v>
      </c>
      <c r="AD2936" s="78" t="s">
        <v>20</v>
      </c>
      <c r="AE2936" s="78" t="s">
        <v>72</v>
      </c>
      <c r="AF2936" s="78" t="s">
        <v>51</v>
      </c>
      <c r="AG2936" s="78" t="s">
        <v>519</v>
      </c>
      <c r="AH2936" s="78">
        <v>3.7199999999999998</v>
      </c>
      <c r="AJ2936" s="78" t="s">
        <v>74</v>
      </c>
      <c r="AK2936" s="78" t="s">
        <v>87</v>
      </c>
      <c r="AL2936" s="78" t="s">
        <v>25</v>
      </c>
      <c r="AM2936" s="78" t="s">
        <v>51</v>
      </c>
      <c r="AN2936" s="78" t="s">
        <v>469</v>
      </c>
      <c r="AO2936" s="78">
        <v>2.3415396621578699</v>
      </c>
    </row>
    <row r="2937" spans="29:41">
      <c r="AC2937" s="78" t="s">
        <v>53</v>
      </c>
      <c r="AD2937" s="78" t="s">
        <v>20</v>
      </c>
      <c r="AE2937" s="78" t="s">
        <v>72</v>
      </c>
      <c r="AF2937" s="78" t="s">
        <v>51</v>
      </c>
      <c r="AG2937" s="78" t="s">
        <v>520</v>
      </c>
      <c r="AH2937" s="78">
        <v>3.6560000000000001</v>
      </c>
      <c r="AJ2937" s="78" t="s">
        <v>74</v>
      </c>
      <c r="AK2937" s="78" t="s">
        <v>87</v>
      </c>
      <c r="AL2937" s="78" t="s">
        <v>25</v>
      </c>
      <c r="AM2937" s="78" t="s">
        <v>51</v>
      </c>
      <c r="AN2937" s="78" t="s">
        <v>470</v>
      </c>
      <c r="AO2937" s="78">
        <v>2.3214949111864098</v>
      </c>
    </row>
    <row r="2938" spans="29:41">
      <c r="AC2938" s="78" t="s">
        <v>53</v>
      </c>
      <c r="AD2938" s="78" t="s">
        <v>20</v>
      </c>
      <c r="AE2938" s="78" t="s">
        <v>72</v>
      </c>
      <c r="AF2938" s="78" t="s">
        <v>51</v>
      </c>
      <c r="AG2938" s="78" t="s">
        <v>521</v>
      </c>
      <c r="AH2938" s="78">
        <v>3.7199999999999998</v>
      </c>
      <c r="AJ2938" s="78" t="s">
        <v>74</v>
      </c>
      <c r="AK2938" s="78" t="s">
        <v>87</v>
      </c>
      <c r="AL2938" s="78" t="s">
        <v>25</v>
      </c>
      <c r="AM2938" s="78" t="s">
        <v>51</v>
      </c>
      <c r="AN2938" s="78" t="s">
        <v>471</v>
      </c>
      <c r="AO2938" s="78">
        <v>2.2658760705109899</v>
      </c>
    </row>
    <row r="2939" spans="29:41">
      <c r="AC2939" s="78" t="s">
        <v>53</v>
      </c>
      <c r="AD2939" s="78" t="s">
        <v>20</v>
      </c>
      <c r="AE2939" s="78" t="s">
        <v>72</v>
      </c>
      <c r="AF2939" s="78" t="s">
        <v>51</v>
      </c>
      <c r="AG2939" s="78" t="s">
        <v>522</v>
      </c>
      <c r="AH2939" s="78">
        <v>3.7199999999999998</v>
      </c>
      <c r="AJ2939" s="78" t="s">
        <v>74</v>
      </c>
      <c r="AK2939" s="78" t="s">
        <v>87</v>
      </c>
      <c r="AL2939" s="78" t="s">
        <v>25</v>
      </c>
      <c r="AM2939" s="78" t="s">
        <v>51</v>
      </c>
      <c r="AN2939" s="78" t="s">
        <v>472</v>
      </c>
      <c r="AO2939" s="78">
        <v>2.2903256966230399</v>
      </c>
    </row>
    <row r="2940" spans="29:41">
      <c r="AC2940" s="78" t="s">
        <v>53</v>
      </c>
      <c r="AD2940" s="78" t="s">
        <v>20</v>
      </c>
      <c r="AE2940" s="78" t="s">
        <v>72</v>
      </c>
      <c r="AF2940" s="78" t="s">
        <v>51</v>
      </c>
      <c r="AG2940" s="78" t="s">
        <v>523</v>
      </c>
      <c r="AH2940" s="78">
        <v>3.9112500000000003</v>
      </c>
      <c r="AJ2940" s="78" t="s">
        <v>74</v>
      </c>
      <c r="AK2940" s="78" t="s">
        <v>87</v>
      </c>
      <c r="AL2940" s="78" t="s">
        <v>25</v>
      </c>
      <c r="AM2940" s="78" t="s">
        <v>51</v>
      </c>
      <c r="AN2940" s="78" t="s">
        <v>473</v>
      </c>
      <c r="AO2940" s="78">
        <v>2.3285237865503698</v>
      </c>
    </row>
    <row r="2941" spans="29:41">
      <c r="AC2941" s="78" t="s">
        <v>53</v>
      </c>
      <c r="AD2941" s="78" t="s">
        <v>20</v>
      </c>
      <c r="AE2941" s="78" t="s">
        <v>72</v>
      </c>
      <c r="AF2941" s="78" t="s">
        <v>51</v>
      </c>
      <c r="AG2941" s="78" t="s">
        <v>524</v>
      </c>
      <c r="AH2941" s="78">
        <v>3.8794999999999997</v>
      </c>
      <c r="AJ2941" s="78" t="s">
        <v>74</v>
      </c>
      <c r="AK2941" s="78" t="s">
        <v>87</v>
      </c>
      <c r="AL2941" s="78" t="s">
        <v>25</v>
      </c>
      <c r="AM2941" s="78" t="s">
        <v>51</v>
      </c>
      <c r="AN2941" s="78" t="s">
        <v>474</v>
      </c>
      <c r="AO2941" s="78">
        <v>2.3355292606834301</v>
      </c>
    </row>
    <row r="2942" spans="29:41">
      <c r="AC2942" s="78" t="s">
        <v>53</v>
      </c>
      <c r="AD2942" s="78" t="s">
        <v>20</v>
      </c>
      <c r="AE2942" s="78" t="s">
        <v>72</v>
      </c>
      <c r="AF2942" s="78" t="s">
        <v>51</v>
      </c>
      <c r="AG2942" s="78" t="s">
        <v>525</v>
      </c>
      <c r="AH2942" s="78">
        <v>3.7836249999999993</v>
      </c>
      <c r="AJ2942" s="78" t="s">
        <v>74</v>
      </c>
      <c r="AK2942" s="78" t="s">
        <v>87</v>
      </c>
      <c r="AL2942" s="78" t="s">
        <v>25</v>
      </c>
      <c r="AM2942" s="78" t="s">
        <v>51</v>
      </c>
      <c r="AN2942" s="78" t="s">
        <v>475</v>
      </c>
      <c r="AO2942" s="78">
        <v>2.2962196436559199</v>
      </c>
    </row>
    <row r="2943" spans="29:41">
      <c r="AC2943" s="78" t="s">
        <v>53</v>
      </c>
      <c r="AD2943" s="78" t="s">
        <v>20</v>
      </c>
      <c r="AE2943" s="78" t="s">
        <v>72</v>
      </c>
      <c r="AF2943" s="78" t="s">
        <v>51</v>
      </c>
      <c r="AG2943" s="78" t="s">
        <v>526</v>
      </c>
      <c r="AH2943" s="78">
        <v>3.8794999999999997</v>
      </c>
      <c r="AJ2943" s="78" t="s">
        <v>74</v>
      </c>
      <c r="AK2943" s="78" t="s">
        <v>87</v>
      </c>
      <c r="AL2943" s="78" t="s">
        <v>25</v>
      </c>
      <c r="AM2943" s="78" t="s">
        <v>51</v>
      </c>
      <c r="AN2943" s="78" t="s">
        <v>476</v>
      </c>
      <c r="AO2943" s="78">
        <v>2.36176289703742</v>
      </c>
    </row>
    <row r="2944" spans="29:41">
      <c r="AC2944" s="78" t="s">
        <v>53</v>
      </c>
      <c r="AD2944" s="78" t="s">
        <v>20</v>
      </c>
      <c r="AE2944" s="78" t="s">
        <v>72</v>
      </c>
      <c r="AF2944" s="78" t="s">
        <v>51</v>
      </c>
      <c r="AG2944" s="78" t="s">
        <v>527</v>
      </c>
      <c r="AH2944" s="78">
        <v>3.7836249999999993</v>
      </c>
      <c r="AJ2944" s="78" t="s">
        <v>74</v>
      </c>
      <c r="AK2944" s="78" t="s">
        <v>87</v>
      </c>
      <c r="AL2944" s="78" t="s">
        <v>25</v>
      </c>
      <c r="AM2944" s="78" t="s">
        <v>51</v>
      </c>
      <c r="AN2944" s="78" t="s">
        <v>477</v>
      </c>
      <c r="AO2944" s="78">
        <v>2.3691281963665198</v>
      </c>
    </row>
    <row r="2945" spans="29:41">
      <c r="AC2945" s="78" t="s">
        <v>53</v>
      </c>
      <c r="AD2945" s="78" t="s">
        <v>20</v>
      </c>
      <c r="AE2945" s="78" t="s">
        <v>72</v>
      </c>
      <c r="AF2945" s="78" t="s">
        <v>51</v>
      </c>
      <c r="AG2945" s="78" t="s">
        <v>528</v>
      </c>
      <c r="AH2945" s="78">
        <v>3.8794999999999997</v>
      </c>
      <c r="AJ2945" s="78" t="s">
        <v>74</v>
      </c>
      <c r="AK2945" s="78" t="s">
        <v>87</v>
      </c>
      <c r="AL2945" s="78" t="s">
        <v>25</v>
      </c>
      <c r="AM2945" s="78" t="s">
        <v>51</v>
      </c>
      <c r="AN2945" s="78" t="s">
        <v>478</v>
      </c>
      <c r="AO2945" s="78">
        <v>2.33119047788963</v>
      </c>
    </row>
    <row r="2946" spans="29:41">
      <c r="AC2946" s="78" t="s">
        <v>53</v>
      </c>
      <c r="AD2946" s="78" t="s">
        <v>20</v>
      </c>
      <c r="AE2946" s="78" t="s">
        <v>72</v>
      </c>
      <c r="AF2946" s="78" t="s">
        <v>51</v>
      </c>
      <c r="AG2946" s="78" t="s">
        <v>529</v>
      </c>
      <c r="AH2946" s="78">
        <v>3.8794999999999997</v>
      </c>
      <c r="AJ2946" s="78" t="s">
        <v>74</v>
      </c>
      <c r="AK2946" s="78" t="s">
        <v>87</v>
      </c>
      <c r="AL2946" s="78" t="s">
        <v>25</v>
      </c>
      <c r="AM2946" s="78" t="s">
        <v>51</v>
      </c>
      <c r="AN2946" s="78" t="s">
        <v>479</v>
      </c>
      <c r="AO2946" s="78">
        <v>2.2940770499801002</v>
      </c>
    </row>
    <row r="2947" spans="29:41">
      <c r="AC2947" s="78" t="s">
        <v>53</v>
      </c>
      <c r="AD2947" s="78" t="s">
        <v>20</v>
      </c>
      <c r="AE2947" s="78" t="s">
        <v>72</v>
      </c>
      <c r="AF2947" s="78" t="s">
        <v>51</v>
      </c>
      <c r="AG2947" s="78" t="s">
        <v>530</v>
      </c>
      <c r="AH2947" s="78">
        <v>3.7836249999999993</v>
      </c>
      <c r="AJ2947" s="78" t="s">
        <v>74</v>
      </c>
      <c r="AK2947" s="78" t="s">
        <v>87</v>
      </c>
      <c r="AL2947" s="78" t="s">
        <v>25</v>
      </c>
      <c r="AM2947" s="78" t="s">
        <v>51</v>
      </c>
      <c r="AN2947" s="78" t="s">
        <v>747</v>
      </c>
      <c r="AO2947" s="78">
        <v>2.3497760407358701</v>
      </c>
    </row>
    <row r="2948" spans="29:41">
      <c r="AC2948" s="78" t="s">
        <v>53</v>
      </c>
      <c r="AD2948" s="78" t="s">
        <v>20</v>
      </c>
      <c r="AE2948" s="78" t="s">
        <v>72</v>
      </c>
      <c r="AF2948" s="78" t="s">
        <v>51</v>
      </c>
      <c r="AG2948" s="78" t="s">
        <v>531</v>
      </c>
      <c r="AH2948" s="78">
        <v>3.7836249999999993</v>
      </c>
      <c r="AJ2948" s="78" t="s">
        <v>74</v>
      </c>
      <c r="AK2948" s="78" t="s">
        <v>87</v>
      </c>
      <c r="AL2948" s="78" t="s">
        <v>25</v>
      </c>
      <c r="AM2948" s="78" t="s">
        <v>51</v>
      </c>
      <c r="AN2948" s="78" t="s">
        <v>748</v>
      </c>
      <c r="AO2948" s="78">
        <v>2.31461753479971</v>
      </c>
    </row>
    <row r="2949" spans="29:41">
      <c r="AC2949" s="78" t="s">
        <v>53</v>
      </c>
      <c r="AD2949" s="78" t="s">
        <v>20</v>
      </c>
      <c r="AE2949" s="78" t="s">
        <v>72</v>
      </c>
      <c r="AF2949" s="78" t="s">
        <v>51</v>
      </c>
      <c r="AG2949" s="78" t="s">
        <v>532</v>
      </c>
      <c r="AH2949" s="78">
        <v>3.9434999999999998</v>
      </c>
      <c r="AJ2949" s="78" t="s">
        <v>74</v>
      </c>
      <c r="AK2949" s="78" t="s">
        <v>87</v>
      </c>
      <c r="AL2949" s="78" t="s">
        <v>25</v>
      </c>
      <c r="AM2949" s="78" t="s">
        <v>51</v>
      </c>
      <c r="AN2949" s="78" t="s">
        <v>480</v>
      </c>
      <c r="AO2949" s="78">
        <v>2.34200914311478</v>
      </c>
    </row>
    <row r="2950" spans="29:41">
      <c r="AC2950" s="78" t="s">
        <v>53</v>
      </c>
      <c r="AD2950" s="78" t="s">
        <v>20</v>
      </c>
      <c r="AE2950" s="78" t="s">
        <v>72</v>
      </c>
      <c r="AF2950" s="78" t="s">
        <v>51</v>
      </c>
      <c r="AG2950" s="78" t="s">
        <v>533</v>
      </c>
      <c r="AH2950" s="78">
        <v>4.0071250000000003</v>
      </c>
      <c r="AJ2950" s="78" t="s">
        <v>74</v>
      </c>
      <c r="AK2950" s="78" t="s">
        <v>87</v>
      </c>
      <c r="AL2950" s="78" t="s">
        <v>25</v>
      </c>
      <c r="AM2950" s="78" t="s">
        <v>51</v>
      </c>
      <c r="AN2950" s="78" t="s">
        <v>481</v>
      </c>
      <c r="AO2950" s="78">
        <v>2.35874720795284</v>
      </c>
    </row>
    <row r="2951" spans="29:41">
      <c r="AC2951" s="78" t="s">
        <v>53</v>
      </c>
      <c r="AD2951" s="78" t="s">
        <v>20</v>
      </c>
      <c r="AE2951" s="78" t="s">
        <v>72</v>
      </c>
      <c r="AF2951" s="78" t="s">
        <v>51</v>
      </c>
      <c r="AG2951" s="78" t="s">
        <v>534</v>
      </c>
      <c r="AH2951" s="78">
        <v>4.1441249999999998</v>
      </c>
      <c r="AJ2951" s="78" t="s">
        <v>74</v>
      </c>
      <c r="AK2951" s="78" t="s">
        <v>87</v>
      </c>
      <c r="AL2951" s="78" t="s">
        <v>25</v>
      </c>
      <c r="AM2951" s="78" t="s">
        <v>51</v>
      </c>
      <c r="AN2951" s="78" t="s">
        <v>482</v>
      </c>
      <c r="AO2951" s="78">
        <v>2.34960598186067</v>
      </c>
    </row>
    <row r="2952" spans="29:41">
      <c r="AC2952" s="78" t="s">
        <v>53</v>
      </c>
      <c r="AD2952" s="78" t="s">
        <v>20</v>
      </c>
      <c r="AE2952" s="78" t="s">
        <v>72</v>
      </c>
      <c r="AF2952" s="78" t="s">
        <v>51</v>
      </c>
      <c r="AG2952" s="78" t="s">
        <v>535</v>
      </c>
      <c r="AH2952" s="78">
        <v>4.1441249999999998</v>
      </c>
      <c r="AJ2952" s="78" t="s">
        <v>74</v>
      </c>
      <c r="AK2952" s="78" t="s">
        <v>87</v>
      </c>
      <c r="AL2952" s="78" t="s">
        <v>25</v>
      </c>
      <c r="AM2952" s="78" t="s">
        <v>51</v>
      </c>
      <c r="AN2952" s="78" t="s">
        <v>483</v>
      </c>
      <c r="AO2952" s="78">
        <v>2.32201570653978</v>
      </c>
    </row>
    <row r="2953" spans="29:41">
      <c r="AC2953" s="78" t="s">
        <v>53</v>
      </c>
      <c r="AD2953" s="78" t="s">
        <v>20</v>
      </c>
      <c r="AE2953" s="78" t="s">
        <v>72</v>
      </c>
      <c r="AF2953" s="78" t="s">
        <v>51</v>
      </c>
      <c r="AG2953" s="78" t="s">
        <v>536</v>
      </c>
      <c r="AH2953" s="78">
        <v>4.1441249999999998</v>
      </c>
      <c r="AJ2953" s="78" t="s">
        <v>74</v>
      </c>
      <c r="AK2953" s="78" t="s">
        <v>87</v>
      </c>
      <c r="AL2953" s="78" t="s">
        <v>25</v>
      </c>
      <c r="AM2953" s="78" t="s">
        <v>51</v>
      </c>
      <c r="AN2953" s="78" t="s">
        <v>484</v>
      </c>
      <c r="AO2953" s="78">
        <v>2.3744079472292099</v>
      </c>
    </row>
    <row r="2954" spans="29:41">
      <c r="AC2954" s="78" t="s">
        <v>53</v>
      </c>
      <c r="AD2954" s="78" t="s">
        <v>20</v>
      </c>
      <c r="AE2954" s="78" t="s">
        <v>72</v>
      </c>
      <c r="AF2954" s="78" t="s">
        <v>51</v>
      </c>
      <c r="AG2954" s="78" t="s">
        <v>537</v>
      </c>
      <c r="AH2954" s="78">
        <v>4.1122499999999995</v>
      </c>
      <c r="AJ2954" s="78" t="s">
        <v>74</v>
      </c>
      <c r="AK2954" s="78" t="s">
        <v>87</v>
      </c>
      <c r="AL2954" s="78" t="s">
        <v>25</v>
      </c>
      <c r="AM2954" s="78" t="s">
        <v>51</v>
      </c>
      <c r="AN2954" s="78" t="s">
        <v>485</v>
      </c>
      <c r="AO2954" s="78">
        <v>2.35076611353908</v>
      </c>
    </row>
    <row r="2955" spans="29:41">
      <c r="AC2955" s="78" t="s">
        <v>53</v>
      </c>
      <c r="AD2955" s="78" t="s">
        <v>20</v>
      </c>
      <c r="AE2955" s="78" t="s">
        <v>72</v>
      </c>
      <c r="AF2955" s="78" t="s">
        <v>51</v>
      </c>
      <c r="AG2955" s="78" t="s">
        <v>538</v>
      </c>
      <c r="AH2955" s="78">
        <v>4.3035000000000005</v>
      </c>
      <c r="AJ2955" s="78" t="s">
        <v>74</v>
      </c>
      <c r="AK2955" s="78" t="s">
        <v>87</v>
      </c>
      <c r="AL2955" s="78" t="s">
        <v>25</v>
      </c>
      <c r="AM2955" s="78" t="s">
        <v>51</v>
      </c>
      <c r="AN2955" s="78" t="s">
        <v>486</v>
      </c>
      <c r="AO2955" s="78">
        <v>2.34539470834196</v>
      </c>
    </row>
    <row r="2956" spans="29:41">
      <c r="AC2956" s="78" t="s">
        <v>53</v>
      </c>
      <c r="AD2956" s="78" t="s">
        <v>20</v>
      </c>
      <c r="AE2956" s="78" t="s">
        <v>72</v>
      </c>
      <c r="AF2956" s="78" t="s">
        <v>51</v>
      </c>
      <c r="AG2956" s="78" t="s">
        <v>539</v>
      </c>
      <c r="AH2956" s="78">
        <v>4.3035000000000005</v>
      </c>
      <c r="AJ2956" s="78" t="s">
        <v>74</v>
      </c>
      <c r="AK2956" s="78" t="s">
        <v>87</v>
      </c>
      <c r="AL2956" s="78" t="s">
        <v>25</v>
      </c>
      <c r="AM2956" s="78" t="s">
        <v>51</v>
      </c>
      <c r="AN2956" s="78" t="s">
        <v>487</v>
      </c>
      <c r="AO2956" s="78">
        <v>2.3488178258811199</v>
      </c>
    </row>
    <row r="2957" spans="29:41">
      <c r="AC2957" s="78" t="s">
        <v>53</v>
      </c>
      <c r="AD2957" s="78" t="s">
        <v>20</v>
      </c>
      <c r="AE2957" s="78" t="s">
        <v>72</v>
      </c>
      <c r="AF2957" s="78" t="s">
        <v>51</v>
      </c>
      <c r="AG2957" s="78" t="s">
        <v>540</v>
      </c>
      <c r="AH2957" s="78">
        <v>4.3035000000000005</v>
      </c>
      <c r="AJ2957" s="78" t="s">
        <v>74</v>
      </c>
      <c r="AK2957" s="78" t="s">
        <v>87</v>
      </c>
      <c r="AL2957" s="78" t="s">
        <v>25</v>
      </c>
      <c r="AM2957" s="78" t="s">
        <v>51</v>
      </c>
      <c r="AN2957" s="78" t="s">
        <v>749</v>
      </c>
      <c r="AO2957" s="78">
        <v>2.35475537195207</v>
      </c>
    </row>
    <row r="2958" spans="29:41">
      <c r="AC2958" s="78" t="s">
        <v>53</v>
      </c>
      <c r="AD2958" s="78" t="s">
        <v>20</v>
      </c>
      <c r="AE2958" s="78" t="s">
        <v>72</v>
      </c>
      <c r="AF2958" s="78" t="s">
        <v>51</v>
      </c>
      <c r="AG2958" s="78" t="s">
        <v>541</v>
      </c>
      <c r="AH2958" s="78">
        <v>4.4633750000000001</v>
      </c>
      <c r="AJ2958" s="78" t="s">
        <v>74</v>
      </c>
      <c r="AK2958" s="78" t="s">
        <v>87</v>
      </c>
      <c r="AL2958" s="78" t="s">
        <v>25</v>
      </c>
      <c r="AM2958" s="78" t="s">
        <v>51</v>
      </c>
      <c r="AN2958" s="78" t="s">
        <v>750</v>
      </c>
      <c r="AO2958" s="78">
        <v>2.3971487906373001</v>
      </c>
    </row>
    <row r="2959" spans="29:41">
      <c r="AC2959" s="78" t="s">
        <v>53</v>
      </c>
      <c r="AD2959" s="78" t="s">
        <v>20</v>
      </c>
      <c r="AE2959" s="78" t="s">
        <v>72</v>
      </c>
      <c r="AF2959" s="78" t="s">
        <v>51</v>
      </c>
      <c r="AG2959" s="78" t="s">
        <v>542</v>
      </c>
      <c r="AH2959" s="78">
        <v>4.4311250000000006</v>
      </c>
      <c r="AJ2959" s="78" t="s">
        <v>74</v>
      </c>
      <c r="AK2959" s="78" t="s">
        <v>87</v>
      </c>
      <c r="AL2959" s="78" t="s">
        <v>25</v>
      </c>
      <c r="AM2959" s="78" t="s">
        <v>51</v>
      </c>
      <c r="AN2959" s="78" t="s">
        <v>488</v>
      </c>
      <c r="AO2959" s="78">
        <v>2.3636791601900198</v>
      </c>
    </row>
    <row r="2960" spans="29:41">
      <c r="AC2960" s="78" t="s">
        <v>53</v>
      </c>
      <c r="AD2960" s="78" t="s">
        <v>20</v>
      </c>
      <c r="AE2960" s="78" t="s">
        <v>72</v>
      </c>
      <c r="AF2960" s="78" t="s">
        <v>51</v>
      </c>
      <c r="AG2960" s="78" t="s">
        <v>543</v>
      </c>
      <c r="AH2960" s="78">
        <v>4.3993750000000009</v>
      </c>
      <c r="AJ2960" s="78" t="s">
        <v>74</v>
      </c>
      <c r="AK2960" s="78" t="s">
        <v>87</v>
      </c>
      <c r="AL2960" s="78" t="s">
        <v>25</v>
      </c>
      <c r="AM2960" s="78" t="s">
        <v>51</v>
      </c>
      <c r="AN2960" s="78" t="s">
        <v>489</v>
      </c>
      <c r="AO2960" s="78">
        <v>2.3673893775366199</v>
      </c>
    </row>
    <row r="2961" spans="29:41">
      <c r="AC2961" s="78" t="s">
        <v>53</v>
      </c>
      <c r="AD2961" s="78" t="s">
        <v>20</v>
      </c>
      <c r="AE2961" s="78" t="s">
        <v>72</v>
      </c>
      <c r="AF2961" s="78" t="s">
        <v>51</v>
      </c>
      <c r="AG2961" s="78" t="s">
        <v>544</v>
      </c>
      <c r="AH2961" s="78">
        <v>4.3675000000000006</v>
      </c>
      <c r="AJ2961" s="78" t="s">
        <v>74</v>
      </c>
      <c r="AK2961" s="78" t="s">
        <v>87</v>
      </c>
      <c r="AL2961" s="78" t="s">
        <v>25</v>
      </c>
      <c r="AM2961" s="78" t="s">
        <v>51</v>
      </c>
      <c r="AN2961" s="78" t="s">
        <v>423</v>
      </c>
      <c r="AO2961" s="78">
        <v>2.3666135397931098</v>
      </c>
    </row>
    <row r="2962" spans="29:41">
      <c r="AC2962" s="78" t="s">
        <v>53</v>
      </c>
      <c r="AD2962" s="78" t="s">
        <v>20</v>
      </c>
      <c r="AE2962" s="78" t="s">
        <v>72</v>
      </c>
      <c r="AF2962" s="78" t="s">
        <v>51</v>
      </c>
      <c r="AG2962" s="78" t="s">
        <v>545</v>
      </c>
      <c r="AH2962" s="78">
        <v>4.3675000000000006</v>
      </c>
      <c r="AJ2962" s="78" t="s">
        <v>74</v>
      </c>
      <c r="AK2962" s="78" t="s">
        <v>87</v>
      </c>
      <c r="AL2962" s="78" t="s">
        <v>25</v>
      </c>
      <c r="AM2962" s="78" t="s">
        <v>51</v>
      </c>
      <c r="AN2962" s="78" t="s">
        <v>490</v>
      </c>
      <c r="AO2962" s="78">
        <v>2.3803157009582701</v>
      </c>
    </row>
    <row r="2963" spans="29:41">
      <c r="AC2963" s="78" t="s">
        <v>53</v>
      </c>
      <c r="AD2963" s="78" t="s">
        <v>20</v>
      </c>
      <c r="AE2963" s="78" t="s">
        <v>72</v>
      </c>
      <c r="AF2963" s="78" t="s">
        <v>51</v>
      </c>
      <c r="AG2963" s="78" t="s">
        <v>546</v>
      </c>
      <c r="AH2963" s="78">
        <v>4.4314999999999998</v>
      </c>
      <c r="AJ2963" s="78" t="s">
        <v>74</v>
      </c>
      <c r="AK2963" s="78" t="s">
        <v>87</v>
      </c>
      <c r="AL2963" s="78" t="s">
        <v>25</v>
      </c>
      <c r="AM2963" s="78" t="s">
        <v>51</v>
      </c>
      <c r="AN2963" s="78" t="s">
        <v>751</v>
      </c>
      <c r="AO2963" s="78">
        <v>2.3963402358760302</v>
      </c>
    </row>
    <row r="2964" spans="29:41">
      <c r="AC2964" s="78" t="s">
        <v>53</v>
      </c>
      <c r="AD2964" s="78" t="s">
        <v>20</v>
      </c>
      <c r="AE2964" s="78" t="s">
        <v>72</v>
      </c>
      <c r="AF2964" s="78" t="s">
        <v>51</v>
      </c>
      <c r="AG2964" s="78" t="s">
        <v>547</v>
      </c>
      <c r="AH2964" s="78">
        <v>4.2717499999999999</v>
      </c>
      <c r="AJ2964" s="78" t="s">
        <v>74</v>
      </c>
      <c r="AK2964" s="78" t="s">
        <v>87</v>
      </c>
      <c r="AL2964" s="78" t="s">
        <v>25</v>
      </c>
      <c r="AM2964" s="78" t="s">
        <v>51</v>
      </c>
      <c r="AN2964" s="78" t="s">
        <v>752</v>
      </c>
      <c r="AO2964" s="78">
        <v>2.3497707860559398</v>
      </c>
    </row>
    <row r="2965" spans="29:41">
      <c r="AC2965" s="78" t="s">
        <v>53</v>
      </c>
      <c r="AD2965" s="78" t="s">
        <v>20</v>
      </c>
      <c r="AE2965" s="78" t="s">
        <v>72</v>
      </c>
      <c r="AF2965" s="78" t="s">
        <v>51</v>
      </c>
      <c r="AG2965" s="78" t="s">
        <v>548</v>
      </c>
      <c r="AH2965" s="78">
        <v>4.3993750000000009</v>
      </c>
      <c r="AJ2965" s="78" t="s">
        <v>74</v>
      </c>
      <c r="AK2965" s="78" t="s">
        <v>87</v>
      </c>
      <c r="AL2965" s="78" t="s">
        <v>25</v>
      </c>
      <c r="AM2965" s="78" t="s">
        <v>51</v>
      </c>
      <c r="AN2965" s="78" t="s">
        <v>491</v>
      </c>
      <c r="AO2965" s="78">
        <v>2.3452158200023101</v>
      </c>
    </row>
    <row r="2966" spans="29:41">
      <c r="AC2966" s="78" t="s">
        <v>53</v>
      </c>
      <c r="AD2966" s="78" t="s">
        <v>20</v>
      </c>
      <c r="AE2966" s="78" t="s">
        <v>72</v>
      </c>
      <c r="AF2966" s="78" t="s">
        <v>51</v>
      </c>
      <c r="AG2966" s="78" t="s">
        <v>549</v>
      </c>
      <c r="AH2966" s="78">
        <v>4.3035000000000005</v>
      </c>
      <c r="AJ2966" s="78" t="s">
        <v>74</v>
      </c>
      <c r="AK2966" s="78" t="s">
        <v>87</v>
      </c>
      <c r="AL2966" s="78" t="s">
        <v>25</v>
      </c>
      <c r="AM2966" s="78" t="s">
        <v>51</v>
      </c>
      <c r="AN2966" s="78" t="s">
        <v>492</v>
      </c>
      <c r="AO2966" s="78">
        <v>2.3842872829241002</v>
      </c>
    </row>
    <row r="2967" spans="29:41">
      <c r="AC2967" s="78" t="s">
        <v>53</v>
      </c>
      <c r="AD2967" s="78" t="s">
        <v>20</v>
      </c>
      <c r="AE2967" s="78" t="s">
        <v>72</v>
      </c>
      <c r="AF2967" s="78" t="s">
        <v>51</v>
      </c>
      <c r="AG2967" s="78" t="s">
        <v>550</v>
      </c>
      <c r="AH2967" s="78">
        <v>4.3035000000000005</v>
      </c>
      <c r="AJ2967" s="78" t="s">
        <v>74</v>
      </c>
      <c r="AK2967" s="78" t="s">
        <v>87</v>
      </c>
      <c r="AL2967" s="78" t="s">
        <v>25</v>
      </c>
      <c r="AM2967" s="78" t="s">
        <v>51</v>
      </c>
      <c r="AN2967" s="78" t="s">
        <v>753</v>
      </c>
      <c r="AO2967" s="78">
        <v>2.4473125668689599</v>
      </c>
    </row>
    <row r="2968" spans="29:41">
      <c r="AC2968" s="78" t="s">
        <v>53</v>
      </c>
      <c r="AD2968" s="78" t="s">
        <v>20</v>
      </c>
      <c r="AE2968" s="78" t="s">
        <v>72</v>
      </c>
      <c r="AF2968" s="78" t="s">
        <v>51</v>
      </c>
      <c r="AG2968" s="78" t="s">
        <v>551</v>
      </c>
      <c r="AH2968" s="78">
        <v>4.3035000000000005</v>
      </c>
      <c r="AJ2968" s="78" t="s">
        <v>74</v>
      </c>
      <c r="AK2968" s="78" t="s">
        <v>87</v>
      </c>
      <c r="AL2968" s="78" t="s">
        <v>25</v>
      </c>
      <c r="AM2968" s="78" t="s">
        <v>51</v>
      </c>
      <c r="AN2968" s="78" t="s">
        <v>493</v>
      </c>
      <c r="AO2968" s="78">
        <v>2.44286053650336</v>
      </c>
    </row>
    <row r="2969" spans="29:41">
      <c r="AC2969" s="78" t="s">
        <v>53</v>
      </c>
      <c r="AD2969" s="78" t="s">
        <v>20</v>
      </c>
      <c r="AE2969" s="78" t="s">
        <v>72</v>
      </c>
      <c r="AF2969" s="78" t="s">
        <v>51</v>
      </c>
      <c r="AG2969" s="78" t="s">
        <v>552</v>
      </c>
      <c r="AH2969" s="78">
        <v>4.2717499999999999</v>
      </c>
      <c r="AJ2969" s="78" t="s">
        <v>74</v>
      </c>
      <c r="AK2969" s="78" t="s">
        <v>87</v>
      </c>
      <c r="AL2969" s="78" t="s">
        <v>25</v>
      </c>
      <c r="AM2969" s="78" t="s">
        <v>51</v>
      </c>
      <c r="AN2969" s="78" t="s">
        <v>494</v>
      </c>
      <c r="AO2969" s="78">
        <v>2.4759496030778601</v>
      </c>
    </row>
    <row r="2970" spans="29:41">
      <c r="AC2970" s="78" t="s">
        <v>53</v>
      </c>
      <c r="AD2970" s="78" t="s">
        <v>20</v>
      </c>
      <c r="AE2970" s="78" t="s">
        <v>72</v>
      </c>
      <c r="AF2970" s="78" t="s">
        <v>51</v>
      </c>
      <c r="AG2970" s="78" t="s">
        <v>553</v>
      </c>
      <c r="AH2970" s="78">
        <v>4.3675000000000006</v>
      </c>
      <c r="AJ2970" s="78" t="s">
        <v>74</v>
      </c>
      <c r="AK2970" s="78" t="s">
        <v>87</v>
      </c>
      <c r="AL2970" s="78" t="s">
        <v>25</v>
      </c>
      <c r="AM2970" s="78" t="s">
        <v>51</v>
      </c>
      <c r="AN2970" s="78" t="s">
        <v>495</v>
      </c>
      <c r="AO2970" s="78">
        <v>2.44524956278855</v>
      </c>
    </row>
    <row r="2971" spans="29:41">
      <c r="AC2971" s="78" t="s">
        <v>53</v>
      </c>
      <c r="AD2971" s="78" t="s">
        <v>20</v>
      </c>
      <c r="AE2971" s="78" t="s">
        <v>72</v>
      </c>
      <c r="AF2971" s="78" t="s">
        <v>51</v>
      </c>
      <c r="AG2971" s="78" t="s">
        <v>554</v>
      </c>
      <c r="AH2971" s="78">
        <v>4.2398749999999996</v>
      </c>
      <c r="AJ2971" s="78" t="s">
        <v>74</v>
      </c>
      <c r="AK2971" s="78" t="s">
        <v>87</v>
      </c>
      <c r="AL2971" s="78" t="s">
        <v>25</v>
      </c>
      <c r="AM2971" s="78" t="s">
        <v>51</v>
      </c>
      <c r="AN2971" s="78" t="s">
        <v>496</v>
      </c>
      <c r="AO2971" s="78">
        <v>2.45404364191142</v>
      </c>
    </row>
    <row r="2972" spans="29:41">
      <c r="AC2972" s="78" t="s">
        <v>53</v>
      </c>
      <c r="AD2972" s="78" t="s">
        <v>20</v>
      </c>
      <c r="AE2972" s="78" t="s">
        <v>72</v>
      </c>
      <c r="AF2972" s="78" t="s">
        <v>51</v>
      </c>
      <c r="AG2972" s="78" t="s">
        <v>555</v>
      </c>
      <c r="AH2972" s="78">
        <v>4.3035000000000005</v>
      </c>
      <c r="AJ2972" s="78" t="s">
        <v>74</v>
      </c>
      <c r="AK2972" s="78" t="s">
        <v>87</v>
      </c>
      <c r="AL2972" s="78" t="s">
        <v>25</v>
      </c>
      <c r="AM2972" s="78" t="s">
        <v>51</v>
      </c>
      <c r="AN2972" s="78" t="s">
        <v>497</v>
      </c>
      <c r="AO2972" s="78">
        <v>2.45470500500842</v>
      </c>
    </row>
    <row r="2973" spans="29:41">
      <c r="AC2973" s="78" t="s">
        <v>53</v>
      </c>
      <c r="AD2973" s="78" t="s">
        <v>20</v>
      </c>
      <c r="AE2973" s="78" t="s">
        <v>72</v>
      </c>
      <c r="AF2973" s="78" t="s">
        <v>51</v>
      </c>
      <c r="AG2973" s="78" t="s">
        <v>556</v>
      </c>
      <c r="AH2973" s="78">
        <v>4.4311250000000006</v>
      </c>
      <c r="AJ2973" s="78" t="s">
        <v>74</v>
      </c>
      <c r="AK2973" s="78" t="s">
        <v>87</v>
      </c>
      <c r="AL2973" s="78" t="s">
        <v>25</v>
      </c>
      <c r="AM2973" s="78" t="s">
        <v>51</v>
      </c>
      <c r="AN2973" s="78" t="s">
        <v>498</v>
      </c>
      <c r="AO2973" s="78">
        <v>2.4705200282403998</v>
      </c>
    </row>
    <row r="2974" spans="29:41">
      <c r="AC2974" s="78" t="s">
        <v>53</v>
      </c>
      <c r="AD2974" s="78" t="s">
        <v>20</v>
      </c>
      <c r="AE2974" s="78" t="s">
        <v>72</v>
      </c>
      <c r="AF2974" s="78" t="s">
        <v>51</v>
      </c>
      <c r="AG2974" s="78" t="s">
        <v>557</v>
      </c>
      <c r="AH2974" s="78">
        <v>4.4314999999999998</v>
      </c>
      <c r="AJ2974" s="78" t="s">
        <v>74</v>
      </c>
      <c r="AK2974" s="78" t="s">
        <v>87</v>
      </c>
      <c r="AL2974" s="78" t="s">
        <v>25</v>
      </c>
      <c r="AM2974" s="78" t="s">
        <v>51</v>
      </c>
      <c r="AN2974" s="78" t="s">
        <v>499</v>
      </c>
      <c r="AO2974" s="78">
        <v>2.4677434570547199</v>
      </c>
    </row>
    <row r="2975" spans="29:41">
      <c r="AC2975" s="78" t="s">
        <v>53</v>
      </c>
      <c r="AD2975" s="78" t="s">
        <v>20</v>
      </c>
      <c r="AE2975" s="78" t="s">
        <v>72</v>
      </c>
      <c r="AF2975" s="78" t="s">
        <v>51</v>
      </c>
      <c r="AG2975" s="78" t="s">
        <v>558</v>
      </c>
      <c r="AH2975" s="78">
        <v>4.4633750000000001</v>
      </c>
      <c r="AJ2975" s="78" t="s">
        <v>74</v>
      </c>
      <c r="AK2975" s="78" t="s">
        <v>87</v>
      </c>
      <c r="AL2975" s="78" t="s">
        <v>25</v>
      </c>
      <c r="AM2975" s="78" t="s">
        <v>51</v>
      </c>
      <c r="AN2975" s="78" t="s">
        <v>500</v>
      </c>
      <c r="AO2975" s="78">
        <v>2.4472298243210799</v>
      </c>
    </row>
    <row r="2976" spans="29:41">
      <c r="AC2976" s="78" t="s">
        <v>53</v>
      </c>
      <c r="AD2976" s="78" t="s">
        <v>20</v>
      </c>
      <c r="AE2976" s="78" t="s">
        <v>72</v>
      </c>
      <c r="AF2976" s="78" t="s">
        <v>51</v>
      </c>
      <c r="AG2976" s="78" t="s">
        <v>559</v>
      </c>
      <c r="AH2976" s="78">
        <v>4.4951249999999998</v>
      </c>
      <c r="AJ2976" s="78" t="s">
        <v>74</v>
      </c>
      <c r="AK2976" s="78" t="s">
        <v>87</v>
      </c>
      <c r="AL2976" s="78" t="s">
        <v>25</v>
      </c>
      <c r="AM2976" s="78" t="s">
        <v>51</v>
      </c>
      <c r="AN2976" s="78" t="s">
        <v>501</v>
      </c>
      <c r="AO2976" s="78">
        <v>2.4229898766104698</v>
      </c>
    </row>
    <row r="2977" spans="29:41">
      <c r="AC2977" s="78" t="s">
        <v>53</v>
      </c>
      <c r="AD2977" s="78" t="s">
        <v>20</v>
      </c>
      <c r="AE2977" s="78" t="s">
        <v>72</v>
      </c>
      <c r="AF2977" s="78" t="s">
        <v>51</v>
      </c>
      <c r="AG2977" s="78" t="s">
        <v>560</v>
      </c>
      <c r="AH2977" s="78">
        <v>4.4633750000000001</v>
      </c>
      <c r="AJ2977" s="78" t="s">
        <v>74</v>
      </c>
      <c r="AK2977" s="78" t="s">
        <v>87</v>
      </c>
      <c r="AL2977" s="78" t="s">
        <v>25</v>
      </c>
      <c r="AM2977" s="78" t="s">
        <v>51</v>
      </c>
      <c r="AN2977" s="78" t="s">
        <v>502</v>
      </c>
      <c r="AO2977" s="78">
        <v>2.35417709036851</v>
      </c>
    </row>
    <row r="2978" spans="29:41">
      <c r="AC2978" s="78" t="s">
        <v>53</v>
      </c>
      <c r="AD2978" s="78" t="s">
        <v>20</v>
      </c>
      <c r="AE2978" s="78" t="s">
        <v>72</v>
      </c>
      <c r="AF2978" s="78" t="s">
        <v>51</v>
      </c>
      <c r="AG2978" s="78" t="s">
        <v>561</v>
      </c>
      <c r="AH2978" s="78">
        <v>4.4633750000000001</v>
      </c>
      <c r="AJ2978" s="78" t="s">
        <v>74</v>
      </c>
      <c r="AK2978" s="78" t="s">
        <v>87</v>
      </c>
      <c r="AL2978" s="78" t="s">
        <v>25</v>
      </c>
      <c r="AM2978" s="78" t="s">
        <v>51</v>
      </c>
      <c r="AN2978" s="78" t="s">
        <v>422</v>
      </c>
      <c r="AO2978" s="78">
        <v>2.3204598577200901</v>
      </c>
    </row>
    <row r="2979" spans="29:41">
      <c r="AC2979" s="78" t="s">
        <v>53</v>
      </c>
      <c r="AD2979" s="78" t="s">
        <v>20</v>
      </c>
      <c r="AE2979" s="78" t="s">
        <v>72</v>
      </c>
      <c r="AF2979" s="78" t="s">
        <v>51</v>
      </c>
      <c r="AG2979" s="78" t="s">
        <v>562</v>
      </c>
      <c r="AH2979" s="78">
        <v>4.4311250000000006</v>
      </c>
      <c r="AJ2979" s="78" t="s">
        <v>74</v>
      </c>
      <c r="AK2979" s="78" t="s">
        <v>87</v>
      </c>
      <c r="AL2979" s="78" t="s">
        <v>25</v>
      </c>
      <c r="AM2979" s="78" t="s">
        <v>51</v>
      </c>
      <c r="AN2979" s="78" t="s">
        <v>503</v>
      </c>
      <c r="AO2979" s="78">
        <v>2.3036095465699198</v>
      </c>
    </row>
    <row r="2980" spans="29:41">
      <c r="AC2980" s="78" t="s">
        <v>53</v>
      </c>
      <c r="AD2980" s="78" t="s">
        <v>20</v>
      </c>
      <c r="AE2980" s="78" t="s">
        <v>72</v>
      </c>
      <c r="AF2980" s="78" t="s">
        <v>51</v>
      </c>
      <c r="AG2980" s="78" t="s">
        <v>563</v>
      </c>
      <c r="AH2980" s="78">
        <v>4.4951249999999998</v>
      </c>
      <c r="AJ2980" s="78" t="s">
        <v>74</v>
      </c>
      <c r="AK2980" s="78" t="s">
        <v>87</v>
      </c>
      <c r="AL2980" s="78" t="s">
        <v>25</v>
      </c>
      <c r="AM2980" s="78" t="s">
        <v>51</v>
      </c>
      <c r="AN2980" s="78" t="s">
        <v>504</v>
      </c>
      <c r="AO2980" s="78">
        <v>2.3175565245512799</v>
      </c>
    </row>
    <row r="2981" spans="29:41">
      <c r="AC2981" s="78" t="s">
        <v>53</v>
      </c>
      <c r="AD2981" s="78" t="s">
        <v>20</v>
      </c>
      <c r="AE2981" s="78" t="s">
        <v>72</v>
      </c>
      <c r="AF2981" s="78" t="s">
        <v>51</v>
      </c>
      <c r="AG2981" s="78" t="s">
        <v>564</v>
      </c>
      <c r="AH2981" s="78">
        <v>4.4311250000000006</v>
      </c>
      <c r="AJ2981" s="78" t="s">
        <v>74</v>
      </c>
      <c r="AK2981" s="78" t="s">
        <v>87</v>
      </c>
      <c r="AL2981" s="78" t="s">
        <v>25</v>
      </c>
      <c r="AM2981" s="78" t="s">
        <v>51</v>
      </c>
      <c r="AN2981" s="78" t="s">
        <v>505</v>
      </c>
      <c r="AO2981" s="78">
        <v>2.3157936267169901</v>
      </c>
    </row>
    <row r="2982" spans="29:41">
      <c r="AC2982" s="78" t="s">
        <v>53</v>
      </c>
      <c r="AD2982" s="78" t="s">
        <v>20</v>
      </c>
      <c r="AE2982" s="78" t="s">
        <v>72</v>
      </c>
      <c r="AF2982" s="78" t="s">
        <v>51</v>
      </c>
      <c r="AG2982" s="78" t="s">
        <v>565</v>
      </c>
      <c r="AH2982" s="78">
        <v>4.3993750000000009</v>
      </c>
      <c r="AJ2982" s="78" t="s">
        <v>74</v>
      </c>
      <c r="AK2982" s="78" t="s">
        <v>87</v>
      </c>
      <c r="AL2982" s="78" t="s">
        <v>25</v>
      </c>
      <c r="AM2982" s="78" t="s">
        <v>51</v>
      </c>
      <c r="AN2982" s="78" t="s">
        <v>421</v>
      </c>
      <c r="AO2982" s="78">
        <v>2.3450247275103502</v>
      </c>
    </row>
    <row r="2983" spans="29:41">
      <c r="AC2983" s="78" t="s">
        <v>53</v>
      </c>
      <c r="AD2983" s="78" t="s">
        <v>20</v>
      </c>
      <c r="AE2983" s="78" t="s">
        <v>72</v>
      </c>
      <c r="AF2983" s="78" t="s">
        <v>51</v>
      </c>
      <c r="AG2983" s="78" t="s">
        <v>566</v>
      </c>
      <c r="AH2983" s="78">
        <v>4.3675000000000006</v>
      </c>
      <c r="AJ2983" s="78" t="s">
        <v>74</v>
      </c>
      <c r="AK2983" s="78" t="s">
        <v>87</v>
      </c>
      <c r="AL2983" s="78" t="s">
        <v>25</v>
      </c>
      <c r="AM2983" s="78" t="s">
        <v>51</v>
      </c>
      <c r="AN2983" s="78" t="s">
        <v>506</v>
      </c>
      <c r="AO2983" s="78">
        <v>2.3593230360377899</v>
      </c>
    </row>
    <row r="2984" spans="29:41">
      <c r="AC2984" s="78" t="s">
        <v>53</v>
      </c>
      <c r="AD2984" s="78" t="s">
        <v>20</v>
      </c>
      <c r="AE2984" s="78" t="s">
        <v>72</v>
      </c>
      <c r="AF2984" s="78" t="s">
        <v>51</v>
      </c>
      <c r="AG2984" s="78" t="s">
        <v>567</v>
      </c>
      <c r="AH2984" s="78">
        <v>4.3993750000000009</v>
      </c>
      <c r="AJ2984" s="78" t="s">
        <v>74</v>
      </c>
      <c r="AK2984" s="78" t="s">
        <v>87</v>
      </c>
      <c r="AL2984" s="78" t="s">
        <v>25</v>
      </c>
      <c r="AM2984" s="78" t="s">
        <v>51</v>
      </c>
      <c r="AN2984" s="78" t="s">
        <v>507</v>
      </c>
      <c r="AO2984" s="78">
        <v>2.4007367882510802</v>
      </c>
    </row>
    <row r="2985" spans="29:41">
      <c r="AC2985" s="78" t="s">
        <v>53</v>
      </c>
      <c r="AD2985" s="78" t="s">
        <v>20</v>
      </c>
      <c r="AE2985" s="78" t="s">
        <v>72</v>
      </c>
      <c r="AF2985" s="78" t="s">
        <v>51</v>
      </c>
      <c r="AG2985" s="78" t="s">
        <v>568</v>
      </c>
      <c r="AH2985" s="78">
        <v>4.3675000000000006</v>
      </c>
      <c r="AJ2985" s="78" t="s">
        <v>74</v>
      </c>
      <c r="AK2985" s="78" t="s">
        <v>87</v>
      </c>
      <c r="AL2985" s="78" t="s">
        <v>25</v>
      </c>
      <c r="AM2985" s="78" t="s">
        <v>51</v>
      </c>
      <c r="AN2985" s="78" t="s">
        <v>508</v>
      </c>
      <c r="AO2985" s="78">
        <v>2.4230964984502701</v>
      </c>
    </row>
    <row r="2986" spans="29:41">
      <c r="AC2986" s="78" t="s">
        <v>53</v>
      </c>
      <c r="AD2986" s="78" t="s">
        <v>20</v>
      </c>
      <c r="AE2986" s="78" t="s">
        <v>72</v>
      </c>
      <c r="AF2986" s="78" t="s">
        <v>51</v>
      </c>
      <c r="AG2986" s="78" t="s">
        <v>569</v>
      </c>
      <c r="AH2986" s="78">
        <v>4.2717499999999999</v>
      </c>
      <c r="AJ2986" s="78" t="s">
        <v>74</v>
      </c>
      <c r="AK2986" s="78" t="s">
        <v>87</v>
      </c>
      <c r="AL2986" s="78" t="s">
        <v>25</v>
      </c>
      <c r="AM2986" s="78" t="s">
        <v>51</v>
      </c>
      <c r="AN2986" s="78" t="s">
        <v>509</v>
      </c>
      <c r="AO2986" s="78">
        <v>2.4425561319038702</v>
      </c>
    </row>
    <row r="2987" spans="29:41">
      <c r="AC2987" s="78" t="s">
        <v>53</v>
      </c>
      <c r="AD2987" s="78" t="s">
        <v>20</v>
      </c>
      <c r="AE2987" s="78" t="s">
        <v>72</v>
      </c>
      <c r="AF2987" s="78" t="s">
        <v>51</v>
      </c>
      <c r="AG2987" s="78" t="s">
        <v>570</v>
      </c>
      <c r="AH2987" s="78">
        <v>4.33575</v>
      </c>
      <c r="AJ2987" s="78" t="s">
        <v>74</v>
      </c>
      <c r="AK2987" s="78" t="s">
        <v>87</v>
      </c>
      <c r="AL2987" s="78" t="s">
        <v>25</v>
      </c>
      <c r="AM2987" s="78" t="s">
        <v>51</v>
      </c>
      <c r="AN2987" s="78" t="s">
        <v>510</v>
      </c>
      <c r="AO2987" s="78">
        <v>2.4494735846374298</v>
      </c>
    </row>
    <row r="2988" spans="29:41">
      <c r="AC2988" s="78" t="s">
        <v>53</v>
      </c>
      <c r="AD2988" s="78" t="s">
        <v>20</v>
      </c>
      <c r="AE2988" s="78" t="s">
        <v>72</v>
      </c>
      <c r="AF2988" s="78" t="s">
        <v>51</v>
      </c>
      <c r="AG2988" s="78" t="s">
        <v>571</v>
      </c>
      <c r="AH2988" s="78">
        <v>4.4311250000000006</v>
      </c>
      <c r="AJ2988" s="78" t="s">
        <v>74</v>
      </c>
      <c r="AK2988" s="78" t="s">
        <v>87</v>
      </c>
      <c r="AL2988" s="78" t="s">
        <v>25</v>
      </c>
      <c r="AM2988" s="78" t="s">
        <v>51</v>
      </c>
      <c r="AN2988" s="78" t="s">
        <v>511</v>
      </c>
      <c r="AO2988" s="78">
        <v>2.4735241202306701</v>
      </c>
    </row>
    <row r="2989" spans="29:41">
      <c r="AC2989" s="78" t="s">
        <v>53</v>
      </c>
      <c r="AD2989" s="78" t="s">
        <v>20</v>
      </c>
      <c r="AE2989" s="78" t="s">
        <v>72</v>
      </c>
      <c r="AF2989" s="78" t="s">
        <v>51</v>
      </c>
      <c r="AG2989" s="78" t="s">
        <v>572</v>
      </c>
      <c r="AH2989" s="78">
        <v>4.3675000000000006</v>
      </c>
      <c r="AJ2989" s="78" t="s">
        <v>74</v>
      </c>
      <c r="AK2989" s="78" t="s">
        <v>87</v>
      </c>
      <c r="AL2989" s="78" t="s">
        <v>25</v>
      </c>
      <c r="AM2989" s="78" t="s">
        <v>51</v>
      </c>
      <c r="AN2989" s="78" t="s">
        <v>512</v>
      </c>
      <c r="AO2989" s="78">
        <v>2.49089475229058</v>
      </c>
    </row>
    <row r="2990" spans="29:41">
      <c r="AC2990" s="78" t="s">
        <v>53</v>
      </c>
      <c r="AD2990" s="78" t="s">
        <v>20</v>
      </c>
      <c r="AE2990" s="78" t="s">
        <v>72</v>
      </c>
      <c r="AF2990" s="78" t="s">
        <v>51</v>
      </c>
      <c r="AG2990" s="78" t="s">
        <v>573</v>
      </c>
      <c r="AH2990" s="78">
        <v>4.4311250000000006</v>
      </c>
      <c r="AJ2990" s="78" t="s">
        <v>74</v>
      </c>
      <c r="AK2990" s="78" t="s">
        <v>87</v>
      </c>
      <c r="AL2990" s="78" t="s">
        <v>25</v>
      </c>
      <c r="AM2990" s="78" t="s">
        <v>51</v>
      </c>
      <c r="AN2990" s="78" t="s">
        <v>513</v>
      </c>
      <c r="AO2990" s="78">
        <v>2.4566708605099099</v>
      </c>
    </row>
    <row r="2991" spans="29:41">
      <c r="AC2991" s="78" t="s">
        <v>53</v>
      </c>
      <c r="AD2991" s="78" t="s">
        <v>20</v>
      </c>
      <c r="AE2991" s="78" t="s">
        <v>72</v>
      </c>
      <c r="AF2991" s="78" t="s">
        <v>51</v>
      </c>
      <c r="AG2991" s="78" t="s">
        <v>574</v>
      </c>
      <c r="AH2991" s="78">
        <v>4.3675000000000006</v>
      </c>
      <c r="AJ2991" s="78" t="s">
        <v>74</v>
      </c>
      <c r="AK2991" s="78" t="s">
        <v>87</v>
      </c>
      <c r="AL2991" s="78" t="s">
        <v>25</v>
      </c>
      <c r="AM2991" s="78" t="s">
        <v>51</v>
      </c>
      <c r="AN2991" s="78" t="s">
        <v>514</v>
      </c>
      <c r="AO2991" s="78">
        <v>2.5031538447013899</v>
      </c>
    </row>
    <row r="2992" spans="29:41">
      <c r="AC2992" s="78" t="s">
        <v>53</v>
      </c>
      <c r="AD2992" s="78" t="s">
        <v>20</v>
      </c>
      <c r="AE2992" s="78" t="s">
        <v>72</v>
      </c>
      <c r="AF2992" s="78" t="s">
        <v>51</v>
      </c>
      <c r="AG2992" s="78" t="s">
        <v>575</v>
      </c>
      <c r="AH2992" s="78">
        <v>4.4951249999999998</v>
      </c>
      <c r="AJ2992" s="78" t="s">
        <v>74</v>
      </c>
      <c r="AK2992" s="78" t="s">
        <v>87</v>
      </c>
      <c r="AL2992" s="78" t="s">
        <v>25</v>
      </c>
      <c r="AM2992" s="78" t="s">
        <v>51</v>
      </c>
      <c r="AN2992" s="78" t="s">
        <v>515</v>
      </c>
      <c r="AO2992" s="78">
        <v>2.48665049817154</v>
      </c>
    </row>
    <row r="2993" spans="29:41">
      <c r="AC2993" s="78" t="s">
        <v>53</v>
      </c>
      <c r="AD2993" s="78" t="s">
        <v>20</v>
      </c>
      <c r="AE2993" s="78" t="s">
        <v>72</v>
      </c>
      <c r="AF2993" s="78" t="s">
        <v>51</v>
      </c>
      <c r="AG2993" s="78" t="s">
        <v>576</v>
      </c>
      <c r="AH2993" s="78">
        <v>4.4633750000000001</v>
      </c>
      <c r="AJ2993" s="78" t="s">
        <v>74</v>
      </c>
      <c r="AK2993" s="78" t="s">
        <v>87</v>
      </c>
      <c r="AL2993" s="78" t="s">
        <v>25</v>
      </c>
      <c r="AM2993" s="78" t="s">
        <v>51</v>
      </c>
      <c r="AN2993" s="78" t="s">
        <v>516</v>
      </c>
      <c r="AO2993" s="78">
        <v>2.46551867128733</v>
      </c>
    </row>
    <row r="2994" spans="29:41">
      <c r="AC2994" s="78" t="s">
        <v>53</v>
      </c>
      <c r="AD2994" s="78" t="s">
        <v>20</v>
      </c>
      <c r="AE2994" s="78" t="s">
        <v>72</v>
      </c>
      <c r="AF2994" s="78" t="s">
        <v>51</v>
      </c>
      <c r="AG2994" s="78" t="s">
        <v>577</v>
      </c>
      <c r="AH2994" s="78">
        <v>4.4633750000000001</v>
      </c>
      <c r="AJ2994" s="78" t="s">
        <v>74</v>
      </c>
      <c r="AK2994" s="78" t="s">
        <v>87</v>
      </c>
      <c r="AL2994" s="78" t="s">
        <v>25</v>
      </c>
      <c r="AM2994" s="78" t="s">
        <v>51</v>
      </c>
      <c r="AN2994" s="78" t="s">
        <v>517</v>
      </c>
      <c r="AO2994" s="78">
        <v>2.4639577006004401</v>
      </c>
    </row>
    <row r="2995" spans="29:41">
      <c r="AC2995" s="78" t="s">
        <v>53</v>
      </c>
      <c r="AD2995" s="78" t="s">
        <v>20</v>
      </c>
      <c r="AE2995" s="78" t="s">
        <v>72</v>
      </c>
      <c r="AF2995" s="78" t="s">
        <v>51</v>
      </c>
      <c r="AG2995" s="78" t="s">
        <v>578</v>
      </c>
      <c r="AH2995" s="78">
        <v>4.4951249999999998</v>
      </c>
      <c r="AJ2995" s="78" t="s">
        <v>74</v>
      </c>
      <c r="AK2995" s="78" t="s">
        <v>87</v>
      </c>
      <c r="AL2995" s="78" t="s">
        <v>25</v>
      </c>
      <c r="AM2995" s="78" t="s">
        <v>51</v>
      </c>
      <c r="AN2995" s="78" t="s">
        <v>518</v>
      </c>
      <c r="AO2995" s="78">
        <v>2.45827138639036</v>
      </c>
    </row>
    <row r="2996" spans="29:41">
      <c r="AC2996" s="78" t="s">
        <v>53</v>
      </c>
      <c r="AD2996" s="78" t="s">
        <v>20</v>
      </c>
      <c r="AE2996" s="78" t="s">
        <v>72</v>
      </c>
      <c r="AF2996" s="78" t="s">
        <v>51</v>
      </c>
      <c r="AG2996" s="78" t="s">
        <v>579</v>
      </c>
      <c r="AH2996" s="78">
        <v>4.5270000000000001</v>
      </c>
      <c r="AJ2996" s="78" t="s">
        <v>74</v>
      </c>
      <c r="AK2996" s="78" t="s">
        <v>87</v>
      </c>
      <c r="AL2996" s="78" t="s">
        <v>25</v>
      </c>
      <c r="AM2996" s="78" t="s">
        <v>51</v>
      </c>
      <c r="AN2996" s="78" t="s">
        <v>519</v>
      </c>
      <c r="AO2996" s="78">
        <v>2.4486777045586599</v>
      </c>
    </row>
    <row r="2997" spans="29:41">
      <c r="AC2997" s="78" t="s">
        <v>53</v>
      </c>
      <c r="AD2997" s="78" t="s">
        <v>20</v>
      </c>
      <c r="AE2997" s="78" t="s">
        <v>72</v>
      </c>
      <c r="AF2997" s="78" t="s">
        <v>51</v>
      </c>
      <c r="AG2997" s="78" t="s">
        <v>580</v>
      </c>
      <c r="AH2997" s="78">
        <v>4.4311250000000006</v>
      </c>
      <c r="AJ2997" s="78" t="s">
        <v>74</v>
      </c>
      <c r="AK2997" s="78" t="s">
        <v>87</v>
      </c>
      <c r="AL2997" s="78" t="s">
        <v>25</v>
      </c>
      <c r="AM2997" s="78" t="s">
        <v>51</v>
      </c>
      <c r="AN2997" s="78" t="s">
        <v>520</v>
      </c>
      <c r="AO2997" s="78">
        <v>2.46526496945889</v>
      </c>
    </row>
    <row r="2998" spans="29:41">
      <c r="AC2998" s="78" t="s">
        <v>53</v>
      </c>
      <c r="AD2998" s="78" t="s">
        <v>20</v>
      </c>
      <c r="AE2998" s="78" t="s">
        <v>72</v>
      </c>
      <c r="AF2998" s="78" t="s">
        <v>51</v>
      </c>
      <c r="AG2998" s="78" t="s">
        <v>581</v>
      </c>
      <c r="AH2998" s="78">
        <v>4.4311250000000006</v>
      </c>
      <c r="AJ2998" s="78" t="s">
        <v>74</v>
      </c>
      <c r="AK2998" s="78" t="s">
        <v>87</v>
      </c>
      <c r="AL2998" s="78" t="s">
        <v>25</v>
      </c>
      <c r="AM2998" s="78" t="s">
        <v>51</v>
      </c>
      <c r="AN2998" s="78" t="s">
        <v>521</v>
      </c>
      <c r="AO2998" s="78">
        <v>2.4661306434007502</v>
      </c>
    </row>
    <row r="2999" spans="29:41">
      <c r="AC2999" s="78" t="s">
        <v>53</v>
      </c>
      <c r="AD2999" s="78" t="s">
        <v>20</v>
      </c>
      <c r="AE2999" s="78" t="s">
        <v>72</v>
      </c>
      <c r="AF2999" s="78" t="s">
        <v>51</v>
      </c>
      <c r="AG2999" s="78" t="s">
        <v>582</v>
      </c>
      <c r="AH2999" s="78">
        <v>4.4633750000000001</v>
      </c>
      <c r="AJ2999" s="78" t="s">
        <v>74</v>
      </c>
      <c r="AK2999" s="78" t="s">
        <v>87</v>
      </c>
      <c r="AL2999" s="78" t="s">
        <v>25</v>
      </c>
      <c r="AM2999" s="78" t="s">
        <v>51</v>
      </c>
      <c r="AN2999" s="78" t="s">
        <v>522</v>
      </c>
      <c r="AO2999" s="78">
        <v>2.4860574973773799</v>
      </c>
    </row>
    <row r="3000" spans="29:41">
      <c r="AC3000" s="78" t="s">
        <v>53</v>
      </c>
      <c r="AD3000" s="78" t="s">
        <v>20</v>
      </c>
      <c r="AE3000" s="78" t="s">
        <v>72</v>
      </c>
      <c r="AF3000" s="78" t="s">
        <v>51</v>
      </c>
      <c r="AG3000" s="78" t="s">
        <v>583</v>
      </c>
      <c r="AH3000" s="78">
        <v>4.4633750000000001</v>
      </c>
      <c r="AJ3000" s="78" t="s">
        <v>74</v>
      </c>
      <c r="AK3000" s="78" t="s">
        <v>87</v>
      </c>
      <c r="AL3000" s="78" t="s">
        <v>25</v>
      </c>
      <c r="AM3000" s="78" t="s">
        <v>51</v>
      </c>
      <c r="AN3000" s="78" t="s">
        <v>523</v>
      </c>
      <c r="AO3000" s="78">
        <v>2.5299104688545802</v>
      </c>
    </row>
    <row r="3001" spans="29:41">
      <c r="AC3001" s="78" t="s">
        <v>53</v>
      </c>
      <c r="AD3001" s="78" t="s">
        <v>20</v>
      </c>
      <c r="AE3001" s="78" t="s">
        <v>72</v>
      </c>
      <c r="AF3001" s="78" t="s">
        <v>51</v>
      </c>
      <c r="AG3001" s="78" t="s">
        <v>584</v>
      </c>
      <c r="AH3001" s="78">
        <v>4.4951249999999998</v>
      </c>
      <c r="AJ3001" s="78" t="s">
        <v>74</v>
      </c>
      <c r="AK3001" s="78" t="s">
        <v>87</v>
      </c>
      <c r="AL3001" s="78" t="s">
        <v>25</v>
      </c>
      <c r="AM3001" s="78" t="s">
        <v>51</v>
      </c>
      <c r="AN3001" s="78" t="s">
        <v>524</v>
      </c>
      <c r="AO3001" s="78">
        <v>2.53316437266355</v>
      </c>
    </row>
    <row r="3002" spans="29:41">
      <c r="AC3002" s="78" t="s">
        <v>53</v>
      </c>
      <c r="AD3002" s="78" t="s">
        <v>20</v>
      </c>
      <c r="AE3002" s="78" t="s">
        <v>72</v>
      </c>
      <c r="AF3002" s="78" t="s">
        <v>51</v>
      </c>
      <c r="AG3002" s="78" t="s">
        <v>585</v>
      </c>
      <c r="AH3002" s="78">
        <v>4.4633750000000001</v>
      </c>
      <c r="AJ3002" s="78" t="s">
        <v>74</v>
      </c>
      <c r="AK3002" s="78" t="s">
        <v>87</v>
      </c>
      <c r="AL3002" s="78" t="s">
        <v>25</v>
      </c>
      <c r="AM3002" s="78" t="s">
        <v>51</v>
      </c>
      <c r="AN3002" s="78" t="s">
        <v>525</v>
      </c>
      <c r="AO3002" s="78">
        <v>2.5336094696522</v>
      </c>
    </row>
    <row r="3003" spans="29:41">
      <c r="AC3003" s="78" t="s">
        <v>53</v>
      </c>
      <c r="AD3003" s="78" t="s">
        <v>20</v>
      </c>
      <c r="AE3003" s="78" t="s">
        <v>72</v>
      </c>
      <c r="AF3003" s="78" t="s">
        <v>51</v>
      </c>
      <c r="AG3003" s="78" t="s">
        <v>586</v>
      </c>
      <c r="AH3003" s="78">
        <v>4.4633750000000001</v>
      </c>
      <c r="AJ3003" s="78" t="s">
        <v>74</v>
      </c>
      <c r="AK3003" s="78" t="s">
        <v>87</v>
      </c>
      <c r="AL3003" s="78" t="s">
        <v>25</v>
      </c>
      <c r="AM3003" s="78" t="s">
        <v>51</v>
      </c>
      <c r="AN3003" s="78" t="s">
        <v>526</v>
      </c>
      <c r="AO3003" s="78">
        <v>2.5296440225789101</v>
      </c>
    </row>
    <row r="3004" spans="29:41">
      <c r="AC3004" s="78" t="s">
        <v>53</v>
      </c>
      <c r="AD3004" s="78" t="s">
        <v>20</v>
      </c>
      <c r="AE3004" s="78" t="s">
        <v>72</v>
      </c>
      <c r="AF3004" s="78" t="s">
        <v>51</v>
      </c>
      <c r="AG3004" s="78" t="s">
        <v>587</v>
      </c>
      <c r="AH3004" s="78">
        <v>4.4951249999999998</v>
      </c>
      <c r="AJ3004" s="78" t="s">
        <v>74</v>
      </c>
      <c r="AK3004" s="78" t="s">
        <v>87</v>
      </c>
      <c r="AL3004" s="78" t="s">
        <v>25</v>
      </c>
      <c r="AM3004" s="78" t="s">
        <v>51</v>
      </c>
      <c r="AN3004" s="78" t="s">
        <v>527</v>
      </c>
      <c r="AO3004" s="78">
        <v>2.52426864553397</v>
      </c>
    </row>
    <row r="3005" spans="29:41">
      <c r="AC3005" s="78" t="s">
        <v>53</v>
      </c>
      <c r="AD3005" s="78" t="s">
        <v>20</v>
      </c>
      <c r="AE3005" s="78" t="s">
        <v>72</v>
      </c>
      <c r="AF3005" s="78" t="s">
        <v>51</v>
      </c>
      <c r="AG3005" s="78" t="s">
        <v>588</v>
      </c>
      <c r="AH3005" s="78">
        <v>4.4633750000000001</v>
      </c>
      <c r="AJ3005" s="78" t="s">
        <v>74</v>
      </c>
      <c r="AK3005" s="78" t="s">
        <v>87</v>
      </c>
      <c r="AL3005" s="78" t="s">
        <v>25</v>
      </c>
      <c r="AM3005" s="78" t="s">
        <v>51</v>
      </c>
      <c r="AN3005" s="78" t="s">
        <v>528</v>
      </c>
      <c r="AO3005" s="78">
        <v>2.53251832650023</v>
      </c>
    </row>
    <row r="3006" spans="29:41">
      <c r="AC3006" s="78" t="s">
        <v>53</v>
      </c>
      <c r="AD3006" s="78" t="s">
        <v>20</v>
      </c>
      <c r="AE3006" s="78" t="s">
        <v>72</v>
      </c>
      <c r="AF3006" s="78" t="s">
        <v>51</v>
      </c>
      <c r="AG3006" s="78" t="s">
        <v>589</v>
      </c>
      <c r="AH3006" s="78">
        <v>4.4311250000000006</v>
      </c>
      <c r="AJ3006" s="78" t="s">
        <v>74</v>
      </c>
      <c r="AK3006" s="78" t="s">
        <v>87</v>
      </c>
      <c r="AL3006" s="78" t="s">
        <v>25</v>
      </c>
      <c r="AM3006" s="78" t="s">
        <v>51</v>
      </c>
      <c r="AN3006" s="78" t="s">
        <v>529</v>
      </c>
      <c r="AO3006" s="78">
        <v>2.5169810735830902</v>
      </c>
    </row>
    <row r="3007" spans="29:41">
      <c r="AC3007" s="78" t="s">
        <v>53</v>
      </c>
      <c r="AD3007" s="78" t="s">
        <v>20</v>
      </c>
      <c r="AE3007" s="78" t="s">
        <v>72</v>
      </c>
      <c r="AF3007" s="78" t="s">
        <v>51</v>
      </c>
      <c r="AG3007" s="78" t="s">
        <v>590</v>
      </c>
      <c r="AH3007" s="78">
        <v>4.4311250000000006</v>
      </c>
      <c r="AJ3007" s="78" t="s">
        <v>74</v>
      </c>
      <c r="AK3007" s="78" t="s">
        <v>87</v>
      </c>
      <c r="AL3007" s="78" t="s">
        <v>25</v>
      </c>
      <c r="AM3007" s="78" t="s">
        <v>51</v>
      </c>
      <c r="AN3007" s="78" t="s">
        <v>530</v>
      </c>
      <c r="AO3007" s="78">
        <v>2.5437510721177499</v>
      </c>
    </row>
    <row r="3008" spans="29:41">
      <c r="AC3008" s="78" t="s">
        <v>53</v>
      </c>
      <c r="AD3008" s="78" t="s">
        <v>20</v>
      </c>
      <c r="AE3008" s="78" t="s">
        <v>72</v>
      </c>
      <c r="AF3008" s="78" t="s">
        <v>51</v>
      </c>
      <c r="AG3008" s="78" t="s">
        <v>591</v>
      </c>
      <c r="AH3008" s="78">
        <v>4.4311250000000006</v>
      </c>
      <c r="AJ3008" s="78" t="s">
        <v>74</v>
      </c>
      <c r="AK3008" s="78" t="s">
        <v>87</v>
      </c>
      <c r="AL3008" s="78" t="s">
        <v>25</v>
      </c>
      <c r="AM3008" s="78" t="s">
        <v>51</v>
      </c>
      <c r="AN3008" s="78" t="s">
        <v>531</v>
      </c>
      <c r="AO3008" s="78">
        <v>2.5815492501069399</v>
      </c>
    </row>
    <row r="3009" spans="29:41">
      <c r="AC3009" s="78" t="s">
        <v>53</v>
      </c>
      <c r="AD3009" s="78" t="s">
        <v>20</v>
      </c>
      <c r="AE3009" s="78" t="s">
        <v>72</v>
      </c>
      <c r="AF3009" s="78" t="s">
        <v>51</v>
      </c>
      <c r="AG3009" s="78" t="s">
        <v>592</v>
      </c>
      <c r="AH3009" s="78">
        <v>4.3993750000000009</v>
      </c>
      <c r="AJ3009" s="78" t="s">
        <v>74</v>
      </c>
      <c r="AK3009" s="78" t="s">
        <v>87</v>
      </c>
      <c r="AL3009" s="78" t="s">
        <v>25</v>
      </c>
      <c r="AM3009" s="78" t="s">
        <v>51</v>
      </c>
      <c r="AN3009" s="78" t="s">
        <v>532</v>
      </c>
      <c r="AO3009" s="78">
        <v>2.7578334689679198</v>
      </c>
    </row>
    <row r="3010" spans="29:41">
      <c r="AC3010" s="78" t="s">
        <v>53</v>
      </c>
      <c r="AD3010" s="78" t="s">
        <v>20</v>
      </c>
      <c r="AE3010" s="78" t="s">
        <v>72</v>
      </c>
      <c r="AF3010" s="78" t="s">
        <v>51</v>
      </c>
      <c r="AG3010" s="78" t="s">
        <v>593</v>
      </c>
      <c r="AH3010" s="78">
        <v>4.4314999999999998</v>
      </c>
      <c r="AJ3010" s="78" t="s">
        <v>74</v>
      </c>
      <c r="AK3010" s="78" t="s">
        <v>87</v>
      </c>
      <c r="AL3010" s="78" t="s">
        <v>25</v>
      </c>
      <c r="AM3010" s="78" t="s">
        <v>51</v>
      </c>
      <c r="AN3010" s="78" t="s">
        <v>533</v>
      </c>
      <c r="AO3010" s="78">
        <v>2.8203429128505602</v>
      </c>
    </row>
    <row r="3011" spans="29:41">
      <c r="AC3011" s="78" t="s">
        <v>53</v>
      </c>
      <c r="AD3011" s="78" t="s">
        <v>20</v>
      </c>
      <c r="AE3011" s="78" t="s">
        <v>72</v>
      </c>
      <c r="AF3011" s="78" t="s">
        <v>51</v>
      </c>
      <c r="AG3011" s="78" t="s">
        <v>594</v>
      </c>
      <c r="AH3011" s="78">
        <v>4.4311250000000006</v>
      </c>
      <c r="AJ3011" s="78" t="s">
        <v>74</v>
      </c>
      <c r="AK3011" s="78" t="s">
        <v>87</v>
      </c>
      <c r="AL3011" s="78" t="s">
        <v>25</v>
      </c>
      <c r="AM3011" s="78" t="s">
        <v>51</v>
      </c>
      <c r="AN3011" s="78" t="s">
        <v>534</v>
      </c>
      <c r="AO3011" s="78">
        <v>2.9518507510638798</v>
      </c>
    </row>
    <row r="3012" spans="29:41">
      <c r="AC3012" s="78" t="s">
        <v>53</v>
      </c>
      <c r="AD3012" s="78" t="s">
        <v>20</v>
      </c>
      <c r="AE3012" s="78" t="s">
        <v>72</v>
      </c>
      <c r="AF3012" s="78" t="s">
        <v>51</v>
      </c>
      <c r="AG3012" s="78" t="s">
        <v>595</v>
      </c>
      <c r="AH3012" s="78">
        <v>4.4951249999999998</v>
      </c>
      <c r="AJ3012" s="78" t="s">
        <v>74</v>
      </c>
      <c r="AK3012" s="78" t="s">
        <v>87</v>
      </c>
      <c r="AL3012" s="78" t="s">
        <v>25</v>
      </c>
      <c r="AM3012" s="78" t="s">
        <v>51</v>
      </c>
      <c r="AN3012" s="78" t="s">
        <v>535</v>
      </c>
      <c r="AO3012" s="78">
        <v>2.938815281358</v>
      </c>
    </row>
    <row r="3013" spans="29:41">
      <c r="AC3013" s="78" t="s">
        <v>53</v>
      </c>
      <c r="AD3013" s="78" t="s">
        <v>20</v>
      </c>
      <c r="AE3013" s="78" t="s">
        <v>72</v>
      </c>
      <c r="AF3013" s="78" t="s">
        <v>51</v>
      </c>
      <c r="AG3013" s="78" t="s">
        <v>596</v>
      </c>
      <c r="AH3013" s="78">
        <v>4.4951249999999998</v>
      </c>
      <c r="AJ3013" s="78" t="s">
        <v>74</v>
      </c>
      <c r="AK3013" s="78" t="s">
        <v>87</v>
      </c>
      <c r="AL3013" s="78" t="s">
        <v>25</v>
      </c>
      <c r="AM3013" s="78" t="s">
        <v>51</v>
      </c>
      <c r="AN3013" s="78" t="s">
        <v>536</v>
      </c>
      <c r="AO3013" s="78">
        <v>2.9180541697648699</v>
      </c>
    </row>
    <row r="3014" spans="29:41">
      <c r="AC3014" s="78" t="s">
        <v>53</v>
      </c>
      <c r="AD3014" s="78" t="s">
        <v>20</v>
      </c>
      <c r="AE3014" s="78" t="s">
        <v>72</v>
      </c>
      <c r="AF3014" s="78" t="s">
        <v>51</v>
      </c>
      <c r="AG3014" s="78" t="s">
        <v>597</v>
      </c>
      <c r="AH3014" s="78">
        <v>4.4633750000000001</v>
      </c>
      <c r="AJ3014" s="78" t="s">
        <v>74</v>
      </c>
      <c r="AK3014" s="78" t="s">
        <v>87</v>
      </c>
      <c r="AL3014" s="78" t="s">
        <v>25</v>
      </c>
      <c r="AM3014" s="78" t="s">
        <v>51</v>
      </c>
      <c r="AN3014" s="78" t="s">
        <v>537</v>
      </c>
      <c r="AO3014" s="78">
        <v>2.9579353811966902</v>
      </c>
    </row>
    <row r="3015" spans="29:41">
      <c r="AC3015" s="78" t="s">
        <v>53</v>
      </c>
      <c r="AD3015" s="78" t="s">
        <v>20</v>
      </c>
      <c r="AE3015" s="78" t="s">
        <v>72</v>
      </c>
      <c r="AF3015" s="78" t="s">
        <v>51</v>
      </c>
      <c r="AG3015" s="78" t="s">
        <v>598</v>
      </c>
      <c r="AH3015" s="78">
        <v>4.3993750000000009</v>
      </c>
      <c r="AJ3015" s="78" t="s">
        <v>74</v>
      </c>
      <c r="AK3015" s="78" t="s">
        <v>87</v>
      </c>
      <c r="AL3015" s="78" t="s">
        <v>25</v>
      </c>
      <c r="AM3015" s="78" t="s">
        <v>51</v>
      </c>
      <c r="AN3015" s="78" t="s">
        <v>538</v>
      </c>
      <c r="AO3015" s="78">
        <v>3.03169131774919</v>
      </c>
    </row>
    <row r="3016" spans="29:41">
      <c r="AC3016" s="78" t="s">
        <v>53</v>
      </c>
      <c r="AD3016" s="78" t="s">
        <v>20</v>
      </c>
      <c r="AE3016" s="78" t="s">
        <v>72</v>
      </c>
      <c r="AF3016" s="78" t="s">
        <v>51</v>
      </c>
      <c r="AG3016" s="78" t="s">
        <v>599</v>
      </c>
      <c r="AH3016" s="78">
        <v>4.4633750000000001</v>
      </c>
      <c r="AJ3016" s="78" t="s">
        <v>74</v>
      </c>
      <c r="AK3016" s="78" t="s">
        <v>87</v>
      </c>
      <c r="AL3016" s="78" t="s">
        <v>25</v>
      </c>
      <c r="AM3016" s="78" t="s">
        <v>51</v>
      </c>
      <c r="AN3016" s="78" t="s">
        <v>539</v>
      </c>
      <c r="AO3016" s="78">
        <v>3.0422928996340901</v>
      </c>
    </row>
    <row r="3017" spans="29:41">
      <c r="AC3017" s="78" t="s">
        <v>53</v>
      </c>
      <c r="AD3017" s="78" t="s">
        <v>20</v>
      </c>
      <c r="AE3017" s="78" t="s">
        <v>72</v>
      </c>
      <c r="AF3017" s="78" t="s">
        <v>51</v>
      </c>
      <c r="AG3017" s="78" t="s">
        <v>600</v>
      </c>
      <c r="AH3017" s="78">
        <v>4.4314999999999998</v>
      </c>
      <c r="AJ3017" s="78" t="s">
        <v>74</v>
      </c>
      <c r="AK3017" s="78" t="s">
        <v>87</v>
      </c>
      <c r="AL3017" s="78" t="s">
        <v>25</v>
      </c>
      <c r="AM3017" s="78" t="s">
        <v>51</v>
      </c>
      <c r="AN3017" s="78" t="s">
        <v>540</v>
      </c>
      <c r="AO3017" s="78">
        <v>3.0253759468796799</v>
      </c>
    </row>
    <row r="3018" spans="29:41">
      <c r="AC3018" s="78" t="s">
        <v>53</v>
      </c>
      <c r="AD3018" s="78" t="s">
        <v>20</v>
      </c>
      <c r="AE3018" s="78" t="s">
        <v>72</v>
      </c>
      <c r="AF3018" s="78" t="s">
        <v>51</v>
      </c>
      <c r="AG3018" s="78" t="s">
        <v>601</v>
      </c>
      <c r="AH3018" s="78">
        <v>4.3993750000000009</v>
      </c>
      <c r="AJ3018" s="78" t="s">
        <v>74</v>
      </c>
      <c r="AK3018" s="78" t="s">
        <v>87</v>
      </c>
      <c r="AL3018" s="78" t="s">
        <v>25</v>
      </c>
      <c r="AM3018" s="78" t="s">
        <v>51</v>
      </c>
      <c r="AN3018" s="78" t="s">
        <v>541</v>
      </c>
      <c r="AO3018" s="78">
        <v>3.0811413392722198</v>
      </c>
    </row>
    <row r="3019" spans="29:41">
      <c r="AC3019" s="78" t="s">
        <v>53</v>
      </c>
      <c r="AD3019" s="78" t="s">
        <v>20</v>
      </c>
      <c r="AE3019" s="78" t="s">
        <v>72</v>
      </c>
      <c r="AF3019" s="78" t="s">
        <v>51</v>
      </c>
      <c r="AG3019" s="78" t="s">
        <v>602</v>
      </c>
      <c r="AH3019" s="78">
        <v>4.3035000000000005</v>
      </c>
      <c r="AJ3019" s="78" t="s">
        <v>74</v>
      </c>
      <c r="AK3019" s="78" t="s">
        <v>87</v>
      </c>
      <c r="AL3019" s="78" t="s">
        <v>25</v>
      </c>
      <c r="AM3019" s="78" t="s">
        <v>51</v>
      </c>
      <c r="AN3019" s="78" t="s">
        <v>542</v>
      </c>
      <c r="AO3019" s="78">
        <v>3.1125235634348298</v>
      </c>
    </row>
    <row r="3020" spans="29:41">
      <c r="AC3020" s="78" t="s">
        <v>53</v>
      </c>
      <c r="AD3020" s="78" t="s">
        <v>20</v>
      </c>
      <c r="AE3020" s="78" t="s">
        <v>72</v>
      </c>
      <c r="AF3020" s="78" t="s">
        <v>51</v>
      </c>
      <c r="AG3020" s="78" t="s">
        <v>603</v>
      </c>
      <c r="AH3020" s="78">
        <v>4.3675000000000006</v>
      </c>
      <c r="AJ3020" s="78" t="s">
        <v>74</v>
      </c>
      <c r="AK3020" s="78" t="s">
        <v>87</v>
      </c>
      <c r="AL3020" s="78" t="s">
        <v>25</v>
      </c>
      <c r="AM3020" s="78" t="s">
        <v>51</v>
      </c>
      <c r="AN3020" s="78" t="s">
        <v>543</v>
      </c>
      <c r="AO3020" s="78">
        <v>3.0232721749517699</v>
      </c>
    </row>
    <row r="3021" spans="29:41">
      <c r="AC3021" s="78" t="s">
        <v>53</v>
      </c>
      <c r="AD3021" s="78" t="s">
        <v>20</v>
      </c>
      <c r="AE3021" s="78" t="s">
        <v>72</v>
      </c>
      <c r="AF3021" s="78" t="s">
        <v>51</v>
      </c>
      <c r="AG3021" s="78" t="s">
        <v>604</v>
      </c>
      <c r="AH3021" s="78">
        <v>4.4311250000000006</v>
      </c>
      <c r="AJ3021" s="78" t="s">
        <v>74</v>
      </c>
      <c r="AK3021" s="78" t="s">
        <v>87</v>
      </c>
      <c r="AL3021" s="78" t="s">
        <v>25</v>
      </c>
      <c r="AM3021" s="78" t="s">
        <v>51</v>
      </c>
      <c r="AN3021" s="78" t="s">
        <v>544</v>
      </c>
      <c r="AO3021" s="78">
        <v>3.0032104294376101</v>
      </c>
    </row>
    <row r="3022" spans="29:41">
      <c r="AC3022" s="78" t="s">
        <v>53</v>
      </c>
      <c r="AD3022" s="78" t="s">
        <v>20</v>
      </c>
      <c r="AE3022" s="78" t="s">
        <v>72</v>
      </c>
      <c r="AF3022" s="78" t="s">
        <v>51</v>
      </c>
      <c r="AG3022" s="78" t="s">
        <v>605</v>
      </c>
      <c r="AH3022" s="78">
        <v>4.4951249999999998</v>
      </c>
      <c r="AJ3022" s="78" t="s">
        <v>74</v>
      </c>
      <c r="AK3022" s="78" t="s">
        <v>87</v>
      </c>
      <c r="AL3022" s="78" t="s">
        <v>25</v>
      </c>
      <c r="AM3022" s="78" t="s">
        <v>51</v>
      </c>
      <c r="AN3022" s="78" t="s">
        <v>545</v>
      </c>
      <c r="AO3022" s="78">
        <v>3.0600031389564002</v>
      </c>
    </row>
    <row r="3023" spans="29:41">
      <c r="AC3023" s="78" t="s">
        <v>53</v>
      </c>
      <c r="AD3023" s="78" t="s">
        <v>20</v>
      </c>
      <c r="AE3023" s="78" t="s">
        <v>72</v>
      </c>
      <c r="AF3023" s="78" t="s">
        <v>51</v>
      </c>
      <c r="AG3023" s="78" t="s">
        <v>606</v>
      </c>
      <c r="AH3023" s="78">
        <v>4.4951249999999998</v>
      </c>
      <c r="AJ3023" s="78" t="s">
        <v>74</v>
      </c>
      <c r="AK3023" s="78" t="s">
        <v>87</v>
      </c>
      <c r="AL3023" s="78" t="s">
        <v>25</v>
      </c>
      <c r="AM3023" s="78" t="s">
        <v>51</v>
      </c>
      <c r="AN3023" s="78" t="s">
        <v>546</v>
      </c>
      <c r="AO3023" s="78">
        <v>3.13599610528588</v>
      </c>
    </row>
    <row r="3024" spans="29:41">
      <c r="AC3024" s="78" t="s">
        <v>53</v>
      </c>
      <c r="AD3024" s="78" t="s">
        <v>20</v>
      </c>
      <c r="AE3024" s="78" t="s">
        <v>72</v>
      </c>
      <c r="AF3024" s="78" t="s">
        <v>51</v>
      </c>
      <c r="AG3024" s="78" t="s">
        <v>607</v>
      </c>
      <c r="AH3024" s="78">
        <v>4.5270000000000001</v>
      </c>
      <c r="AJ3024" s="78" t="s">
        <v>74</v>
      </c>
      <c r="AK3024" s="78" t="s">
        <v>87</v>
      </c>
      <c r="AL3024" s="78" t="s">
        <v>25</v>
      </c>
      <c r="AM3024" s="78" t="s">
        <v>51</v>
      </c>
      <c r="AN3024" s="78" t="s">
        <v>547</v>
      </c>
      <c r="AO3024" s="78">
        <v>3.0833533421517099</v>
      </c>
    </row>
    <row r="3025" spans="29:41">
      <c r="AC3025" s="78" t="s">
        <v>53</v>
      </c>
      <c r="AD3025" s="78" t="s">
        <v>20</v>
      </c>
      <c r="AE3025" s="78" t="s">
        <v>72</v>
      </c>
      <c r="AF3025" s="78" t="s">
        <v>51</v>
      </c>
      <c r="AG3025" s="78" t="s">
        <v>608</v>
      </c>
      <c r="AH3025" s="78">
        <v>4.5270000000000001</v>
      </c>
      <c r="AJ3025" s="78" t="s">
        <v>74</v>
      </c>
      <c r="AK3025" s="78" t="s">
        <v>87</v>
      </c>
      <c r="AL3025" s="78" t="s">
        <v>25</v>
      </c>
      <c r="AM3025" s="78" t="s">
        <v>51</v>
      </c>
      <c r="AN3025" s="78" t="s">
        <v>548</v>
      </c>
      <c r="AO3025" s="78">
        <v>3.0836284241838401</v>
      </c>
    </row>
    <row r="3026" spans="29:41">
      <c r="AC3026" s="78" t="s">
        <v>53</v>
      </c>
      <c r="AD3026" s="78" t="s">
        <v>20</v>
      </c>
      <c r="AE3026" s="78" t="s">
        <v>72</v>
      </c>
      <c r="AF3026" s="78" t="s">
        <v>51</v>
      </c>
      <c r="AG3026" s="78" t="s">
        <v>609</v>
      </c>
      <c r="AH3026" s="78">
        <v>4.5587499999999999</v>
      </c>
      <c r="AJ3026" s="78" t="s">
        <v>74</v>
      </c>
      <c r="AK3026" s="78" t="s">
        <v>87</v>
      </c>
      <c r="AL3026" s="78" t="s">
        <v>25</v>
      </c>
      <c r="AM3026" s="78" t="s">
        <v>51</v>
      </c>
      <c r="AN3026" s="78" t="s">
        <v>549</v>
      </c>
      <c r="AO3026" s="78">
        <v>3.0839441300707402</v>
      </c>
    </row>
    <row r="3027" spans="29:41">
      <c r="AC3027" s="78" t="s">
        <v>53</v>
      </c>
      <c r="AD3027" s="78" t="s">
        <v>20</v>
      </c>
      <c r="AE3027" s="78" t="s">
        <v>72</v>
      </c>
      <c r="AF3027" s="78" t="s">
        <v>51</v>
      </c>
      <c r="AG3027" s="78" t="s">
        <v>610</v>
      </c>
      <c r="AH3027" s="78">
        <v>4.6227499999999999</v>
      </c>
      <c r="AJ3027" s="78" t="s">
        <v>74</v>
      </c>
      <c r="AK3027" s="78" t="s">
        <v>87</v>
      </c>
      <c r="AL3027" s="78" t="s">
        <v>25</v>
      </c>
      <c r="AM3027" s="78" t="s">
        <v>51</v>
      </c>
      <c r="AN3027" s="78" t="s">
        <v>550</v>
      </c>
      <c r="AO3027" s="78">
        <v>3.0288108885972802</v>
      </c>
    </row>
    <row r="3028" spans="29:41">
      <c r="AC3028" s="78" t="s">
        <v>53</v>
      </c>
      <c r="AD3028" s="78" t="s">
        <v>20</v>
      </c>
      <c r="AE3028" s="78" t="s">
        <v>72</v>
      </c>
      <c r="AF3028" s="78" t="s">
        <v>51</v>
      </c>
      <c r="AG3028" s="78" t="s">
        <v>611</v>
      </c>
      <c r="AH3028" s="78">
        <v>4.6227499999999999</v>
      </c>
      <c r="AJ3028" s="78" t="s">
        <v>74</v>
      </c>
      <c r="AK3028" s="78" t="s">
        <v>87</v>
      </c>
      <c r="AL3028" s="78" t="s">
        <v>25</v>
      </c>
      <c r="AM3028" s="78" t="s">
        <v>51</v>
      </c>
      <c r="AN3028" s="78" t="s">
        <v>551</v>
      </c>
      <c r="AO3028" s="78">
        <v>3.05722705621156</v>
      </c>
    </row>
    <row r="3029" spans="29:41">
      <c r="AC3029" s="78" t="s">
        <v>53</v>
      </c>
      <c r="AD3029" s="78" t="s">
        <v>20</v>
      </c>
      <c r="AE3029" s="78" t="s">
        <v>72</v>
      </c>
      <c r="AF3029" s="78" t="s">
        <v>51</v>
      </c>
      <c r="AG3029" s="78" t="s">
        <v>612</v>
      </c>
      <c r="AH3029" s="78">
        <v>4.686375</v>
      </c>
      <c r="AJ3029" s="78" t="s">
        <v>74</v>
      </c>
      <c r="AK3029" s="78" t="s">
        <v>87</v>
      </c>
      <c r="AL3029" s="78" t="s">
        <v>25</v>
      </c>
      <c r="AM3029" s="78" t="s">
        <v>51</v>
      </c>
      <c r="AN3029" s="78" t="s">
        <v>552</v>
      </c>
      <c r="AO3029" s="78">
        <v>3.1428652362036398</v>
      </c>
    </row>
    <row r="3030" spans="29:41">
      <c r="AC3030" s="78" t="s">
        <v>53</v>
      </c>
      <c r="AD3030" s="78" t="s">
        <v>20</v>
      </c>
      <c r="AE3030" s="78" t="s">
        <v>72</v>
      </c>
      <c r="AF3030" s="78" t="s">
        <v>51</v>
      </c>
      <c r="AG3030" s="78" t="s">
        <v>613</v>
      </c>
      <c r="AH3030" s="78">
        <v>4.686375</v>
      </c>
      <c r="AJ3030" s="78" t="s">
        <v>74</v>
      </c>
      <c r="AK3030" s="78" t="s">
        <v>87</v>
      </c>
      <c r="AL3030" s="78" t="s">
        <v>25</v>
      </c>
      <c r="AM3030" s="78" t="s">
        <v>51</v>
      </c>
      <c r="AN3030" s="78" t="s">
        <v>553</v>
      </c>
      <c r="AO3030" s="78">
        <v>3.1502344995912401</v>
      </c>
    </row>
    <row r="3031" spans="29:41">
      <c r="AC3031" s="78" t="s">
        <v>53</v>
      </c>
      <c r="AD3031" s="78" t="s">
        <v>20</v>
      </c>
      <c r="AE3031" s="78" t="s">
        <v>72</v>
      </c>
      <c r="AF3031" s="78" t="s">
        <v>51</v>
      </c>
      <c r="AG3031" s="78" t="s">
        <v>614</v>
      </c>
      <c r="AH3031" s="78">
        <v>4.7822499999999994</v>
      </c>
      <c r="AJ3031" s="78" t="s">
        <v>74</v>
      </c>
      <c r="AK3031" s="78" t="s">
        <v>87</v>
      </c>
      <c r="AL3031" s="78" t="s">
        <v>25</v>
      </c>
      <c r="AM3031" s="78" t="s">
        <v>51</v>
      </c>
      <c r="AN3031" s="78" t="s">
        <v>554</v>
      </c>
      <c r="AO3031" s="78">
        <v>3.1621575354435998</v>
      </c>
    </row>
    <row r="3032" spans="29:41">
      <c r="AC3032" s="78" t="s">
        <v>53</v>
      </c>
      <c r="AD3032" s="78" t="s">
        <v>20</v>
      </c>
      <c r="AE3032" s="78" t="s">
        <v>72</v>
      </c>
      <c r="AF3032" s="78" t="s">
        <v>51</v>
      </c>
      <c r="AG3032" s="78" t="s">
        <v>615</v>
      </c>
      <c r="AH3032" s="78">
        <v>4.750375</v>
      </c>
      <c r="AJ3032" s="78" t="s">
        <v>74</v>
      </c>
      <c r="AK3032" s="78" t="s">
        <v>87</v>
      </c>
      <c r="AL3032" s="78" t="s">
        <v>25</v>
      </c>
      <c r="AM3032" s="78" t="s">
        <v>51</v>
      </c>
      <c r="AN3032" s="78" t="s">
        <v>555</v>
      </c>
      <c r="AO3032" s="78">
        <v>3.2178280594971298</v>
      </c>
    </row>
    <row r="3033" spans="29:41">
      <c r="AC3033" s="78" t="s">
        <v>53</v>
      </c>
      <c r="AD3033" s="78" t="s">
        <v>20</v>
      </c>
      <c r="AE3033" s="78" t="s">
        <v>72</v>
      </c>
      <c r="AF3033" s="78" t="s">
        <v>51</v>
      </c>
      <c r="AG3033" s="78" t="s">
        <v>616</v>
      </c>
      <c r="AH3033" s="78">
        <v>4.5591249999999999</v>
      </c>
      <c r="AJ3033" s="78" t="s">
        <v>74</v>
      </c>
      <c r="AK3033" s="78" t="s">
        <v>87</v>
      </c>
      <c r="AL3033" s="78" t="s">
        <v>25</v>
      </c>
      <c r="AM3033" s="78" t="s">
        <v>51</v>
      </c>
      <c r="AN3033" s="78" t="s">
        <v>556</v>
      </c>
      <c r="AO3033" s="78">
        <v>3.3050524395001402</v>
      </c>
    </row>
    <row r="3034" spans="29:41">
      <c r="AC3034" s="78" t="s">
        <v>53</v>
      </c>
      <c r="AD3034" s="78" t="s">
        <v>20</v>
      </c>
      <c r="AE3034" s="78" t="s">
        <v>72</v>
      </c>
      <c r="AF3034" s="78" t="s">
        <v>51</v>
      </c>
      <c r="AG3034" s="78" t="s">
        <v>617</v>
      </c>
      <c r="AH3034" s="78">
        <v>4.5591249999999999</v>
      </c>
      <c r="AJ3034" s="78" t="s">
        <v>74</v>
      </c>
      <c r="AK3034" s="78" t="s">
        <v>87</v>
      </c>
      <c r="AL3034" s="78" t="s">
        <v>25</v>
      </c>
      <c r="AM3034" s="78" t="s">
        <v>51</v>
      </c>
      <c r="AN3034" s="78" t="s">
        <v>557</v>
      </c>
      <c r="AO3034" s="78">
        <v>3.3305211408689099</v>
      </c>
    </row>
    <row r="3035" spans="29:41">
      <c r="AC3035" s="78" t="s">
        <v>53</v>
      </c>
      <c r="AD3035" s="78" t="s">
        <v>20</v>
      </c>
      <c r="AE3035" s="78" t="s">
        <v>72</v>
      </c>
      <c r="AF3035" s="78" t="s">
        <v>51</v>
      </c>
      <c r="AG3035" s="78" t="s">
        <v>618</v>
      </c>
      <c r="AH3035" s="78">
        <v>4.5587499999999999</v>
      </c>
      <c r="AJ3035" s="78" t="s">
        <v>74</v>
      </c>
      <c r="AK3035" s="78" t="s">
        <v>87</v>
      </c>
      <c r="AL3035" s="78" t="s">
        <v>25</v>
      </c>
      <c r="AM3035" s="78" t="s">
        <v>51</v>
      </c>
      <c r="AN3035" s="78" t="s">
        <v>558</v>
      </c>
      <c r="AO3035" s="78">
        <v>3.2735630913423499</v>
      </c>
    </row>
    <row r="3036" spans="29:41">
      <c r="AC3036" s="78" t="s">
        <v>53</v>
      </c>
      <c r="AD3036" s="78" t="s">
        <v>20</v>
      </c>
      <c r="AE3036" s="78" t="s">
        <v>72</v>
      </c>
      <c r="AF3036" s="78" t="s">
        <v>51</v>
      </c>
      <c r="AG3036" s="78" t="s">
        <v>619</v>
      </c>
      <c r="AH3036" s="78">
        <v>4.5270000000000001</v>
      </c>
      <c r="AJ3036" s="78" t="s">
        <v>74</v>
      </c>
      <c r="AK3036" s="78" t="s">
        <v>87</v>
      </c>
      <c r="AL3036" s="78" t="s">
        <v>25</v>
      </c>
      <c r="AM3036" s="78" t="s">
        <v>51</v>
      </c>
      <c r="AN3036" s="78" t="s">
        <v>559</v>
      </c>
      <c r="AO3036" s="78">
        <v>3.2884025896165299</v>
      </c>
    </row>
    <row r="3037" spans="29:41">
      <c r="AC3037" s="78" t="s">
        <v>53</v>
      </c>
      <c r="AD3037" s="78" t="s">
        <v>20</v>
      </c>
      <c r="AE3037" s="78" t="s">
        <v>72</v>
      </c>
      <c r="AF3037" s="78" t="s">
        <v>51</v>
      </c>
      <c r="AG3037" s="78" t="s">
        <v>620</v>
      </c>
      <c r="AH3037" s="78">
        <v>4.4951249999999998</v>
      </c>
      <c r="AJ3037" s="78" t="s">
        <v>74</v>
      </c>
      <c r="AK3037" s="78" t="s">
        <v>87</v>
      </c>
      <c r="AL3037" s="78" t="s">
        <v>25</v>
      </c>
      <c r="AM3037" s="78" t="s">
        <v>51</v>
      </c>
      <c r="AN3037" s="78" t="s">
        <v>560</v>
      </c>
      <c r="AO3037" s="78">
        <v>3.25892031354691</v>
      </c>
    </row>
    <row r="3038" spans="29:41">
      <c r="AC3038" s="78" t="s">
        <v>53</v>
      </c>
      <c r="AD3038" s="78" t="s">
        <v>20</v>
      </c>
      <c r="AE3038" s="78" t="s">
        <v>72</v>
      </c>
      <c r="AF3038" s="78" t="s">
        <v>51</v>
      </c>
      <c r="AG3038" s="78" t="s">
        <v>621</v>
      </c>
      <c r="AH3038" s="78">
        <v>4.4951249999999998</v>
      </c>
      <c r="AJ3038" s="78" t="s">
        <v>74</v>
      </c>
      <c r="AK3038" s="78" t="s">
        <v>87</v>
      </c>
      <c r="AL3038" s="78" t="s">
        <v>25</v>
      </c>
      <c r="AM3038" s="78" t="s">
        <v>51</v>
      </c>
      <c r="AN3038" s="78" t="s">
        <v>561</v>
      </c>
      <c r="AO3038" s="78">
        <v>3.2544954518988001</v>
      </c>
    </row>
    <row r="3039" spans="29:41">
      <c r="AC3039" s="78" t="s">
        <v>53</v>
      </c>
      <c r="AD3039" s="78" t="s">
        <v>20</v>
      </c>
      <c r="AE3039" s="78" t="s">
        <v>72</v>
      </c>
      <c r="AF3039" s="78" t="s">
        <v>51</v>
      </c>
      <c r="AG3039" s="78" t="s">
        <v>622</v>
      </c>
      <c r="AH3039" s="78">
        <v>4.5270000000000001</v>
      </c>
      <c r="AJ3039" s="78" t="s">
        <v>74</v>
      </c>
      <c r="AK3039" s="78" t="s">
        <v>87</v>
      </c>
      <c r="AL3039" s="78" t="s">
        <v>25</v>
      </c>
      <c r="AM3039" s="78" t="s">
        <v>51</v>
      </c>
      <c r="AN3039" s="78" t="s">
        <v>562</v>
      </c>
      <c r="AO3039" s="78">
        <v>3.25541429686829</v>
      </c>
    </row>
    <row r="3040" spans="29:41">
      <c r="AC3040" s="78" t="s">
        <v>53</v>
      </c>
      <c r="AD3040" s="78" t="s">
        <v>20</v>
      </c>
      <c r="AE3040" s="78" t="s">
        <v>72</v>
      </c>
      <c r="AF3040" s="78" t="s">
        <v>51</v>
      </c>
      <c r="AG3040" s="78" t="s">
        <v>623</v>
      </c>
      <c r="AH3040" s="78">
        <v>4.4951249999999998</v>
      </c>
      <c r="AJ3040" s="78" t="s">
        <v>74</v>
      </c>
      <c r="AK3040" s="78" t="s">
        <v>87</v>
      </c>
      <c r="AL3040" s="78" t="s">
        <v>25</v>
      </c>
      <c r="AM3040" s="78" t="s">
        <v>51</v>
      </c>
      <c r="AN3040" s="78" t="s">
        <v>563</v>
      </c>
      <c r="AO3040" s="78">
        <v>3.2725828232051102</v>
      </c>
    </row>
    <row r="3041" spans="29:41">
      <c r="AC3041" s="78" t="s">
        <v>53</v>
      </c>
      <c r="AD3041" s="78" t="s">
        <v>20</v>
      </c>
      <c r="AE3041" s="78" t="s">
        <v>72</v>
      </c>
      <c r="AF3041" s="78" t="s">
        <v>51</v>
      </c>
      <c r="AG3041" s="78" t="s">
        <v>624</v>
      </c>
      <c r="AH3041" s="78">
        <v>4.5587499999999999</v>
      </c>
      <c r="AJ3041" s="78" t="s">
        <v>74</v>
      </c>
      <c r="AK3041" s="78" t="s">
        <v>87</v>
      </c>
      <c r="AL3041" s="78" t="s">
        <v>25</v>
      </c>
      <c r="AM3041" s="78" t="s">
        <v>51</v>
      </c>
      <c r="AN3041" s="78" t="s">
        <v>564</v>
      </c>
      <c r="AO3041" s="78">
        <v>3.2082776514321698</v>
      </c>
    </row>
    <row r="3042" spans="29:41">
      <c r="AC3042" s="78" t="s">
        <v>53</v>
      </c>
      <c r="AD3042" s="78" t="s">
        <v>20</v>
      </c>
      <c r="AE3042" s="78" t="s">
        <v>72</v>
      </c>
      <c r="AF3042" s="78" t="s">
        <v>51</v>
      </c>
      <c r="AG3042" s="78" t="s">
        <v>625</v>
      </c>
      <c r="AH3042" s="78">
        <v>4.5587499999999999</v>
      </c>
      <c r="AJ3042" s="78" t="s">
        <v>74</v>
      </c>
      <c r="AK3042" s="78" t="s">
        <v>87</v>
      </c>
      <c r="AL3042" s="78" t="s">
        <v>25</v>
      </c>
      <c r="AM3042" s="78" t="s">
        <v>51</v>
      </c>
      <c r="AN3042" s="78" t="s">
        <v>565</v>
      </c>
      <c r="AO3042" s="78">
        <v>3.1554338932112498</v>
      </c>
    </row>
    <row r="3043" spans="29:41">
      <c r="AC3043" s="78" t="s">
        <v>53</v>
      </c>
      <c r="AD3043" s="78" t="s">
        <v>20</v>
      </c>
      <c r="AE3043" s="78" t="s">
        <v>72</v>
      </c>
      <c r="AF3043" s="78" t="s">
        <v>51</v>
      </c>
      <c r="AG3043" s="78" t="s">
        <v>626</v>
      </c>
      <c r="AH3043" s="78">
        <v>4.5270000000000001</v>
      </c>
      <c r="AJ3043" s="78" t="s">
        <v>74</v>
      </c>
      <c r="AK3043" s="78" t="s">
        <v>87</v>
      </c>
      <c r="AL3043" s="78" t="s">
        <v>25</v>
      </c>
      <c r="AM3043" s="78" t="s">
        <v>51</v>
      </c>
      <c r="AN3043" s="78" t="s">
        <v>566</v>
      </c>
      <c r="AO3043" s="78">
        <v>3.0949306211781802</v>
      </c>
    </row>
    <row r="3044" spans="29:41">
      <c r="AC3044" s="78" t="s">
        <v>53</v>
      </c>
      <c r="AD3044" s="78" t="s">
        <v>20</v>
      </c>
      <c r="AE3044" s="78" t="s">
        <v>72</v>
      </c>
      <c r="AF3044" s="78" t="s">
        <v>51</v>
      </c>
      <c r="AG3044" s="78" t="s">
        <v>627</v>
      </c>
      <c r="AH3044" s="78">
        <v>4.5270000000000001</v>
      </c>
      <c r="AJ3044" s="78" t="s">
        <v>74</v>
      </c>
      <c r="AK3044" s="78" t="s">
        <v>87</v>
      </c>
      <c r="AL3044" s="78" t="s">
        <v>25</v>
      </c>
      <c r="AM3044" s="78" t="s">
        <v>51</v>
      </c>
      <c r="AN3044" s="78" t="s">
        <v>567</v>
      </c>
      <c r="AO3044" s="78">
        <v>3.1214715085485301</v>
      </c>
    </row>
    <row r="3045" spans="29:41">
      <c r="AC3045" s="78" t="s">
        <v>53</v>
      </c>
      <c r="AD3045" s="78" t="s">
        <v>20</v>
      </c>
      <c r="AE3045" s="78" t="s">
        <v>72</v>
      </c>
      <c r="AF3045" s="78" t="s">
        <v>51</v>
      </c>
      <c r="AG3045" s="78" t="s">
        <v>628</v>
      </c>
      <c r="AH3045" s="78">
        <v>4.4633750000000001</v>
      </c>
      <c r="AJ3045" s="78" t="s">
        <v>74</v>
      </c>
      <c r="AK3045" s="78" t="s">
        <v>87</v>
      </c>
      <c r="AL3045" s="78" t="s">
        <v>25</v>
      </c>
      <c r="AM3045" s="78" t="s">
        <v>51</v>
      </c>
      <c r="AN3045" s="78" t="s">
        <v>568</v>
      </c>
      <c r="AO3045" s="78">
        <v>3.1384996351244299</v>
      </c>
    </row>
    <row r="3046" spans="29:41">
      <c r="AC3046" s="78" t="s">
        <v>53</v>
      </c>
      <c r="AD3046" s="78" t="s">
        <v>20</v>
      </c>
      <c r="AE3046" s="78" t="s">
        <v>72</v>
      </c>
      <c r="AF3046" s="78" t="s">
        <v>51</v>
      </c>
      <c r="AG3046" s="78" t="s">
        <v>629</v>
      </c>
      <c r="AH3046" s="78">
        <v>4.4314999999999998</v>
      </c>
      <c r="AJ3046" s="78" t="s">
        <v>74</v>
      </c>
      <c r="AK3046" s="78" t="s">
        <v>87</v>
      </c>
      <c r="AL3046" s="78" t="s">
        <v>25</v>
      </c>
      <c r="AM3046" s="78" t="s">
        <v>51</v>
      </c>
      <c r="AN3046" s="78" t="s">
        <v>569</v>
      </c>
      <c r="AO3046" s="78">
        <v>3.0451114987111199</v>
      </c>
    </row>
    <row r="3047" spans="29:41">
      <c r="AC3047" s="78" t="s">
        <v>53</v>
      </c>
      <c r="AD3047" s="78" t="s">
        <v>20</v>
      </c>
      <c r="AE3047" s="78" t="s">
        <v>72</v>
      </c>
      <c r="AF3047" s="78" t="s">
        <v>51</v>
      </c>
      <c r="AG3047" s="78" t="s">
        <v>630</v>
      </c>
      <c r="AH3047" s="78">
        <v>4.4633750000000001</v>
      </c>
      <c r="AJ3047" s="78" t="s">
        <v>74</v>
      </c>
      <c r="AK3047" s="78" t="s">
        <v>87</v>
      </c>
      <c r="AL3047" s="78" t="s">
        <v>25</v>
      </c>
      <c r="AM3047" s="78" t="s">
        <v>51</v>
      </c>
      <c r="AN3047" s="78" t="s">
        <v>570</v>
      </c>
      <c r="AO3047" s="78">
        <v>3.1031472109984501</v>
      </c>
    </row>
    <row r="3048" spans="29:41">
      <c r="AC3048" s="78" t="s">
        <v>53</v>
      </c>
      <c r="AD3048" s="78" t="s">
        <v>20</v>
      </c>
      <c r="AE3048" s="78" t="s">
        <v>72</v>
      </c>
      <c r="AF3048" s="78" t="s">
        <v>51</v>
      </c>
      <c r="AG3048" s="78" t="s">
        <v>631</v>
      </c>
      <c r="AH3048" s="78">
        <v>4.4314999999999998</v>
      </c>
      <c r="AJ3048" s="78" t="s">
        <v>74</v>
      </c>
      <c r="AK3048" s="78" t="s">
        <v>87</v>
      </c>
      <c r="AL3048" s="78" t="s">
        <v>25</v>
      </c>
      <c r="AM3048" s="78" t="s">
        <v>51</v>
      </c>
      <c r="AN3048" s="78" t="s">
        <v>571</v>
      </c>
      <c r="AO3048" s="78">
        <v>3.0761940067362201</v>
      </c>
    </row>
    <row r="3049" spans="29:41">
      <c r="AC3049" s="78" t="s">
        <v>53</v>
      </c>
      <c r="AD3049" s="78" t="s">
        <v>20</v>
      </c>
      <c r="AE3049" s="78" t="s">
        <v>72</v>
      </c>
      <c r="AF3049" s="78" t="s">
        <v>51</v>
      </c>
      <c r="AG3049" s="78" t="s">
        <v>632</v>
      </c>
      <c r="AH3049" s="78">
        <v>4.4311250000000006</v>
      </c>
      <c r="AJ3049" s="78" t="s">
        <v>74</v>
      </c>
      <c r="AK3049" s="78" t="s">
        <v>87</v>
      </c>
      <c r="AL3049" s="78" t="s">
        <v>25</v>
      </c>
      <c r="AM3049" s="78" t="s">
        <v>51</v>
      </c>
      <c r="AN3049" s="78" t="s">
        <v>572</v>
      </c>
      <c r="AO3049" s="78">
        <v>3.0731891921219798</v>
      </c>
    </row>
    <row r="3050" spans="29:41">
      <c r="AC3050" s="78" t="s">
        <v>53</v>
      </c>
      <c r="AD3050" s="78" t="s">
        <v>20</v>
      </c>
      <c r="AE3050" s="78" t="s">
        <v>72</v>
      </c>
      <c r="AF3050" s="78" t="s">
        <v>51</v>
      </c>
      <c r="AG3050" s="78" t="s">
        <v>633</v>
      </c>
      <c r="AH3050" s="78">
        <v>4.4951249999999998</v>
      </c>
      <c r="AJ3050" s="78" t="s">
        <v>74</v>
      </c>
      <c r="AK3050" s="78" t="s">
        <v>87</v>
      </c>
      <c r="AL3050" s="78" t="s">
        <v>25</v>
      </c>
      <c r="AM3050" s="78" t="s">
        <v>51</v>
      </c>
      <c r="AN3050" s="78" t="s">
        <v>573</v>
      </c>
      <c r="AO3050" s="78">
        <v>3.05308577181211</v>
      </c>
    </row>
    <row r="3051" spans="29:41">
      <c r="AC3051" s="78" t="s">
        <v>53</v>
      </c>
      <c r="AD3051" s="78" t="s">
        <v>20</v>
      </c>
      <c r="AE3051" s="78" t="s">
        <v>72</v>
      </c>
      <c r="AF3051" s="78" t="s">
        <v>51</v>
      </c>
      <c r="AG3051" s="78" t="s">
        <v>634</v>
      </c>
      <c r="AH3051" s="78">
        <v>4.4633750000000001</v>
      </c>
      <c r="AJ3051" s="78" t="s">
        <v>74</v>
      </c>
      <c r="AK3051" s="78" t="s">
        <v>87</v>
      </c>
      <c r="AL3051" s="78" t="s">
        <v>25</v>
      </c>
      <c r="AM3051" s="78" t="s">
        <v>51</v>
      </c>
      <c r="AN3051" s="78" t="s">
        <v>574</v>
      </c>
      <c r="AO3051" s="78">
        <v>3.0490468852483001</v>
      </c>
    </row>
    <row r="3052" spans="29:41">
      <c r="AC3052" s="78" t="s">
        <v>53</v>
      </c>
      <c r="AD3052" s="78" t="s">
        <v>20</v>
      </c>
      <c r="AE3052" s="78" t="s">
        <v>72</v>
      </c>
      <c r="AF3052" s="78" t="s">
        <v>51</v>
      </c>
      <c r="AG3052" s="78" t="s">
        <v>635</v>
      </c>
      <c r="AH3052" s="78">
        <v>4.4311250000000006</v>
      </c>
      <c r="AJ3052" s="78" t="s">
        <v>74</v>
      </c>
      <c r="AK3052" s="78" t="s">
        <v>87</v>
      </c>
      <c r="AL3052" s="78" t="s">
        <v>25</v>
      </c>
      <c r="AM3052" s="78" t="s">
        <v>51</v>
      </c>
      <c r="AN3052" s="78" t="s">
        <v>575</v>
      </c>
      <c r="AO3052" s="78">
        <v>3.0821770129948698</v>
      </c>
    </row>
    <row r="3053" spans="29:41">
      <c r="AC3053" s="78" t="s">
        <v>53</v>
      </c>
      <c r="AD3053" s="78" t="s">
        <v>20</v>
      </c>
      <c r="AE3053" s="78" t="s">
        <v>72</v>
      </c>
      <c r="AF3053" s="78" t="s">
        <v>51</v>
      </c>
      <c r="AG3053" s="78" t="s">
        <v>636</v>
      </c>
      <c r="AH3053" s="78">
        <v>4.3993750000000009</v>
      </c>
      <c r="AJ3053" s="78" t="s">
        <v>74</v>
      </c>
      <c r="AK3053" s="78" t="s">
        <v>87</v>
      </c>
      <c r="AL3053" s="78" t="s">
        <v>25</v>
      </c>
      <c r="AM3053" s="78" t="s">
        <v>51</v>
      </c>
      <c r="AN3053" s="78" t="s">
        <v>576</v>
      </c>
      <c r="AO3053" s="78">
        <v>3.03783768226076</v>
      </c>
    </row>
    <row r="3054" spans="29:41">
      <c r="AC3054" s="78" t="s">
        <v>53</v>
      </c>
      <c r="AD3054" s="78" t="s">
        <v>20</v>
      </c>
      <c r="AE3054" s="78" t="s">
        <v>72</v>
      </c>
      <c r="AF3054" s="78" t="s">
        <v>51</v>
      </c>
      <c r="AG3054" s="78" t="s">
        <v>637</v>
      </c>
      <c r="AH3054" s="78">
        <v>4.4311250000000006</v>
      </c>
      <c r="AJ3054" s="78" t="s">
        <v>74</v>
      </c>
      <c r="AK3054" s="78" t="s">
        <v>87</v>
      </c>
      <c r="AL3054" s="78" t="s">
        <v>25</v>
      </c>
      <c r="AM3054" s="78" t="s">
        <v>51</v>
      </c>
      <c r="AN3054" s="78" t="s">
        <v>577</v>
      </c>
      <c r="AO3054" s="78">
        <v>3.1230464878989399</v>
      </c>
    </row>
    <row r="3055" spans="29:41">
      <c r="AC3055" s="78" t="s">
        <v>53</v>
      </c>
      <c r="AD3055" s="78" t="s">
        <v>20</v>
      </c>
      <c r="AE3055" s="78" t="s">
        <v>72</v>
      </c>
      <c r="AF3055" s="78" t="s">
        <v>51</v>
      </c>
      <c r="AG3055" s="78" t="s">
        <v>638</v>
      </c>
      <c r="AH3055" s="78">
        <v>4.5270000000000001</v>
      </c>
      <c r="AJ3055" s="78" t="s">
        <v>74</v>
      </c>
      <c r="AK3055" s="78" t="s">
        <v>87</v>
      </c>
      <c r="AL3055" s="78" t="s">
        <v>25</v>
      </c>
      <c r="AM3055" s="78" t="s">
        <v>51</v>
      </c>
      <c r="AN3055" s="78" t="s">
        <v>578</v>
      </c>
      <c r="AO3055" s="78">
        <v>3.1861069346241799</v>
      </c>
    </row>
    <row r="3056" spans="29:41">
      <c r="AC3056" s="78" t="s">
        <v>53</v>
      </c>
      <c r="AD3056" s="78" t="s">
        <v>20</v>
      </c>
      <c r="AE3056" s="78" t="s">
        <v>72</v>
      </c>
      <c r="AF3056" s="78" t="s">
        <v>51</v>
      </c>
      <c r="AG3056" s="78" t="s">
        <v>639</v>
      </c>
      <c r="AH3056" s="78">
        <v>4.5270000000000001</v>
      </c>
      <c r="AJ3056" s="78" t="s">
        <v>74</v>
      </c>
      <c r="AK3056" s="78" t="s">
        <v>87</v>
      </c>
      <c r="AL3056" s="78" t="s">
        <v>25</v>
      </c>
      <c r="AM3056" s="78" t="s">
        <v>51</v>
      </c>
      <c r="AN3056" s="78" t="s">
        <v>579</v>
      </c>
      <c r="AO3056" s="78">
        <v>3.1835668268230601</v>
      </c>
    </row>
    <row r="3057" spans="29:41">
      <c r="AC3057" s="78" t="s">
        <v>53</v>
      </c>
      <c r="AD3057" s="78" t="s">
        <v>20</v>
      </c>
      <c r="AE3057" s="78" t="s">
        <v>72</v>
      </c>
      <c r="AF3057" s="78" t="s">
        <v>51</v>
      </c>
      <c r="AG3057" s="78" t="s">
        <v>640</v>
      </c>
      <c r="AH3057" s="78">
        <v>4.5587499999999999</v>
      </c>
      <c r="AJ3057" s="78" t="s">
        <v>74</v>
      </c>
      <c r="AK3057" s="78" t="s">
        <v>87</v>
      </c>
      <c r="AL3057" s="78" t="s">
        <v>25</v>
      </c>
      <c r="AM3057" s="78" t="s">
        <v>51</v>
      </c>
      <c r="AN3057" s="78" t="s">
        <v>580</v>
      </c>
      <c r="AO3057" s="78">
        <v>3.11336724887106</v>
      </c>
    </row>
    <row r="3058" spans="29:41">
      <c r="AC3058" s="78" t="s">
        <v>53</v>
      </c>
      <c r="AD3058" s="78" t="s">
        <v>20</v>
      </c>
      <c r="AE3058" s="78" t="s">
        <v>72</v>
      </c>
      <c r="AF3058" s="78" t="s">
        <v>51</v>
      </c>
      <c r="AG3058" s="78" t="s">
        <v>641</v>
      </c>
      <c r="AH3058" s="78">
        <v>4.5587499999999999</v>
      </c>
      <c r="AJ3058" s="78" t="s">
        <v>74</v>
      </c>
      <c r="AK3058" s="78" t="s">
        <v>87</v>
      </c>
      <c r="AL3058" s="78" t="s">
        <v>25</v>
      </c>
      <c r="AM3058" s="78" t="s">
        <v>51</v>
      </c>
      <c r="AN3058" s="78" t="s">
        <v>581</v>
      </c>
      <c r="AO3058" s="78">
        <v>3.1829132943818701</v>
      </c>
    </row>
    <row r="3059" spans="29:41">
      <c r="AC3059" s="78" t="s">
        <v>53</v>
      </c>
      <c r="AD3059" s="78" t="s">
        <v>20</v>
      </c>
      <c r="AE3059" s="78" t="s">
        <v>72</v>
      </c>
      <c r="AF3059" s="78" t="s">
        <v>51</v>
      </c>
      <c r="AG3059" s="78" t="s">
        <v>642</v>
      </c>
      <c r="AH3059" s="78">
        <v>4.6227499999999999</v>
      </c>
      <c r="AJ3059" s="78" t="s">
        <v>74</v>
      </c>
      <c r="AK3059" s="78" t="s">
        <v>87</v>
      </c>
      <c r="AL3059" s="78" t="s">
        <v>25</v>
      </c>
      <c r="AM3059" s="78" t="s">
        <v>51</v>
      </c>
      <c r="AN3059" s="78" t="s">
        <v>582</v>
      </c>
      <c r="AO3059" s="78">
        <v>3.2322949335607598</v>
      </c>
    </row>
    <row r="3060" spans="29:41">
      <c r="AC3060" s="78" t="s">
        <v>53</v>
      </c>
      <c r="AD3060" s="78" t="s">
        <v>20</v>
      </c>
      <c r="AE3060" s="78" t="s">
        <v>72</v>
      </c>
      <c r="AF3060" s="78" t="s">
        <v>51</v>
      </c>
      <c r="AG3060" s="78" t="s">
        <v>643</v>
      </c>
      <c r="AH3060" s="78">
        <v>4.6227499999999999</v>
      </c>
      <c r="AJ3060" s="78" t="s">
        <v>74</v>
      </c>
      <c r="AK3060" s="78" t="s">
        <v>87</v>
      </c>
      <c r="AL3060" s="78" t="s">
        <v>25</v>
      </c>
      <c r="AM3060" s="78" t="s">
        <v>51</v>
      </c>
      <c r="AN3060" s="78" t="s">
        <v>583</v>
      </c>
      <c r="AO3060" s="78">
        <v>3.2180488774769902</v>
      </c>
    </row>
    <row r="3061" spans="29:41">
      <c r="AC3061" s="78" t="s">
        <v>53</v>
      </c>
      <c r="AD3061" s="78" t="s">
        <v>20</v>
      </c>
      <c r="AE3061" s="78" t="s">
        <v>72</v>
      </c>
      <c r="AF3061" s="78" t="s">
        <v>51</v>
      </c>
      <c r="AG3061" s="78" t="s">
        <v>644</v>
      </c>
      <c r="AH3061" s="78">
        <v>4.6546249999999993</v>
      </c>
      <c r="AJ3061" s="78" t="s">
        <v>74</v>
      </c>
      <c r="AK3061" s="78" t="s">
        <v>87</v>
      </c>
      <c r="AL3061" s="78" t="s">
        <v>25</v>
      </c>
      <c r="AM3061" s="78" t="s">
        <v>51</v>
      </c>
      <c r="AN3061" s="78" t="s">
        <v>584</v>
      </c>
      <c r="AO3061" s="78">
        <v>3.19076268089509</v>
      </c>
    </row>
    <row r="3062" spans="29:41">
      <c r="AC3062" s="78" t="s">
        <v>53</v>
      </c>
      <c r="AD3062" s="78" t="s">
        <v>20</v>
      </c>
      <c r="AE3062" s="78" t="s">
        <v>72</v>
      </c>
      <c r="AF3062" s="78" t="s">
        <v>51</v>
      </c>
      <c r="AG3062" s="78" t="s">
        <v>645</v>
      </c>
      <c r="AH3062" s="78">
        <v>4.6546249999999993</v>
      </c>
      <c r="AJ3062" s="78" t="s">
        <v>74</v>
      </c>
      <c r="AK3062" s="78" t="s">
        <v>87</v>
      </c>
      <c r="AL3062" s="78" t="s">
        <v>25</v>
      </c>
      <c r="AM3062" s="78" t="s">
        <v>51</v>
      </c>
      <c r="AN3062" s="78" t="s">
        <v>585</v>
      </c>
      <c r="AO3062" s="78">
        <v>3.1841018118348199</v>
      </c>
    </row>
    <row r="3063" spans="29:41">
      <c r="AC3063" s="78" t="s">
        <v>53</v>
      </c>
      <c r="AD3063" s="78" t="s">
        <v>20</v>
      </c>
      <c r="AE3063" s="78" t="s">
        <v>72</v>
      </c>
      <c r="AF3063" s="78" t="s">
        <v>51</v>
      </c>
      <c r="AG3063" s="78" t="s">
        <v>646</v>
      </c>
      <c r="AH3063" s="78">
        <v>4.6227499999999999</v>
      </c>
      <c r="AJ3063" s="78" t="s">
        <v>74</v>
      </c>
      <c r="AK3063" s="78" t="s">
        <v>87</v>
      </c>
      <c r="AL3063" s="78" t="s">
        <v>25</v>
      </c>
      <c r="AM3063" s="78" t="s">
        <v>51</v>
      </c>
      <c r="AN3063" s="78" t="s">
        <v>586</v>
      </c>
      <c r="AO3063" s="78">
        <v>3.1648459578607699</v>
      </c>
    </row>
    <row r="3064" spans="29:41">
      <c r="AC3064" s="78" t="s">
        <v>53</v>
      </c>
      <c r="AD3064" s="78" t="s">
        <v>20</v>
      </c>
      <c r="AE3064" s="78" t="s">
        <v>72</v>
      </c>
      <c r="AF3064" s="78" t="s">
        <v>51</v>
      </c>
      <c r="AG3064" s="78" t="s">
        <v>647</v>
      </c>
      <c r="AH3064" s="78">
        <v>4.5910000000000002</v>
      </c>
      <c r="AJ3064" s="78" t="s">
        <v>74</v>
      </c>
      <c r="AK3064" s="78" t="s">
        <v>87</v>
      </c>
      <c r="AL3064" s="78" t="s">
        <v>25</v>
      </c>
      <c r="AM3064" s="78" t="s">
        <v>51</v>
      </c>
      <c r="AN3064" s="78" t="s">
        <v>587</v>
      </c>
      <c r="AO3064" s="78">
        <v>3.18917499104727</v>
      </c>
    </row>
    <row r="3065" spans="29:41">
      <c r="AC3065" s="78" t="s">
        <v>53</v>
      </c>
      <c r="AD3065" s="78" t="s">
        <v>20</v>
      </c>
      <c r="AE3065" s="78" t="s">
        <v>72</v>
      </c>
      <c r="AF3065" s="78" t="s">
        <v>51</v>
      </c>
      <c r="AG3065" s="78" t="s">
        <v>648</v>
      </c>
      <c r="AH3065" s="78">
        <v>4.6227499999999999</v>
      </c>
      <c r="AJ3065" s="78" t="s">
        <v>74</v>
      </c>
      <c r="AK3065" s="78" t="s">
        <v>87</v>
      </c>
      <c r="AL3065" s="78" t="s">
        <v>25</v>
      </c>
      <c r="AM3065" s="78" t="s">
        <v>51</v>
      </c>
      <c r="AN3065" s="78" t="s">
        <v>588</v>
      </c>
      <c r="AO3065" s="78">
        <v>3.1752248472544302</v>
      </c>
    </row>
    <row r="3066" spans="29:41">
      <c r="AC3066" s="78" t="s">
        <v>53</v>
      </c>
      <c r="AD3066" s="78" t="s">
        <v>20</v>
      </c>
      <c r="AE3066" s="78" t="s">
        <v>72</v>
      </c>
      <c r="AF3066" s="78" t="s">
        <v>51</v>
      </c>
      <c r="AG3066" s="78" t="s">
        <v>649</v>
      </c>
      <c r="AH3066" s="78">
        <v>4.5910000000000002</v>
      </c>
      <c r="AJ3066" s="78" t="s">
        <v>74</v>
      </c>
      <c r="AK3066" s="78" t="s">
        <v>87</v>
      </c>
      <c r="AL3066" s="78" t="s">
        <v>25</v>
      </c>
      <c r="AM3066" s="78" t="s">
        <v>51</v>
      </c>
      <c r="AN3066" s="78" t="s">
        <v>589</v>
      </c>
      <c r="AO3066" s="78">
        <v>3.1937009048335998</v>
      </c>
    </row>
    <row r="3067" spans="29:41">
      <c r="AC3067" s="78" t="s">
        <v>53</v>
      </c>
      <c r="AD3067" s="78" t="s">
        <v>20</v>
      </c>
      <c r="AE3067" s="78" t="s">
        <v>72</v>
      </c>
      <c r="AF3067" s="78" t="s">
        <v>51</v>
      </c>
      <c r="AG3067" s="78" t="s">
        <v>650</v>
      </c>
      <c r="AH3067" s="78">
        <v>4.6227499999999999</v>
      </c>
      <c r="AJ3067" s="78" t="s">
        <v>74</v>
      </c>
      <c r="AK3067" s="78" t="s">
        <v>87</v>
      </c>
      <c r="AL3067" s="78" t="s">
        <v>25</v>
      </c>
      <c r="AM3067" s="78" t="s">
        <v>51</v>
      </c>
      <c r="AN3067" s="78" t="s">
        <v>590</v>
      </c>
      <c r="AO3067" s="78">
        <v>3.12563821963785</v>
      </c>
    </row>
    <row r="3068" spans="29:41">
      <c r="AC3068" s="78" t="s">
        <v>53</v>
      </c>
      <c r="AD3068" s="78" t="s">
        <v>20</v>
      </c>
      <c r="AE3068" s="78" t="s">
        <v>72</v>
      </c>
      <c r="AF3068" s="78" t="s">
        <v>51</v>
      </c>
      <c r="AG3068" s="78" t="s">
        <v>651</v>
      </c>
      <c r="AH3068" s="78">
        <v>4.5910000000000002</v>
      </c>
      <c r="AJ3068" s="78" t="s">
        <v>74</v>
      </c>
      <c r="AK3068" s="78" t="s">
        <v>87</v>
      </c>
      <c r="AL3068" s="78" t="s">
        <v>25</v>
      </c>
      <c r="AM3068" s="78" t="s">
        <v>51</v>
      </c>
      <c r="AN3068" s="78" t="s">
        <v>591</v>
      </c>
      <c r="AO3068" s="78">
        <v>3.11144834473152</v>
      </c>
    </row>
    <row r="3069" spans="29:41">
      <c r="AC3069" s="78" t="s">
        <v>53</v>
      </c>
      <c r="AD3069" s="78" t="s">
        <v>20</v>
      </c>
      <c r="AE3069" s="78" t="s">
        <v>72</v>
      </c>
      <c r="AF3069" s="78" t="s">
        <v>51</v>
      </c>
      <c r="AG3069" s="78" t="s">
        <v>652</v>
      </c>
      <c r="AH3069" s="78">
        <v>4.5910000000000002</v>
      </c>
      <c r="AJ3069" s="78" t="s">
        <v>74</v>
      </c>
      <c r="AK3069" s="78" t="s">
        <v>87</v>
      </c>
      <c r="AL3069" s="78" t="s">
        <v>25</v>
      </c>
      <c r="AM3069" s="78" t="s">
        <v>51</v>
      </c>
      <c r="AN3069" s="78" t="s">
        <v>592</v>
      </c>
      <c r="AO3069" s="78">
        <v>3.06145355695508</v>
      </c>
    </row>
    <row r="3070" spans="29:41">
      <c r="AC3070" s="78" t="s">
        <v>53</v>
      </c>
      <c r="AD3070" s="78" t="s">
        <v>20</v>
      </c>
      <c r="AE3070" s="78" t="s">
        <v>72</v>
      </c>
      <c r="AF3070" s="78" t="s">
        <v>51</v>
      </c>
      <c r="AG3070" s="78" t="s">
        <v>653</v>
      </c>
      <c r="AH3070" s="78">
        <v>4.6227499999999999</v>
      </c>
      <c r="AJ3070" s="78" t="s">
        <v>74</v>
      </c>
      <c r="AK3070" s="78" t="s">
        <v>87</v>
      </c>
      <c r="AL3070" s="78" t="s">
        <v>25</v>
      </c>
      <c r="AM3070" s="78" t="s">
        <v>51</v>
      </c>
      <c r="AN3070" s="78" t="s">
        <v>754</v>
      </c>
      <c r="AO3070" s="78">
        <v>3.1159737913786199</v>
      </c>
    </row>
    <row r="3071" spans="29:41">
      <c r="AC3071" s="78" t="s">
        <v>53</v>
      </c>
      <c r="AD3071" s="78" t="s">
        <v>20</v>
      </c>
      <c r="AE3071" s="78" t="s">
        <v>72</v>
      </c>
      <c r="AF3071" s="78" t="s">
        <v>51</v>
      </c>
      <c r="AG3071" s="78" t="s">
        <v>654</v>
      </c>
      <c r="AH3071" s="78">
        <v>4.6227499999999999</v>
      </c>
      <c r="AJ3071" s="78" t="s">
        <v>74</v>
      </c>
      <c r="AK3071" s="78" t="s">
        <v>87</v>
      </c>
      <c r="AL3071" s="78" t="s">
        <v>25</v>
      </c>
      <c r="AM3071" s="78" t="s">
        <v>51</v>
      </c>
      <c r="AN3071" s="78" t="s">
        <v>593</v>
      </c>
      <c r="AO3071" s="78">
        <v>3.1266954027246601</v>
      </c>
    </row>
    <row r="3072" spans="29:41">
      <c r="AC3072" s="78" t="s">
        <v>53</v>
      </c>
      <c r="AD3072" s="78" t="s">
        <v>20</v>
      </c>
      <c r="AE3072" s="78" t="s">
        <v>72</v>
      </c>
      <c r="AF3072" s="78" t="s">
        <v>51</v>
      </c>
      <c r="AG3072" s="78" t="s">
        <v>655</v>
      </c>
      <c r="AH3072" s="78">
        <v>4.6227499999999999</v>
      </c>
      <c r="AJ3072" s="78" t="s">
        <v>74</v>
      </c>
      <c r="AK3072" s="78" t="s">
        <v>87</v>
      </c>
      <c r="AL3072" s="78" t="s">
        <v>25</v>
      </c>
      <c r="AM3072" s="78" t="s">
        <v>51</v>
      </c>
      <c r="AN3072" s="78" t="s">
        <v>594</v>
      </c>
      <c r="AO3072" s="78">
        <v>3.14587454818964</v>
      </c>
    </row>
    <row r="3073" spans="29:41">
      <c r="AC3073" s="78" t="s">
        <v>53</v>
      </c>
      <c r="AD3073" s="78" t="s">
        <v>20</v>
      </c>
      <c r="AE3073" s="78" t="s">
        <v>72</v>
      </c>
      <c r="AF3073" s="78" t="s">
        <v>51</v>
      </c>
      <c r="AG3073" s="78" t="s">
        <v>656</v>
      </c>
      <c r="AH3073" s="78">
        <v>4.6227499999999999</v>
      </c>
      <c r="AJ3073" s="78" t="s">
        <v>74</v>
      </c>
      <c r="AK3073" s="78" t="s">
        <v>87</v>
      </c>
      <c r="AL3073" s="78" t="s">
        <v>25</v>
      </c>
      <c r="AM3073" s="78" t="s">
        <v>51</v>
      </c>
      <c r="AN3073" s="78" t="s">
        <v>595</v>
      </c>
      <c r="AO3073" s="78">
        <v>3.1762657063573001</v>
      </c>
    </row>
    <row r="3074" spans="29:41">
      <c r="AC3074" s="78" t="s">
        <v>53</v>
      </c>
      <c r="AD3074" s="78" t="s">
        <v>20</v>
      </c>
      <c r="AE3074" s="78" t="s">
        <v>72</v>
      </c>
      <c r="AF3074" s="78" t="s">
        <v>51</v>
      </c>
      <c r="AG3074" s="78" t="s">
        <v>657</v>
      </c>
      <c r="AH3074" s="78">
        <v>4.6227499999999999</v>
      </c>
      <c r="AJ3074" s="78" t="s">
        <v>74</v>
      </c>
      <c r="AK3074" s="78" t="s">
        <v>87</v>
      </c>
      <c r="AL3074" s="78" t="s">
        <v>25</v>
      </c>
      <c r="AM3074" s="78" t="s">
        <v>51</v>
      </c>
      <c r="AN3074" s="78" t="s">
        <v>596</v>
      </c>
      <c r="AO3074" s="78">
        <v>3.2164698384240098</v>
      </c>
    </row>
    <row r="3075" spans="29:41">
      <c r="AC3075" s="78" t="s">
        <v>53</v>
      </c>
      <c r="AD3075" s="78" t="s">
        <v>20</v>
      </c>
      <c r="AE3075" s="78" t="s">
        <v>72</v>
      </c>
      <c r="AF3075" s="78" t="s">
        <v>51</v>
      </c>
      <c r="AG3075" s="78" t="s">
        <v>658</v>
      </c>
      <c r="AH3075" s="78">
        <v>4.5270000000000001</v>
      </c>
      <c r="AJ3075" s="78" t="s">
        <v>74</v>
      </c>
      <c r="AK3075" s="78" t="s">
        <v>87</v>
      </c>
      <c r="AL3075" s="78" t="s">
        <v>25</v>
      </c>
      <c r="AM3075" s="78" t="s">
        <v>51</v>
      </c>
      <c r="AN3075" s="78" t="s">
        <v>597</v>
      </c>
      <c r="AO3075" s="78">
        <v>3.1651345268873601</v>
      </c>
    </row>
    <row r="3076" spans="29:41">
      <c r="AC3076" s="78" t="s">
        <v>53</v>
      </c>
      <c r="AD3076" s="78" t="s">
        <v>20</v>
      </c>
      <c r="AE3076" s="78" t="s">
        <v>72</v>
      </c>
      <c r="AF3076" s="78" t="s">
        <v>51</v>
      </c>
      <c r="AG3076" s="78" t="s">
        <v>659</v>
      </c>
      <c r="AH3076" s="78">
        <v>4.5587499999999999</v>
      </c>
      <c r="AJ3076" s="78" t="s">
        <v>74</v>
      </c>
      <c r="AK3076" s="78" t="s">
        <v>87</v>
      </c>
      <c r="AL3076" s="78" t="s">
        <v>25</v>
      </c>
      <c r="AM3076" s="78" t="s">
        <v>51</v>
      </c>
      <c r="AN3076" s="78" t="s">
        <v>598</v>
      </c>
      <c r="AO3076" s="78">
        <v>3.1413763100515402</v>
      </c>
    </row>
    <row r="3077" spans="29:41">
      <c r="AC3077" s="78" t="s">
        <v>53</v>
      </c>
      <c r="AD3077" s="78" t="s">
        <v>20</v>
      </c>
      <c r="AE3077" s="78" t="s">
        <v>72</v>
      </c>
      <c r="AF3077" s="78" t="s">
        <v>51</v>
      </c>
      <c r="AG3077" s="78" t="s">
        <v>660</v>
      </c>
      <c r="AH3077" s="78">
        <v>4.5587499999999999</v>
      </c>
      <c r="AJ3077" s="78" t="s">
        <v>74</v>
      </c>
      <c r="AK3077" s="78" t="s">
        <v>87</v>
      </c>
      <c r="AL3077" s="78" t="s">
        <v>25</v>
      </c>
      <c r="AM3077" s="78" t="s">
        <v>51</v>
      </c>
      <c r="AN3077" s="78" t="s">
        <v>599</v>
      </c>
      <c r="AO3077" s="78">
        <v>3.15611019744426</v>
      </c>
    </row>
    <row r="3078" spans="29:41">
      <c r="AC3078" s="78" t="s">
        <v>53</v>
      </c>
      <c r="AD3078" s="78" t="s">
        <v>20</v>
      </c>
      <c r="AE3078" s="78" t="s">
        <v>72</v>
      </c>
      <c r="AF3078" s="78" t="s">
        <v>51</v>
      </c>
      <c r="AG3078" s="78" t="s">
        <v>661</v>
      </c>
      <c r="AH3078" s="78">
        <v>4.5587499999999999</v>
      </c>
      <c r="AJ3078" s="78" t="s">
        <v>74</v>
      </c>
      <c r="AK3078" s="78" t="s">
        <v>87</v>
      </c>
      <c r="AL3078" s="78" t="s">
        <v>25</v>
      </c>
      <c r="AM3078" s="78" t="s">
        <v>51</v>
      </c>
      <c r="AN3078" s="78" t="s">
        <v>600</v>
      </c>
      <c r="AO3078" s="78">
        <v>3.1530775330962602</v>
      </c>
    </row>
    <row r="3079" spans="29:41">
      <c r="AC3079" s="78" t="s">
        <v>53</v>
      </c>
      <c r="AD3079" s="78" t="s">
        <v>20</v>
      </c>
      <c r="AE3079" s="78" t="s">
        <v>72</v>
      </c>
      <c r="AF3079" s="78" t="s">
        <v>51</v>
      </c>
      <c r="AG3079" s="78" t="s">
        <v>662</v>
      </c>
      <c r="AH3079" s="78">
        <v>4.5587499999999999</v>
      </c>
      <c r="AJ3079" s="78" t="s">
        <v>74</v>
      </c>
      <c r="AK3079" s="78" t="s">
        <v>87</v>
      </c>
      <c r="AL3079" s="78" t="s">
        <v>25</v>
      </c>
      <c r="AM3079" s="78" t="s">
        <v>51</v>
      </c>
      <c r="AN3079" s="78" t="s">
        <v>601</v>
      </c>
      <c r="AO3079" s="78">
        <v>3.1200244614852002</v>
      </c>
    </row>
    <row r="3080" spans="29:41">
      <c r="AC3080" s="78" t="s">
        <v>53</v>
      </c>
      <c r="AD3080" s="78" t="s">
        <v>20</v>
      </c>
      <c r="AE3080" s="78" t="s">
        <v>72</v>
      </c>
      <c r="AF3080" s="78" t="s">
        <v>51</v>
      </c>
      <c r="AG3080" s="78" t="s">
        <v>663</v>
      </c>
      <c r="AH3080" s="78">
        <v>4.5910000000000002</v>
      </c>
      <c r="AJ3080" s="78" t="s">
        <v>74</v>
      </c>
      <c r="AK3080" s="78" t="s">
        <v>87</v>
      </c>
      <c r="AL3080" s="78" t="s">
        <v>25</v>
      </c>
      <c r="AM3080" s="78" t="s">
        <v>51</v>
      </c>
      <c r="AN3080" s="78" t="s">
        <v>602</v>
      </c>
      <c r="AO3080" s="78">
        <v>3.0479406911303002</v>
      </c>
    </row>
    <row r="3081" spans="29:41">
      <c r="AC3081" s="78" t="s">
        <v>53</v>
      </c>
      <c r="AD3081" s="78" t="s">
        <v>20</v>
      </c>
      <c r="AE3081" s="78" t="s">
        <v>72</v>
      </c>
      <c r="AF3081" s="78" t="s">
        <v>51</v>
      </c>
      <c r="AG3081" s="78" t="s">
        <v>664</v>
      </c>
      <c r="AH3081" s="78">
        <v>4.5910000000000002</v>
      </c>
      <c r="AJ3081" s="78" t="s">
        <v>74</v>
      </c>
      <c r="AK3081" s="78" t="s">
        <v>87</v>
      </c>
      <c r="AL3081" s="78" t="s">
        <v>25</v>
      </c>
      <c r="AM3081" s="78" t="s">
        <v>51</v>
      </c>
      <c r="AN3081" s="78" t="s">
        <v>603</v>
      </c>
      <c r="AO3081" s="78">
        <v>3.1104332506902499</v>
      </c>
    </row>
    <row r="3082" spans="29:41">
      <c r="AC3082" s="78" t="s">
        <v>53</v>
      </c>
      <c r="AD3082" s="78" t="s">
        <v>20</v>
      </c>
      <c r="AE3082" s="78" t="s">
        <v>72</v>
      </c>
      <c r="AF3082" s="78" t="s">
        <v>51</v>
      </c>
      <c r="AG3082" s="78" t="s">
        <v>665</v>
      </c>
      <c r="AH3082" s="78">
        <v>4.5910000000000002</v>
      </c>
      <c r="AJ3082" s="78" t="s">
        <v>74</v>
      </c>
      <c r="AK3082" s="78" t="s">
        <v>87</v>
      </c>
      <c r="AL3082" s="78" t="s">
        <v>25</v>
      </c>
      <c r="AM3082" s="78" t="s">
        <v>51</v>
      </c>
      <c r="AN3082" s="78" t="s">
        <v>604</v>
      </c>
      <c r="AO3082" s="78">
        <v>3.10342915438406</v>
      </c>
    </row>
    <row r="3083" spans="29:41">
      <c r="AC3083" s="78" t="s">
        <v>53</v>
      </c>
      <c r="AD3083" s="78" t="s">
        <v>20</v>
      </c>
      <c r="AE3083" s="78" t="s">
        <v>72</v>
      </c>
      <c r="AF3083" s="78" t="s">
        <v>51</v>
      </c>
      <c r="AG3083" s="78" t="s">
        <v>666</v>
      </c>
      <c r="AH3083" s="78">
        <v>4.5910000000000002</v>
      </c>
      <c r="AJ3083" s="78" t="s">
        <v>74</v>
      </c>
      <c r="AK3083" s="78" t="s">
        <v>87</v>
      </c>
      <c r="AL3083" s="78" t="s">
        <v>25</v>
      </c>
      <c r="AM3083" s="78" t="s">
        <v>51</v>
      </c>
      <c r="AN3083" s="78" t="s">
        <v>605</v>
      </c>
      <c r="AO3083" s="78">
        <v>3.20642025134075</v>
      </c>
    </row>
    <row r="3084" spans="29:41">
      <c r="AC3084" s="78" t="s">
        <v>53</v>
      </c>
      <c r="AD3084" s="78" t="s">
        <v>20</v>
      </c>
      <c r="AE3084" s="78" t="s">
        <v>72</v>
      </c>
      <c r="AF3084" s="78" t="s">
        <v>51</v>
      </c>
      <c r="AG3084" s="78" t="s">
        <v>667</v>
      </c>
      <c r="AH3084" s="78">
        <v>4.5910000000000002</v>
      </c>
      <c r="AJ3084" s="78" t="s">
        <v>74</v>
      </c>
      <c r="AK3084" s="78" t="s">
        <v>87</v>
      </c>
      <c r="AL3084" s="78" t="s">
        <v>25</v>
      </c>
      <c r="AM3084" s="78" t="s">
        <v>51</v>
      </c>
      <c r="AN3084" s="78" t="s">
        <v>606</v>
      </c>
      <c r="AO3084" s="78">
        <v>3.2342757341067498</v>
      </c>
    </row>
    <row r="3085" spans="29:41">
      <c r="AC3085" s="78" t="s">
        <v>53</v>
      </c>
      <c r="AD3085" s="78" t="s">
        <v>20</v>
      </c>
      <c r="AE3085" s="78" t="s">
        <v>72</v>
      </c>
      <c r="AF3085" s="78" t="s">
        <v>51</v>
      </c>
      <c r="AG3085" s="78" t="s">
        <v>668</v>
      </c>
      <c r="AH3085" s="78">
        <v>4.5587499999999999</v>
      </c>
      <c r="AJ3085" s="78" t="s">
        <v>74</v>
      </c>
      <c r="AK3085" s="78" t="s">
        <v>87</v>
      </c>
      <c r="AL3085" s="78" t="s">
        <v>25</v>
      </c>
      <c r="AM3085" s="78" t="s">
        <v>51</v>
      </c>
      <c r="AN3085" s="78" t="s">
        <v>607</v>
      </c>
      <c r="AO3085" s="78">
        <v>3.2320225363083699</v>
      </c>
    </row>
    <row r="3086" spans="29:41">
      <c r="AC3086" s="78" t="s">
        <v>53</v>
      </c>
      <c r="AD3086" s="78" t="s">
        <v>20</v>
      </c>
      <c r="AE3086" s="78" t="s">
        <v>72</v>
      </c>
      <c r="AF3086" s="78" t="s">
        <v>51</v>
      </c>
      <c r="AG3086" s="78" t="s">
        <v>669</v>
      </c>
      <c r="AH3086" s="78">
        <v>4.5910000000000002</v>
      </c>
      <c r="AJ3086" s="78" t="s">
        <v>74</v>
      </c>
      <c r="AK3086" s="78" t="s">
        <v>87</v>
      </c>
      <c r="AL3086" s="78" t="s">
        <v>25</v>
      </c>
      <c r="AM3086" s="78" t="s">
        <v>51</v>
      </c>
      <c r="AN3086" s="78" t="s">
        <v>608</v>
      </c>
      <c r="AO3086" s="78">
        <v>3.22523463201723</v>
      </c>
    </row>
    <row r="3087" spans="29:41">
      <c r="AC3087" s="78" t="s">
        <v>53</v>
      </c>
      <c r="AD3087" s="78" t="s">
        <v>20</v>
      </c>
      <c r="AE3087" s="78" t="s">
        <v>72</v>
      </c>
      <c r="AF3087" s="78" t="s">
        <v>51</v>
      </c>
      <c r="AG3087" s="78" t="s">
        <v>670</v>
      </c>
      <c r="AH3087" s="78">
        <v>4.5587499999999999</v>
      </c>
      <c r="AJ3087" s="78" t="s">
        <v>74</v>
      </c>
      <c r="AK3087" s="78" t="s">
        <v>87</v>
      </c>
      <c r="AL3087" s="78" t="s">
        <v>25</v>
      </c>
      <c r="AM3087" s="78" t="s">
        <v>51</v>
      </c>
      <c r="AN3087" s="78" t="s">
        <v>609</v>
      </c>
      <c r="AO3087" s="78">
        <v>3.2431556019799901</v>
      </c>
    </row>
    <row r="3088" spans="29:41">
      <c r="AC3088" s="78" t="s">
        <v>53</v>
      </c>
      <c r="AD3088" s="78" t="s">
        <v>20</v>
      </c>
      <c r="AE3088" s="78" t="s">
        <v>72</v>
      </c>
      <c r="AF3088" s="78" t="s">
        <v>51</v>
      </c>
      <c r="AG3088" s="78" t="s">
        <v>671</v>
      </c>
      <c r="AH3088" s="78">
        <v>4.5587499999999999</v>
      </c>
      <c r="AJ3088" s="78" t="s">
        <v>74</v>
      </c>
      <c r="AK3088" s="78" t="s">
        <v>87</v>
      </c>
      <c r="AL3088" s="78" t="s">
        <v>25</v>
      </c>
      <c r="AM3088" s="78" t="s">
        <v>51</v>
      </c>
      <c r="AN3088" s="78" t="s">
        <v>610</v>
      </c>
      <c r="AO3088" s="78">
        <v>3.2819752362601502</v>
      </c>
    </row>
    <row r="3089" spans="29:41">
      <c r="AC3089" s="78" t="s">
        <v>53</v>
      </c>
      <c r="AD3089" s="78" t="s">
        <v>20</v>
      </c>
      <c r="AE3089" s="78" t="s">
        <v>72</v>
      </c>
      <c r="AF3089" s="78" t="s">
        <v>51</v>
      </c>
      <c r="AG3089" s="78" t="s">
        <v>672</v>
      </c>
      <c r="AH3089" s="78">
        <v>4.5587499999999999</v>
      </c>
      <c r="AJ3089" s="78" t="s">
        <v>74</v>
      </c>
      <c r="AK3089" s="78" t="s">
        <v>87</v>
      </c>
      <c r="AL3089" s="78" t="s">
        <v>25</v>
      </c>
      <c r="AM3089" s="78" t="s">
        <v>51</v>
      </c>
      <c r="AN3089" s="78" t="s">
        <v>611</v>
      </c>
      <c r="AO3089" s="78">
        <v>3.3406216672638802</v>
      </c>
    </row>
    <row r="3090" spans="29:41">
      <c r="AC3090" s="78" t="s">
        <v>53</v>
      </c>
      <c r="AD3090" s="78" t="s">
        <v>20</v>
      </c>
      <c r="AE3090" s="78" t="s">
        <v>72</v>
      </c>
      <c r="AF3090" s="78" t="s">
        <v>51</v>
      </c>
      <c r="AG3090" s="78" t="s">
        <v>673</v>
      </c>
      <c r="AH3090" s="78">
        <v>4.5910000000000002</v>
      </c>
      <c r="AJ3090" s="78" t="s">
        <v>74</v>
      </c>
      <c r="AK3090" s="78" t="s">
        <v>87</v>
      </c>
      <c r="AL3090" s="78" t="s">
        <v>25</v>
      </c>
      <c r="AM3090" s="78" t="s">
        <v>51</v>
      </c>
      <c r="AN3090" s="78" t="s">
        <v>612</v>
      </c>
      <c r="AO3090" s="78">
        <v>3.3206925533128699</v>
      </c>
    </row>
    <row r="3091" spans="29:41">
      <c r="AC3091" s="78" t="s">
        <v>53</v>
      </c>
      <c r="AD3091" s="78" t="s">
        <v>20</v>
      </c>
      <c r="AE3091" s="78" t="s">
        <v>72</v>
      </c>
      <c r="AF3091" s="78" t="s">
        <v>51</v>
      </c>
      <c r="AG3091" s="78" t="s">
        <v>674</v>
      </c>
      <c r="AH3091" s="78">
        <v>4.5910000000000002</v>
      </c>
      <c r="AJ3091" s="78" t="s">
        <v>74</v>
      </c>
      <c r="AK3091" s="78" t="s">
        <v>87</v>
      </c>
      <c r="AL3091" s="78" t="s">
        <v>25</v>
      </c>
      <c r="AM3091" s="78" t="s">
        <v>51</v>
      </c>
      <c r="AN3091" s="78" t="s">
        <v>613</v>
      </c>
      <c r="AO3091" s="78">
        <v>3.35448233982074</v>
      </c>
    </row>
    <row r="3092" spans="29:41">
      <c r="AC3092" s="78" t="s">
        <v>53</v>
      </c>
      <c r="AD3092" s="78" t="s">
        <v>20</v>
      </c>
      <c r="AE3092" s="78" t="s">
        <v>72</v>
      </c>
      <c r="AF3092" s="78" t="s">
        <v>51</v>
      </c>
      <c r="AG3092" s="78" t="s">
        <v>675</v>
      </c>
      <c r="AH3092" s="78">
        <v>4.6227499999999999</v>
      </c>
      <c r="AJ3092" s="78" t="s">
        <v>74</v>
      </c>
      <c r="AK3092" s="78" t="s">
        <v>87</v>
      </c>
      <c r="AL3092" s="78" t="s">
        <v>25</v>
      </c>
      <c r="AM3092" s="78" t="s">
        <v>51</v>
      </c>
      <c r="AN3092" s="78" t="s">
        <v>614</v>
      </c>
      <c r="AO3092" s="78">
        <v>3.3507469979464899</v>
      </c>
    </row>
    <row r="3093" spans="29:41">
      <c r="AC3093" s="78" t="s">
        <v>53</v>
      </c>
      <c r="AD3093" s="78" t="s">
        <v>20</v>
      </c>
      <c r="AE3093" s="78" t="s">
        <v>72</v>
      </c>
      <c r="AF3093" s="78" t="s">
        <v>51</v>
      </c>
      <c r="AG3093" s="78" t="s">
        <v>676</v>
      </c>
      <c r="AH3093" s="78">
        <v>4.5910000000000002</v>
      </c>
      <c r="AJ3093" s="78" t="s">
        <v>74</v>
      </c>
      <c r="AK3093" s="78" t="s">
        <v>87</v>
      </c>
      <c r="AL3093" s="78" t="s">
        <v>25</v>
      </c>
      <c r="AM3093" s="78" t="s">
        <v>51</v>
      </c>
      <c r="AN3093" s="78" t="s">
        <v>615</v>
      </c>
      <c r="AO3093" s="78">
        <v>3.2454530703247602</v>
      </c>
    </row>
    <row r="3094" spans="29:41">
      <c r="AC3094" s="78" t="s">
        <v>53</v>
      </c>
      <c r="AD3094" s="78" t="s">
        <v>20</v>
      </c>
      <c r="AE3094" s="78" t="s">
        <v>72</v>
      </c>
      <c r="AF3094" s="78" t="s">
        <v>51</v>
      </c>
      <c r="AG3094" s="78" t="s">
        <v>677</v>
      </c>
      <c r="AH3094" s="78">
        <v>4.6546249999999993</v>
      </c>
      <c r="AJ3094" s="78" t="s">
        <v>74</v>
      </c>
      <c r="AK3094" s="78" t="s">
        <v>87</v>
      </c>
      <c r="AL3094" s="78" t="s">
        <v>25</v>
      </c>
      <c r="AM3094" s="78" t="s">
        <v>51</v>
      </c>
      <c r="AN3094" s="78" t="s">
        <v>616</v>
      </c>
      <c r="AO3094" s="78">
        <v>3.2604043069453401</v>
      </c>
    </row>
    <row r="3095" spans="29:41">
      <c r="AC3095" s="78" t="s">
        <v>53</v>
      </c>
      <c r="AD3095" s="78" t="s">
        <v>20</v>
      </c>
      <c r="AE3095" s="78" t="s">
        <v>72</v>
      </c>
      <c r="AF3095" s="78" t="s">
        <v>51</v>
      </c>
      <c r="AG3095" s="78" t="s">
        <v>678</v>
      </c>
      <c r="AH3095" s="78">
        <v>4.6546249999999993</v>
      </c>
      <c r="AJ3095" s="78" t="s">
        <v>74</v>
      </c>
      <c r="AK3095" s="78" t="s">
        <v>87</v>
      </c>
      <c r="AL3095" s="78" t="s">
        <v>25</v>
      </c>
      <c r="AM3095" s="78" t="s">
        <v>51</v>
      </c>
      <c r="AN3095" s="78" t="s">
        <v>617</v>
      </c>
      <c r="AO3095" s="78">
        <v>3.2371023816739601</v>
      </c>
    </row>
    <row r="3096" spans="29:41">
      <c r="AC3096" s="78" t="s">
        <v>53</v>
      </c>
      <c r="AD3096" s="78" t="s">
        <v>20</v>
      </c>
      <c r="AE3096" s="78" t="s">
        <v>72</v>
      </c>
      <c r="AF3096" s="78" t="s">
        <v>51</v>
      </c>
      <c r="AG3096" s="78" t="s">
        <v>679</v>
      </c>
      <c r="AH3096" s="78">
        <v>4.686375</v>
      </c>
      <c r="AJ3096" s="78" t="s">
        <v>74</v>
      </c>
      <c r="AK3096" s="78" t="s">
        <v>87</v>
      </c>
      <c r="AL3096" s="78" t="s">
        <v>25</v>
      </c>
      <c r="AM3096" s="78" t="s">
        <v>51</v>
      </c>
      <c r="AN3096" s="78" t="s">
        <v>618</v>
      </c>
      <c r="AO3096" s="78">
        <v>3.2160937594911698</v>
      </c>
    </row>
    <row r="3097" spans="29:41">
      <c r="AC3097" s="78" t="s">
        <v>53</v>
      </c>
      <c r="AD3097" s="78" t="s">
        <v>20</v>
      </c>
      <c r="AE3097" s="78" t="s">
        <v>72</v>
      </c>
      <c r="AF3097" s="78" t="s">
        <v>51</v>
      </c>
      <c r="AG3097" s="78" t="s">
        <v>680</v>
      </c>
      <c r="AH3097" s="78">
        <v>4.686375</v>
      </c>
      <c r="AJ3097" s="78" t="s">
        <v>74</v>
      </c>
      <c r="AK3097" s="78" t="s">
        <v>87</v>
      </c>
      <c r="AL3097" s="78" t="s">
        <v>25</v>
      </c>
      <c r="AM3097" s="78" t="s">
        <v>51</v>
      </c>
      <c r="AN3097" s="78" t="s">
        <v>619</v>
      </c>
      <c r="AO3097" s="78">
        <v>3.1691629122543801</v>
      </c>
    </row>
    <row r="3098" spans="29:41">
      <c r="AC3098" s="78" t="s">
        <v>53</v>
      </c>
      <c r="AD3098" s="78" t="s">
        <v>20</v>
      </c>
      <c r="AE3098" s="78" t="s">
        <v>72</v>
      </c>
      <c r="AF3098" s="78" t="s">
        <v>51</v>
      </c>
      <c r="AG3098" s="78" t="s">
        <v>681</v>
      </c>
      <c r="AH3098" s="78">
        <v>4.686375</v>
      </c>
      <c r="AJ3098" s="78" t="s">
        <v>74</v>
      </c>
      <c r="AK3098" s="78" t="s">
        <v>87</v>
      </c>
      <c r="AL3098" s="78" t="s">
        <v>25</v>
      </c>
      <c r="AM3098" s="78" t="s">
        <v>51</v>
      </c>
      <c r="AN3098" s="78" t="s">
        <v>620</v>
      </c>
      <c r="AO3098" s="78">
        <v>3.13601308669194</v>
      </c>
    </row>
    <row r="3099" spans="29:41">
      <c r="AC3099" s="78" t="s">
        <v>53</v>
      </c>
      <c r="AD3099" s="78" t="s">
        <v>20</v>
      </c>
      <c r="AE3099" s="78" t="s">
        <v>72</v>
      </c>
      <c r="AF3099" s="78" t="s">
        <v>51</v>
      </c>
      <c r="AG3099" s="78" t="s">
        <v>682</v>
      </c>
      <c r="AH3099" s="78">
        <v>4.686375</v>
      </c>
      <c r="AJ3099" s="78" t="s">
        <v>74</v>
      </c>
      <c r="AK3099" s="78" t="s">
        <v>87</v>
      </c>
      <c r="AL3099" s="78" t="s">
        <v>25</v>
      </c>
      <c r="AM3099" s="78" t="s">
        <v>51</v>
      </c>
      <c r="AN3099" s="78" t="s">
        <v>621</v>
      </c>
      <c r="AO3099" s="78">
        <v>3.16228142903738</v>
      </c>
    </row>
    <row r="3100" spans="29:41">
      <c r="AC3100" s="78" t="s">
        <v>53</v>
      </c>
      <c r="AD3100" s="78" t="s">
        <v>20</v>
      </c>
      <c r="AE3100" s="78" t="s">
        <v>72</v>
      </c>
      <c r="AF3100" s="78" t="s">
        <v>51</v>
      </c>
      <c r="AG3100" s="78" t="s">
        <v>683</v>
      </c>
      <c r="AH3100" s="78">
        <v>4.686375</v>
      </c>
      <c r="AJ3100" s="78" t="s">
        <v>74</v>
      </c>
      <c r="AK3100" s="78" t="s">
        <v>87</v>
      </c>
      <c r="AL3100" s="78" t="s">
        <v>25</v>
      </c>
      <c r="AM3100" s="78" t="s">
        <v>51</v>
      </c>
      <c r="AN3100" s="78" t="s">
        <v>622</v>
      </c>
      <c r="AO3100" s="78">
        <v>3.1557690807885401</v>
      </c>
    </row>
    <row r="3101" spans="29:41">
      <c r="AC3101" s="78" t="s">
        <v>53</v>
      </c>
      <c r="AD3101" s="78" t="s">
        <v>20</v>
      </c>
      <c r="AE3101" s="78" t="s">
        <v>72</v>
      </c>
      <c r="AF3101" s="78" t="s">
        <v>51</v>
      </c>
      <c r="AG3101" s="78" t="s">
        <v>684</v>
      </c>
      <c r="AH3101" s="78">
        <v>4.6546249999999993</v>
      </c>
      <c r="AJ3101" s="78" t="s">
        <v>74</v>
      </c>
      <c r="AK3101" s="78" t="s">
        <v>87</v>
      </c>
      <c r="AL3101" s="78" t="s">
        <v>25</v>
      </c>
      <c r="AM3101" s="78" t="s">
        <v>51</v>
      </c>
      <c r="AN3101" s="78" t="s">
        <v>623</v>
      </c>
      <c r="AO3101" s="78">
        <v>3.12573819371962</v>
      </c>
    </row>
    <row r="3102" spans="29:41">
      <c r="AC3102" s="78" t="s">
        <v>53</v>
      </c>
      <c r="AD3102" s="78" t="s">
        <v>20</v>
      </c>
      <c r="AE3102" s="78" t="s">
        <v>72</v>
      </c>
      <c r="AF3102" s="78" t="s">
        <v>51</v>
      </c>
      <c r="AG3102" s="78" t="s">
        <v>685</v>
      </c>
      <c r="AH3102" s="78">
        <v>4.686375</v>
      </c>
      <c r="AJ3102" s="78" t="s">
        <v>74</v>
      </c>
      <c r="AK3102" s="78" t="s">
        <v>87</v>
      </c>
      <c r="AL3102" s="78" t="s">
        <v>25</v>
      </c>
      <c r="AM3102" s="78" t="s">
        <v>51</v>
      </c>
      <c r="AN3102" s="78" t="s">
        <v>624</v>
      </c>
      <c r="AO3102" s="78">
        <v>3.17921056091257</v>
      </c>
    </row>
    <row r="3103" spans="29:41">
      <c r="AC3103" s="78" t="s">
        <v>53</v>
      </c>
      <c r="AD3103" s="78" t="s">
        <v>20</v>
      </c>
      <c r="AE3103" s="78" t="s">
        <v>72</v>
      </c>
      <c r="AF3103" s="78" t="s">
        <v>51</v>
      </c>
      <c r="AG3103" s="78" t="s">
        <v>686</v>
      </c>
      <c r="AH3103" s="78">
        <v>4.6546249999999993</v>
      </c>
      <c r="AJ3103" s="78" t="s">
        <v>74</v>
      </c>
      <c r="AK3103" s="78" t="s">
        <v>87</v>
      </c>
      <c r="AL3103" s="78" t="s">
        <v>25</v>
      </c>
      <c r="AM3103" s="78" t="s">
        <v>51</v>
      </c>
      <c r="AN3103" s="78" t="s">
        <v>625</v>
      </c>
      <c r="AO3103" s="78">
        <v>3.14154244535563</v>
      </c>
    </row>
    <row r="3104" spans="29:41">
      <c r="AC3104" s="78" t="s">
        <v>53</v>
      </c>
      <c r="AD3104" s="78" t="s">
        <v>20</v>
      </c>
      <c r="AE3104" s="78" t="s">
        <v>72</v>
      </c>
      <c r="AF3104" s="78" t="s">
        <v>51</v>
      </c>
      <c r="AG3104" s="78" t="s">
        <v>687</v>
      </c>
      <c r="AH3104" s="78">
        <v>4.686375</v>
      </c>
      <c r="AJ3104" s="78" t="s">
        <v>74</v>
      </c>
      <c r="AK3104" s="78" t="s">
        <v>87</v>
      </c>
      <c r="AL3104" s="78" t="s">
        <v>25</v>
      </c>
      <c r="AM3104" s="78" t="s">
        <v>51</v>
      </c>
      <c r="AN3104" s="78" t="s">
        <v>626</v>
      </c>
      <c r="AO3104" s="78">
        <v>3.1654132061037701</v>
      </c>
    </row>
    <row r="3105" spans="29:41">
      <c r="AC3105" s="78" t="s">
        <v>53</v>
      </c>
      <c r="AD3105" s="78" t="s">
        <v>20</v>
      </c>
      <c r="AE3105" s="78" t="s">
        <v>72</v>
      </c>
      <c r="AF3105" s="78" t="s">
        <v>51</v>
      </c>
      <c r="AG3105" s="78" t="s">
        <v>688</v>
      </c>
      <c r="AH3105" s="78">
        <v>4.750375</v>
      </c>
      <c r="AJ3105" s="78" t="s">
        <v>74</v>
      </c>
      <c r="AK3105" s="78" t="s">
        <v>87</v>
      </c>
      <c r="AL3105" s="78" t="s">
        <v>25</v>
      </c>
      <c r="AM3105" s="78" t="s">
        <v>51</v>
      </c>
      <c r="AN3105" s="78" t="s">
        <v>627</v>
      </c>
      <c r="AO3105" s="78">
        <v>3.1464660335213801</v>
      </c>
    </row>
    <row r="3106" spans="29:41">
      <c r="AC3106" s="78" t="s">
        <v>53</v>
      </c>
      <c r="AD3106" s="78" t="s">
        <v>20</v>
      </c>
      <c r="AE3106" s="78" t="s">
        <v>72</v>
      </c>
      <c r="AF3106" s="78" t="s">
        <v>51</v>
      </c>
      <c r="AG3106" s="78" t="s">
        <v>689</v>
      </c>
      <c r="AH3106" s="78">
        <v>4.7506250000000003</v>
      </c>
      <c r="AJ3106" s="78" t="s">
        <v>74</v>
      </c>
      <c r="AK3106" s="78" t="s">
        <v>87</v>
      </c>
      <c r="AL3106" s="78" t="s">
        <v>25</v>
      </c>
      <c r="AM3106" s="78" t="s">
        <v>51</v>
      </c>
      <c r="AN3106" s="78" t="s">
        <v>628</v>
      </c>
      <c r="AO3106" s="78">
        <v>3.0927700686783002</v>
      </c>
    </row>
    <row r="3107" spans="29:41">
      <c r="AC3107" s="78" t="s">
        <v>53</v>
      </c>
      <c r="AD3107" s="78" t="s">
        <v>20</v>
      </c>
      <c r="AE3107" s="78" t="s">
        <v>72</v>
      </c>
      <c r="AF3107" s="78" t="s">
        <v>51</v>
      </c>
      <c r="AG3107" s="78" t="s">
        <v>690</v>
      </c>
      <c r="AH3107" s="78">
        <v>4.7824999999999998</v>
      </c>
      <c r="AJ3107" s="78" t="s">
        <v>74</v>
      </c>
      <c r="AK3107" s="78" t="s">
        <v>87</v>
      </c>
      <c r="AL3107" s="78" t="s">
        <v>25</v>
      </c>
      <c r="AM3107" s="78" t="s">
        <v>51</v>
      </c>
      <c r="AN3107" s="78" t="s">
        <v>629</v>
      </c>
      <c r="AO3107" s="78">
        <v>3.0853787320257</v>
      </c>
    </row>
    <row r="3108" spans="29:41">
      <c r="AC3108" s="78" t="s">
        <v>53</v>
      </c>
      <c r="AD3108" s="78" t="s">
        <v>20</v>
      </c>
      <c r="AE3108" s="78" t="s">
        <v>72</v>
      </c>
      <c r="AF3108" s="78" t="s">
        <v>51</v>
      </c>
      <c r="AG3108" s="78" t="s">
        <v>691</v>
      </c>
      <c r="AH3108" s="78">
        <v>4.7824999999999998</v>
      </c>
      <c r="AJ3108" s="78" t="s">
        <v>74</v>
      </c>
      <c r="AK3108" s="78" t="s">
        <v>87</v>
      </c>
      <c r="AL3108" s="78" t="s">
        <v>25</v>
      </c>
      <c r="AM3108" s="78" t="s">
        <v>51</v>
      </c>
      <c r="AN3108" s="78" t="s">
        <v>630</v>
      </c>
      <c r="AO3108" s="78">
        <v>3.0998224631634499</v>
      </c>
    </row>
    <row r="3109" spans="29:41">
      <c r="AC3109" s="78" t="s">
        <v>53</v>
      </c>
      <c r="AD3109" s="78" t="s">
        <v>20</v>
      </c>
      <c r="AE3109" s="78" t="s">
        <v>72</v>
      </c>
      <c r="AF3109" s="78" t="s">
        <v>51</v>
      </c>
      <c r="AG3109" s="78" t="s">
        <v>692</v>
      </c>
      <c r="AH3109" s="78">
        <v>4.7824999999999998</v>
      </c>
      <c r="AJ3109" s="78" t="s">
        <v>74</v>
      </c>
      <c r="AK3109" s="78" t="s">
        <v>87</v>
      </c>
      <c r="AL3109" s="78" t="s">
        <v>25</v>
      </c>
      <c r="AM3109" s="78" t="s">
        <v>51</v>
      </c>
      <c r="AN3109" s="78" t="s">
        <v>631</v>
      </c>
      <c r="AO3109" s="78">
        <v>3.0807227057386499</v>
      </c>
    </row>
    <row r="3110" spans="29:41">
      <c r="AC3110" s="78" t="s">
        <v>53</v>
      </c>
      <c r="AD3110" s="78" t="s">
        <v>20</v>
      </c>
      <c r="AE3110" s="78" t="s">
        <v>72</v>
      </c>
      <c r="AF3110" s="78" t="s">
        <v>51</v>
      </c>
      <c r="AG3110" s="78" t="s">
        <v>693</v>
      </c>
      <c r="AH3110" s="78">
        <v>4.8142499999999995</v>
      </c>
      <c r="AJ3110" s="78" t="s">
        <v>74</v>
      </c>
      <c r="AK3110" s="78" t="s">
        <v>87</v>
      </c>
      <c r="AL3110" s="78" t="s">
        <v>25</v>
      </c>
      <c r="AM3110" s="78" t="s">
        <v>51</v>
      </c>
      <c r="AN3110" s="78" t="s">
        <v>632</v>
      </c>
      <c r="AO3110" s="78">
        <v>3.1209189236978601</v>
      </c>
    </row>
    <row r="3111" spans="29:41">
      <c r="AC3111" s="78" t="s">
        <v>53</v>
      </c>
      <c r="AD3111" s="78" t="s">
        <v>20</v>
      </c>
      <c r="AE3111" s="78" t="s">
        <v>72</v>
      </c>
      <c r="AF3111" s="78" t="s">
        <v>51</v>
      </c>
      <c r="AG3111" s="78" t="s">
        <v>694</v>
      </c>
      <c r="AH3111" s="78">
        <v>4.7506250000000003</v>
      </c>
      <c r="AJ3111" s="78" t="s">
        <v>74</v>
      </c>
      <c r="AK3111" s="78" t="s">
        <v>87</v>
      </c>
      <c r="AL3111" s="78" t="s">
        <v>25</v>
      </c>
      <c r="AM3111" s="78" t="s">
        <v>51</v>
      </c>
      <c r="AN3111" s="78" t="s">
        <v>633</v>
      </c>
      <c r="AO3111" s="78">
        <v>3.1141964081853302</v>
      </c>
    </row>
    <row r="3112" spans="29:41">
      <c r="AC3112" s="78" t="s">
        <v>53</v>
      </c>
      <c r="AD3112" s="78" t="s">
        <v>20</v>
      </c>
      <c r="AE3112" s="78" t="s">
        <v>72</v>
      </c>
      <c r="AF3112" s="78" t="s">
        <v>51</v>
      </c>
      <c r="AG3112" s="78" t="s">
        <v>695</v>
      </c>
      <c r="AH3112" s="78">
        <v>4.7824999999999998</v>
      </c>
      <c r="AJ3112" s="78" t="s">
        <v>74</v>
      </c>
      <c r="AK3112" s="78" t="s">
        <v>87</v>
      </c>
      <c r="AL3112" s="78" t="s">
        <v>25</v>
      </c>
      <c r="AM3112" s="78" t="s">
        <v>51</v>
      </c>
      <c r="AN3112" s="78" t="s">
        <v>634</v>
      </c>
      <c r="AO3112" s="78">
        <v>3.0374940248305098</v>
      </c>
    </row>
    <row r="3113" spans="29:41">
      <c r="AC3113" s="78" t="s">
        <v>53</v>
      </c>
      <c r="AD3113" s="78" t="s">
        <v>20</v>
      </c>
      <c r="AE3113" s="78" t="s">
        <v>72</v>
      </c>
      <c r="AF3113" s="78" t="s">
        <v>51</v>
      </c>
      <c r="AG3113" s="78" t="s">
        <v>696</v>
      </c>
      <c r="AH3113" s="78">
        <v>4.6866249999999994</v>
      </c>
      <c r="AJ3113" s="78" t="s">
        <v>74</v>
      </c>
      <c r="AK3113" s="78" t="s">
        <v>87</v>
      </c>
      <c r="AL3113" s="78" t="s">
        <v>25</v>
      </c>
      <c r="AM3113" s="78" t="s">
        <v>51</v>
      </c>
      <c r="AN3113" s="78" t="s">
        <v>635</v>
      </c>
      <c r="AO3113" s="78">
        <v>3.0385942417440401</v>
      </c>
    </row>
    <row r="3114" spans="29:41">
      <c r="AC3114" s="78" t="s">
        <v>53</v>
      </c>
      <c r="AD3114" s="78" t="s">
        <v>20</v>
      </c>
      <c r="AE3114" s="78" t="s">
        <v>72</v>
      </c>
      <c r="AF3114" s="78" t="s">
        <v>51</v>
      </c>
      <c r="AG3114" s="78" t="s">
        <v>697</v>
      </c>
      <c r="AH3114" s="78">
        <v>4.7824999999999998</v>
      </c>
      <c r="AJ3114" s="78" t="s">
        <v>74</v>
      </c>
      <c r="AK3114" s="78" t="s">
        <v>87</v>
      </c>
      <c r="AL3114" s="78" t="s">
        <v>25</v>
      </c>
      <c r="AM3114" s="78" t="s">
        <v>51</v>
      </c>
      <c r="AN3114" s="78" t="s">
        <v>636</v>
      </c>
      <c r="AO3114" s="78">
        <v>2.9754212603526402</v>
      </c>
    </row>
    <row r="3115" spans="29:41">
      <c r="AC3115" s="78" t="s">
        <v>53</v>
      </c>
      <c r="AD3115" s="78" t="s">
        <v>20</v>
      </c>
      <c r="AE3115" s="78" t="s">
        <v>72</v>
      </c>
      <c r="AF3115" s="78" t="s">
        <v>51</v>
      </c>
      <c r="AG3115" s="78" t="s">
        <v>698</v>
      </c>
      <c r="AH3115" s="78">
        <v>4.7824999999999998</v>
      </c>
      <c r="AJ3115" s="78" t="s">
        <v>74</v>
      </c>
      <c r="AK3115" s="78" t="s">
        <v>87</v>
      </c>
      <c r="AL3115" s="78" t="s">
        <v>25</v>
      </c>
      <c r="AM3115" s="78" t="s">
        <v>51</v>
      </c>
      <c r="AN3115" s="78" t="s">
        <v>637</v>
      </c>
      <c r="AO3115" s="78">
        <v>2.98409934955184</v>
      </c>
    </row>
    <row r="3116" spans="29:41">
      <c r="AC3116" s="78" t="s">
        <v>53</v>
      </c>
      <c r="AD3116" s="78" t="s">
        <v>20</v>
      </c>
      <c r="AE3116" s="78" t="s">
        <v>72</v>
      </c>
      <c r="AF3116" s="78" t="s">
        <v>51</v>
      </c>
      <c r="AG3116" s="78" t="s">
        <v>699</v>
      </c>
      <c r="AH3116" s="78">
        <v>4.7506250000000003</v>
      </c>
      <c r="AJ3116" s="78" t="s">
        <v>74</v>
      </c>
      <c r="AK3116" s="78" t="s">
        <v>87</v>
      </c>
      <c r="AL3116" s="78" t="s">
        <v>25</v>
      </c>
      <c r="AM3116" s="78" t="s">
        <v>51</v>
      </c>
      <c r="AN3116" s="78" t="s">
        <v>638</v>
      </c>
      <c r="AO3116" s="78">
        <v>2.9250473100689098</v>
      </c>
    </row>
    <row r="3117" spans="29:41">
      <c r="AC3117" s="78" t="s">
        <v>53</v>
      </c>
      <c r="AD3117" s="78" t="s">
        <v>20</v>
      </c>
      <c r="AE3117" s="78" t="s">
        <v>72</v>
      </c>
      <c r="AF3117" s="78" t="s">
        <v>51</v>
      </c>
      <c r="AG3117" s="78" t="s">
        <v>700</v>
      </c>
      <c r="AH3117" s="78">
        <v>4.7506250000000003</v>
      </c>
      <c r="AJ3117" s="78" t="s">
        <v>74</v>
      </c>
      <c r="AK3117" s="78" t="s">
        <v>87</v>
      </c>
      <c r="AL3117" s="78" t="s">
        <v>25</v>
      </c>
      <c r="AM3117" s="78" t="s">
        <v>51</v>
      </c>
      <c r="AN3117" s="78" t="s">
        <v>639</v>
      </c>
      <c r="AO3117" s="78">
        <v>2.9490872231359599</v>
      </c>
    </row>
    <row r="3118" spans="29:41">
      <c r="AC3118" s="78" t="s">
        <v>53</v>
      </c>
      <c r="AD3118" s="78" t="s">
        <v>20</v>
      </c>
      <c r="AE3118" s="78" t="s">
        <v>72</v>
      </c>
      <c r="AF3118" s="78" t="s">
        <v>51</v>
      </c>
      <c r="AG3118" s="78" t="s">
        <v>701</v>
      </c>
      <c r="AH3118" s="78">
        <v>4.7506250000000003</v>
      </c>
      <c r="AJ3118" s="78" t="s">
        <v>74</v>
      </c>
      <c r="AK3118" s="78" t="s">
        <v>87</v>
      </c>
      <c r="AL3118" s="78" t="s">
        <v>25</v>
      </c>
      <c r="AM3118" s="78" t="s">
        <v>51</v>
      </c>
      <c r="AN3118" s="78" t="s">
        <v>640</v>
      </c>
      <c r="AO3118" s="78">
        <v>2.98817605273842</v>
      </c>
    </row>
    <row r="3119" spans="29:41">
      <c r="AC3119" s="78" t="s">
        <v>53</v>
      </c>
      <c r="AD3119" s="78" t="s">
        <v>20</v>
      </c>
      <c r="AE3119" s="78" t="s">
        <v>72</v>
      </c>
      <c r="AF3119" s="78" t="s">
        <v>51</v>
      </c>
      <c r="AG3119" s="78" t="s">
        <v>702</v>
      </c>
      <c r="AH3119" s="78">
        <v>4.7506250000000003</v>
      </c>
      <c r="AJ3119" s="78" t="s">
        <v>74</v>
      </c>
      <c r="AK3119" s="78" t="s">
        <v>87</v>
      </c>
      <c r="AL3119" s="78" t="s">
        <v>25</v>
      </c>
      <c r="AM3119" s="78" t="s">
        <v>51</v>
      </c>
      <c r="AN3119" s="78" t="s">
        <v>641</v>
      </c>
      <c r="AO3119" s="78">
        <v>2.9809859854313698</v>
      </c>
    </row>
    <row r="3120" spans="29:41">
      <c r="AC3120" s="78" t="s">
        <v>53</v>
      </c>
      <c r="AD3120" s="78" t="s">
        <v>20</v>
      </c>
      <c r="AE3120" s="78" t="s">
        <v>72</v>
      </c>
      <c r="AF3120" s="78" t="s">
        <v>51</v>
      </c>
      <c r="AG3120" s="78" t="s">
        <v>703</v>
      </c>
      <c r="AH3120" s="78">
        <v>4.7824999999999998</v>
      </c>
      <c r="AJ3120" s="78" t="s">
        <v>74</v>
      </c>
      <c r="AK3120" s="78" t="s">
        <v>87</v>
      </c>
      <c r="AL3120" s="78" t="s">
        <v>25</v>
      </c>
      <c r="AM3120" s="78" t="s">
        <v>51</v>
      </c>
      <c r="AN3120" s="78" t="s">
        <v>642</v>
      </c>
      <c r="AO3120" s="78">
        <v>3.0169909715329202</v>
      </c>
    </row>
    <row r="3121" spans="29:41">
      <c r="AC3121" s="78" t="s">
        <v>53</v>
      </c>
      <c r="AD3121" s="78" t="s">
        <v>20</v>
      </c>
      <c r="AE3121" s="78" t="s">
        <v>72</v>
      </c>
      <c r="AF3121" s="78" t="s">
        <v>51</v>
      </c>
      <c r="AG3121" s="78" t="s">
        <v>704</v>
      </c>
      <c r="AH3121" s="78">
        <v>4.7824999999999998</v>
      </c>
      <c r="AJ3121" s="78" t="s">
        <v>74</v>
      </c>
      <c r="AK3121" s="78" t="s">
        <v>87</v>
      </c>
      <c r="AL3121" s="78" t="s">
        <v>25</v>
      </c>
      <c r="AM3121" s="78" t="s">
        <v>51</v>
      </c>
      <c r="AN3121" s="78" t="s">
        <v>643</v>
      </c>
      <c r="AO3121" s="78">
        <v>3.0874346795919401</v>
      </c>
    </row>
    <row r="3122" spans="29:41">
      <c r="AC3122" s="78" t="s">
        <v>53</v>
      </c>
      <c r="AD3122" s="78" t="s">
        <v>20</v>
      </c>
      <c r="AE3122" s="78" t="s">
        <v>72</v>
      </c>
      <c r="AF3122" s="78" t="s">
        <v>51</v>
      </c>
      <c r="AG3122" s="78" t="s">
        <v>705</v>
      </c>
      <c r="AH3122" s="78">
        <v>4.7824999999999998</v>
      </c>
      <c r="AJ3122" s="78" t="s">
        <v>74</v>
      </c>
      <c r="AK3122" s="78" t="s">
        <v>87</v>
      </c>
      <c r="AL3122" s="78" t="s">
        <v>25</v>
      </c>
      <c r="AM3122" s="78" t="s">
        <v>51</v>
      </c>
      <c r="AN3122" s="78" t="s">
        <v>644</v>
      </c>
      <c r="AO3122" s="78">
        <v>3.0602135791338601</v>
      </c>
    </row>
    <row r="3123" spans="29:41">
      <c r="AC3123" s="78" t="s">
        <v>53</v>
      </c>
      <c r="AD3123" s="78" t="s">
        <v>20</v>
      </c>
      <c r="AE3123" s="78" t="s">
        <v>72</v>
      </c>
      <c r="AF3123" s="78" t="s">
        <v>51</v>
      </c>
      <c r="AG3123" s="78" t="s">
        <v>706</v>
      </c>
      <c r="AH3123" s="78">
        <v>4.7824999999999998</v>
      </c>
      <c r="AJ3123" s="78" t="s">
        <v>74</v>
      </c>
      <c r="AK3123" s="78" t="s">
        <v>87</v>
      </c>
      <c r="AL3123" s="78" t="s">
        <v>25</v>
      </c>
      <c r="AM3123" s="78" t="s">
        <v>51</v>
      </c>
      <c r="AN3123" s="78" t="s">
        <v>645</v>
      </c>
      <c r="AO3123" s="78">
        <v>3.0345757133158</v>
      </c>
    </row>
    <row r="3124" spans="29:41">
      <c r="AC3124" s="78" t="s">
        <v>53</v>
      </c>
      <c r="AD3124" s="78" t="s">
        <v>20</v>
      </c>
      <c r="AE3124" s="78" t="s">
        <v>72</v>
      </c>
      <c r="AF3124" s="78" t="s">
        <v>51</v>
      </c>
      <c r="AG3124" s="78" t="s">
        <v>707</v>
      </c>
      <c r="AH3124" s="78">
        <v>4.7824999999999998</v>
      </c>
      <c r="AJ3124" s="78" t="s">
        <v>74</v>
      </c>
      <c r="AK3124" s="78" t="s">
        <v>87</v>
      </c>
      <c r="AL3124" s="78" t="s">
        <v>25</v>
      </c>
      <c r="AM3124" s="78" t="s">
        <v>51</v>
      </c>
      <c r="AN3124" s="78" t="s">
        <v>646</v>
      </c>
      <c r="AO3124" s="78">
        <v>3.0168102354422901</v>
      </c>
    </row>
    <row r="3125" spans="29:41">
      <c r="AC3125" s="78" t="s">
        <v>53</v>
      </c>
      <c r="AD3125" s="78" t="s">
        <v>20</v>
      </c>
      <c r="AE3125" s="78" t="s">
        <v>72</v>
      </c>
      <c r="AF3125" s="78" t="s">
        <v>51</v>
      </c>
      <c r="AG3125" s="78" t="s">
        <v>708</v>
      </c>
      <c r="AH3125" s="78">
        <v>4.7506250000000003</v>
      </c>
      <c r="AJ3125" s="78" t="s">
        <v>74</v>
      </c>
      <c r="AK3125" s="78" t="s">
        <v>87</v>
      </c>
      <c r="AL3125" s="78" t="s">
        <v>25</v>
      </c>
      <c r="AM3125" s="78" t="s">
        <v>51</v>
      </c>
      <c r="AN3125" s="78" t="s">
        <v>647</v>
      </c>
      <c r="AO3125" s="78">
        <v>3.0580560556291201</v>
      </c>
    </row>
    <row r="3126" spans="29:41">
      <c r="AC3126" s="78" t="s">
        <v>53</v>
      </c>
      <c r="AD3126" s="78" t="s">
        <v>20</v>
      </c>
      <c r="AE3126" s="78" t="s">
        <v>72</v>
      </c>
      <c r="AF3126" s="78" t="s">
        <v>51</v>
      </c>
      <c r="AG3126" s="78" t="s">
        <v>709</v>
      </c>
      <c r="AH3126" s="78">
        <v>4.7824999999999998</v>
      </c>
      <c r="AJ3126" s="78" t="s">
        <v>74</v>
      </c>
      <c r="AK3126" s="78" t="s">
        <v>87</v>
      </c>
      <c r="AL3126" s="78" t="s">
        <v>25</v>
      </c>
      <c r="AM3126" s="78" t="s">
        <v>51</v>
      </c>
      <c r="AN3126" s="78" t="s">
        <v>648</v>
      </c>
      <c r="AO3126" s="78">
        <v>3.02195489821497</v>
      </c>
    </row>
    <row r="3127" spans="29:41">
      <c r="AC3127" s="78" t="s">
        <v>53</v>
      </c>
      <c r="AD3127" s="78" t="s">
        <v>20</v>
      </c>
      <c r="AE3127" s="78" t="s">
        <v>72</v>
      </c>
      <c r="AF3127" s="78" t="s">
        <v>51</v>
      </c>
      <c r="AG3127" s="78" t="s">
        <v>710</v>
      </c>
      <c r="AH3127" s="78">
        <v>4.7824999999999998</v>
      </c>
      <c r="AJ3127" s="78" t="s">
        <v>74</v>
      </c>
      <c r="AK3127" s="78" t="s">
        <v>87</v>
      </c>
      <c r="AL3127" s="78" t="s">
        <v>25</v>
      </c>
      <c r="AM3127" s="78" t="s">
        <v>51</v>
      </c>
      <c r="AN3127" s="78" t="s">
        <v>649</v>
      </c>
      <c r="AO3127" s="78">
        <v>3.04669100104817</v>
      </c>
    </row>
    <row r="3128" spans="29:41">
      <c r="AC3128" s="78" t="s">
        <v>53</v>
      </c>
      <c r="AD3128" s="78" t="s">
        <v>20</v>
      </c>
      <c r="AE3128" s="78" t="s">
        <v>72</v>
      </c>
      <c r="AF3128" s="78" t="s">
        <v>51</v>
      </c>
      <c r="AG3128" s="78" t="s">
        <v>711</v>
      </c>
      <c r="AH3128" s="78">
        <v>4.7824999999999998</v>
      </c>
      <c r="AJ3128" s="78" t="s">
        <v>74</v>
      </c>
      <c r="AK3128" s="78" t="s">
        <v>87</v>
      </c>
      <c r="AL3128" s="78" t="s">
        <v>25</v>
      </c>
      <c r="AM3128" s="78" t="s">
        <v>51</v>
      </c>
      <c r="AN3128" s="78" t="s">
        <v>650</v>
      </c>
      <c r="AO3128" s="78">
        <v>3.0837456473004301</v>
      </c>
    </row>
    <row r="3129" spans="29:41">
      <c r="AC3129" s="78" t="s">
        <v>53</v>
      </c>
      <c r="AD3129" s="78" t="s">
        <v>20</v>
      </c>
      <c r="AE3129" s="78" t="s">
        <v>72</v>
      </c>
      <c r="AF3129" s="78" t="s">
        <v>51</v>
      </c>
      <c r="AG3129" s="78" t="s">
        <v>712</v>
      </c>
      <c r="AH3129" s="78">
        <v>4.7824999999999998</v>
      </c>
      <c r="AJ3129" s="78" t="s">
        <v>74</v>
      </c>
      <c r="AK3129" s="78" t="s">
        <v>87</v>
      </c>
      <c r="AL3129" s="78" t="s">
        <v>25</v>
      </c>
      <c r="AM3129" s="78" t="s">
        <v>51</v>
      </c>
      <c r="AN3129" s="78" t="s">
        <v>651</v>
      </c>
      <c r="AO3129" s="78">
        <v>3.07550277889916</v>
      </c>
    </row>
    <row r="3130" spans="29:41">
      <c r="AC3130" s="78" t="s">
        <v>53</v>
      </c>
      <c r="AD3130" s="78" t="s">
        <v>20</v>
      </c>
      <c r="AE3130" s="78" t="s">
        <v>72</v>
      </c>
      <c r="AF3130" s="78" t="s">
        <v>51</v>
      </c>
      <c r="AG3130" s="78" t="s">
        <v>713</v>
      </c>
      <c r="AH3130" s="78">
        <v>4.7824999999999998</v>
      </c>
      <c r="AJ3130" s="78" t="s">
        <v>74</v>
      </c>
      <c r="AK3130" s="78" t="s">
        <v>87</v>
      </c>
      <c r="AL3130" s="78" t="s">
        <v>25</v>
      </c>
      <c r="AM3130" s="78" t="s">
        <v>51</v>
      </c>
      <c r="AN3130" s="78" t="s">
        <v>652</v>
      </c>
      <c r="AO3130" s="78">
        <v>3.0924935285971999</v>
      </c>
    </row>
    <row r="3131" spans="29:41">
      <c r="AC3131" s="78" t="s">
        <v>53</v>
      </c>
      <c r="AD3131" s="78" t="s">
        <v>20</v>
      </c>
      <c r="AE3131" s="78" t="s">
        <v>72</v>
      </c>
      <c r="AF3131" s="78" t="s">
        <v>51</v>
      </c>
      <c r="AG3131" s="78" t="s">
        <v>714</v>
      </c>
      <c r="AH3131" s="78">
        <v>4.7824999999999998</v>
      </c>
      <c r="AJ3131" s="78" t="s">
        <v>74</v>
      </c>
      <c r="AK3131" s="78" t="s">
        <v>87</v>
      </c>
      <c r="AL3131" s="78" t="s">
        <v>25</v>
      </c>
      <c r="AM3131" s="78" t="s">
        <v>51</v>
      </c>
      <c r="AN3131" s="78" t="s">
        <v>755</v>
      </c>
      <c r="AO3131" s="78">
        <v>3.1238691664051901</v>
      </c>
    </row>
    <row r="3132" spans="29:41">
      <c r="AC3132" s="78" t="s">
        <v>53</v>
      </c>
      <c r="AD3132" s="78" t="s">
        <v>20</v>
      </c>
      <c r="AE3132" s="78" t="s">
        <v>72</v>
      </c>
      <c r="AF3132" s="78" t="s">
        <v>51</v>
      </c>
      <c r="AG3132" s="78" t="s">
        <v>715</v>
      </c>
      <c r="AH3132" s="78">
        <v>4.8142499999999995</v>
      </c>
      <c r="AJ3132" s="78" t="s">
        <v>74</v>
      </c>
      <c r="AK3132" s="78" t="s">
        <v>87</v>
      </c>
      <c r="AL3132" s="78" t="s">
        <v>25</v>
      </c>
      <c r="AM3132" s="78" t="s">
        <v>51</v>
      </c>
      <c r="AN3132" s="78" t="s">
        <v>653</v>
      </c>
      <c r="AO3132" s="78">
        <v>3.1370226273665902</v>
      </c>
    </row>
    <row r="3133" spans="29:41">
      <c r="AC3133" s="78" t="s">
        <v>53</v>
      </c>
      <c r="AD3133" s="78" t="s">
        <v>20</v>
      </c>
      <c r="AE3133" s="78" t="s">
        <v>72</v>
      </c>
      <c r="AF3133" s="78" t="s">
        <v>51</v>
      </c>
      <c r="AG3133" s="78" t="s">
        <v>716</v>
      </c>
      <c r="AH3133" s="78">
        <v>4.8142499999999995</v>
      </c>
      <c r="AJ3133" s="78" t="s">
        <v>74</v>
      </c>
      <c r="AK3133" s="78" t="s">
        <v>87</v>
      </c>
      <c r="AL3133" s="78" t="s">
        <v>25</v>
      </c>
      <c r="AM3133" s="78" t="s">
        <v>51</v>
      </c>
      <c r="AN3133" s="78" t="s">
        <v>654</v>
      </c>
      <c r="AO3133" s="78">
        <v>3.13354455783506</v>
      </c>
    </row>
    <row r="3134" spans="29:41">
      <c r="AC3134" s="78" t="s">
        <v>53</v>
      </c>
      <c r="AD3134" s="78" t="s">
        <v>20</v>
      </c>
      <c r="AE3134" s="78" t="s">
        <v>72</v>
      </c>
      <c r="AF3134" s="78" t="s">
        <v>51</v>
      </c>
      <c r="AG3134" s="78" t="s">
        <v>717</v>
      </c>
      <c r="AH3134" s="78">
        <v>4.8142499999999995</v>
      </c>
      <c r="AJ3134" s="78" t="s">
        <v>74</v>
      </c>
      <c r="AK3134" s="78" t="s">
        <v>87</v>
      </c>
      <c r="AL3134" s="78" t="s">
        <v>25</v>
      </c>
      <c r="AM3134" s="78" t="s">
        <v>51</v>
      </c>
      <c r="AN3134" s="78" t="s">
        <v>655</v>
      </c>
      <c r="AO3134" s="78">
        <v>3.0503961031254101</v>
      </c>
    </row>
    <row r="3135" spans="29:41">
      <c r="AC3135" s="78" t="s">
        <v>53</v>
      </c>
      <c r="AD3135" s="78" t="s">
        <v>20</v>
      </c>
      <c r="AE3135" s="78" t="s">
        <v>72</v>
      </c>
      <c r="AF3135" s="78" t="s">
        <v>51</v>
      </c>
      <c r="AG3135" s="78" t="s">
        <v>718</v>
      </c>
      <c r="AH3135" s="78">
        <v>4.8142499999999995</v>
      </c>
      <c r="AJ3135" s="78" t="s">
        <v>74</v>
      </c>
      <c r="AK3135" s="78" t="s">
        <v>87</v>
      </c>
      <c r="AL3135" s="78" t="s">
        <v>25</v>
      </c>
      <c r="AM3135" s="78" t="s">
        <v>51</v>
      </c>
      <c r="AN3135" s="78" t="s">
        <v>656</v>
      </c>
      <c r="AO3135" s="78">
        <v>3.0540256886172599</v>
      </c>
    </row>
    <row r="3136" spans="29:41">
      <c r="AC3136" s="78" t="s">
        <v>53</v>
      </c>
      <c r="AD3136" s="78" t="s">
        <v>20</v>
      </c>
      <c r="AE3136" s="78" t="s">
        <v>72</v>
      </c>
      <c r="AF3136" s="78" t="s">
        <v>51</v>
      </c>
      <c r="AG3136" s="78" t="s">
        <v>719</v>
      </c>
      <c r="AH3136" s="78">
        <v>4.7824999999999998</v>
      </c>
      <c r="AJ3136" s="78" t="s">
        <v>74</v>
      </c>
      <c r="AK3136" s="78" t="s">
        <v>87</v>
      </c>
      <c r="AL3136" s="78" t="s">
        <v>25</v>
      </c>
      <c r="AM3136" s="78" t="s">
        <v>51</v>
      </c>
      <c r="AN3136" s="78" t="s">
        <v>657</v>
      </c>
      <c r="AO3136" s="78">
        <v>3.0367748690923499</v>
      </c>
    </row>
    <row r="3137" spans="29:41">
      <c r="AC3137" s="78" t="s">
        <v>53</v>
      </c>
      <c r="AD3137" s="78" t="s">
        <v>20</v>
      </c>
      <c r="AE3137" s="78" t="s">
        <v>72</v>
      </c>
      <c r="AF3137" s="78" t="s">
        <v>51</v>
      </c>
      <c r="AG3137" s="78" t="s">
        <v>720</v>
      </c>
      <c r="AH3137" s="78">
        <v>4.7824999999999998</v>
      </c>
      <c r="AJ3137" s="78" t="s">
        <v>74</v>
      </c>
      <c r="AK3137" s="78" t="s">
        <v>87</v>
      </c>
      <c r="AL3137" s="78" t="s">
        <v>25</v>
      </c>
      <c r="AM3137" s="78" t="s">
        <v>51</v>
      </c>
      <c r="AN3137" s="78" t="s">
        <v>658</v>
      </c>
      <c r="AO3137" s="78">
        <v>2.9255759416218798</v>
      </c>
    </row>
    <row r="3138" spans="29:41">
      <c r="AC3138" s="78" t="s">
        <v>53</v>
      </c>
      <c r="AD3138" s="78" t="s">
        <v>20</v>
      </c>
      <c r="AE3138" s="78" t="s">
        <v>72</v>
      </c>
      <c r="AF3138" s="78" t="s">
        <v>51</v>
      </c>
      <c r="AG3138" s="78" t="s">
        <v>721</v>
      </c>
      <c r="AH3138" s="78">
        <v>5.0376250000000002</v>
      </c>
      <c r="AJ3138" s="78" t="s">
        <v>74</v>
      </c>
      <c r="AK3138" s="78" t="s">
        <v>87</v>
      </c>
      <c r="AL3138" s="78" t="s">
        <v>25</v>
      </c>
      <c r="AM3138" s="78" t="s">
        <v>51</v>
      </c>
      <c r="AN3138" s="78" t="s">
        <v>659</v>
      </c>
      <c r="AO3138" s="78">
        <v>2.96077919351512</v>
      </c>
    </row>
    <row r="3139" spans="29:41">
      <c r="AC3139" s="78" t="s">
        <v>53</v>
      </c>
      <c r="AD3139" s="78" t="s">
        <v>20</v>
      </c>
      <c r="AE3139" s="78" t="s">
        <v>72</v>
      </c>
      <c r="AF3139" s="78" t="s">
        <v>51</v>
      </c>
      <c r="AG3139" s="78" t="s">
        <v>722</v>
      </c>
      <c r="AH3139" s="78">
        <v>4.8142499999999995</v>
      </c>
      <c r="AJ3139" s="78" t="s">
        <v>74</v>
      </c>
      <c r="AK3139" s="78" t="s">
        <v>87</v>
      </c>
      <c r="AL3139" s="78" t="s">
        <v>25</v>
      </c>
      <c r="AM3139" s="78" t="s">
        <v>51</v>
      </c>
      <c r="AN3139" s="78" t="s">
        <v>660</v>
      </c>
      <c r="AO3139" s="78">
        <v>2.9772059927121801</v>
      </c>
    </row>
    <row r="3140" spans="29:41">
      <c r="AC3140" s="78" t="s">
        <v>53</v>
      </c>
      <c r="AD3140" s="78" t="s">
        <v>20</v>
      </c>
      <c r="AE3140" s="78" t="s">
        <v>72</v>
      </c>
      <c r="AF3140" s="78" t="s">
        <v>51</v>
      </c>
      <c r="AG3140" s="78" t="s">
        <v>723</v>
      </c>
      <c r="AH3140" s="78">
        <v>4.8142499999999995</v>
      </c>
      <c r="AJ3140" s="78" t="s">
        <v>74</v>
      </c>
      <c r="AK3140" s="78" t="s">
        <v>87</v>
      </c>
      <c r="AL3140" s="78" t="s">
        <v>25</v>
      </c>
      <c r="AM3140" s="78" t="s">
        <v>51</v>
      </c>
      <c r="AN3140" s="78" t="s">
        <v>661</v>
      </c>
      <c r="AO3140" s="78">
        <v>2.98253297919802</v>
      </c>
    </row>
    <row r="3141" spans="29:41">
      <c r="AC3141" s="78" t="s">
        <v>53</v>
      </c>
      <c r="AD3141" s="78" t="s">
        <v>20</v>
      </c>
      <c r="AE3141" s="78" t="s">
        <v>72</v>
      </c>
      <c r="AF3141" s="78" t="s">
        <v>51</v>
      </c>
      <c r="AG3141" s="78" t="s">
        <v>724</v>
      </c>
      <c r="AH3141" s="78">
        <v>4.8142499999999995</v>
      </c>
      <c r="AJ3141" s="78" t="s">
        <v>74</v>
      </c>
      <c r="AK3141" s="78" t="s">
        <v>87</v>
      </c>
      <c r="AL3141" s="78" t="s">
        <v>25</v>
      </c>
      <c r="AM3141" s="78" t="s">
        <v>51</v>
      </c>
      <c r="AN3141" s="78" t="s">
        <v>662</v>
      </c>
      <c r="AO3141" s="78">
        <v>3.0058699919752301</v>
      </c>
    </row>
    <row r="3142" spans="29:41">
      <c r="AC3142" s="78" t="s">
        <v>53</v>
      </c>
      <c r="AD3142" s="78" t="s">
        <v>20</v>
      </c>
      <c r="AE3142" s="78" t="s">
        <v>72</v>
      </c>
      <c r="AF3142" s="78" t="s">
        <v>51</v>
      </c>
      <c r="AG3142" s="78" t="s">
        <v>725</v>
      </c>
      <c r="AH3142" s="78">
        <v>4.8142499999999995</v>
      </c>
      <c r="AJ3142" s="78" t="s">
        <v>74</v>
      </c>
      <c r="AK3142" s="78" t="s">
        <v>87</v>
      </c>
      <c r="AL3142" s="78" t="s">
        <v>25</v>
      </c>
      <c r="AM3142" s="78" t="s">
        <v>51</v>
      </c>
      <c r="AN3142" s="78" t="s">
        <v>663</v>
      </c>
      <c r="AO3142" s="78">
        <v>2.9850094443117499</v>
      </c>
    </row>
    <row r="3143" spans="29:41">
      <c r="AC3143" s="78" t="s">
        <v>53</v>
      </c>
      <c r="AD3143" s="78" t="s">
        <v>20</v>
      </c>
      <c r="AE3143" s="78" t="s">
        <v>72</v>
      </c>
      <c r="AF3143" s="78" t="s">
        <v>51</v>
      </c>
      <c r="AG3143" s="78" t="s">
        <v>726</v>
      </c>
      <c r="AH3143" s="78">
        <v>4.8142499999999995</v>
      </c>
      <c r="AJ3143" s="78" t="s">
        <v>74</v>
      </c>
      <c r="AK3143" s="78" t="s">
        <v>87</v>
      </c>
      <c r="AL3143" s="78" t="s">
        <v>25</v>
      </c>
      <c r="AM3143" s="78" t="s">
        <v>51</v>
      </c>
      <c r="AN3143" s="78" t="s">
        <v>664</v>
      </c>
      <c r="AO3143" s="78">
        <v>2.9655991684288501</v>
      </c>
    </row>
    <row r="3144" spans="29:41">
      <c r="AC3144" s="78" t="s">
        <v>53</v>
      </c>
      <c r="AD3144" s="78" t="s">
        <v>20</v>
      </c>
      <c r="AE3144" s="78" t="s">
        <v>72</v>
      </c>
      <c r="AF3144" s="78" t="s">
        <v>51</v>
      </c>
      <c r="AG3144" s="78" t="s">
        <v>426</v>
      </c>
      <c r="AH3144" s="78">
        <v>4.7824999999999998</v>
      </c>
      <c r="AJ3144" s="78" t="s">
        <v>74</v>
      </c>
      <c r="AK3144" s="78" t="s">
        <v>87</v>
      </c>
      <c r="AL3144" s="78" t="s">
        <v>25</v>
      </c>
      <c r="AM3144" s="78" t="s">
        <v>51</v>
      </c>
      <c r="AN3144" s="78" t="s">
        <v>756</v>
      </c>
      <c r="AO3144" s="78">
        <v>2.9675370068735298</v>
      </c>
    </row>
    <row r="3145" spans="29:41">
      <c r="AC3145" s="78" t="s">
        <v>53</v>
      </c>
      <c r="AD3145" s="78" t="s">
        <v>20</v>
      </c>
      <c r="AE3145" s="78" t="s">
        <v>72</v>
      </c>
      <c r="AF3145" s="78" t="s">
        <v>51</v>
      </c>
      <c r="AG3145" s="78" t="s">
        <v>727</v>
      </c>
      <c r="AH3145" s="78">
        <v>4.7824999999999998</v>
      </c>
      <c r="AJ3145" s="78" t="s">
        <v>74</v>
      </c>
      <c r="AK3145" s="78" t="s">
        <v>87</v>
      </c>
      <c r="AL3145" s="78" t="s">
        <v>25</v>
      </c>
      <c r="AM3145" s="78" t="s">
        <v>51</v>
      </c>
      <c r="AN3145" s="78" t="s">
        <v>665</v>
      </c>
      <c r="AO3145" s="78">
        <v>2.9372545764826601</v>
      </c>
    </row>
    <row r="3146" spans="29:41">
      <c r="AC3146" s="78" t="s">
        <v>53</v>
      </c>
      <c r="AD3146" s="78" t="s">
        <v>20</v>
      </c>
      <c r="AE3146" s="78" t="s">
        <v>72</v>
      </c>
      <c r="AF3146" s="78" t="s">
        <v>51</v>
      </c>
      <c r="AG3146" s="78" t="s">
        <v>728</v>
      </c>
      <c r="AH3146" s="78">
        <v>4.7824999999999998</v>
      </c>
      <c r="AJ3146" s="78" t="s">
        <v>74</v>
      </c>
      <c r="AK3146" s="78" t="s">
        <v>87</v>
      </c>
      <c r="AL3146" s="78" t="s">
        <v>25</v>
      </c>
      <c r="AM3146" s="78" t="s">
        <v>51</v>
      </c>
      <c r="AN3146" s="78" t="s">
        <v>666</v>
      </c>
      <c r="AO3146" s="78">
        <v>2.9230211048442398</v>
      </c>
    </row>
    <row r="3147" spans="29:41">
      <c r="AC3147" s="78" t="s">
        <v>53</v>
      </c>
      <c r="AD3147" s="78" t="s">
        <v>20</v>
      </c>
      <c r="AE3147" s="78" t="s">
        <v>72</v>
      </c>
      <c r="AF3147" s="78" t="s">
        <v>51</v>
      </c>
      <c r="AG3147" s="78" t="s">
        <v>729</v>
      </c>
      <c r="AH3147" s="78">
        <v>4.7824999999999998</v>
      </c>
      <c r="AJ3147" s="78" t="s">
        <v>74</v>
      </c>
      <c r="AK3147" s="78" t="s">
        <v>87</v>
      </c>
      <c r="AL3147" s="78" t="s">
        <v>25</v>
      </c>
      <c r="AM3147" s="78" t="s">
        <v>51</v>
      </c>
      <c r="AN3147" s="78" t="s">
        <v>667</v>
      </c>
      <c r="AO3147" s="78">
        <v>2.9488855063004098</v>
      </c>
    </row>
    <row r="3148" spans="29:41">
      <c r="AC3148" s="78" t="s">
        <v>53</v>
      </c>
      <c r="AD3148" s="78" t="s">
        <v>20</v>
      </c>
      <c r="AE3148" s="78" t="s">
        <v>72</v>
      </c>
      <c r="AF3148" s="78" t="s">
        <v>51</v>
      </c>
      <c r="AG3148" s="78" t="s">
        <v>730</v>
      </c>
      <c r="AH3148" s="78">
        <v>4.7506250000000003</v>
      </c>
      <c r="AJ3148" s="78" t="s">
        <v>74</v>
      </c>
      <c r="AK3148" s="78" t="s">
        <v>87</v>
      </c>
      <c r="AL3148" s="78" t="s">
        <v>25</v>
      </c>
      <c r="AM3148" s="78" t="s">
        <v>51</v>
      </c>
      <c r="AN3148" s="78" t="s">
        <v>668</v>
      </c>
      <c r="AO3148" s="78">
        <v>2.90078451779174</v>
      </c>
    </row>
    <row r="3149" spans="29:41">
      <c r="AC3149" s="78" t="s">
        <v>53</v>
      </c>
      <c r="AD3149" s="78" t="s">
        <v>20</v>
      </c>
      <c r="AE3149" s="78" t="s">
        <v>72</v>
      </c>
      <c r="AF3149" s="78" t="s">
        <v>51</v>
      </c>
      <c r="AG3149" s="78" t="s">
        <v>731</v>
      </c>
      <c r="AH3149" s="78">
        <v>4.7506250000000003</v>
      </c>
      <c r="AJ3149" s="78" t="s">
        <v>74</v>
      </c>
      <c r="AK3149" s="78" t="s">
        <v>87</v>
      </c>
      <c r="AL3149" s="78" t="s">
        <v>25</v>
      </c>
      <c r="AM3149" s="78" t="s">
        <v>51</v>
      </c>
      <c r="AN3149" s="78" t="s">
        <v>669</v>
      </c>
      <c r="AO3149" s="78">
        <v>2.9134061518930401</v>
      </c>
    </row>
    <row r="3150" spans="29:41">
      <c r="AC3150" s="78" t="s">
        <v>53</v>
      </c>
      <c r="AD3150" s="78" t="s">
        <v>20</v>
      </c>
      <c r="AE3150" s="78" t="s">
        <v>72</v>
      </c>
      <c r="AF3150" s="78" t="s">
        <v>51</v>
      </c>
      <c r="AG3150" s="78" t="s">
        <v>732</v>
      </c>
      <c r="AH3150" s="78">
        <v>4.7506250000000003</v>
      </c>
      <c r="AJ3150" s="78" t="s">
        <v>74</v>
      </c>
      <c r="AK3150" s="78" t="s">
        <v>87</v>
      </c>
      <c r="AL3150" s="78" t="s">
        <v>25</v>
      </c>
      <c r="AM3150" s="78" t="s">
        <v>51</v>
      </c>
      <c r="AN3150" s="78" t="s">
        <v>670</v>
      </c>
      <c r="AO3150" s="78">
        <v>2.87725867553146</v>
      </c>
    </row>
    <row r="3151" spans="29:41">
      <c r="AC3151" s="78" t="s">
        <v>53</v>
      </c>
      <c r="AD3151" s="78" t="s">
        <v>20</v>
      </c>
      <c r="AE3151" s="78" t="s">
        <v>72</v>
      </c>
      <c r="AF3151" s="78" t="s">
        <v>51</v>
      </c>
      <c r="AG3151" s="78" t="s">
        <v>733</v>
      </c>
      <c r="AH3151" s="78">
        <v>4.7824999999999998</v>
      </c>
      <c r="AJ3151" s="78" t="s">
        <v>74</v>
      </c>
      <c r="AK3151" s="78" t="s">
        <v>87</v>
      </c>
      <c r="AL3151" s="78" t="s">
        <v>25</v>
      </c>
      <c r="AM3151" s="78" t="s">
        <v>51</v>
      </c>
      <c r="AN3151" s="78" t="s">
        <v>671</v>
      </c>
      <c r="AO3151" s="78">
        <v>2.9007963657703</v>
      </c>
    </row>
    <row r="3152" spans="29:41">
      <c r="AC3152" s="78" t="s">
        <v>53</v>
      </c>
      <c r="AD3152" s="78" t="s">
        <v>20</v>
      </c>
      <c r="AE3152" s="78" t="s">
        <v>72</v>
      </c>
      <c r="AF3152" s="78" t="s">
        <v>51</v>
      </c>
      <c r="AG3152" s="78" t="s">
        <v>734</v>
      </c>
      <c r="AH3152" s="78">
        <v>4.7506250000000003</v>
      </c>
      <c r="AJ3152" s="78" t="s">
        <v>74</v>
      </c>
      <c r="AK3152" s="78" t="s">
        <v>87</v>
      </c>
      <c r="AL3152" s="78" t="s">
        <v>25</v>
      </c>
      <c r="AM3152" s="78" t="s">
        <v>51</v>
      </c>
      <c r="AN3152" s="78" t="s">
        <v>672</v>
      </c>
      <c r="AO3152" s="78">
        <v>2.90843617288568</v>
      </c>
    </row>
    <row r="3153" spans="29:41">
      <c r="AC3153" s="78" t="s">
        <v>53</v>
      </c>
      <c r="AD3153" s="78" t="s">
        <v>20</v>
      </c>
      <c r="AE3153" s="78" t="s">
        <v>72</v>
      </c>
      <c r="AF3153" s="78" t="s">
        <v>51</v>
      </c>
      <c r="AG3153" s="78" t="s">
        <v>735</v>
      </c>
      <c r="AH3153" s="78">
        <v>4.7506250000000003</v>
      </c>
      <c r="AJ3153" s="78" t="s">
        <v>74</v>
      </c>
      <c r="AK3153" s="78" t="s">
        <v>87</v>
      </c>
      <c r="AL3153" s="78" t="s">
        <v>25</v>
      </c>
      <c r="AM3153" s="78" t="s">
        <v>51</v>
      </c>
      <c r="AN3153" s="78" t="s">
        <v>673</v>
      </c>
      <c r="AO3153" s="78">
        <v>2.9249537323478201</v>
      </c>
    </row>
    <row r="3154" spans="29:41">
      <c r="AC3154" s="78" t="s">
        <v>53</v>
      </c>
      <c r="AD3154" s="78" t="s">
        <v>20</v>
      </c>
      <c r="AE3154" s="78" t="s">
        <v>72</v>
      </c>
      <c r="AF3154" s="78" t="s">
        <v>51</v>
      </c>
      <c r="AG3154" s="78" t="s">
        <v>736</v>
      </c>
      <c r="AH3154" s="78">
        <v>4.6866249999999994</v>
      </c>
      <c r="AJ3154" s="78" t="s">
        <v>74</v>
      </c>
      <c r="AK3154" s="78" t="s">
        <v>87</v>
      </c>
      <c r="AL3154" s="78" t="s">
        <v>25</v>
      </c>
      <c r="AM3154" s="78" t="s">
        <v>51</v>
      </c>
      <c r="AN3154" s="78" t="s">
        <v>674</v>
      </c>
      <c r="AO3154" s="78">
        <v>2.94258560480931</v>
      </c>
    </row>
    <row r="3155" spans="29:41">
      <c r="AC3155" s="78" t="s">
        <v>53</v>
      </c>
      <c r="AD3155" s="78" t="s">
        <v>20</v>
      </c>
      <c r="AE3155" s="78" t="s">
        <v>72</v>
      </c>
      <c r="AF3155" s="78" t="s">
        <v>51</v>
      </c>
      <c r="AG3155" s="78" t="s">
        <v>737</v>
      </c>
      <c r="AH3155" s="78">
        <v>4.6866249999999994</v>
      </c>
      <c r="AJ3155" s="78" t="s">
        <v>74</v>
      </c>
      <c r="AK3155" s="78" t="s">
        <v>87</v>
      </c>
      <c r="AL3155" s="78" t="s">
        <v>25</v>
      </c>
      <c r="AM3155" s="78" t="s">
        <v>51</v>
      </c>
      <c r="AN3155" s="78" t="s">
        <v>675</v>
      </c>
      <c r="AO3155" s="78">
        <v>2.9398654916265299</v>
      </c>
    </row>
    <row r="3156" spans="29:41">
      <c r="AC3156" s="78" t="s">
        <v>53</v>
      </c>
      <c r="AD3156" s="78" t="s">
        <v>20</v>
      </c>
      <c r="AE3156" s="78" t="s">
        <v>72</v>
      </c>
      <c r="AF3156" s="78" t="s">
        <v>51</v>
      </c>
      <c r="AG3156" s="78" t="s">
        <v>738</v>
      </c>
      <c r="AH3156" s="78">
        <v>4.6866249999999994</v>
      </c>
      <c r="AJ3156" s="78" t="s">
        <v>74</v>
      </c>
      <c r="AK3156" s="78" t="s">
        <v>87</v>
      </c>
      <c r="AL3156" s="78" t="s">
        <v>25</v>
      </c>
      <c r="AM3156" s="78" t="s">
        <v>51</v>
      </c>
      <c r="AN3156" s="78" t="s">
        <v>676</v>
      </c>
      <c r="AO3156" s="78">
        <v>2.8752948215848</v>
      </c>
    </row>
    <row r="3157" spans="29:41">
      <c r="AC3157" s="78" t="s">
        <v>53</v>
      </c>
      <c r="AD3157" s="78" t="s">
        <v>20</v>
      </c>
      <c r="AE3157" s="78" t="s">
        <v>72</v>
      </c>
      <c r="AF3157" s="78" t="s">
        <v>51</v>
      </c>
      <c r="AG3157" s="78" t="s">
        <v>739</v>
      </c>
      <c r="AH3157" s="78">
        <v>4.7506250000000003</v>
      </c>
      <c r="AJ3157" s="78" t="s">
        <v>74</v>
      </c>
      <c r="AK3157" s="78" t="s">
        <v>87</v>
      </c>
      <c r="AL3157" s="78" t="s">
        <v>25</v>
      </c>
      <c r="AM3157" s="78" t="s">
        <v>51</v>
      </c>
      <c r="AN3157" s="78" t="s">
        <v>677</v>
      </c>
      <c r="AO3157" s="78">
        <v>2.9075667658346598</v>
      </c>
    </row>
    <row r="3158" spans="29:41">
      <c r="AC3158" s="78" t="s">
        <v>53</v>
      </c>
      <c r="AD3158" s="78" t="s">
        <v>20</v>
      </c>
      <c r="AE3158" s="78" t="s">
        <v>72</v>
      </c>
      <c r="AF3158" s="78" t="s">
        <v>51</v>
      </c>
      <c r="AG3158" s="78" t="s">
        <v>740</v>
      </c>
      <c r="AH3158" s="78">
        <v>4.7506250000000003</v>
      </c>
      <c r="AJ3158" s="78" t="s">
        <v>74</v>
      </c>
      <c r="AK3158" s="78" t="s">
        <v>87</v>
      </c>
      <c r="AL3158" s="78" t="s">
        <v>25</v>
      </c>
      <c r="AM3158" s="78" t="s">
        <v>51</v>
      </c>
      <c r="AN3158" s="78" t="s">
        <v>678</v>
      </c>
      <c r="AO3158" s="78">
        <v>2.8970830344627001</v>
      </c>
    </row>
    <row r="3159" spans="29:41">
      <c r="AC3159" s="78" t="s">
        <v>53</v>
      </c>
      <c r="AD3159" s="78" t="s">
        <v>20</v>
      </c>
      <c r="AE3159" s="78" t="s">
        <v>72</v>
      </c>
      <c r="AF3159" s="78" t="s">
        <v>51</v>
      </c>
      <c r="AG3159" s="78" t="s">
        <v>741</v>
      </c>
      <c r="AH3159" s="78">
        <v>4.7824999999999998</v>
      </c>
      <c r="AJ3159" s="78" t="s">
        <v>74</v>
      </c>
      <c r="AK3159" s="78" t="s">
        <v>87</v>
      </c>
      <c r="AL3159" s="78" t="s">
        <v>25</v>
      </c>
      <c r="AM3159" s="78" t="s">
        <v>51</v>
      </c>
      <c r="AN3159" s="78" t="s">
        <v>679</v>
      </c>
      <c r="AO3159" s="78">
        <v>2.9229309635649501</v>
      </c>
    </row>
    <row r="3160" spans="29:41">
      <c r="AC3160" s="78" t="s">
        <v>53</v>
      </c>
      <c r="AD3160" s="78" t="s">
        <v>20</v>
      </c>
      <c r="AE3160" s="78" t="s">
        <v>72</v>
      </c>
      <c r="AF3160" s="78" t="s">
        <v>51</v>
      </c>
      <c r="AG3160" s="78" t="s">
        <v>742</v>
      </c>
      <c r="AH3160" s="78">
        <v>4.8142499999999995</v>
      </c>
      <c r="AJ3160" s="78" t="s">
        <v>74</v>
      </c>
      <c r="AK3160" s="78" t="s">
        <v>87</v>
      </c>
      <c r="AL3160" s="78" t="s">
        <v>25</v>
      </c>
      <c r="AM3160" s="78" t="s">
        <v>51</v>
      </c>
      <c r="AN3160" s="78" t="s">
        <v>680</v>
      </c>
      <c r="AO3160" s="78">
        <v>2.8829829108867799</v>
      </c>
    </row>
    <row r="3161" spans="29:41">
      <c r="AC3161" s="78" t="s">
        <v>53</v>
      </c>
      <c r="AD3161" s="78" t="s">
        <v>20</v>
      </c>
      <c r="AE3161" s="78" t="s">
        <v>72</v>
      </c>
      <c r="AF3161" s="78" t="s">
        <v>51</v>
      </c>
      <c r="AG3161" s="78" t="s">
        <v>425</v>
      </c>
      <c r="AH3161" s="78">
        <v>4.8142499999999995</v>
      </c>
      <c r="AJ3161" s="78" t="s">
        <v>74</v>
      </c>
      <c r="AK3161" s="78" t="s">
        <v>87</v>
      </c>
      <c r="AL3161" s="78" t="s">
        <v>25</v>
      </c>
      <c r="AM3161" s="78" t="s">
        <v>51</v>
      </c>
      <c r="AN3161" s="78" t="s">
        <v>681</v>
      </c>
      <c r="AO3161" s="78">
        <v>2.8967693275214801</v>
      </c>
    </row>
    <row r="3162" spans="29:41">
      <c r="AC3162" s="78" t="s">
        <v>53</v>
      </c>
      <c r="AD3162" s="78" t="s">
        <v>20</v>
      </c>
      <c r="AE3162" s="78" t="s">
        <v>72</v>
      </c>
      <c r="AF3162" s="78" t="s">
        <v>51</v>
      </c>
      <c r="AG3162" s="78" t="s">
        <v>743</v>
      </c>
      <c r="AH3162" s="78">
        <v>4.9417500000000008</v>
      </c>
      <c r="AJ3162" s="78" t="s">
        <v>74</v>
      </c>
      <c r="AK3162" s="78" t="s">
        <v>87</v>
      </c>
      <c r="AL3162" s="78" t="s">
        <v>25</v>
      </c>
      <c r="AM3162" s="78" t="s">
        <v>51</v>
      </c>
      <c r="AN3162" s="78" t="s">
        <v>682</v>
      </c>
      <c r="AO3162" s="78">
        <v>2.89502511307504</v>
      </c>
    </row>
    <row r="3163" spans="29:41">
      <c r="AC3163" s="78" t="s">
        <v>53</v>
      </c>
      <c r="AD3163" s="78" t="s">
        <v>20</v>
      </c>
      <c r="AE3163" s="78" t="s">
        <v>72</v>
      </c>
      <c r="AF3163" s="78" t="s">
        <v>51</v>
      </c>
      <c r="AG3163" s="78" t="s">
        <v>744</v>
      </c>
      <c r="AH3163" s="78">
        <v>4.8142499999999995</v>
      </c>
      <c r="AJ3163" s="78" t="s">
        <v>74</v>
      </c>
      <c r="AK3163" s="78" t="s">
        <v>87</v>
      </c>
      <c r="AL3163" s="78" t="s">
        <v>25</v>
      </c>
      <c r="AM3163" s="78" t="s">
        <v>51</v>
      </c>
      <c r="AN3163" s="78" t="s">
        <v>683</v>
      </c>
      <c r="AO3163" s="78">
        <v>2.8885893355353098</v>
      </c>
    </row>
    <row r="3164" spans="29:41">
      <c r="AC3164" s="78" t="s">
        <v>53</v>
      </c>
      <c r="AD3164" s="78" t="s">
        <v>20</v>
      </c>
      <c r="AE3164" s="78" t="s">
        <v>72</v>
      </c>
      <c r="AF3164" s="78" t="s">
        <v>51</v>
      </c>
      <c r="AG3164" s="78" t="s">
        <v>745</v>
      </c>
      <c r="AH3164" s="78">
        <v>4.9740000000000002</v>
      </c>
      <c r="AJ3164" s="78" t="s">
        <v>74</v>
      </c>
      <c r="AK3164" s="78" t="s">
        <v>87</v>
      </c>
      <c r="AL3164" s="78" t="s">
        <v>25</v>
      </c>
      <c r="AM3164" s="78" t="s">
        <v>51</v>
      </c>
      <c r="AN3164" s="78" t="s">
        <v>684</v>
      </c>
      <c r="AO3164" s="78">
        <v>2.8786176823455198</v>
      </c>
    </row>
    <row r="3165" spans="29:41">
      <c r="AC3165" s="78" t="s">
        <v>53</v>
      </c>
      <c r="AD3165" s="78" t="s">
        <v>20</v>
      </c>
      <c r="AE3165" s="78" t="s">
        <v>72</v>
      </c>
      <c r="AF3165" s="78" t="s">
        <v>51</v>
      </c>
      <c r="AG3165" s="78" t="s">
        <v>424</v>
      </c>
      <c r="AH3165" s="78">
        <v>4.8142499999999995</v>
      </c>
      <c r="AJ3165" s="78" t="s">
        <v>74</v>
      </c>
      <c r="AK3165" s="78" t="s">
        <v>87</v>
      </c>
      <c r="AL3165" s="78" t="s">
        <v>25</v>
      </c>
      <c r="AM3165" s="78" t="s">
        <v>51</v>
      </c>
      <c r="AN3165" s="78" t="s">
        <v>685</v>
      </c>
      <c r="AO3165" s="78">
        <v>2.9305936844385498</v>
      </c>
    </row>
    <row r="3166" spans="29:41">
      <c r="AC3166" s="78" t="s">
        <v>53</v>
      </c>
      <c r="AD3166" s="78" t="s">
        <v>20</v>
      </c>
      <c r="AE3166" s="78" t="s">
        <v>72</v>
      </c>
      <c r="AF3166" s="78" t="s">
        <v>51</v>
      </c>
      <c r="AG3166" s="78" t="s">
        <v>427</v>
      </c>
      <c r="AH3166" s="78">
        <v>4.8142499999999995</v>
      </c>
      <c r="AJ3166" s="78" t="s">
        <v>74</v>
      </c>
      <c r="AK3166" s="78" t="s">
        <v>87</v>
      </c>
      <c r="AL3166" s="78" t="s">
        <v>25</v>
      </c>
      <c r="AM3166" s="78" t="s">
        <v>51</v>
      </c>
      <c r="AN3166" s="78" t="s">
        <v>686</v>
      </c>
      <c r="AO3166" s="78">
        <v>2.9404244020871499</v>
      </c>
    </row>
    <row r="3167" spans="29:41">
      <c r="AC3167" s="78" t="s">
        <v>54</v>
      </c>
      <c r="AD3167" s="78" t="s">
        <v>20</v>
      </c>
      <c r="AE3167" s="78" t="s">
        <v>72</v>
      </c>
      <c r="AF3167" s="78" t="s">
        <v>51</v>
      </c>
      <c r="AG3167" s="78" t="s">
        <v>129</v>
      </c>
      <c r="AH3167" s="78">
        <v>4.123888942161555</v>
      </c>
      <c r="AJ3167" s="78" t="s">
        <v>74</v>
      </c>
      <c r="AK3167" s="78" t="s">
        <v>87</v>
      </c>
      <c r="AL3167" s="78" t="s">
        <v>25</v>
      </c>
      <c r="AM3167" s="78" t="s">
        <v>51</v>
      </c>
      <c r="AN3167" s="78" t="s">
        <v>687</v>
      </c>
      <c r="AO3167" s="78">
        <v>2.9800880794915101</v>
      </c>
    </row>
    <row r="3168" spans="29:41">
      <c r="AC3168" s="78" t="s">
        <v>54</v>
      </c>
      <c r="AD3168" s="78" t="s">
        <v>20</v>
      </c>
      <c r="AE3168" s="78" t="s">
        <v>72</v>
      </c>
      <c r="AF3168" s="78" t="s">
        <v>51</v>
      </c>
      <c r="AG3168" s="78" t="s">
        <v>130</v>
      </c>
      <c r="AH3168" s="78">
        <v>4.123888942161555</v>
      </c>
      <c r="AJ3168" s="78" t="s">
        <v>74</v>
      </c>
      <c r="AK3168" s="78" t="s">
        <v>87</v>
      </c>
      <c r="AL3168" s="78" t="s">
        <v>25</v>
      </c>
      <c r="AM3168" s="78" t="s">
        <v>51</v>
      </c>
      <c r="AN3168" s="78" t="s">
        <v>688</v>
      </c>
      <c r="AO3168" s="78">
        <v>3.0226143981411502</v>
      </c>
    </row>
    <row r="3169" spans="29:41">
      <c r="AC3169" s="78" t="s">
        <v>54</v>
      </c>
      <c r="AD3169" s="78" t="s">
        <v>20</v>
      </c>
      <c r="AE3169" s="78" t="s">
        <v>72</v>
      </c>
      <c r="AF3169" s="78" t="s">
        <v>51</v>
      </c>
      <c r="AG3169" s="78" t="s">
        <v>131</v>
      </c>
      <c r="AH3169" s="78">
        <v>4.123888942161555</v>
      </c>
      <c r="AJ3169" s="78" t="s">
        <v>74</v>
      </c>
      <c r="AK3169" s="78" t="s">
        <v>87</v>
      </c>
      <c r="AL3169" s="78" t="s">
        <v>25</v>
      </c>
      <c r="AM3169" s="78" t="s">
        <v>51</v>
      </c>
      <c r="AN3169" s="78" t="s">
        <v>689</v>
      </c>
      <c r="AO3169" s="78">
        <v>3.0738606111301499</v>
      </c>
    </row>
    <row r="3170" spans="29:41">
      <c r="AC3170" s="78" t="s">
        <v>54</v>
      </c>
      <c r="AD3170" s="78" t="s">
        <v>20</v>
      </c>
      <c r="AE3170" s="78" t="s">
        <v>72</v>
      </c>
      <c r="AF3170" s="78" t="s">
        <v>51</v>
      </c>
      <c r="AG3170" s="78" t="s">
        <v>132</v>
      </c>
      <c r="AH3170" s="78">
        <v>4.145604497342033</v>
      </c>
      <c r="AJ3170" s="78" t="s">
        <v>74</v>
      </c>
      <c r="AK3170" s="78" t="s">
        <v>87</v>
      </c>
      <c r="AL3170" s="78" t="s">
        <v>25</v>
      </c>
      <c r="AM3170" s="78" t="s">
        <v>51</v>
      </c>
      <c r="AN3170" s="78" t="s">
        <v>690</v>
      </c>
      <c r="AO3170" s="78">
        <v>3.0541997432279802</v>
      </c>
    </row>
    <row r="3171" spans="29:41">
      <c r="AC3171" s="78" t="s">
        <v>54</v>
      </c>
      <c r="AD3171" s="78" t="s">
        <v>20</v>
      </c>
      <c r="AE3171" s="78" t="s">
        <v>72</v>
      </c>
      <c r="AF3171" s="78" t="s">
        <v>51</v>
      </c>
      <c r="AG3171" s="78" t="s">
        <v>133</v>
      </c>
      <c r="AH3171" s="78">
        <v>4.0563500000000001</v>
      </c>
      <c r="AJ3171" s="78" t="s">
        <v>74</v>
      </c>
      <c r="AK3171" s="78" t="s">
        <v>87</v>
      </c>
      <c r="AL3171" s="78" t="s">
        <v>25</v>
      </c>
      <c r="AM3171" s="78" t="s">
        <v>51</v>
      </c>
      <c r="AN3171" s="78" t="s">
        <v>757</v>
      </c>
      <c r="AO3171" s="78">
        <v>3.0857459402469098</v>
      </c>
    </row>
    <row r="3172" spans="29:41">
      <c r="AC3172" s="78" t="s">
        <v>54</v>
      </c>
      <c r="AD3172" s="78" t="s">
        <v>20</v>
      </c>
      <c r="AE3172" s="78" t="s">
        <v>72</v>
      </c>
      <c r="AF3172" s="78" t="s">
        <v>51</v>
      </c>
      <c r="AG3172" s="78" t="s">
        <v>134</v>
      </c>
      <c r="AH3172" s="78">
        <v>4.0251000000000001</v>
      </c>
      <c r="AJ3172" s="78" t="s">
        <v>74</v>
      </c>
      <c r="AK3172" s="78" t="s">
        <v>87</v>
      </c>
      <c r="AL3172" s="78" t="s">
        <v>25</v>
      </c>
      <c r="AM3172" s="78" t="s">
        <v>51</v>
      </c>
      <c r="AN3172" s="78" t="s">
        <v>691</v>
      </c>
      <c r="AO3172" s="78">
        <v>3.1061017529399901</v>
      </c>
    </row>
    <row r="3173" spans="29:41">
      <c r="AC3173" s="78" t="s">
        <v>54</v>
      </c>
      <c r="AD3173" s="78" t="s">
        <v>20</v>
      </c>
      <c r="AE3173" s="78" t="s">
        <v>72</v>
      </c>
      <c r="AF3173" s="78" t="s">
        <v>51</v>
      </c>
      <c r="AG3173" s="78" t="s">
        <v>135</v>
      </c>
      <c r="AH3173" s="78">
        <v>4.123888942161555</v>
      </c>
      <c r="AJ3173" s="78" t="s">
        <v>74</v>
      </c>
      <c r="AK3173" s="78" t="s">
        <v>87</v>
      </c>
      <c r="AL3173" s="78" t="s">
        <v>25</v>
      </c>
      <c r="AM3173" s="78" t="s">
        <v>51</v>
      </c>
      <c r="AN3173" s="78" t="s">
        <v>692</v>
      </c>
      <c r="AO3173" s="78">
        <v>3.0818663952260299</v>
      </c>
    </row>
    <row r="3174" spans="29:41">
      <c r="AC3174" s="78" t="s">
        <v>54</v>
      </c>
      <c r="AD3174" s="78" t="s">
        <v>20</v>
      </c>
      <c r="AE3174" s="78" t="s">
        <v>72</v>
      </c>
      <c r="AF3174" s="78" t="s">
        <v>51</v>
      </c>
      <c r="AG3174" s="78" t="s">
        <v>136</v>
      </c>
      <c r="AH3174" s="78">
        <v>4.0195510152855149</v>
      </c>
      <c r="AJ3174" s="78" t="s">
        <v>74</v>
      </c>
      <c r="AK3174" s="78" t="s">
        <v>87</v>
      </c>
      <c r="AL3174" s="78" t="s">
        <v>25</v>
      </c>
      <c r="AM3174" s="78" t="s">
        <v>51</v>
      </c>
      <c r="AN3174" s="78" t="s">
        <v>693</v>
      </c>
      <c r="AO3174" s="78">
        <v>3.0692268892382302</v>
      </c>
    </row>
    <row r="3175" spans="29:41">
      <c r="AC3175" s="78" t="s">
        <v>54</v>
      </c>
      <c r="AD3175" s="78" t="s">
        <v>20</v>
      </c>
      <c r="AE3175" s="78" t="s">
        <v>72</v>
      </c>
      <c r="AF3175" s="78" t="s">
        <v>51</v>
      </c>
      <c r="AG3175" s="78" t="s">
        <v>137</v>
      </c>
      <c r="AH3175" s="78">
        <v>4.123888942161555</v>
      </c>
      <c r="AJ3175" s="78" t="s">
        <v>74</v>
      </c>
      <c r="AK3175" s="78" t="s">
        <v>87</v>
      </c>
      <c r="AL3175" s="78" t="s">
        <v>25</v>
      </c>
      <c r="AM3175" s="78" t="s">
        <v>51</v>
      </c>
      <c r="AN3175" s="78" t="s">
        <v>694</v>
      </c>
      <c r="AO3175" s="78">
        <v>3.01403656016261</v>
      </c>
    </row>
    <row r="3176" spans="29:41">
      <c r="AC3176" s="78" t="s">
        <v>54</v>
      </c>
      <c r="AD3176" s="78" t="s">
        <v>20</v>
      </c>
      <c r="AE3176" s="78" t="s">
        <v>72</v>
      </c>
      <c r="AF3176" s="78" t="s">
        <v>51</v>
      </c>
      <c r="AG3176" s="78" t="s">
        <v>138</v>
      </c>
      <c r="AH3176" s="78">
        <v>3.9301000000000004</v>
      </c>
      <c r="AJ3176" s="78" t="s">
        <v>74</v>
      </c>
      <c r="AK3176" s="78" t="s">
        <v>87</v>
      </c>
      <c r="AL3176" s="78" t="s">
        <v>25</v>
      </c>
      <c r="AM3176" s="78" t="s">
        <v>51</v>
      </c>
      <c r="AN3176" s="78" t="s">
        <v>695</v>
      </c>
      <c r="AO3176" s="78">
        <v>3.0326199882874301</v>
      </c>
    </row>
    <row r="3177" spans="29:41">
      <c r="AC3177" s="78" t="s">
        <v>54</v>
      </c>
      <c r="AD3177" s="78" t="s">
        <v>20</v>
      </c>
      <c r="AE3177" s="78" t="s">
        <v>72</v>
      </c>
      <c r="AF3177" s="78" t="s">
        <v>51</v>
      </c>
      <c r="AG3177" s="78" t="s">
        <v>139</v>
      </c>
      <c r="AH3177" s="78">
        <v>3.8988500000000004</v>
      </c>
      <c r="AJ3177" s="78" t="s">
        <v>74</v>
      </c>
      <c r="AK3177" s="78" t="s">
        <v>87</v>
      </c>
      <c r="AL3177" s="78" t="s">
        <v>25</v>
      </c>
      <c r="AM3177" s="78" t="s">
        <v>51</v>
      </c>
      <c r="AN3177" s="78" t="s">
        <v>696</v>
      </c>
      <c r="AO3177" s="78">
        <v>3.0158212312193302</v>
      </c>
    </row>
    <row r="3178" spans="29:41">
      <c r="AC3178" s="78" t="s">
        <v>54</v>
      </c>
      <c r="AD3178" s="78" t="s">
        <v>20</v>
      </c>
      <c r="AE3178" s="78" t="s">
        <v>72</v>
      </c>
      <c r="AF3178" s="78" t="s">
        <v>51</v>
      </c>
      <c r="AG3178" s="78" t="s">
        <v>140</v>
      </c>
      <c r="AH3178" s="78">
        <v>3.9367503938171491</v>
      </c>
      <c r="AJ3178" s="78" t="s">
        <v>74</v>
      </c>
      <c r="AK3178" s="78" t="s">
        <v>87</v>
      </c>
      <c r="AL3178" s="78" t="s">
        <v>25</v>
      </c>
      <c r="AM3178" s="78" t="s">
        <v>51</v>
      </c>
      <c r="AN3178" s="78" t="s">
        <v>697</v>
      </c>
      <c r="AO3178" s="78">
        <v>3.0046032284055402</v>
      </c>
    </row>
    <row r="3179" spans="29:41">
      <c r="AC3179" s="78" t="s">
        <v>54</v>
      </c>
      <c r="AD3179" s="78" t="s">
        <v>20</v>
      </c>
      <c r="AE3179" s="78" t="s">
        <v>72</v>
      </c>
      <c r="AF3179" s="78" t="s">
        <v>51</v>
      </c>
      <c r="AG3179" s="78" t="s">
        <v>141</v>
      </c>
      <c r="AH3179" s="78">
        <v>3.872298391426404</v>
      </c>
      <c r="AJ3179" s="78" t="s">
        <v>74</v>
      </c>
      <c r="AK3179" s="78" t="s">
        <v>87</v>
      </c>
      <c r="AL3179" s="78" t="s">
        <v>25</v>
      </c>
      <c r="AM3179" s="78" t="s">
        <v>51</v>
      </c>
      <c r="AN3179" s="78" t="s">
        <v>698</v>
      </c>
      <c r="AO3179" s="78">
        <v>2.97056428337457</v>
      </c>
    </row>
    <row r="3180" spans="29:41">
      <c r="AC3180" s="78" t="s">
        <v>54</v>
      </c>
      <c r="AD3180" s="78" t="s">
        <v>20</v>
      </c>
      <c r="AE3180" s="78" t="s">
        <v>72</v>
      </c>
      <c r="AF3180" s="78" t="s">
        <v>51</v>
      </c>
      <c r="AG3180" s="78" t="s">
        <v>142</v>
      </c>
      <c r="AH3180" s="78">
        <v>3.9367503938171491</v>
      </c>
      <c r="AJ3180" s="78" t="s">
        <v>74</v>
      </c>
      <c r="AK3180" s="78" t="s">
        <v>87</v>
      </c>
      <c r="AL3180" s="78" t="s">
        <v>25</v>
      </c>
      <c r="AM3180" s="78" t="s">
        <v>51</v>
      </c>
      <c r="AN3180" s="78" t="s">
        <v>699</v>
      </c>
      <c r="AO3180" s="78">
        <v>2.97246415847412</v>
      </c>
    </row>
    <row r="3181" spans="29:41">
      <c r="AC3181" s="78" t="s">
        <v>54</v>
      </c>
      <c r="AD3181" s="78" t="s">
        <v>20</v>
      </c>
      <c r="AE3181" s="78" t="s">
        <v>72</v>
      </c>
      <c r="AF3181" s="78" t="s">
        <v>51</v>
      </c>
      <c r="AG3181" s="78" t="s">
        <v>143</v>
      </c>
      <c r="AH3181" s="78">
        <v>3.872298391426404</v>
      </c>
      <c r="AJ3181" s="78" t="s">
        <v>74</v>
      </c>
      <c r="AK3181" s="78" t="s">
        <v>87</v>
      </c>
      <c r="AL3181" s="78" t="s">
        <v>25</v>
      </c>
      <c r="AM3181" s="78" t="s">
        <v>51</v>
      </c>
      <c r="AN3181" s="78" t="s">
        <v>758</v>
      </c>
      <c r="AO3181" s="78">
        <v>2.9731323059338801</v>
      </c>
    </row>
    <row r="3182" spans="29:41">
      <c r="AC3182" s="78" t="s">
        <v>54</v>
      </c>
      <c r="AD3182" s="78" t="s">
        <v>20</v>
      </c>
      <c r="AE3182" s="78" t="s">
        <v>72</v>
      </c>
      <c r="AF3182" s="78" t="s">
        <v>51</v>
      </c>
      <c r="AG3182" s="78" t="s">
        <v>144</v>
      </c>
      <c r="AH3182" s="78">
        <v>3.8107367176633482</v>
      </c>
      <c r="AJ3182" s="78" t="s">
        <v>74</v>
      </c>
      <c r="AK3182" s="78" t="s">
        <v>87</v>
      </c>
      <c r="AL3182" s="78" t="s">
        <v>25</v>
      </c>
      <c r="AM3182" s="78" t="s">
        <v>51</v>
      </c>
      <c r="AN3182" s="78" t="s">
        <v>700</v>
      </c>
      <c r="AO3182" s="78">
        <v>2.94257511254186</v>
      </c>
    </row>
    <row r="3183" spans="29:41">
      <c r="AC3183" s="78" t="s">
        <v>54</v>
      </c>
      <c r="AD3183" s="78" t="s">
        <v>20</v>
      </c>
      <c r="AE3183" s="78" t="s">
        <v>72</v>
      </c>
      <c r="AF3183" s="78" t="s">
        <v>51</v>
      </c>
      <c r="AG3183" s="78" t="s">
        <v>145</v>
      </c>
      <c r="AH3183" s="78">
        <v>3.872298391426404</v>
      </c>
      <c r="AJ3183" s="78" t="s">
        <v>74</v>
      </c>
      <c r="AK3183" s="78" t="s">
        <v>87</v>
      </c>
      <c r="AL3183" s="78" t="s">
        <v>25</v>
      </c>
      <c r="AM3183" s="78" t="s">
        <v>51</v>
      </c>
      <c r="AN3183" s="78" t="s">
        <v>701</v>
      </c>
      <c r="AO3183" s="78">
        <v>2.9539216653401201</v>
      </c>
    </row>
    <row r="3184" spans="29:41">
      <c r="AC3184" s="78" t="s">
        <v>54</v>
      </c>
      <c r="AD3184" s="78" t="s">
        <v>20</v>
      </c>
      <c r="AE3184" s="78" t="s">
        <v>72</v>
      </c>
      <c r="AF3184" s="78" t="s">
        <v>51</v>
      </c>
      <c r="AG3184" s="78" t="s">
        <v>146</v>
      </c>
      <c r="AH3184" s="78">
        <v>3.9367503938171491</v>
      </c>
      <c r="AJ3184" s="78" t="s">
        <v>74</v>
      </c>
      <c r="AK3184" s="78" t="s">
        <v>87</v>
      </c>
      <c r="AL3184" s="78" t="s">
        <v>25</v>
      </c>
      <c r="AM3184" s="78" t="s">
        <v>51</v>
      </c>
      <c r="AN3184" s="78" t="s">
        <v>702</v>
      </c>
      <c r="AO3184" s="78">
        <v>3.02215443116989</v>
      </c>
    </row>
    <row r="3185" spans="29:41">
      <c r="AC3185" s="78" t="s">
        <v>54</v>
      </c>
      <c r="AD3185" s="78" t="s">
        <v>20</v>
      </c>
      <c r="AE3185" s="78" t="s">
        <v>72</v>
      </c>
      <c r="AF3185" s="78" t="s">
        <v>51</v>
      </c>
      <c r="AG3185" s="78" t="s">
        <v>147</v>
      </c>
      <c r="AH3185" s="78">
        <v>3.9980925223663326</v>
      </c>
      <c r="AJ3185" s="78" t="s">
        <v>74</v>
      </c>
      <c r="AK3185" s="78" t="s">
        <v>87</v>
      </c>
      <c r="AL3185" s="78" t="s">
        <v>25</v>
      </c>
      <c r="AM3185" s="78" t="s">
        <v>51</v>
      </c>
      <c r="AN3185" s="78" t="s">
        <v>703</v>
      </c>
      <c r="AO3185" s="78">
        <v>2.9701129901318302</v>
      </c>
    </row>
    <row r="3186" spans="29:41">
      <c r="AC3186" s="78" t="s">
        <v>54</v>
      </c>
      <c r="AD3186" s="78" t="s">
        <v>20</v>
      </c>
      <c r="AE3186" s="78" t="s">
        <v>72</v>
      </c>
      <c r="AF3186" s="78" t="s">
        <v>51</v>
      </c>
      <c r="AG3186" s="78" t="s">
        <v>148</v>
      </c>
      <c r="AH3186" s="78">
        <v>3.9367503938171491</v>
      </c>
      <c r="AJ3186" s="78" t="s">
        <v>74</v>
      </c>
      <c r="AK3186" s="78" t="s">
        <v>87</v>
      </c>
      <c r="AL3186" s="78" t="s">
        <v>25</v>
      </c>
      <c r="AM3186" s="78" t="s">
        <v>51</v>
      </c>
      <c r="AN3186" s="78" t="s">
        <v>704</v>
      </c>
      <c r="AO3186" s="78">
        <v>2.9938270438996102</v>
      </c>
    </row>
    <row r="3187" spans="29:41">
      <c r="AC3187" s="78" t="s">
        <v>54</v>
      </c>
      <c r="AD3187" s="78" t="s">
        <v>20</v>
      </c>
      <c r="AE3187" s="78" t="s">
        <v>72</v>
      </c>
      <c r="AF3187" s="78" t="s">
        <v>51</v>
      </c>
      <c r="AG3187" s="78" t="s">
        <v>149</v>
      </c>
      <c r="AH3187" s="78">
        <v>3.872298391426404</v>
      </c>
      <c r="AJ3187" s="78" t="s">
        <v>74</v>
      </c>
      <c r="AK3187" s="78" t="s">
        <v>87</v>
      </c>
      <c r="AL3187" s="78" t="s">
        <v>25</v>
      </c>
      <c r="AM3187" s="78" t="s">
        <v>51</v>
      </c>
      <c r="AN3187" s="78" t="s">
        <v>705</v>
      </c>
      <c r="AO3187" s="78">
        <v>2.9740140733448301</v>
      </c>
    </row>
    <row r="3188" spans="29:41">
      <c r="AC3188" s="78" t="s">
        <v>54</v>
      </c>
      <c r="AD3188" s="78" t="s">
        <v>20</v>
      </c>
      <c r="AE3188" s="78" t="s">
        <v>72</v>
      </c>
      <c r="AF3188" s="78" t="s">
        <v>51</v>
      </c>
      <c r="AG3188" s="78" t="s">
        <v>150</v>
      </c>
      <c r="AH3188" s="78">
        <v>3.7673467858228435</v>
      </c>
      <c r="AJ3188" s="78" t="s">
        <v>74</v>
      </c>
      <c r="AK3188" s="78" t="s">
        <v>87</v>
      </c>
      <c r="AL3188" s="78" t="s">
        <v>25</v>
      </c>
      <c r="AM3188" s="78" t="s">
        <v>51</v>
      </c>
      <c r="AN3188" s="78" t="s">
        <v>706</v>
      </c>
      <c r="AO3188" s="78">
        <v>2.97637624245715</v>
      </c>
    </row>
    <row r="3189" spans="29:41">
      <c r="AC3189" s="78" t="s">
        <v>54</v>
      </c>
      <c r="AD3189" s="78" t="s">
        <v>20</v>
      </c>
      <c r="AE3189" s="78" t="s">
        <v>72</v>
      </c>
      <c r="AF3189" s="78" t="s">
        <v>51</v>
      </c>
      <c r="AG3189" s="78" t="s">
        <v>151</v>
      </c>
      <c r="AH3189" s="78">
        <v>3.7673467858228435</v>
      </c>
      <c r="AJ3189" s="78" t="s">
        <v>74</v>
      </c>
      <c r="AK3189" s="78" t="s">
        <v>87</v>
      </c>
      <c r="AL3189" s="78" t="s">
        <v>25</v>
      </c>
      <c r="AM3189" s="78" t="s">
        <v>51</v>
      </c>
      <c r="AN3189" s="78" t="s">
        <v>707</v>
      </c>
      <c r="AO3189" s="78">
        <v>2.9403667589797098</v>
      </c>
    </row>
    <row r="3190" spans="29:41">
      <c r="AC3190" s="78" t="s">
        <v>54</v>
      </c>
      <c r="AD3190" s="78" t="s">
        <v>20</v>
      </c>
      <c r="AE3190" s="78" t="s">
        <v>72</v>
      </c>
      <c r="AF3190" s="78" t="s">
        <v>51</v>
      </c>
      <c r="AG3190" s="78" t="s">
        <v>152</v>
      </c>
      <c r="AH3190" s="78">
        <v>3.7178705124641254</v>
      </c>
      <c r="AJ3190" s="78" t="s">
        <v>74</v>
      </c>
      <c r="AK3190" s="78" t="s">
        <v>87</v>
      </c>
      <c r="AL3190" s="78" t="s">
        <v>25</v>
      </c>
      <c r="AM3190" s="78" t="s">
        <v>51</v>
      </c>
      <c r="AN3190" s="78" t="s">
        <v>708</v>
      </c>
      <c r="AO3190" s="78">
        <v>2.9478542196080602</v>
      </c>
    </row>
    <row r="3191" spans="29:41">
      <c r="AC3191" s="78" t="s">
        <v>54</v>
      </c>
      <c r="AD3191" s="78" t="s">
        <v>20</v>
      </c>
      <c r="AE3191" s="78" t="s">
        <v>72</v>
      </c>
      <c r="AF3191" s="78" t="s">
        <v>51</v>
      </c>
      <c r="AG3191" s="78" t="s">
        <v>153</v>
      </c>
      <c r="AH3191" s="78">
        <v>3.8662066882918835</v>
      </c>
      <c r="AJ3191" s="78" t="s">
        <v>74</v>
      </c>
      <c r="AK3191" s="78" t="s">
        <v>87</v>
      </c>
      <c r="AL3191" s="78" t="s">
        <v>25</v>
      </c>
      <c r="AM3191" s="78" t="s">
        <v>51</v>
      </c>
      <c r="AN3191" s="78" t="s">
        <v>709</v>
      </c>
      <c r="AO3191" s="78">
        <v>2.9190280511429001</v>
      </c>
    </row>
    <row r="3192" spans="29:41">
      <c r="AC3192" s="78" t="s">
        <v>54</v>
      </c>
      <c r="AD3192" s="78" t="s">
        <v>20</v>
      </c>
      <c r="AE3192" s="78" t="s">
        <v>72</v>
      </c>
      <c r="AF3192" s="78" t="s">
        <v>51</v>
      </c>
      <c r="AG3192" s="78" t="s">
        <v>154</v>
      </c>
      <c r="AH3192" s="78">
        <v>3.8662066882918835</v>
      </c>
      <c r="AJ3192" s="78" t="s">
        <v>74</v>
      </c>
      <c r="AK3192" s="78" t="s">
        <v>87</v>
      </c>
      <c r="AL3192" s="78" t="s">
        <v>25</v>
      </c>
      <c r="AM3192" s="78" t="s">
        <v>51</v>
      </c>
      <c r="AN3192" s="78" t="s">
        <v>710</v>
      </c>
      <c r="AO3192" s="78">
        <v>2.9469409436626601</v>
      </c>
    </row>
    <row r="3193" spans="29:41">
      <c r="AC3193" s="78" t="s">
        <v>54</v>
      </c>
      <c r="AD3193" s="78" t="s">
        <v>20</v>
      </c>
      <c r="AE3193" s="78" t="s">
        <v>72</v>
      </c>
      <c r="AF3193" s="78" t="s">
        <v>51</v>
      </c>
      <c r="AG3193" s="78" t="s">
        <v>155</v>
      </c>
      <c r="AH3193" s="78">
        <v>3.804430007719005</v>
      </c>
      <c r="AJ3193" s="78" t="s">
        <v>74</v>
      </c>
      <c r="AK3193" s="78" t="s">
        <v>87</v>
      </c>
      <c r="AL3193" s="78" t="s">
        <v>25</v>
      </c>
      <c r="AM3193" s="78" t="s">
        <v>51</v>
      </c>
      <c r="AN3193" s="78" t="s">
        <v>711</v>
      </c>
      <c r="AO3193" s="78">
        <v>2.9337005392138198</v>
      </c>
    </row>
    <row r="3194" spans="29:41">
      <c r="AC3194" s="78" t="s">
        <v>54</v>
      </c>
      <c r="AD3194" s="78" t="s">
        <v>20</v>
      </c>
      <c r="AE3194" s="78" t="s">
        <v>72</v>
      </c>
      <c r="AF3194" s="78" t="s">
        <v>51</v>
      </c>
      <c r="AG3194" s="78" t="s">
        <v>156</v>
      </c>
      <c r="AH3194" s="78">
        <v>3.7609539039308504</v>
      </c>
      <c r="AJ3194" s="78" t="s">
        <v>74</v>
      </c>
      <c r="AK3194" s="78" t="s">
        <v>87</v>
      </c>
      <c r="AL3194" s="78" t="s">
        <v>25</v>
      </c>
      <c r="AM3194" s="78" t="s">
        <v>51</v>
      </c>
      <c r="AN3194" s="78" t="s">
        <v>712</v>
      </c>
      <c r="AO3194" s="78">
        <v>2.9532777755808302</v>
      </c>
    </row>
    <row r="3195" spans="29:41">
      <c r="AC3195" s="78" t="s">
        <v>54</v>
      </c>
      <c r="AD3195" s="78" t="s">
        <v>20</v>
      </c>
      <c r="AE3195" s="78" t="s">
        <v>72</v>
      </c>
      <c r="AF3195" s="78" t="s">
        <v>51</v>
      </c>
      <c r="AG3195" s="78" t="s">
        <v>157</v>
      </c>
      <c r="AH3195" s="78">
        <v>3.8662066882918835</v>
      </c>
      <c r="AJ3195" s="78" t="s">
        <v>74</v>
      </c>
      <c r="AK3195" s="78" t="s">
        <v>87</v>
      </c>
      <c r="AL3195" s="78" t="s">
        <v>25</v>
      </c>
      <c r="AM3195" s="78" t="s">
        <v>51</v>
      </c>
      <c r="AN3195" s="78" t="s">
        <v>713</v>
      </c>
      <c r="AO3195" s="78">
        <v>2.9149127266331099</v>
      </c>
    </row>
    <row r="3196" spans="29:41">
      <c r="AC3196" s="78" t="s">
        <v>54</v>
      </c>
      <c r="AD3196" s="78" t="s">
        <v>20</v>
      </c>
      <c r="AE3196" s="78" t="s">
        <v>72</v>
      </c>
      <c r="AF3196" s="78" t="s">
        <v>51</v>
      </c>
      <c r="AG3196" s="78" t="s">
        <v>158</v>
      </c>
      <c r="AH3196" s="78">
        <v>3.8662066882918835</v>
      </c>
      <c r="AJ3196" s="78" t="s">
        <v>74</v>
      </c>
      <c r="AK3196" s="78" t="s">
        <v>87</v>
      </c>
      <c r="AL3196" s="78" t="s">
        <v>25</v>
      </c>
      <c r="AM3196" s="78" t="s">
        <v>51</v>
      </c>
      <c r="AN3196" s="78" t="s">
        <v>714</v>
      </c>
      <c r="AO3196" s="78">
        <v>2.9057812704780299</v>
      </c>
    </row>
    <row r="3197" spans="29:41">
      <c r="AC3197" s="78" t="s">
        <v>54</v>
      </c>
      <c r="AD3197" s="78" t="s">
        <v>20</v>
      </c>
      <c r="AE3197" s="78" t="s">
        <v>72</v>
      </c>
      <c r="AF3197" s="78" t="s">
        <v>51</v>
      </c>
      <c r="AG3197" s="78" t="s">
        <v>159</v>
      </c>
      <c r="AH3197" s="78">
        <v>3.7113481910264978</v>
      </c>
      <c r="AJ3197" s="78" t="s">
        <v>74</v>
      </c>
      <c r="AK3197" s="78" t="s">
        <v>87</v>
      </c>
      <c r="AL3197" s="78" t="s">
        <v>25</v>
      </c>
      <c r="AM3197" s="78" t="s">
        <v>51</v>
      </c>
      <c r="AN3197" s="78" t="s">
        <v>715</v>
      </c>
      <c r="AO3197" s="78">
        <v>2.88684387791647</v>
      </c>
    </row>
    <row r="3198" spans="29:41">
      <c r="AC3198" s="78" t="s">
        <v>54</v>
      </c>
      <c r="AD3198" s="78" t="s">
        <v>20</v>
      </c>
      <c r="AE3198" s="78" t="s">
        <v>72</v>
      </c>
      <c r="AF3198" s="78" t="s">
        <v>51</v>
      </c>
      <c r="AG3198" s="78" t="s">
        <v>160</v>
      </c>
      <c r="AH3198" s="78">
        <v>3.804430007719005</v>
      </c>
      <c r="AJ3198" s="78" t="s">
        <v>74</v>
      </c>
      <c r="AK3198" s="78" t="s">
        <v>87</v>
      </c>
      <c r="AL3198" s="78" t="s">
        <v>25</v>
      </c>
      <c r="AM3198" s="78" t="s">
        <v>51</v>
      </c>
      <c r="AN3198" s="78" t="s">
        <v>716</v>
      </c>
      <c r="AO3198" s="78">
        <v>2.8989518850804301</v>
      </c>
    </row>
    <row r="3199" spans="29:41">
      <c r="AC3199" s="78" t="s">
        <v>54</v>
      </c>
      <c r="AD3199" s="78" t="s">
        <v>20</v>
      </c>
      <c r="AE3199" s="78" t="s">
        <v>72</v>
      </c>
      <c r="AF3199" s="78" t="s">
        <v>51</v>
      </c>
      <c r="AG3199" s="78" t="s">
        <v>161</v>
      </c>
      <c r="AH3199" s="78">
        <v>3.804430007719005</v>
      </c>
      <c r="AJ3199" s="78" t="s">
        <v>74</v>
      </c>
      <c r="AK3199" s="78" t="s">
        <v>87</v>
      </c>
      <c r="AL3199" s="78" t="s">
        <v>25</v>
      </c>
      <c r="AM3199" s="78" t="s">
        <v>51</v>
      </c>
      <c r="AN3199" s="78" t="s">
        <v>717</v>
      </c>
      <c r="AO3199" s="78">
        <v>2.9395075858603499</v>
      </c>
    </row>
    <row r="3200" spans="29:41">
      <c r="AC3200" s="78" t="s">
        <v>54</v>
      </c>
      <c r="AD3200" s="78" t="s">
        <v>20</v>
      </c>
      <c r="AE3200" s="78" t="s">
        <v>72</v>
      </c>
      <c r="AF3200" s="78" t="s">
        <v>51</v>
      </c>
      <c r="AG3200" s="78" t="s">
        <v>162</v>
      </c>
      <c r="AH3200" s="78">
        <v>3.8662066882918835</v>
      </c>
      <c r="AJ3200" s="78" t="s">
        <v>74</v>
      </c>
      <c r="AK3200" s="78" t="s">
        <v>87</v>
      </c>
      <c r="AL3200" s="78" t="s">
        <v>25</v>
      </c>
      <c r="AM3200" s="78" t="s">
        <v>51</v>
      </c>
      <c r="AN3200" s="78" t="s">
        <v>718</v>
      </c>
      <c r="AO3200" s="78">
        <v>2.9032960694511001</v>
      </c>
    </row>
    <row r="3201" spans="29:41">
      <c r="AC3201" s="78" t="s">
        <v>54</v>
      </c>
      <c r="AD3201" s="78" t="s">
        <v>20</v>
      </c>
      <c r="AE3201" s="78" t="s">
        <v>72</v>
      </c>
      <c r="AF3201" s="78" t="s">
        <v>51</v>
      </c>
      <c r="AG3201" s="78" t="s">
        <v>163</v>
      </c>
      <c r="AH3201" s="78">
        <v>3.804430007719005</v>
      </c>
      <c r="AJ3201" s="78" t="s">
        <v>74</v>
      </c>
      <c r="AK3201" s="78" t="s">
        <v>87</v>
      </c>
      <c r="AL3201" s="78" t="s">
        <v>25</v>
      </c>
      <c r="AM3201" s="78" t="s">
        <v>51</v>
      </c>
      <c r="AN3201" s="78" t="s">
        <v>719</v>
      </c>
      <c r="AO3201" s="78">
        <v>2.8788328946045998</v>
      </c>
    </row>
    <row r="3202" spans="29:41">
      <c r="AC3202" s="78" t="s">
        <v>54</v>
      </c>
      <c r="AD3202" s="78" t="s">
        <v>20</v>
      </c>
      <c r="AE3202" s="78" t="s">
        <v>72</v>
      </c>
      <c r="AF3202" s="78" t="s">
        <v>51</v>
      </c>
      <c r="AG3202" s="78" t="s">
        <v>164</v>
      </c>
      <c r="AH3202" s="78">
        <v>3.8662066882918835</v>
      </c>
      <c r="AJ3202" s="78" t="s">
        <v>74</v>
      </c>
      <c r="AK3202" s="78" t="s">
        <v>87</v>
      </c>
      <c r="AL3202" s="78" t="s">
        <v>25</v>
      </c>
      <c r="AM3202" s="78" t="s">
        <v>51</v>
      </c>
      <c r="AN3202" s="78" t="s">
        <v>720</v>
      </c>
      <c r="AO3202" s="78">
        <v>2.8849159649276999</v>
      </c>
    </row>
    <row r="3203" spans="29:41">
      <c r="AC3203" s="78" t="s">
        <v>54</v>
      </c>
      <c r="AD3203" s="78" t="s">
        <v>20</v>
      </c>
      <c r="AE3203" s="78" t="s">
        <v>72</v>
      </c>
      <c r="AF3203" s="78" t="s">
        <v>51</v>
      </c>
      <c r="AG3203" s="78" t="s">
        <v>165</v>
      </c>
      <c r="AH3203" s="78">
        <v>3.8375095901912939</v>
      </c>
      <c r="AJ3203" s="78" t="s">
        <v>74</v>
      </c>
      <c r="AK3203" s="78" t="s">
        <v>87</v>
      </c>
      <c r="AL3203" s="78" t="s">
        <v>25</v>
      </c>
      <c r="AM3203" s="78" t="s">
        <v>51</v>
      </c>
      <c r="AN3203" s="78" t="s">
        <v>759</v>
      </c>
      <c r="AO3203" s="78">
        <v>2.8809330766595802</v>
      </c>
    </row>
    <row r="3204" spans="29:41">
      <c r="AC3204" s="78" t="s">
        <v>54</v>
      </c>
      <c r="AD3204" s="78" t="s">
        <v>20</v>
      </c>
      <c r="AE3204" s="78" t="s">
        <v>72</v>
      </c>
      <c r="AF3204" s="78" t="s">
        <v>51</v>
      </c>
      <c r="AG3204" s="78" t="s">
        <v>166</v>
      </c>
      <c r="AH3204" s="78">
        <v>3.8869825871584012</v>
      </c>
      <c r="AJ3204" s="78" t="s">
        <v>74</v>
      </c>
      <c r="AK3204" s="78" t="s">
        <v>87</v>
      </c>
      <c r="AL3204" s="78" t="s">
        <v>25</v>
      </c>
      <c r="AM3204" s="78" t="s">
        <v>51</v>
      </c>
      <c r="AN3204" s="78" t="s">
        <v>721</v>
      </c>
      <c r="AO3204" s="78">
        <v>2.9039512630900401</v>
      </c>
    </row>
    <row r="3205" spans="29:41">
      <c r="AC3205" s="78" t="s">
        <v>54</v>
      </c>
      <c r="AD3205" s="78" t="s">
        <v>20</v>
      </c>
      <c r="AE3205" s="78" t="s">
        <v>72</v>
      </c>
      <c r="AF3205" s="78" t="s">
        <v>51</v>
      </c>
      <c r="AG3205" s="78" t="s">
        <v>167</v>
      </c>
      <c r="AH3205" s="78">
        <v>3.8375095901912939</v>
      </c>
      <c r="AJ3205" s="78" t="s">
        <v>74</v>
      </c>
      <c r="AK3205" s="78" t="s">
        <v>87</v>
      </c>
      <c r="AL3205" s="78" t="s">
        <v>25</v>
      </c>
      <c r="AM3205" s="78" t="s">
        <v>51</v>
      </c>
      <c r="AN3205" s="78" t="s">
        <v>722</v>
      </c>
      <c r="AO3205" s="78">
        <v>2.86756430791635</v>
      </c>
    </row>
    <row r="3206" spans="29:41">
      <c r="AC3206" s="78" t="s">
        <v>54</v>
      </c>
      <c r="AD3206" s="78" t="s">
        <v>20</v>
      </c>
      <c r="AE3206" s="78" t="s">
        <v>72</v>
      </c>
      <c r="AF3206" s="78" t="s">
        <v>51</v>
      </c>
      <c r="AG3206" s="78" t="s">
        <v>168</v>
      </c>
      <c r="AH3206" s="78">
        <v>3.8375095901912939</v>
      </c>
      <c r="AJ3206" s="78" t="s">
        <v>74</v>
      </c>
      <c r="AK3206" s="78" t="s">
        <v>87</v>
      </c>
      <c r="AL3206" s="78" t="s">
        <v>25</v>
      </c>
      <c r="AM3206" s="78" t="s">
        <v>51</v>
      </c>
      <c r="AN3206" s="78" t="s">
        <v>723</v>
      </c>
      <c r="AO3206" s="78">
        <v>2.8814309818514099</v>
      </c>
    </row>
    <row r="3207" spans="29:41">
      <c r="AC3207" s="78" t="s">
        <v>54</v>
      </c>
      <c r="AD3207" s="78" t="s">
        <v>20</v>
      </c>
      <c r="AE3207" s="78" t="s">
        <v>72</v>
      </c>
      <c r="AF3207" s="78" t="s">
        <v>51</v>
      </c>
      <c r="AG3207" s="78" t="s">
        <v>169</v>
      </c>
      <c r="AH3207" s="78">
        <v>3.9303703370483709</v>
      </c>
      <c r="AJ3207" s="78" t="s">
        <v>74</v>
      </c>
      <c r="AK3207" s="78" t="s">
        <v>87</v>
      </c>
      <c r="AL3207" s="78" t="s">
        <v>25</v>
      </c>
      <c r="AM3207" s="78" t="s">
        <v>51</v>
      </c>
      <c r="AN3207" s="78" t="s">
        <v>724</v>
      </c>
      <c r="AO3207" s="78">
        <v>2.85470701352213</v>
      </c>
    </row>
    <row r="3208" spans="29:41">
      <c r="AC3208" s="78" t="s">
        <v>54</v>
      </c>
      <c r="AD3208" s="78" t="s">
        <v>20</v>
      </c>
      <c r="AE3208" s="78" t="s">
        <v>72</v>
      </c>
      <c r="AF3208" s="78" t="s">
        <v>51</v>
      </c>
      <c r="AG3208" s="78" t="s">
        <v>170</v>
      </c>
      <c r="AH3208" s="78">
        <v>4.117698774030444</v>
      </c>
      <c r="AJ3208" s="78" t="s">
        <v>74</v>
      </c>
      <c r="AK3208" s="78" t="s">
        <v>87</v>
      </c>
      <c r="AL3208" s="78" t="s">
        <v>25</v>
      </c>
      <c r="AM3208" s="78" t="s">
        <v>51</v>
      </c>
      <c r="AN3208" s="78" t="s">
        <v>725</v>
      </c>
      <c r="AO3208" s="78">
        <v>2.8455759093588999</v>
      </c>
    </row>
    <row r="3209" spans="29:41">
      <c r="AC3209" s="78" t="s">
        <v>54</v>
      </c>
      <c r="AD3209" s="78" t="s">
        <v>20</v>
      </c>
      <c r="AE3209" s="78" t="s">
        <v>72</v>
      </c>
      <c r="AF3209" s="78" t="s">
        <v>51</v>
      </c>
      <c r="AG3209" s="78" t="s">
        <v>171</v>
      </c>
      <c r="AH3209" s="78">
        <v>4.0563620311709938</v>
      </c>
      <c r="AJ3209" s="78" t="s">
        <v>74</v>
      </c>
      <c r="AK3209" s="78" t="s">
        <v>87</v>
      </c>
      <c r="AL3209" s="78" t="s">
        <v>25</v>
      </c>
      <c r="AM3209" s="78" t="s">
        <v>51</v>
      </c>
      <c r="AN3209" s="78" t="s">
        <v>726</v>
      </c>
      <c r="AO3209" s="78">
        <v>2.8303497254794401</v>
      </c>
    </row>
    <row r="3210" spans="29:41">
      <c r="AC3210" s="78" t="s">
        <v>54</v>
      </c>
      <c r="AD3210" s="78" t="s">
        <v>20</v>
      </c>
      <c r="AE3210" s="78" t="s">
        <v>72</v>
      </c>
      <c r="AF3210" s="78" t="s">
        <v>51</v>
      </c>
      <c r="AG3210" s="78" t="s">
        <v>172</v>
      </c>
      <c r="AH3210" s="78">
        <v>4.0563620311709938</v>
      </c>
      <c r="AJ3210" s="78" t="s">
        <v>74</v>
      </c>
      <c r="AK3210" s="78" t="s">
        <v>87</v>
      </c>
      <c r="AL3210" s="78" t="s">
        <v>25</v>
      </c>
      <c r="AM3210" s="78" t="s">
        <v>51</v>
      </c>
      <c r="AN3210" s="78" t="s">
        <v>426</v>
      </c>
      <c r="AO3210" s="78">
        <v>2.8426315316664401</v>
      </c>
    </row>
    <row r="3211" spans="29:41">
      <c r="AC3211" s="78" t="s">
        <v>54</v>
      </c>
      <c r="AD3211" s="78" t="s">
        <v>20</v>
      </c>
      <c r="AE3211" s="78" t="s">
        <v>72</v>
      </c>
      <c r="AF3211" s="78" t="s">
        <v>51</v>
      </c>
      <c r="AG3211" s="78" t="s">
        <v>173</v>
      </c>
      <c r="AH3211" s="78">
        <v>4.117698774030444</v>
      </c>
      <c r="AJ3211" s="78" t="s">
        <v>74</v>
      </c>
      <c r="AK3211" s="78" t="s">
        <v>87</v>
      </c>
      <c r="AL3211" s="78" t="s">
        <v>25</v>
      </c>
      <c r="AM3211" s="78" t="s">
        <v>51</v>
      </c>
      <c r="AN3211" s="78" t="s">
        <v>727</v>
      </c>
      <c r="AO3211" s="78">
        <v>2.8177381018146699</v>
      </c>
    </row>
    <row r="3212" spans="29:41">
      <c r="AC3212" s="78" t="s">
        <v>54</v>
      </c>
      <c r="AD3212" s="78" t="s">
        <v>20</v>
      </c>
      <c r="AE3212" s="78" t="s">
        <v>72</v>
      </c>
      <c r="AF3212" s="78" t="s">
        <v>51</v>
      </c>
      <c r="AG3212" s="78" t="s">
        <v>174</v>
      </c>
      <c r="AH3212" s="78">
        <v>4.0154500000000004</v>
      </c>
      <c r="AJ3212" s="78" t="s">
        <v>74</v>
      </c>
      <c r="AK3212" s="78" t="s">
        <v>87</v>
      </c>
      <c r="AL3212" s="78" t="s">
        <v>25</v>
      </c>
      <c r="AM3212" s="78" t="s">
        <v>51</v>
      </c>
      <c r="AN3212" s="78" t="s">
        <v>728</v>
      </c>
      <c r="AO3212" s="78">
        <v>2.8505659614824999</v>
      </c>
    </row>
    <row r="3213" spans="29:41">
      <c r="AC3213" s="78" t="s">
        <v>54</v>
      </c>
      <c r="AD3213" s="78" t="s">
        <v>20</v>
      </c>
      <c r="AE3213" s="78" t="s">
        <v>72</v>
      </c>
      <c r="AF3213" s="78" t="s">
        <v>51</v>
      </c>
      <c r="AG3213" s="78" t="s">
        <v>175</v>
      </c>
      <c r="AH3213" s="78">
        <v>4.0899335699667727</v>
      </c>
      <c r="AJ3213" s="78" t="s">
        <v>74</v>
      </c>
      <c r="AK3213" s="78" t="s">
        <v>87</v>
      </c>
      <c r="AL3213" s="78" t="s">
        <v>25</v>
      </c>
      <c r="AM3213" s="78" t="s">
        <v>51</v>
      </c>
      <c r="AN3213" s="78" t="s">
        <v>729</v>
      </c>
      <c r="AO3213" s="78">
        <v>2.7686387386153899</v>
      </c>
    </row>
    <row r="3214" spans="29:41">
      <c r="AC3214" s="78" t="s">
        <v>54</v>
      </c>
      <c r="AD3214" s="78" t="s">
        <v>20</v>
      </c>
      <c r="AE3214" s="78" t="s">
        <v>72</v>
      </c>
      <c r="AF3214" s="78" t="s">
        <v>51</v>
      </c>
      <c r="AG3214" s="78" t="s">
        <v>176</v>
      </c>
      <c r="AH3214" s="78">
        <v>4.1391429031887403</v>
      </c>
      <c r="AJ3214" s="78" t="s">
        <v>74</v>
      </c>
      <c r="AK3214" s="78" t="s">
        <v>87</v>
      </c>
      <c r="AL3214" s="78" t="s">
        <v>25</v>
      </c>
      <c r="AM3214" s="78" t="s">
        <v>51</v>
      </c>
      <c r="AN3214" s="78" t="s">
        <v>730</v>
      </c>
      <c r="AO3214" s="78">
        <v>2.8132496631977602</v>
      </c>
    </row>
    <row r="3215" spans="29:41">
      <c r="AC3215" s="78" t="s">
        <v>54</v>
      </c>
      <c r="AD3215" s="78" t="s">
        <v>20</v>
      </c>
      <c r="AE3215" s="78" t="s">
        <v>72</v>
      </c>
      <c r="AF3215" s="78" t="s">
        <v>51</v>
      </c>
      <c r="AG3215" s="78" t="s">
        <v>177</v>
      </c>
      <c r="AH3215" s="78">
        <v>4.117698774030444</v>
      </c>
      <c r="AJ3215" s="78" t="s">
        <v>74</v>
      </c>
      <c r="AK3215" s="78" t="s">
        <v>87</v>
      </c>
      <c r="AL3215" s="78" t="s">
        <v>25</v>
      </c>
      <c r="AM3215" s="78" t="s">
        <v>51</v>
      </c>
      <c r="AN3215" s="78" t="s">
        <v>731</v>
      </c>
      <c r="AO3215" s="78">
        <v>2.7688521651914</v>
      </c>
    </row>
    <row r="3216" spans="29:41">
      <c r="AC3216" s="78" t="s">
        <v>54</v>
      </c>
      <c r="AD3216" s="78" t="s">
        <v>20</v>
      </c>
      <c r="AE3216" s="78" t="s">
        <v>72</v>
      </c>
      <c r="AF3216" s="78" t="s">
        <v>51</v>
      </c>
      <c r="AG3216" s="78" t="s">
        <v>178</v>
      </c>
      <c r="AH3216" s="78">
        <v>4.0899335699667727</v>
      </c>
      <c r="AJ3216" s="78" t="s">
        <v>74</v>
      </c>
      <c r="AK3216" s="78" t="s">
        <v>87</v>
      </c>
      <c r="AL3216" s="78" t="s">
        <v>25</v>
      </c>
      <c r="AM3216" s="78" t="s">
        <v>51</v>
      </c>
      <c r="AN3216" s="78" t="s">
        <v>732</v>
      </c>
      <c r="AO3216" s="78">
        <v>2.76958844979265</v>
      </c>
    </row>
    <row r="3217" spans="29:41">
      <c r="AC3217" s="78" t="s">
        <v>54</v>
      </c>
      <c r="AD3217" s="78" t="s">
        <v>20</v>
      </c>
      <c r="AE3217" s="78" t="s">
        <v>72</v>
      </c>
      <c r="AF3217" s="78" t="s">
        <v>51</v>
      </c>
      <c r="AG3217" s="78" t="s">
        <v>179</v>
      </c>
      <c r="AH3217" s="78">
        <v>4.1823551213488175</v>
      </c>
      <c r="AJ3217" s="78" t="s">
        <v>74</v>
      </c>
      <c r="AK3217" s="78" t="s">
        <v>87</v>
      </c>
      <c r="AL3217" s="78" t="s">
        <v>25</v>
      </c>
      <c r="AM3217" s="78" t="s">
        <v>51</v>
      </c>
      <c r="AN3217" s="78" t="s">
        <v>733</v>
      </c>
      <c r="AO3217" s="78">
        <v>2.8333960473494502</v>
      </c>
    </row>
    <row r="3218" spans="29:41">
      <c r="AC3218" s="78" t="s">
        <v>54</v>
      </c>
      <c r="AD3218" s="78" t="s">
        <v>20</v>
      </c>
      <c r="AE3218" s="78" t="s">
        <v>72</v>
      </c>
      <c r="AF3218" s="78" t="s">
        <v>51</v>
      </c>
      <c r="AG3218" s="78" t="s">
        <v>180</v>
      </c>
      <c r="AH3218" s="78">
        <v>4.1823551213488175</v>
      </c>
      <c r="AJ3218" s="78" t="s">
        <v>74</v>
      </c>
      <c r="AK3218" s="78" t="s">
        <v>87</v>
      </c>
      <c r="AL3218" s="78" t="s">
        <v>25</v>
      </c>
      <c r="AM3218" s="78" t="s">
        <v>51</v>
      </c>
      <c r="AN3218" s="78" t="s">
        <v>734</v>
      </c>
      <c r="AO3218" s="78">
        <v>2.85764653167635</v>
      </c>
    </row>
    <row r="3219" spans="29:41">
      <c r="AC3219" s="78" t="s">
        <v>54</v>
      </c>
      <c r="AD3219" s="78" t="s">
        <v>20</v>
      </c>
      <c r="AE3219" s="78" t="s">
        <v>72</v>
      </c>
      <c r="AF3219" s="78" t="s">
        <v>51</v>
      </c>
      <c r="AG3219" s="78" t="s">
        <v>181</v>
      </c>
      <c r="AH3219" s="78">
        <v>4.1823551213488175</v>
      </c>
      <c r="AJ3219" s="78" t="s">
        <v>74</v>
      </c>
      <c r="AK3219" s="78" t="s">
        <v>87</v>
      </c>
      <c r="AL3219" s="78" t="s">
        <v>25</v>
      </c>
      <c r="AM3219" s="78" t="s">
        <v>51</v>
      </c>
      <c r="AN3219" s="78" t="s">
        <v>735</v>
      </c>
      <c r="AO3219" s="78">
        <v>2.8730648948017001</v>
      </c>
    </row>
    <row r="3220" spans="29:41">
      <c r="AC3220" s="78" t="s">
        <v>54</v>
      </c>
      <c r="AD3220" s="78" t="s">
        <v>20</v>
      </c>
      <c r="AE3220" s="78" t="s">
        <v>72</v>
      </c>
      <c r="AF3220" s="78" t="s">
        <v>51</v>
      </c>
      <c r="AG3220" s="78" t="s">
        <v>182</v>
      </c>
      <c r="AH3220" s="78">
        <v>4.0154500000000004</v>
      </c>
      <c r="AJ3220" s="78" t="s">
        <v>74</v>
      </c>
      <c r="AK3220" s="78" t="s">
        <v>87</v>
      </c>
      <c r="AL3220" s="78" t="s">
        <v>25</v>
      </c>
      <c r="AM3220" s="78" t="s">
        <v>51</v>
      </c>
      <c r="AN3220" s="78" t="s">
        <v>736</v>
      </c>
      <c r="AO3220" s="78">
        <v>2.8751288472692602</v>
      </c>
    </row>
    <row r="3221" spans="29:41">
      <c r="AC3221" s="78" t="s">
        <v>54</v>
      </c>
      <c r="AD3221" s="78" t="s">
        <v>20</v>
      </c>
      <c r="AE3221" s="78" t="s">
        <v>72</v>
      </c>
      <c r="AF3221" s="78" t="s">
        <v>51</v>
      </c>
      <c r="AG3221" s="78" t="s">
        <v>183</v>
      </c>
      <c r="AH3221" s="78">
        <v>4.0154500000000004</v>
      </c>
      <c r="AJ3221" s="78" t="s">
        <v>74</v>
      </c>
      <c r="AK3221" s="78" t="s">
        <v>87</v>
      </c>
      <c r="AL3221" s="78" t="s">
        <v>25</v>
      </c>
      <c r="AM3221" s="78" t="s">
        <v>51</v>
      </c>
      <c r="AN3221" s="78" t="s">
        <v>737</v>
      </c>
      <c r="AO3221" s="78">
        <v>2.8805932706555302</v>
      </c>
    </row>
    <row r="3222" spans="29:41">
      <c r="AC3222" s="78" t="s">
        <v>54</v>
      </c>
      <c r="AD3222" s="78" t="s">
        <v>20</v>
      </c>
      <c r="AE3222" s="78" t="s">
        <v>72</v>
      </c>
      <c r="AF3222" s="78" t="s">
        <v>51</v>
      </c>
      <c r="AG3222" s="78" t="s">
        <v>184</v>
      </c>
      <c r="AH3222" s="78">
        <v>4.1391429031887403</v>
      </c>
      <c r="AJ3222" s="78" t="s">
        <v>74</v>
      </c>
      <c r="AK3222" s="78" t="s">
        <v>87</v>
      </c>
      <c r="AL3222" s="78" t="s">
        <v>25</v>
      </c>
      <c r="AM3222" s="78" t="s">
        <v>51</v>
      </c>
      <c r="AN3222" s="78" t="s">
        <v>738</v>
      </c>
      <c r="AO3222" s="78">
        <v>2.9057723964536701</v>
      </c>
    </row>
    <row r="3223" spans="29:41">
      <c r="AC3223" s="78" t="s">
        <v>54</v>
      </c>
      <c r="AD3223" s="78" t="s">
        <v>20</v>
      </c>
      <c r="AE3223" s="78" t="s">
        <v>72</v>
      </c>
      <c r="AF3223" s="78" t="s">
        <v>51</v>
      </c>
      <c r="AG3223" s="78" t="s">
        <v>185</v>
      </c>
      <c r="AH3223" s="78">
        <v>4.1078929031887403</v>
      </c>
      <c r="AJ3223" s="78" t="s">
        <v>74</v>
      </c>
      <c r="AK3223" s="78" t="s">
        <v>87</v>
      </c>
      <c r="AL3223" s="78" t="s">
        <v>25</v>
      </c>
      <c r="AM3223" s="78" t="s">
        <v>51</v>
      </c>
      <c r="AN3223" s="78" t="s">
        <v>739</v>
      </c>
      <c r="AO3223" s="78">
        <v>2.9043715676588402</v>
      </c>
    </row>
    <row r="3224" spans="29:41">
      <c r="AC3224" s="78" t="s">
        <v>54</v>
      </c>
      <c r="AD3224" s="78" t="s">
        <v>20</v>
      </c>
      <c r="AE3224" s="78" t="s">
        <v>72</v>
      </c>
      <c r="AF3224" s="78" t="s">
        <v>51</v>
      </c>
      <c r="AG3224" s="78" t="s">
        <v>186</v>
      </c>
      <c r="AH3224" s="78">
        <v>4.1078929031887403</v>
      </c>
      <c r="AJ3224" s="78" t="s">
        <v>74</v>
      </c>
      <c r="AK3224" s="78" t="s">
        <v>87</v>
      </c>
      <c r="AL3224" s="78" t="s">
        <v>25</v>
      </c>
      <c r="AM3224" s="78" t="s">
        <v>51</v>
      </c>
      <c r="AN3224" s="78" t="s">
        <v>740</v>
      </c>
      <c r="AO3224" s="78">
        <v>2.9399523487894101</v>
      </c>
    </row>
    <row r="3225" spans="29:41">
      <c r="AC3225" s="78" t="s">
        <v>54</v>
      </c>
      <c r="AD3225" s="78" t="s">
        <v>20</v>
      </c>
      <c r="AE3225" s="78" t="s">
        <v>72</v>
      </c>
      <c r="AF3225" s="78" t="s">
        <v>51</v>
      </c>
      <c r="AG3225" s="78" t="s">
        <v>187</v>
      </c>
      <c r="AH3225" s="78">
        <v>3.9529500000000004</v>
      </c>
      <c r="AJ3225" s="78" t="s">
        <v>74</v>
      </c>
      <c r="AK3225" s="78" t="s">
        <v>87</v>
      </c>
      <c r="AL3225" s="78" t="s">
        <v>25</v>
      </c>
      <c r="AM3225" s="78" t="s">
        <v>51</v>
      </c>
      <c r="AN3225" s="78" t="s">
        <v>741</v>
      </c>
      <c r="AO3225" s="78">
        <v>2.93833125966247</v>
      </c>
    </row>
    <row r="3226" spans="29:41">
      <c r="AC3226" s="78" t="s">
        <v>54</v>
      </c>
      <c r="AD3226" s="78" t="s">
        <v>20</v>
      </c>
      <c r="AE3226" s="78" t="s">
        <v>72</v>
      </c>
      <c r="AF3226" s="78" t="s">
        <v>51</v>
      </c>
      <c r="AG3226" s="78" t="s">
        <v>188</v>
      </c>
      <c r="AH3226" s="78">
        <v>3.9842000000000004</v>
      </c>
      <c r="AJ3226" s="78" t="s">
        <v>74</v>
      </c>
      <c r="AK3226" s="78" t="s">
        <v>87</v>
      </c>
      <c r="AL3226" s="78" t="s">
        <v>25</v>
      </c>
      <c r="AM3226" s="78" t="s">
        <v>51</v>
      </c>
      <c r="AN3226" s="78" t="s">
        <v>742</v>
      </c>
      <c r="AO3226" s="78">
        <v>2.9240861727141798</v>
      </c>
    </row>
    <row r="3227" spans="29:41">
      <c r="AC3227" s="78" t="s">
        <v>54</v>
      </c>
      <c r="AD3227" s="78" t="s">
        <v>20</v>
      </c>
      <c r="AE3227" s="78" t="s">
        <v>72</v>
      </c>
      <c r="AF3227" s="78" t="s">
        <v>51</v>
      </c>
      <c r="AG3227" s="78" t="s">
        <v>189</v>
      </c>
      <c r="AH3227" s="78">
        <v>3.9529500000000004</v>
      </c>
      <c r="AJ3227" s="78" t="s">
        <v>74</v>
      </c>
      <c r="AK3227" s="78" t="s">
        <v>87</v>
      </c>
      <c r="AL3227" s="78" t="s">
        <v>25</v>
      </c>
      <c r="AM3227" s="78" t="s">
        <v>51</v>
      </c>
      <c r="AN3227" s="78" t="s">
        <v>425</v>
      </c>
      <c r="AO3227" s="78">
        <v>2.8840645930864102</v>
      </c>
    </row>
    <row r="3228" spans="29:41">
      <c r="AC3228" s="78" t="s">
        <v>54</v>
      </c>
      <c r="AD3228" s="78" t="s">
        <v>20</v>
      </c>
      <c r="AE3228" s="78" t="s">
        <v>72</v>
      </c>
      <c r="AF3228" s="78" t="s">
        <v>51</v>
      </c>
      <c r="AG3228" s="78" t="s">
        <v>190</v>
      </c>
      <c r="AH3228" s="78">
        <v>4.117698774030444</v>
      </c>
      <c r="AJ3228" s="78" t="s">
        <v>74</v>
      </c>
      <c r="AK3228" s="78" t="s">
        <v>87</v>
      </c>
      <c r="AL3228" s="78" t="s">
        <v>25</v>
      </c>
      <c r="AM3228" s="78" t="s">
        <v>51</v>
      </c>
      <c r="AN3228" s="78" t="s">
        <v>743</v>
      </c>
      <c r="AO3228" s="78">
        <v>2.8877476464560701</v>
      </c>
    </row>
    <row r="3229" spans="29:41">
      <c r="AC3229" s="78" t="s">
        <v>54</v>
      </c>
      <c r="AD3229" s="78" t="s">
        <v>20</v>
      </c>
      <c r="AE3229" s="78" t="s">
        <v>72</v>
      </c>
      <c r="AF3229" s="78" t="s">
        <v>51</v>
      </c>
      <c r="AG3229" s="78" t="s">
        <v>191</v>
      </c>
      <c r="AH3229" s="78">
        <v>4.0563620311709938</v>
      </c>
      <c r="AJ3229" s="78" t="s">
        <v>74</v>
      </c>
      <c r="AK3229" s="78" t="s">
        <v>87</v>
      </c>
      <c r="AL3229" s="78" t="s">
        <v>25</v>
      </c>
      <c r="AM3229" s="78" t="s">
        <v>51</v>
      </c>
      <c r="AN3229" s="78" t="s">
        <v>744</v>
      </c>
      <c r="AO3229" s="78">
        <v>2.9533030207859099</v>
      </c>
    </row>
    <row r="3230" spans="29:41">
      <c r="AC3230" s="78" t="s">
        <v>54</v>
      </c>
      <c r="AD3230" s="78" t="s">
        <v>20</v>
      </c>
      <c r="AE3230" s="78" t="s">
        <v>72</v>
      </c>
      <c r="AF3230" s="78" t="s">
        <v>51</v>
      </c>
      <c r="AG3230" s="78" t="s">
        <v>192</v>
      </c>
      <c r="AH3230" s="78">
        <v>4.114354497342033</v>
      </c>
      <c r="AJ3230" s="78" t="s">
        <v>74</v>
      </c>
      <c r="AK3230" s="78" t="s">
        <v>87</v>
      </c>
      <c r="AL3230" s="78" t="s">
        <v>25</v>
      </c>
      <c r="AM3230" s="78" t="s">
        <v>51</v>
      </c>
      <c r="AN3230" s="78" t="s">
        <v>745</v>
      </c>
      <c r="AO3230" s="78">
        <v>2.93891033578682</v>
      </c>
    </row>
    <row r="3231" spans="29:41">
      <c r="AC3231" s="78" t="s">
        <v>54</v>
      </c>
      <c r="AD3231" s="78" t="s">
        <v>20</v>
      </c>
      <c r="AE3231" s="78" t="s">
        <v>72</v>
      </c>
      <c r="AF3231" s="78" t="s">
        <v>51</v>
      </c>
      <c r="AG3231" s="78" t="s">
        <v>193</v>
      </c>
      <c r="AH3231" s="78">
        <v>4.114354497342033</v>
      </c>
      <c r="AJ3231" s="78" t="s">
        <v>74</v>
      </c>
      <c r="AK3231" s="78" t="s">
        <v>87</v>
      </c>
      <c r="AL3231" s="78" t="s">
        <v>25</v>
      </c>
      <c r="AM3231" s="78" t="s">
        <v>51</v>
      </c>
      <c r="AN3231" s="78" t="s">
        <v>424</v>
      </c>
      <c r="AO3231" s="78">
        <v>2.9532102294675502</v>
      </c>
    </row>
    <row r="3232" spans="29:41">
      <c r="AC3232" s="78" t="s">
        <v>54</v>
      </c>
      <c r="AD3232" s="78" t="s">
        <v>20</v>
      </c>
      <c r="AE3232" s="78" t="s">
        <v>72</v>
      </c>
      <c r="AF3232" s="78" t="s">
        <v>51</v>
      </c>
      <c r="AG3232" s="78" t="s">
        <v>194</v>
      </c>
      <c r="AH3232" s="78">
        <v>4.2717089165741537</v>
      </c>
      <c r="AJ3232" s="78" t="s">
        <v>74</v>
      </c>
      <c r="AK3232" s="78" t="s">
        <v>87</v>
      </c>
      <c r="AL3232" s="78" t="s">
        <v>25</v>
      </c>
      <c r="AM3232" s="78" t="s">
        <v>51</v>
      </c>
      <c r="AN3232" s="78" t="s">
        <v>427</v>
      </c>
      <c r="AO3232" s="78">
        <v>2.9577488830812499</v>
      </c>
    </row>
    <row r="3233" spans="29:41">
      <c r="AC3233" s="78" t="s">
        <v>54</v>
      </c>
      <c r="AD3233" s="78" t="s">
        <v>20</v>
      </c>
      <c r="AE3233" s="78" t="s">
        <v>72</v>
      </c>
      <c r="AF3233" s="78" t="s">
        <v>51</v>
      </c>
      <c r="AG3233" s="78" t="s">
        <v>195</v>
      </c>
      <c r="AH3233" s="78">
        <v>4.2404589165741537</v>
      </c>
      <c r="AJ3233" s="78"/>
      <c r="AK3233" s="78"/>
      <c r="AL3233" s="78"/>
      <c r="AM3233" s="78"/>
      <c r="AN3233" s="78"/>
      <c r="AO3233" s="78"/>
    </row>
    <row r="3234" spans="29:41">
      <c r="AC3234" s="78" t="s">
        <v>54</v>
      </c>
      <c r="AD3234" s="78" t="s">
        <v>20</v>
      </c>
      <c r="AE3234" s="78" t="s">
        <v>72</v>
      </c>
      <c r="AF3234" s="78" t="s">
        <v>51</v>
      </c>
      <c r="AG3234" s="78" t="s">
        <v>196</v>
      </c>
      <c r="AH3234" s="78">
        <v>4.3147493145490214</v>
      </c>
      <c r="AJ3234" s="78"/>
      <c r="AK3234" s="78"/>
      <c r="AL3234" s="78"/>
      <c r="AM3234" s="78"/>
      <c r="AN3234" s="78"/>
      <c r="AO3234" s="78"/>
    </row>
    <row r="3235" spans="29:41">
      <c r="AC3235" s="78" t="s">
        <v>54</v>
      </c>
      <c r="AD3235" s="78" t="s">
        <v>20</v>
      </c>
      <c r="AE3235" s="78" t="s">
        <v>72</v>
      </c>
      <c r="AF3235" s="78" t="s">
        <v>51</v>
      </c>
      <c r="AG3235" s="78" t="s">
        <v>197</v>
      </c>
      <c r="AH3235" s="78">
        <v>4.2717089165741537</v>
      </c>
      <c r="AJ3235" s="78"/>
      <c r="AK3235" s="78"/>
      <c r="AL3235" s="78"/>
      <c r="AM3235" s="78"/>
      <c r="AN3235" s="78"/>
      <c r="AO3235" s="78"/>
    </row>
    <row r="3236" spans="29:41">
      <c r="AC3236" s="78" t="s">
        <v>54</v>
      </c>
      <c r="AD3236" s="78" t="s">
        <v>20</v>
      </c>
      <c r="AE3236" s="78" t="s">
        <v>72</v>
      </c>
      <c r="AF3236" s="78" t="s">
        <v>51</v>
      </c>
      <c r="AG3236" s="78" t="s">
        <v>198</v>
      </c>
      <c r="AH3236" s="78">
        <v>4.2717089165741537</v>
      </c>
      <c r="AJ3236" s="78"/>
      <c r="AK3236" s="78"/>
      <c r="AL3236" s="78"/>
      <c r="AM3236" s="78"/>
      <c r="AN3236" s="78"/>
      <c r="AO3236" s="78"/>
    </row>
    <row r="3237" spans="29:41">
      <c r="AC3237" s="78" t="s">
        <v>54</v>
      </c>
      <c r="AD3237" s="78" t="s">
        <v>20</v>
      </c>
      <c r="AE3237" s="78" t="s">
        <v>72</v>
      </c>
      <c r="AF3237" s="78" t="s">
        <v>51</v>
      </c>
      <c r="AG3237" s="78" t="s">
        <v>199</v>
      </c>
      <c r="AH3237" s="78">
        <v>4.5041620075276256</v>
      </c>
      <c r="AJ3237" s="78"/>
      <c r="AK3237" s="78"/>
      <c r="AL3237" s="78"/>
      <c r="AM3237" s="78"/>
      <c r="AN3237" s="78"/>
      <c r="AO3237" s="78"/>
    </row>
    <row r="3238" spans="29:41">
      <c r="AC3238" s="78" t="s">
        <v>54</v>
      </c>
      <c r="AD3238" s="78" t="s">
        <v>20</v>
      </c>
      <c r="AE3238" s="78" t="s">
        <v>72</v>
      </c>
      <c r="AF3238" s="78" t="s">
        <v>51</v>
      </c>
      <c r="AG3238" s="78" t="s">
        <v>200</v>
      </c>
      <c r="AH3238" s="78">
        <v>4.2717089165741537</v>
      </c>
      <c r="AJ3238" s="78"/>
      <c r="AK3238" s="78"/>
      <c r="AL3238" s="78"/>
      <c r="AM3238" s="78"/>
      <c r="AN3238" s="78"/>
      <c r="AO3238" s="78"/>
    </row>
    <row r="3239" spans="29:41">
      <c r="AC3239" s="78" t="s">
        <v>54</v>
      </c>
      <c r="AD3239" s="78" t="s">
        <v>20</v>
      </c>
      <c r="AE3239" s="78" t="s">
        <v>72</v>
      </c>
      <c r="AF3239" s="78" t="s">
        <v>51</v>
      </c>
      <c r="AG3239" s="78" t="s">
        <v>201</v>
      </c>
      <c r="AH3239" s="78">
        <v>4.2404589165741537</v>
      </c>
      <c r="AJ3239" s="78"/>
      <c r="AK3239" s="78"/>
      <c r="AL3239" s="78"/>
      <c r="AM3239" s="78"/>
      <c r="AN3239" s="78"/>
      <c r="AO3239" s="78"/>
    </row>
    <row r="3240" spans="29:41">
      <c r="AC3240" s="78" t="s">
        <v>54</v>
      </c>
      <c r="AD3240" s="78" t="s">
        <v>20</v>
      </c>
      <c r="AE3240" s="78" t="s">
        <v>72</v>
      </c>
      <c r="AF3240" s="78" t="s">
        <v>51</v>
      </c>
      <c r="AG3240" s="78" t="s">
        <v>202</v>
      </c>
      <c r="AH3240" s="78">
        <v>4.2033105887459152</v>
      </c>
      <c r="AJ3240" s="78"/>
      <c r="AK3240" s="78"/>
      <c r="AL3240" s="78"/>
      <c r="AM3240" s="78"/>
      <c r="AN3240" s="78"/>
      <c r="AO3240" s="78"/>
    </row>
    <row r="3241" spans="29:41">
      <c r="AC3241" s="78" t="s">
        <v>54</v>
      </c>
      <c r="AD3241" s="78" t="s">
        <v>20</v>
      </c>
      <c r="AE3241" s="78" t="s">
        <v>72</v>
      </c>
      <c r="AF3241" s="78" t="s">
        <v>51</v>
      </c>
      <c r="AG3241" s="78" t="s">
        <v>203</v>
      </c>
      <c r="AH3241" s="78">
        <v>4.2033105887459152</v>
      </c>
      <c r="AJ3241" s="78"/>
      <c r="AK3241" s="78"/>
      <c r="AL3241" s="78"/>
      <c r="AM3241" s="78"/>
      <c r="AN3241" s="78"/>
      <c r="AO3241" s="78"/>
    </row>
    <row r="3242" spans="29:41">
      <c r="AC3242" s="78" t="s">
        <v>54</v>
      </c>
      <c r="AD3242" s="78" t="s">
        <v>20</v>
      </c>
      <c r="AE3242" s="78" t="s">
        <v>72</v>
      </c>
      <c r="AF3242" s="78" t="s">
        <v>51</v>
      </c>
      <c r="AG3242" s="78" t="s">
        <v>204</v>
      </c>
      <c r="AH3242" s="78">
        <v>4.2033105887459152</v>
      </c>
      <c r="AJ3242" s="78"/>
      <c r="AK3242" s="78"/>
      <c r="AL3242" s="78"/>
      <c r="AM3242" s="78"/>
      <c r="AN3242" s="78"/>
      <c r="AO3242" s="78"/>
    </row>
    <row r="3243" spans="29:41">
      <c r="AC3243" s="78" t="s">
        <v>54</v>
      </c>
      <c r="AD3243" s="78" t="s">
        <v>20</v>
      </c>
      <c r="AE3243" s="78" t="s">
        <v>72</v>
      </c>
      <c r="AF3243" s="78" t="s">
        <v>51</v>
      </c>
      <c r="AG3243" s="78" t="s">
        <v>205</v>
      </c>
      <c r="AH3243" s="78">
        <v>4.2496377008409834</v>
      </c>
      <c r="AJ3243" s="78"/>
      <c r="AK3243" s="78"/>
      <c r="AL3243" s="78"/>
      <c r="AM3243" s="78"/>
      <c r="AN3243" s="78"/>
      <c r="AO3243" s="78"/>
    </row>
    <row r="3244" spans="29:41">
      <c r="AC3244" s="78" t="s">
        <v>54</v>
      </c>
      <c r="AD3244" s="78" t="s">
        <v>20</v>
      </c>
      <c r="AE3244" s="78" t="s">
        <v>72</v>
      </c>
      <c r="AF3244" s="78" t="s">
        <v>51</v>
      </c>
      <c r="AG3244" s="78" t="s">
        <v>206</v>
      </c>
      <c r="AH3244" s="78">
        <v>4.114354497342033</v>
      </c>
      <c r="AJ3244" s="77"/>
      <c r="AK3244" s="77"/>
      <c r="AL3244" s="77"/>
      <c r="AM3244" s="77"/>
      <c r="AN3244" s="77"/>
      <c r="AO3244" s="77"/>
    </row>
    <row r="3245" spans="29:41">
      <c r="AC3245" s="78" t="s">
        <v>54</v>
      </c>
      <c r="AD3245" s="78" t="s">
        <v>20</v>
      </c>
      <c r="AE3245" s="78" t="s">
        <v>72</v>
      </c>
      <c r="AF3245" s="78" t="s">
        <v>51</v>
      </c>
      <c r="AG3245" s="78" t="s">
        <v>207</v>
      </c>
      <c r="AH3245" s="78">
        <v>4.1887316643249344</v>
      </c>
      <c r="AJ3245" s="77"/>
      <c r="AK3245" s="77"/>
      <c r="AL3245" s="77"/>
      <c r="AM3245" s="77"/>
      <c r="AN3245" s="77"/>
      <c r="AO3245" s="77"/>
    </row>
    <row r="3246" spans="29:41">
      <c r="AC3246" s="78" t="s">
        <v>54</v>
      </c>
      <c r="AD3246" s="78" t="s">
        <v>20</v>
      </c>
      <c r="AE3246" s="78" t="s">
        <v>72</v>
      </c>
      <c r="AF3246" s="78" t="s">
        <v>51</v>
      </c>
      <c r="AG3246" s="78" t="s">
        <v>208</v>
      </c>
      <c r="AH3246" s="78">
        <v>4.2717089165741537</v>
      </c>
      <c r="AJ3246" s="77"/>
      <c r="AK3246" s="77"/>
      <c r="AL3246" s="77"/>
      <c r="AM3246" s="77"/>
      <c r="AN3246" s="77"/>
      <c r="AO3246" s="77"/>
    </row>
    <row r="3247" spans="29:41">
      <c r="AC3247" s="78" t="s">
        <v>54</v>
      </c>
      <c r="AD3247" s="78" t="s">
        <v>20</v>
      </c>
      <c r="AE3247" s="78" t="s">
        <v>72</v>
      </c>
      <c r="AF3247" s="78" t="s">
        <v>51</v>
      </c>
      <c r="AG3247" s="78" t="s">
        <v>209</v>
      </c>
      <c r="AH3247" s="78">
        <v>4.2717089165741537</v>
      </c>
      <c r="AJ3247" s="77"/>
      <c r="AK3247" s="77"/>
      <c r="AL3247" s="77"/>
      <c r="AM3247" s="77"/>
      <c r="AN3247" s="77"/>
      <c r="AO3247" s="77"/>
    </row>
    <row r="3248" spans="29:41">
      <c r="AC3248" s="78" t="s">
        <v>54</v>
      </c>
      <c r="AD3248" s="78" t="s">
        <v>20</v>
      </c>
      <c r="AE3248" s="78" t="s">
        <v>72</v>
      </c>
      <c r="AF3248" s="78" t="s">
        <v>51</v>
      </c>
      <c r="AG3248" s="78" t="s">
        <v>210</v>
      </c>
      <c r="AH3248" s="78">
        <v>4.375438847121214</v>
      </c>
      <c r="AJ3248" s="77"/>
      <c r="AK3248" s="77"/>
      <c r="AL3248" s="77"/>
      <c r="AM3248" s="77"/>
      <c r="AN3248" s="77"/>
      <c r="AO3248" s="77"/>
    </row>
    <row r="3249" spans="29:41">
      <c r="AC3249" s="78" t="s">
        <v>54</v>
      </c>
      <c r="AD3249" s="78" t="s">
        <v>20</v>
      </c>
      <c r="AE3249" s="78" t="s">
        <v>72</v>
      </c>
      <c r="AF3249" s="78" t="s">
        <v>51</v>
      </c>
      <c r="AG3249" s="78" t="s">
        <v>211</v>
      </c>
      <c r="AH3249" s="78">
        <v>4.3773</v>
      </c>
      <c r="AJ3249" s="77"/>
      <c r="AK3249" s="77"/>
      <c r="AL3249" s="77"/>
      <c r="AM3249" s="77"/>
      <c r="AN3249" s="77"/>
      <c r="AO3249" s="77"/>
    </row>
    <row r="3250" spans="29:41">
      <c r="AC3250" s="78" t="s">
        <v>54</v>
      </c>
      <c r="AD3250" s="78" t="s">
        <v>20</v>
      </c>
      <c r="AE3250" s="78" t="s">
        <v>72</v>
      </c>
      <c r="AF3250" s="78" t="s">
        <v>51</v>
      </c>
      <c r="AG3250" s="78" t="s">
        <v>212</v>
      </c>
      <c r="AH3250" s="78">
        <v>4.5041620075276256</v>
      </c>
      <c r="AJ3250" s="77"/>
      <c r="AK3250" s="77"/>
      <c r="AL3250" s="77"/>
      <c r="AM3250" s="77"/>
      <c r="AN3250" s="77"/>
      <c r="AO3250" s="77"/>
    </row>
    <row r="3251" spans="29:41">
      <c r="AC3251" s="78" t="s">
        <v>54</v>
      </c>
      <c r="AD3251" s="78" t="s">
        <v>20</v>
      </c>
      <c r="AE3251" s="78" t="s">
        <v>72</v>
      </c>
      <c r="AF3251" s="78" t="s">
        <v>51</v>
      </c>
      <c r="AG3251" s="78" t="s">
        <v>97</v>
      </c>
      <c r="AH3251" s="78">
        <v>4.2717089165741537</v>
      </c>
      <c r="AJ3251" s="77"/>
      <c r="AK3251" s="77"/>
      <c r="AL3251" s="77"/>
      <c r="AM3251" s="77"/>
      <c r="AN3251" s="77"/>
      <c r="AO3251" s="77"/>
    </row>
    <row r="3252" spans="29:41">
      <c r="AC3252" s="78" t="s">
        <v>54</v>
      </c>
      <c r="AD3252" s="78" t="s">
        <v>20</v>
      </c>
      <c r="AE3252" s="78" t="s">
        <v>72</v>
      </c>
      <c r="AF3252" s="78" t="s">
        <v>51</v>
      </c>
      <c r="AG3252" s="78" t="s">
        <v>95</v>
      </c>
      <c r="AH3252" s="78">
        <v>4.3773</v>
      </c>
      <c r="AJ3252" s="77"/>
      <c r="AK3252" s="77"/>
      <c r="AL3252" s="77"/>
      <c r="AM3252" s="77"/>
      <c r="AN3252" s="77"/>
      <c r="AO3252" s="77"/>
    </row>
    <row r="3253" spans="29:41">
      <c r="AC3253" s="78" t="s">
        <v>54</v>
      </c>
      <c r="AD3253" s="78" t="s">
        <v>20</v>
      </c>
      <c r="AE3253" s="78" t="s">
        <v>72</v>
      </c>
      <c r="AF3253" s="78" t="s">
        <v>51</v>
      </c>
      <c r="AG3253" s="78" t="s">
        <v>96</v>
      </c>
      <c r="AH3253" s="78">
        <v>4.375438847121214</v>
      </c>
      <c r="AJ3253" s="77"/>
      <c r="AK3253" s="77"/>
      <c r="AL3253" s="77"/>
      <c r="AM3253" s="77"/>
      <c r="AN3253" s="77"/>
      <c r="AO3253" s="77"/>
    </row>
    <row r="3254" spans="29:41">
      <c r="AC3254" s="78" t="s">
        <v>54</v>
      </c>
      <c r="AD3254" s="78" t="s">
        <v>20</v>
      </c>
      <c r="AE3254" s="78" t="s">
        <v>72</v>
      </c>
      <c r="AF3254" s="78" t="s">
        <v>51</v>
      </c>
      <c r="AG3254" s="78" t="s">
        <v>100</v>
      </c>
      <c r="AH3254" s="78">
        <v>4.2033105887459152</v>
      </c>
      <c r="AJ3254" s="77"/>
      <c r="AK3254" s="77"/>
      <c r="AL3254" s="77"/>
      <c r="AM3254" s="77"/>
      <c r="AN3254" s="77"/>
      <c r="AO3254" s="77"/>
    </row>
    <row r="3255" spans="29:41">
      <c r="AC3255" s="78" t="s">
        <v>54</v>
      </c>
      <c r="AD3255" s="78" t="s">
        <v>20</v>
      </c>
      <c r="AE3255" s="78" t="s">
        <v>72</v>
      </c>
      <c r="AF3255" s="78" t="s">
        <v>51</v>
      </c>
      <c r="AG3255" s="78" t="s">
        <v>101</v>
      </c>
      <c r="AH3255" s="78">
        <v>4.1887316643249344</v>
      </c>
      <c r="AJ3255" s="77"/>
      <c r="AK3255" s="77"/>
      <c r="AL3255" s="77"/>
      <c r="AM3255" s="77"/>
      <c r="AN3255" s="77"/>
      <c r="AO3255" s="77"/>
    </row>
    <row r="3256" spans="29:41">
      <c r="AC3256" s="78" t="s">
        <v>54</v>
      </c>
      <c r="AD3256" s="78" t="s">
        <v>20</v>
      </c>
      <c r="AE3256" s="78" t="s">
        <v>72</v>
      </c>
      <c r="AF3256" s="78" t="s">
        <v>51</v>
      </c>
      <c r="AG3256" s="78" t="s">
        <v>102</v>
      </c>
      <c r="AH3256" s="78">
        <v>4.2496377008409834</v>
      </c>
      <c r="AJ3256" s="77"/>
      <c r="AK3256" s="77"/>
      <c r="AL3256" s="77"/>
      <c r="AM3256" s="77"/>
      <c r="AN3256" s="77"/>
      <c r="AO3256" s="77"/>
    </row>
    <row r="3257" spans="29:41">
      <c r="AC3257" s="78" t="s">
        <v>54</v>
      </c>
      <c r="AD3257" s="78" t="s">
        <v>20</v>
      </c>
      <c r="AE3257" s="78" t="s">
        <v>72</v>
      </c>
      <c r="AF3257" s="78" t="s">
        <v>51</v>
      </c>
      <c r="AG3257" s="78" t="s">
        <v>103</v>
      </c>
      <c r="AH3257" s="78">
        <v>4.2496377008409834</v>
      </c>
      <c r="AJ3257" s="77"/>
      <c r="AK3257" s="77"/>
      <c r="AL3257" s="77"/>
      <c r="AM3257" s="77"/>
      <c r="AN3257" s="77"/>
      <c r="AO3257" s="77"/>
    </row>
    <row r="3258" spans="29:41">
      <c r="AC3258" s="78" t="s">
        <v>54</v>
      </c>
      <c r="AD3258" s="78" t="s">
        <v>20</v>
      </c>
      <c r="AE3258" s="78" t="s">
        <v>72</v>
      </c>
      <c r="AF3258" s="78" t="s">
        <v>51</v>
      </c>
      <c r="AG3258" s="78" t="s">
        <v>104</v>
      </c>
      <c r="AH3258" s="78">
        <v>4.4407683440906052</v>
      </c>
      <c r="AJ3258" s="77"/>
      <c r="AK3258" s="77"/>
      <c r="AL3258" s="77"/>
      <c r="AM3258" s="77"/>
      <c r="AN3258" s="77"/>
      <c r="AO3258" s="77"/>
    </row>
    <row r="3259" spans="29:41">
      <c r="AC3259" s="78" t="s">
        <v>54</v>
      </c>
      <c r="AD3259" s="78" t="s">
        <v>20</v>
      </c>
      <c r="AE3259" s="78" t="s">
        <v>72</v>
      </c>
      <c r="AF3259" s="78" t="s">
        <v>51</v>
      </c>
      <c r="AG3259" s="78" t="s">
        <v>105</v>
      </c>
      <c r="AH3259" s="78">
        <v>4.5041620075276256</v>
      </c>
      <c r="AJ3259" s="77"/>
      <c r="AK3259" s="77"/>
      <c r="AL3259" s="77"/>
      <c r="AM3259" s="77"/>
      <c r="AN3259" s="77"/>
      <c r="AO3259" s="77"/>
    </row>
    <row r="3260" spans="29:41">
      <c r="AC3260" s="78" t="s">
        <v>54</v>
      </c>
      <c r="AD3260" s="78" t="s">
        <v>20</v>
      </c>
      <c r="AE3260" s="78" t="s">
        <v>72</v>
      </c>
      <c r="AF3260" s="78" t="s">
        <v>51</v>
      </c>
      <c r="AG3260" s="78" t="s">
        <v>106</v>
      </c>
      <c r="AH3260" s="78">
        <v>4.3147493145490214</v>
      </c>
      <c r="AJ3260" s="77"/>
      <c r="AK3260" s="77"/>
      <c r="AL3260" s="77"/>
      <c r="AM3260" s="77"/>
      <c r="AN3260" s="77"/>
      <c r="AO3260" s="77"/>
    </row>
    <row r="3261" spans="29:41">
      <c r="AC3261" s="78" t="s">
        <v>54</v>
      </c>
      <c r="AD3261" s="78" t="s">
        <v>20</v>
      </c>
      <c r="AE3261" s="78" t="s">
        <v>72</v>
      </c>
      <c r="AF3261" s="78" t="s">
        <v>51</v>
      </c>
      <c r="AG3261" s="78" t="s">
        <v>107</v>
      </c>
      <c r="AH3261" s="78">
        <v>4.2717089165741537</v>
      </c>
      <c r="AJ3261" s="77"/>
      <c r="AK3261" s="77"/>
      <c r="AL3261" s="77"/>
      <c r="AM3261" s="77"/>
      <c r="AN3261" s="77"/>
      <c r="AO3261" s="77"/>
    </row>
    <row r="3262" spans="29:41">
      <c r="AC3262" s="78" t="s">
        <v>54</v>
      </c>
      <c r="AD3262" s="78" t="s">
        <v>20</v>
      </c>
      <c r="AE3262" s="78" t="s">
        <v>72</v>
      </c>
      <c r="AF3262" s="78" t="s">
        <v>51</v>
      </c>
      <c r="AG3262" s="78" t="s">
        <v>99</v>
      </c>
      <c r="AH3262" s="78">
        <v>4.3147493145490214</v>
      </c>
      <c r="AJ3262" s="77"/>
      <c r="AK3262" s="77"/>
      <c r="AL3262" s="77"/>
      <c r="AM3262" s="77"/>
      <c r="AN3262" s="77"/>
      <c r="AO3262" s="77"/>
    </row>
    <row r="3263" spans="29:41">
      <c r="AC3263" s="78" t="s">
        <v>54</v>
      </c>
      <c r="AD3263" s="78" t="s">
        <v>20</v>
      </c>
      <c r="AE3263" s="78" t="s">
        <v>72</v>
      </c>
      <c r="AF3263" s="78" t="s">
        <v>51</v>
      </c>
      <c r="AG3263" s="78" t="s">
        <v>108</v>
      </c>
      <c r="AH3263" s="78">
        <v>4.2717089165741537</v>
      </c>
      <c r="AJ3263" s="77"/>
      <c r="AK3263" s="77"/>
      <c r="AL3263" s="77"/>
      <c r="AM3263" s="77"/>
      <c r="AN3263" s="77"/>
      <c r="AO3263" s="77"/>
    </row>
    <row r="3264" spans="29:41">
      <c r="AC3264" s="78" t="s">
        <v>54</v>
      </c>
      <c r="AD3264" s="78" t="s">
        <v>20</v>
      </c>
      <c r="AE3264" s="78" t="s">
        <v>72</v>
      </c>
      <c r="AF3264" s="78" t="s">
        <v>51</v>
      </c>
      <c r="AG3264" s="78" t="s">
        <v>109</v>
      </c>
      <c r="AH3264" s="78">
        <v>4.2717089165741537</v>
      </c>
      <c r="AJ3264" s="77"/>
      <c r="AK3264" s="77"/>
      <c r="AL3264" s="77"/>
      <c r="AM3264" s="77"/>
      <c r="AN3264" s="77"/>
      <c r="AO3264" s="77"/>
    </row>
    <row r="3265" spans="29:41">
      <c r="AC3265" s="78" t="s">
        <v>54</v>
      </c>
      <c r="AD3265" s="78" t="s">
        <v>20</v>
      </c>
      <c r="AE3265" s="78" t="s">
        <v>72</v>
      </c>
      <c r="AF3265" s="78" t="s">
        <v>51</v>
      </c>
      <c r="AG3265" s="78" t="s">
        <v>110</v>
      </c>
      <c r="AH3265" s="78">
        <v>4.2033105887459152</v>
      </c>
      <c r="AJ3265" s="77"/>
      <c r="AK3265" s="77"/>
      <c r="AL3265" s="77"/>
      <c r="AM3265" s="77"/>
      <c r="AN3265" s="77"/>
      <c r="AO3265" s="77"/>
    </row>
    <row r="3266" spans="29:41">
      <c r="AC3266" s="78" t="s">
        <v>54</v>
      </c>
      <c r="AD3266" s="78" t="s">
        <v>20</v>
      </c>
      <c r="AE3266" s="78" t="s">
        <v>72</v>
      </c>
      <c r="AF3266" s="78" t="s">
        <v>51</v>
      </c>
      <c r="AG3266" s="78" t="s">
        <v>98</v>
      </c>
      <c r="AH3266" s="78">
        <v>4.2496377008409834</v>
      </c>
      <c r="AJ3266" s="77"/>
      <c r="AK3266" s="77"/>
      <c r="AL3266" s="77"/>
      <c r="AM3266" s="77"/>
      <c r="AN3266" s="77"/>
      <c r="AO3266" s="77"/>
    </row>
    <row r="3267" spans="29:41">
      <c r="AC3267" s="78" t="s">
        <v>54</v>
      </c>
      <c r="AD3267" s="78" t="s">
        <v>20</v>
      </c>
      <c r="AE3267" s="78" t="s">
        <v>72</v>
      </c>
      <c r="AF3267" s="78" t="s">
        <v>51</v>
      </c>
      <c r="AG3267" s="78" t="s">
        <v>125</v>
      </c>
      <c r="AH3267" s="78">
        <v>4.2404589165741537</v>
      </c>
      <c r="AJ3267" s="77"/>
      <c r="AK3267" s="77"/>
      <c r="AL3267" s="77"/>
      <c r="AM3267" s="77"/>
      <c r="AN3267" s="77"/>
      <c r="AO3267" s="77"/>
    </row>
    <row r="3268" spans="29:41">
      <c r="AC3268" s="78" t="s">
        <v>54</v>
      </c>
      <c r="AD3268" s="78" t="s">
        <v>20</v>
      </c>
      <c r="AE3268" s="78" t="s">
        <v>72</v>
      </c>
      <c r="AF3268" s="78" t="s">
        <v>51</v>
      </c>
      <c r="AG3268" s="78" t="s">
        <v>123</v>
      </c>
      <c r="AH3268" s="78">
        <v>4.1887316643249344</v>
      </c>
      <c r="AJ3268" s="77"/>
      <c r="AK3268" s="77"/>
      <c r="AL3268" s="77"/>
      <c r="AM3268" s="77"/>
      <c r="AN3268" s="77"/>
      <c r="AO3268" s="77"/>
    </row>
    <row r="3269" spans="29:41">
      <c r="AC3269" s="78" t="s">
        <v>54</v>
      </c>
      <c r="AD3269" s="78" t="s">
        <v>20</v>
      </c>
      <c r="AE3269" s="78" t="s">
        <v>72</v>
      </c>
      <c r="AF3269" s="78" t="s">
        <v>51</v>
      </c>
      <c r="AG3269" s="78" t="s">
        <v>126</v>
      </c>
      <c r="AH3269" s="78">
        <v>4.145604497342033</v>
      </c>
      <c r="AJ3269" s="77"/>
      <c r="AK3269" s="77"/>
      <c r="AL3269" s="77"/>
      <c r="AM3269" s="77"/>
      <c r="AN3269" s="77"/>
      <c r="AO3269" s="77"/>
    </row>
    <row r="3270" spans="29:41">
      <c r="AC3270" s="78" t="s">
        <v>54</v>
      </c>
      <c r="AD3270" s="78" t="s">
        <v>20</v>
      </c>
      <c r="AE3270" s="78" t="s">
        <v>72</v>
      </c>
      <c r="AF3270" s="78" t="s">
        <v>51</v>
      </c>
      <c r="AG3270" s="78" t="s">
        <v>127</v>
      </c>
      <c r="AH3270" s="78">
        <v>4.1887316643249344</v>
      </c>
      <c r="AJ3270" s="77"/>
      <c r="AK3270" s="77"/>
      <c r="AL3270" s="77"/>
      <c r="AM3270" s="77"/>
      <c r="AN3270" s="77"/>
      <c r="AO3270" s="77"/>
    </row>
    <row r="3271" spans="29:41">
      <c r="AC3271" s="78" t="s">
        <v>54</v>
      </c>
      <c r="AD3271" s="78" t="s">
        <v>20</v>
      </c>
      <c r="AE3271" s="78" t="s">
        <v>72</v>
      </c>
      <c r="AF3271" s="78" t="s">
        <v>51</v>
      </c>
      <c r="AG3271" s="78" t="s">
        <v>128</v>
      </c>
      <c r="AH3271" s="78">
        <v>4.1887316643249344</v>
      </c>
      <c r="AJ3271" s="77"/>
      <c r="AK3271" s="77"/>
      <c r="AL3271" s="77"/>
      <c r="AM3271" s="77"/>
      <c r="AN3271" s="77"/>
      <c r="AO3271" s="77"/>
    </row>
    <row r="3272" spans="29:41">
      <c r="AC3272" s="78" t="s">
        <v>54</v>
      </c>
      <c r="AD3272" s="78" t="s">
        <v>20</v>
      </c>
      <c r="AE3272" s="78" t="s">
        <v>72</v>
      </c>
      <c r="AF3272" s="78" t="s">
        <v>51</v>
      </c>
      <c r="AG3272" s="78" t="s">
        <v>122</v>
      </c>
      <c r="AH3272" s="78">
        <v>4.2496377008409834</v>
      </c>
      <c r="AJ3272" s="77"/>
      <c r="AK3272" s="77"/>
      <c r="AL3272" s="77"/>
      <c r="AM3272" s="77"/>
      <c r="AN3272" s="77"/>
      <c r="AO3272" s="77"/>
    </row>
    <row r="3273" spans="29:41">
      <c r="AC3273" s="78" t="s">
        <v>54</v>
      </c>
      <c r="AD3273" s="78" t="s">
        <v>20</v>
      </c>
      <c r="AE3273" s="78" t="s">
        <v>72</v>
      </c>
      <c r="AF3273" s="78" t="s">
        <v>51</v>
      </c>
      <c r="AG3273" s="78" t="s">
        <v>124</v>
      </c>
      <c r="AH3273" s="78">
        <v>4.0771627490827687</v>
      </c>
      <c r="AJ3273" s="77"/>
      <c r="AK3273" s="77"/>
      <c r="AL3273" s="77"/>
      <c r="AM3273" s="77"/>
      <c r="AN3273" s="77"/>
      <c r="AO3273" s="77"/>
    </row>
    <row r="3274" spans="29:41">
      <c r="AC3274" s="78" t="s">
        <v>54</v>
      </c>
      <c r="AD3274" s="78" t="s">
        <v>20</v>
      </c>
      <c r="AE3274" s="78" t="s">
        <v>72</v>
      </c>
      <c r="AF3274" s="78" t="s">
        <v>51</v>
      </c>
      <c r="AG3274" s="78" t="s">
        <v>214</v>
      </c>
      <c r="AH3274" s="78">
        <v>4.0771627490827687</v>
      </c>
      <c r="AJ3274" s="77"/>
      <c r="AK3274" s="77"/>
      <c r="AL3274" s="77"/>
      <c r="AM3274" s="77"/>
      <c r="AN3274" s="77"/>
      <c r="AO3274" s="77"/>
    </row>
    <row r="3275" spans="29:41">
      <c r="AC3275" s="78" t="s">
        <v>54</v>
      </c>
      <c r="AD3275" s="78" t="s">
        <v>20</v>
      </c>
      <c r="AE3275" s="78" t="s">
        <v>72</v>
      </c>
      <c r="AF3275" s="78" t="s">
        <v>51</v>
      </c>
      <c r="AG3275" s="78" t="s">
        <v>218</v>
      </c>
      <c r="AH3275" s="78">
        <v>4.145604497342033</v>
      </c>
      <c r="AJ3275" s="77"/>
      <c r="AK3275" s="77"/>
      <c r="AL3275" s="77"/>
      <c r="AM3275" s="77"/>
      <c r="AN3275" s="77"/>
      <c r="AO3275" s="77"/>
    </row>
    <row r="3276" spans="29:41">
      <c r="AC3276" s="78" t="s">
        <v>54</v>
      </c>
      <c r="AD3276" s="78" t="s">
        <v>20</v>
      </c>
      <c r="AE3276" s="78" t="s">
        <v>72</v>
      </c>
      <c r="AF3276" s="78" t="s">
        <v>51</v>
      </c>
      <c r="AG3276" s="78" t="s">
        <v>219</v>
      </c>
      <c r="AH3276" s="78">
        <v>4.1887316643249344</v>
      </c>
      <c r="AJ3276" s="77"/>
      <c r="AK3276" s="77"/>
      <c r="AL3276" s="77"/>
      <c r="AM3276" s="77"/>
      <c r="AN3276" s="77"/>
      <c r="AO3276" s="77"/>
    </row>
    <row r="3277" spans="29:41">
      <c r="AC3277" s="78" t="s">
        <v>54</v>
      </c>
      <c r="AD3277" s="78" t="s">
        <v>20</v>
      </c>
      <c r="AE3277" s="78" t="s">
        <v>72</v>
      </c>
      <c r="AF3277" s="78" t="s">
        <v>51</v>
      </c>
      <c r="AG3277" s="78" t="s">
        <v>220</v>
      </c>
      <c r="AH3277" s="78">
        <v>4.1887316643249344</v>
      </c>
      <c r="AJ3277" s="77"/>
      <c r="AK3277" s="77"/>
      <c r="AL3277" s="77"/>
      <c r="AM3277" s="77"/>
      <c r="AN3277" s="77"/>
      <c r="AO3277" s="77"/>
    </row>
    <row r="3278" spans="29:41">
      <c r="AC3278" s="78" t="s">
        <v>54</v>
      </c>
      <c r="AD3278" s="78" t="s">
        <v>20</v>
      </c>
      <c r="AE3278" s="78" t="s">
        <v>72</v>
      </c>
      <c r="AF3278" s="78" t="s">
        <v>51</v>
      </c>
      <c r="AG3278" s="78" t="s">
        <v>221</v>
      </c>
      <c r="AH3278" s="78">
        <v>4.114354497342033</v>
      </c>
      <c r="AJ3278" s="77"/>
      <c r="AK3278" s="77"/>
      <c r="AL3278" s="77"/>
      <c r="AM3278" s="77"/>
      <c r="AN3278" s="77"/>
      <c r="AO3278" s="77"/>
    </row>
    <row r="3279" spans="29:41">
      <c r="AC3279" s="78" t="s">
        <v>54</v>
      </c>
      <c r="AD3279" s="78" t="s">
        <v>20</v>
      </c>
      <c r="AE3279" s="78" t="s">
        <v>72</v>
      </c>
      <c r="AF3279" s="78" t="s">
        <v>51</v>
      </c>
      <c r="AG3279" s="78" t="s">
        <v>222</v>
      </c>
      <c r="AH3279" s="78">
        <v>4.145604497342033</v>
      </c>
      <c r="AJ3279" s="77"/>
      <c r="AK3279" s="77"/>
      <c r="AL3279" s="77"/>
      <c r="AM3279" s="77"/>
      <c r="AN3279" s="77"/>
      <c r="AO3279" s="77"/>
    </row>
    <row r="3280" spans="29:41">
      <c r="AC3280" s="78" t="s">
        <v>54</v>
      </c>
      <c r="AD3280" s="78" t="s">
        <v>20</v>
      </c>
      <c r="AE3280" s="78" t="s">
        <v>72</v>
      </c>
      <c r="AF3280" s="78" t="s">
        <v>51</v>
      </c>
      <c r="AG3280" s="78" t="s">
        <v>223</v>
      </c>
      <c r="AH3280" s="78">
        <v>4.0251000000000001</v>
      </c>
      <c r="AJ3280" s="77"/>
      <c r="AK3280" s="77"/>
      <c r="AL3280" s="77"/>
      <c r="AM3280" s="77"/>
      <c r="AN3280" s="77"/>
      <c r="AO3280" s="77"/>
    </row>
    <row r="3281" spans="29:41">
      <c r="AC3281" s="78" t="s">
        <v>54</v>
      </c>
      <c r="AD3281" s="78" t="s">
        <v>20</v>
      </c>
      <c r="AE3281" s="78" t="s">
        <v>72</v>
      </c>
      <c r="AF3281" s="78" t="s">
        <v>51</v>
      </c>
      <c r="AG3281" s="78" t="s">
        <v>224</v>
      </c>
      <c r="AH3281" s="78">
        <v>4.0627653666023935</v>
      </c>
      <c r="AJ3281" s="77"/>
      <c r="AK3281" s="77"/>
      <c r="AL3281" s="77"/>
      <c r="AM3281" s="77"/>
      <c r="AN3281" s="77"/>
      <c r="AO3281" s="77"/>
    </row>
    <row r="3282" spans="29:41">
      <c r="AC3282" s="78" t="s">
        <v>54</v>
      </c>
      <c r="AD3282" s="78" t="s">
        <v>20</v>
      </c>
      <c r="AE3282" s="78" t="s">
        <v>72</v>
      </c>
      <c r="AF3282" s="78" t="s">
        <v>51</v>
      </c>
      <c r="AG3282" s="78" t="s">
        <v>225</v>
      </c>
      <c r="AH3282" s="78">
        <v>4.0251000000000001</v>
      </c>
      <c r="AJ3282" s="77"/>
      <c r="AK3282" s="77"/>
      <c r="AL3282" s="77"/>
      <c r="AM3282" s="77"/>
      <c r="AN3282" s="77"/>
      <c r="AO3282" s="77"/>
    </row>
    <row r="3283" spans="29:41">
      <c r="AC3283" s="78" t="s">
        <v>54</v>
      </c>
      <c r="AD3283" s="78" t="s">
        <v>20</v>
      </c>
      <c r="AE3283" s="78" t="s">
        <v>72</v>
      </c>
      <c r="AF3283" s="78" t="s">
        <v>51</v>
      </c>
      <c r="AG3283" s="78" t="s">
        <v>226</v>
      </c>
      <c r="AH3283" s="78">
        <v>4.114354497342033</v>
      </c>
      <c r="AJ3283" s="77"/>
      <c r="AK3283" s="77"/>
      <c r="AL3283" s="77"/>
      <c r="AM3283" s="77"/>
      <c r="AN3283" s="77"/>
      <c r="AO3283" s="77"/>
    </row>
    <row r="3284" spans="29:41">
      <c r="AC3284" s="78" t="s">
        <v>54</v>
      </c>
      <c r="AD3284" s="78" t="s">
        <v>20</v>
      </c>
      <c r="AE3284" s="78" t="s">
        <v>72</v>
      </c>
      <c r="AF3284" s="78" t="s">
        <v>51</v>
      </c>
      <c r="AG3284" s="78" t="s">
        <v>227</v>
      </c>
      <c r="AH3284" s="78">
        <v>4.0771627490827687</v>
      </c>
      <c r="AJ3284" s="77"/>
      <c r="AK3284" s="77"/>
      <c r="AL3284" s="77"/>
      <c r="AM3284" s="77"/>
      <c r="AN3284" s="77"/>
      <c r="AO3284" s="77"/>
    </row>
    <row r="3285" spans="29:41">
      <c r="AC3285" s="78" t="s">
        <v>54</v>
      </c>
      <c r="AD3285" s="78" t="s">
        <v>20</v>
      </c>
      <c r="AE3285" s="78" t="s">
        <v>72</v>
      </c>
      <c r="AF3285" s="78" t="s">
        <v>51</v>
      </c>
      <c r="AG3285" s="78" t="s">
        <v>228</v>
      </c>
      <c r="AH3285" s="78">
        <v>4.145604497342033</v>
      </c>
      <c r="AJ3285" s="77"/>
      <c r="AK3285" s="77"/>
      <c r="AL3285" s="77"/>
      <c r="AM3285" s="77"/>
      <c r="AN3285" s="77"/>
      <c r="AO3285" s="77"/>
    </row>
    <row r="3286" spans="29:41">
      <c r="AC3286" s="78" t="s">
        <v>54</v>
      </c>
      <c r="AD3286" s="78" t="s">
        <v>20</v>
      </c>
      <c r="AE3286" s="78" t="s">
        <v>72</v>
      </c>
      <c r="AF3286" s="78" t="s">
        <v>51</v>
      </c>
      <c r="AG3286" s="78" t="s">
        <v>229</v>
      </c>
      <c r="AH3286" s="78">
        <v>4.0251000000000001</v>
      </c>
      <c r="AJ3286" s="77"/>
      <c r="AK3286" s="77"/>
      <c r="AL3286" s="77"/>
      <c r="AM3286" s="77"/>
      <c r="AN3286" s="77"/>
      <c r="AO3286" s="77"/>
    </row>
    <row r="3287" spans="29:41">
      <c r="AC3287" s="78" t="s">
        <v>54</v>
      </c>
      <c r="AD3287" s="78" t="s">
        <v>20</v>
      </c>
      <c r="AE3287" s="78" t="s">
        <v>72</v>
      </c>
      <c r="AF3287" s="78" t="s">
        <v>51</v>
      </c>
      <c r="AG3287" s="78" t="s">
        <v>216</v>
      </c>
      <c r="AH3287" s="78">
        <v>4.123888942161555</v>
      </c>
      <c r="AJ3287" s="77"/>
      <c r="AK3287" s="77"/>
      <c r="AL3287" s="77"/>
      <c r="AM3287" s="77"/>
      <c r="AN3287" s="77"/>
      <c r="AO3287" s="77"/>
    </row>
    <row r="3288" spans="29:41">
      <c r="AC3288" s="78" t="s">
        <v>54</v>
      </c>
      <c r="AD3288" s="78" t="s">
        <v>20</v>
      </c>
      <c r="AE3288" s="78" t="s">
        <v>72</v>
      </c>
      <c r="AF3288" s="78" t="s">
        <v>51</v>
      </c>
      <c r="AG3288" s="78" t="s">
        <v>230</v>
      </c>
      <c r="AH3288" s="78">
        <v>4.0627653666023935</v>
      </c>
      <c r="AJ3288" s="77"/>
      <c r="AK3288" s="77"/>
      <c r="AL3288" s="77"/>
      <c r="AM3288" s="77"/>
      <c r="AN3288" s="77"/>
      <c r="AO3288" s="77"/>
    </row>
    <row r="3289" spans="29:41">
      <c r="AC3289" s="78" t="s">
        <v>54</v>
      </c>
      <c r="AD3289" s="78" t="s">
        <v>20</v>
      </c>
      <c r="AE3289" s="78" t="s">
        <v>72</v>
      </c>
      <c r="AF3289" s="78" t="s">
        <v>51</v>
      </c>
      <c r="AG3289" s="78" t="s">
        <v>231</v>
      </c>
      <c r="AH3289" s="78">
        <v>3.9480721497042097</v>
      </c>
      <c r="AJ3289" s="77"/>
      <c r="AK3289" s="77"/>
      <c r="AL3289" s="77"/>
      <c r="AM3289" s="77"/>
      <c r="AN3289" s="77"/>
      <c r="AO3289" s="77"/>
    </row>
    <row r="3290" spans="29:41">
      <c r="AC3290" s="78" t="s">
        <v>54</v>
      </c>
      <c r="AD3290" s="78" t="s">
        <v>20</v>
      </c>
      <c r="AE3290" s="78" t="s">
        <v>72</v>
      </c>
      <c r="AF3290" s="78" t="s">
        <v>51</v>
      </c>
      <c r="AG3290" s="78" t="s">
        <v>232</v>
      </c>
      <c r="AH3290" s="78">
        <v>4.0251000000000001</v>
      </c>
      <c r="AJ3290" s="77"/>
      <c r="AK3290" s="77"/>
      <c r="AL3290" s="77"/>
      <c r="AM3290" s="77"/>
      <c r="AN3290" s="77"/>
      <c r="AO3290" s="77"/>
    </row>
    <row r="3291" spans="29:41">
      <c r="AC3291" s="78" t="s">
        <v>54</v>
      </c>
      <c r="AD3291" s="78" t="s">
        <v>20</v>
      </c>
      <c r="AE3291" s="78" t="s">
        <v>72</v>
      </c>
      <c r="AF3291" s="78" t="s">
        <v>51</v>
      </c>
      <c r="AG3291" s="78" t="s">
        <v>215</v>
      </c>
      <c r="AH3291" s="78">
        <v>4.0251000000000001</v>
      </c>
      <c r="AJ3291" s="77"/>
      <c r="AK3291" s="77"/>
      <c r="AL3291" s="77"/>
      <c r="AM3291" s="77"/>
      <c r="AN3291" s="77"/>
      <c r="AO3291" s="77"/>
    </row>
    <row r="3292" spans="29:41">
      <c r="AC3292" s="78" t="s">
        <v>54</v>
      </c>
      <c r="AD3292" s="78" t="s">
        <v>20</v>
      </c>
      <c r="AE3292" s="78" t="s">
        <v>72</v>
      </c>
      <c r="AF3292" s="78" t="s">
        <v>51</v>
      </c>
      <c r="AG3292" s="78" t="s">
        <v>217</v>
      </c>
      <c r="AH3292" s="78">
        <v>4.0771627490827687</v>
      </c>
      <c r="AJ3292" s="77"/>
      <c r="AK3292" s="77"/>
      <c r="AL3292" s="77"/>
      <c r="AM3292" s="77"/>
      <c r="AN3292" s="77"/>
      <c r="AO3292" s="77"/>
    </row>
    <row r="3293" spans="29:41">
      <c r="AC3293" s="78" t="s">
        <v>54</v>
      </c>
      <c r="AD3293" s="78" t="s">
        <v>20</v>
      </c>
      <c r="AE3293" s="78" t="s">
        <v>72</v>
      </c>
      <c r="AF3293" s="78" t="s">
        <v>51</v>
      </c>
      <c r="AG3293" s="78" t="s">
        <v>237</v>
      </c>
      <c r="AH3293" s="78">
        <v>4.123888942161555</v>
      </c>
      <c r="AJ3293" s="77"/>
      <c r="AK3293" s="77"/>
      <c r="AL3293" s="77"/>
      <c r="AM3293" s="77"/>
      <c r="AN3293" s="77"/>
      <c r="AO3293" s="77"/>
    </row>
    <row r="3294" spans="29:41">
      <c r="AC3294" s="78" t="s">
        <v>54</v>
      </c>
      <c r="AD3294" s="78" t="s">
        <v>20</v>
      </c>
      <c r="AE3294" s="78" t="s">
        <v>72</v>
      </c>
      <c r="AF3294" s="78" t="s">
        <v>51</v>
      </c>
      <c r="AG3294" s="78" t="s">
        <v>238</v>
      </c>
      <c r="AH3294" s="78">
        <v>4.123888942161555</v>
      </c>
      <c r="AJ3294" s="77"/>
      <c r="AK3294" s="77"/>
      <c r="AL3294" s="77"/>
      <c r="AM3294" s="77"/>
      <c r="AN3294" s="77"/>
      <c r="AO3294" s="77"/>
    </row>
    <row r="3295" spans="29:41">
      <c r="AC3295" s="78" t="s">
        <v>54</v>
      </c>
      <c r="AD3295" s="78" t="s">
        <v>20</v>
      </c>
      <c r="AE3295" s="78" t="s">
        <v>72</v>
      </c>
      <c r="AF3295" s="78" t="s">
        <v>51</v>
      </c>
      <c r="AG3295" s="78" t="s">
        <v>239</v>
      </c>
      <c r="AH3295" s="78">
        <v>4.123888942161555</v>
      </c>
      <c r="AJ3295" s="77"/>
      <c r="AK3295" s="77"/>
      <c r="AL3295" s="77"/>
      <c r="AM3295" s="77"/>
      <c r="AN3295" s="77"/>
      <c r="AO3295" s="77"/>
    </row>
    <row r="3296" spans="29:41">
      <c r="AC3296" s="78" t="s">
        <v>54</v>
      </c>
      <c r="AD3296" s="78" t="s">
        <v>20</v>
      </c>
      <c r="AE3296" s="78" t="s">
        <v>72</v>
      </c>
      <c r="AF3296" s="78" t="s">
        <v>51</v>
      </c>
      <c r="AG3296" s="78" t="s">
        <v>240</v>
      </c>
      <c r="AH3296" s="78">
        <v>4.0771627490827687</v>
      </c>
      <c r="AJ3296" s="77"/>
      <c r="AK3296" s="77"/>
      <c r="AL3296" s="77"/>
      <c r="AM3296" s="77"/>
      <c r="AN3296" s="77"/>
      <c r="AO3296" s="77"/>
    </row>
    <row r="3297" spans="29:41">
      <c r="AC3297" s="78" t="s">
        <v>54</v>
      </c>
      <c r="AD3297" s="78" t="s">
        <v>20</v>
      </c>
      <c r="AE3297" s="78" t="s">
        <v>72</v>
      </c>
      <c r="AF3297" s="78" t="s">
        <v>51</v>
      </c>
      <c r="AG3297" s="78" t="s">
        <v>241</v>
      </c>
      <c r="AH3297" s="78">
        <v>4.123888942161555</v>
      </c>
      <c r="AJ3297" s="77"/>
      <c r="AK3297" s="77"/>
      <c r="AL3297" s="77"/>
      <c r="AM3297" s="77"/>
      <c r="AN3297" s="77"/>
      <c r="AO3297" s="77"/>
    </row>
    <row r="3298" spans="29:41">
      <c r="AC3298" s="78" t="s">
        <v>54</v>
      </c>
      <c r="AD3298" s="78" t="s">
        <v>20</v>
      </c>
      <c r="AE3298" s="78" t="s">
        <v>72</v>
      </c>
      <c r="AF3298" s="78" t="s">
        <v>51</v>
      </c>
      <c r="AG3298" s="78" t="s">
        <v>242</v>
      </c>
      <c r="AH3298" s="78">
        <v>4.123888942161555</v>
      </c>
      <c r="AJ3298" s="77"/>
      <c r="AK3298" s="77"/>
      <c r="AL3298" s="77"/>
      <c r="AM3298" s="77"/>
      <c r="AN3298" s="77"/>
      <c r="AO3298" s="77"/>
    </row>
    <row r="3299" spans="29:41">
      <c r="AC3299" s="78" t="s">
        <v>54</v>
      </c>
      <c r="AD3299" s="78" t="s">
        <v>20</v>
      </c>
      <c r="AE3299" s="78" t="s">
        <v>72</v>
      </c>
      <c r="AF3299" s="78" t="s">
        <v>51</v>
      </c>
      <c r="AG3299" s="78" t="s">
        <v>243</v>
      </c>
      <c r="AH3299" s="78">
        <v>4.0771627490827687</v>
      </c>
      <c r="AJ3299" s="77"/>
      <c r="AK3299" s="77"/>
      <c r="AL3299" s="77"/>
      <c r="AM3299" s="77"/>
      <c r="AN3299" s="77"/>
      <c r="AO3299" s="77"/>
    </row>
    <row r="3300" spans="29:41">
      <c r="AC3300" s="78" t="s">
        <v>54</v>
      </c>
      <c r="AD3300" s="78" t="s">
        <v>20</v>
      </c>
      <c r="AE3300" s="78" t="s">
        <v>72</v>
      </c>
      <c r="AF3300" s="78" t="s">
        <v>51</v>
      </c>
      <c r="AG3300" s="78" t="s">
        <v>244</v>
      </c>
      <c r="AH3300" s="78">
        <v>4.123888942161555</v>
      </c>
      <c r="AJ3300" s="77"/>
      <c r="AK3300" s="77"/>
      <c r="AL3300" s="77"/>
      <c r="AM3300" s="77"/>
      <c r="AN3300" s="77"/>
      <c r="AO3300" s="77"/>
    </row>
    <row r="3301" spans="29:41">
      <c r="AC3301" s="78" t="s">
        <v>54</v>
      </c>
      <c r="AD3301" s="78" t="s">
        <v>20</v>
      </c>
      <c r="AE3301" s="78" t="s">
        <v>72</v>
      </c>
      <c r="AF3301" s="78" t="s">
        <v>51</v>
      </c>
      <c r="AG3301" s="78" t="s">
        <v>245</v>
      </c>
      <c r="AH3301" s="78">
        <v>4.0627653666023935</v>
      </c>
      <c r="AJ3301" s="77"/>
      <c r="AK3301" s="77"/>
      <c r="AL3301" s="77"/>
      <c r="AM3301" s="77"/>
      <c r="AN3301" s="77"/>
      <c r="AO3301" s="77"/>
    </row>
    <row r="3302" spans="29:41">
      <c r="AC3302" s="78" t="s">
        <v>54</v>
      </c>
      <c r="AD3302" s="78" t="s">
        <v>20</v>
      </c>
      <c r="AE3302" s="78" t="s">
        <v>72</v>
      </c>
      <c r="AF3302" s="78" t="s">
        <v>51</v>
      </c>
      <c r="AG3302" s="78" t="s">
        <v>246</v>
      </c>
      <c r="AH3302" s="78">
        <v>4.0195510152855149</v>
      </c>
      <c r="AJ3302" s="77"/>
      <c r="AK3302" s="77"/>
      <c r="AL3302" s="77"/>
      <c r="AM3302" s="77"/>
      <c r="AN3302" s="77"/>
      <c r="AO3302" s="77"/>
    </row>
    <row r="3303" spans="29:41">
      <c r="AC3303" s="78" t="s">
        <v>54</v>
      </c>
      <c r="AD3303" s="78" t="s">
        <v>20</v>
      </c>
      <c r="AE3303" s="78" t="s">
        <v>72</v>
      </c>
      <c r="AF3303" s="78" t="s">
        <v>51</v>
      </c>
      <c r="AG3303" s="78" t="s">
        <v>247</v>
      </c>
      <c r="AH3303" s="78">
        <v>4.0627653666023935</v>
      </c>
      <c r="AJ3303" s="77"/>
      <c r="AK3303" s="77"/>
      <c r="AL3303" s="77"/>
      <c r="AM3303" s="77"/>
      <c r="AN3303" s="77"/>
      <c r="AO3303" s="77"/>
    </row>
    <row r="3304" spans="29:41">
      <c r="AC3304" s="78" t="s">
        <v>54</v>
      </c>
      <c r="AD3304" s="78" t="s">
        <v>20</v>
      </c>
      <c r="AE3304" s="78" t="s">
        <v>72</v>
      </c>
      <c r="AF3304" s="78" t="s">
        <v>51</v>
      </c>
      <c r="AG3304" s="78" t="s">
        <v>248</v>
      </c>
      <c r="AH3304" s="78">
        <v>4.0771627490827687</v>
      </c>
      <c r="AJ3304" s="77"/>
      <c r="AK3304" s="77"/>
      <c r="AL3304" s="77"/>
      <c r="AM3304" s="77"/>
      <c r="AN3304" s="77"/>
      <c r="AO3304" s="77"/>
    </row>
    <row r="3305" spans="29:41">
      <c r="AC3305" s="78" t="s">
        <v>54</v>
      </c>
      <c r="AD3305" s="78" t="s">
        <v>20</v>
      </c>
      <c r="AE3305" s="78" t="s">
        <v>72</v>
      </c>
      <c r="AF3305" s="78" t="s">
        <v>51</v>
      </c>
      <c r="AG3305" s="78" t="s">
        <v>249</v>
      </c>
      <c r="AH3305" s="78">
        <v>4.114354497342033</v>
      </c>
      <c r="AJ3305" s="77"/>
      <c r="AK3305" s="77"/>
      <c r="AL3305" s="77"/>
      <c r="AM3305" s="77"/>
      <c r="AN3305" s="77"/>
      <c r="AO3305" s="77"/>
    </row>
    <row r="3306" spans="29:41">
      <c r="AC3306" s="78" t="s">
        <v>54</v>
      </c>
      <c r="AD3306" s="78" t="s">
        <v>20</v>
      </c>
      <c r="AE3306" s="78" t="s">
        <v>72</v>
      </c>
      <c r="AF3306" s="78" t="s">
        <v>51</v>
      </c>
      <c r="AG3306" s="78" t="s">
        <v>250</v>
      </c>
      <c r="AH3306" s="78">
        <v>4.0771627490827687</v>
      </c>
      <c r="AJ3306" s="77"/>
      <c r="AK3306" s="77"/>
      <c r="AL3306" s="77"/>
      <c r="AM3306" s="77"/>
      <c r="AN3306" s="77"/>
      <c r="AO3306" s="77"/>
    </row>
    <row r="3307" spans="29:41">
      <c r="AC3307" s="78" t="s">
        <v>54</v>
      </c>
      <c r="AD3307" s="78" t="s">
        <v>20</v>
      </c>
      <c r="AE3307" s="78" t="s">
        <v>72</v>
      </c>
      <c r="AF3307" s="78" t="s">
        <v>51</v>
      </c>
      <c r="AG3307" s="78" t="s">
        <v>251</v>
      </c>
      <c r="AH3307" s="78">
        <v>3.9480721497042097</v>
      </c>
      <c r="AJ3307" s="77"/>
      <c r="AK3307" s="77"/>
      <c r="AL3307" s="77"/>
      <c r="AM3307" s="77"/>
      <c r="AN3307" s="77"/>
      <c r="AO3307" s="77"/>
    </row>
    <row r="3308" spans="29:41">
      <c r="AC3308" s="78" t="s">
        <v>54</v>
      </c>
      <c r="AD3308" s="78" t="s">
        <v>20</v>
      </c>
      <c r="AE3308" s="78" t="s">
        <v>72</v>
      </c>
      <c r="AF3308" s="78" t="s">
        <v>51</v>
      </c>
      <c r="AG3308" s="78" t="s">
        <v>252</v>
      </c>
      <c r="AH3308" s="78">
        <v>3.9883010152855149</v>
      </c>
      <c r="AJ3308" s="77"/>
      <c r="AK3308" s="77"/>
      <c r="AL3308" s="77"/>
      <c r="AM3308" s="77"/>
      <c r="AN3308" s="77"/>
      <c r="AO3308" s="77"/>
    </row>
    <row r="3309" spans="29:41">
      <c r="AC3309" s="78" t="s">
        <v>54</v>
      </c>
      <c r="AD3309" s="78" t="s">
        <v>20</v>
      </c>
      <c r="AE3309" s="78" t="s">
        <v>72</v>
      </c>
      <c r="AF3309" s="78" t="s">
        <v>51</v>
      </c>
      <c r="AG3309" s="78" t="s">
        <v>253</v>
      </c>
      <c r="AH3309" s="78">
        <v>3.9883010152855149</v>
      </c>
      <c r="AJ3309" s="77"/>
      <c r="AK3309" s="77"/>
      <c r="AL3309" s="77"/>
      <c r="AM3309" s="77"/>
      <c r="AN3309" s="77"/>
      <c r="AO3309" s="77"/>
    </row>
    <row r="3310" spans="29:41">
      <c r="AC3310" s="78" t="s">
        <v>54</v>
      </c>
      <c r="AD3310" s="78" t="s">
        <v>20</v>
      </c>
      <c r="AE3310" s="78" t="s">
        <v>72</v>
      </c>
      <c r="AF3310" s="78" t="s">
        <v>51</v>
      </c>
      <c r="AG3310" s="78" t="s">
        <v>254</v>
      </c>
      <c r="AH3310" s="78">
        <v>3.9883010152855149</v>
      </c>
      <c r="AJ3310" s="77"/>
      <c r="AK3310" s="77"/>
      <c r="AL3310" s="77"/>
      <c r="AM3310" s="77"/>
      <c r="AN3310" s="77"/>
      <c r="AO3310" s="77"/>
    </row>
    <row r="3311" spans="29:41">
      <c r="AC3311" s="78" t="s">
        <v>54</v>
      </c>
      <c r="AD3311" s="78" t="s">
        <v>20</v>
      </c>
      <c r="AE3311" s="78" t="s">
        <v>72</v>
      </c>
      <c r="AF3311" s="78" t="s">
        <v>51</v>
      </c>
      <c r="AG3311" s="78" t="s">
        <v>255</v>
      </c>
      <c r="AH3311" s="78">
        <v>3.9480721497042097</v>
      </c>
      <c r="AJ3311" s="77"/>
      <c r="AK3311" s="77"/>
      <c r="AL3311" s="77"/>
      <c r="AM3311" s="77"/>
      <c r="AN3311" s="77"/>
      <c r="AO3311" s="77"/>
    </row>
    <row r="3312" spans="29:41">
      <c r="AC3312" s="78" t="s">
        <v>54</v>
      </c>
      <c r="AD3312" s="78" t="s">
        <v>20</v>
      </c>
      <c r="AE3312" s="78" t="s">
        <v>72</v>
      </c>
      <c r="AF3312" s="78" t="s">
        <v>51</v>
      </c>
      <c r="AG3312" s="78" t="s">
        <v>256</v>
      </c>
      <c r="AH3312" s="78">
        <v>4.0627653666023935</v>
      </c>
      <c r="AJ3312" s="77"/>
      <c r="AK3312" s="77"/>
      <c r="AL3312" s="77"/>
      <c r="AM3312" s="77"/>
      <c r="AN3312" s="77"/>
      <c r="AO3312" s="77"/>
    </row>
    <row r="3313" spans="29:41">
      <c r="AC3313" s="78" t="s">
        <v>54</v>
      </c>
      <c r="AD3313" s="78" t="s">
        <v>20</v>
      </c>
      <c r="AE3313" s="78" t="s">
        <v>72</v>
      </c>
      <c r="AF3313" s="78" t="s">
        <v>51</v>
      </c>
      <c r="AG3313" s="78" t="s">
        <v>257</v>
      </c>
      <c r="AH3313" s="78">
        <v>4.1096088113743745</v>
      </c>
      <c r="AJ3313" s="77"/>
      <c r="AK3313" s="77"/>
      <c r="AL3313" s="77"/>
      <c r="AM3313" s="77"/>
      <c r="AN3313" s="77"/>
      <c r="AO3313" s="77"/>
    </row>
    <row r="3314" spans="29:41">
      <c r="AC3314" s="78" t="s">
        <v>54</v>
      </c>
      <c r="AD3314" s="78" t="s">
        <v>20</v>
      </c>
      <c r="AE3314" s="78" t="s">
        <v>72</v>
      </c>
      <c r="AF3314" s="78" t="s">
        <v>51</v>
      </c>
      <c r="AG3314" s="78" t="s">
        <v>258</v>
      </c>
      <c r="AH3314" s="78">
        <v>4.0261842576350091</v>
      </c>
      <c r="AJ3314" s="77"/>
      <c r="AK3314" s="77"/>
      <c r="AL3314" s="77"/>
      <c r="AM3314" s="77"/>
      <c r="AN3314" s="77"/>
      <c r="AO3314" s="77"/>
    </row>
    <row r="3315" spans="29:41">
      <c r="AC3315" s="78" t="s">
        <v>54</v>
      </c>
      <c r="AD3315" s="78" t="s">
        <v>20</v>
      </c>
      <c r="AE3315" s="78" t="s">
        <v>72</v>
      </c>
      <c r="AF3315" s="78" t="s">
        <v>51</v>
      </c>
      <c r="AG3315" s="78" t="s">
        <v>259</v>
      </c>
      <c r="AH3315" s="78">
        <v>3.9859585938118238</v>
      </c>
      <c r="AJ3315" s="77"/>
      <c r="AK3315" s="77"/>
      <c r="AL3315" s="77"/>
      <c r="AM3315" s="77"/>
      <c r="AN3315" s="77"/>
      <c r="AO3315" s="77"/>
    </row>
    <row r="3316" spans="29:41">
      <c r="AC3316" s="78" t="s">
        <v>54</v>
      </c>
      <c r="AD3316" s="78" t="s">
        <v>20</v>
      </c>
      <c r="AE3316" s="78" t="s">
        <v>72</v>
      </c>
      <c r="AF3316" s="78" t="s">
        <v>51</v>
      </c>
      <c r="AG3316" s="78" t="s">
        <v>260</v>
      </c>
      <c r="AH3316" s="78">
        <v>4.0450184023842457</v>
      </c>
      <c r="AJ3316" s="77"/>
      <c r="AK3316" s="77"/>
      <c r="AL3316" s="77"/>
      <c r="AM3316" s="77"/>
      <c r="AN3316" s="77"/>
      <c r="AO3316" s="77"/>
    </row>
    <row r="3317" spans="29:41">
      <c r="AC3317" s="78" t="s">
        <v>54</v>
      </c>
      <c r="AD3317" s="78" t="s">
        <v>20</v>
      </c>
      <c r="AE3317" s="78" t="s">
        <v>72</v>
      </c>
      <c r="AF3317" s="78" t="s">
        <v>51</v>
      </c>
      <c r="AG3317" s="78" t="s">
        <v>261</v>
      </c>
      <c r="AH3317" s="78">
        <v>3.8577993637589048</v>
      </c>
    </row>
    <row r="3318" spans="29:41">
      <c r="AC3318" s="78" t="s">
        <v>54</v>
      </c>
      <c r="AD3318" s="78" t="s">
        <v>20</v>
      </c>
      <c r="AE3318" s="78" t="s">
        <v>72</v>
      </c>
      <c r="AF3318" s="78" t="s">
        <v>51</v>
      </c>
      <c r="AG3318" s="78" t="s">
        <v>262</v>
      </c>
      <c r="AH3318" s="78">
        <v>4.0450184023842457</v>
      </c>
    </row>
    <row r="3319" spans="29:41">
      <c r="AC3319" s="78" t="s">
        <v>54</v>
      </c>
      <c r="AD3319" s="78" t="s">
        <v>20</v>
      </c>
      <c r="AE3319" s="78" t="s">
        <v>72</v>
      </c>
      <c r="AF3319" s="78" t="s">
        <v>51</v>
      </c>
      <c r="AG3319" s="78" t="s">
        <v>263</v>
      </c>
      <c r="AH3319" s="78">
        <v>3.8995000000000002</v>
      </c>
    </row>
    <row r="3320" spans="29:41">
      <c r="AC3320" s="78" t="s">
        <v>54</v>
      </c>
      <c r="AD3320" s="78" t="s">
        <v>20</v>
      </c>
      <c r="AE3320" s="78" t="s">
        <v>72</v>
      </c>
      <c r="AF3320" s="78" t="s">
        <v>51</v>
      </c>
      <c r="AG3320" s="78" t="s">
        <v>264</v>
      </c>
      <c r="AH3320" s="78">
        <v>3.8995000000000002</v>
      </c>
    </row>
    <row r="3321" spans="29:41">
      <c r="AC3321" s="78" t="s">
        <v>54</v>
      </c>
      <c r="AD3321" s="78" t="s">
        <v>20</v>
      </c>
      <c r="AE3321" s="78" t="s">
        <v>72</v>
      </c>
      <c r="AF3321" s="78" t="s">
        <v>51</v>
      </c>
      <c r="AG3321" s="78" t="s">
        <v>265</v>
      </c>
      <c r="AH3321" s="78">
        <v>4.0450184023842457</v>
      </c>
    </row>
    <row r="3322" spans="29:41">
      <c r="AC3322" s="78" t="s">
        <v>54</v>
      </c>
      <c r="AD3322" s="78" t="s">
        <v>20</v>
      </c>
      <c r="AE3322" s="78" t="s">
        <v>72</v>
      </c>
      <c r="AF3322" s="78" t="s">
        <v>51</v>
      </c>
      <c r="AG3322" s="78" t="s">
        <v>266</v>
      </c>
      <c r="AH3322" s="78">
        <v>3.9859585938118238</v>
      </c>
    </row>
    <row r="3323" spans="29:41">
      <c r="AC3323" s="78" t="s">
        <v>54</v>
      </c>
      <c r="AD3323" s="78" t="s">
        <v>20</v>
      </c>
      <c r="AE3323" s="78" t="s">
        <v>72</v>
      </c>
      <c r="AF3323" s="78" t="s">
        <v>51</v>
      </c>
      <c r="AG3323" s="78" t="s">
        <v>267</v>
      </c>
      <c r="AH3323" s="78">
        <v>3.9307500000000002</v>
      </c>
    </row>
    <row r="3324" spans="29:41">
      <c r="AC3324" s="78" t="s">
        <v>54</v>
      </c>
      <c r="AD3324" s="78" t="s">
        <v>20</v>
      </c>
      <c r="AE3324" s="78" t="s">
        <v>72</v>
      </c>
      <c r="AF3324" s="78" t="s">
        <v>51</v>
      </c>
      <c r="AG3324" s="78" t="s">
        <v>268</v>
      </c>
      <c r="AH3324" s="78">
        <v>4.0450184023842457</v>
      </c>
    </row>
    <row r="3325" spans="29:41">
      <c r="AC3325" s="78" t="s">
        <v>54</v>
      </c>
      <c r="AD3325" s="78" t="s">
        <v>20</v>
      </c>
      <c r="AE3325" s="78" t="s">
        <v>72</v>
      </c>
      <c r="AF3325" s="78" t="s">
        <v>51</v>
      </c>
      <c r="AG3325" s="78" t="s">
        <v>269</v>
      </c>
      <c r="AH3325" s="78">
        <v>3.9837031909148659</v>
      </c>
    </row>
    <row r="3326" spans="29:41">
      <c r="AC3326" s="78" t="s">
        <v>54</v>
      </c>
      <c r="AD3326" s="78" t="s">
        <v>20</v>
      </c>
      <c r="AE3326" s="78" t="s">
        <v>72</v>
      </c>
      <c r="AF3326" s="78" t="s">
        <v>51</v>
      </c>
      <c r="AG3326" s="78" t="s">
        <v>270</v>
      </c>
      <c r="AH3326" s="78">
        <v>4.0450184023842457</v>
      </c>
    </row>
    <row r="3327" spans="29:41">
      <c r="AC3327" s="78" t="s">
        <v>54</v>
      </c>
      <c r="AD3327" s="78" t="s">
        <v>20</v>
      </c>
      <c r="AE3327" s="78" t="s">
        <v>72</v>
      </c>
      <c r="AF3327" s="78" t="s">
        <v>51</v>
      </c>
      <c r="AG3327" s="78" t="s">
        <v>271</v>
      </c>
      <c r="AH3327" s="78">
        <v>4.0450184023842457</v>
      </c>
    </row>
    <row r="3328" spans="29:41">
      <c r="AC3328" s="78" t="s">
        <v>54</v>
      </c>
      <c r="AD3328" s="78" t="s">
        <v>20</v>
      </c>
      <c r="AE3328" s="78" t="s">
        <v>72</v>
      </c>
      <c r="AF3328" s="78" t="s">
        <v>51</v>
      </c>
      <c r="AG3328" s="78" t="s">
        <v>272</v>
      </c>
      <c r="AH3328" s="78">
        <v>3.8995000000000002</v>
      </c>
    </row>
    <row r="3329" spans="29:34">
      <c r="AC3329" s="78" t="s">
        <v>54</v>
      </c>
      <c r="AD3329" s="78" t="s">
        <v>20</v>
      </c>
      <c r="AE3329" s="78" t="s">
        <v>72</v>
      </c>
      <c r="AF3329" s="78" t="s">
        <v>51</v>
      </c>
      <c r="AG3329" s="78" t="s">
        <v>273</v>
      </c>
      <c r="AH3329" s="78">
        <v>4.0450184023842457</v>
      </c>
    </row>
    <row r="3330" spans="29:34">
      <c r="AC3330" s="78" t="s">
        <v>54</v>
      </c>
      <c r="AD3330" s="78" t="s">
        <v>20</v>
      </c>
      <c r="AE3330" s="78" t="s">
        <v>72</v>
      </c>
      <c r="AF3330" s="78" t="s">
        <v>51</v>
      </c>
      <c r="AG3330" s="78" t="s">
        <v>274</v>
      </c>
      <c r="AH3330" s="78">
        <v>4.0450184023842457</v>
      </c>
    </row>
    <row r="3331" spans="29:34">
      <c r="AC3331" s="78" t="s">
        <v>54</v>
      </c>
      <c r="AD3331" s="78" t="s">
        <v>20</v>
      </c>
      <c r="AE3331" s="78" t="s">
        <v>72</v>
      </c>
      <c r="AF3331" s="78" t="s">
        <v>51</v>
      </c>
      <c r="AG3331" s="78" t="s">
        <v>275</v>
      </c>
      <c r="AH3331" s="78">
        <v>4.0450184023842457</v>
      </c>
    </row>
    <row r="3332" spans="29:34">
      <c r="AC3332" s="78" t="s">
        <v>54</v>
      </c>
      <c r="AD3332" s="78" t="s">
        <v>20</v>
      </c>
      <c r="AE3332" s="78" t="s">
        <v>72</v>
      </c>
      <c r="AF3332" s="78" t="s">
        <v>51</v>
      </c>
      <c r="AG3332" s="78" t="s">
        <v>276</v>
      </c>
      <c r="AH3332" s="78">
        <v>3.8995000000000002</v>
      </c>
    </row>
    <row r="3333" spans="29:34">
      <c r="AC3333" s="78" t="s">
        <v>54</v>
      </c>
      <c r="AD3333" s="78" t="s">
        <v>20</v>
      </c>
      <c r="AE3333" s="78" t="s">
        <v>72</v>
      </c>
      <c r="AF3333" s="78" t="s">
        <v>51</v>
      </c>
      <c r="AG3333" s="78" t="s">
        <v>277</v>
      </c>
      <c r="AH3333" s="78">
        <v>4.0450184023842457</v>
      </c>
    </row>
    <row r="3334" spans="29:34">
      <c r="AC3334" s="78" t="s">
        <v>54</v>
      </c>
      <c r="AD3334" s="78" t="s">
        <v>20</v>
      </c>
      <c r="AE3334" s="78" t="s">
        <v>72</v>
      </c>
      <c r="AF3334" s="78" t="s">
        <v>51</v>
      </c>
      <c r="AG3334" s="78" t="s">
        <v>278</v>
      </c>
      <c r="AH3334" s="78">
        <v>4.0450184023842457</v>
      </c>
    </row>
    <row r="3335" spans="29:34">
      <c r="AC3335" s="78" t="s">
        <v>54</v>
      </c>
      <c r="AD3335" s="78" t="s">
        <v>20</v>
      </c>
      <c r="AE3335" s="78" t="s">
        <v>72</v>
      </c>
      <c r="AF3335" s="78" t="s">
        <v>51</v>
      </c>
      <c r="AG3335" s="78" t="s">
        <v>279</v>
      </c>
      <c r="AH3335" s="78">
        <v>4.0574342576350091</v>
      </c>
    </row>
    <row r="3336" spans="29:34">
      <c r="AC3336" s="78" t="s">
        <v>54</v>
      </c>
      <c r="AD3336" s="78" t="s">
        <v>20</v>
      </c>
      <c r="AE3336" s="78" t="s">
        <v>72</v>
      </c>
      <c r="AF3336" s="78" t="s">
        <v>51</v>
      </c>
      <c r="AG3336" s="78" t="s">
        <v>280</v>
      </c>
      <c r="AH3336" s="78">
        <v>4.1096088113743745</v>
      </c>
    </row>
    <row r="3337" spans="29:34">
      <c r="AC3337" s="78" t="s">
        <v>54</v>
      </c>
      <c r="AD3337" s="78" t="s">
        <v>20</v>
      </c>
      <c r="AE3337" s="78" t="s">
        <v>72</v>
      </c>
      <c r="AF3337" s="78" t="s">
        <v>51</v>
      </c>
      <c r="AG3337" s="78" t="s">
        <v>281</v>
      </c>
      <c r="AH3337" s="78">
        <v>4.0574342576350091</v>
      </c>
    </row>
    <row r="3338" spans="29:34">
      <c r="AC3338" s="78" t="s">
        <v>54</v>
      </c>
      <c r="AD3338" s="78" t="s">
        <v>20</v>
      </c>
      <c r="AE3338" s="78" t="s">
        <v>72</v>
      </c>
      <c r="AF3338" s="78" t="s">
        <v>51</v>
      </c>
      <c r="AG3338" s="78" t="s">
        <v>282</v>
      </c>
      <c r="AH3338" s="78">
        <v>4.1096088113743745</v>
      </c>
    </row>
    <row r="3339" spans="29:34">
      <c r="AC3339" s="78" t="s">
        <v>54</v>
      </c>
      <c r="AD3339" s="78" t="s">
        <v>20</v>
      </c>
      <c r="AE3339" s="78" t="s">
        <v>72</v>
      </c>
      <c r="AF3339" s="78" t="s">
        <v>51</v>
      </c>
      <c r="AG3339" s="78" t="s">
        <v>283</v>
      </c>
      <c r="AH3339" s="78">
        <v>4.1736875443783283</v>
      </c>
    </row>
    <row r="3340" spans="29:34">
      <c r="AC3340" s="78" t="s">
        <v>54</v>
      </c>
      <c r="AD3340" s="78" t="s">
        <v>20</v>
      </c>
      <c r="AE3340" s="78" t="s">
        <v>72</v>
      </c>
      <c r="AF3340" s="78" t="s">
        <v>51</v>
      </c>
      <c r="AG3340" s="78" t="s">
        <v>284</v>
      </c>
      <c r="AH3340" s="78">
        <v>4.1150044973420323</v>
      </c>
    </row>
    <row r="3341" spans="29:34">
      <c r="AC3341" s="78" t="s">
        <v>54</v>
      </c>
      <c r="AD3341" s="78" t="s">
        <v>20</v>
      </c>
      <c r="AE3341" s="78" t="s">
        <v>72</v>
      </c>
      <c r="AF3341" s="78" t="s">
        <v>51</v>
      </c>
      <c r="AG3341" s="78" t="s">
        <v>285</v>
      </c>
      <c r="AH3341" s="78">
        <v>4.2993060683645599</v>
      </c>
    </row>
    <row r="3342" spans="29:34">
      <c r="AC3342" s="78" t="s">
        <v>54</v>
      </c>
      <c r="AD3342" s="78" t="s">
        <v>20</v>
      </c>
      <c r="AE3342" s="78" t="s">
        <v>72</v>
      </c>
      <c r="AF3342" s="78" t="s">
        <v>51</v>
      </c>
      <c r="AG3342" s="78" t="s">
        <v>286</v>
      </c>
      <c r="AH3342" s="78">
        <v>4.2993060683645599</v>
      </c>
    </row>
    <row r="3343" spans="29:34">
      <c r="AC3343" s="78" t="s">
        <v>54</v>
      </c>
      <c r="AD3343" s="78" t="s">
        <v>20</v>
      </c>
      <c r="AE3343" s="78" t="s">
        <v>72</v>
      </c>
      <c r="AF3343" s="78" t="s">
        <v>51</v>
      </c>
      <c r="AG3343" s="78" t="s">
        <v>287</v>
      </c>
      <c r="AH3343" s="78">
        <v>4.2782551582169841</v>
      </c>
    </row>
    <row r="3344" spans="29:34">
      <c r="AC3344" s="78" t="s">
        <v>54</v>
      </c>
      <c r="AD3344" s="78" t="s">
        <v>20</v>
      </c>
      <c r="AE3344" s="78" t="s">
        <v>72</v>
      </c>
      <c r="AF3344" s="78" t="s">
        <v>51</v>
      </c>
      <c r="AG3344" s="78" t="s">
        <v>288</v>
      </c>
      <c r="AH3344" s="78">
        <v>4.2993060683645599</v>
      </c>
    </row>
    <row r="3345" spans="29:34">
      <c r="AC3345" s="78" t="s">
        <v>54</v>
      </c>
      <c r="AD3345" s="78" t="s">
        <v>20</v>
      </c>
      <c r="AE3345" s="78" t="s">
        <v>72</v>
      </c>
      <c r="AF3345" s="78" t="s">
        <v>51</v>
      </c>
      <c r="AG3345" s="78" t="s">
        <v>289</v>
      </c>
      <c r="AH3345" s="78">
        <v>4.235466264314165</v>
      </c>
    </row>
    <row r="3346" spans="29:34">
      <c r="AC3346" s="78" t="s">
        <v>54</v>
      </c>
      <c r="AD3346" s="78" t="s">
        <v>20</v>
      </c>
      <c r="AE3346" s="78" t="s">
        <v>72</v>
      </c>
      <c r="AF3346" s="78" t="s">
        <v>51</v>
      </c>
      <c r="AG3346" s="78" t="s">
        <v>290</v>
      </c>
      <c r="AH3346" s="78">
        <v>4.1834441354607952</v>
      </c>
    </row>
    <row r="3347" spans="29:34">
      <c r="AC3347" s="78" t="s">
        <v>54</v>
      </c>
      <c r="AD3347" s="78" t="s">
        <v>20</v>
      </c>
      <c r="AE3347" s="78" t="s">
        <v>72</v>
      </c>
      <c r="AF3347" s="78" t="s">
        <v>51</v>
      </c>
      <c r="AG3347" s="78" t="s">
        <v>291</v>
      </c>
      <c r="AH3347" s="78">
        <v>4.235466264314165</v>
      </c>
    </row>
    <row r="3348" spans="29:34">
      <c r="AC3348" s="78" t="s">
        <v>54</v>
      </c>
      <c r="AD3348" s="78" t="s">
        <v>20</v>
      </c>
      <c r="AE3348" s="78" t="s">
        <v>72</v>
      </c>
      <c r="AF3348" s="78" t="s">
        <v>51</v>
      </c>
      <c r="AG3348" s="78" t="s">
        <v>292</v>
      </c>
      <c r="AH3348" s="78">
        <v>4.1834441354607952</v>
      </c>
    </row>
    <row r="3349" spans="29:34">
      <c r="AC3349" s="78" t="s">
        <v>54</v>
      </c>
      <c r="AD3349" s="78" t="s">
        <v>20</v>
      </c>
      <c r="AE3349" s="78" t="s">
        <v>72</v>
      </c>
      <c r="AF3349" s="78" t="s">
        <v>51</v>
      </c>
      <c r="AG3349" s="78" t="s">
        <v>293</v>
      </c>
      <c r="AH3349" s="78">
        <v>4.1521941354607952</v>
      </c>
    </row>
    <row r="3350" spans="29:34">
      <c r="AC3350" s="78" t="s">
        <v>54</v>
      </c>
      <c r="AD3350" s="78" t="s">
        <v>20</v>
      </c>
      <c r="AE3350" s="78" t="s">
        <v>72</v>
      </c>
      <c r="AF3350" s="78" t="s">
        <v>51</v>
      </c>
      <c r="AG3350" s="78" t="s">
        <v>294</v>
      </c>
      <c r="AH3350" s="78">
        <v>4.1521941354607952</v>
      </c>
    </row>
    <row r="3351" spans="29:34">
      <c r="AC3351" s="78" t="s">
        <v>54</v>
      </c>
      <c r="AD3351" s="78" t="s">
        <v>20</v>
      </c>
      <c r="AE3351" s="78" t="s">
        <v>72</v>
      </c>
      <c r="AF3351" s="78" t="s">
        <v>51</v>
      </c>
      <c r="AG3351" s="78" t="s">
        <v>235</v>
      </c>
      <c r="AH3351" s="78">
        <v>4.1946941354607956</v>
      </c>
    </row>
    <row r="3352" spans="29:34">
      <c r="AC3352" s="78" t="s">
        <v>54</v>
      </c>
      <c r="AD3352" s="78" t="s">
        <v>20</v>
      </c>
      <c r="AE3352" s="78" t="s">
        <v>72</v>
      </c>
      <c r="AF3352" s="78" t="s">
        <v>51</v>
      </c>
      <c r="AG3352" s="78" t="s">
        <v>295</v>
      </c>
      <c r="AH3352" s="78">
        <v>4.1634441354607956</v>
      </c>
    </row>
    <row r="3353" spans="29:34">
      <c r="AC3353" s="78" t="s">
        <v>54</v>
      </c>
      <c r="AD3353" s="78" t="s">
        <v>20</v>
      </c>
      <c r="AE3353" s="78" t="s">
        <v>72</v>
      </c>
      <c r="AF3353" s="78" t="s">
        <v>51</v>
      </c>
      <c r="AG3353" s="78" t="s">
        <v>296</v>
      </c>
      <c r="AH3353" s="78">
        <v>4.1634441354607956</v>
      </c>
    </row>
    <row r="3354" spans="29:34">
      <c r="AC3354" s="78" t="s">
        <v>54</v>
      </c>
      <c r="AD3354" s="78" t="s">
        <v>20</v>
      </c>
      <c r="AE3354" s="78" t="s">
        <v>72</v>
      </c>
      <c r="AF3354" s="78" t="s">
        <v>51</v>
      </c>
      <c r="AG3354" s="78" t="s">
        <v>297</v>
      </c>
      <c r="AH3354" s="78">
        <v>4.1634441354607956</v>
      </c>
    </row>
    <row r="3355" spans="29:34">
      <c r="AC3355" s="78" t="s">
        <v>54</v>
      </c>
      <c r="AD3355" s="78" t="s">
        <v>20</v>
      </c>
      <c r="AE3355" s="78" t="s">
        <v>72</v>
      </c>
      <c r="AF3355" s="78" t="s">
        <v>51</v>
      </c>
      <c r="AG3355" s="78" t="s">
        <v>298</v>
      </c>
      <c r="AH3355" s="78">
        <v>4.1634441354607956</v>
      </c>
    </row>
    <row r="3356" spans="29:34">
      <c r="AC3356" s="78" t="s">
        <v>54</v>
      </c>
      <c r="AD3356" s="78" t="s">
        <v>20</v>
      </c>
      <c r="AE3356" s="78" t="s">
        <v>72</v>
      </c>
      <c r="AF3356" s="78" t="s">
        <v>51</v>
      </c>
      <c r="AG3356" s="78" t="s">
        <v>299</v>
      </c>
      <c r="AH3356" s="78">
        <v>4.1208588113743749</v>
      </c>
    </row>
    <row r="3357" spans="29:34">
      <c r="AC3357" s="78" t="s">
        <v>54</v>
      </c>
      <c r="AD3357" s="78" t="s">
        <v>20</v>
      </c>
      <c r="AE3357" s="78" t="s">
        <v>72</v>
      </c>
      <c r="AF3357" s="78" t="s">
        <v>51</v>
      </c>
      <c r="AG3357" s="78" t="s">
        <v>300</v>
      </c>
      <c r="AH3357" s="78">
        <v>4.1849375443783279</v>
      </c>
    </row>
    <row r="3358" spans="29:34">
      <c r="AC3358" s="78" t="s">
        <v>54</v>
      </c>
      <c r="AD3358" s="78" t="s">
        <v>20</v>
      </c>
      <c r="AE3358" s="78" t="s">
        <v>72</v>
      </c>
      <c r="AF3358" s="78" t="s">
        <v>51</v>
      </c>
      <c r="AG3358" s="78" t="s">
        <v>301</v>
      </c>
      <c r="AH3358" s="78">
        <v>4.3105560683645603</v>
      </c>
    </row>
    <row r="3359" spans="29:34">
      <c r="AC3359" s="78" t="s">
        <v>54</v>
      </c>
      <c r="AD3359" s="78" t="s">
        <v>20</v>
      </c>
      <c r="AE3359" s="78" t="s">
        <v>72</v>
      </c>
      <c r="AF3359" s="78" t="s">
        <v>51</v>
      </c>
      <c r="AG3359" s="78" t="s">
        <v>302</v>
      </c>
      <c r="AH3359" s="78">
        <v>4.2467162643141645</v>
      </c>
    </row>
    <row r="3360" spans="29:34">
      <c r="AC3360" s="78" t="s">
        <v>54</v>
      </c>
      <c r="AD3360" s="78" t="s">
        <v>20</v>
      </c>
      <c r="AE3360" s="78" t="s">
        <v>72</v>
      </c>
      <c r="AF3360" s="78" t="s">
        <v>51</v>
      </c>
      <c r="AG3360" s="78" t="s">
        <v>303</v>
      </c>
      <c r="AH3360" s="78">
        <v>4.1321941354607956</v>
      </c>
    </row>
    <row r="3361" spans="29:34">
      <c r="AC3361" s="78" t="s">
        <v>54</v>
      </c>
      <c r="AD3361" s="78" t="s">
        <v>20</v>
      </c>
      <c r="AE3361" s="78" t="s">
        <v>72</v>
      </c>
      <c r="AF3361" s="78" t="s">
        <v>51</v>
      </c>
      <c r="AG3361" s="78" t="s">
        <v>304</v>
      </c>
      <c r="AH3361" s="78">
        <v>4.1321941354607956</v>
      </c>
    </row>
    <row r="3362" spans="29:34">
      <c r="AC3362" s="78" t="s">
        <v>54</v>
      </c>
      <c r="AD3362" s="78" t="s">
        <v>20</v>
      </c>
      <c r="AE3362" s="78" t="s">
        <v>72</v>
      </c>
      <c r="AF3362" s="78" t="s">
        <v>51</v>
      </c>
      <c r="AG3362" s="78" t="s">
        <v>305</v>
      </c>
      <c r="AH3362" s="78">
        <v>4.1321941354607956</v>
      </c>
    </row>
    <row r="3363" spans="29:34">
      <c r="AC3363" s="78" t="s">
        <v>54</v>
      </c>
      <c r="AD3363" s="78" t="s">
        <v>20</v>
      </c>
      <c r="AE3363" s="78" t="s">
        <v>72</v>
      </c>
      <c r="AF3363" s="78" t="s">
        <v>51</v>
      </c>
      <c r="AG3363" s="78" t="s">
        <v>306</v>
      </c>
      <c r="AH3363" s="78">
        <v>4.1634441354607956</v>
      </c>
    </row>
    <row r="3364" spans="29:34">
      <c r="AC3364" s="78" t="s">
        <v>54</v>
      </c>
      <c r="AD3364" s="78" t="s">
        <v>20</v>
      </c>
      <c r="AE3364" s="78" t="s">
        <v>72</v>
      </c>
      <c r="AF3364" s="78" t="s">
        <v>51</v>
      </c>
      <c r="AG3364" s="78" t="s">
        <v>307</v>
      </c>
      <c r="AH3364" s="78">
        <v>4.1634441354607956</v>
      </c>
    </row>
    <row r="3365" spans="29:34">
      <c r="AC3365" s="78" t="s">
        <v>54</v>
      </c>
      <c r="AD3365" s="78" t="s">
        <v>20</v>
      </c>
      <c r="AE3365" s="78" t="s">
        <v>72</v>
      </c>
      <c r="AF3365" s="78" t="s">
        <v>51</v>
      </c>
      <c r="AG3365" s="78" t="s">
        <v>308</v>
      </c>
      <c r="AH3365" s="78">
        <v>4.1321941354607956</v>
      </c>
    </row>
    <row r="3366" spans="29:34">
      <c r="AC3366" s="78" t="s">
        <v>54</v>
      </c>
      <c r="AD3366" s="78" t="s">
        <v>20</v>
      </c>
      <c r="AE3366" s="78" t="s">
        <v>72</v>
      </c>
      <c r="AF3366" s="78" t="s">
        <v>51</v>
      </c>
      <c r="AG3366" s="78" t="s">
        <v>309</v>
      </c>
      <c r="AH3366" s="78">
        <v>4.3105560683645603</v>
      </c>
    </row>
    <row r="3367" spans="29:34">
      <c r="AC3367" s="78" t="s">
        <v>54</v>
      </c>
      <c r="AD3367" s="78" t="s">
        <v>20</v>
      </c>
      <c r="AE3367" s="78" t="s">
        <v>72</v>
      </c>
      <c r="AF3367" s="78" t="s">
        <v>51</v>
      </c>
      <c r="AG3367" s="78" t="s">
        <v>310</v>
      </c>
      <c r="AH3367" s="78">
        <v>4.3105560683645603</v>
      </c>
    </row>
    <row r="3368" spans="29:34">
      <c r="AC3368" s="78" t="s">
        <v>54</v>
      </c>
      <c r="AD3368" s="78" t="s">
        <v>20</v>
      </c>
      <c r="AE3368" s="78" t="s">
        <v>72</v>
      </c>
      <c r="AF3368" s="78" t="s">
        <v>51</v>
      </c>
      <c r="AG3368" s="78" t="s">
        <v>234</v>
      </c>
      <c r="AH3368" s="78">
        <v>4.2467162643141645</v>
      </c>
    </row>
    <row r="3369" spans="29:34">
      <c r="AC3369" s="78" t="s">
        <v>54</v>
      </c>
      <c r="AD3369" s="78" t="s">
        <v>20</v>
      </c>
      <c r="AE3369" s="78" t="s">
        <v>72</v>
      </c>
      <c r="AF3369" s="78" t="s">
        <v>51</v>
      </c>
      <c r="AG3369" s="78" t="s">
        <v>311</v>
      </c>
      <c r="AH3369" s="78">
        <v>4.1634441354607956</v>
      </c>
    </row>
    <row r="3370" spans="29:34">
      <c r="AC3370" s="78" t="s">
        <v>54</v>
      </c>
      <c r="AD3370" s="78" t="s">
        <v>20</v>
      </c>
      <c r="AE3370" s="78" t="s">
        <v>72</v>
      </c>
      <c r="AF3370" s="78" t="s">
        <v>51</v>
      </c>
      <c r="AG3370" s="78" t="s">
        <v>312</v>
      </c>
      <c r="AH3370" s="78">
        <v>4.1634441354607956</v>
      </c>
    </row>
    <row r="3371" spans="29:34">
      <c r="AC3371" s="78" t="s">
        <v>54</v>
      </c>
      <c r="AD3371" s="78" t="s">
        <v>20</v>
      </c>
      <c r="AE3371" s="78" t="s">
        <v>72</v>
      </c>
      <c r="AF3371" s="78" t="s">
        <v>51</v>
      </c>
      <c r="AG3371" s="78" t="s">
        <v>313</v>
      </c>
      <c r="AH3371" s="78">
        <v>4.1946941354607956</v>
      </c>
    </row>
    <row r="3372" spans="29:34">
      <c r="AC3372" s="78" t="s">
        <v>54</v>
      </c>
      <c r="AD3372" s="78" t="s">
        <v>20</v>
      </c>
      <c r="AE3372" s="78" t="s">
        <v>72</v>
      </c>
      <c r="AF3372" s="78" t="s">
        <v>51</v>
      </c>
      <c r="AG3372" s="78" t="s">
        <v>233</v>
      </c>
      <c r="AH3372" s="78">
        <v>4.2582551582169845</v>
      </c>
    </row>
    <row r="3373" spans="29:34">
      <c r="AC3373" s="78" t="s">
        <v>54</v>
      </c>
      <c r="AD3373" s="78" t="s">
        <v>20</v>
      </c>
      <c r="AE3373" s="78" t="s">
        <v>72</v>
      </c>
      <c r="AF3373" s="78" t="s">
        <v>51</v>
      </c>
      <c r="AG3373" s="78" t="s">
        <v>236</v>
      </c>
      <c r="AH3373" s="78">
        <v>4.3105560683645603</v>
      </c>
    </row>
    <row r="3374" spans="29:34">
      <c r="AC3374" s="78" t="s">
        <v>54</v>
      </c>
      <c r="AD3374" s="78" t="s">
        <v>20</v>
      </c>
      <c r="AE3374" s="78" t="s">
        <v>72</v>
      </c>
      <c r="AF3374" s="78" t="s">
        <v>51</v>
      </c>
      <c r="AG3374" s="78" t="s">
        <v>318</v>
      </c>
      <c r="AH3374" s="78">
        <v>4.3105560683645603</v>
      </c>
    </row>
    <row r="3375" spans="29:34">
      <c r="AC3375" s="78" t="s">
        <v>54</v>
      </c>
      <c r="AD3375" s="78" t="s">
        <v>20</v>
      </c>
      <c r="AE3375" s="78" t="s">
        <v>72</v>
      </c>
      <c r="AF3375" s="78" t="s">
        <v>51</v>
      </c>
      <c r="AG3375" s="78" t="s">
        <v>319</v>
      </c>
      <c r="AH3375" s="78">
        <v>4.3105560683645603</v>
      </c>
    </row>
    <row r="3376" spans="29:34">
      <c r="AC3376" s="78" t="s">
        <v>54</v>
      </c>
      <c r="AD3376" s="78" t="s">
        <v>20</v>
      </c>
      <c r="AE3376" s="78" t="s">
        <v>72</v>
      </c>
      <c r="AF3376" s="78" t="s">
        <v>51</v>
      </c>
      <c r="AG3376" s="78" t="s">
        <v>320</v>
      </c>
      <c r="AH3376" s="78">
        <v>4.2467162643141645</v>
      </c>
    </row>
    <row r="3377" spans="29:34">
      <c r="AC3377" s="78" t="s">
        <v>54</v>
      </c>
      <c r="AD3377" s="78" t="s">
        <v>20</v>
      </c>
      <c r="AE3377" s="78" t="s">
        <v>72</v>
      </c>
      <c r="AF3377" s="78" t="s">
        <v>51</v>
      </c>
      <c r="AG3377" s="78" t="s">
        <v>321</v>
      </c>
      <c r="AH3377" s="78">
        <v>4.1634441354607956</v>
      </c>
    </row>
    <row r="3378" spans="29:34">
      <c r="AC3378" s="78" t="s">
        <v>54</v>
      </c>
      <c r="AD3378" s="78" t="s">
        <v>20</v>
      </c>
      <c r="AE3378" s="78" t="s">
        <v>72</v>
      </c>
      <c r="AF3378" s="78" t="s">
        <v>51</v>
      </c>
      <c r="AG3378" s="78" t="s">
        <v>322</v>
      </c>
      <c r="AH3378" s="78">
        <v>4.1946941354607956</v>
      </c>
    </row>
    <row r="3379" spans="29:34">
      <c r="AC3379" s="78" t="s">
        <v>54</v>
      </c>
      <c r="AD3379" s="78" t="s">
        <v>20</v>
      </c>
      <c r="AE3379" s="78" t="s">
        <v>72</v>
      </c>
      <c r="AF3379" s="78" t="s">
        <v>51</v>
      </c>
      <c r="AG3379" s="78" t="s">
        <v>323</v>
      </c>
      <c r="AH3379" s="78">
        <v>4.1634441354607956</v>
      </c>
    </row>
    <row r="3380" spans="29:34">
      <c r="AC3380" s="78" t="s">
        <v>54</v>
      </c>
      <c r="AD3380" s="78" t="s">
        <v>20</v>
      </c>
      <c r="AE3380" s="78" t="s">
        <v>72</v>
      </c>
      <c r="AF3380" s="78" t="s">
        <v>51</v>
      </c>
      <c r="AG3380" s="78" t="s">
        <v>324</v>
      </c>
      <c r="AH3380" s="78">
        <v>4.0741991407434552</v>
      </c>
    </row>
    <row r="3381" spans="29:34">
      <c r="AC3381" s="78" t="s">
        <v>54</v>
      </c>
      <c r="AD3381" s="78" t="s">
        <v>20</v>
      </c>
      <c r="AE3381" s="78" t="s">
        <v>72</v>
      </c>
      <c r="AF3381" s="78" t="s">
        <v>51</v>
      </c>
      <c r="AG3381" s="78" t="s">
        <v>325</v>
      </c>
      <c r="AH3381" s="78">
        <v>4.0741991407434552</v>
      </c>
    </row>
    <row r="3382" spans="29:34">
      <c r="AC3382" s="78" t="s">
        <v>54</v>
      </c>
      <c r="AD3382" s="78" t="s">
        <v>20</v>
      </c>
      <c r="AE3382" s="78" t="s">
        <v>72</v>
      </c>
      <c r="AF3382" s="78" t="s">
        <v>51</v>
      </c>
      <c r="AG3382" s="78" t="s">
        <v>326</v>
      </c>
      <c r="AH3382" s="78">
        <v>4.0741991407434552</v>
      </c>
    </row>
    <row r="3383" spans="29:34">
      <c r="AC3383" s="78" t="s">
        <v>54</v>
      </c>
      <c r="AD3383" s="78" t="s">
        <v>20</v>
      </c>
      <c r="AE3383" s="78" t="s">
        <v>72</v>
      </c>
      <c r="AF3383" s="78" t="s">
        <v>51</v>
      </c>
      <c r="AG3383" s="78" t="s">
        <v>327</v>
      </c>
      <c r="AH3383" s="78">
        <v>4.1208588113743749</v>
      </c>
    </row>
    <row r="3384" spans="29:34">
      <c r="AC3384" s="78" t="s">
        <v>54</v>
      </c>
      <c r="AD3384" s="78" t="s">
        <v>20</v>
      </c>
      <c r="AE3384" s="78" t="s">
        <v>72</v>
      </c>
      <c r="AF3384" s="78" t="s">
        <v>51</v>
      </c>
      <c r="AG3384" s="78" t="s">
        <v>328</v>
      </c>
      <c r="AH3384" s="78">
        <v>4.1849375443783279</v>
      </c>
    </row>
    <row r="3385" spans="29:34">
      <c r="AC3385" s="78" t="s">
        <v>54</v>
      </c>
      <c r="AD3385" s="78" t="s">
        <v>20</v>
      </c>
      <c r="AE3385" s="78" t="s">
        <v>72</v>
      </c>
      <c r="AF3385" s="78" t="s">
        <v>51</v>
      </c>
      <c r="AG3385" s="78" t="s">
        <v>329</v>
      </c>
      <c r="AH3385" s="78">
        <v>4.1208588113743749</v>
      </c>
    </row>
    <row r="3386" spans="29:34">
      <c r="AC3386" s="78" t="s">
        <v>54</v>
      </c>
      <c r="AD3386" s="78" t="s">
        <v>20</v>
      </c>
      <c r="AE3386" s="78" t="s">
        <v>72</v>
      </c>
      <c r="AF3386" s="78" t="s">
        <v>51</v>
      </c>
      <c r="AG3386" s="78" t="s">
        <v>330</v>
      </c>
      <c r="AH3386" s="78">
        <v>4.0061842576350095</v>
      </c>
    </row>
    <row r="3387" spans="29:34">
      <c r="AC3387" s="78" t="s">
        <v>54</v>
      </c>
      <c r="AD3387" s="78" t="s">
        <v>20</v>
      </c>
      <c r="AE3387" s="78" t="s">
        <v>72</v>
      </c>
      <c r="AF3387" s="78" t="s">
        <v>51</v>
      </c>
      <c r="AG3387" s="78" t="s">
        <v>331</v>
      </c>
      <c r="AH3387" s="78">
        <v>4.0686842576350095</v>
      </c>
    </row>
    <row r="3388" spans="29:34">
      <c r="AC3388" s="78" t="s">
        <v>54</v>
      </c>
      <c r="AD3388" s="78" t="s">
        <v>20</v>
      </c>
      <c r="AE3388" s="78" t="s">
        <v>72</v>
      </c>
      <c r="AF3388" s="78" t="s">
        <v>51</v>
      </c>
      <c r="AG3388" s="78" t="s">
        <v>332</v>
      </c>
      <c r="AH3388" s="78">
        <v>4.0061842576350095</v>
      </c>
    </row>
    <row r="3389" spans="29:34">
      <c r="AC3389" s="78" t="s">
        <v>54</v>
      </c>
      <c r="AD3389" s="78" t="s">
        <v>20</v>
      </c>
      <c r="AE3389" s="78" t="s">
        <v>72</v>
      </c>
      <c r="AF3389" s="78" t="s">
        <v>51</v>
      </c>
      <c r="AG3389" s="78" t="s">
        <v>333</v>
      </c>
      <c r="AH3389" s="78">
        <v>4.0061842576350095</v>
      </c>
    </row>
    <row r="3390" spans="29:34">
      <c r="AC3390" s="78" t="s">
        <v>54</v>
      </c>
      <c r="AD3390" s="78" t="s">
        <v>20</v>
      </c>
      <c r="AE3390" s="78" t="s">
        <v>72</v>
      </c>
      <c r="AF3390" s="78" t="s">
        <v>51</v>
      </c>
      <c r="AG3390" s="78" t="s">
        <v>334</v>
      </c>
      <c r="AH3390" s="78">
        <v>4.0374342576350095</v>
      </c>
    </row>
    <row r="3391" spans="29:34">
      <c r="AC3391" s="78" t="s">
        <v>54</v>
      </c>
      <c r="AD3391" s="78" t="s">
        <v>20</v>
      </c>
      <c r="AE3391" s="78" t="s">
        <v>72</v>
      </c>
      <c r="AF3391" s="78" t="s">
        <v>51</v>
      </c>
      <c r="AG3391" s="78" t="s">
        <v>335</v>
      </c>
      <c r="AH3391" s="78">
        <v>4.0061842576350095</v>
      </c>
    </row>
    <row r="3392" spans="29:34">
      <c r="AC3392" s="78" t="s">
        <v>54</v>
      </c>
      <c r="AD3392" s="78" t="s">
        <v>20</v>
      </c>
      <c r="AE3392" s="78" t="s">
        <v>72</v>
      </c>
      <c r="AF3392" s="78" t="s">
        <v>51</v>
      </c>
      <c r="AG3392" s="78" t="s">
        <v>315</v>
      </c>
      <c r="AH3392" s="78">
        <v>4.0061842576350095</v>
      </c>
    </row>
    <row r="3393" spans="29:34">
      <c r="AC3393" s="78" t="s">
        <v>54</v>
      </c>
      <c r="AD3393" s="78" t="s">
        <v>20</v>
      </c>
      <c r="AE3393" s="78" t="s">
        <v>72</v>
      </c>
      <c r="AF3393" s="78" t="s">
        <v>51</v>
      </c>
      <c r="AG3393" s="78" t="s">
        <v>336</v>
      </c>
      <c r="AH3393" s="78">
        <v>4.0061842576350095</v>
      </c>
    </row>
    <row r="3394" spans="29:34">
      <c r="AC3394" s="78" t="s">
        <v>54</v>
      </c>
      <c r="AD3394" s="78" t="s">
        <v>20</v>
      </c>
      <c r="AE3394" s="78" t="s">
        <v>72</v>
      </c>
      <c r="AF3394" s="78" t="s">
        <v>51</v>
      </c>
      <c r="AG3394" s="78" t="s">
        <v>337</v>
      </c>
      <c r="AH3394" s="78">
        <v>4.0562684023842452</v>
      </c>
    </row>
    <row r="3395" spans="29:34">
      <c r="AC3395" s="78" t="s">
        <v>54</v>
      </c>
      <c r="AD3395" s="78" t="s">
        <v>20</v>
      </c>
      <c r="AE3395" s="78" t="s">
        <v>72</v>
      </c>
      <c r="AF3395" s="78" t="s">
        <v>51</v>
      </c>
      <c r="AG3395" s="78" t="s">
        <v>338</v>
      </c>
      <c r="AH3395" s="78">
        <v>3.942625501411162</v>
      </c>
    </row>
    <row r="3396" spans="29:34">
      <c r="AC3396" s="78" t="s">
        <v>54</v>
      </c>
      <c r="AD3396" s="78" t="s">
        <v>20</v>
      </c>
      <c r="AE3396" s="78" t="s">
        <v>72</v>
      </c>
      <c r="AF3396" s="78" t="s">
        <v>51</v>
      </c>
      <c r="AG3396" s="78" t="s">
        <v>314</v>
      </c>
      <c r="AH3396" s="78">
        <v>3.9949531909148654</v>
      </c>
    </row>
    <row r="3397" spans="29:34">
      <c r="AC3397" s="78" t="s">
        <v>54</v>
      </c>
      <c r="AD3397" s="78" t="s">
        <v>20</v>
      </c>
      <c r="AE3397" s="78" t="s">
        <v>72</v>
      </c>
      <c r="AF3397" s="78" t="s">
        <v>51</v>
      </c>
      <c r="AG3397" s="78" t="s">
        <v>317</v>
      </c>
      <c r="AH3397" s="78">
        <v>3.9949531909148654</v>
      </c>
    </row>
    <row r="3398" spans="29:34">
      <c r="AC3398" s="78" t="s">
        <v>54</v>
      </c>
      <c r="AD3398" s="78" t="s">
        <v>20</v>
      </c>
      <c r="AE3398" s="78" t="s">
        <v>72</v>
      </c>
      <c r="AF3398" s="78" t="s">
        <v>51</v>
      </c>
      <c r="AG3398" s="78" t="s">
        <v>344</v>
      </c>
      <c r="AH3398" s="78">
        <v>3.9305838150704977</v>
      </c>
    </row>
    <row r="3399" spans="29:34">
      <c r="AC3399" s="78" t="s">
        <v>54</v>
      </c>
      <c r="AD3399" s="78" t="s">
        <v>20</v>
      </c>
      <c r="AE3399" s="78" t="s">
        <v>72</v>
      </c>
      <c r="AF3399" s="78" t="s">
        <v>51</v>
      </c>
      <c r="AG3399" s="78" t="s">
        <v>342</v>
      </c>
      <c r="AH3399" s="78">
        <v>3.8690493637589043</v>
      </c>
    </row>
    <row r="3400" spans="29:34">
      <c r="AC3400" s="78" t="s">
        <v>54</v>
      </c>
      <c r="AD3400" s="78" t="s">
        <v>20</v>
      </c>
      <c r="AE3400" s="78" t="s">
        <v>72</v>
      </c>
      <c r="AF3400" s="78" t="s">
        <v>51</v>
      </c>
      <c r="AG3400" s="78" t="s">
        <v>345</v>
      </c>
      <c r="AH3400" s="78">
        <v>3.9305838150704977</v>
      </c>
    </row>
    <row r="3401" spans="29:34">
      <c r="AC3401" s="78" t="s">
        <v>54</v>
      </c>
      <c r="AD3401" s="78" t="s">
        <v>20</v>
      </c>
      <c r="AE3401" s="78" t="s">
        <v>72</v>
      </c>
      <c r="AF3401" s="78" t="s">
        <v>51</v>
      </c>
      <c r="AG3401" s="78" t="s">
        <v>346</v>
      </c>
      <c r="AH3401" s="78">
        <v>3.8690493637589043</v>
      </c>
    </row>
    <row r="3402" spans="29:34">
      <c r="AC3402" s="78" t="s">
        <v>54</v>
      </c>
      <c r="AD3402" s="78" t="s">
        <v>20</v>
      </c>
      <c r="AE3402" s="78" t="s">
        <v>72</v>
      </c>
      <c r="AF3402" s="78" t="s">
        <v>51</v>
      </c>
      <c r="AG3402" s="78" t="s">
        <v>343</v>
      </c>
      <c r="AH3402" s="78">
        <v>3.8049519486014862</v>
      </c>
    </row>
    <row r="3403" spans="29:34">
      <c r="AC3403" s="78" t="s">
        <v>54</v>
      </c>
      <c r="AD3403" s="78" t="s">
        <v>20</v>
      </c>
      <c r="AE3403" s="78" t="s">
        <v>72</v>
      </c>
      <c r="AF3403" s="78" t="s">
        <v>51</v>
      </c>
      <c r="AG3403" s="78" t="s">
        <v>341</v>
      </c>
      <c r="AH3403" s="78">
        <v>3.7853178428336713</v>
      </c>
    </row>
    <row r="3404" spans="29:34">
      <c r="AC3404" s="78" t="s">
        <v>54</v>
      </c>
      <c r="AD3404" s="78" t="s">
        <v>20</v>
      </c>
      <c r="AE3404" s="78" t="s">
        <v>72</v>
      </c>
      <c r="AF3404" s="78" t="s">
        <v>51</v>
      </c>
      <c r="AG3404" s="78" t="s">
        <v>347</v>
      </c>
      <c r="AH3404" s="78">
        <v>3.6593112573295756</v>
      </c>
    </row>
    <row r="3405" spans="29:34">
      <c r="AC3405" s="78" t="s">
        <v>54</v>
      </c>
      <c r="AD3405" s="78" t="s">
        <v>20</v>
      </c>
      <c r="AE3405" s="78" t="s">
        <v>72</v>
      </c>
      <c r="AF3405" s="78" t="s">
        <v>51</v>
      </c>
      <c r="AG3405" s="78" t="s">
        <v>348</v>
      </c>
      <c r="AH3405" s="78">
        <v>3.9305838150704977</v>
      </c>
    </row>
    <row r="3406" spans="29:34">
      <c r="AC3406" s="78" t="s">
        <v>54</v>
      </c>
      <c r="AD3406" s="78" t="s">
        <v>20</v>
      </c>
      <c r="AE3406" s="78" t="s">
        <v>72</v>
      </c>
      <c r="AF3406" s="78" t="s">
        <v>51</v>
      </c>
      <c r="AG3406" s="78" t="s">
        <v>349</v>
      </c>
      <c r="AH3406" s="78">
        <v>3.9305838150704977</v>
      </c>
    </row>
    <row r="3407" spans="29:34">
      <c r="AC3407" s="78" t="s">
        <v>54</v>
      </c>
      <c r="AD3407" s="78" t="s">
        <v>20</v>
      </c>
      <c r="AE3407" s="78" t="s">
        <v>72</v>
      </c>
      <c r="AF3407" s="78" t="s">
        <v>51</v>
      </c>
      <c r="AG3407" s="78" t="s">
        <v>350</v>
      </c>
      <c r="AH3407" s="78">
        <v>3.9305838150704977</v>
      </c>
    </row>
    <row r="3408" spans="29:34">
      <c r="AC3408" s="78" t="s">
        <v>54</v>
      </c>
      <c r="AD3408" s="78" t="s">
        <v>20</v>
      </c>
      <c r="AE3408" s="78" t="s">
        <v>72</v>
      </c>
      <c r="AF3408" s="78" t="s">
        <v>51</v>
      </c>
      <c r="AG3408" s="78" t="s">
        <v>351</v>
      </c>
      <c r="AH3408" s="78">
        <v>3.9949531909148654</v>
      </c>
    </row>
    <row r="3409" spans="29:34">
      <c r="AC3409" s="78" t="s">
        <v>54</v>
      </c>
      <c r="AD3409" s="78" t="s">
        <v>20</v>
      </c>
      <c r="AE3409" s="78" t="s">
        <v>72</v>
      </c>
      <c r="AF3409" s="78" t="s">
        <v>51</v>
      </c>
      <c r="AG3409" s="78" t="s">
        <v>352</v>
      </c>
      <c r="AH3409" s="78">
        <v>3.8690493637589043</v>
      </c>
    </row>
    <row r="3410" spans="29:34">
      <c r="AC3410" s="78" t="s">
        <v>54</v>
      </c>
      <c r="AD3410" s="78" t="s">
        <v>20</v>
      </c>
      <c r="AE3410" s="78" t="s">
        <v>72</v>
      </c>
      <c r="AF3410" s="78" t="s">
        <v>51</v>
      </c>
      <c r="AG3410" s="78" t="s">
        <v>353</v>
      </c>
      <c r="AH3410" s="78">
        <v>3.8690493637589043</v>
      </c>
    </row>
    <row r="3411" spans="29:34">
      <c r="AC3411" s="78" t="s">
        <v>54</v>
      </c>
      <c r="AD3411" s="78" t="s">
        <v>20</v>
      </c>
      <c r="AE3411" s="78" t="s">
        <v>72</v>
      </c>
      <c r="AF3411" s="78" t="s">
        <v>51</v>
      </c>
      <c r="AG3411" s="78" t="s">
        <v>354</v>
      </c>
      <c r="AH3411" s="78">
        <v>3.9305838150704977</v>
      </c>
    </row>
    <row r="3412" spans="29:34">
      <c r="AC3412" s="78" t="s">
        <v>54</v>
      </c>
      <c r="AD3412" s="78" t="s">
        <v>20</v>
      </c>
      <c r="AE3412" s="78" t="s">
        <v>72</v>
      </c>
      <c r="AF3412" s="78" t="s">
        <v>51</v>
      </c>
      <c r="AG3412" s="78" t="s">
        <v>355</v>
      </c>
      <c r="AH3412" s="78">
        <v>3.8165678428336713</v>
      </c>
    </row>
    <row r="3413" spans="29:34">
      <c r="AC3413" s="78" t="s">
        <v>54</v>
      </c>
      <c r="AD3413" s="78" t="s">
        <v>20</v>
      </c>
      <c r="AE3413" s="78" t="s">
        <v>72</v>
      </c>
      <c r="AF3413" s="78" t="s">
        <v>51</v>
      </c>
      <c r="AG3413" s="78" t="s">
        <v>356</v>
      </c>
      <c r="AH3413" s="78">
        <v>3.9425781268462465</v>
      </c>
    </row>
    <row r="3414" spans="29:34">
      <c r="AC3414" s="78" t="s">
        <v>54</v>
      </c>
      <c r="AD3414" s="78" t="s">
        <v>20</v>
      </c>
      <c r="AE3414" s="78" t="s">
        <v>72</v>
      </c>
      <c r="AF3414" s="78" t="s">
        <v>51</v>
      </c>
      <c r="AG3414" s="78" t="s">
        <v>357</v>
      </c>
      <c r="AH3414" s="78">
        <v>3.8963500000000004</v>
      </c>
    </row>
    <row r="3415" spans="29:34">
      <c r="AC3415" s="78" t="s">
        <v>54</v>
      </c>
      <c r="AD3415" s="78" t="s">
        <v>20</v>
      </c>
      <c r="AE3415" s="78" t="s">
        <v>72</v>
      </c>
      <c r="AF3415" s="78" t="s">
        <v>51</v>
      </c>
      <c r="AG3415" s="78" t="s">
        <v>358</v>
      </c>
      <c r="AH3415" s="78">
        <v>4.123455121348818</v>
      </c>
    </row>
    <row r="3416" spans="29:34">
      <c r="AC3416" s="78" t="s">
        <v>54</v>
      </c>
      <c r="AD3416" s="78" t="s">
        <v>20</v>
      </c>
      <c r="AE3416" s="78" t="s">
        <v>72</v>
      </c>
      <c r="AF3416" s="78" t="s">
        <v>51</v>
      </c>
      <c r="AG3416" s="78" t="s">
        <v>359</v>
      </c>
      <c r="AH3416" s="78">
        <v>3.9425781268462465</v>
      </c>
    </row>
    <row r="3417" spans="29:34">
      <c r="AC3417" s="78" t="s">
        <v>54</v>
      </c>
      <c r="AD3417" s="78" t="s">
        <v>20</v>
      </c>
      <c r="AE3417" s="78" t="s">
        <v>72</v>
      </c>
      <c r="AF3417" s="78" t="s">
        <v>51</v>
      </c>
      <c r="AG3417" s="78" t="s">
        <v>360</v>
      </c>
      <c r="AH3417" s="78">
        <v>3.9858010152855146</v>
      </c>
    </row>
    <row r="3418" spans="29:34">
      <c r="AC3418" s="78" t="s">
        <v>54</v>
      </c>
      <c r="AD3418" s="78" t="s">
        <v>20</v>
      </c>
      <c r="AE3418" s="78" t="s">
        <v>72</v>
      </c>
      <c r="AF3418" s="78" t="s">
        <v>51</v>
      </c>
      <c r="AG3418" s="78" t="s">
        <v>361</v>
      </c>
      <c r="AH3418" s="78">
        <v>3.9425781268462465</v>
      </c>
    </row>
    <row r="3419" spans="29:34">
      <c r="AC3419" s="78" t="s">
        <v>54</v>
      </c>
      <c r="AD3419" s="78" t="s">
        <v>20</v>
      </c>
      <c r="AE3419" s="78" t="s">
        <v>72</v>
      </c>
      <c r="AF3419" s="78" t="s">
        <v>51</v>
      </c>
      <c r="AG3419" s="78" t="s">
        <v>362</v>
      </c>
      <c r="AH3419" s="78">
        <v>3.9858010152855146</v>
      </c>
    </row>
    <row r="3420" spans="29:34">
      <c r="AC3420" s="78" t="s">
        <v>54</v>
      </c>
      <c r="AD3420" s="78" t="s">
        <v>20</v>
      </c>
      <c r="AE3420" s="78" t="s">
        <v>72</v>
      </c>
      <c r="AF3420" s="78" t="s">
        <v>51</v>
      </c>
      <c r="AG3420" s="78" t="s">
        <v>363</v>
      </c>
      <c r="AH3420" s="78">
        <v>3.9858010152855146</v>
      </c>
    </row>
    <row r="3421" spans="29:34">
      <c r="AC3421" s="78" t="s">
        <v>54</v>
      </c>
      <c r="AD3421" s="78" t="s">
        <v>20</v>
      </c>
      <c r="AE3421" s="78" t="s">
        <v>72</v>
      </c>
      <c r="AF3421" s="78" t="s">
        <v>51</v>
      </c>
      <c r="AG3421" s="78" t="s">
        <v>364</v>
      </c>
      <c r="AH3421" s="78">
        <v>4.0170510152855146</v>
      </c>
    </row>
    <row r="3422" spans="29:34">
      <c r="AC3422" s="78" t="s">
        <v>54</v>
      </c>
      <c r="AD3422" s="78" t="s">
        <v>20</v>
      </c>
      <c r="AE3422" s="78" t="s">
        <v>72</v>
      </c>
      <c r="AF3422" s="78" t="s">
        <v>51</v>
      </c>
      <c r="AG3422" s="78" t="s">
        <v>365</v>
      </c>
      <c r="AH3422" s="78">
        <v>4.0170510152855146</v>
      </c>
    </row>
    <row r="3423" spans="29:34">
      <c r="AC3423" s="78" t="s">
        <v>54</v>
      </c>
      <c r="AD3423" s="78" t="s">
        <v>20</v>
      </c>
      <c r="AE3423" s="78" t="s">
        <v>72</v>
      </c>
      <c r="AF3423" s="78" t="s">
        <v>51</v>
      </c>
      <c r="AG3423" s="78" t="s">
        <v>366</v>
      </c>
      <c r="AH3423" s="78">
        <v>4.0602653666023931</v>
      </c>
    </row>
    <row r="3424" spans="29:34">
      <c r="AC3424" s="78" t="s">
        <v>54</v>
      </c>
      <c r="AD3424" s="78" t="s">
        <v>20</v>
      </c>
      <c r="AE3424" s="78" t="s">
        <v>72</v>
      </c>
      <c r="AF3424" s="78" t="s">
        <v>51</v>
      </c>
      <c r="AG3424" s="78" t="s">
        <v>367</v>
      </c>
      <c r="AH3424" s="78">
        <v>4.0602653666023931</v>
      </c>
    </row>
    <row r="3425" spans="29:34">
      <c r="AC3425" s="78" t="s">
        <v>54</v>
      </c>
      <c r="AD3425" s="78" t="s">
        <v>20</v>
      </c>
      <c r="AE3425" s="78" t="s">
        <v>72</v>
      </c>
      <c r="AF3425" s="78" t="s">
        <v>51</v>
      </c>
      <c r="AG3425" s="78" t="s">
        <v>368</v>
      </c>
      <c r="AH3425" s="78">
        <v>4.0170510152855146</v>
      </c>
    </row>
    <row r="3426" spans="29:34">
      <c r="AC3426" s="78" t="s">
        <v>54</v>
      </c>
      <c r="AD3426" s="78" t="s">
        <v>20</v>
      </c>
      <c r="AE3426" s="78" t="s">
        <v>72</v>
      </c>
      <c r="AF3426" s="78" t="s">
        <v>51</v>
      </c>
      <c r="AG3426" s="78" t="s">
        <v>369</v>
      </c>
      <c r="AH3426" s="78">
        <v>4.1118544973420335</v>
      </c>
    </row>
    <row r="3427" spans="29:34">
      <c r="AC3427" s="78" t="s">
        <v>54</v>
      </c>
      <c r="AD3427" s="78" t="s">
        <v>20</v>
      </c>
      <c r="AE3427" s="78" t="s">
        <v>72</v>
      </c>
      <c r="AF3427" s="78" t="s">
        <v>51</v>
      </c>
      <c r="AG3427" s="78" t="s">
        <v>370</v>
      </c>
      <c r="AH3427" s="78">
        <v>3.9858010152855146</v>
      </c>
    </row>
    <row r="3428" spans="29:34">
      <c r="AC3428" s="78" t="s">
        <v>54</v>
      </c>
      <c r="AD3428" s="78" t="s">
        <v>20</v>
      </c>
      <c r="AE3428" s="78" t="s">
        <v>72</v>
      </c>
      <c r="AF3428" s="78" t="s">
        <v>51</v>
      </c>
      <c r="AG3428" s="78" t="s">
        <v>371</v>
      </c>
      <c r="AH3428" s="78">
        <v>3.9425781268462465</v>
      </c>
    </row>
    <row r="3429" spans="29:34">
      <c r="AC3429" s="78" t="s">
        <v>54</v>
      </c>
      <c r="AD3429" s="78" t="s">
        <v>20</v>
      </c>
      <c r="AE3429" s="78" t="s">
        <v>72</v>
      </c>
      <c r="AF3429" s="78" t="s">
        <v>51</v>
      </c>
      <c r="AG3429" s="78" t="s">
        <v>372</v>
      </c>
      <c r="AH3429" s="78">
        <v>3.9858010152855146</v>
      </c>
    </row>
    <row r="3430" spans="29:34">
      <c r="AC3430" s="78" t="s">
        <v>54</v>
      </c>
      <c r="AD3430" s="78" t="s">
        <v>20</v>
      </c>
      <c r="AE3430" s="78" t="s">
        <v>72</v>
      </c>
      <c r="AF3430" s="78" t="s">
        <v>51</v>
      </c>
      <c r="AG3430" s="78" t="s">
        <v>373</v>
      </c>
      <c r="AH3430" s="78">
        <v>3.9858010152855146</v>
      </c>
    </row>
    <row r="3431" spans="29:34">
      <c r="AC3431" s="78" t="s">
        <v>54</v>
      </c>
      <c r="AD3431" s="78" t="s">
        <v>20</v>
      </c>
      <c r="AE3431" s="78" t="s">
        <v>72</v>
      </c>
      <c r="AF3431" s="78" t="s">
        <v>51</v>
      </c>
      <c r="AG3431" s="78" t="s">
        <v>374</v>
      </c>
      <c r="AH3431" s="78">
        <v>4.0602653666023931</v>
      </c>
    </row>
    <row r="3432" spans="29:34">
      <c r="AC3432" s="78" t="s">
        <v>54</v>
      </c>
      <c r="AD3432" s="78" t="s">
        <v>20</v>
      </c>
      <c r="AE3432" s="78" t="s">
        <v>72</v>
      </c>
      <c r="AF3432" s="78" t="s">
        <v>51</v>
      </c>
      <c r="AG3432" s="78" t="s">
        <v>375</v>
      </c>
      <c r="AH3432" s="78">
        <v>4.0602653666023931</v>
      </c>
    </row>
    <row r="3433" spans="29:34">
      <c r="AC3433" s="78" t="s">
        <v>54</v>
      </c>
      <c r="AD3433" s="78" t="s">
        <v>20</v>
      </c>
      <c r="AE3433" s="78" t="s">
        <v>72</v>
      </c>
      <c r="AF3433" s="78" t="s">
        <v>51</v>
      </c>
      <c r="AG3433" s="78" t="s">
        <v>376</v>
      </c>
      <c r="AH3433" s="78">
        <v>3.9425781268462465</v>
      </c>
    </row>
    <row r="3434" spans="29:34">
      <c r="AC3434" s="78" t="s">
        <v>54</v>
      </c>
      <c r="AD3434" s="78" t="s">
        <v>20</v>
      </c>
      <c r="AE3434" s="78" t="s">
        <v>72</v>
      </c>
      <c r="AF3434" s="78" t="s">
        <v>51</v>
      </c>
      <c r="AG3434" s="78" t="s">
        <v>377</v>
      </c>
      <c r="AH3434" s="78">
        <v>3.9425781268462465</v>
      </c>
    </row>
    <row r="3435" spans="29:34">
      <c r="AC3435" s="78" t="s">
        <v>54</v>
      </c>
      <c r="AD3435" s="78" t="s">
        <v>20</v>
      </c>
      <c r="AE3435" s="78" t="s">
        <v>72</v>
      </c>
      <c r="AF3435" s="78" t="s">
        <v>51</v>
      </c>
      <c r="AG3435" s="78" t="s">
        <v>378</v>
      </c>
      <c r="AH3435" s="78">
        <v>3.9425781268462465</v>
      </c>
    </row>
    <row r="3436" spans="29:34">
      <c r="AC3436" s="78" t="s">
        <v>54</v>
      </c>
      <c r="AD3436" s="78" t="s">
        <v>20</v>
      </c>
      <c r="AE3436" s="78" t="s">
        <v>72</v>
      </c>
      <c r="AF3436" s="78" t="s">
        <v>51</v>
      </c>
      <c r="AG3436" s="78" t="s">
        <v>379</v>
      </c>
      <c r="AH3436" s="78">
        <v>3.8082367176633478</v>
      </c>
    </row>
    <row r="3437" spans="29:34">
      <c r="AC3437" s="78" t="s">
        <v>54</v>
      </c>
      <c r="AD3437" s="78" t="s">
        <v>20</v>
      </c>
      <c r="AE3437" s="78" t="s">
        <v>72</v>
      </c>
      <c r="AF3437" s="78" t="s">
        <v>51</v>
      </c>
      <c r="AG3437" s="78" t="s">
        <v>380</v>
      </c>
      <c r="AH3437" s="78">
        <v>3.8082367176633478</v>
      </c>
    </row>
    <row r="3438" spans="29:34">
      <c r="AC3438" s="78" t="s">
        <v>54</v>
      </c>
      <c r="AD3438" s="78" t="s">
        <v>20</v>
      </c>
      <c r="AE3438" s="78" t="s">
        <v>72</v>
      </c>
      <c r="AF3438" s="78" t="s">
        <v>51</v>
      </c>
      <c r="AG3438" s="78" t="s">
        <v>381</v>
      </c>
      <c r="AH3438" s="78">
        <v>3.7648467858228432</v>
      </c>
    </row>
    <row r="3439" spans="29:34">
      <c r="AC3439" s="78" t="s">
        <v>54</v>
      </c>
      <c r="AD3439" s="78" t="s">
        <v>20</v>
      </c>
      <c r="AE3439" s="78" t="s">
        <v>72</v>
      </c>
      <c r="AF3439" s="78" t="s">
        <v>51</v>
      </c>
      <c r="AG3439" s="78" t="s">
        <v>382</v>
      </c>
      <c r="AH3439" s="78">
        <v>3.8082367176633478</v>
      </c>
    </row>
    <row r="3440" spans="29:34">
      <c r="AC3440" s="78" t="s">
        <v>54</v>
      </c>
      <c r="AD3440" s="78" t="s">
        <v>20</v>
      </c>
      <c r="AE3440" s="78" t="s">
        <v>72</v>
      </c>
      <c r="AF3440" s="78" t="s">
        <v>51</v>
      </c>
      <c r="AG3440" s="78" t="s">
        <v>383</v>
      </c>
      <c r="AH3440" s="78">
        <v>3.8082367176633478</v>
      </c>
    </row>
    <row r="3441" spans="29:34">
      <c r="AC3441" s="78" t="s">
        <v>54</v>
      </c>
      <c r="AD3441" s="78" t="s">
        <v>20</v>
      </c>
      <c r="AE3441" s="78" t="s">
        <v>72</v>
      </c>
      <c r="AF3441" s="78" t="s">
        <v>51</v>
      </c>
      <c r="AG3441" s="78" t="s">
        <v>384</v>
      </c>
      <c r="AH3441" s="78">
        <v>3.8082367176633478</v>
      </c>
    </row>
    <row r="3442" spans="29:34">
      <c r="AC3442" s="78" t="s">
        <v>54</v>
      </c>
      <c r="AD3442" s="78" t="s">
        <v>20</v>
      </c>
      <c r="AE3442" s="78" t="s">
        <v>72</v>
      </c>
      <c r="AF3442" s="78" t="s">
        <v>51</v>
      </c>
      <c r="AG3442" s="78" t="s">
        <v>385</v>
      </c>
      <c r="AH3442" s="78">
        <v>3.4754249293697019</v>
      </c>
    </row>
    <row r="3443" spans="29:34">
      <c r="AC3443" s="78" t="s">
        <v>54</v>
      </c>
      <c r="AD3443" s="78" t="s">
        <v>20</v>
      </c>
      <c r="AE3443" s="78" t="s">
        <v>72</v>
      </c>
      <c r="AF3443" s="78" t="s">
        <v>51</v>
      </c>
      <c r="AG3443" s="78" t="s">
        <v>386</v>
      </c>
      <c r="AH3443" s="78">
        <v>3.3877807246785614</v>
      </c>
    </row>
    <row r="3444" spans="29:34">
      <c r="AC3444" s="78" t="s">
        <v>54</v>
      </c>
      <c r="AD3444" s="78" t="s">
        <v>20</v>
      </c>
      <c r="AE3444" s="78" t="s">
        <v>72</v>
      </c>
      <c r="AF3444" s="78" t="s">
        <v>51</v>
      </c>
      <c r="AG3444" s="78" t="s">
        <v>387</v>
      </c>
      <c r="AH3444" s="78">
        <v>3.3877807246785614</v>
      </c>
    </row>
    <row r="3445" spans="29:34">
      <c r="AC3445" s="78" t="s">
        <v>54</v>
      </c>
      <c r="AD3445" s="78" t="s">
        <v>20</v>
      </c>
      <c r="AE3445" s="78" t="s">
        <v>72</v>
      </c>
      <c r="AF3445" s="78" t="s">
        <v>51</v>
      </c>
      <c r="AG3445" s="78" t="s">
        <v>388</v>
      </c>
      <c r="AH3445" s="78">
        <v>3.5628830358561152</v>
      </c>
    </row>
    <row r="3446" spans="29:34">
      <c r="AC3446" s="78" t="s">
        <v>54</v>
      </c>
      <c r="AD3446" s="78" t="s">
        <v>20</v>
      </c>
      <c r="AE3446" s="78" t="s">
        <v>72</v>
      </c>
      <c r="AF3446" s="78" t="s">
        <v>51</v>
      </c>
      <c r="AG3446" s="78" t="s">
        <v>389</v>
      </c>
      <c r="AH3446" s="78">
        <v>3.4754249293697019</v>
      </c>
    </row>
    <row r="3447" spans="29:34">
      <c r="AC3447" s="78" t="s">
        <v>54</v>
      </c>
      <c r="AD3447" s="78" t="s">
        <v>20</v>
      </c>
      <c r="AE3447" s="78" t="s">
        <v>72</v>
      </c>
      <c r="AF3447" s="78" t="s">
        <v>51</v>
      </c>
      <c r="AG3447" s="78" t="s">
        <v>418</v>
      </c>
      <c r="AH3447" s="78">
        <v>3.4754249293697019</v>
      </c>
    </row>
    <row r="3448" spans="29:34">
      <c r="AC3448" s="78" t="s">
        <v>54</v>
      </c>
      <c r="AD3448" s="78" t="s">
        <v>20</v>
      </c>
      <c r="AE3448" s="78" t="s">
        <v>72</v>
      </c>
      <c r="AF3448" s="78" t="s">
        <v>51</v>
      </c>
      <c r="AG3448" s="78" t="s">
        <v>390</v>
      </c>
      <c r="AH3448" s="78">
        <v>3.3877807246785614</v>
      </c>
    </row>
    <row r="3449" spans="29:34">
      <c r="AC3449" s="78" t="s">
        <v>54</v>
      </c>
      <c r="AD3449" s="78" t="s">
        <v>20</v>
      </c>
      <c r="AE3449" s="78" t="s">
        <v>72</v>
      </c>
      <c r="AF3449" s="78" t="s">
        <v>51</v>
      </c>
      <c r="AG3449" s="78" t="s">
        <v>419</v>
      </c>
      <c r="AH3449" s="78">
        <v>3.4754249293697019</v>
      </c>
    </row>
    <row r="3450" spans="29:34">
      <c r="AC3450" s="78" t="s">
        <v>54</v>
      </c>
      <c r="AD3450" s="78" t="s">
        <v>20</v>
      </c>
      <c r="AE3450" s="78" t="s">
        <v>72</v>
      </c>
      <c r="AF3450" s="78" t="s">
        <v>51</v>
      </c>
      <c r="AG3450" s="78" t="s">
        <v>391</v>
      </c>
      <c r="AH3450" s="78">
        <v>3.5628830358561152</v>
      </c>
    </row>
    <row r="3451" spans="29:34">
      <c r="AC3451" s="78" t="s">
        <v>54</v>
      </c>
      <c r="AD3451" s="78" t="s">
        <v>20</v>
      </c>
      <c r="AE3451" s="78" t="s">
        <v>72</v>
      </c>
      <c r="AF3451" s="78" t="s">
        <v>51</v>
      </c>
      <c r="AG3451" s="78" t="s">
        <v>392</v>
      </c>
      <c r="AH3451" s="78">
        <v>3.5125963302820438</v>
      </c>
    </row>
    <row r="3452" spans="29:34">
      <c r="AC3452" s="78" t="s">
        <v>54</v>
      </c>
      <c r="AD3452" s="78" t="s">
        <v>20</v>
      </c>
      <c r="AE3452" s="78" t="s">
        <v>72</v>
      </c>
      <c r="AF3452" s="78" t="s">
        <v>51</v>
      </c>
      <c r="AG3452" s="78" t="s">
        <v>393</v>
      </c>
      <c r="AH3452" s="78">
        <v>3.6434516592792754</v>
      </c>
    </row>
    <row r="3453" spans="29:34">
      <c r="AC3453" s="78" t="s">
        <v>54</v>
      </c>
      <c r="AD3453" s="78" t="s">
        <v>20</v>
      </c>
      <c r="AE3453" s="78" t="s">
        <v>72</v>
      </c>
      <c r="AF3453" s="78" t="s">
        <v>51</v>
      </c>
      <c r="AG3453" s="78" t="s">
        <v>394</v>
      </c>
      <c r="AH3453" s="78">
        <v>3.6434516592792754</v>
      </c>
    </row>
    <row r="3454" spans="29:34">
      <c r="AC3454" s="78" t="s">
        <v>54</v>
      </c>
      <c r="AD3454" s="78" t="s">
        <v>20</v>
      </c>
      <c r="AE3454" s="78" t="s">
        <v>72</v>
      </c>
      <c r="AF3454" s="78" t="s">
        <v>51</v>
      </c>
      <c r="AG3454" s="78" t="s">
        <v>395</v>
      </c>
      <c r="AH3454" s="78">
        <v>3.6434516592792754</v>
      </c>
    </row>
    <row r="3455" spans="29:34">
      <c r="AC3455" s="78" t="s">
        <v>54</v>
      </c>
      <c r="AD3455" s="78" t="s">
        <v>20</v>
      </c>
      <c r="AE3455" s="78" t="s">
        <v>72</v>
      </c>
      <c r="AF3455" s="78" t="s">
        <v>51</v>
      </c>
      <c r="AG3455" s="78" t="s">
        <v>396</v>
      </c>
      <c r="AH3455" s="78">
        <v>3.6434516592792754</v>
      </c>
    </row>
    <row r="3456" spans="29:34">
      <c r="AC3456" s="78" t="s">
        <v>54</v>
      </c>
      <c r="AD3456" s="78" t="s">
        <v>20</v>
      </c>
      <c r="AE3456" s="78" t="s">
        <v>72</v>
      </c>
      <c r="AF3456" s="78" t="s">
        <v>51</v>
      </c>
      <c r="AG3456" s="78" t="s">
        <v>397</v>
      </c>
      <c r="AH3456" s="78">
        <v>3.6130728647056762</v>
      </c>
    </row>
    <row r="3457" spans="29:34">
      <c r="AC3457" s="78" t="s">
        <v>54</v>
      </c>
      <c r="AD3457" s="78" t="s">
        <v>20</v>
      </c>
      <c r="AE3457" s="78" t="s">
        <v>72</v>
      </c>
      <c r="AF3457" s="78" t="s">
        <v>51</v>
      </c>
      <c r="AG3457" s="78" t="s">
        <v>398</v>
      </c>
      <c r="AH3457" s="78">
        <v>3.7988552900588051</v>
      </c>
    </row>
    <row r="3458" spans="29:34">
      <c r="AC3458" s="78" t="s">
        <v>54</v>
      </c>
      <c r="AD3458" s="78" t="s">
        <v>20</v>
      </c>
      <c r="AE3458" s="78" t="s">
        <v>72</v>
      </c>
      <c r="AF3458" s="78" t="s">
        <v>51</v>
      </c>
      <c r="AG3458" s="78" t="s">
        <v>399</v>
      </c>
      <c r="AH3458" s="78">
        <v>3.7687673669142931</v>
      </c>
    </row>
    <row r="3459" spans="29:34">
      <c r="AC3459" s="78" t="s">
        <v>54</v>
      </c>
      <c r="AD3459" s="78" t="s">
        <v>20</v>
      </c>
      <c r="AE3459" s="78" t="s">
        <v>72</v>
      </c>
      <c r="AF3459" s="78" t="s">
        <v>51</v>
      </c>
      <c r="AG3459" s="78" t="s">
        <v>400</v>
      </c>
      <c r="AH3459" s="78">
        <v>2.2016968532609473</v>
      </c>
    </row>
    <row r="3460" spans="29:34">
      <c r="AC3460" s="78" t="s">
        <v>54</v>
      </c>
      <c r="AD3460" s="78" t="s">
        <v>20</v>
      </c>
      <c r="AE3460" s="78" t="s">
        <v>72</v>
      </c>
      <c r="AF3460" s="78" t="s">
        <v>51</v>
      </c>
      <c r="AG3460" s="78" t="s">
        <v>401</v>
      </c>
      <c r="AH3460" s="78">
        <v>3.7687673669142931</v>
      </c>
    </row>
    <row r="3461" spans="29:34">
      <c r="AC3461" s="78" t="s">
        <v>54</v>
      </c>
      <c r="AD3461" s="78" t="s">
        <v>20</v>
      </c>
      <c r="AE3461" s="78" t="s">
        <v>72</v>
      </c>
      <c r="AF3461" s="78" t="s">
        <v>51</v>
      </c>
      <c r="AG3461" s="78" t="s">
        <v>402</v>
      </c>
      <c r="AH3461" s="78">
        <v>3.7687673669142931</v>
      </c>
    </row>
    <row r="3462" spans="29:34">
      <c r="AC3462" s="78" t="s">
        <v>54</v>
      </c>
      <c r="AD3462" s="78" t="s">
        <v>20</v>
      </c>
      <c r="AE3462" s="78" t="s">
        <v>72</v>
      </c>
      <c r="AF3462" s="78" t="s">
        <v>51</v>
      </c>
      <c r="AG3462" s="78" t="s">
        <v>403</v>
      </c>
      <c r="AH3462" s="78">
        <v>3.7687673669142931</v>
      </c>
    </row>
    <row r="3463" spans="29:34">
      <c r="AC3463" s="78" t="s">
        <v>54</v>
      </c>
      <c r="AD3463" s="78" t="s">
        <v>20</v>
      </c>
      <c r="AE3463" s="78" t="s">
        <v>72</v>
      </c>
      <c r="AF3463" s="78" t="s">
        <v>51</v>
      </c>
      <c r="AG3463" s="78" t="s">
        <v>404</v>
      </c>
      <c r="AH3463" s="78">
        <v>3.7687673669142931</v>
      </c>
    </row>
    <row r="3464" spans="29:34">
      <c r="AC3464" s="78" t="s">
        <v>54</v>
      </c>
      <c r="AD3464" s="78" t="s">
        <v>20</v>
      </c>
      <c r="AE3464" s="78" t="s">
        <v>72</v>
      </c>
      <c r="AF3464" s="78" t="s">
        <v>51</v>
      </c>
      <c r="AG3464" s="78" t="s">
        <v>405</v>
      </c>
      <c r="AH3464" s="78">
        <v>3.7687673669142931</v>
      </c>
    </row>
    <row r="3465" spans="29:34">
      <c r="AC3465" s="78" t="s">
        <v>54</v>
      </c>
      <c r="AD3465" s="78" t="s">
        <v>20</v>
      </c>
      <c r="AE3465" s="78" t="s">
        <v>72</v>
      </c>
      <c r="AF3465" s="78" t="s">
        <v>51</v>
      </c>
      <c r="AG3465" s="78" t="s">
        <v>406</v>
      </c>
      <c r="AH3465" s="78">
        <v>3.7988552900588051</v>
      </c>
    </row>
    <row r="3466" spans="29:34">
      <c r="AC3466" s="78" t="s">
        <v>54</v>
      </c>
      <c r="AD3466" s="78" t="s">
        <v>20</v>
      </c>
      <c r="AE3466" s="78" t="s">
        <v>72</v>
      </c>
      <c r="AF3466" s="78" t="s">
        <v>51</v>
      </c>
      <c r="AG3466" s="78" t="s">
        <v>407</v>
      </c>
      <c r="AH3466" s="78">
        <v>3.7988552900588051</v>
      </c>
    </row>
    <row r="3467" spans="29:34">
      <c r="AC3467" s="78" t="s">
        <v>54</v>
      </c>
      <c r="AD3467" s="78" t="s">
        <v>20</v>
      </c>
      <c r="AE3467" s="78" t="s">
        <v>72</v>
      </c>
      <c r="AF3467" s="78" t="s">
        <v>51</v>
      </c>
      <c r="AG3467" s="78" t="s">
        <v>408</v>
      </c>
      <c r="AH3467" s="78">
        <v>3.7988552900588051</v>
      </c>
    </row>
    <row r="3468" spans="29:34">
      <c r="AC3468" s="78" t="s">
        <v>54</v>
      </c>
      <c r="AD3468" s="78" t="s">
        <v>20</v>
      </c>
      <c r="AE3468" s="78" t="s">
        <v>72</v>
      </c>
      <c r="AF3468" s="78" t="s">
        <v>51</v>
      </c>
      <c r="AG3468" s="78" t="s">
        <v>409</v>
      </c>
      <c r="AH3468" s="78">
        <v>3.6130728647056762</v>
      </c>
    </row>
    <row r="3469" spans="29:34">
      <c r="AC3469" s="78" t="s">
        <v>54</v>
      </c>
      <c r="AD3469" s="78" t="s">
        <v>20</v>
      </c>
      <c r="AE3469" s="78" t="s">
        <v>72</v>
      </c>
      <c r="AF3469" s="78" t="s">
        <v>51</v>
      </c>
      <c r="AG3469" s="78" t="s">
        <v>410</v>
      </c>
      <c r="AH3469" s="78">
        <v>3.6737751526478477</v>
      </c>
    </row>
    <row r="3470" spans="29:34">
      <c r="AC3470" s="78" t="s">
        <v>54</v>
      </c>
      <c r="AD3470" s="78" t="s">
        <v>20</v>
      </c>
      <c r="AE3470" s="78" t="s">
        <v>72</v>
      </c>
      <c r="AF3470" s="78" t="s">
        <v>51</v>
      </c>
      <c r="AG3470" s="78" t="s">
        <v>411</v>
      </c>
      <c r="AH3470" s="78">
        <v>3.6737751526478477</v>
      </c>
    </row>
    <row r="3471" spans="29:34">
      <c r="AC3471" s="78" t="s">
        <v>54</v>
      </c>
      <c r="AD3471" s="78" t="s">
        <v>20</v>
      </c>
      <c r="AE3471" s="78" t="s">
        <v>72</v>
      </c>
      <c r="AF3471" s="78" t="s">
        <v>51</v>
      </c>
      <c r="AG3471" s="78" t="s">
        <v>412</v>
      </c>
      <c r="AH3471" s="78">
        <v>3.6737751526478477</v>
      </c>
    </row>
    <row r="3472" spans="29:34">
      <c r="AC3472" s="78" t="s">
        <v>54</v>
      </c>
      <c r="AD3472" s="78" t="s">
        <v>20</v>
      </c>
      <c r="AE3472" s="78" t="s">
        <v>72</v>
      </c>
      <c r="AF3472" s="78" t="s">
        <v>51</v>
      </c>
      <c r="AG3472" s="78" t="s">
        <v>413</v>
      </c>
      <c r="AH3472" s="78">
        <v>3.4873588109718239</v>
      </c>
    </row>
    <row r="3473" spans="29:34">
      <c r="AC3473" s="78" t="s">
        <v>54</v>
      </c>
      <c r="AD3473" s="78" t="s">
        <v>20</v>
      </c>
      <c r="AE3473" s="78" t="s">
        <v>72</v>
      </c>
      <c r="AF3473" s="78" t="s">
        <v>51</v>
      </c>
      <c r="AG3473" s="78" t="s">
        <v>414</v>
      </c>
      <c r="AH3473" s="78">
        <v>1.8395618066240147</v>
      </c>
    </row>
    <row r="3474" spans="29:34">
      <c r="AC3474" s="78" t="s">
        <v>54</v>
      </c>
      <c r="AD3474" s="78" t="s">
        <v>20</v>
      </c>
      <c r="AE3474" s="78" t="s">
        <v>72</v>
      </c>
      <c r="AF3474" s="78" t="s">
        <v>51</v>
      </c>
      <c r="AG3474" s="78" t="s">
        <v>415</v>
      </c>
      <c r="AH3474" s="78">
        <v>1.8328281869824845</v>
      </c>
    </row>
    <row r="3475" spans="29:34">
      <c r="AC3475" s="78" t="s">
        <v>54</v>
      </c>
      <c r="AD3475" s="78" t="s">
        <v>20</v>
      </c>
      <c r="AE3475" s="78" t="s">
        <v>72</v>
      </c>
      <c r="AF3475" s="78" t="s">
        <v>51</v>
      </c>
      <c r="AG3475" s="78" t="s">
        <v>429</v>
      </c>
      <c r="AH3475" s="78">
        <v>3.9173718975168601</v>
      </c>
    </row>
    <row r="3476" spans="29:34">
      <c r="AC3476" s="78" t="s">
        <v>54</v>
      </c>
      <c r="AD3476" s="78" t="s">
        <v>20</v>
      </c>
      <c r="AE3476" s="78" t="s">
        <v>72</v>
      </c>
      <c r="AF3476" s="78" t="s">
        <v>51</v>
      </c>
      <c r="AG3476" s="78" t="s">
        <v>430</v>
      </c>
      <c r="AH3476" s="78">
        <v>3.7639004570446133</v>
      </c>
    </row>
    <row r="3477" spans="29:34">
      <c r="AC3477" s="78" t="s">
        <v>54</v>
      </c>
      <c r="AD3477" s="78" t="s">
        <v>20</v>
      </c>
      <c r="AE3477" s="78" t="s">
        <v>72</v>
      </c>
      <c r="AF3477" s="78" t="s">
        <v>51</v>
      </c>
      <c r="AG3477" s="78" t="s">
        <v>431</v>
      </c>
      <c r="AH3477" s="78">
        <v>3.9173718975168601</v>
      </c>
    </row>
    <row r="3478" spans="29:34">
      <c r="AC3478" s="78" t="s">
        <v>54</v>
      </c>
      <c r="AD3478" s="78" t="s">
        <v>20</v>
      </c>
      <c r="AE3478" s="78" t="s">
        <v>72</v>
      </c>
      <c r="AF3478" s="78" t="s">
        <v>51</v>
      </c>
      <c r="AG3478" s="78" t="s">
        <v>432</v>
      </c>
      <c r="AH3478" s="78">
        <v>3.7307147733657362</v>
      </c>
    </row>
    <row r="3479" spans="29:34">
      <c r="AC3479" s="78" t="s">
        <v>54</v>
      </c>
      <c r="AD3479" s="78" t="s">
        <v>20</v>
      </c>
      <c r="AE3479" s="78" t="s">
        <v>72</v>
      </c>
      <c r="AF3479" s="78" t="s">
        <v>51</v>
      </c>
      <c r="AG3479" s="78" t="s">
        <v>433</v>
      </c>
      <c r="AH3479" s="78">
        <v>4.0109097302933545</v>
      </c>
    </row>
    <row r="3480" spans="29:34">
      <c r="AC3480" s="78" t="s">
        <v>54</v>
      </c>
      <c r="AD3480" s="78" t="s">
        <v>20</v>
      </c>
      <c r="AE3480" s="78" t="s">
        <v>72</v>
      </c>
      <c r="AF3480" s="78" t="s">
        <v>51</v>
      </c>
      <c r="AG3480" s="78" t="s">
        <v>434</v>
      </c>
      <c r="AH3480" s="78">
        <v>3.7988552900588051</v>
      </c>
    </row>
    <row r="3481" spans="29:34">
      <c r="AC3481" s="78" t="s">
        <v>54</v>
      </c>
      <c r="AD3481" s="78" t="s">
        <v>20</v>
      </c>
      <c r="AE3481" s="78" t="s">
        <v>72</v>
      </c>
      <c r="AF3481" s="78" t="s">
        <v>51</v>
      </c>
      <c r="AG3481" s="78" t="s">
        <v>435</v>
      </c>
      <c r="AH3481" s="78">
        <v>3.7687673669142931</v>
      </c>
    </row>
    <row r="3482" spans="29:34">
      <c r="AC3482" s="78" t="s">
        <v>54</v>
      </c>
      <c r="AD3482" s="78" t="s">
        <v>20</v>
      </c>
      <c r="AE3482" s="78" t="s">
        <v>72</v>
      </c>
      <c r="AF3482" s="78" t="s">
        <v>51</v>
      </c>
      <c r="AG3482" s="78" t="s">
        <v>436</v>
      </c>
      <c r="AH3482" s="78">
        <v>3.7687673669142931</v>
      </c>
    </row>
    <row r="3483" spans="29:34">
      <c r="AC3483" s="78" t="s">
        <v>54</v>
      </c>
      <c r="AD3483" s="78" t="s">
        <v>20</v>
      </c>
      <c r="AE3483" s="78" t="s">
        <v>72</v>
      </c>
      <c r="AF3483" s="78" t="s">
        <v>51</v>
      </c>
      <c r="AG3483" s="78" t="s">
        <v>437</v>
      </c>
      <c r="AH3483" s="78">
        <v>3.7687673669142931</v>
      </c>
    </row>
    <row r="3484" spans="29:34">
      <c r="AC3484" s="78" t="s">
        <v>54</v>
      </c>
      <c r="AD3484" s="78" t="s">
        <v>20</v>
      </c>
      <c r="AE3484" s="78" t="s">
        <v>72</v>
      </c>
      <c r="AF3484" s="78" t="s">
        <v>51</v>
      </c>
      <c r="AG3484" s="78" t="s">
        <v>438</v>
      </c>
      <c r="AH3484" s="78">
        <v>2.2016968532609473</v>
      </c>
    </row>
    <row r="3485" spans="29:34">
      <c r="AC3485" s="78" t="s">
        <v>54</v>
      </c>
      <c r="AD3485" s="78" t="s">
        <v>20</v>
      </c>
      <c r="AE3485" s="78" t="s">
        <v>72</v>
      </c>
      <c r="AF3485" s="78" t="s">
        <v>51</v>
      </c>
      <c r="AG3485" s="78" t="s">
        <v>439</v>
      </c>
      <c r="AH3485" s="78">
        <v>2.1917949840193898</v>
      </c>
    </row>
    <row r="3486" spans="29:34">
      <c r="AC3486" s="78" t="s">
        <v>54</v>
      </c>
      <c r="AD3486" s="78" t="s">
        <v>20</v>
      </c>
      <c r="AE3486" s="78" t="s">
        <v>72</v>
      </c>
      <c r="AF3486" s="78" t="s">
        <v>51</v>
      </c>
      <c r="AG3486" s="78" t="s">
        <v>440</v>
      </c>
      <c r="AH3486" s="78">
        <v>3.9237325198330946</v>
      </c>
    </row>
    <row r="3487" spans="29:34">
      <c r="AC3487" s="78" t="s">
        <v>54</v>
      </c>
      <c r="AD3487" s="78" t="s">
        <v>20</v>
      </c>
      <c r="AE3487" s="78" t="s">
        <v>72</v>
      </c>
      <c r="AF3487" s="78" t="s">
        <v>51</v>
      </c>
      <c r="AG3487" s="78" t="s">
        <v>441</v>
      </c>
      <c r="AH3487" s="78">
        <v>3.7386244965083546</v>
      </c>
    </row>
    <row r="3488" spans="29:34">
      <c r="AC3488" s="78" t="s">
        <v>54</v>
      </c>
      <c r="AD3488" s="78" t="s">
        <v>20</v>
      </c>
      <c r="AE3488" s="78" t="s">
        <v>72</v>
      </c>
      <c r="AF3488" s="78" t="s">
        <v>51</v>
      </c>
      <c r="AG3488" s="78" t="s">
        <v>442</v>
      </c>
      <c r="AH3488" s="78">
        <v>3.893881389244005</v>
      </c>
    </row>
    <row r="3489" spans="29:34">
      <c r="AC3489" s="78" t="s">
        <v>54</v>
      </c>
      <c r="AD3489" s="78" t="s">
        <v>20</v>
      </c>
      <c r="AE3489" s="78" t="s">
        <v>72</v>
      </c>
      <c r="AF3489" s="78" t="s">
        <v>51</v>
      </c>
      <c r="AG3489" s="78" t="s">
        <v>443</v>
      </c>
      <c r="AH3489" s="78">
        <v>3.9237325198330946</v>
      </c>
    </row>
    <row r="3490" spans="29:34">
      <c r="AC3490" s="78" t="s">
        <v>54</v>
      </c>
      <c r="AD3490" s="78" t="s">
        <v>20</v>
      </c>
      <c r="AE3490" s="78" t="s">
        <v>72</v>
      </c>
      <c r="AF3490" s="78" t="s">
        <v>51</v>
      </c>
      <c r="AG3490" s="78" t="s">
        <v>444</v>
      </c>
      <c r="AH3490" s="78">
        <v>3.7386244965083546</v>
      </c>
    </row>
    <row r="3491" spans="29:34">
      <c r="AC3491" s="78" t="s">
        <v>54</v>
      </c>
      <c r="AD3491" s="78" t="s">
        <v>20</v>
      </c>
      <c r="AE3491" s="78" t="s">
        <v>72</v>
      </c>
      <c r="AF3491" s="78" t="s">
        <v>51</v>
      </c>
      <c r="AG3491" s="78" t="s">
        <v>445</v>
      </c>
      <c r="AH3491" s="78">
        <v>3.7687673669142931</v>
      </c>
    </row>
    <row r="3492" spans="29:34">
      <c r="AC3492" s="78" t="s">
        <v>54</v>
      </c>
      <c r="AD3492" s="78" t="s">
        <v>20</v>
      </c>
      <c r="AE3492" s="78" t="s">
        <v>72</v>
      </c>
      <c r="AF3492" s="78" t="s">
        <v>51</v>
      </c>
      <c r="AG3492" s="78" t="s">
        <v>446</v>
      </c>
      <c r="AH3492" s="78">
        <v>3.7687673669142931</v>
      </c>
    </row>
    <row r="3493" spans="29:34">
      <c r="AC3493" s="78" t="s">
        <v>54</v>
      </c>
      <c r="AD3493" s="78" t="s">
        <v>20</v>
      </c>
      <c r="AE3493" s="78" t="s">
        <v>72</v>
      </c>
      <c r="AF3493" s="78" t="s">
        <v>51</v>
      </c>
      <c r="AG3493" s="78" t="s">
        <v>447</v>
      </c>
      <c r="AH3493" s="78">
        <v>3.7687673669142931</v>
      </c>
    </row>
    <row r="3494" spans="29:34">
      <c r="AC3494" s="78" t="s">
        <v>54</v>
      </c>
      <c r="AD3494" s="78" t="s">
        <v>20</v>
      </c>
      <c r="AE3494" s="78" t="s">
        <v>72</v>
      </c>
      <c r="AF3494" s="78" t="s">
        <v>51</v>
      </c>
      <c r="AG3494" s="78" t="s">
        <v>448</v>
      </c>
      <c r="AH3494" s="78">
        <v>3.9237325198330946</v>
      </c>
    </row>
    <row r="3495" spans="29:34">
      <c r="AC3495" s="78" t="s">
        <v>54</v>
      </c>
      <c r="AD3495" s="78" t="s">
        <v>20</v>
      </c>
      <c r="AE3495" s="78" t="s">
        <v>72</v>
      </c>
      <c r="AF3495" s="78" t="s">
        <v>51</v>
      </c>
      <c r="AG3495" s="78" t="s">
        <v>449</v>
      </c>
      <c r="AH3495" s="78">
        <v>3.893881389244005</v>
      </c>
    </row>
    <row r="3496" spans="29:34">
      <c r="AC3496" s="78" t="s">
        <v>54</v>
      </c>
      <c r="AD3496" s="78" t="s">
        <v>20</v>
      </c>
      <c r="AE3496" s="78" t="s">
        <v>72</v>
      </c>
      <c r="AF3496" s="78" t="s">
        <v>51</v>
      </c>
      <c r="AG3496" s="78" t="s">
        <v>450</v>
      </c>
      <c r="AH3496" s="78">
        <v>3.7988552900588051</v>
      </c>
    </row>
    <row r="3497" spans="29:34">
      <c r="AC3497" s="78" t="s">
        <v>54</v>
      </c>
      <c r="AD3497" s="78" t="s">
        <v>20</v>
      </c>
      <c r="AE3497" s="78" t="s">
        <v>72</v>
      </c>
      <c r="AF3497" s="78" t="s">
        <v>51</v>
      </c>
      <c r="AG3497" s="78" t="s">
        <v>451</v>
      </c>
      <c r="AH3497" s="78">
        <v>3.7988552900588051</v>
      </c>
    </row>
    <row r="3498" spans="29:34">
      <c r="AC3498" s="78" t="s">
        <v>54</v>
      </c>
      <c r="AD3498" s="78" t="s">
        <v>20</v>
      </c>
      <c r="AE3498" s="78" t="s">
        <v>72</v>
      </c>
      <c r="AF3498" s="78" t="s">
        <v>51</v>
      </c>
      <c r="AG3498" s="78" t="s">
        <v>452</v>
      </c>
      <c r="AH3498" s="78">
        <v>3.7988552900588051</v>
      </c>
    </row>
    <row r="3499" spans="29:34">
      <c r="AC3499" s="78" t="s">
        <v>54</v>
      </c>
      <c r="AD3499" s="78" t="s">
        <v>20</v>
      </c>
      <c r="AE3499" s="78" t="s">
        <v>72</v>
      </c>
      <c r="AF3499" s="78" t="s">
        <v>51</v>
      </c>
      <c r="AG3499" s="78" t="s">
        <v>453</v>
      </c>
      <c r="AH3499" s="78">
        <v>3.7988552900588051</v>
      </c>
    </row>
    <row r="3500" spans="29:34">
      <c r="AC3500" s="78" t="s">
        <v>54</v>
      </c>
      <c r="AD3500" s="78" t="s">
        <v>20</v>
      </c>
      <c r="AE3500" s="78" t="s">
        <v>72</v>
      </c>
      <c r="AF3500" s="78" t="s">
        <v>51</v>
      </c>
      <c r="AG3500" s="78" t="s">
        <v>454</v>
      </c>
      <c r="AH3500" s="78">
        <v>3.7988552900588051</v>
      </c>
    </row>
    <row r="3501" spans="29:34">
      <c r="AC3501" s="78" t="s">
        <v>54</v>
      </c>
      <c r="AD3501" s="78" t="s">
        <v>20</v>
      </c>
      <c r="AE3501" s="78" t="s">
        <v>72</v>
      </c>
      <c r="AF3501" s="78" t="s">
        <v>51</v>
      </c>
      <c r="AG3501" s="78" t="s">
        <v>455</v>
      </c>
      <c r="AH3501" s="78">
        <v>3.7687673669142931</v>
      </c>
    </row>
    <row r="3502" spans="29:34">
      <c r="AC3502" s="78" t="s">
        <v>54</v>
      </c>
      <c r="AD3502" s="78" t="s">
        <v>20</v>
      </c>
      <c r="AE3502" s="78" t="s">
        <v>72</v>
      </c>
      <c r="AF3502" s="78" t="s">
        <v>51</v>
      </c>
      <c r="AG3502" s="78" t="s">
        <v>456</v>
      </c>
      <c r="AH3502" s="78">
        <v>3.6130728647056762</v>
      </c>
    </row>
    <row r="3503" spans="29:34">
      <c r="AC3503" s="78" t="s">
        <v>54</v>
      </c>
      <c r="AD3503" s="78" t="s">
        <v>20</v>
      </c>
      <c r="AE3503" s="78" t="s">
        <v>72</v>
      </c>
      <c r="AF3503" s="78" t="s">
        <v>51</v>
      </c>
      <c r="AG3503" s="78" t="s">
        <v>457</v>
      </c>
      <c r="AH3503" s="78">
        <v>3.7988552900588051</v>
      </c>
    </row>
    <row r="3504" spans="29:34">
      <c r="AC3504" s="78" t="s">
        <v>54</v>
      </c>
      <c r="AD3504" s="78" t="s">
        <v>20</v>
      </c>
      <c r="AE3504" s="78" t="s">
        <v>72</v>
      </c>
      <c r="AF3504" s="78" t="s">
        <v>51</v>
      </c>
      <c r="AG3504" s="78" t="s">
        <v>458</v>
      </c>
      <c r="AH3504" s="78">
        <v>3.6434516592792754</v>
      </c>
    </row>
    <row r="3505" spans="29:34">
      <c r="AC3505" s="78" t="s">
        <v>54</v>
      </c>
      <c r="AD3505" s="78" t="s">
        <v>20</v>
      </c>
      <c r="AE3505" s="78" t="s">
        <v>72</v>
      </c>
      <c r="AF3505" s="78" t="s">
        <v>51</v>
      </c>
      <c r="AG3505" s="78" t="s">
        <v>459</v>
      </c>
      <c r="AH3505" s="78">
        <v>3.7988552900588051</v>
      </c>
    </row>
    <row r="3506" spans="29:34">
      <c r="AC3506" s="78" t="s">
        <v>54</v>
      </c>
      <c r="AD3506" s="78" t="s">
        <v>20</v>
      </c>
      <c r="AE3506" s="78" t="s">
        <v>72</v>
      </c>
      <c r="AF3506" s="78" t="s">
        <v>51</v>
      </c>
      <c r="AG3506" s="78" t="s">
        <v>460</v>
      </c>
      <c r="AH3506" s="78">
        <v>3.7687673669142931</v>
      </c>
    </row>
    <row r="3507" spans="29:34">
      <c r="AC3507" s="78" t="s">
        <v>54</v>
      </c>
      <c r="AD3507" s="78" t="s">
        <v>20</v>
      </c>
      <c r="AE3507" s="78" t="s">
        <v>72</v>
      </c>
      <c r="AF3507" s="78" t="s">
        <v>51</v>
      </c>
      <c r="AG3507" s="78" t="s">
        <v>461</v>
      </c>
      <c r="AH3507" s="78">
        <v>3.7988552900588051</v>
      </c>
    </row>
    <row r="3508" spans="29:34">
      <c r="AC3508" s="78" t="s">
        <v>54</v>
      </c>
      <c r="AD3508" s="78" t="s">
        <v>20</v>
      </c>
      <c r="AE3508" s="78" t="s">
        <v>72</v>
      </c>
      <c r="AF3508" s="78" t="s">
        <v>51</v>
      </c>
      <c r="AG3508" s="78" t="s">
        <v>462</v>
      </c>
      <c r="AH3508" s="78">
        <v>4.0405568797021081</v>
      </c>
    </row>
    <row r="3509" spans="29:34">
      <c r="AC3509" s="78" t="s">
        <v>54</v>
      </c>
      <c r="AD3509" s="78" t="s">
        <v>20</v>
      </c>
      <c r="AE3509" s="78" t="s">
        <v>72</v>
      </c>
      <c r="AF3509" s="78" t="s">
        <v>51</v>
      </c>
      <c r="AG3509" s="78" t="s">
        <v>463</v>
      </c>
      <c r="AH3509" s="78">
        <v>4.0405568797021081</v>
      </c>
    </row>
    <row r="3510" spans="29:34">
      <c r="AC3510" s="78" t="s">
        <v>54</v>
      </c>
      <c r="AD3510" s="78" t="s">
        <v>20</v>
      </c>
      <c r="AE3510" s="78" t="s">
        <v>72</v>
      </c>
      <c r="AF3510" s="78" t="s">
        <v>51</v>
      </c>
      <c r="AG3510" s="78" t="s">
        <v>464</v>
      </c>
      <c r="AH3510" s="78">
        <v>3.8545613734408839</v>
      </c>
    </row>
    <row r="3511" spans="29:34">
      <c r="AC3511" s="78" t="s">
        <v>54</v>
      </c>
      <c r="AD3511" s="78" t="s">
        <v>20</v>
      </c>
      <c r="AE3511" s="78" t="s">
        <v>72</v>
      </c>
      <c r="AF3511" s="78" t="s">
        <v>51</v>
      </c>
      <c r="AG3511" s="78" t="s">
        <v>465</v>
      </c>
      <c r="AH3511" s="78">
        <v>3.8845010455845062</v>
      </c>
    </row>
    <row r="3512" spans="29:34">
      <c r="AC3512" s="78" t="s">
        <v>54</v>
      </c>
      <c r="AD3512" s="78" t="s">
        <v>20</v>
      </c>
      <c r="AE3512" s="78" t="s">
        <v>72</v>
      </c>
      <c r="AF3512" s="78" t="s">
        <v>51</v>
      </c>
      <c r="AG3512" s="78" t="s">
        <v>466</v>
      </c>
      <c r="AH3512" s="78">
        <v>3.8845010455845062</v>
      </c>
    </row>
    <row r="3513" spans="29:34">
      <c r="AC3513" s="78" t="s">
        <v>54</v>
      </c>
      <c r="AD3513" s="78" t="s">
        <v>20</v>
      </c>
      <c r="AE3513" s="78" t="s">
        <v>72</v>
      </c>
      <c r="AF3513" s="78" t="s">
        <v>51</v>
      </c>
      <c r="AG3513" s="78" t="s">
        <v>467</v>
      </c>
      <c r="AH3513" s="78">
        <v>3.9173718975168601</v>
      </c>
    </row>
    <row r="3514" spans="29:34">
      <c r="AC3514" s="78" t="s">
        <v>54</v>
      </c>
      <c r="AD3514" s="78" t="s">
        <v>20</v>
      </c>
      <c r="AE3514" s="78" t="s">
        <v>72</v>
      </c>
      <c r="AF3514" s="78" t="s">
        <v>51</v>
      </c>
      <c r="AG3514" s="78" t="s">
        <v>468</v>
      </c>
      <c r="AH3514" s="78">
        <v>3.8845010455845062</v>
      </c>
    </row>
    <row r="3515" spans="29:34">
      <c r="AC3515" s="78" t="s">
        <v>54</v>
      </c>
      <c r="AD3515" s="78" t="s">
        <v>20</v>
      </c>
      <c r="AE3515" s="78" t="s">
        <v>72</v>
      </c>
      <c r="AF3515" s="78" t="s">
        <v>51</v>
      </c>
      <c r="AG3515" s="78" t="s">
        <v>469</v>
      </c>
      <c r="AH3515" s="78">
        <v>3.8845010455845062</v>
      </c>
    </row>
    <row r="3516" spans="29:34">
      <c r="AC3516" s="78" t="s">
        <v>54</v>
      </c>
      <c r="AD3516" s="78" t="s">
        <v>20</v>
      </c>
      <c r="AE3516" s="78" t="s">
        <v>72</v>
      </c>
      <c r="AF3516" s="78" t="s">
        <v>51</v>
      </c>
      <c r="AG3516" s="78" t="s">
        <v>470</v>
      </c>
      <c r="AH3516" s="78">
        <v>3.8545613734408839</v>
      </c>
    </row>
    <row r="3517" spans="29:34">
      <c r="AC3517" s="78" t="s">
        <v>54</v>
      </c>
      <c r="AD3517" s="78" t="s">
        <v>20</v>
      </c>
      <c r="AE3517" s="78" t="s">
        <v>72</v>
      </c>
      <c r="AF3517" s="78" t="s">
        <v>51</v>
      </c>
      <c r="AG3517" s="78" t="s">
        <v>471</v>
      </c>
      <c r="AH3517" s="78">
        <v>4.0405568797021081</v>
      </c>
    </row>
    <row r="3518" spans="29:34">
      <c r="AC3518" s="78" t="s">
        <v>54</v>
      </c>
      <c r="AD3518" s="78" t="s">
        <v>20</v>
      </c>
      <c r="AE3518" s="78" t="s">
        <v>72</v>
      </c>
      <c r="AF3518" s="78" t="s">
        <v>51</v>
      </c>
      <c r="AG3518" s="78" t="s">
        <v>472</v>
      </c>
      <c r="AH3518" s="78">
        <v>4.0405568797021081</v>
      </c>
    </row>
    <row r="3519" spans="29:34">
      <c r="AC3519" s="78" t="s">
        <v>54</v>
      </c>
      <c r="AD3519" s="78" t="s">
        <v>20</v>
      </c>
      <c r="AE3519" s="78" t="s">
        <v>72</v>
      </c>
      <c r="AF3519" s="78" t="s">
        <v>51</v>
      </c>
      <c r="AG3519" s="78" t="s">
        <v>473</v>
      </c>
      <c r="AH3519" s="78">
        <v>4.0955161934673852</v>
      </c>
    </row>
    <row r="3520" spans="29:34">
      <c r="AC3520" s="78" t="s">
        <v>54</v>
      </c>
      <c r="AD3520" s="78" t="s">
        <v>20</v>
      </c>
      <c r="AE3520" s="78" t="s">
        <v>72</v>
      </c>
      <c r="AF3520" s="78" t="s">
        <v>51</v>
      </c>
      <c r="AG3520" s="78" t="s">
        <v>474</v>
      </c>
      <c r="AH3520" s="78">
        <v>4.2758036507893049</v>
      </c>
    </row>
    <row r="3521" spans="29:34">
      <c r="AC3521" s="78" t="s">
        <v>54</v>
      </c>
      <c r="AD3521" s="78" t="s">
        <v>20</v>
      </c>
      <c r="AE3521" s="78" t="s">
        <v>72</v>
      </c>
      <c r="AF3521" s="78" t="s">
        <v>51</v>
      </c>
      <c r="AG3521" s="78" t="s">
        <v>475</v>
      </c>
      <c r="AH3521" s="78">
        <v>4.2465844202037246</v>
      </c>
    </row>
    <row r="3522" spans="29:34">
      <c r="AC3522" s="78" t="s">
        <v>54</v>
      </c>
      <c r="AD3522" s="78" t="s">
        <v>20</v>
      </c>
      <c r="AE3522" s="78" t="s">
        <v>72</v>
      </c>
      <c r="AF3522" s="78" t="s">
        <v>51</v>
      </c>
      <c r="AG3522" s="78" t="s">
        <v>476</v>
      </c>
      <c r="AH3522" s="78">
        <v>4.2758036507893049</v>
      </c>
    </row>
    <row r="3523" spans="29:34">
      <c r="AC3523" s="78" t="s">
        <v>54</v>
      </c>
      <c r="AD3523" s="78" t="s">
        <v>20</v>
      </c>
      <c r="AE3523" s="78" t="s">
        <v>72</v>
      </c>
      <c r="AF3523" s="78" t="s">
        <v>51</v>
      </c>
      <c r="AG3523" s="78" t="s">
        <v>477</v>
      </c>
      <c r="AH3523" s="78">
        <v>4.0955161934673852</v>
      </c>
    </row>
    <row r="3524" spans="29:34">
      <c r="AC3524" s="78" t="s">
        <v>54</v>
      </c>
      <c r="AD3524" s="78" t="s">
        <v>20</v>
      </c>
      <c r="AE3524" s="78" t="s">
        <v>72</v>
      </c>
      <c r="AF3524" s="78" t="s">
        <v>51</v>
      </c>
      <c r="AG3524" s="78" t="s">
        <v>478</v>
      </c>
      <c r="AH3524" s="78">
        <v>4.1250188202648603</v>
      </c>
    </row>
    <row r="3525" spans="29:34">
      <c r="AC3525" s="78" t="s">
        <v>54</v>
      </c>
      <c r="AD3525" s="78" t="s">
        <v>20</v>
      </c>
      <c r="AE3525" s="78" t="s">
        <v>72</v>
      </c>
      <c r="AF3525" s="78" t="s">
        <v>51</v>
      </c>
      <c r="AG3525" s="78" t="s">
        <v>479</v>
      </c>
      <c r="AH3525" s="78">
        <v>4.2758036507893049</v>
      </c>
    </row>
    <row r="3526" spans="29:34">
      <c r="AC3526" s="78" t="s">
        <v>54</v>
      </c>
      <c r="AD3526" s="78" t="s">
        <v>20</v>
      </c>
      <c r="AE3526" s="78" t="s">
        <v>72</v>
      </c>
      <c r="AF3526" s="78" t="s">
        <v>51</v>
      </c>
      <c r="AG3526" s="78" t="s">
        <v>480</v>
      </c>
      <c r="AH3526" s="78">
        <v>4.2465844202037246</v>
      </c>
    </row>
    <row r="3527" spans="29:34">
      <c r="AC3527" s="78" t="s">
        <v>54</v>
      </c>
      <c r="AD3527" s="78" t="s">
        <v>20</v>
      </c>
      <c r="AE3527" s="78" t="s">
        <v>72</v>
      </c>
      <c r="AF3527" s="78" t="s">
        <v>51</v>
      </c>
      <c r="AG3527" s="78" t="s">
        <v>481</v>
      </c>
      <c r="AH3527" s="78">
        <v>4.2465844202037246</v>
      </c>
    </row>
    <row r="3528" spans="29:34">
      <c r="AC3528" s="78" t="s">
        <v>54</v>
      </c>
      <c r="AD3528" s="78" t="s">
        <v>20</v>
      </c>
      <c r="AE3528" s="78" t="s">
        <v>72</v>
      </c>
      <c r="AF3528" s="78" t="s">
        <v>51</v>
      </c>
      <c r="AG3528" s="78" t="s">
        <v>482</v>
      </c>
      <c r="AH3528" s="78">
        <v>4.2758036507893049</v>
      </c>
    </row>
    <row r="3529" spans="29:34">
      <c r="AC3529" s="78" t="s">
        <v>54</v>
      </c>
      <c r="AD3529" s="78" t="s">
        <v>20</v>
      </c>
      <c r="AE3529" s="78" t="s">
        <v>72</v>
      </c>
      <c r="AF3529" s="78" t="s">
        <v>51</v>
      </c>
      <c r="AG3529" s="78" t="s">
        <v>483</v>
      </c>
      <c r="AH3529" s="78">
        <v>4.2465844202037246</v>
      </c>
    </row>
    <row r="3530" spans="29:34">
      <c r="AC3530" s="78" t="s">
        <v>54</v>
      </c>
      <c r="AD3530" s="78" t="s">
        <v>20</v>
      </c>
      <c r="AE3530" s="78" t="s">
        <v>72</v>
      </c>
      <c r="AF3530" s="78" t="s">
        <v>51</v>
      </c>
      <c r="AG3530" s="78" t="s">
        <v>484</v>
      </c>
      <c r="AH3530" s="78">
        <v>4.2758036507893049</v>
      </c>
    </row>
    <row r="3531" spans="29:34">
      <c r="AC3531" s="78" t="s">
        <v>54</v>
      </c>
      <c r="AD3531" s="78" t="s">
        <v>20</v>
      </c>
      <c r="AE3531" s="78" t="s">
        <v>72</v>
      </c>
      <c r="AF3531" s="78" t="s">
        <v>51</v>
      </c>
      <c r="AG3531" s="78" t="s">
        <v>485</v>
      </c>
      <c r="AH3531" s="78">
        <v>4.2758036507893049</v>
      </c>
    </row>
    <row r="3532" spans="29:34">
      <c r="AC3532" s="78" t="s">
        <v>54</v>
      </c>
      <c r="AD3532" s="78" t="s">
        <v>20</v>
      </c>
      <c r="AE3532" s="78" t="s">
        <v>72</v>
      </c>
      <c r="AF3532" s="78" t="s">
        <v>51</v>
      </c>
      <c r="AG3532" s="78" t="s">
        <v>486</v>
      </c>
      <c r="AH3532" s="78">
        <v>4.2758036507893049</v>
      </c>
    </row>
    <row r="3533" spans="29:34">
      <c r="AC3533" s="78" t="s">
        <v>54</v>
      </c>
      <c r="AD3533" s="78" t="s">
        <v>20</v>
      </c>
      <c r="AE3533" s="78" t="s">
        <v>72</v>
      </c>
      <c r="AF3533" s="78" t="s">
        <v>51</v>
      </c>
      <c r="AG3533" s="78" t="s">
        <v>487</v>
      </c>
      <c r="AH3533" s="78">
        <v>4.2465844202037246</v>
      </c>
    </row>
    <row r="3534" spans="29:34">
      <c r="AC3534" s="78" t="s">
        <v>54</v>
      </c>
      <c r="AD3534" s="78" t="s">
        <v>20</v>
      </c>
      <c r="AE3534" s="78" t="s">
        <v>72</v>
      </c>
      <c r="AF3534" s="78" t="s">
        <v>51</v>
      </c>
      <c r="AG3534" s="78" t="s">
        <v>488</v>
      </c>
      <c r="AH3534" s="78">
        <v>4.0955161934673852</v>
      </c>
    </row>
    <row r="3535" spans="29:34">
      <c r="AC3535" s="78" t="s">
        <v>54</v>
      </c>
      <c r="AD3535" s="78" t="s">
        <v>20</v>
      </c>
      <c r="AE3535" s="78" t="s">
        <v>72</v>
      </c>
      <c r="AF3535" s="78" t="s">
        <v>51</v>
      </c>
      <c r="AG3535" s="78" t="s">
        <v>489</v>
      </c>
      <c r="AH3535" s="78">
        <v>4.0955161934673852</v>
      </c>
    </row>
    <row r="3536" spans="29:34">
      <c r="AC3536" s="78" t="s">
        <v>54</v>
      </c>
      <c r="AD3536" s="78" t="s">
        <v>20</v>
      </c>
      <c r="AE3536" s="78" t="s">
        <v>72</v>
      </c>
      <c r="AF3536" s="78" t="s">
        <v>51</v>
      </c>
      <c r="AG3536" s="78" t="s">
        <v>423</v>
      </c>
      <c r="AH3536" s="78">
        <v>4.0955161934673852</v>
      </c>
    </row>
    <row r="3537" spans="29:34">
      <c r="AC3537" s="78" t="s">
        <v>54</v>
      </c>
      <c r="AD3537" s="78" t="s">
        <v>20</v>
      </c>
      <c r="AE3537" s="78" t="s">
        <v>72</v>
      </c>
      <c r="AF3537" s="78" t="s">
        <v>51</v>
      </c>
      <c r="AG3537" s="78" t="s">
        <v>490</v>
      </c>
      <c r="AH3537" s="78">
        <v>4.3591256771662081</v>
      </c>
    </row>
    <row r="3538" spans="29:34">
      <c r="AC3538" s="78" t="s">
        <v>54</v>
      </c>
      <c r="AD3538" s="78" t="s">
        <v>20</v>
      </c>
      <c r="AE3538" s="78" t="s">
        <v>72</v>
      </c>
      <c r="AF3538" s="78" t="s">
        <v>51</v>
      </c>
      <c r="AG3538" s="78" t="s">
        <v>491</v>
      </c>
      <c r="AH3538" s="78">
        <v>4.0955161934673852</v>
      </c>
    </row>
    <row r="3539" spans="29:34">
      <c r="AC3539" s="78" t="s">
        <v>54</v>
      </c>
      <c r="AD3539" s="78" t="s">
        <v>20</v>
      </c>
      <c r="AE3539" s="78" t="s">
        <v>72</v>
      </c>
      <c r="AF3539" s="78" t="s">
        <v>51</v>
      </c>
      <c r="AG3539" s="78" t="s">
        <v>492</v>
      </c>
      <c r="AH3539" s="78">
        <v>4.1250188202648603</v>
      </c>
    </row>
    <row r="3540" spans="29:34">
      <c r="AC3540" s="78" t="s">
        <v>54</v>
      </c>
      <c r="AD3540" s="78" t="s">
        <v>20</v>
      </c>
      <c r="AE3540" s="78" t="s">
        <v>72</v>
      </c>
      <c r="AF3540" s="78" t="s">
        <v>51</v>
      </c>
      <c r="AG3540" s="78" t="s">
        <v>493</v>
      </c>
      <c r="AH3540" s="78">
        <v>4.3881514549912373</v>
      </c>
    </row>
    <row r="3541" spans="29:34">
      <c r="AC3541" s="78" t="s">
        <v>54</v>
      </c>
      <c r="AD3541" s="78" t="s">
        <v>20</v>
      </c>
      <c r="AE3541" s="78" t="s">
        <v>72</v>
      </c>
      <c r="AF3541" s="78" t="s">
        <v>51</v>
      </c>
      <c r="AG3541" s="78" t="s">
        <v>494</v>
      </c>
      <c r="AH3541" s="78">
        <v>4.1544680118480333</v>
      </c>
    </row>
    <row r="3542" spans="29:34">
      <c r="AC3542" s="78" t="s">
        <v>54</v>
      </c>
      <c r="AD3542" s="78" t="s">
        <v>20</v>
      </c>
      <c r="AE3542" s="78" t="s">
        <v>72</v>
      </c>
      <c r="AF3542" s="78" t="s">
        <v>51</v>
      </c>
      <c r="AG3542" s="78" t="s">
        <v>495</v>
      </c>
      <c r="AH3542" s="78">
        <v>4.1544680118480333</v>
      </c>
    </row>
    <row r="3543" spans="29:34">
      <c r="AC3543" s="78" t="s">
        <v>54</v>
      </c>
      <c r="AD3543" s="78" t="s">
        <v>20</v>
      </c>
      <c r="AE3543" s="78" t="s">
        <v>72</v>
      </c>
      <c r="AF3543" s="78" t="s">
        <v>51</v>
      </c>
      <c r="AG3543" s="78" t="s">
        <v>496</v>
      </c>
      <c r="AH3543" s="78">
        <v>4.1250188202648603</v>
      </c>
    </row>
    <row r="3544" spans="29:34">
      <c r="AC3544" s="78" t="s">
        <v>54</v>
      </c>
      <c r="AD3544" s="78" t="s">
        <v>20</v>
      </c>
      <c r="AE3544" s="78" t="s">
        <v>72</v>
      </c>
      <c r="AF3544" s="78" t="s">
        <v>51</v>
      </c>
      <c r="AG3544" s="78" t="s">
        <v>497</v>
      </c>
      <c r="AH3544" s="78">
        <v>4.1250188202648603</v>
      </c>
    </row>
    <row r="3545" spans="29:34">
      <c r="AC3545" s="78" t="s">
        <v>54</v>
      </c>
      <c r="AD3545" s="78" t="s">
        <v>20</v>
      </c>
      <c r="AE3545" s="78" t="s">
        <v>72</v>
      </c>
      <c r="AF3545" s="78" t="s">
        <v>51</v>
      </c>
      <c r="AG3545" s="78" t="s">
        <v>498</v>
      </c>
      <c r="AH3545" s="78">
        <v>4.1544680118480333</v>
      </c>
    </row>
    <row r="3546" spans="29:34">
      <c r="AC3546" s="78" t="s">
        <v>54</v>
      </c>
      <c r="AD3546" s="78" t="s">
        <v>20</v>
      </c>
      <c r="AE3546" s="78" t="s">
        <v>72</v>
      </c>
      <c r="AF3546" s="78" t="s">
        <v>51</v>
      </c>
      <c r="AG3546" s="78" t="s">
        <v>499</v>
      </c>
      <c r="AH3546" s="78">
        <v>4.3591256771662081</v>
      </c>
    </row>
    <row r="3547" spans="29:34">
      <c r="AC3547" s="78" t="s">
        <v>54</v>
      </c>
      <c r="AD3547" s="78" t="s">
        <v>20</v>
      </c>
      <c r="AE3547" s="78" t="s">
        <v>72</v>
      </c>
      <c r="AF3547" s="78" t="s">
        <v>51</v>
      </c>
      <c r="AG3547" s="78" t="s">
        <v>500</v>
      </c>
      <c r="AH3547" s="78">
        <v>4.3881514549912373</v>
      </c>
    </row>
    <row r="3548" spans="29:34">
      <c r="AC3548" s="78" t="s">
        <v>54</v>
      </c>
      <c r="AD3548" s="78" t="s">
        <v>20</v>
      </c>
      <c r="AE3548" s="78" t="s">
        <v>72</v>
      </c>
      <c r="AF3548" s="78" t="s">
        <v>51</v>
      </c>
      <c r="AG3548" s="78" t="s">
        <v>501</v>
      </c>
      <c r="AH3548" s="78">
        <v>4.3881514549912373</v>
      </c>
    </row>
    <row r="3549" spans="29:34">
      <c r="AC3549" s="78" t="s">
        <v>54</v>
      </c>
      <c r="AD3549" s="78" t="s">
        <v>20</v>
      </c>
      <c r="AE3549" s="78" t="s">
        <v>72</v>
      </c>
      <c r="AF3549" s="78" t="s">
        <v>51</v>
      </c>
      <c r="AG3549" s="78" t="s">
        <v>502</v>
      </c>
      <c r="AH3549" s="78">
        <v>4.1250188202648603</v>
      </c>
    </row>
    <row r="3550" spans="29:34">
      <c r="AC3550" s="78" t="s">
        <v>54</v>
      </c>
      <c r="AD3550" s="78" t="s">
        <v>20</v>
      </c>
      <c r="AE3550" s="78" t="s">
        <v>72</v>
      </c>
      <c r="AF3550" s="78" t="s">
        <v>51</v>
      </c>
      <c r="AG3550" s="78" t="s">
        <v>422</v>
      </c>
      <c r="AH3550" s="78">
        <v>4.1250188202648603</v>
      </c>
    </row>
    <row r="3551" spans="29:34">
      <c r="AC3551" s="78" t="s">
        <v>54</v>
      </c>
      <c r="AD3551" s="78" t="s">
        <v>20</v>
      </c>
      <c r="AE3551" s="78" t="s">
        <v>72</v>
      </c>
      <c r="AF3551" s="78" t="s">
        <v>51</v>
      </c>
      <c r="AG3551" s="78" t="s">
        <v>503</v>
      </c>
      <c r="AH3551" s="78">
        <v>4.0955161934673852</v>
      </c>
    </row>
    <row r="3552" spans="29:34">
      <c r="AC3552" s="78" t="s">
        <v>54</v>
      </c>
      <c r="AD3552" s="78" t="s">
        <v>20</v>
      </c>
      <c r="AE3552" s="78" t="s">
        <v>72</v>
      </c>
      <c r="AF3552" s="78" t="s">
        <v>51</v>
      </c>
      <c r="AG3552" s="78" t="s">
        <v>504</v>
      </c>
      <c r="AH3552" s="78">
        <v>4.0955161934673852</v>
      </c>
    </row>
    <row r="3553" spans="29:34">
      <c r="AC3553" s="78" t="s">
        <v>54</v>
      </c>
      <c r="AD3553" s="78" t="s">
        <v>20</v>
      </c>
      <c r="AE3553" s="78" t="s">
        <v>72</v>
      </c>
      <c r="AF3553" s="78" t="s">
        <v>51</v>
      </c>
      <c r="AG3553" s="78" t="s">
        <v>505</v>
      </c>
      <c r="AH3553" s="78">
        <v>4.1250188202648603</v>
      </c>
    </row>
    <row r="3554" spans="29:34">
      <c r="AC3554" s="78" t="s">
        <v>54</v>
      </c>
      <c r="AD3554" s="78" t="s">
        <v>20</v>
      </c>
      <c r="AE3554" s="78" t="s">
        <v>72</v>
      </c>
      <c r="AF3554" s="78" t="s">
        <v>51</v>
      </c>
      <c r="AG3554" s="78" t="s">
        <v>421</v>
      </c>
      <c r="AH3554" s="78">
        <v>4.2465844202037246</v>
      </c>
    </row>
    <row r="3555" spans="29:34">
      <c r="AC3555" s="78" t="s">
        <v>54</v>
      </c>
      <c r="AD3555" s="78" t="s">
        <v>20</v>
      </c>
      <c r="AE3555" s="78" t="s">
        <v>72</v>
      </c>
      <c r="AF3555" s="78" t="s">
        <v>51</v>
      </c>
      <c r="AG3555" s="78" t="s">
        <v>506</v>
      </c>
      <c r="AH3555" s="78">
        <v>4.2758036507893049</v>
      </c>
    </row>
    <row r="3556" spans="29:34">
      <c r="AC3556" s="78" t="s">
        <v>54</v>
      </c>
      <c r="AD3556" s="78" t="s">
        <v>20</v>
      </c>
      <c r="AE3556" s="78" t="s">
        <v>72</v>
      </c>
      <c r="AF3556" s="78" t="s">
        <v>51</v>
      </c>
      <c r="AG3556" s="78" t="s">
        <v>507</v>
      </c>
      <c r="AH3556" s="78">
        <v>4.5076596982536596</v>
      </c>
    </row>
    <row r="3557" spans="29:34">
      <c r="AC3557" s="78" t="s">
        <v>54</v>
      </c>
      <c r="AD3557" s="78" t="s">
        <v>20</v>
      </c>
      <c r="AE3557" s="78" t="s">
        <v>72</v>
      </c>
      <c r="AF3557" s="78" t="s">
        <v>51</v>
      </c>
      <c r="AG3557" s="78" t="s">
        <v>508</v>
      </c>
      <c r="AH3557" s="78">
        <v>4.5076596982536596</v>
      </c>
    </row>
    <row r="3558" spans="29:34">
      <c r="AC3558" s="78" t="s">
        <v>54</v>
      </c>
      <c r="AD3558" s="78" t="s">
        <v>20</v>
      </c>
      <c r="AE3558" s="78" t="s">
        <v>72</v>
      </c>
      <c r="AF3558" s="78" t="s">
        <v>51</v>
      </c>
      <c r="AG3558" s="78" t="s">
        <v>509</v>
      </c>
      <c r="AH3558" s="78">
        <v>4.330047365675509</v>
      </c>
    </row>
    <row r="3559" spans="29:34">
      <c r="AC3559" s="78" t="s">
        <v>54</v>
      </c>
      <c r="AD3559" s="78" t="s">
        <v>20</v>
      </c>
      <c r="AE3559" s="78" t="s">
        <v>72</v>
      </c>
      <c r="AF3559" s="78" t="s">
        <v>51</v>
      </c>
      <c r="AG3559" s="78" t="s">
        <v>510</v>
      </c>
      <c r="AH3559" s="78">
        <v>4.330047365675509</v>
      </c>
    </row>
    <row r="3560" spans="29:34">
      <c r="AC3560" s="78" t="s">
        <v>54</v>
      </c>
      <c r="AD3560" s="78" t="s">
        <v>20</v>
      </c>
      <c r="AE3560" s="78" t="s">
        <v>72</v>
      </c>
      <c r="AF3560" s="78" t="s">
        <v>51</v>
      </c>
      <c r="AG3560" s="78" t="s">
        <v>511</v>
      </c>
      <c r="AH3560" s="78">
        <v>4.3591256771662081</v>
      </c>
    </row>
    <row r="3561" spans="29:34">
      <c r="AC3561" s="78" t="s">
        <v>54</v>
      </c>
      <c r="AD3561" s="78" t="s">
        <v>20</v>
      </c>
      <c r="AE3561" s="78" t="s">
        <v>72</v>
      </c>
      <c r="AF3561" s="78" t="s">
        <v>51</v>
      </c>
      <c r="AG3561" s="78" t="s">
        <v>512</v>
      </c>
      <c r="AH3561" s="78">
        <v>4.3591256771662081</v>
      </c>
    </row>
    <row r="3562" spans="29:34">
      <c r="AC3562" s="78" t="s">
        <v>54</v>
      </c>
      <c r="AD3562" s="78" t="s">
        <v>20</v>
      </c>
      <c r="AE3562" s="78" t="s">
        <v>72</v>
      </c>
      <c r="AF3562" s="78" t="s">
        <v>51</v>
      </c>
      <c r="AG3562" s="78" t="s">
        <v>513</v>
      </c>
      <c r="AH3562" s="78">
        <v>4.330047365675509</v>
      </c>
    </row>
    <row r="3563" spans="29:34">
      <c r="AC3563" s="78" t="s">
        <v>54</v>
      </c>
      <c r="AD3563" s="78" t="s">
        <v>20</v>
      </c>
      <c r="AE3563" s="78" t="s">
        <v>72</v>
      </c>
      <c r="AF3563" s="78" t="s">
        <v>51</v>
      </c>
      <c r="AG3563" s="78" t="s">
        <v>514</v>
      </c>
      <c r="AH3563" s="78">
        <v>4.330047365675509</v>
      </c>
    </row>
    <row r="3564" spans="29:34">
      <c r="AC3564" s="78" t="s">
        <v>54</v>
      </c>
      <c r="AD3564" s="78" t="s">
        <v>20</v>
      </c>
      <c r="AE3564" s="78" t="s">
        <v>72</v>
      </c>
      <c r="AF3564" s="78" t="s">
        <v>51</v>
      </c>
      <c r="AG3564" s="78" t="s">
        <v>515</v>
      </c>
      <c r="AH3564" s="78">
        <v>4.330047365675509</v>
      </c>
    </row>
    <row r="3565" spans="29:34">
      <c r="AC3565" s="78" t="s">
        <v>54</v>
      </c>
      <c r="AD3565" s="78" t="s">
        <v>20</v>
      </c>
      <c r="AE3565" s="78" t="s">
        <v>72</v>
      </c>
      <c r="AF3565" s="78" t="s">
        <v>51</v>
      </c>
      <c r="AG3565" s="78" t="s">
        <v>516</v>
      </c>
      <c r="AH3565" s="78">
        <v>4.5076596982536596</v>
      </c>
    </row>
    <row r="3566" spans="29:34">
      <c r="AC3566" s="78" t="s">
        <v>54</v>
      </c>
      <c r="AD3566" s="78" t="s">
        <v>20</v>
      </c>
      <c r="AE3566" s="78" t="s">
        <v>72</v>
      </c>
      <c r="AF3566" s="78" t="s">
        <v>51</v>
      </c>
      <c r="AG3566" s="78" t="s">
        <v>517</v>
      </c>
      <c r="AH3566" s="78">
        <v>4.5076596982536596</v>
      </c>
    </row>
    <row r="3567" spans="29:34">
      <c r="AC3567" s="78" t="s">
        <v>54</v>
      </c>
      <c r="AD3567" s="78" t="s">
        <v>20</v>
      </c>
      <c r="AE3567" s="78" t="s">
        <v>72</v>
      </c>
      <c r="AF3567" s="78" t="s">
        <v>51</v>
      </c>
      <c r="AG3567" s="78" t="s">
        <v>518</v>
      </c>
      <c r="AH3567" s="78">
        <v>4.5076596982536596</v>
      </c>
    </row>
    <row r="3568" spans="29:34">
      <c r="AC3568" s="78" t="s">
        <v>54</v>
      </c>
      <c r="AD3568" s="78" t="s">
        <v>20</v>
      </c>
      <c r="AE3568" s="78" t="s">
        <v>72</v>
      </c>
      <c r="AF3568" s="78" t="s">
        <v>51</v>
      </c>
      <c r="AG3568" s="78" t="s">
        <v>519</v>
      </c>
      <c r="AH3568" s="78">
        <v>4.5076596982536596</v>
      </c>
    </row>
    <row r="3569" spans="29:34">
      <c r="AC3569" s="78" t="s">
        <v>54</v>
      </c>
      <c r="AD3569" s="78" t="s">
        <v>20</v>
      </c>
      <c r="AE3569" s="78" t="s">
        <v>72</v>
      </c>
      <c r="AF3569" s="78" t="s">
        <v>51</v>
      </c>
      <c r="AG3569" s="78" t="s">
        <v>520</v>
      </c>
      <c r="AH3569" s="78">
        <v>4.5076596982536596</v>
      </c>
    </row>
    <row r="3570" spans="29:34">
      <c r="AC3570" s="78" t="s">
        <v>54</v>
      </c>
      <c r="AD3570" s="78" t="s">
        <v>20</v>
      </c>
      <c r="AE3570" s="78" t="s">
        <v>72</v>
      </c>
      <c r="AF3570" s="78" t="s">
        <v>51</v>
      </c>
      <c r="AG3570" s="78" t="s">
        <v>521</v>
      </c>
      <c r="AH3570" s="78">
        <v>4.330047365675509</v>
      </c>
    </row>
    <row r="3571" spans="29:34">
      <c r="AC3571" s="78" t="s">
        <v>54</v>
      </c>
      <c r="AD3571" s="78" t="s">
        <v>20</v>
      </c>
      <c r="AE3571" s="78" t="s">
        <v>72</v>
      </c>
      <c r="AF3571" s="78" t="s">
        <v>51</v>
      </c>
      <c r="AG3571" s="78" t="s">
        <v>522</v>
      </c>
      <c r="AH3571" s="78">
        <v>4.330047365675509</v>
      </c>
    </row>
    <row r="3572" spans="29:34">
      <c r="AC3572" s="78" t="s">
        <v>54</v>
      </c>
      <c r="AD3572" s="78" t="s">
        <v>20</v>
      </c>
      <c r="AE3572" s="78" t="s">
        <v>72</v>
      </c>
      <c r="AF3572" s="78" t="s">
        <v>51</v>
      </c>
      <c r="AG3572" s="78" t="s">
        <v>523</v>
      </c>
      <c r="AH3572" s="78">
        <v>4.3591256771662081</v>
      </c>
    </row>
    <row r="3573" spans="29:34">
      <c r="AC3573" s="78" t="s">
        <v>54</v>
      </c>
      <c r="AD3573" s="78" t="s">
        <v>20</v>
      </c>
      <c r="AE3573" s="78" t="s">
        <v>72</v>
      </c>
      <c r="AF3573" s="78" t="s">
        <v>51</v>
      </c>
      <c r="AG3573" s="78" t="s">
        <v>524</v>
      </c>
      <c r="AH3573" s="78">
        <v>4.3591256771662081</v>
      </c>
    </row>
    <row r="3574" spans="29:34">
      <c r="AC3574" s="78" t="s">
        <v>54</v>
      </c>
      <c r="AD3574" s="78" t="s">
        <v>20</v>
      </c>
      <c r="AE3574" s="78" t="s">
        <v>72</v>
      </c>
      <c r="AF3574" s="78" t="s">
        <v>51</v>
      </c>
      <c r="AG3574" s="78" t="s">
        <v>525</v>
      </c>
      <c r="AH3574" s="78">
        <v>4.330047365675509</v>
      </c>
    </row>
    <row r="3575" spans="29:34">
      <c r="AC3575" s="78" t="s">
        <v>54</v>
      </c>
      <c r="AD3575" s="78" t="s">
        <v>20</v>
      </c>
      <c r="AE3575" s="78" t="s">
        <v>72</v>
      </c>
      <c r="AF3575" s="78" t="s">
        <v>51</v>
      </c>
      <c r="AG3575" s="78" t="s">
        <v>526</v>
      </c>
      <c r="AH3575" s="78">
        <v>4.330047365675509</v>
      </c>
    </row>
    <row r="3576" spans="29:34">
      <c r="AC3576" s="78" t="s">
        <v>54</v>
      </c>
      <c r="AD3576" s="78" t="s">
        <v>20</v>
      </c>
      <c r="AE3576" s="78" t="s">
        <v>72</v>
      </c>
      <c r="AF3576" s="78" t="s">
        <v>51</v>
      </c>
      <c r="AG3576" s="78" t="s">
        <v>527</v>
      </c>
      <c r="AH3576" s="78">
        <v>4.5076596982536596</v>
      </c>
    </row>
    <row r="3577" spans="29:34">
      <c r="AC3577" s="78" t="s">
        <v>54</v>
      </c>
      <c r="AD3577" s="78" t="s">
        <v>20</v>
      </c>
      <c r="AE3577" s="78" t="s">
        <v>72</v>
      </c>
      <c r="AF3577" s="78" t="s">
        <v>51</v>
      </c>
      <c r="AG3577" s="78" t="s">
        <v>528</v>
      </c>
      <c r="AH3577" s="78">
        <v>4.2758036507893049</v>
      </c>
    </row>
    <row r="3578" spans="29:34">
      <c r="AC3578" s="78" t="s">
        <v>54</v>
      </c>
      <c r="AD3578" s="78" t="s">
        <v>20</v>
      </c>
      <c r="AE3578" s="78" t="s">
        <v>72</v>
      </c>
      <c r="AF3578" s="78" t="s">
        <v>51</v>
      </c>
      <c r="AG3578" s="78" t="s">
        <v>529</v>
      </c>
      <c r="AH3578" s="78">
        <v>4.1879865708203257</v>
      </c>
    </row>
    <row r="3579" spans="29:34">
      <c r="AC3579" s="78" t="s">
        <v>54</v>
      </c>
      <c r="AD3579" s="78" t="s">
        <v>20</v>
      </c>
      <c r="AE3579" s="78" t="s">
        <v>72</v>
      </c>
      <c r="AF3579" s="78" t="s">
        <v>51</v>
      </c>
      <c r="AG3579" s="78" t="s">
        <v>530</v>
      </c>
      <c r="AH3579" s="78">
        <v>4.330047365675509</v>
      </c>
    </row>
    <row r="3580" spans="29:34">
      <c r="AC3580" s="78" t="s">
        <v>54</v>
      </c>
      <c r="AD3580" s="78" t="s">
        <v>20</v>
      </c>
      <c r="AE3580" s="78" t="s">
        <v>72</v>
      </c>
      <c r="AF3580" s="78" t="s">
        <v>51</v>
      </c>
      <c r="AG3580" s="78" t="s">
        <v>531</v>
      </c>
      <c r="AH3580" s="78">
        <v>4.330047365675509</v>
      </c>
    </row>
    <row r="3581" spans="29:34">
      <c r="AC3581" s="78" t="s">
        <v>54</v>
      </c>
      <c r="AD3581" s="78" t="s">
        <v>20</v>
      </c>
      <c r="AE3581" s="78" t="s">
        <v>72</v>
      </c>
      <c r="AF3581" s="78" t="s">
        <v>51</v>
      </c>
      <c r="AG3581" s="78" t="s">
        <v>532</v>
      </c>
      <c r="AH3581" s="78">
        <v>3.9735378373143608</v>
      </c>
    </row>
    <row r="3582" spans="29:34">
      <c r="AC3582" s="78" t="s">
        <v>54</v>
      </c>
      <c r="AD3582" s="78" t="s">
        <v>20</v>
      </c>
      <c r="AE3582" s="78" t="s">
        <v>72</v>
      </c>
      <c r="AF3582" s="78" t="s">
        <v>51</v>
      </c>
      <c r="AG3582" s="78" t="s">
        <v>533</v>
      </c>
      <c r="AH3582" s="78">
        <v>4.2684487682780095</v>
      </c>
    </row>
    <row r="3583" spans="29:34">
      <c r="AC3583" s="78" t="s">
        <v>54</v>
      </c>
      <c r="AD3583" s="78" t="s">
        <v>20</v>
      </c>
      <c r="AE3583" s="78" t="s">
        <v>72</v>
      </c>
      <c r="AF3583" s="78" t="s">
        <v>51</v>
      </c>
      <c r="AG3583" s="78" t="s">
        <v>534</v>
      </c>
      <c r="AH3583" s="78">
        <v>4.1515331186906774</v>
      </c>
    </row>
    <row r="3584" spans="29:34">
      <c r="AC3584" s="78" t="s">
        <v>54</v>
      </c>
      <c r="AD3584" s="78" t="s">
        <v>20</v>
      </c>
      <c r="AE3584" s="78" t="s">
        <v>72</v>
      </c>
      <c r="AF3584" s="78" t="s">
        <v>51</v>
      </c>
      <c r="AG3584" s="78" t="s">
        <v>535</v>
      </c>
      <c r="AH3584" s="78">
        <v>4.1515331186906774</v>
      </c>
    </row>
    <row r="3585" spans="29:34">
      <c r="AC3585" s="78" t="s">
        <v>54</v>
      </c>
      <c r="AD3585" s="78" t="s">
        <v>20</v>
      </c>
      <c r="AE3585" s="78" t="s">
        <v>72</v>
      </c>
      <c r="AF3585" s="78" t="s">
        <v>51</v>
      </c>
      <c r="AG3585" s="78" t="s">
        <v>536</v>
      </c>
      <c r="AH3585" s="78">
        <v>4.1515331186906774</v>
      </c>
    </row>
    <row r="3586" spans="29:34">
      <c r="AC3586" s="78" t="s">
        <v>54</v>
      </c>
      <c r="AD3586" s="78" t="s">
        <v>20</v>
      </c>
      <c r="AE3586" s="78" t="s">
        <v>72</v>
      </c>
      <c r="AF3586" s="78" t="s">
        <v>51</v>
      </c>
      <c r="AG3586" s="78" t="s">
        <v>537</v>
      </c>
      <c r="AH3586" s="78">
        <v>4.0925372492460275</v>
      </c>
    </row>
    <row r="3587" spans="29:34">
      <c r="AC3587" s="78" t="s">
        <v>54</v>
      </c>
      <c r="AD3587" s="78" t="s">
        <v>20</v>
      </c>
      <c r="AE3587" s="78" t="s">
        <v>72</v>
      </c>
      <c r="AF3587" s="78" t="s">
        <v>51</v>
      </c>
      <c r="AG3587" s="78" t="s">
        <v>538</v>
      </c>
      <c r="AH3587" s="78">
        <v>4.1515331186906774</v>
      </c>
    </row>
    <row r="3588" spans="29:34">
      <c r="AC3588" s="78" t="s">
        <v>54</v>
      </c>
      <c r="AD3588" s="78" t="s">
        <v>20</v>
      </c>
      <c r="AE3588" s="78" t="s">
        <v>72</v>
      </c>
      <c r="AF3588" s="78" t="s">
        <v>51</v>
      </c>
      <c r="AG3588" s="78" t="s">
        <v>539</v>
      </c>
      <c r="AH3588" s="78">
        <v>4.122061778630858</v>
      </c>
    </row>
    <row r="3589" spans="29:34">
      <c r="AC3589" s="78" t="s">
        <v>54</v>
      </c>
      <c r="AD3589" s="78" t="s">
        <v>20</v>
      </c>
      <c r="AE3589" s="78" t="s">
        <v>72</v>
      </c>
      <c r="AF3589" s="78" t="s">
        <v>51</v>
      </c>
      <c r="AG3589" s="78" t="s">
        <v>540</v>
      </c>
      <c r="AH3589" s="78">
        <v>4.122061778630858</v>
      </c>
    </row>
    <row r="3590" spans="29:34">
      <c r="AC3590" s="78" t="s">
        <v>54</v>
      </c>
      <c r="AD3590" s="78" t="s">
        <v>20</v>
      </c>
      <c r="AE3590" s="78" t="s">
        <v>72</v>
      </c>
      <c r="AF3590" s="78" t="s">
        <v>51</v>
      </c>
      <c r="AG3590" s="78" t="s">
        <v>541</v>
      </c>
      <c r="AH3590" s="78">
        <v>4.1515331186906774</v>
      </c>
    </row>
    <row r="3591" spans="29:34">
      <c r="AC3591" s="78" t="s">
        <v>54</v>
      </c>
      <c r="AD3591" s="78" t="s">
        <v>20</v>
      </c>
      <c r="AE3591" s="78" t="s">
        <v>72</v>
      </c>
      <c r="AF3591" s="78" t="s">
        <v>51</v>
      </c>
      <c r="AG3591" s="78" t="s">
        <v>542</v>
      </c>
      <c r="AH3591" s="78">
        <v>4.1515331186906774</v>
      </c>
    </row>
    <row r="3592" spans="29:34">
      <c r="AC3592" s="78" t="s">
        <v>54</v>
      </c>
      <c r="AD3592" s="78" t="s">
        <v>20</v>
      </c>
      <c r="AE3592" s="78" t="s">
        <v>72</v>
      </c>
      <c r="AF3592" s="78" t="s">
        <v>51</v>
      </c>
      <c r="AG3592" s="78" t="s">
        <v>543</v>
      </c>
      <c r="AH3592" s="78">
        <v>4.1515331186906774</v>
      </c>
    </row>
    <row r="3593" spans="29:34">
      <c r="AC3593" s="78" t="s">
        <v>54</v>
      </c>
      <c r="AD3593" s="78" t="s">
        <v>20</v>
      </c>
      <c r="AE3593" s="78" t="s">
        <v>72</v>
      </c>
      <c r="AF3593" s="78" t="s">
        <v>51</v>
      </c>
      <c r="AG3593" s="78" t="s">
        <v>544</v>
      </c>
      <c r="AH3593" s="78">
        <v>4.1515331186906774</v>
      </c>
    </row>
    <row r="3594" spans="29:34">
      <c r="AC3594" s="78" t="s">
        <v>54</v>
      </c>
      <c r="AD3594" s="78" t="s">
        <v>20</v>
      </c>
      <c r="AE3594" s="78" t="s">
        <v>72</v>
      </c>
      <c r="AF3594" s="78" t="s">
        <v>51</v>
      </c>
      <c r="AG3594" s="78" t="s">
        <v>545</v>
      </c>
      <c r="AH3594" s="78">
        <v>4.1515331186906774</v>
      </c>
    </row>
    <row r="3595" spans="29:34">
      <c r="AC3595" s="78" t="s">
        <v>54</v>
      </c>
      <c r="AD3595" s="78" t="s">
        <v>20</v>
      </c>
      <c r="AE3595" s="78" t="s">
        <v>72</v>
      </c>
      <c r="AF3595" s="78" t="s">
        <v>51</v>
      </c>
      <c r="AG3595" s="78" t="s">
        <v>546</v>
      </c>
      <c r="AH3595" s="78">
        <v>3.9721306698598373</v>
      </c>
    </row>
    <row r="3596" spans="29:34">
      <c r="AC3596" s="78" t="s">
        <v>54</v>
      </c>
      <c r="AD3596" s="78" t="s">
        <v>20</v>
      </c>
      <c r="AE3596" s="78" t="s">
        <v>72</v>
      </c>
      <c r="AF3596" s="78" t="s">
        <v>51</v>
      </c>
      <c r="AG3596" s="78" t="s">
        <v>547</v>
      </c>
      <c r="AH3596" s="78">
        <v>4.1515331186906774</v>
      </c>
    </row>
    <row r="3597" spans="29:34">
      <c r="AC3597" s="78" t="s">
        <v>54</v>
      </c>
      <c r="AD3597" s="78" t="s">
        <v>20</v>
      </c>
      <c r="AE3597" s="78" t="s">
        <v>72</v>
      </c>
      <c r="AF3597" s="78" t="s">
        <v>51</v>
      </c>
      <c r="AG3597" s="78" t="s">
        <v>548</v>
      </c>
      <c r="AH3597" s="78">
        <v>3.9721306698598373</v>
      </c>
    </row>
    <row r="3598" spans="29:34">
      <c r="AC3598" s="78" t="s">
        <v>54</v>
      </c>
      <c r="AD3598" s="78" t="s">
        <v>20</v>
      </c>
      <c r="AE3598" s="78" t="s">
        <v>72</v>
      </c>
      <c r="AF3598" s="78" t="s">
        <v>51</v>
      </c>
      <c r="AG3598" s="78" t="s">
        <v>549</v>
      </c>
      <c r="AH3598" s="78">
        <v>3.9721306698598373</v>
      </c>
    </row>
    <row r="3599" spans="29:34">
      <c r="AC3599" s="78" t="s">
        <v>54</v>
      </c>
      <c r="AD3599" s="78" t="s">
        <v>20</v>
      </c>
      <c r="AE3599" s="78" t="s">
        <v>72</v>
      </c>
      <c r="AF3599" s="78" t="s">
        <v>51</v>
      </c>
      <c r="AG3599" s="78" t="s">
        <v>550</v>
      </c>
      <c r="AH3599" s="78">
        <v>3.9721306698598373</v>
      </c>
    </row>
    <row r="3600" spans="29:34">
      <c r="AC3600" s="78" t="s">
        <v>54</v>
      </c>
      <c r="AD3600" s="78" t="s">
        <v>20</v>
      </c>
      <c r="AE3600" s="78" t="s">
        <v>72</v>
      </c>
      <c r="AF3600" s="78" t="s">
        <v>51</v>
      </c>
      <c r="AG3600" s="78" t="s">
        <v>551</v>
      </c>
      <c r="AH3600" s="78">
        <v>3.9721306698598373</v>
      </c>
    </row>
    <row r="3601" spans="29:34">
      <c r="AC3601" s="78" t="s">
        <v>54</v>
      </c>
      <c r="AD3601" s="78" t="s">
        <v>20</v>
      </c>
      <c r="AE3601" s="78" t="s">
        <v>72</v>
      </c>
      <c r="AF3601" s="78" t="s">
        <v>51</v>
      </c>
      <c r="AG3601" s="78" t="s">
        <v>552</v>
      </c>
      <c r="AH3601" s="78">
        <v>4.0925372492460275</v>
      </c>
    </row>
    <row r="3602" spans="29:34">
      <c r="AC3602" s="78" t="s">
        <v>54</v>
      </c>
      <c r="AD3602" s="78" t="s">
        <v>20</v>
      </c>
      <c r="AE3602" s="78" t="s">
        <v>72</v>
      </c>
      <c r="AF3602" s="78" t="s">
        <v>51</v>
      </c>
      <c r="AG3602" s="78" t="s">
        <v>553</v>
      </c>
      <c r="AH3602" s="78">
        <v>4.122061778630858</v>
      </c>
    </row>
    <row r="3603" spans="29:34">
      <c r="AC3603" s="78" t="s">
        <v>54</v>
      </c>
      <c r="AD3603" s="78" t="s">
        <v>20</v>
      </c>
      <c r="AE3603" s="78" t="s">
        <v>72</v>
      </c>
      <c r="AF3603" s="78" t="s">
        <v>51</v>
      </c>
      <c r="AG3603" s="78" t="s">
        <v>554</v>
      </c>
      <c r="AH3603" s="78">
        <v>4.0018790515936864</v>
      </c>
    </row>
    <row r="3604" spans="29:34">
      <c r="AC3604" s="78" t="s">
        <v>54</v>
      </c>
      <c r="AD3604" s="78" t="s">
        <v>20</v>
      </c>
      <c r="AE3604" s="78" t="s">
        <v>72</v>
      </c>
      <c r="AF3604" s="78" t="s">
        <v>51</v>
      </c>
      <c r="AG3604" s="78" t="s">
        <v>555</v>
      </c>
      <c r="AH3604" s="78">
        <v>4.0018790515936864</v>
      </c>
    </row>
    <row r="3605" spans="29:34">
      <c r="AC3605" s="78" t="s">
        <v>54</v>
      </c>
      <c r="AD3605" s="78" t="s">
        <v>20</v>
      </c>
      <c r="AE3605" s="78" t="s">
        <v>72</v>
      </c>
      <c r="AF3605" s="78" t="s">
        <v>51</v>
      </c>
      <c r="AG3605" s="78" t="s">
        <v>556</v>
      </c>
      <c r="AH3605" s="78">
        <v>3.9770901967365671</v>
      </c>
    </row>
    <row r="3606" spans="29:34">
      <c r="AC3606" s="78" t="s">
        <v>54</v>
      </c>
      <c r="AD3606" s="78" t="s">
        <v>20</v>
      </c>
      <c r="AE3606" s="78" t="s">
        <v>72</v>
      </c>
      <c r="AF3606" s="78" t="s">
        <v>51</v>
      </c>
      <c r="AG3606" s="78" t="s">
        <v>557</v>
      </c>
      <c r="AH3606" s="78">
        <v>3.9770901967365671</v>
      </c>
    </row>
    <row r="3607" spans="29:34">
      <c r="AC3607" s="78" t="s">
        <v>54</v>
      </c>
      <c r="AD3607" s="78" t="s">
        <v>20</v>
      </c>
      <c r="AE3607" s="78" t="s">
        <v>72</v>
      </c>
      <c r="AF3607" s="78" t="s">
        <v>51</v>
      </c>
      <c r="AG3607" s="78" t="s">
        <v>558</v>
      </c>
      <c r="AH3607" s="78">
        <v>4.1548334667180757</v>
      </c>
    </row>
    <row r="3608" spans="29:34">
      <c r="AC3608" s="78" t="s">
        <v>54</v>
      </c>
      <c r="AD3608" s="78" t="s">
        <v>20</v>
      </c>
      <c r="AE3608" s="78" t="s">
        <v>72</v>
      </c>
      <c r="AF3608" s="78" t="s">
        <v>51</v>
      </c>
      <c r="AG3608" s="78" t="s">
        <v>559</v>
      </c>
      <c r="AH3608" s="78">
        <v>4.1548334667180757</v>
      </c>
    </row>
    <row r="3609" spans="29:34">
      <c r="AC3609" s="78" t="s">
        <v>54</v>
      </c>
      <c r="AD3609" s="78" t="s">
        <v>20</v>
      </c>
      <c r="AE3609" s="78" t="s">
        <v>72</v>
      </c>
      <c r="AF3609" s="78" t="s">
        <v>51</v>
      </c>
      <c r="AG3609" s="78" t="s">
        <v>560</v>
      </c>
      <c r="AH3609" s="78">
        <v>4.1548334667180757</v>
      </c>
    </row>
    <row r="3610" spans="29:34">
      <c r="AC3610" s="78" t="s">
        <v>54</v>
      </c>
      <c r="AD3610" s="78" t="s">
        <v>20</v>
      </c>
      <c r="AE3610" s="78" t="s">
        <v>72</v>
      </c>
      <c r="AF3610" s="78" t="s">
        <v>51</v>
      </c>
      <c r="AG3610" s="78" t="s">
        <v>561</v>
      </c>
      <c r="AH3610" s="78">
        <v>4.1548334667180757</v>
      </c>
    </row>
    <row r="3611" spans="29:34">
      <c r="AC3611" s="78" t="s">
        <v>54</v>
      </c>
      <c r="AD3611" s="78" t="s">
        <v>20</v>
      </c>
      <c r="AE3611" s="78" t="s">
        <v>72</v>
      </c>
      <c r="AF3611" s="78" t="s">
        <v>51</v>
      </c>
      <c r="AG3611" s="78" t="s">
        <v>562</v>
      </c>
      <c r="AH3611" s="78">
        <v>4.1548334667180757</v>
      </c>
    </row>
    <row r="3612" spans="29:34">
      <c r="AC3612" s="78" t="s">
        <v>54</v>
      </c>
      <c r="AD3612" s="78" t="s">
        <v>20</v>
      </c>
      <c r="AE3612" s="78" t="s">
        <v>72</v>
      </c>
      <c r="AF3612" s="78" t="s">
        <v>51</v>
      </c>
      <c r="AG3612" s="78" t="s">
        <v>563</v>
      </c>
      <c r="AH3612" s="78">
        <v>4.1548334667180757</v>
      </c>
    </row>
    <row r="3613" spans="29:34">
      <c r="AC3613" s="78" t="s">
        <v>54</v>
      </c>
      <c r="AD3613" s="78" t="s">
        <v>20</v>
      </c>
      <c r="AE3613" s="78" t="s">
        <v>72</v>
      </c>
      <c r="AF3613" s="78" t="s">
        <v>51</v>
      </c>
      <c r="AG3613" s="78" t="s">
        <v>564</v>
      </c>
      <c r="AH3613" s="78">
        <v>4.1224027274886375</v>
      </c>
    </row>
    <row r="3614" spans="29:34">
      <c r="AC3614" s="78" t="s">
        <v>54</v>
      </c>
      <c r="AD3614" s="78" t="s">
        <v>20</v>
      </c>
      <c r="AE3614" s="78" t="s">
        <v>72</v>
      </c>
      <c r="AF3614" s="78" t="s">
        <v>51</v>
      </c>
      <c r="AG3614" s="78" t="s">
        <v>565</v>
      </c>
      <c r="AH3614" s="78">
        <v>3.8846068434615981</v>
      </c>
    </row>
    <row r="3615" spans="29:34">
      <c r="AC3615" s="78" t="s">
        <v>54</v>
      </c>
      <c r="AD3615" s="78" t="s">
        <v>20</v>
      </c>
      <c r="AE3615" s="78" t="s">
        <v>72</v>
      </c>
      <c r="AF3615" s="78" t="s">
        <v>51</v>
      </c>
      <c r="AG3615" s="78" t="s">
        <v>566</v>
      </c>
      <c r="AH3615" s="78">
        <v>3.8846068434615981</v>
      </c>
    </row>
    <row r="3616" spans="29:34">
      <c r="AC3616" s="78" t="s">
        <v>54</v>
      </c>
      <c r="AD3616" s="78" t="s">
        <v>20</v>
      </c>
      <c r="AE3616" s="78" t="s">
        <v>72</v>
      </c>
      <c r="AF3616" s="78" t="s">
        <v>51</v>
      </c>
      <c r="AG3616" s="78" t="s">
        <v>567</v>
      </c>
      <c r="AH3616" s="78">
        <v>4.1224027274886375</v>
      </c>
    </row>
    <row r="3617" spans="29:34">
      <c r="AC3617" s="78" t="s">
        <v>54</v>
      </c>
      <c r="AD3617" s="78" t="s">
        <v>20</v>
      </c>
      <c r="AE3617" s="78" t="s">
        <v>72</v>
      </c>
      <c r="AF3617" s="78" t="s">
        <v>51</v>
      </c>
      <c r="AG3617" s="78" t="s">
        <v>568</v>
      </c>
      <c r="AH3617" s="78">
        <v>4.1224027274886375</v>
      </c>
    </row>
    <row r="3618" spans="29:34">
      <c r="AC3618" s="78" t="s">
        <v>54</v>
      </c>
      <c r="AD3618" s="78" t="s">
        <v>20</v>
      </c>
      <c r="AE3618" s="78" t="s">
        <v>72</v>
      </c>
      <c r="AF3618" s="78" t="s">
        <v>51</v>
      </c>
      <c r="AG3618" s="78" t="s">
        <v>569</v>
      </c>
      <c r="AH3618" s="78">
        <v>4.2701439283478235</v>
      </c>
    </row>
    <row r="3619" spans="29:34">
      <c r="AC3619" s="78" t="s">
        <v>54</v>
      </c>
      <c r="AD3619" s="78" t="s">
        <v>20</v>
      </c>
      <c r="AE3619" s="78" t="s">
        <v>72</v>
      </c>
      <c r="AF3619" s="78" t="s">
        <v>51</v>
      </c>
      <c r="AG3619" s="78" t="s">
        <v>570</v>
      </c>
      <c r="AH3619" s="78">
        <v>3.8546413107553095</v>
      </c>
    </row>
    <row r="3620" spans="29:34">
      <c r="AC3620" s="78" t="s">
        <v>54</v>
      </c>
      <c r="AD3620" s="78" t="s">
        <v>20</v>
      </c>
      <c r="AE3620" s="78" t="s">
        <v>72</v>
      </c>
      <c r="AF3620" s="78" t="s">
        <v>51</v>
      </c>
      <c r="AG3620" s="78" t="s">
        <v>571</v>
      </c>
      <c r="AH3620" s="78">
        <v>4.0928646676615683</v>
      </c>
    </row>
    <row r="3621" spans="29:34">
      <c r="AC3621" s="78" t="s">
        <v>54</v>
      </c>
      <c r="AD3621" s="78" t="s">
        <v>20</v>
      </c>
      <c r="AE3621" s="78" t="s">
        <v>72</v>
      </c>
      <c r="AF3621" s="78" t="s">
        <v>51</v>
      </c>
      <c r="AG3621" s="78" t="s">
        <v>572</v>
      </c>
      <c r="AH3621" s="78">
        <v>4.0928646676615683</v>
      </c>
    </row>
    <row r="3622" spans="29:34">
      <c r="AC3622" s="78" t="s">
        <v>54</v>
      </c>
      <c r="AD3622" s="78" t="s">
        <v>20</v>
      </c>
      <c r="AE3622" s="78" t="s">
        <v>72</v>
      </c>
      <c r="AF3622" s="78" t="s">
        <v>51</v>
      </c>
      <c r="AG3622" s="78" t="s">
        <v>573</v>
      </c>
      <c r="AH3622" s="78">
        <v>4.0928646676615683</v>
      </c>
    </row>
    <row r="3623" spans="29:34">
      <c r="AC3623" s="78" t="s">
        <v>54</v>
      </c>
      <c r="AD3623" s="78" t="s">
        <v>20</v>
      </c>
      <c r="AE3623" s="78" t="s">
        <v>72</v>
      </c>
      <c r="AF3623" s="78" t="s">
        <v>51</v>
      </c>
      <c r="AG3623" s="78" t="s">
        <v>574</v>
      </c>
      <c r="AH3623" s="78">
        <v>4.0928646676615683</v>
      </c>
    </row>
    <row r="3624" spans="29:34">
      <c r="AC3624" s="78" t="s">
        <v>54</v>
      </c>
      <c r="AD3624" s="78" t="s">
        <v>20</v>
      </c>
      <c r="AE3624" s="78" t="s">
        <v>72</v>
      </c>
      <c r="AF3624" s="78" t="s">
        <v>51</v>
      </c>
      <c r="AG3624" s="78" t="s">
        <v>575</v>
      </c>
      <c r="AH3624" s="78">
        <v>4.1224027274886375</v>
      </c>
    </row>
    <row r="3625" spans="29:34">
      <c r="AC3625" s="78" t="s">
        <v>54</v>
      </c>
      <c r="AD3625" s="78" t="s">
        <v>20</v>
      </c>
      <c r="AE3625" s="78" t="s">
        <v>72</v>
      </c>
      <c r="AF3625" s="78" t="s">
        <v>51</v>
      </c>
      <c r="AG3625" s="78" t="s">
        <v>576</v>
      </c>
      <c r="AH3625" s="78">
        <v>4.2701439283478235</v>
      </c>
    </row>
    <row r="3626" spans="29:34">
      <c r="AC3626" s="78" t="s">
        <v>54</v>
      </c>
      <c r="AD3626" s="78" t="s">
        <v>20</v>
      </c>
      <c r="AE3626" s="78" t="s">
        <v>72</v>
      </c>
      <c r="AF3626" s="78" t="s">
        <v>51</v>
      </c>
      <c r="AG3626" s="78" t="s">
        <v>577</v>
      </c>
      <c r="AH3626" s="78">
        <v>4.0928646676615683</v>
      </c>
    </row>
    <row r="3627" spans="29:34">
      <c r="AC3627" s="78" t="s">
        <v>54</v>
      </c>
      <c r="AD3627" s="78" t="s">
        <v>20</v>
      </c>
      <c r="AE3627" s="78" t="s">
        <v>72</v>
      </c>
      <c r="AF3627" s="78" t="s">
        <v>51</v>
      </c>
      <c r="AG3627" s="78" t="s">
        <v>578</v>
      </c>
      <c r="AH3627" s="78">
        <v>4.1548334667180757</v>
      </c>
    </row>
    <row r="3628" spans="29:34">
      <c r="AC3628" s="78" t="s">
        <v>54</v>
      </c>
      <c r="AD3628" s="78" t="s">
        <v>20</v>
      </c>
      <c r="AE3628" s="78" t="s">
        <v>72</v>
      </c>
      <c r="AF3628" s="78" t="s">
        <v>51</v>
      </c>
      <c r="AG3628" s="78" t="s">
        <v>579</v>
      </c>
      <c r="AH3628" s="78">
        <v>4.1548334667180757</v>
      </c>
    </row>
    <row r="3629" spans="29:34">
      <c r="AC3629" s="78" t="s">
        <v>54</v>
      </c>
      <c r="AD3629" s="78" t="s">
        <v>20</v>
      </c>
      <c r="AE3629" s="78" t="s">
        <v>72</v>
      </c>
      <c r="AF3629" s="78" t="s">
        <v>51</v>
      </c>
      <c r="AG3629" s="78" t="s">
        <v>580</v>
      </c>
      <c r="AH3629" s="78">
        <v>4.2701439283478235</v>
      </c>
    </row>
    <row r="3630" spans="29:34">
      <c r="AC3630" s="78" t="s">
        <v>54</v>
      </c>
      <c r="AD3630" s="78" t="s">
        <v>20</v>
      </c>
      <c r="AE3630" s="78" t="s">
        <v>72</v>
      </c>
      <c r="AF3630" s="78" t="s">
        <v>51</v>
      </c>
      <c r="AG3630" s="78" t="s">
        <v>581</v>
      </c>
      <c r="AH3630" s="78">
        <v>4.2701439283478235</v>
      </c>
    </row>
    <row r="3631" spans="29:34">
      <c r="AC3631" s="78" t="s">
        <v>54</v>
      </c>
      <c r="AD3631" s="78" t="s">
        <v>20</v>
      </c>
      <c r="AE3631" s="78" t="s">
        <v>72</v>
      </c>
      <c r="AF3631" s="78" t="s">
        <v>51</v>
      </c>
      <c r="AG3631" s="78" t="s">
        <v>582</v>
      </c>
      <c r="AH3631" s="78">
        <v>4.0928646676615683</v>
      </c>
    </row>
    <row r="3632" spans="29:34">
      <c r="AC3632" s="78" t="s">
        <v>54</v>
      </c>
      <c r="AD3632" s="78" t="s">
        <v>20</v>
      </c>
      <c r="AE3632" s="78" t="s">
        <v>72</v>
      </c>
      <c r="AF3632" s="78" t="s">
        <v>51</v>
      </c>
      <c r="AG3632" s="78" t="s">
        <v>583</v>
      </c>
      <c r="AH3632" s="78">
        <v>4.1224027274886375</v>
      </c>
    </row>
    <row r="3633" spans="29:34">
      <c r="AC3633" s="78" t="s">
        <v>54</v>
      </c>
      <c r="AD3633" s="78" t="s">
        <v>20</v>
      </c>
      <c r="AE3633" s="78" t="s">
        <v>72</v>
      </c>
      <c r="AF3633" s="78" t="s">
        <v>51</v>
      </c>
      <c r="AG3633" s="78" t="s">
        <v>584</v>
      </c>
      <c r="AH3633" s="78">
        <v>4.0928646676615683</v>
      </c>
    </row>
    <row r="3634" spans="29:34">
      <c r="AC3634" s="78" t="s">
        <v>54</v>
      </c>
      <c r="AD3634" s="78" t="s">
        <v>20</v>
      </c>
      <c r="AE3634" s="78" t="s">
        <v>72</v>
      </c>
      <c r="AF3634" s="78" t="s">
        <v>51</v>
      </c>
      <c r="AG3634" s="78" t="s">
        <v>585</v>
      </c>
      <c r="AH3634" s="78">
        <v>4.0928646676615683</v>
      </c>
    </row>
    <row r="3635" spans="29:34">
      <c r="AC3635" s="78" t="s">
        <v>54</v>
      </c>
      <c r="AD3635" s="78" t="s">
        <v>20</v>
      </c>
      <c r="AE3635" s="78" t="s">
        <v>72</v>
      </c>
      <c r="AF3635" s="78" t="s">
        <v>51</v>
      </c>
      <c r="AG3635" s="78" t="s">
        <v>586</v>
      </c>
      <c r="AH3635" s="78">
        <v>4.0928646676615683</v>
      </c>
    </row>
    <row r="3636" spans="29:34">
      <c r="AC3636" s="78" t="s">
        <v>54</v>
      </c>
      <c r="AD3636" s="78" t="s">
        <v>20</v>
      </c>
      <c r="AE3636" s="78" t="s">
        <v>72</v>
      </c>
      <c r="AF3636" s="78" t="s">
        <v>51</v>
      </c>
      <c r="AG3636" s="78" t="s">
        <v>587</v>
      </c>
      <c r="AH3636" s="78">
        <v>4.0928646676615683</v>
      </c>
    </row>
    <row r="3637" spans="29:34">
      <c r="AC3637" s="78" t="s">
        <v>54</v>
      </c>
      <c r="AD3637" s="78" t="s">
        <v>20</v>
      </c>
      <c r="AE3637" s="78" t="s">
        <v>72</v>
      </c>
      <c r="AF3637" s="78" t="s">
        <v>51</v>
      </c>
      <c r="AG3637" s="78" t="s">
        <v>588</v>
      </c>
      <c r="AH3637" s="78">
        <v>4.2701439283478235</v>
      </c>
    </row>
    <row r="3638" spans="29:34">
      <c r="AC3638" s="78" t="s">
        <v>54</v>
      </c>
      <c r="AD3638" s="78" t="s">
        <v>20</v>
      </c>
      <c r="AE3638" s="78" t="s">
        <v>72</v>
      </c>
      <c r="AF3638" s="78" t="s">
        <v>51</v>
      </c>
      <c r="AG3638" s="78" t="s">
        <v>589</v>
      </c>
      <c r="AH3638" s="78">
        <v>4.2701439283478235</v>
      </c>
    </row>
    <row r="3639" spans="29:34">
      <c r="AC3639" s="78" t="s">
        <v>54</v>
      </c>
      <c r="AD3639" s="78" t="s">
        <v>20</v>
      </c>
      <c r="AE3639" s="78" t="s">
        <v>72</v>
      </c>
      <c r="AF3639" s="78" t="s">
        <v>51</v>
      </c>
      <c r="AG3639" s="78" t="s">
        <v>590</v>
      </c>
      <c r="AH3639" s="78">
        <v>4.2701439283478235</v>
      </c>
    </row>
    <row r="3640" spans="29:34">
      <c r="AC3640" s="78" t="s">
        <v>54</v>
      </c>
      <c r="AD3640" s="78" t="s">
        <v>20</v>
      </c>
      <c r="AE3640" s="78" t="s">
        <v>72</v>
      </c>
      <c r="AF3640" s="78" t="s">
        <v>51</v>
      </c>
      <c r="AG3640" s="78" t="s">
        <v>591</v>
      </c>
      <c r="AH3640" s="78">
        <v>4.2379489588927832</v>
      </c>
    </row>
    <row r="3641" spans="29:34">
      <c r="AC3641" s="78" t="s">
        <v>54</v>
      </c>
      <c r="AD3641" s="78" t="s">
        <v>20</v>
      </c>
      <c r="AE3641" s="78" t="s">
        <v>72</v>
      </c>
      <c r="AF3641" s="78" t="s">
        <v>51</v>
      </c>
      <c r="AG3641" s="78" t="s">
        <v>592</v>
      </c>
      <c r="AH3641" s="78">
        <v>4.2086255594627131</v>
      </c>
    </row>
    <row r="3642" spans="29:34">
      <c r="AC3642" s="78" t="s">
        <v>54</v>
      </c>
      <c r="AD3642" s="78" t="s">
        <v>20</v>
      </c>
      <c r="AE3642" s="78" t="s">
        <v>72</v>
      </c>
      <c r="AF3642" s="78" t="s">
        <v>51</v>
      </c>
      <c r="AG3642" s="78" t="s">
        <v>593</v>
      </c>
      <c r="AH3642" s="78">
        <v>4.2701439283478235</v>
      </c>
    </row>
    <row r="3643" spans="29:34">
      <c r="AC3643" s="78" t="s">
        <v>54</v>
      </c>
      <c r="AD3643" s="78" t="s">
        <v>20</v>
      </c>
      <c r="AE3643" s="78" t="s">
        <v>72</v>
      </c>
      <c r="AF3643" s="78" t="s">
        <v>51</v>
      </c>
      <c r="AG3643" s="78" t="s">
        <v>594</v>
      </c>
      <c r="AH3643" s="78">
        <v>4.2701439283478235</v>
      </c>
    </row>
    <row r="3644" spans="29:34">
      <c r="AC3644" s="78" t="s">
        <v>54</v>
      </c>
      <c r="AD3644" s="78" t="s">
        <v>20</v>
      </c>
      <c r="AE3644" s="78" t="s">
        <v>72</v>
      </c>
      <c r="AF3644" s="78" t="s">
        <v>51</v>
      </c>
      <c r="AG3644" s="78" t="s">
        <v>595</v>
      </c>
      <c r="AH3644" s="78">
        <v>4.0928646676615683</v>
      </c>
    </row>
    <row r="3645" spans="29:34">
      <c r="AC3645" s="78" t="s">
        <v>54</v>
      </c>
      <c r="AD3645" s="78" t="s">
        <v>20</v>
      </c>
      <c r="AE3645" s="78" t="s">
        <v>72</v>
      </c>
      <c r="AF3645" s="78" t="s">
        <v>51</v>
      </c>
      <c r="AG3645" s="78" t="s">
        <v>596</v>
      </c>
      <c r="AH3645" s="78">
        <v>4.1224027274886375</v>
      </c>
    </row>
    <row r="3646" spans="29:34">
      <c r="AC3646" s="78" t="s">
        <v>54</v>
      </c>
      <c r="AD3646" s="78" t="s">
        <v>20</v>
      </c>
      <c r="AE3646" s="78" t="s">
        <v>72</v>
      </c>
      <c r="AF3646" s="78" t="s">
        <v>51</v>
      </c>
      <c r="AG3646" s="78" t="s">
        <v>597</v>
      </c>
      <c r="AH3646" s="78">
        <v>4.0928646676615683</v>
      </c>
    </row>
    <row r="3647" spans="29:34">
      <c r="AC3647" s="78" t="s">
        <v>54</v>
      </c>
      <c r="AD3647" s="78" t="s">
        <v>20</v>
      </c>
      <c r="AE3647" s="78" t="s">
        <v>72</v>
      </c>
      <c r="AF3647" s="78" t="s">
        <v>51</v>
      </c>
      <c r="AG3647" s="78" t="s">
        <v>598</v>
      </c>
      <c r="AH3647" s="78">
        <v>4.2701439283478235</v>
      </c>
    </row>
    <row r="3648" spans="29:34">
      <c r="AC3648" s="78" t="s">
        <v>54</v>
      </c>
      <c r="AD3648" s="78" t="s">
        <v>20</v>
      </c>
      <c r="AE3648" s="78" t="s">
        <v>72</v>
      </c>
      <c r="AF3648" s="78" t="s">
        <v>51</v>
      </c>
      <c r="AG3648" s="78" t="s">
        <v>599</v>
      </c>
      <c r="AH3648" s="78">
        <v>4.0928646676615683</v>
      </c>
    </row>
    <row r="3649" spans="29:34">
      <c r="AC3649" s="78" t="s">
        <v>54</v>
      </c>
      <c r="AD3649" s="78" t="s">
        <v>20</v>
      </c>
      <c r="AE3649" s="78" t="s">
        <v>72</v>
      </c>
      <c r="AF3649" s="78" t="s">
        <v>51</v>
      </c>
      <c r="AG3649" s="78" t="s">
        <v>600</v>
      </c>
      <c r="AH3649" s="78">
        <v>4.0928646676615683</v>
      </c>
    </row>
    <row r="3650" spans="29:34">
      <c r="AC3650" s="78" t="s">
        <v>54</v>
      </c>
      <c r="AD3650" s="78" t="s">
        <v>20</v>
      </c>
      <c r="AE3650" s="78" t="s">
        <v>72</v>
      </c>
      <c r="AF3650" s="78" t="s">
        <v>51</v>
      </c>
      <c r="AG3650" s="78" t="s">
        <v>601</v>
      </c>
      <c r="AH3650" s="78">
        <v>4.2701439283478235</v>
      </c>
    </row>
    <row r="3651" spans="29:34">
      <c r="AC3651" s="78" t="s">
        <v>54</v>
      </c>
      <c r="AD3651" s="78" t="s">
        <v>20</v>
      </c>
      <c r="AE3651" s="78" t="s">
        <v>72</v>
      </c>
      <c r="AF3651" s="78" t="s">
        <v>51</v>
      </c>
      <c r="AG3651" s="78" t="s">
        <v>602</v>
      </c>
      <c r="AH3651" s="78">
        <v>4.2379489588927832</v>
      </c>
    </row>
    <row r="3652" spans="29:34">
      <c r="AC3652" s="78" t="s">
        <v>54</v>
      </c>
      <c r="AD3652" s="78" t="s">
        <v>20</v>
      </c>
      <c r="AE3652" s="78" t="s">
        <v>72</v>
      </c>
      <c r="AF3652" s="78" t="s">
        <v>51</v>
      </c>
      <c r="AG3652" s="78" t="s">
        <v>603</v>
      </c>
      <c r="AH3652" s="78">
        <v>4.2379489588927832</v>
      </c>
    </row>
    <row r="3653" spans="29:34">
      <c r="AC3653" s="78" t="s">
        <v>54</v>
      </c>
      <c r="AD3653" s="78" t="s">
        <v>20</v>
      </c>
      <c r="AE3653" s="78" t="s">
        <v>72</v>
      </c>
      <c r="AF3653" s="78" t="s">
        <v>51</v>
      </c>
      <c r="AG3653" s="78" t="s">
        <v>604</v>
      </c>
      <c r="AH3653" s="78">
        <v>4.2701439283478235</v>
      </c>
    </row>
    <row r="3654" spans="29:34">
      <c r="AC3654" s="78" t="s">
        <v>54</v>
      </c>
      <c r="AD3654" s="78" t="s">
        <v>20</v>
      </c>
      <c r="AE3654" s="78" t="s">
        <v>72</v>
      </c>
      <c r="AF3654" s="78" t="s">
        <v>51</v>
      </c>
      <c r="AG3654" s="78" t="s">
        <v>605</v>
      </c>
      <c r="AH3654" s="78">
        <v>4.0928646676615683</v>
      </c>
    </row>
    <row r="3655" spans="29:34">
      <c r="AC3655" s="78" t="s">
        <v>54</v>
      </c>
      <c r="AD3655" s="78" t="s">
        <v>20</v>
      </c>
      <c r="AE3655" s="78" t="s">
        <v>72</v>
      </c>
      <c r="AF3655" s="78" t="s">
        <v>51</v>
      </c>
      <c r="AG3655" s="78" t="s">
        <v>606</v>
      </c>
      <c r="AH3655" s="78">
        <v>4.2701439283478235</v>
      </c>
    </row>
    <row r="3656" spans="29:34">
      <c r="AC3656" s="78" t="s">
        <v>54</v>
      </c>
      <c r="AD3656" s="78" t="s">
        <v>20</v>
      </c>
      <c r="AE3656" s="78" t="s">
        <v>72</v>
      </c>
      <c r="AF3656" s="78" t="s">
        <v>51</v>
      </c>
      <c r="AG3656" s="78" t="s">
        <v>607</v>
      </c>
      <c r="AH3656" s="78">
        <v>4.0928646676615683</v>
      </c>
    </row>
    <row r="3657" spans="29:34">
      <c r="AC3657" s="78" t="s">
        <v>54</v>
      </c>
      <c r="AD3657" s="78" t="s">
        <v>20</v>
      </c>
      <c r="AE3657" s="78" t="s">
        <v>72</v>
      </c>
      <c r="AF3657" s="78" t="s">
        <v>51</v>
      </c>
      <c r="AG3657" s="78" t="s">
        <v>608</v>
      </c>
      <c r="AH3657" s="78">
        <v>4.0928646676615683</v>
      </c>
    </row>
    <row r="3658" spans="29:34">
      <c r="AC3658" s="78" t="s">
        <v>54</v>
      </c>
      <c r="AD3658" s="78" t="s">
        <v>20</v>
      </c>
      <c r="AE3658" s="78" t="s">
        <v>72</v>
      </c>
      <c r="AF3658" s="78" t="s">
        <v>51</v>
      </c>
      <c r="AG3658" s="78" t="s">
        <v>609</v>
      </c>
      <c r="AH3658" s="78">
        <v>4.0928646676615683</v>
      </c>
    </row>
    <row r="3659" spans="29:34">
      <c r="AC3659" s="78" t="s">
        <v>54</v>
      </c>
      <c r="AD3659" s="78" t="s">
        <v>20</v>
      </c>
      <c r="AE3659" s="78" t="s">
        <v>72</v>
      </c>
      <c r="AF3659" s="78" t="s">
        <v>51</v>
      </c>
      <c r="AG3659" s="78" t="s">
        <v>610</v>
      </c>
      <c r="AH3659" s="78">
        <v>4.1224027274886375</v>
      </c>
    </row>
    <row r="3660" spans="29:34">
      <c r="AC3660" s="78" t="s">
        <v>54</v>
      </c>
      <c r="AD3660" s="78" t="s">
        <v>20</v>
      </c>
      <c r="AE3660" s="78" t="s">
        <v>72</v>
      </c>
      <c r="AF3660" s="78" t="s">
        <v>51</v>
      </c>
      <c r="AG3660" s="78" t="s">
        <v>611</v>
      </c>
      <c r="AH3660" s="78">
        <v>4.3568111853435916</v>
      </c>
    </row>
    <row r="3661" spans="29:34">
      <c r="AC3661" s="78" t="s">
        <v>54</v>
      </c>
      <c r="AD3661" s="78" t="s">
        <v>20</v>
      </c>
      <c r="AE3661" s="78" t="s">
        <v>72</v>
      </c>
      <c r="AF3661" s="78" t="s">
        <v>51</v>
      </c>
      <c r="AG3661" s="78" t="s">
        <v>612</v>
      </c>
      <c r="AH3661" s="78">
        <v>4.3858769032637648</v>
      </c>
    </row>
    <row r="3662" spans="29:34">
      <c r="AC3662" s="78" t="s">
        <v>54</v>
      </c>
      <c r="AD3662" s="78" t="s">
        <v>20</v>
      </c>
      <c r="AE3662" s="78" t="s">
        <v>72</v>
      </c>
      <c r="AF3662" s="78" t="s">
        <v>51</v>
      </c>
      <c r="AG3662" s="78" t="s">
        <v>613</v>
      </c>
      <c r="AH3662" s="78">
        <v>4.3858769032637648</v>
      </c>
    </row>
    <row r="3663" spans="29:34">
      <c r="AC3663" s="78" t="s">
        <v>54</v>
      </c>
      <c r="AD3663" s="78" t="s">
        <v>20</v>
      </c>
      <c r="AE3663" s="78" t="s">
        <v>72</v>
      </c>
      <c r="AF3663" s="78" t="s">
        <v>51</v>
      </c>
      <c r="AG3663" s="78" t="s">
        <v>614</v>
      </c>
      <c r="AH3663" s="78">
        <v>4.3858769032637648</v>
      </c>
    </row>
    <row r="3664" spans="29:34">
      <c r="AC3664" s="78" t="s">
        <v>54</v>
      </c>
      <c r="AD3664" s="78" t="s">
        <v>20</v>
      </c>
      <c r="AE3664" s="78" t="s">
        <v>72</v>
      </c>
      <c r="AF3664" s="78" t="s">
        <v>51</v>
      </c>
      <c r="AG3664" s="78" t="s">
        <v>615</v>
      </c>
      <c r="AH3664" s="78">
        <v>4.3858769032637648</v>
      </c>
    </row>
    <row r="3665" spans="29:34">
      <c r="AC3665" s="78" t="s">
        <v>54</v>
      </c>
      <c r="AD3665" s="78" t="s">
        <v>20</v>
      </c>
      <c r="AE3665" s="78" t="s">
        <v>72</v>
      </c>
      <c r="AF3665" s="78" t="s">
        <v>51</v>
      </c>
      <c r="AG3665" s="78" t="s">
        <v>616</v>
      </c>
      <c r="AH3665" s="78">
        <v>4.327693427336941</v>
      </c>
    </row>
    <row r="3666" spans="29:34">
      <c r="AC3666" s="78" t="s">
        <v>54</v>
      </c>
      <c r="AD3666" s="78" t="s">
        <v>20</v>
      </c>
      <c r="AE3666" s="78" t="s">
        <v>72</v>
      </c>
      <c r="AF3666" s="78" t="s">
        <v>51</v>
      </c>
      <c r="AG3666" s="78" t="s">
        <v>617</v>
      </c>
      <c r="AH3666" s="78">
        <v>4.327693427336941</v>
      </c>
    </row>
    <row r="3667" spans="29:34">
      <c r="AC3667" s="78" t="s">
        <v>54</v>
      </c>
      <c r="AD3667" s="78" t="s">
        <v>20</v>
      </c>
      <c r="AE3667" s="78" t="s">
        <v>72</v>
      </c>
      <c r="AF3667" s="78" t="s">
        <v>51</v>
      </c>
      <c r="AG3667" s="78" t="s">
        <v>618</v>
      </c>
      <c r="AH3667" s="78">
        <v>4.327693427336941</v>
      </c>
    </row>
    <row r="3668" spans="29:34">
      <c r="AC3668" s="78" t="s">
        <v>54</v>
      </c>
      <c r="AD3668" s="78" t="s">
        <v>20</v>
      </c>
      <c r="AE3668" s="78" t="s">
        <v>72</v>
      </c>
      <c r="AF3668" s="78" t="s">
        <v>51</v>
      </c>
      <c r="AG3668" s="78" t="s">
        <v>619</v>
      </c>
      <c r="AH3668" s="78">
        <v>4.4995050217246879</v>
      </c>
    </row>
    <row r="3669" spans="29:34">
      <c r="AC3669" s="78" t="s">
        <v>54</v>
      </c>
      <c r="AD3669" s="78" t="s">
        <v>20</v>
      </c>
      <c r="AE3669" s="78" t="s">
        <v>72</v>
      </c>
      <c r="AF3669" s="78" t="s">
        <v>51</v>
      </c>
      <c r="AG3669" s="78" t="s">
        <v>620</v>
      </c>
      <c r="AH3669" s="78">
        <v>4.2701439283478235</v>
      </c>
    </row>
    <row r="3670" spans="29:34">
      <c r="AC3670" s="78" t="s">
        <v>54</v>
      </c>
      <c r="AD3670" s="78" t="s">
        <v>20</v>
      </c>
      <c r="AE3670" s="78" t="s">
        <v>72</v>
      </c>
      <c r="AF3670" s="78" t="s">
        <v>51</v>
      </c>
      <c r="AG3670" s="78" t="s">
        <v>621</v>
      </c>
      <c r="AH3670" s="78">
        <v>4.2701439283478235</v>
      </c>
    </row>
    <row r="3671" spans="29:34">
      <c r="AC3671" s="78" t="s">
        <v>54</v>
      </c>
      <c r="AD3671" s="78" t="s">
        <v>20</v>
      </c>
      <c r="AE3671" s="78" t="s">
        <v>72</v>
      </c>
      <c r="AF3671" s="78" t="s">
        <v>51</v>
      </c>
      <c r="AG3671" s="78" t="s">
        <v>622</v>
      </c>
      <c r="AH3671" s="78">
        <v>4.2701439283478235</v>
      </c>
    </row>
    <row r="3672" spans="29:34">
      <c r="AC3672" s="78" t="s">
        <v>54</v>
      </c>
      <c r="AD3672" s="78" t="s">
        <v>20</v>
      </c>
      <c r="AE3672" s="78" t="s">
        <v>72</v>
      </c>
      <c r="AF3672" s="78" t="s">
        <v>51</v>
      </c>
      <c r="AG3672" s="78" t="s">
        <v>623</v>
      </c>
      <c r="AH3672" s="78">
        <v>4.2379489588927832</v>
      </c>
    </row>
    <row r="3673" spans="29:34">
      <c r="AC3673" s="78" t="s">
        <v>54</v>
      </c>
      <c r="AD3673" s="78" t="s">
        <v>20</v>
      </c>
      <c r="AE3673" s="78" t="s">
        <v>72</v>
      </c>
      <c r="AF3673" s="78" t="s">
        <v>51</v>
      </c>
      <c r="AG3673" s="78" t="s">
        <v>624</v>
      </c>
      <c r="AH3673" s="78">
        <v>4.2701439283478235</v>
      </c>
    </row>
    <row r="3674" spans="29:34">
      <c r="AC3674" s="78" t="s">
        <v>54</v>
      </c>
      <c r="AD3674" s="78" t="s">
        <v>20</v>
      </c>
      <c r="AE3674" s="78" t="s">
        <v>72</v>
      </c>
      <c r="AF3674" s="78" t="s">
        <v>51</v>
      </c>
      <c r="AG3674" s="78" t="s">
        <v>625</v>
      </c>
      <c r="AH3674" s="78">
        <v>4.2701439283478235</v>
      </c>
    </row>
    <row r="3675" spans="29:34">
      <c r="AC3675" s="78" t="s">
        <v>54</v>
      </c>
      <c r="AD3675" s="78" t="s">
        <v>20</v>
      </c>
      <c r="AE3675" s="78" t="s">
        <v>72</v>
      </c>
      <c r="AF3675" s="78" t="s">
        <v>51</v>
      </c>
      <c r="AG3675" s="78" t="s">
        <v>626</v>
      </c>
      <c r="AH3675" s="78">
        <v>4.0928646676615683</v>
      </c>
    </row>
    <row r="3676" spans="29:34">
      <c r="AC3676" s="78" t="s">
        <v>54</v>
      </c>
      <c r="AD3676" s="78" t="s">
        <v>20</v>
      </c>
      <c r="AE3676" s="78" t="s">
        <v>72</v>
      </c>
      <c r="AF3676" s="78" t="s">
        <v>51</v>
      </c>
      <c r="AG3676" s="78" t="s">
        <v>627</v>
      </c>
      <c r="AH3676" s="78">
        <v>4.0928646676615683</v>
      </c>
    </row>
    <row r="3677" spans="29:34">
      <c r="AC3677" s="78" t="s">
        <v>54</v>
      </c>
      <c r="AD3677" s="78" t="s">
        <v>20</v>
      </c>
      <c r="AE3677" s="78" t="s">
        <v>72</v>
      </c>
      <c r="AF3677" s="78" t="s">
        <v>51</v>
      </c>
      <c r="AG3677" s="78" t="s">
        <v>628</v>
      </c>
      <c r="AH3677" s="78">
        <v>4.2701439283478235</v>
      </c>
    </row>
    <row r="3678" spans="29:34">
      <c r="AC3678" s="78" t="s">
        <v>54</v>
      </c>
      <c r="AD3678" s="78" t="s">
        <v>20</v>
      </c>
      <c r="AE3678" s="78" t="s">
        <v>72</v>
      </c>
      <c r="AF3678" s="78" t="s">
        <v>51</v>
      </c>
      <c r="AG3678" s="78" t="s">
        <v>629</v>
      </c>
      <c r="AH3678" s="78">
        <v>4.2379489588927832</v>
      </c>
    </row>
    <row r="3679" spans="29:34">
      <c r="AC3679" s="78" t="s">
        <v>54</v>
      </c>
      <c r="AD3679" s="78" t="s">
        <v>20</v>
      </c>
      <c r="AE3679" s="78" t="s">
        <v>72</v>
      </c>
      <c r="AF3679" s="78" t="s">
        <v>51</v>
      </c>
      <c r="AG3679" s="78" t="s">
        <v>630</v>
      </c>
      <c r="AH3679" s="78">
        <v>4.2701439283478235</v>
      </c>
    </row>
    <row r="3680" spans="29:34">
      <c r="AC3680" s="78" t="s">
        <v>54</v>
      </c>
      <c r="AD3680" s="78" t="s">
        <v>20</v>
      </c>
      <c r="AE3680" s="78" t="s">
        <v>72</v>
      </c>
      <c r="AF3680" s="78" t="s">
        <v>51</v>
      </c>
      <c r="AG3680" s="78" t="s">
        <v>631</v>
      </c>
      <c r="AH3680" s="78">
        <v>4.2379489588927832</v>
      </c>
    </row>
    <row r="3681" spans="29:34">
      <c r="AC3681" s="78" t="s">
        <v>54</v>
      </c>
      <c r="AD3681" s="78" t="s">
        <v>20</v>
      </c>
      <c r="AE3681" s="78" t="s">
        <v>72</v>
      </c>
      <c r="AF3681" s="78" t="s">
        <v>51</v>
      </c>
      <c r="AG3681" s="78" t="s">
        <v>632</v>
      </c>
      <c r="AH3681" s="78">
        <v>4.2379489588927832</v>
      </c>
    </row>
    <row r="3682" spans="29:34">
      <c r="AC3682" s="78" t="s">
        <v>54</v>
      </c>
      <c r="AD3682" s="78" t="s">
        <v>20</v>
      </c>
      <c r="AE3682" s="78" t="s">
        <v>72</v>
      </c>
      <c r="AF3682" s="78" t="s">
        <v>51</v>
      </c>
      <c r="AG3682" s="78" t="s">
        <v>633</v>
      </c>
      <c r="AH3682" s="78">
        <v>4.2701439283478235</v>
      </c>
    </row>
    <row r="3683" spans="29:34">
      <c r="AC3683" s="78" t="s">
        <v>54</v>
      </c>
      <c r="AD3683" s="78" t="s">
        <v>20</v>
      </c>
      <c r="AE3683" s="78" t="s">
        <v>72</v>
      </c>
      <c r="AF3683" s="78" t="s">
        <v>51</v>
      </c>
      <c r="AG3683" s="78" t="s">
        <v>634</v>
      </c>
      <c r="AH3683" s="78">
        <v>4.2379489588927832</v>
      </c>
    </row>
    <row r="3684" spans="29:34">
      <c r="AC3684" s="78" t="s">
        <v>54</v>
      </c>
      <c r="AD3684" s="78" t="s">
        <v>20</v>
      </c>
      <c r="AE3684" s="78" t="s">
        <v>72</v>
      </c>
      <c r="AF3684" s="78" t="s">
        <v>51</v>
      </c>
      <c r="AG3684" s="78" t="s">
        <v>635</v>
      </c>
      <c r="AH3684" s="78">
        <v>4.2086255594627131</v>
      </c>
    </row>
    <row r="3685" spans="29:34">
      <c r="AC3685" s="78" t="s">
        <v>54</v>
      </c>
      <c r="AD3685" s="78" t="s">
        <v>20</v>
      </c>
      <c r="AE3685" s="78" t="s">
        <v>72</v>
      </c>
      <c r="AF3685" s="78" t="s">
        <v>51</v>
      </c>
      <c r="AG3685" s="78" t="s">
        <v>636</v>
      </c>
      <c r="AH3685" s="78">
        <v>4.3854024946351533</v>
      </c>
    </row>
    <row r="3686" spans="29:34">
      <c r="AC3686" s="78" t="s">
        <v>54</v>
      </c>
      <c r="AD3686" s="78" t="s">
        <v>20</v>
      </c>
      <c r="AE3686" s="78" t="s">
        <v>72</v>
      </c>
      <c r="AF3686" s="78" t="s">
        <v>51</v>
      </c>
      <c r="AG3686" s="78" t="s">
        <v>637</v>
      </c>
      <c r="AH3686" s="78">
        <v>4.2086255594627131</v>
      </c>
    </row>
    <row r="3687" spans="29:34">
      <c r="AC3687" s="78" t="s">
        <v>54</v>
      </c>
      <c r="AD3687" s="78" t="s">
        <v>20</v>
      </c>
      <c r="AE3687" s="78" t="s">
        <v>72</v>
      </c>
      <c r="AF3687" s="78" t="s">
        <v>51</v>
      </c>
      <c r="AG3687" s="78" t="s">
        <v>638</v>
      </c>
      <c r="AH3687" s="78">
        <v>4.2086255594627131</v>
      </c>
    </row>
    <row r="3688" spans="29:34">
      <c r="AC3688" s="78" t="s">
        <v>54</v>
      </c>
      <c r="AD3688" s="78" t="s">
        <v>20</v>
      </c>
      <c r="AE3688" s="78" t="s">
        <v>72</v>
      </c>
      <c r="AF3688" s="78" t="s">
        <v>51</v>
      </c>
      <c r="AG3688" s="78" t="s">
        <v>639</v>
      </c>
      <c r="AH3688" s="78">
        <v>4.3854024946351533</v>
      </c>
    </row>
    <row r="3689" spans="29:34">
      <c r="AC3689" s="78" t="s">
        <v>54</v>
      </c>
      <c r="AD3689" s="78" t="s">
        <v>20</v>
      </c>
      <c r="AE3689" s="78" t="s">
        <v>72</v>
      </c>
      <c r="AF3689" s="78" t="s">
        <v>51</v>
      </c>
      <c r="AG3689" s="78" t="s">
        <v>640</v>
      </c>
      <c r="AH3689" s="78">
        <v>4.2086255594627131</v>
      </c>
    </row>
    <row r="3690" spans="29:34">
      <c r="AC3690" s="78" t="s">
        <v>54</v>
      </c>
      <c r="AD3690" s="78" t="s">
        <v>20</v>
      </c>
      <c r="AE3690" s="78" t="s">
        <v>72</v>
      </c>
      <c r="AF3690" s="78" t="s">
        <v>51</v>
      </c>
      <c r="AG3690" s="78" t="s">
        <v>641</v>
      </c>
      <c r="AH3690" s="78">
        <v>4.2086255594627131</v>
      </c>
    </row>
    <row r="3691" spans="29:34">
      <c r="AC3691" s="78" t="s">
        <v>54</v>
      </c>
      <c r="AD3691" s="78" t="s">
        <v>20</v>
      </c>
      <c r="AE3691" s="78" t="s">
        <v>72</v>
      </c>
      <c r="AF3691" s="78" t="s">
        <v>51</v>
      </c>
      <c r="AG3691" s="78" t="s">
        <v>642</v>
      </c>
      <c r="AH3691" s="78">
        <v>4.2701439283478235</v>
      </c>
    </row>
    <row r="3692" spans="29:34">
      <c r="AC3692" s="78" t="s">
        <v>54</v>
      </c>
      <c r="AD3692" s="78" t="s">
        <v>20</v>
      </c>
      <c r="AE3692" s="78" t="s">
        <v>72</v>
      </c>
      <c r="AF3692" s="78" t="s">
        <v>51</v>
      </c>
      <c r="AG3692" s="78" t="s">
        <v>643</v>
      </c>
      <c r="AH3692" s="78">
        <v>4.2701439283478235</v>
      </c>
    </row>
    <row r="3693" spans="29:34">
      <c r="AC3693" s="78" t="s">
        <v>54</v>
      </c>
      <c r="AD3693" s="78" t="s">
        <v>20</v>
      </c>
      <c r="AE3693" s="78" t="s">
        <v>72</v>
      </c>
      <c r="AF3693" s="78" t="s">
        <v>51</v>
      </c>
      <c r="AG3693" s="78" t="s">
        <v>644</v>
      </c>
      <c r="AH3693" s="78">
        <v>4.0928646676615683</v>
      </c>
    </row>
    <row r="3694" spans="29:34">
      <c r="AC3694" s="78" t="s">
        <v>54</v>
      </c>
      <c r="AD3694" s="78" t="s">
        <v>20</v>
      </c>
      <c r="AE3694" s="78" t="s">
        <v>72</v>
      </c>
      <c r="AF3694" s="78" t="s">
        <v>51</v>
      </c>
      <c r="AG3694" s="78" t="s">
        <v>645</v>
      </c>
      <c r="AH3694" s="78">
        <v>4.2701439283478235</v>
      </c>
    </row>
    <row r="3695" spans="29:34">
      <c r="AC3695" s="78" t="s">
        <v>54</v>
      </c>
      <c r="AD3695" s="78" t="s">
        <v>20</v>
      </c>
      <c r="AE3695" s="78" t="s">
        <v>72</v>
      </c>
      <c r="AF3695" s="78" t="s">
        <v>51</v>
      </c>
      <c r="AG3695" s="78" t="s">
        <v>646</v>
      </c>
      <c r="AH3695" s="78">
        <v>4.2701439283478235</v>
      </c>
    </row>
    <row r="3696" spans="29:34">
      <c r="AC3696" s="78" t="s">
        <v>54</v>
      </c>
      <c r="AD3696" s="78" t="s">
        <v>20</v>
      </c>
      <c r="AE3696" s="78" t="s">
        <v>72</v>
      </c>
      <c r="AF3696" s="78" t="s">
        <v>51</v>
      </c>
      <c r="AG3696" s="78" t="s">
        <v>647</v>
      </c>
      <c r="AH3696" s="78">
        <v>4.2701439283478235</v>
      </c>
    </row>
    <row r="3697" spans="29:34">
      <c r="AC3697" s="78" t="s">
        <v>54</v>
      </c>
      <c r="AD3697" s="78" t="s">
        <v>20</v>
      </c>
      <c r="AE3697" s="78" t="s">
        <v>72</v>
      </c>
      <c r="AF3697" s="78" t="s">
        <v>51</v>
      </c>
      <c r="AG3697" s="78" t="s">
        <v>648</v>
      </c>
      <c r="AH3697" s="78">
        <v>4.2701439283478235</v>
      </c>
    </row>
    <row r="3698" spans="29:34">
      <c r="AC3698" s="78" t="s">
        <v>54</v>
      </c>
      <c r="AD3698" s="78" t="s">
        <v>20</v>
      </c>
      <c r="AE3698" s="78" t="s">
        <v>72</v>
      </c>
      <c r="AF3698" s="78" t="s">
        <v>51</v>
      </c>
      <c r="AG3698" s="78" t="s">
        <v>649</v>
      </c>
      <c r="AH3698" s="78">
        <v>4.2701439283478235</v>
      </c>
    </row>
    <row r="3699" spans="29:34">
      <c r="AC3699" s="78" t="s">
        <v>54</v>
      </c>
      <c r="AD3699" s="78" t="s">
        <v>20</v>
      </c>
      <c r="AE3699" s="78" t="s">
        <v>72</v>
      </c>
      <c r="AF3699" s="78" t="s">
        <v>51</v>
      </c>
      <c r="AG3699" s="78" t="s">
        <v>650</v>
      </c>
      <c r="AH3699" s="78">
        <v>4.0928646676615683</v>
      </c>
    </row>
    <row r="3700" spans="29:34">
      <c r="AC3700" s="78" t="s">
        <v>54</v>
      </c>
      <c r="AD3700" s="78" t="s">
        <v>20</v>
      </c>
      <c r="AE3700" s="78" t="s">
        <v>72</v>
      </c>
      <c r="AF3700" s="78" t="s">
        <v>51</v>
      </c>
      <c r="AG3700" s="78" t="s">
        <v>651</v>
      </c>
      <c r="AH3700" s="78">
        <v>4.0928646676615683</v>
      </c>
    </row>
    <row r="3701" spans="29:34">
      <c r="AC3701" s="78" t="s">
        <v>54</v>
      </c>
      <c r="AD3701" s="78" t="s">
        <v>20</v>
      </c>
      <c r="AE3701" s="78" t="s">
        <v>72</v>
      </c>
      <c r="AF3701" s="78" t="s">
        <v>51</v>
      </c>
      <c r="AG3701" s="78" t="s">
        <v>652</v>
      </c>
      <c r="AH3701" s="78">
        <v>4.0928646676615683</v>
      </c>
    </row>
    <row r="3702" spans="29:34">
      <c r="AC3702" s="78" t="s">
        <v>54</v>
      </c>
      <c r="AD3702" s="78" t="s">
        <v>20</v>
      </c>
      <c r="AE3702" s="78" t="s">
        <v>72</v>
      </c>
      <c r="AF3702" s="78" t="s">
        <v>51</v>
      </c>
      <c r="AG3702" s="78" t="s">
        <v>653</v>
      </c>
      <c r="AH3702" s="78">
        <v>4.2701439283478235</v>
      </c>
    </row>
    <row r="3703" spans="29:34">
      <c r="AC3703" s="78" t="s">
        <v>54</v>
      </c>
      <c r="AD3703" s="78" t="s">
        <v>20</v>
      </c>
      <c r="AE3703" s="78" t="s">
        <v>72</v>
      </c>
      <c r="AF3703" s="78" t="s">
        <v>51</v>
      </c>
      <c r="AG3703" s="78" t="s">
        <v>654</v>
      </c>
      <c r="AH3703" s="78">
        <v>4.2701439283478235</v>
      </c>
    </row>
    <row r="3704" spans="29:34">
      <c r="AC3704" s="78" t="s">
        <v>54</v>
      </c>
      <c r="AD3704" s="78" t="s">
        <v>20</v>
      </c>
      <c r="AE3704" s="78" t="s">
        <v>72</v>
      </c>
      <c r="AF3704" s="78" t="s">
        <v>51</v>
      </c>
      <c r="AG3704" s="78" t="s">
        <v>655</v>
      </c>
      <c r="AH3704" s="78">
        <v>4.2379489588927832</v>
      </c>
    </row>
    <row r="3705" spans="29:34">
      <c r="AC3705" s="78" t="s">
        <v>54</v>
      </c>
      <c r="AD3705" s="78" t="s">
        <v>20</v>
      </c>
      <c r="AE3705" s="78" t="s">
        <v>72</v>
      </c>
      <c r="AF3705" s="78" t="s">
        <v>51</v>
      </c>
      <c r="AG3705" s="78" t="s">
        <v>656</v>
      </c>
      <c r="AH3705" s="78">
        <v>4.2086255594627131</v>
      </c>
    </row>
    <row r="3706" spans="29:34">
      <c r="AC3706" s="78" t="s">
        <v>54</v>
      </c>
      <c r="AD3706" s="78" t="s">
        <v>20</v>
      </c>
      <c r="AE3706" s="78" t="s">
        <v>72</v>
      </c>
      <c r="AF3706" s="78" t="s">
        <v>51</v>
      </c>
      <c r="AG3706" s="78" t="s">
        <v>657</v>
      </c>
      <c r="AH3706" s="78">
        <v>4.2379489588927832</v>
      </c>
    </row>
    <row r="3707" spans="29:34">
      <c r="AC3707" s="78" t="s">
        <v>54</v>
      </c>
      <c r="AD3707" s="78" t="s">
        <v>20</v>
      </c>
      <c r="AE3707" s="78" t="s">
        <v>72</v>
      </c>
      <c r="AF3707" s="78" t="s">
        <v>51</v>
      </c>
      <c r="AG3707" s="78" t="s">
        <v>658</v>
      </c>
      <c r="AH3707" s="78">
        <v>4.3854024946351533</v>
      </c>
    </row>
    <row r="3708" spans="29:34">
      <c r="AC3708" s="78" t="s">
        <v>54</v>
      </c>
      <c r="AD3708" s="78" t="s">
        <v>20</v>
      </c>
      <c r="AE3708" s="78" t="s">
        <v>72</v>
      </c>
      <c r="AF3708" s="78" t="s">
        <v>51</v>
      </c>
      <c r="AG3708" s="78" t="s">
        <v>659</v>
      </c>
      <c r="AH3708" s="78">
        <v>4.3854024946351533</v>
      </c>
    </row>
    <row r="3709" spans="29:34">
      <c r="AC3709" s="78" t="s">
        <v>54</v>
      </c>
      <c r="AD3709" s="78" t="s">
        <v>20</v>
      </c>
      <c r="AE3709" s="78" t="s">
        <v>72</v>
      </c>
      <c r="AF3709" s="78" t="s">
        <v>51</v>
      </c>
      <c r="AG3709" s="78" t="s">
        <v>660</v>
      </c>
      <c r="AH3709" s="78">
        <v>4.2086255594627131</v>
      </c>
    </row>
    <row r="3710" spans="29:34">
      <c r="AC3710" s="78" t="s">
        <v>54</v>
      </c>
      <c r="AD3710" s="78" t="s">
        <v>20</v>
      </c>
      <c r="AE3710" s="78" t="s">
        <v>72</v>
      </c>
      <c r="AF3710" s="78" t="s">
        <v>51</v>
      </c>
      <c r="AG3710" s="78" t="s">
        <v>661</v>
      </c>
      <c r="AH3710" s="78">
        <v>4.2086255594627131</v>
      </c>
    </row>
    <row r="3711" spans="29:34">
      <c r="AC3711" s="78" t="s">
        <v>54</v>
      </c>
      <c r="AD3711" s="78" t="s">
        <v>20</v>
      </c>
      <c r="AE3711" s="78" t="s">
        <v>72</v>
      </c>
      <c r="AF3711" s="78" t="s">
        <v>51</v>
      </c>
      <c r="AG3711" s="78" t="s">
        <v>662</v>
      </c>
      <c r="AH3711" s="78">
        <v>4.2086255594627131</v>
      </c>
    </row>
    <row r="3712" spans="29:34">
      <c r="AC3712" s="78" t="s">
        <v>54</v>
      </c>
      <c r="AD3712" s="78" t="s">
        <v>20</v>
      </c>
      <c r="AE3712" s="78" t="s">
        <v>72</v>
      </c>
      <c r="AF3712" s="78" t="s">
        <v>51</v>
      </c>
      <c r="AG3712" s="78" t="s">
        <v>663</v>
      </c>
      <c r="AH3712" s="78">
        <v>4.2379489588927832</v>
      </c>
    </row>
    <row r="3713" spans="29:34">
      <c r="AC3713" s="78" t="s">
        <v>54</v>
      </c>
      <c r="AD3713" s="78" t="s">
        <v>20</v>
      </c>
      <c r="AE3713" s="78" t="s">
        <v>72</v>
      </c>
      <c r="AF3713" s="78" t="s">
        <v>51</v>
      </c>
      <c r="AG3713" s="78" t="s">
        <v>664</v>
      </c>
      <c r="AH3713" s="78">
        <v>4.2086255594627131</v>
      </c>
    </row>
    <row r="3714" spans="29:34">
      <c r="AC3714" s="78" t="s">
        <v>54</v>
      </c>
      <c r="AD3714" s="78" t="s">
        <v>20</v>
      </c>
      <c r="AE3714" s="78" t="s">
        <v>72</v>
      </c>
      <c r="AF3714" s="78" t="s">
        <v>51</v>
      </c>
      <c r="AG3714" s="78" t="s">
        <v>665</v>
      </c>
      <c r="AH3714" s="78">
        <v>4.2086255594627131</v>
      </c>
    </row>
    <row r="3715" spans="29:34">
      <c r="AC3715" s="78" t="s">
        <v>54</v>
      </c>
      <c r="AD3715" s="78" t="s">
        <v>20</v>
      </c>
      <c r="AE3715" s="78" t="s">
        <v>72</v>
      </c>
      <c r="AF3715" s="78" t="s">
        <v>51</v>
      </c>
      <c r="AG3715" s="78" t="s">
        <v>666</v>
      </c>
      <c r="AH3715" s="78">
        <v>4.2086255594627131</v>
      </c>
    </row>
    <row r="3716" spans="29:34">
      <c r="AC3716" s="78" t="s">
        <v>54</v>
      </c>
      <c r="AD3716" s="78" t="s">
        <v>20</v>
      </c>
      <c r="AE3716" s="78" t="s">
        <v>72</v>
      </c>
      <c r="AF3716" s="78" t="s">
        <v>51</v>
      </c>
      <c r="AG3716" s="78" t="s">
        <v>667</v>
      </c>
      <c r="AH3716" s="78">
        <v>4.2379489588927832</v>
      </c>
    </row>
    <row r="3717" spans="29:34">
      <c r="AC3717" s="78" t="s">
        <v>54</v>
      </c>
      <c r="AD3717" s="78" t="s">
        <v>20</v>
      </c>
      <c r="AE3717" s="78" t="s">
        <v>72</v>
      </c>
      <c r="AF3717" s="78" t="s">
        <v>51</v>
      </c>
      <c r="AG3717" s="78" t="s">
        <v>668</v>
      </c>
      <c r="AH3717" s="78">
        <v>4.2086255594627131</v>
      </c>
    </row>
    <row r="3718" spans="29:34">
      <c r="AC3718" s="78" t="s">
        <v>54</v>
      </c>
      <c r="AD3718" s="78" t="s">
        <v>20</v>
      </c>
      <c r="AE3718" s="78" t="s">
        <v>72</v>
      </c>
      <c r="AF3718" s="78" t="s">
        <v>51</v>
      </c>
      <c r="AG3718" s="78" t="s">
        <v>669</v>
      </c>
      <c r="AH3718" s="78">
        <v>4.2086255594627131</v>
      </c>
    </row>
    <row r="3719" spans="29:34">
      <c r="AC3719" s="78" t="s">
        <v>54</v>
      </c>
      <c r="AD3719" s="78" t="s">
        <v>20</v>
      </c>
      <c r="AE3719" s="78" t="s">
        <v>72</v>
      </c>
      <c r="AF3719" s="78" t="s">
        <v>51</v>
      </c>
      <c r="AG3719" s="78" t="s">
        <v>670</v>
      </c>
      <c r="AH3719" s="78">
        <v>4.3854024946351533</v>
      </c>
    </row>
    <row r="3720" spans="29:34">
      <c r="AC3720" s="78" t="s">
        <v>54</v>
      </c>
      <c r="AD3720" s="78" t="s">
        <v>20</v>
      </c>
      <c r="AE3720" s="78" t="s">
        <v>72</v>
      </c>
      <c r="AF3720" s="78" t="s">
        <v>51</v>
      </c>
      <c r="AG3720" s="78" t="s">
        <v>671</v>
      </c>
      <c r="AH3720" s="78">
        <v>4.2086255594627131</v>
      </c>
    </row>
    <row r="3721" spans="29:34">
      <c r="AC3721" s="78" t="s">
        <v>54</v>
      </c>
      <c r="AD3721" s="78" t="s">
        <v>20</v>
      </c>
      <c r="AE3721" s="78" t="s">
        <v>72</v>
      </c>
      <c r="AF3721" s="78" t="s">
        <v>51</v>
      </c>
      <c r="AG3721" s="78" t="s">
        <v>672</v>
      </c>
      <c r="AH3721" s="78">
        <v>4.2086255594627131</v>
      </c>
    </row>
    <row r="3722" spans="29:34">
      <c r="AC3722" s="78" t="s">
        <v>54</v>
      </c>
      <c r="AD3722" s="78" t="s">
        <v>20</v>
      </c>
      <c r="AE3722" s="78" t="s">
        <v>72</v>
      </c>
      <c r="AF3722" s="78" t="s">
        <v>51</v>
      </c>
      <c r="AG3722" s="78" t="s">
        <v>673</v>
      </c>
      <c r="AH3722" s="78">
        <v>4.2379489588927832</v>
      </c>
    </row>
    <row r="3723" spans="29:34">
      <c r="AC3723" s="78" t="s">
        <v>54</v>
      </c>
      <c r="AD3723" s="78" t="s">
        <v>20</v>
      </c>
      <c r="AE3723" s="78" t="s">
        <v>72</v>
      </c>
      <c r="AF3723" s="78" t="s">
        <v>51</v>
      </c>
      <c r="AG3723" s="78" t="s">
        <v>674</v>
      </c>
      <c r="AH3723" s="78">
        <v>4.2379489588927832</v>
      </c>
    </row>
    <row r="3724" spans="29:34">
      <c r="AC3724" s="78" t="s">
        <v>54</v>
      </c>
      <c r="AD3724" s="78" t="s">
        <v>20</v>
      </c>
      <c r="AE3724" s="78" t="s">
        <v>72</v>
      </c>
      <c r="AF3724" s="78" t="s">
        <v>51</v>
      </c>
      <c r="AG3724" s="78" t="s">
        <v>675</v>
      </c>
      <c r="AH3724" s="78">
        <v>4.2379489588927832</v>
      </c>
    </row>
    <row r="3725" spans="29:34">
      <c r="AC3725" s="78" t="s">
        <v>54</v>
      </c>
      <c r="AD3725" s="78" t="s">
        <v>20</v>
      </c>
      <c r="AE3725" s="78" t="s">
        <v>72</v>
      </c>
      <c r="AF3725" s="78" t="s">
        <v>51</v>
      </c>
      <c r="AG3725" s="78" t="s">
        <v>676</v>
      </c>
      <c r="AH3725" s="78">
        <v>4.2086255594627131</v>
      </c>
    </row>
    <row r="3726" spans="29:34">
      <c r="AC3726" s="78" t="s">
        <v>54</v>
      </c>
      <c r="AD3726" s="78" t="s">
        <v>20</v>
      </c>
      <c r="AE3726" s="78" t="s">
        <v>72</v>
      </c>
      <c r="AF3726" s="78" t="s">
        <v>51</v>
      </c>
      <c r="AG3726" s="78" t="s">
        <v>677</v>
      </c>
      <c r="AH3726" s="78">
        <v>4.2379489588927832</v>
      </c>
    </row>
    <row r="3727" spans="29:34">
      <c r="AC3727" s="78" t="s">
        <v>54</v>
      </c>
      <c r="AD3727" s="78" t="s">
        <v>20</v>
      </c>
      <c r="AE3727" s="78" t="s">
        <v>72</v>
      </c>
      <c r="AF3727" s="78" t="s">
        <v>51</v>
      </c>
      <c r="AG3727" s="78" t="s">
        <v>678</v>
      </c>
      <c r="AH3727" s="78">
        <v>4.2086255594627131</v>
      </c>
    </row>
    <row r="3728" spans="29:34">
      <c r="AC3728" s="78" t="s">
        <v>54</v>
      </c>
      <c r="AD3728" s="78" t="s">
        <v>20</v>
      </c>
      <c r="AE3728" s="78" t="s">
        <v>72</v>
      </c>
      <c r="AF3728" s="78" t="s">
        <v>51</v>
      </c>
      <c r="AG3728" s="78" t="s">
        <v>679</v>
      </c>
      <c r="AH3728" s="78">
        <v>4.2086255594627131</v>
      </c>
    </row>
    <row r="3729" spans="29:34">
      <c r="AC3729" s="78" t="s">
        <v>54</v>
      </c>
      <c r="AD3729" s="78" t="s">
        <v>20</v>
      </c>
      <c r="AE3729" s="78" t="s">
        <v>72</v>
      </c>
      <c r="AF3729" s="78" t="s">
        <v>51</v>
      </c>
      <c r="AG3729" s="78" t="s">
        <v>680</v>
      </c>
      <c r="AH3729" s="78">
        <v>4.2379489588927832</v>
      </c>
    </row>
    <row r="3730" spans="29:34">
      <c r="AC3730" s="78" t="s">
        <v>54</v>
      </c>
      <c r="AD3730" s="78" t="s">
        <v>20</v>
      </c>
      <c r="AE3730" s="78" t="s">
        <v>72</v>
      </c>
      <c r="AF3730" s="78" t="s">
        <v>51</v>
      </c>
      <c r="AG3730" s="78" t="s">
        <v>681</v>
      </c>
      <c r="AH3730" s="78">
        <v>4.2379489588927832</v>
      </c>
    </row>
    <row r="3731" spans="29:34">
      <c r="AC3731" s="78" t="s">
        <v>54</v>
      </c>
      <c r="AD3731" s="78" t="s">
        <v>20</v>
      </c>
      <c r="AE3731" s="78" t="s">
        <v>72</v>
      </c>
      <c r="AF3731" s="78" t="s">
        <v>51</v>
      </c>
      <c r="AG3731" s="78" t="s">
        <v>682</v>
      </c>
      <c r="AH3731" s="78">
        <v>4.2379489588927832</v>
      </c>
    </row>
    <row r="3732" spans="29:34">
      <c r="AC3732" s="78" t="s">
        <v>54</v>
      </c>
      <c r="AD3732" s="78" t="s">
        <v>20</v>
      </c>
      <c r="AE3732" s="78" t="s">
        <v>72</v>
      </c>
      <c r="AF3732" s="78" t="s">
        <v>51</v>
      </c>
      <c r="AG3732" s="78" t="s">
        <v>683</v>
      </c>
      <c r="AH3732" s="78">
        <v>4.2379489588927832</v>
      </c>
    </row>
    <row r="3733" spans="29:34">
      <c r="AC3733" s="78" t="s">
        <v>54</v>
      </c>
      <c r="AD3733" s="78" t="s">
        <v>20</v>
      </c>
      <c r="AE3733" s="78" t="s">
        <v>72</v>
      </c>
      <c r="AF3733" s="78" t="s">
        <v>51</v>
      </c>
      <c r="AG3733" s="78" t="s">
        <v>684</v>
      </c>
      <c r="AH3733" s="78">
        <v>4.2379489588927832</v>
      </c>
    </row>
    <row r="3734" spans="29:34">
      <c r="AC3734" s="78" t="s">
        <v>54</v>
      </c>
      <c r="AD3734" s="78" t="s">
        <v>20</v>
      </c>
      <c r="AE3734" s="78" t="s">
        <v>72</v>
      </c>
      <c r="AF3734" s="78" t="s">
        <v>51</v>
      </c>
      <c r="AG3734" s="78" t="s">
        <v>685</v>
      </c>
      <c r="AH3734" s="78">
        <v>4.2701439283478235</v>
      </c>
    </row>
    <row r="3735" spans="29:34">
      <c r="AC3735" s="78" t="s">
        <v>54</v>
      </c>
      <c r="AD3735" s="78" t="s">
        <v>20</v>
      </c>
      <c r="AE3735" s="78" t="s">
        <v>72</v>
      </c>
      <c r="AF3735" s="78" t="s">
        <v>51</v>
      </c>
      <c r="AG3735" s="78" t="s">
        <v>686</v>
      </c>
      <c r="AH3735" s="78">
        <v>4.2701439283478235</v>
      </c>
    </row>
    <row r="3736" spans="29:34">
      <c r="AC3736" s="78" t="s">
        <v>54</v>
      </c>
      <c r="AD3736" s="78" t="s">
        <v>20</v>
      </c>
      <c r="AE3736" s="78" t="s">
        <v>72</v>
      </c>
      <c r="AF3736" s="78" t="s">
        <v>51</v>
      </c>
      <c r="AG3736" s="78" t="s">
        <v>687</v>
      </c>
      <c r="AH3736" s="78">
        <v>4.0928646676615683</v>
      </c>
    </row>
    <row r="3737" spans="29:34">
      <c r="AC3737" s="78" t="s">
        <v>54</v>
      </c>
      <c r="AD3737" s="78" t="s">
        <v>20</v>
      </c>
      <c r="AE3737" s="78" t="s">
        <v>72</v>
      </c>
      <c r="AF3737" s="78" t="s">
        <v>51</v>
      </c>
      <c r="AG3737" s="78" t="s">
        <v>688</v>
      </c>
      <c r="AH3737" s="78">
        <v>4.0928646676615683</v>
      </c>
    </row>
    <row r="3738" spans="29:34">
      <c r="AC3738" s="78" t="s">
        <v>54</v>
      </c>
      <c r="AD3738" s="78" t="s">
        <v>20</v>
      </c>
      <c r="AE3738" s="78" t="s">
        <v>72</v>
      </c>
      <c r="AF3738" s="78" t="s">
        <v>51</v>
      </c>
      <c r="AG3738" s="78" t="s">
        <v>689</v>
      </c>
      <c r="AH3738" s="78">
        <v>4.1224027274886375</v>
      </c>
    </row>
    <row r="3739" spans="29:34">
      <c r="AC3739" s="78" t="s">
        <v>54</v>
      </c>
      <c r="AD3739" s="78" t="s">
        <v>20</v>
      </c>
      <c r="AE3739" s="78" t="s">
        <v>72</v>
      </c>
      <c r="AF3739" s="78" t="s">
        <v>51</v>
      </c>
      <c r="AG3739" s="78" t="s">
        <v>690</v>
      </c>
      <c r="AH3739" s="78">
        <v>4.1548334667180757</v>
      </c>
    </row>
    <row r="3740" spans="29:34">
      <c r="AC3740" s="78" t="s">
        <v>54</v>
      </c>
      <c r="AD3740" s="78" t="s">
        <v>20</v>
      </c>
      <c r="AE3740" s="78" t="s">
        <v>72</v>
      </c>
      <c r="AF3740" s="78" t="s">
        <v>51</v>
      </c>
      <c r="AG3740" s="78" t="s">
        <v>691</v>
      </c>
      <c r="AH3740" s="78">
        <v>4.1548334667180757</v>
      </c>
    </row>
    <row r="3741" spans="29:34">
      <c r="AC3741" s="78" t="s">
        <v>54</v>
      </c>
      <c r="AD3741" s="78" t="s">
        <v>20</v>
      </c>
      <c r="AE3741" s="78" t="s">
        <v>72</v>
      </c>
      <c r="AF3741" s="78" t="s">
        <v>51</v>
      </c>
      <c r="AG3741" s="78" t="s">
        <v>692</v>
      </c>
      <c r="AH3741" s="78">
        <v>4.1548334667180757</v>
      </c>
    </row>
    <row r="3742" spans="29:34">
      <c r="AC3742" s="78" t="s">
        <v>54</v>
      </c>
      <c r="AD3742" s="78" t="s">
        <v>20</v>
      </c>
      <c r="AE3742" s="78" t="s">
        <v>72</v>
      </c>
      <c r="AF3742" s="78" t="s">
        <v>51</v>
      </c>
      <c r="AG3742" s="78" t="s">
        <v>693</v>
      </c>
      <c r="AH3742" s="78">
        <v>4.1548334667180757</v>
      </c>
    </row>
    <row r="3743" spans="29:34">
      <c r="AC3743" s="78" t="s">
        <v>54</v>
      </c>
      <c r="AD3743" s="78" t="s">
        <v>20</v>
      </c>
      <c r="AE3743" s="78" t="s">
        <v>72</v>
      </c>
      <c r="AF3743" s="78" t="s">
        <v>51</v>
      </c>
      <c r="AG3743" s="78" t="s">
        <v>694</v>
      </c>
      <c r="AH3743" s="78">
        <v>4.0928646676615683</v>
      </c>
    </row>
    <row r="3744" spans="29:34">
      <c r="AC3744" s="78" t="s">
        <v>54</v>
      </c>
      <c r="AD3744" s="78" t="s">
        <v>20</v>
      </c>
      <c r="AE3744" s="78" t="s">
        <v>72</v>
      </c>
      <c r="AF3744" s="78" t="s">
        <v>51</v>
      </c>
      <c r="AG3744" s="78" t="s">
        <v>695</v>
      </c>
      <c r="AH3744" s="78">
        <v>4.1224027274886375</v>
      </c>
    </row>
    <row r="3745" spans="29:34">
      <c r="AC3745" s="78" t="s">
        <v>54</v>
      </c>
      <c r="AD3745" s="78" t="s">
        <v>20</v>
      </c>
      <c r="AE3745" s="78" t="s">
        <v>72</v>
      </c>
      <c r="AF3745" s="78" t="s">
        <v>51</v>
      </c>
      <c r="AG3745" s="78" t="s">
        <v>696</v>
      </c>
      <c r="AH3745" s="78">
        <v>4.2379489588927832</v>
      </c>
    </row>
    <row r="3746" spans="29:34">
      <c r="AC3746" s="78" t="s">
        <v>54</v>
      </c>
      <c r="AD3746" s="78" t="s">
        <v>20</v>
      </c>
      <c r="AE3746" s="78" t="s">
        <v>72</v>
      </c>
      <c r="AF3746" s="78" t="s">
        <v>51</v>
      </c>
      <c r="AG3746" s="78" t="s">
        <v>697</v>
      </c>
      <c r="AH3746" s="78">
        <v>4.0928646676615683</v>
      </c>
    </row>
    <row r="3747" spans="29:34">
      <c r="AC3747" s="78" t="s">
        <v>54</v>
      </c>
      <c r="AD3747" s="78" t="s">
        <v>20</v>
      </c>
      <c r="AE3747" s="78" t="s">
        <v>72</v>
      </c>
      <c r="AF3747" s="78" t="s">
        <v>51</v>
      </c>
      <c r="AG3747" s="78" t="s">
        <v>698</v>
      </c>
      <c r="AH3747" s="78">
        <v>4.0928646676615683</v>
      </c>
    </row>
    <row r="3748" spans="29:34">
      <c r="AC3748" s="78" t="s">
        <v>54</v>
      </c>
      <c r="AD3748" s="78" t="s">
        <v>20</v>
      </c>
      <c r="AE3748" s="78" t="s">
        <v>72</v>
      </c>
      <c r="AF3748" s="78" t="s">
        <v>51</v>
      </c>
      <c r="AG3748" s="78" t="s">
        <v>699</v>
      </c>
      <c r="AH3748" s="78">
        <v>4.0928646676615683</v>
      </c>
    </row>
    <row r="3749" spans="29:34">
      <c r="AC3749" s="78" t="s">
        <v>54</v>
      </c>
      <c r="AD3749" s="78" t="s">
        <v>20</v>
      </c>
      <c r="AE3749" s="78" t="s">
        <v>72</v>
      </c>
      <c r="AF3749" s="78" t="s">
        <v>51</v>
      </c>
      <c r="AG3749" s="78" t="s">
        <v>700</v>
      </c>
      <c r="AH3749" s="78">
        <v>4.0928646676615683</v>
      </c>
    </row>
    <row r="3750" spans="29:34">
      <c r="AC3750" s="78" t="s">
        <v>54</v>
      </c>
      <c r="AD3750" s="78" t="s">
        <v>20</v>
      </c>
      <c r="AE3750" s="78" t="s">
        <v>72</v>
      </c>
      <c r="AF3750" s="78" t="s">
        <v>51</v>
      </c>
      <c r="AG3750" s="78" t="s">
        <v>701</v>
      </c>
      <c r="AH3750" s="78">
        <v>4.0928646676615683</v>
      </c>
    </row>
    <row r="3751" spans="29:34">
      <c r="AC3751" s="78" t="s">
        <v>54</v>
      </c>
      <c r="AD3751" s="78" t="s">
        <v>20</v>
      </c>
      <c r="AE3751" s="78" t="s">
        <v>72</v>
      </c>
      <c r="AF3751" s="78" t="s">
        <v>51</v>
      </c>
      <c r="AG3751" s="78" t="s">
        <v>702</v>
      </c>
      <c r="AH3751" s="78">
        <v>4.1224027274886375</v>
      </c>
    </row>
    <row r="3752" spans="29:34">
      <c r="AC3752" s="78" t="s">
        <v>54</v>
      </c>
      <c r="AD3752" s="78" t="s">
        <v>20</v>
      </c>
      <c r="AE3752" s="78" t="s">
        <v>72</v>
      </c>
      <c r="AF3752" s="78" t="s">
        <v>51</v>
      </c>
      <c r="AG3752" s="78" t="s">
        <v>703</v>
      </c>
      <c r="AH3752" s="78">
        <v>4.1224027274886375</v>
      </c>
    </row>
    <row r="3753" spans="29:34">
      <c r="AC3753" s="78" t="s">
        <v>54</v>
      </c>
      <c r="AD3753" s="78" t="s">
        <v>20</v>
      </c>
      <c r="AE3753" s="78" t="s">
        <v>72</v>
      </c>
      <c r="AF3753" s="78" t="s">
        <v>51</v>
      </c>
      <c r="AG3753" s="78" t="s">
        <v>704</v>
      </c>
      <c r="AH3753" s="78">
        <v>4.1224027274886375</v>
      </c>
    </row>
    <row r="3754" spans="29:34">
      <c r="AC3754" s="78" t="s">
        <v>54</v>
      </c>
      <c r="AD3754" s="78" t="s">
        <v>20</v>
      </c>
      <c r="AE3754" s="78" t="s">
        <v>72</v>
      </c>
      <c r="AF3754" s="78" t="s">
        <v>51</v>
      </c>
      <c r="AG3754" s="78" t="s">
        <v>705</v>
      </c>
      <c r="AH3754" s="78">
        <v>4.1224027274886375</v>
      </c>
    </row>
    <row r="3755" spans="29:34">
      <c r="AC3755" s="78" t="s">
        <v>54</v>
      </c>
      <c r="AD3755" s="78" t="s">
        <v>20</v>
      </c>
      <c r="AE3755" s="78" t="s">
        <v>72</v>
      </c>
      <c r="AF3755" s="78" t="s">
        <v>51</v>
      </c>
      <c r="AG3755" s="78" t="s">
        <v>706</v>
      </c>
      <c r="AH3755" s="78">
        <v>4.1224027274886375</v>
      </c>
    </row>
    <row r="3756" spans="29:34">
      <c r="AC3756" s="78" t="s">
        <v>54</v>
      </c>
      <c r="AD3756" s="78" t="s">
        <v>20</v>
      </c>
      <c r="AE3756" s="78" t="s">
        <v>72</v>
      </c>
      <c r="AF3756" s="78" t="s">
        <v>51</v>
      </c>
      <c r="AG3756" s="78" t="s">
        <v>707</v>
      </c>
      <c r="AH3756" s="78">
        <v>4.1224027274886375</v>
      </c>
    </row>
    <row r="3757" spans="29:34">
      <c r="AC3757" s="78" t="s">
        <v>54</v>
      </c>
      <c r="AD3757" s="78" t="s">
        <v>20</v>
      </c>
      <c r="AE3757" s="78" t="s">
        <v>72</v>
      </c>
      <c r="AF3757" s="78" t="s">
        <v>51</v>
      </c>
      <c r="AG3757" s="78" t="s">
        <v>708</v>
      </c>
      <c r="AH3757" s="78">
        <v>4.1224027274886375</v>
      </c>
    </row>
    <row r="3758" spans="29:34">
      <c r="AC3758" s="78" t="s">
        <v>54</v>
      </c>
      <c r="AD3758" s="78" t="s">
        <v>20</v>
      </c>
      <c r="AE3758" s="78" t="s">
        <v>72</v>
      </c>
      <c r="AF3758" s="78" t="s">
        <v>51</v>
      </c>
      <c r="AG3758" s="78" t="s">
        <v>709</v>
      </c>
      <c r="AH3758" s="78">
        <v>4.1224027274886375</v>
      </c>
    </row>
    <row r="3759" spans="29:34">
      <c r="AC3759" s="78" t="s">
        <v>54</v>
      </c>
      <c r="AD3759" s="78" t="s">
        <v>20</v>
      </c>
      <c r="AE3759" s="78" t="s">
        <v>72</v>
      </c>
      <c r="AF3759" s="78" t="s">
        <v>51</v>
      </c>
      <c r="AG3759" s="78" t="s">
        <v>710</v>
      </c>
      <c r="AH3759" s="78">
        <v>4.1224027274886375</v>
      </c>
    </row>
    <row r="3760" spans="29:34">
      <c r="AC3760" s="78" t="s">
        <v>54</v>
      </c>
      <c r="AD3760" s="78" t="s">
        <v>20</v>
      </c>
      <c r="AE3760" s="78" t="s">
        <v>72</v>
      </c>
      <c r="AF3760" s="78" t="s">
        <v>51</v>
      </c>
      <c r="AG3760" s="78" t="s">
        <v>711</v>
      </c>
      <c r="AH3760" s="78">
        <v>4.1224027274886375</v>
      </c>
    </row>
    <row r="3761" spans="29:34">
      <c r="AC3761" s="78" t="s">
        <v>54</v>
      </c>
      <c r="AD3761" s="78" t="s">
        <v>20</v>
      </c>
      <c r="AE3761" s="78" t="s">
        <v>72</v>
      </c>
      <c r="AF3761" s="78" t="s">
        <v>51</v>
      </c>
      <c r="AG3761" s="78" t="s">
        <v>712</v>
      </c>
      <c r="AH3761" s="78">
        <v>4.1224027274886375</v>
      </c>
    </row>
    <row r="3762" spans="29:34">
      <c r="AC3762" s="78" t="s">
        <v>54</v>
      </c>
      <c r="AD3762" s="78" t="s">
        <v>20</v>
      </c>
      <c r="AE3762" s="78" t="s">
        <v>72</v>
      </c>
      <c r="AF3762" s="78" t="s">
        <v>51</v>
      </c>
      <c r="AG3762" s="78" t="s">
        <v>713</v>
      </c>
      <c r="AH3762" s="78">
        <v>4.0928646676615683</v>
      </c>
    </row>
    <row r="3763" spans="29:34">
      <c r="AC3763" s="78" t="s">
        <v>54</v>
      </c>
      <c r="AD3763" s="78" t="s">
        <v>20</v>
      </c>
      <c r="AE3763" s="78" t="s">
        <v>72</v>
      </c>
      <c r="AF3763" s="78" t="s">
        <v>51</v>
      </c>
      <c r="AG3763" s="78" t="s">
        <v>714</v>
      </c>
      <c r="AH3763" s="78">
        <v>4.1224027274886375</v>
      </c>
    </row>
    <row r="3764" spans="29:34">
      <c r="AC3764" s="78" t="s">
        <v>54</v>
      </c>
      <c r="AD3764" s="78" t="s">
        <v>20</v>
      </c>
      <c r="AE3764" s="78" t="s">
        <v>72</v>
      </c>
      <c r="AF3764" s="78" t="s">
        <v>51</v>
      </c>
      <c r="AG3764" s="78" t="s">
        <v>715</v>
      </c>
      <c r="AH3764" s="78">
        <v>4.0928646676615683</v>
      </c>
    </row>
    <row r="3765" spans="29:34">
      <c r="AC3765" s="78" t="s">
        <v>54</v>
      </c>
      <c r="AD3765" s="78" t="s">
        <v>20</v>
      </c>
      <c r="AE3765" s="78" t="s">
        <v>72</v>
      </c>
      <c r="AF3765" s="78" t="s">
        <v>51</v>
      </c>
      <c r="AG3765" s="78" t="s">
        <v>716</v>
      </c>
      <c r="AH3765" s="78">
        <v>4.0928646676615683</v>
      </c>
    </row>
    <row r="3766" spans="29:34">
      <c r="AC3766" s="78" t="s">
        <v>54</v>
      </c>
      <c r="AD3766" s="78" t="s">
        <v>20</v>
      </c>
      <c r="AE3766" s="78" t="s">
        <v>72</v>
      </c>
      <c r="AF3766" s="78" t="s">
        <v>51</v>
      </c>
      <c r="AG3766" s="78" t="s">
        <v>717</v>
      </c>
      <c r="AH3766" s="78">
        <v>4.1224027274886375</v>
      </c>
    </row>
    <row r="3767" spans="29:34">
      <c r="AC3767" s="78" t="s">
        <v>54</v>
      </c>
      <c r="AD3767" s="78" t="s">
        <v>20</v>
      </c>
      <c r="AE3767" s="78" t="s">
        <v>72</v>
      </c>
      <c r="AF3767" s="78" t="s">
        <v>51</v>
      </c>
      <c r="AG3767" s="78" t="s">
        <v>718</v>
      </c>
      <c r="AH3767" s="78">
        <v>4.1224027274886375</v>
      </c>
    </row>
    <row r="3768" spans="29:34">
      <c r="AC3768" s="78" t="s">
        <v>54</v>
      </c>
      <c r="AD3768" s="78" t="s">
        <v>20</v>
      </c>
      <c r="AE3768" s="78" t="s">
        <v>72</v>
      </c>
      <c r="AF3768" s="78" t="s">
        <v>51</v>
      </c>
      <c r="AG3768" s="78" t="s">
        <v>719</v>
      </c>
      <c r="AH3768" s="78">
        <v>4.1224027274886375</v>
      </c>
    </row>
    <row r="3769" spans="29:34">
      <c r="AC3769" s="78" t="s">
        <v>54</v>
      </c>
      <c r="AD3769" s="78" t="s">
        <v>20</v>
      </c>
      <c r="AE3769" s="78" t="s">
        <v>72</v>
      </c>
      <c r="AF3769" s="78" t="s">
        <v>51</v>
      </c>
      <c r="AG3769" s="78" t="s">
        <v>720</v>
      </c>
      <c r="AH3769" s="78">
        <v>4.1224027274886375</v>
      </c>
    </row>
    <row r="3770" spans="29:34">
      <c r="AC3770" s="78" t="s">
        <v>54</v>
      </c>
      <c r="AD3770" s="78" t="s">
        <v>20</v>
      </c>
      <c r="AE3770" s="78" t="s">
        <v>72</v>
      </c>
      <c r="AF3770" s="78" t="s">
        <v>51</v>
      </c>
      <c r="AG3770" s="78" t="s">
        <v>721</v>
      </c>
      <c r="AH3770" s="78">
        <v>4.0928646676615683</v>
      </c>
    </row>
    <row r="3771" spans="29:34">
      <c r="AC3771" s="78" t="s">
        <v>54</v>
      </c>
      <c r="AD3771" s="78" t="s">
        <v>20</v>
      </c>
      <c r="AE3771" s="78" t="s">
        <v>72</v>
      </c>
      <c r="AF3771" s="78" t="s">
        <v>51</v>
      </c>
      <c r="AG3771" s="78" t="s">
        <v>722</v>
      </c>
      <c r="AH3771" s="78">
        <v>4.0928646676615683</v>
      </c>
    </row>
    <row r="3772" spans="29:34">
      <c r="AC3772" s="78" t="s">
        <v>54</v>
      </c>
      <c r="AD3772" s="78" t="s">
        <v>20</v>
      </c>
      <c r="AE3772" s="78" t="s">
        <v>72</v>
      </c>
      <c r="AF3772" s="78" t="s">
        <v>51</v>
      </c>
      <c r="AG3772" s="78" t="s">
        <v>723</v>
      </c>
      <c r="AH3772" s="78">
        <v>4.0928646676615683</v>
      </c>
    </row>
    <row r="3773" spans="29:34">
      <c r="AC3773" s="78" t="s">
        <v>54</v>
      </c>
      <c r="AD3773" s="78" t="s">
        <v>20</v>
      </c>
      <c r="AE3773" s="78" t="s">
        <v>72</v>
      </c>
      <c r="AF3773" s="78" t="s">
        <v>51</v>
      </c>
      <c r="AG3773" s="78" t="s">
        <v>724</v>
      </c>
      <c r="AH3773" s="78">
        <v>4.0928646676615683</v>
      </c>
    </row>
    <row r="3774" spans="29:34">
      <c r="AC3774" s="78" t="s">
        <v>54</v>
      </c>
      <c r="AD3774" s="78" t="s">
        <v>20</v>
      </c>
      <c r="AE3774" s="78" t="s">
        <v>72</v>
      </c>
      <c r="AF3774" s="78" t="s">
        <v>51</v>
      </c>
      <c r="AG3774" s="78" t="s">
        <v>725</v>
      </c>
      <c r="AH3774" s="78">
        <v>4.2701439283478235</v>
      </c>
    </row>
    <row r="3775" spans="29:34">
      <c r="AC3775" s="78" t="s">
        <v>54</v>
      </c>
      <c r="AD3775" s="78" t="s">
        <v>20</v>
      </c>
      <c r="AE3775" s="78" t="s">
        <v>72</v>
      </c>
      <c r="AF3775" s="78" t="s">
        <v>51</v>
      </c>
      <c r="AG3775" s="78" t="s">
        <v>726</v>
      </c>
      <c r="AH3775" s="78">
        <v>4.2379489588927832</v>
      </c>
    </row>
    <row r="3776" spans="29:34">
      <c r="AC3776" s="78" t="s">
        <v>54</v>
      </c>
      <c r="AD3776" s="78" t="s">
        <v>20</v>
      </c>
      <c r="AE3776" s="78" t="s">
        <v>72</v>
      </c>
      <c r="AF3776" s="78" t="s">
        <v>51</v>
      </c>
      <c r="AG3776" s="78" t="s">
        <v>426</v>
      </c>
      <c r="AH3776" s="78">
        <v>4.2701439283478235</v>
      </c>
    </row>
    <row r="3777" spans="29:34">
      <c r="AC3777" s="78" t="s">
        <v>54</v>
      </c>
      <c r="AD3777" s="78" t="s">
        <v>20</v>
      </c>
      <c r="AE3777" s="78" t="s">
        <v>72</v>
      </c>
      <c r="AF3777" s="78" t="s">
        <v>51</v>
      </c>
      <c r="AG3777" s="78" t="s">
        <v>727</v>
      </c>
      <c r="AH3777" s="78">
        <v>4.2701439283478235</v>
      </c>
    </row>
    <row r="3778" spans="29:34">
      <c r="AC3778" s="78" t="s">
        <v>54</v>
      </c>
      <c r="AD3778" s="78" t="s">
        <v>20</v>
      </c>
      <c r="AE3778" s="78" t="s">
        <v>72</v>
      </c>
      <c r="AF3778" s="78" t="s">
        <v>51</v>
      </c>
      <c r="AG3778" s="78" t="s">
        <v>728</v>
      </c>
      <c r="AH3778" s="78">
        <v>4.2379489588927832</v>
      </c>
    </row>
    <row r="3779" spans="29:34">
      <c r="AC3779" s="78" t="s">
        <v>54</v>
      </c>
      <c r="AD3779" s="78" t="s">
        <v>20</v>
      </c>
      <c r="AE3779" s="78" t="s">
        <v>72</v>
      </c>
      <c r="AF3779" s="78" t="s">
        <v>51</v>
      </c>
      <c r="AG3779" s="78" t="s">
        <v>729</v>
      </c>
      <c r="AH3779" s="78">
        <v>4.2379489588927832</v>
      </c>
    </row>
    <row r="3780" spans="29:34">
      <c r="AC3780" s="78" t="s">
        <v>54</v>
      </c>
      <c r="AD3780" s="78" t="s">
        <v>20</v>
      </c>
      <c r="AE3780" s="78" t="s">
        <v>72</v>
      </c>
      <c r="AF3780" s="78" t="s">
        <v>51</v>
      </c>
      <c r="AG3780" s="78" t="s">
        <v>730</v>
      </c>
      <c r="AH3780" s="78">
        <v>4.2379489588927832</v>
      </c>
    </row>
    <row r="3781" spans="29:34">
      <c r="AC3781" s="78" t="s">
        <v>54</v>
      </c>
      <c r="AD3781" s="78" t="s">
        <v>20</v>
      </c>
      <c r="AE3781" s="78" t="s">
        <v>72</v>
      </c>
      <c r="AF3781" s="78" t="s">
        <v>51</v>
      </c>
      <c r="AG3781" s="78" t="s">
        <v>731</v>
      </c>
      <c r="AH3781" s="78">
        <v>4.2379489588927832</v>
      </c>
    </row>
    <row r="3782" spans="29:34">
      <c r="AC3782" s="78" t="s">
        <v>54</v>
      </c>
      <c r="AD3782" s="78" t="s">
        <v>20</v>
      </c>
      <c r="AE3782" s="78" t="s">
        <v>72</v>
      </c>
      <c r="AF3782" s="78" t="s">
        <v>51</v>
      </c>
      <c r="AG3782" s="78" t="s">
        <v>732</v>
      </c>
      <c r="AH3782" s="78">
        <v>4.2379489588927832</v>
      </c>
    </row>
    <row r="3783" spans="29:34">
      <c r="AC3783" s="78" t="s">
        <v>54</v>
      </c>
      <c r="AD3783" s="78" t="s">
        <v>20</v>
      </c>
      <c r="AE3783" s="78" t="s">
        <v>72</v>
      </c>
      <c r="AF3783" s="78" t="s">
        <v>51</v>
      </c>
      <c r="AG3783" s="78" t="s">
        <v>733</v>
      </c>
      <c r="AH3783" s="78">
        <v>4.2701439283478235</v>
      </c>
    </row>
    <row r="3784" spans="29:34">
      <c r="AC3784" s="78" t="s">
        <v>54</v>
      </c>
      <c r="AD3784" s="78" t="s">
        <v>20</v>
      </c>
      <c r="AE3784" s="78" t="s">
        <v>72</v>
      </c>
      <c r="AF3784" s="78" t="s">
        <v>51</v>
      </c>
      <c r="AG3784" s="78" t="s">
        <v>734</v>
      </c>
      <c r="AH3784" s="78">
        <v>4.2701439283478235</v>
      </c>
    </row>
    <row r="3785" spans="29:34">
      <c r="AC3785" s="78" t="s">
        <v>54</v>
      </c>
      <c r="AD3785" s="78" t="s">
        <v>20</v>
      </c>
      <c r="AE3785" s="78" t="s">
        <v>72</v>
      </c>
      <c r="AF3785" s="78" t="s">
        <v>51</v>
      </c>
      <c r="AG3785" s="78" t="s">
        <v>735</v>
      </c>
      <c r="AH3785" s="78">
        <v>4.0928646676615683</v>
      </c>
    </row>
    <row r="3786" spans="29:34">
      <c r="AC3786" s="78" t="s">
        <v>54</v>
      </c>
      <c r="AD3786" s="78" t="s">
        <v>20</v>
      </c>
      <c r="AE3786" s="78" t="s">
        <v>72</v>
      </c>
      <c r="AF3786" s="78" t="s">
        <v>51</v>
      </c>
      <c r="AG3786" s="78" t="s">
        <v>736</v>
      </c>
      <c r="AH3786" s="78">
        <v>4.1224027274886375</v>
      </c>
    </row>
    <row r="3787" spans="29:34">
      <c r="AC3787" s="78" t="s">
        <v>54</v>
      </c>
      <c r="AD3787" s="78" t="s">
        <v>20</v>
      </c>
      <c r="AE3787" s="78" t="s">
        <v>72</v>
      </c>
      <c r="AF3787" s="78" t="s">
        <v>51</v>
      </c>
      <c r="AG3787" s="78" t="s">
        <v>737</v>
      </c>
      <c r="AH3787" s="78">
        <v>4.1224027274886375</v>
      </c>
    </row>
    <row r="3788" spans="29:34">
      <c r="AC3788" s="78" t="s">
        <v>54</v>
      </c>
      <c r="AD3788" s="78" t="s">
        <v>20</v>
      </c>
      <c r="AE3788" s="78" t="s">
        <v>72</v>
      </c>
      <c r="AF3788" s="78" t="s">
        <v>51</v>
      </c>
      <c r="AG3788" s="78" t="s">
        <v>738</v>
      </c>
      <c r="AH3788" s="78">
        <v>4.1548334667180757</v>
      </c>
    </row>
    <row r="3789" spans="29:34">
      <c r="AC3789" s="78" t="s">
        <v>54</v>
      </c>
      <c r="AD3789" s="78" t="s">
        <v>20</v>
      </c>
      <c r="AE3789" s="78" t="s">
        <v>72</v>
      </c>
      <c r="AF3789" s="78" t="s">
        <v>51</v>
      </c>
      <c r="AG3789" s="78" t="s">
        <v>739</v>
      </c>
      <c r="AH3789" s="78">
        <v>4.1224027274886375</v>
      </c>
    </row>
    <row r="3790" spans="29:34">
      <c r="AC3790" s="78" t="s">
        <v>54</v>
      </c>
      <c r="AD3790" s="78" t="s">
        <v>20</v>
      </c>
      <c r="AE3790" s="78" t="s">
        <v>72</v>
      </c>
      <c r="AF3790" s="78" t="s">
        <v>51</v>
      </c>
      <c r="AG3790" s="78" t="s">
        <v>740</v>
      </c>
      <c r="AH3790" s="78">
        <v>4.1224027274886375</v>
      </c>
    </row>
    <row r="3791" spans="29:34">
      <c r="AC3791" s="78" t="s">
        <v>54</v>
      </c>
      <c r="AD3791" s="78" t="s">
        <v>20</v>
      </c>
      <c r="AE3791" s="78" t="s">
        <v>72</v>
      </c>
      <c r="AF3791" s="78" t="s">
        <v>51</v>
      </c>
      <c r="AG3791" s="78" t="s">
        <v>741</v>
      </c>
      <c r="AH3791" s="78">
        <v>3.9770901967365671</v>
      </c>
    </row>
    <row r="3792" spans="29:34">
      <c r="AC3792" s="78" t="s">
        <v>54</v>
      </c>
      <c r="AD3792" s="78" t="s">
        <v>20</v>
      </c>
      <c r="AE3792" s="78" t="s">
        <v>72</v>
      </c>
      <c r="AF3792" s="78" t="s">
        <v>51</v>
      </c>
      <c r="AG3792" s="78" t="s">
        <v>742</v>
      </c>
      <c r="AH3792" s="78">
        <v>3.9770901967365671</v>
      </c>
    </row>
    <row r="3793" spans="29:34">
      <c r="AC3793" s="78" t="s">
        <v>54</v>
      </c>
      <c r="AD3793" s="78" t="s">
        <v>20</v>
      </c>
      <c r="AE3793" s="78" t="s">
        <v>72</v>
      </c>
      <c r="AF3793" s="78" t="s">
        <v>51</v>
      </c>
      <c r="AG3793" s="78" t="s">
        <v>425</v>
      </c>
      <c r="AH3793" s="78">
        <v>3.9770901967365671</v>
      </c>
    </row>
    <row r="3794" spans="29:34">
      <c r="AC3794" s="78" t="s">
        <v>54</v>
      </c>
      <c r="AD3794" s="78" t="s">
        <v>20</v>
      </c>
      <c r="AE3794" s="78" t="s">
        <v>72</v>
      </c>
      <c r="AF3794" s="78" t="s">
        <v>51</v>
      </c>
      <c r="AG3794" s="78" t="s">
        <v>743</v>
      </c>
      <c r="AH3794" s="78">
        <v>4.1224027274886375</v>
      </c>
    </row>
    <row r="3795" spans="29:34">
      <c r="AC3795" s="78" t="s">
        <v>54</v>
      </c>
      <c r="AD3795" s="78" t="s">
        <v>20</v>
      </c>
      <c r="AE3795" s="78" t="s">
        <v>72</v>
      </c>
      <c r="AF3795" s="78" t="s">
        <v>51</v>
      </c>
      <c r="AG3795" s="78" t="s">
        <v>744</v>
      </c>
      <c r="AH3795" s="78">
        <v>4.1548334667180757</v>
      </c>
    </row>
    <row r="3796" spans="29:34">
      <c r="AC3796" s="78" t="s">
        <v>54</v>
      </c>
      <c r="AD3796" s="78" t="s">
        <v>20</v>
      </c>
      <c r="AE3796" s="78" t="s">
        <v>72</v>
      </c>
      <c r="AF3796" s="78" t="s">
        <v>51</v>
      </c>
      <c r="AG3796" s="78" t="s">
        <v>745</v>
      </c>
      <c r="AH3796" s="78">
        <v>4.1548334667180757</v>
      </c>
    </row>
    <row r="3797" spans="29:34">
      <c r="AC3797" s="78" t="s">
        <v>54</v>
      </c>
      <c r="AD3797" s="78" t="s">
        <v>20</v>
      </c>
      <c r="AE3797" s="78" t="s">
        <v>72</v>
      </c>
      <c r="AF3797" s="78" t="s">
        <v>51</v>
      </c>
      <c r="AG3797" s="78" t="s">
        <v>424</v>
      </c>
      <c r="AH3797" s="78">
        <v>4.1548334667180757</v>
      </c>
    </row>
    <row r="3798" spans="29:34">
      <c r="AC3798" s="78" t="s">
        <v>54</v>
      </c>
      <c r="AD3798" s="78" t="s">
        <v>20</v>
      </c>
      <c r="AE3798" s="78" t="s">
        <v>72</v>
      </c>
      <c r="AF3798" s="78" t="s">
        <v>51</v>
      </c>
      <c r="AG3798" s="78" t="s">
        <v>427</v>
      </c>
      <c r="AH3798" s="78">
        <v>3.9770901967365671</v>
      </c>
    </row>
    <row r="3799" spans="29:34">
      <c r="AC3799" s="78" t="s">
        <v>55</v>
      </c>
      <c r="AD3799" s="78" t="s">
        <v>20</v>
      </c>
      <c r="AE3799" s="78" t="s">
        <v>72</v>
      </c>
      <c r="AF3799" s="78" t="s">
        <v>51</v>
      </c>
      <c r="AG3799" s="78" t="s">
        <v>129</v>
      </c>
      <c r="AH3799" s="78">
        <v>3.9170666666666665</v>
      </c>
    </row>
    <row r="3800" spans="29:34">
      <c r="AC3800" s="78" t="s">
        <v>55</v>
      </c>
      <c r="AD3800" s="78" t="s">
        <v>20</v>
      </c>
      <c r="AE3800" s="78" t="s">
        <v>72</v>
      </c>
      <c r="AF3800" s="78" t="s">
        <v>51</v>
      </c>
      <c r="AG3800" s="78" t="s">
        <v>130</v>
      </c>
      <c r="AH3800" s="78">
        <v>3.9170666666666665</v>
      </c>
    </row>
    <row r="3801" spans="29:34">
      <c r="AC3801" s="78" t="s">
        <v>55</v>
      </c>
      <c r="AD3801" s="78" t="s">
        <v>20</v>
      </c>
      <c r="AE3801" s="78" t="s">
        <v>72</v>
      </c>
      <c r="AF3801" s="78" t="s">
        <v>51</v>
      </c>
      <c r="AG3801" s="78" t="s">
        <v>131</v>
      </c>
      <c r="AH3801" s="78">
        <v>3.9170666666666665</v>
      </c>
    </row>
    <row r="3802" spans="29:34">
      <c r="AC3802" s="78" t="s">
        <v>55</v>
      </c>
      <c r="AD3802" s="78" t="s">
        <v>20</v>
      </c>
      <c r="AE3802" s="78" t="s">
        <v>72</v>
      </c>
      <c r="AF3802" s="78" t="s">
        <v>51</v>
      </c>
      <c r="AG3802" s="78" t="s">
        <v>132</v>
      </c>
      <c r="AH3802" s="78">
        <v>3.9975388163708763</v>
      </c>
    </row>
    <row r="3803" spans="29:34">
      <c r="AC3803" s="78" t="s">
        <v>55</v>
      </c>
      <c r="AD3803" s="78" t="s">
        <v>20</v>
      </c>
      <c r="AE3803" s="78" t="s">
        <v>72</v>
      </c>
      <c r="AF3803" s="78" t="s">
        <v>51</v>
      </c>
      <c r="AG3803" s="78" t="s">
        <v>133</v>
      </c>
      <c r="AH3803" s="78">
        <v>3.9543261870321942</v>
      </c>
    </row>
    <row r="3804" spans="29:34">
      <c r="AC3804" s="78" t="s">
        <v>55</v>
      </c>
      <c r="AD3804" s="78" t="s">
        <v>20</v>
      </c>
      <c r="AE3804" s="78" t="s">
        <v>72</v>
      </c>
      <c r="AF3804" s="78" t="s">
        <v>51</v>
      </c>
      <c r="AG3804" s="78" t="s">
        <v>134</v>
      </c>
      <c r="AH3804" s="78">
        <v>3.929789796110164</v>
      </c>
    </row>
    <row r="3805" spans="29:34">
      <c r="AC3805" s="78" t="s">
        <v>55</v>
      </c>
      <c r="AD3805" s="78" t="s">
        <v>20</v>
      </c>
      <c r="AE3805" s="78" t="s">
        <v>72</v>
      </c>
      <c r="AF3805" s="78" t="s">
        <v>51</v>
      </c>
      <c r="AG3805" s="78" t="s">
        <v>135</v>
      </c>
      <c r="AH3805" s="78">
        <v>3.929789796110164</v>
      </c>
    </row>
    <row r="3806" spans="29:34">
      <c r="AC3806" s="78" t="s">
        <v>55</v>
      </c>
      <c r="AD3806" s="78" t="s">
        <v>20</v>
      </c>
      <c r="AE3806" s="78" t="s">
        <v>72</v>
      </c>
      <c r="AF3806" s="78" t="s">
        <v>51</v>
      </c>
      <c r="AG3806" s="78" t="s">
        <v>136</v>
      </c>
      <c r="AH3806" s="78">
        <v>3.8281034376602534</v>
      </c>
    </row>
    <row r="3807" spans="29:34">
      <c r="AC3807" s="78" t="s">
        <v>55</v>
      </c>
      <c r="AD3807" s="78" t="s">
        <v>20</v>
      </c>
      <c r="AE3807" s="78" t="s">
        <v>72</v>
      </c>
      <c r="AF3807" s="78" t="s">
        <v>51</v>
      </c>
      <c r="AG3807" s="78" t="s">
        <v>137</v>
      </c>
      <c r="AH3807" s="78">
        <v>3.8714038285041039</v>
      </c>
    </row>
    <row r="3808" spans="29:34">
      <c r="AC3808" s="78" t="s">
        <v>55</v>
      </c>
      <c r="AD3808" s="78" t="s">
        <v>20</v>
      </c>
      <c r="AE3808" s="78" t="s">
        <v>72</v>
      </c>
      <c r="AF3808" s="78" t="s">
        <v>51</v>
      </c>
      <c r="AG3808" s="78" t="s">
        <v>138</v>
      </c>
      <c r="AH3808" s="78">
        <v>3.8281034376602534</v>
      </c>
    </row>
    <row r="3809" spans="29:34">
      <c r="AC3809" s="78" t="s">
        <v>55</v>
      </c>
      <c r="AD3809" s="78" t="s">
        <v>20</v>
      </c>
      <c r="AE3809" s="78" t="s">
        <v>72</v>
      </c>
      <c r="AF3809" s="78" t="s">
        <v>51</v>
      </c>
      <c r="AG3809" s="78" t="s">
        <v>139</v>
      </c>
      <c r="AH3809" s="78">
        <v>3.7907999999999999</v>
      </c>
    </row>
    <row r="3810" spans="29:34">
      <c r="AC3810" s="78" t="s">
        <v>55</v>
      </c>
      <c r="AD3810" s="78" t="s">
        <v>20</v>
      </c>
      <c r="AE3810" s="78" t="s">
        <v>72</v>
      </c>
      <c r="AF3810" s="78" t="s">
        <v>51</v>
      </c>
      <c r="AG3810" s="78" t="s">
        <v>140</v>
      </c>
      <c r="AH3810" s="78">
        <v>3.7452361066975079</v>
      </c>
    </row>
    <row r="3811" spans="29:34">
      <c r="AC3811" s="78" t="s">
        <v>55</v>
      </c>
      <c r="AD3811" s="78" t="s">
        <v>20</v>
      </c>
      <c r="AE3811" s="78" t="s">
        <v>72</v>
      </c>
      <c r="AF3811" s="78" t="s">
        <v>51</v>
      </c>
      <c r="AG3811" s="78" t="s">
        <v>141</v>
      </c>
      <c r="AH3811" s="78">
        <v>3.701847554934004</v>
      </c>
    </row>
    <row r="3812" spans="29:34">
      <c r="AC3812" s="78" t="s">
        <v>55</v>
      </c>
      <c r="AD3812" s="78" t="s">
        <v>20</v>
      </c>
      <c r="AE3812" s="78" t="s">
        <v>72</v>
      </c>
      <c r="AF3812" s="78" t="s">
        <v>51</v>
      </c>
      <c r="AG3812" s="78" t="s">
        <v>142</v>
      </c>
      <c r="AH3812" s="78">
        <v>3.7452361066975079</v>
      </c>
    </row>
    <row r="3813" spans="29:34">
      <c r="AC3813" s="78" t="s">
        <v>55</v>
      </c>
      <c r="AD3813" s="78" t="s">
        <v>20</v>
      </c>
      <c r="AE3813" s="78" t="s">
        <v>72</v>
      </c>
      <c r="AF3813" s="78" t="s">
        <v>51</v>
      </c>
      <c r="AG3813" s="78" t="s">
        <v>143</v>
      </c>
      <c r="AH3813" s="78">
        <v>3.7452361066975079</v>
      </c>
    </row>
    <row r="3814" spans="29:34">
      <c r="AC3814" s="78" t="s">
        <v>55</v>
      </c>
      <c r="AD3814" s="78" t="s">
        <v>20</v>
      </c>
      <c r="AE3814" s="78" t="s">
        <v>72</v>
      </c>
      <c r="AF3814" s="78" t="s">
        <v>51</v>
      </c>
      <c r="AG3814" s="78" t="s">
        <v>144</v>
      </c>
      <c r="AH3814" s="78">
        <v>3.7907999999999999</v>
      </c>
    </row>
    <row r="3815" spans="29:34">
      <c r="AC3815" s="78" t="s">
        <v>55</v>
      </c>
      <c r="AD3815" s="78" t="s">
        <v>20</v>
      </c>
      <c r="AE3815" s="78" t="s">
        <v>72</v>
      </c>
      <c r="AF3815" s="78" t="s">
        <v>51</v>
      </c>
      <c r="AG3815" s="78" t="s">
        <v>145</v>
      </c>
      <c r="AH3815" s="78">
        <v>3.8281034376602534</v>
      </c>
    </row>
    <row r="3816" spans="29:34">
      <c r="AC3816" s="78" t="s">
        <v>55</v>
      </c>
      <c r="AD3816" s="78" t="s">
        <v>20</v>
      </c>
      <c r="AE3816" s="78" t="s">
        <v>72</v>
      </c>
      <c r="AF3816" s="78" t="s">
        <v>51</v>
      </c>
      <c r="AG3816" s="78" t="s">
        <v>146</v>
      </c>
      <c r="AH3816" s="78">
        <v>3.8714038285041039</v>
      </c>
    </row>
    <row r="3817" spans="29:34">
      <c r="AC3817" s="78" t="s">
        <v>55</v>
      </c>
      <c r="AD3817" s="78" t="s">
        <v>20</v>
      </c>
      <c r="AE3817" s="78" t="s">
        <v>72</v>
      </c>
      <c r="AF3817" s="78" t="s">
        <v>51</v>
      </c>
      <c r="AG3817" s="78" t="s">
        <v>147</v>
      </c>
      <c r="AH3817" s="78">
        <v>3.8714038285041039</v>
      </c>
    </row>
    <row r="3818" spans="29:34">
      <c r="AC3818" s="78" t="s">
        <v>55</v>
      </c>
      <c r="AD3818" s="78" t="s">
        <v>20</v>
      </c>
      <c r="AE3818" s="78" t="s">
        <v>72</v>
      </c>
      <c r="AF3818" s="78" t="s">
        <v>51</v>
      </c>
      <c r="AG3818" s="78" t="s">
        <v>148</v>
      </c>
      <c r="AH3818" s="78">
        <v>3.8714038285041039</v>
      </c>
    </row>
    <row r="3819" spans="29:34">
      <c r="AC3819" s="78" t="s">
        <v>55</v>
      </c>
      <c r="AD3819" s="78" t="s">
        <v>20</v>
      </c>
      <c r="AE3819" s="78" t="s">
        <v>72</v>
      </c>
      <c r="AF3819" s="78" t="s">
        <v>51</v>
      </c>
      <c r="AG3819" s="78" t="s">
        <v>149</v>
      </c>
      <c r="AH3819" s="78">
        <v>3.8714038285041039</v>
      </c>
    </row>
    <row r="3820" spans="29:34">
      <c r="AC3820" s="78" t="s">
        <v>55</v>
      </c>
      <c r="AD3820" s="78" t="s">
        <v>20</v>
      </c>
      <c r="AE3820" s="78" t="s">
        <v>72</v>
      </c>
      <c r="AF3820" s="78" t="s">
        <v>51</v>
      </c>
      <c r="AG3820" s="78" t="s">
        <v>150</v>
      </c>
      <c r="AH3820" s="78">
        <v>3.7907999999999999</v>
      </c>
    </row>
    <row r="3821" spans="29:34">
      <c r="AC3821" s="78" t="s">
        <v>55</v>
      </c>
      <c r="AD3821" s="78" t="s">
        <v>20</v>
      </c>
      <c r="AE3821" s="78" t="s">
        <v>72</v>
      </c>
      <c r="AF3821" s="78" t="s">
        <v>51</v>
      </c>
      <c r="AG3821" s="78" t="s">
        <v>151</v>
      </c>
      <c r="AH3821" s="78">
        <v>3.7907999999999999</v>
      </c>
    </row>
    <row r="3822" spans="29:34">
      <c r="AC3822" s="78" t="s">
        <v>55</v>
      </c>
      <c r="AD3822" s="78" t="s">
        <v>20</v>
      </c>
      <c r="AE3822" s="78" t="s">
        <v>72</v>
      </c>
      <c r="AF3822" s="78" t="s">
        <v>51</v>
      </c>
      <c r="AG3822" s="78" t="s">
        <v>152</v>
      </c>
      <c r="AH3822" s="78">
        <v>3.8038200779030156</v>
      </c>
    </row>
    <row r="3823" spans="29:34">
      <c r="AC3823" s="78" t="s">
        <v>55</v>
      </c>
      <c r="AD3823" s="78" t="s">
        <v>20</v>
      </c>
      <c r="AE3823" s="78" t="s">
        <v>72</v>
      </c>
      <c r="AF3823" s="78" t="s">
        <v>51</v>
      </c>
      <c r="AG3823" s="78" t="s">
        <v>153</v>
      </c>
      <c r="AH3823" s="78">
        <v>3.6708585343811904</v>
      </c>
    </row>
    <row r="3824" spans="29:34">
      <c r="AC3824" s="78" t="s">
        <v>55</v>
      </c>
      <c r="AD3824" s="78" t="s">
        <v>20</v>
      </c>
      <c r="AE3824" s="78" t="s">
        <v>72</v>
      </c>
      <c r="AF3824" s="78" t="s">
        <v>51</v>
      </c>
      <c r="AG3824" s="78" t="s">
        <v>154</v>
      </c>
      <c r="AH3824" s="78">
        <v>3.6708585343811904</v>
      </c>
    </row>
    <row r="3825" spans="29:34">
      <c r="AC3825" s="78" t="s">
        <v>55</v>
      </c>
      <c r="AD3825" s="78" t="s">
        <v>20</v>
      </c>
      <c r="AE3825" s="78" t="s">
        <v>72</v>
      </c>
      <c r="AF3825" s="78" t="s">
        <v>51</v>
      </c>
      <c r="AG3825" s="78" t="s">
        <v>155</v>
      </c>
      <c r="AH3825" s="78">
        <v>3.6708585343811904</v>
      </c>
    </row>
    <row r="3826" spans="29:34">
      <c r="AC3826" s="78" t="s">
        <v>55</v>
      </c>
      <c r="AD3826" s="78" t="s">
        <v>20</v>
      </c>
      <c r="AE3826" s="78" t="s">
        <v>72</v>
      </c>
      <c r="AF3826" s="78" t="s">
        <v>51</v>
      </c>
      <c r="AG3826" s="78" t="s">
        <v>156</v>
      </c>
      <c r="AH3826" s="78">
        <v>3.6708585343811904</v>
      </c>
    </row>
    <row r="3827" spans="29:34">
      <c r="AC3827" s="78" t="s">
        <v>55</v>
      </c>
      <c r="AD3827" s="78" t="s">
        <v>20</v>
      </c>
      <c r="AE3827" s="78" t="s">
        <v>72</v>
      </c>
      <c r="AF3827" s="78" t="s">
        <v>51</v>
      </c>
      <c r="AG3827" s="78" t="s">
        <v>157</v>
      </c>
      <c r="AH3827" s="78">
        <v>3.6708585343811904</v>
      </c>
    </row>
    <row r="3828" spans="29:34">
      <c r="AC3828" s="78" t="s">
        <v>55</v>
      </c>
      <c r="AD3828" s="78" t="s">
        <v>20</v>
      </c>
      <c r="AE3828" s="78" t="s">
        <v>72</v>
      </c>
      <c r="AF3828" s="78" t="s">
        <v>51</v>
      </c>
      <c r="AG3828" s="78" t="s">
        <v>158</v>
      </c>
      <c r="AH3828" s="78">
        <v>3.7143356375412493</v>
      </c>
    </row>
    <row r="3829" spans="29:34">
      <c r="AC3829" s="78" t="s">
        <v>55</v>
      </c>
      <c r="AD3829" s="78" t="s">
        <v>20</v>
      </c>
      <c r="AE3829" s="78" t="s">
        <v>72</v>
      </c>
      <c r="AF3829" s="78" t="s">
        <v>51</v>
      </c>
      <c r="AG3829" s="78" t="s">
        <v>159</v>
      </c>
      <c r="AH3829" s="78">
        <v>3.6334666666666666</v>
      </c>
    </row>
    <row r="3830" spans="29:34">
      <c r="AC3830" s="78" t="s">
        <v>55</v>
      </c>
      <c r="AD3830" s="78" t="s">
        <v>20</v>
      </c>
      <c r="AE3830" s="78" t="s">
        <v>72</v>
      </c>
      <c r="AF3830" s="78" t="s">
        <v>51</v>
      </c>
      <c r="AG3830" s="78" t="s">
        <v>160</v>
      </c>
      <c r="AH3830" s="78">
        <v>3.6334666666666666</v>
      </c>
    </row>
    <row r="3831" spans="29:34">
      <c r="AC3831" s="78" t="s">
        <v>55</v>
      </c>
      <c r="AD3831" s="78" t="s">
        <v>20</v>
      </c>
      <c r="AE3831" s="78" t="s">
        <v>72</v>
      </c>
      <c r="AF3831" s="78" t="s">
        <v>51</v>
      </c>
      <c r="AG3831" s="78" t="s">
        <v>161</v>
      </c>
      <c r="AH3831" s="78">
        <v>3.6334666666666666</v>
      </c>
    </row>
    <row r="3832" spans="29:34">
      <c r="AC3832" s="78" t="s">
        <v>55</v>
      </c>
      <c r="AD3832" s="78" t="s">
        <v>20</v>
      </c>
      <c r="AE3832" s="78" t="s">
        <v>72</v>
      </c>
      <c r="AF3832" s="78" t="s">
        <v>51</v>
      </c>
      <c r="AG3832" s="78" t="s">
        <v>162</v>
      </c>
      <c r="AH3832" s="78">
        <v>3.6334666666666666</v>
      </c>
    </row>
    <row r="3833" spans="29:34">
      <c r="AC3833" s="78" t="s">
        <v>55</v>
      </c>
      <c r="AD3833" s="78" t="s">
        <v>20</v>
      </c>
      <c r="AE3833" s="78" t="s">
        <v>72</v>
      </c>
      <c r="AF3833" s="78" t="s">
        <v>51</v>
      </c>
      <c r="AG3833" s="78" t="s">
        <v>163</v>
      </c>
      <c r="AH3833" s="78">
        <v>3.6334666666666666</v>
      </c>
    </row>
    <row r="3834" spans="29:34">
      <c r="AC3834" s="78" t="s">
        <v>55</v>
      </c>
      <c r="AD3834" s="78" t="s">
        <v>20</v>
      </c>
      <c r="AE3834" s="78" t="s">
        <v>72</v>
      </c>
      <c r="AF3834" s="78" t="s">
        <v>51</v>
      </c>
      <c r="AG3834" s="78" t="s">
        <v>164</v>
      </c>
      <c r="AH3834" s="78">
        <v>3.6334666666666666</v>
      </c>
    </row>
    <row r="3835" spans="29:34">
      <c r="AC3835" s="78" t="s">
        <v>55</v>
      </c>
      <c r="AD3835" s="78" t="s">
        <v>20</v>
      </c>
      <c r="AE3835" s="78" t="s">
        <v>72</v>
      </c>
      <c r="AF3835" s="78" t="s">
        <v>51</v>
      </c>
      <c r="AG3835" s="78" t="s">
        <v>165</v>
      </c>
      <c r="AH3835" s="78">
        <v>3.7597333333333331</v>
      </c>
    </row>
    <row r="3836" spans="29:34">
      <c r="AC3836" s="78" t="s">
        <v>55</v>
      </c>
      <c r="AD3836" s="78" t="s">
        <v>20</v>
      </c>
      <c r="AE3836" s="78" t="s">
        <v>72</v>
      </c>
      <c r="AF3836" s="78" t="s">
        <v>51</v>
      </c>
      <c r="AG3836" s="78" t="s">
        <v>166</v>
      </c>
      <c r="AH3836" s="78">
        <v>3.7597333333333331</v>
      </c>
    </row>
    <row r="3837" spans="29:34">
      <c r="AC3837" s="78" t="s">
        <v>55</v>
      </c>
      <c r="AD3837" s="78" t="s">
        <v>20</v>
      </c>
      <c r="AE3837" s="78" t="s">
        <v>72</v>
      </c>
      <c r="AF3837" s="78" t="s">
        <v>51</v>
      </c>
      <c r="AG3837" s="78" t="s">
        <v>167</v>
      </c>
      <c r="AH3837" s="78">
        <v>3.7143356375412493</v>
      </c>
    </row>
    <row r="3838" spans="29:34">
      <c r="AC3838" s="78" t="s">
        <v>55</v>
      </c>
      <c r="AD3838" s="78" t="s">
        <v>20</v>
      </c>
      <c r="AE3838" s="78" t="s">
        <v>72</v>
      </c>
      <c r="AF3838" s="78" t="s">
        <v>51</v>
      </c>
      <c r="AG3838" s="78" t="s">
        <v>168</v>
      </c>
      <c r="AH3838" s="78">
        <v>3.7143356375412493</v>
      </c>
    </row>
    <row r="3839" spans="29:34">
      <c r="AC3839" s="78" t="s">
        <v>55</v>
      </c>
      <c r="AD3839" s="78" t="s">
        <v>20</v>
      </c>
      <c r="AE3839" s="78" t="s">
        <v>72</v>
      </c>
      <c r="AF3839" s="78" t="s">
        <v>51</v>
      </c>
      <c r="AG3839" s="78" t="s">
        <v>169</v>
      </c>
      <c r="AH3839" s="78">
        <v>3.7143356375412493</v>
      </c>
    </row>
    <row r="3840" spans="29:34">
      <c r="AC3840" s="78" t="s">
        <v>55</v>
      </c>
      <c r="AD3840" s="78" t="s">
        <v>20</v>
      </c>
      <c r="AE3840" s="78" t="s">
        <v>72</v>
      </c>
      <c r="AF3840" s="78" t="s">
        <v>51</v>
      </c>
      <c r="AG3840" s="78" t="s">
        <v>170</v>
      </c>
      <c r="AH3840" s="78">
        <v>3.7970808882673373</v>
      </c>
    </row>
    <row r="3841" spans="29:34">
      <c r="AC3841" s="78" t="s">
        <v>55</v>
      </c>
      <c r="AD3841" s="78" t="s">
        <v>20</v>
      </c>
      <c r="AE3841" s="78" t="s">
        <v>72</v>
      </c>
      <c r="AF3841" s="78" t="s">
        <v>51</v>
      </c>
      <c r="AG3841" s="78" t="s">
        <v>171</v>
      </c>
      <c r="AH3841" s="78">
        <v>3.7970808882673373</v>
      </c>
    </row>
    <row r="3842" spans="29:34">
      <c r="AC3842" s="78" t="s">
        <v>55</v>
      </c>
      <c r="AD3842" s="78" t="s">
        <v>20</v>
      </c>
      <c r="AE3842" s="78" t="s">
        <v>72</v>
      </c>
      <c r="AF3842" s="78" t="s">
        <v>51</v>
      </c>
      <c r="AG3842" s="78" t="s">
        <v>172</v>
      </c>
      <c r="AH3842" s="78">
        <v>3.7970808882673373</v>
      </c>
    </row>
    <row r="3843" spans="29:34">
      <c r="AC3843" s="78" t="s">
        <v>55</v>
      </c>
      <c r="AD3843" s="78" t="s">
        <v>20</v>
      </c>
      <c r="AE3843" s="78" t="s">
        <v>72</v>
      </c>
      <c r="AF3843" s="78" t="s">
        <v>51</v>
      </c>
      <c r="AG3843" s="78" t="s">
        <v>173</v>
      </c>
      <c r="AH3843" s="78">
        <v>3.7970808882673373</v>
      </c>
    </row>
    <row r="3844" spans="29:34">
      <c r="AC3844" s="78" t="s">
        <v>55</v>
      </c>
      <c r="AD3844" s="78" t="s">
        <v>20</v>
      </c>
      <c r="AE3844" s="78" t="s">
        <v>72</v>
      </c>
      <c r="AF3844" s="78" t="s">
        <v>51</v>
      </c>
      <c r="AG3844" s="78" t="s">
        <v>174</v>
      </c>
      <c r="AH3844" s="78">
        <v>3.8404694400308417</v>
      </c>
    </row>
    <row r="3845" spans="29:34">
      <c r="AC3845" s="78" t="s">
        <v>55</v>
      </c>
      <c r="AD3845" s="78" t="s">
        <v>20</v>
      </c>
      <c r="AE3845" s="78" t="s">
        <v>72</v>
      </c>
      <c r="AF3845" s="78" t="s">
        <v>51</v>
      </c>
      <c r="AG3845" s="78" t="s">
        <v>175</v>
      </c>
      <c r="AH3845" s="78">
        <v>3.9020859403395352</v>
      </c>
    </row>
    <row r="3846" spans="29:34">
      <c r="AC3846" s="78" t="s">
        <v>55</v>
      </c>
      <c r="AD3846" s="78" t="s">
        <v>20</v>
      </c>
      <c r="AE3846" s="78" t="s">
        <v>72</v>
      </c>
      <c r="AF3846" s="78" t="s">
        <v>51</v>
      </c>
      <c r="AG3846" s="78" t="s">
        <v>176</v>
      </c>
      <c r="AH3846" s="78">
        <v>3.9020859403395352</v>
      </c>
    </row>
    <row r="3847" spans="29:34">
      <c r="AC3847" s="78" t="s">
        <v>55</v>
      </c>
      <c r="AD3847" s="78" t="s">
        <v>20</v>
      </c>
      <c r="AE3847" s="78" t="s">
        <v>72</v>
      </c>
      <c r="AF3847" s="78" t="s">
        <v>51</v>
      </c>
      <c r="AG3847" s="78" t="s">
        <v>177</v>
      </c>
      <c r="AH3847" s="78">
        <v>3.7970808882673373</v>
      </c>
    </row>
    <row r="3848" spans="29:34">
      <c r="AC3848" s="78" t="s">
        <v>55</v>
      </c>
      <c r="AD3848" s="78" t="s">
        <v>20</v>
      </c>
      <c r="AE3848" s="78" t="s">
        <v>72</v>
      </c>
      <c r="AF3848" s="78" t="s">
        <v>51</v>
      </c>
      <c r="AG3848" s="78" t="s">
        <v>178</v>
      </c>
      <c r="AH3848" s="78">
        <v>3.8860333333333337</v>
      </c>
    </row>
    <row r="3849" spans="29:34">
      <c r="AC3849" s="78" t="s">
        <v>55</v>
      </c>
      <c r="AD3849" s="78" t="s">
        <v>20</v>
      </c>
      <c r="AE3849" s="78" t="s">
        <v>72</v>
      </c>
      <c r="AF3849" s="78" t="s">
        <v>51</v>
      </c>
      <c r="AG3849" s="78" t="s">
        <v>179</v>
      </c>
      <c r="AH3849" s="78">
        <v>3.9233367709935867</v>
      </c>
    </row>
    <row r="3850" spans="29:34">
      <c r="AC3850" s="78" t="s">
        <v>55</v>
      </c>
      <c r="AD3850" s="78" t="s">
        <v>20</v>
      </c>
      <c r="AE3850" s="78" t="s">
        <v>72</v>
      </c>
      <c r="AF3850" s="78" t="s">
        <v>51</v>
      </c>
      <c r="AG3850" s="78" t="s">
        <v>180</v>
      </c>
      <c r="AH3850" s="78">
        <v>3.9233367709935867</v>
      </c>
    </row>
    <row r="3851" spans="29:34">
      <c r="AC3851" s="78" t="s">
        <v>55</v>
      </c>
      <c r="AD3851" s="78" t="s">
        <v>20</v>
      </c>
      <c r="AE3851" s="78" t="s">
        <v>72</v>
      </c>
      <c r="AF3851" s="78" t="s">
        <v>51</v>
      </c>
      <c r="AG3851" s="78" t="s">
        <v>181</v>
      </c>
      <c r="AH3851" s="78">
        <v>3.8860333333333337</v>
      </c>
    </row>
    <row r="3852" spans="29:34">
      <c r="AC3852" s="78" t="s">
        <v>55</v>
      </c>
      <c r="AD3852" s="78" t="s">
        <v>20</v>
      </c>
      <c r="AE3852" s="78" t="s">
        <v>72</v>
      </c>
      <c r="AF3852" s="78" t="s">
        <v>51</v>
      </c>
      <c r="AG3852" s="78" t="s">
        <v>182</v>
      </c>
      <c r="AH3852" s="78">
        <v>3.8404694400308417</v>
      </c>
    </row>
    <row r="3853" spans="29:34">
      <c r="AC3853" s="78" t="s">
        <v>55</v>
      </c>
      <c r="AD3853" s="78" t="s">
        <v>20</v>
      </c>
      <c r="AE3853" s="78" t="s">
        <v>72</v>
      </c>
      <c r="AF3853" s="78" t="s">
        <v>51</v>
      </c>
      <c r="AG3853" s="78" t="s">
        <v>183</v>
      </c>
      <c r="AH3853" s="78">
        <v>3.8404694400308417</v>
      </c>
    </row>
    <row r="3854" spans="29:34">
      <c r="AC3854" s="78" t="s">
        <v>55</v>
      </c>
      <c r="AD3854" s="78" t="s">
        <v>20</v>
      </c>
      <c r="AE3854" s="78" t="s">
        <v>72</v>
      </c>
      <c r="AF3854" s="78" t="s">
        <v>51</v>
      </c>
      <c r="AG3854" s="78" t="s">
        <v>184</v>
      </c>
      <c r="AH3854" s="78">
        <v>3.9041371618374376</v>
      </c>
    </row>
    <row r="3855" spans="29:34">
      <c r="AC3855" s="78" t="s">
        <v>55</v>
      </c>
      <c r="AD3855" s="78" t="s">
        <v>20</v>
      </c>
      <c r="AE3855" s="78" t="s">
        <v>72</v>
      </c>
      <c r="AF3855" s="78" t="s">
        <v>51</v>
      </c>
      <c r="AG3855" s="78" t="s">
        <v>185</v>
      </c>
      <c r="AH3855" s="78">
        <v>3.9041371618374376</v>
      </c>
    </row>
    <row r="3856" spans="29:34">
      <c r="AC3856" s="78" t="s">
        <v>55</v>
      </c>
      <c r="AD3856" s="78" t="s">
        <v>20</v>
      </c>
      <c r="AE3856" s="78" t="s">
        <v>72</v>
      </c>
      <c r="AF3856" s="78" t="s">
        <v>51</v>
      </c>
      <c r="AG3856" s="78" t="s">
        <v>186</v>
      </c>
      <c r="AH3856" s="78">
        <v>3.9041371618374376</v>
      </c>
    </row>
    <row r="3857" spans="29:34">
      <c r="AC3857" s="78" t="s">
        <v>55</v>
      </c>
      <c r="AD3857" s="78" t="s">
        <v>20</v>
      </c>
      <c r="AE3857" s="78" t="s">
        <v>72</v>
      </c>
      <c r="AF3857" s="78" t="s">
        <v>51</v>
      </c>
      <c r="AG3857" s="78" t="s">
        <v>187</v>
      </c>
      <c r="AH3857" s="78">
        <v>3.7749314548968891</v>
      </c>
    </row>
    <row r="3858" spans="29:34">
      <c r="AC3858" s="78" t="s">
        <v>55</v>
      </c>
      <c r="AD3858" s="78" t="s">
        <v>20</v>
      </c>
      <c r="AE3858" s="78" t="s">
        <v>72</v>
      </c>
      <c r="AF3858" s="78" t="s">
        <v>51</v>
      </c>
      <c r="AG3858" s="78" t="s">
        <v>188</v>
      </c>
      <c r="AH3858" s="78">
        <v>3.7749314548968891</v>
      </c>
    </row>
    <row r="3859" spans="29:34">
      <c r="AC3859" s="78" t="s">
        <v>55</v>
      </c>
      <c r="AD3859" s="78" t="s">
        <v>20</v>
      </c>
      <c r="AE3859" s="78" t="s">
        <v>72</v>
      </c>
      <c r="AF3859" s="78" t="s">
        <v>51</v>
      </c>
      <c r="AG3859" s="78" t="s">
        <v>189</v>
      </c>
      <c r="AH3859" s="78">
        <v>3.7749314548968891</v>
      </c>
    </row>
    <row r="3860" spans="29:34">
      <c r="AC3860" s="78" t="s">
        <v>55</v>
      </c>
      <c r="AD3860" s="78" t="s">
        <v>20</v>
      </c>
      <c r="AE3860" s="78" t="s">
        <v>72</v>
      </c>
      <c r="AF3860" s="78" t="s">
        <v>51</v>
      </c>
      <c r="AG3860" s="78" t="s">
        <v>190</v>
      </c>
      <c r="AH3860" s="78">
        <v>3.7761730843118855</v>
      </c>
    </row>
    <row r="3861" spans="29:34">
      <c r="AC3861" s="78" t="s">
        <v>55</v>
      </c>
      <c r="AD3861" s="78" t="s">
        <v>20</v>
      </c>
      <c r="AE3861" s="78" t="s">
        <v>72</v>
      </c>
      <c r="AF3861" s="78" t="s">
        <v>51</v>
      </c>
      <c r="AG3861" s="78" t="s">
        <v>191</v>
      </c>
      <c r="AH3861" s="78">
        <v>3.7761730843118855</v>
      </c>
    </row>
    <row r="3862" spans="29:34">
      <c r="AC3862" s="78" t="s">
        <v>55</v>
      </c>
      <c r="AD3862" s="78" t="s">
        <v>20</v>
      </c>
      <c r="AE3862" s="78" t="s">
        <v>72</v>
      </c>
      <c r="AF3862" s="78" t="s">
        <v>51</v>
      </c>
      <c r="AG3862" s="78" t="s">
        <v>192</v>
      </c>
      <c r="AH3862" s="78">
        <v>4.0557276764206129</v>
      </c>
    </row>
    <row r="3863" spans="29:34">
      <c r="AC3863" s="78" t="s">
        <v>55</v>
      </c>
      <c r="AD3863" s="78" t="s">
        <v>20</v>
      </c>
      <c r="AE3863" s="78" t="s">
        <v>72</v>
      </c>
      <c r="AF3863" s="78" t="s">
        <v>51</v>
      </c>
      <c r="AG3863" s="78" t="s">
        <v>193</v>
      </c>
      <c r="AH3863" s="78">
        <v>4.0557276764206129</v>
      </c>
    </row>
    <row r="3864" spans="29:34">
      <c r="AC3864" s="78" t="s">
        <v>55</v>
      </c>
      <c r="AD3864" s="78" t="s">
        <v>20</v>
      </c>
      <c r="AE3864" s="78" t="s">
        <v>72</v>
      </c>
      <c r="AF3864" s="78" t="s">
        <v>51</v>
      </c>
      <c r="AG3864" s="78" t="s">
        <v>194</v>
      </c>
      <c r="AH3864" s="78">
        <v>4.1817004181546098</v>
      </c>
    </row>
    <row r="3865" spans="29:34">
      <c r="AC3865" s="78" t="s">
        <v>55</v>
      </c>
      <c r="AD3865" s="78" t="s">
        <v>20</v>
      </c>
      <c r="AE3865" s="78" t="s">
        <v>72</v>
      </c>
      <c r="AF3865" s="78" t="s">
        <v>51</v>
      </c>
      <c r="AG3865" s="78" t="s">
        <v>195</v>
      </c>
      <c r="AH3865" s="78">
        <v>4.1237077500397357</v>
      </c>
    </row>
    <row r="3866" spans="29:34">
      <c r="AC3866" s="78" t="s">
        <v>55</v>
      </c>
      <c r="AD3866" s="78" t="s">
        <v>20</v>
      </c>
      <c r="AE3866" s="78" t="s">
        <v>72</v>
      </c>
      <c r="AF3866" s="78" t="s">
        <v>51</v>
      </c>
      <c r="AG3866" s="78" t="s">
        <v>196</v>
      </c>
      <c r="AH3866" s="78">
        <v>4.2186106422383469</v>
      </c>
    </row>
    <row r="3867" spans="29:34">
      <c r="AC3867" s="78" t="s">
        <v>55</v>
      </c>
      <c r="AD3867" s="78" t="s">
        <v>20</v>
      </c>
      <c r="AE3867" s="78" t="s">
        <v>72</v>
      </c>
      <c r="AF3867" s="78" t="s">
        <v>51</v>
      </c>
      <c r="AG3867" s="78" t="s">
        <v>197</v>
      </c>
      <c r="AH3867" s="78">
        <v>4.1873439755716797</v>
      </c>
    </row>
    <row r="3868" spans="29:34">
      <c r="AC3868" s="78" t="s">
        <v>55</v>
      </c>
      <c r="AD3868" s="78" t="s">
        <v>20</v>
      </c>
      <c r="AE3868" s="78" t="s">
        <v>72</v>
      </c>
      <c r="AF3868" s="78" t="s">
        <v>51</v>
      </c>
      <c r="AG3868" s="78" t="s">
        <v>198</v>
      </c>
      <c r="AH3868" s="78">
        <v>4.1873439755716797</v>
      </c>
    </row>
    <row r="3869" spans="29:34">
      <c r="AC3869" s="78" t="s">
        <v>55</v>
      </c>
      <c r="AD3869" s="78" t="s">
        <v>20</v>
      </c>
      <c r="AE3869" s="78" t="s">
        <v>72</v>
      </c>
      <c r="AF3869" s="78" t="s">
        <v>51</v>
      </c>
      <c r="AG3869" s="78" t="s">
        <v>199</v>
      </c>
      <c r="AH3869" s="78">
        <v>4.310586640999877</v>
      </c>
    </row>
    <row r="3870" spans="29:34">
      <c r="AC3870" s="78" t="s">
        <v>55</v>
      </c>
      <c r="AD3870" s="78" t="s">
        <v>20</v>
      </c>
      <c r="AE3870" s="78" t="s">
        <v>72</v>
      </c>
      <c r="AF3870" s="78" t="s">
        <v>51</v>
      </c>
      <c r="AG3870" s="78" t="s">
        <v>200</v>
      </c>
      <c r="AH3870" s="78">
        <v>4.2186106422383469</v>
      </c>
    </row>
    <row r="3871" spans="29:34">
      <c r="AC3871" s="78" t="s">
        <v>55</v>
      </c>
      <c r="AD3871" s="78" t="s">
        <v>20</v>
      </c>
      <c r="AE3871" s="78" t="s">
        <v>72</v>
      </c>
      <c r="AF3871" s="78" t="s">
        <v>51</v>
      </c>
      <c r="AG3871" s="78" t="s">
        <v>201</v>
      </c>
      <c r="AH3871" s="78">
        <v>4.2186106422383469</v>
      </c>
    </row>
    <row r="3872" spans="29:34">
      <c r="AC3872" s="78" t="s">
        <v>55</v>
      </c>
      <c r="AD3872" s="78" t="s">
        <v>20</v>
      </c>
      <c r="AE3872" s="78" t="s">
        <v>72</v>
      </c>
      <c r="AF3872" s="78" t="s">
        <v>51</v>
      </c>
      <c r="AG3872" s="78" t="s">
        <v>202</v>
      </c>
      <c r="AH3872" s="78">
        <v>4.1817004181546098</v>
      </c>
    </row>
    <row r="3873" spans="29:34">
      <c r="AC3873" s="78" t="s">
        <v>55</v>
      </c>
      <c r="AD3873" s="78" t="s">
        <v>20</v>
      </c>
      <c r="AE3873" s="78" t="s">
        <v>72</v>
      </c>
      <c r="AF3873" s="78" t="s">
        <v>51</v>
      </c>
      <c r="AG3873" s="78" t="s">
        <v>203</v>
      </c>
      <c r="AH3873" s="78">
        <v>4.1817004181546098</v>
      </c>
    </row>
    <row r="3874" spans="29:34">
      <c r="AC3874" s="78" t="s">
        <v>55</v>
      </c>
      <c r="AD3874" s="78" t="s">
        <v>20</v>
      </c>
      <c r="AE3874" s="78" t="s">
        <v>72</v>
      </c>
      <c r="AF3874" s="78" t="s">
        <v>51</v>
      </c>
      <c r="AG3874" s="78" t="s">
        <v>204</v>
      </c>
      <c r="AH3874" s="78">
        <v>4.1873439755716797</v>
      </c>
    </row>
    <row r="3875" spans="29:34">
      <c r="AC3875" s="78" t="s">
        <v>55</v>
      </c>
      <c r="AD3875" s="78" t="s">
        <v>20</v>
      </c>
      <c r="AE3875" s="78" t="s">
        <v>72</v>
      </c>
      <c r="AF3875" s="78" t="s">
        <v>51</v>
      </c>
      <c r="AG3875" s="78" t="s">
        <v>205</v>
      </c>
      <c r="AH3875" s="78">
        <v>4.1873439755716797</v>
      </c>
    </row>
    <row r="3876" spans="29:34">
      <c r="AC3876" s="78" t="s">
        <v>55</v>
      </c>
      <c r="AD3876" s="78" t="s">
        <v>20</v>
      </c>
      <c r="AE3876" s="78" t="s">
        <v>72</v>
      </c>
      <c r="AF3876" s="78" t="s">
        <v>51</v>
      </c>
      <c r="AG3876" s="78" t="s">
        <v>206</v>
      </c>
      <c r="AH3876" s="78">
        <v>4.1817004181546098</v>
      </c>
    </row>
    <row r="3877" spans="29:34">
      <c r="AC3877" s="78" t="s">
        <v>55</v>
      </c>
      <c r="AD3877" s="78" t="s">
        <v>20</v>
      </c>
      <c r="AE3877" s="78" t="s">
        <v>72</v>
      </c>
      <c r="AF3877" s="78" t="s">
        <v>51</v>
      </c>
      <c r="AG3877" s="78" t="s">
        <v>207</v>
      </c>
      <c r="AH3877" s="78">
        <v>4.1873439755716797</v>
      </c>
    </row>
    <row r="3878" spans="29:34">
      <c r="AC3878" s="78" t="s">
        <v>55</v>
      </c>
      <c r="AD3878" s="78" t="s">
        <v>20</v>
      </c>
      <c r="AE3878" s="78" t="s">
        <v>72</v>
      </c>
      <c r="AF3878" s="78" t="s">
        <v>51</v>
      </c>
      <c r="AG3878" s="78" t="s">
        <v>208</v>
      </c>
      <c r="AH3878" s="78">
        <v>4.2186106422383469</v>
      </c>
    </row>
    <row r="3879" spans="29:34">
      <c r="AC3879" s="78" t="s">
        <v>55</v>
      </c>
      <c r="AD3879" s="78" t="s">
        <v>20</v>
      </c>
      <c r="AE3879" s="78" t="s">
        <v>72</v>
      </c>
      <c r="AF3879" s="78" t="s">
        <v>51</v>
      </c>
      <c r="AG3879" s="78" t="s">
        <v>209</v>
      </c>
      <c r="AH3879" s="78">
        <v>4.2186106422383469</v>
      </c>
    </row>
    <row r="3880" spans="29:34">
      <c r="AC3880" s="78" t="s">
        <v>55</v>
      </c>
      <c r="AD3880" s="78" t="s">
        <v>20</v>
      </c>
      <c r="AE3880" s="78" t="s">
        <v>72</v>
      </c>
      <c r="AF3880" s="78" t="s">
        <v>51</v>
      </c>
      <c r="AG3880" s="78" t="s">
        <v>210</v>
      </c>
      <c r="AH3880" s="78">
        <v>4.2186106422383469</v>
      </c>
    </row>
    <row r="3881" spans="29:34">
      <c r="AC3881" s="78" t="s">
        <v>55</v>
      </c>
      <c r="AD3881" s="78" t="s">
        <v>20</v>
      </c>
      <c r="AE3881" s="78" t="s">
        <v>72</v>
      </c>
      <c r="AF3881" s="78" t="s">
        <v>51</v>
      </c>
      <c r="AG3881" s="78" t="s">
        <v>211</v>
      </c>
      <c r="AH3881" s="78">
        <v>4.310586640999877</v>
      </c>
    </row>
    <row r="3882" spans="29:34">
      <c r="AC3882" s="78" t="s">
        <v>55</v>
      </c>
      <c r="AD3882" s="78" t="s">
        <v>20</v>
      </c>
      <c r="AE3882" s="78" t="s">
        <v>72</v>
      </c>
      <c r="AF3882" s="78" t="s">
        <v>51</v>
      </c>
      <c r="AG3882" s="78" t="s">
        <v>212</v>
      </c>
      <c r="AH3882" s="78">
        <v>4.2186106422383469</v>
      </c>
    </row>
    <row r="3883" spans="29:34">
      <c r="AC3883" s="78" t="s">
        <v>55</v>
      </c>
      <c r="AD3883" s="78" t="s">
        <v>20</v>
      </c>
      <c r="AE3883" s="78" t="s">
        <v>72</v>
      </c>
      <c r="AF3883" s="78" t="s">
        <v>51</v>
      </c>
      <c r="AG3883" s="78" t="s">
        <v>97</v>
      </c>
      <c r="AH3883" s="78">
        <v>4.1873439755716797</v>
      </c>
    </row>
    <row r="3884" spans="29:34">
      <c r="AC3884" s="78" t="s">
        <v>55</v>
      </c>
      <c r="AD3884" s="78" t="s">
        <v>20</v>
      </c>
      <c r="AE3884" s="78" t="s">
        <v>72</v>
      </c>
      <c r="AF3884" s="78" t="s">
        <v>51</v>
      </c>
      <c r="AG3884" s="78" t="s">
        <v>95</v>
      </c>
      <c r="AH3884" s="78">
        <v>4.2186106422383469</v>
      </c>
    </row>
    <row r="3885" spans="29:34">
      <c r="AC3885" s="78" t="s">
        <v>55</v>
      </c>
      <c r="AD3885" s="78" t="s">
        <v>20</v>
      </c>
      <c r="AE3885" s="78" t="s">
        <v>72</v>
      </c>
      <c r="AF3885" s="78" t="s">
        <v>51</v>
      </c>
      <c r="AG3885" s="78" t="s">
        <v>96</v>
      </c>
      <c r="AH3885" s="78">
        <v>4.2186106422383469</v>
      </c>
    </row>
    <row r="3886" spans="29:34">
      <c r="AC3886" s="78" t="s">
        <v>55</v>
      </c>
      <c r="AD3886" s="78" t="s">
        <v>20</v>
      </c>
      <c r="AE3886" s="78" t="s">
        <v>72</v>
      </c>
      <c r="AF3886" s="78" t="s">
        <v>51</v>
      </c>
      <c r="AG3886" s="78" t="s">
        <v>100</v>
      </c>
      <c r="AH3886" s="78">
        <v>4.1237077500397357</v>
      </c>
    </row>
    <row r="3887" spans="29:34">
      <c r="AC3887" s="78" t="s">
        <v>55</v>
      </c>
      <c r="AD3887" s="78" t="s">
        <v>20</v>
      </c>
      <c r="AE3887" s="78" t="s">
        <v>72</v>
      </c>
      <c r="AF3887" s="78" t="s">
        <v>51</v>
      </c>
      <c r="AG3887" s="78" t="s">
        <v>101</v>
      </c>
      <c r="AH3887" s="78">
        <v>4.0612077500397348</v>
      </c>
    </row>
    <row r="3888" spans="29:34">
      <c r="AC3888" s="78" t="s">
        <v>55</v>
      </c>
      <c r="AD3888" s="78" t="s">
        <v>20</v>
      </c>
      <c r="AE3888" s="78" t="s">
        <v>72</v>
      </c>
      <c r="AF3888" s="78" t="s">
        <v>51</v>
      </c>
      <c r="AG3888" s="78" t="s">
        <v>102</v>
      </c>
      <c r="AH3888" s="78">
        <v>4.092474416706402</v>
      </c>
    </row>
    <row r="3889" spans="29:34">
      <c r="AC3889" s="78" t="s">
        <v>55</v>
      </c>
      <c r="AD3889" s="78" t="s">
        <v>20</v>
      </c>
      <c r="AE3889" s="78" t="s">
        <v>72</v>
      </c>
      <c r="AF3889" s="78" t="s">
        <v>51</v>
      </c>
      <c r="AG3889" s="78" t="s">
        <v>103</v>
      </c>
      <c r="AH3889" s="78">
        <v>4.092474416706402</v>
      </c>
    </row>
    <row r="3890" spans="29:34">
      <c r="AC3890" s="78" t="s">
        <v>55</v>
      </c>
      <c r="AD3890" s="78" t="s">
        <v>20</v>
      </c>
      <c r="AE3890" s="78" t="s">
        <v>72</v>
      </c>
      <c r="AF3890" s="78" t="s">
        <v>51</v>
      </c>
      <c r="AG3890" s="78" t="s">
        <v>104</v>
      </c>
      <c r="AH3890" s="78">
        <v>4.1873439755716797</v>
      </c>
    </row>
    <row r="3891" spans="29:34">
      <c r="AC3891" s="78" t="s">
        <v>55</v>
      </c>
      <c r="AD3891" s="78" t="s">
        <v>20</v>
      </c>
      <c r="AE3891" s="78" t="s">
        <v>72</v>
      </c>
      <c r="AF3891" s="78" t="s">
        <v>51</v>
      </c>
      <c r="AG3891" s="78" t="s">
        <v>105</v>
      </c>
      <c r="AH3891" s="78">
        <v>4.2498439755716797</v>
      </c>
    </row>
    <row r="3892" spans="29:34">
      <c r="AC3892" s="78" t="s">
        <v>55</v>
      </c>
      <c r="AD3892" s="78" t="s">
        <v>20</v>
      </c>
      <c r="AE3892" s="78" t="s">
        <v>72</v>
      </c>
      <c r="AF3892" s="78" t="s">
        <v>51</v>
      </c>
      <c r="AG3892" s="78" t="s">
        <v>106</v>
      </c>
      <c r="AH3892" s="78">
        <v>4.1873439755716797</v>
      </c>
    </row>
    <row r="3893" spans="29:34">
      <c r="AC3893" s="78" t="s">
        <v>55</v>
      </c>
      <c r="AD3893" s="78" t="s">
        <v>20</v>
      </c>
      <c r="AE3893" s="78" t="s">
        <v>72</v>
      </c>
      <c r="AF3893" s="78" t="s">
        <v>51</v>
      </c>
      <c r="AG3893" s="78" t="s">
        <v>107</v>
      </c>
      <c r="AH3893" s="78">
        <v>4.1237077500397357</v>
      </c>
    </row>
    <row r="3894" spans="29:34">
      <c r="AC3894" s="78" t="s">
        <v>55</v>
      </c>
      <c r="AD3894" s="78" t="s">
        <v>20</v>
      </c>
      <c r="AE3894" s="78" t="s">
        <v>72</v>
      </c>
      <c r="AF3894" s="78" t="s">
        <v>51</v>
      </c>
      <c r="AG3894" s="78" t="s">
        <v>99</v>
      </c>
      <c r="AH3894" s="78">
        <v>4.1817004181546098</v>
      </c>
    </row>
    <row r="3895" spans="29:34">
      <c r="AC3895" s="78" t="s">
        <v>55</v>
      </c>
      <c r="AD3895" s="78" t="s">
        <v>20</v>
      </c>
      <c r="AE3895" s="78" t="s">
        <v>72</v>
      </c>
      <c r="AF3895" s="78" t="s">
        <v>51</v>
      </c>
      <c r="AG3895" s="78" t="s">
        <v>108</v>
      </c>
      <c r="AH3895" s="78">
        <v>4.1237077500397357</v>
      </c>
    </row>
    <row r="3896" spans="29:34">
      <c r="AC3896" s="78" t="s">
        <v>55</v>
      </c>
      <c r="AD3896" s="78" t="s">
        <v>20</v>
      </c>
      <c r="AE3896" s="78" t="s">
        <v>72</v>
      </c>
      <c r="AF3896" s="78" t="s">
        <v>51</v>
      </c>
      <c r="AG3896" s="78" t="s">
        <v>109</v>
      </c>
      <c r="AH3896" s="78">
        <v>4.1817004181546098</v>
      </c>
    </row>
    <row r="3897" spans="29:34">
      <c r="AC3897" s="78" t="s">
        <v>55</v>
      </c>
      <c r="AD3897" s="78" t="s">
        <v>20</v>
      </c>
      <c r="AE3897" s="78" t="s">
        <v>72</v>
      </c>
      <c r="AF3897" s="78" t="s">
        <v>51</v>
      </c>
      <c r="AG3897" s="78" t="s">
        <v>110</v>
      </c>
      <c r="AH3897" s="78">
        <v>4.1237077500397357</v>
      </c>
    </row>
    <row r="3898" spans="29:34">
      <c r="AC3898" s="78" t="s">
        <v>55</v>
      </c>
      <c r="AD3898" s="78" t="s">
        <v>20</v>
      </c>
      <c r="AE3898" s="78" t="s">
        <v>72</v>
      </c>
      <c r="AF3898" s="78" t="s">
        <v>51</v>
      </c>
      <c r="AG3898" s="78" t="s">
        <v>98</v>
      </c>
      <c r="AH3898" s="78">
        <v>4.1237077500397357</v>
      </c>
    </row>
    <row r="3899" spans="29:34">
      <c r="AC3899" s="78" t="s">
        <v>55</v>
      </c>
      <c r="AD3899" s="78" t="s">
        <v>20</v>
      </c>
      <c r="AE3899" s="78" t="s">
        <v>72</v>
      </c>
      <c r="AF3899" s="78" t="s">
        <v>51</v>
      </c>
      <c r="AG3899" s="78" t="s">
        <v>125</v>
      </c>
      <c r="AH3899" s="78">
        <v>4.1237077500397357</v>
      </c>
    </row>
    <row r="3900" spans="29:34">
      <c r="AC3900" s="78" t="s">
        <v>55</v>
      </c>
      <c r="AD3900" s="78" t="s">
        <v>20</v>
      </c>
      <c r="AE3900" s="78" t="s">
        <v>72</v>
      </c>
      <c r="AF3900" s="78" t="s">
        <v>51</v>
      </c>
      <c r="AG3900" s="78" t="s">
        <v>123</v>
      </c>
      <c r="AH3900" s="78">
        <v>4.0612077500397348</v>
      </c>
    </row>
    <row r="3901" spans="29:34">
      <c r="AC3901" s="78" t="s">
        <v>55</v>
      </c>
      <c r="AD3901" s="78" t="s">
        <v>20</v>
      </c>
      <c r="AE3901" s="78" t="s">
        <v>72</v>
      </c>
      <c r="AF3901" s="78" t="s">
        <v>51</v>
      </c>
      <c r="AG3901" s="78" t="s">
        <v>126</v>
      </c>
      <c r="AH3901" s="78">
        <v>4.0557276764206129</v>
      </c>
    </row>
    <row r="3902" spans="29:34">
      <c r="AC3902" s="78" t="s">
        <v>55</v>
      </c>
      <c r="AD3902" s="78" t="s">
        <v>20</v>
      </c>
      <c r="AE3902" s="78" t="s">
        <v>72</v>
      </c>
      <c r="AF3902" s="78" t="s">
        <v>51</v>
      </c>
      <c r="AG3902" s="78" t="s">
        <v>127</v>
      </c>
      <c r="AH3902" s="78">
        <v>4.0557276764206129</v>
      </c>
    </row>
    <row r="3903" spans="29:34">
      <c r="AC3903" s="78" t="s">
        <v>55</v>
      </c>
      <c r="AD3903" s="78" t="s">
        <v>20</v>
      </c>
      <c r="AE3903" s="78" t="s">
        <v>72</v>
      </c>
      <c r="AF3903" s="78" t="s">
        <v>51</v>
      </c>
      <c r="AG3903" s="78" t="s">
        <v>128</v>
      </c>
      <c r="AH3903" s="78">
        <v>4.0557276764206129</v>
      </c>
    </row>
    <row r="3904" spans="29:34">
      <c r="AC3904" s="78" t="s">
        <v>55</v>
      </c>
      <c r="AD3904" s="78" t="s">
        <v>20</v>
      </c>
      <c r="AE3904" s="78" t="s">
        <v>72</v>
      </c>
      <c r="AF3904" s="78" t="s">
        <v>51</v>
      </c>
      <c r="AG3904" s="78" t="s">
        <v>122</v>
      </c>
      <c r="AH3904" s="78">
        <v>4.0557276764206129</v>
      </c>
    </row>
    <row r="3905" spans="29:34">
      <c r="AC3905" s="78" t="s">
        <v>55</v>
      </c>
      <c r="AD3905" s="78" t="s">
        <v>20</v>
      </c>
      <c r="AE3905" s="78" t="s">
        <v>72</v>
      </c>
      <c r="AF3905" s="78" t="s">
        <v>51</v>
      </c>
      <c r="AG3905" s="78" t="s">
        <v>124</v>
      </c>
      <c r="AH3905" s="78">
        <v>3.966305483037543</v>
      </c>
    </row>
    <row r="3906" spans="29:34">
      <c r="AC3906" s="78" t="s">
        <v>55</v>
      </c>
      <c r="AD3906" s="78" t="s">
        <v>20</v>
      </c>
      <c r="AE3906" s="78" t="s">
        <v>72</v>
      </c>
      <c r="AF3906" s="78" t="s">
        <v>51</v>
      </c>
      <c r="AG3906" s="78" t="s">
        <v>214</v>
      </c>
      <c r="AH3906" s="78">
        <v>3.966305483037543</v>
      </c>
    </row>
    <row r="3907" spans="29:34">
      <c r="AC3907" s="78" t="s">
        <v>55</v>
      </c>
      <c r="AD3907" s="78" t="s">
        <v>20</v>
      </c>
      <c r="AE3907" s="78" t="s">
        <v>72</v>
      </c>
      <c r="AF3907" s="78" t="s">
        <v>51</v>
      </c>
      <c r="AG3907" s="78" t="s">
        <v>218</v>
      </c>
      <c r="AH3907" s="78">
        <v>3.9975388163708763</v>
      </c>
    </row>
    <row r="3908" spans="29:34">
      <c r="AC3908" s="78" t="s">
        <v>55</v>
      </c>
      <c r="AD3908" s="78" t="s">
        <v>20</v>
      </c>
      <c r="AE3908" s="78" t="s">
        <v>72</v>
      </c>
      <c r="AF3908" s="78" t="s">
        <v>51</v>
      </c>
      <c r="AG3908" s="78" t="s">
        <v>219</v>
      </c>
      <c r="AH3908" s="78">
        <v>4.0557276764206129</v>
      </c>
    </row>
    <row r="3909" spans="29:34">
      <c r="AC3909" s="78" t="s">
        <v>55</v>
      </c>
      <c r="AD3909" s="78" t="s">
        <v>20</v>
      </c>
      <c r="AE3909" s="78" t="s">
        <v>72</v>
      </c>
      <c r="AF3909" s="78" t="s">
        <v>51</v>
      </c>
      <c r="AG3909" s="78" t="s">
        <v>220</v>
      </c>
      <c r="AH3909" s="78">
        <v>4.0557276764206129</v>
      </c>
    </row>
    <row r="3910" spans="29:34">
      <c r="AC3910" s="78" t="s">
        <v>55</v>
      </c>
      <c r="AD3910" s="78" t="s">
        <v>20</v>
      </c>
      <c r="AE3910" s="78" t="s">
        <v>72</v>
      </c>
      <c r="AF3910" s="78" t="s">
        <v>51</v>
      </c>
      <c r="AG3910" s="78" t="s">
        <v>221</v>
      </c>
      <c r="AH3910" s="78">
        <v>3.9975388163708763</v>
      </c>
    </row>
    <row r="3911" spans="29:34">
      <c r="AC3911" s="78" t="s">
        <v>55</v>
      </c>
      <c r="AD3911" s="78" t="s">
        <v>20</v>
      </c>
      <c r="AE3911" s="78" t="s">
        <v>72</v>
      </c>
      <c r="AF3911" s="78" t="s">
        <v>51</v>
      </c>
      <c r="AG3911" s="78" t="s">
        <v>222</v>
      </c>
      <c r="AH3911" s="78">
        <v>3.9975388163708763</v>
      </c>
    </row>
    <row r="3912" spans="29:34">
      <c r="AC3912" s="78" t="s">
        <v>55</v>
      </c>
      <c r="AD3912" s="78" t="s">
        <v>20</v>
      </c>
      <c r="AE3912" s="78" t="s">
        <v>72</v>
      </c>
      <c r="AF3912" s="78" t="s">
        <v>51</v>
      </c>
      <c r="AG3912" s="78" t="s">
        <v>223</v>
      </c>
      <c r="AH3912" s="78">
        <v>3.966305483037543</v>
      </c>
    </row>
    <row r="3913" spans="29:34">
      <c r="AC3913" s="78" t="s">
        <v>55</v>
      </c>
      <c r="AD3913" s="78" t="s">
        <v>20</v>
      </c>
      <c r="AE3913" s="78" t="s">
        <v>72</v>
      </c>
      <c r="AF3913" s="78" t="s">
        <v>51</v>
      </c>
      <c r="AG3913" s="78" t="s">
        <v>224</v>
      </c>
      <c r="AH3913" s="78">
        <v>3.932044793512913</v>
      </c>
    </row>
    <row r="3914" spans="29:34">
      <c r="AC3914" s="78" t="s">
        <v>55</v>
      </c>
      <c r="AD3914" s="78" t="s">
        <v>20</v>
      </c>
      <c r="AE3914" s="78" t="s">
        <v>72</v>
      </c>
      <c r="AF3914" s="78" t="s">
        <v>51</v>
      </c>
      <c r="AG3914" s="78" t="s">
        <v>225</v>
      </c>
      <c r="AH3914" s="78">
        <v>3.966305483037543</v>
      </c>
    </row>
    <row r="3915" spans="29:34">
      <c r="AC3915" s="78" t="s">
        <v>55</v>
      </c>
      <c r="AD3915" s="78" t="s">
        <v>20</v>
      </c>
      <c r="AE3915" s="78" t="s">
        <v>72</v>
      </c>
      <c r="AF3915" s="78" t="s">
        <v>51</v>
      </c>
      <c r="AG3915" s="78" t="s">
        <v>226</v>
      </c>
      <c r="AH3915" s="78">
        <v>3.966305483037543</v>
      </c>
    </row>
    <row r="3916" spans="29:34">
      <c r="AC3916" s="78" t="s">
        <v>55</v>
      </c>
      <c r="AD3916" s="78" t="s">
        <v>20</v>
      </c>
      <c r="AE3916" s="78" t="s">
        <v>72</v>
      </c>
      <c r="AF3916" s="78" t="s">
        <v>51</v>
      </c>
      <c r="AG3916" s="78" t="s">
        <v>227</v>
      </c>
      <c r="AH3916" s="78">
        <v>3.932044793512913</v>
      </c>
    </row>
    <row r="3917" spans="29:34">
      <c r="AC3917" s="78" t="s">
        <v>55</v>
      </c>
      <c r="AD3917" s="78" t="s">
        <v>20</v>
      </c>
      <c r="AE3917" s="78" t="s">
        <v>72</v>
      </c>
      <c r="AF3917" s="78" t="s">
        <v>51</v>
      </c>
      <c r="AG3917" s="78" t="s">
        <v>228</v>
      </c>
      <c r="AH3917" s="78">
        <v>3.932044793512913</v>
      </c>
    </row>
    <row r="3918" spans="29:34">
      <c r="AC3918" s="78" t="s">
        <v>55</v>
      </c>
      <c r="AD3918" s="78" t="s">
        <v>20</v>
      </c>
      <c r="AE3918" s="78" t="s">
        <v>72</v>
      </c>
      <c r="AF3918" s="78" t="s">
        <v>51</v>
      </c>
      <c r="AG3918" s="78" t="s">
        <v>229</v>
      </c>
      <c r="AH3918" s="78">
        <v>3.929789796110164</v>
      </c>
    </row>
    <row r="3919" spans="29:34">
      <c r="AC3919" s="78" t="s">
        <v>55</v>
      </c>
      <c r="AD3919" s="78" t="s">
        <v>20</v>
      </c>
      <c r="AE3919" s="78" t="s">
        <v>72</v>
      </c>
      <c r="AF3919" s="78" t="s">
        <v>51</v>
      </c>
      <c r="AG3919" s="78" t="s">
        <v>216</v>
      </c>
      <c r="AH3919" s="78">
        <v>3.8714038285041039</v>
      </c>
    </row>
    <row r="3920" spans="29:34">
      <c r="AC3920" s="78" t="s">
        <v>55</v>
      </c>
      <c r="AD3920" s="78" t="s">
        <v>20</v>
      </c>
      <c r="AE3920" s="78" t="s">
        <v>72</v>
      </c>
      <c r="AF3920" s="78" t="s">
        <v>51</v>
      </c>
      <c r="AG3920" s="78" t="s">
        <v>230</v>
      </c>
      <c r="AH3920" s="78">
        <v>3.8401704951707707</v>
      </c>
    </row>
    <row r="3921" spans="29:34">
      <c r="AC3921" s="78" t="s">
        <v>55</v>
      </c>
      <c r="AD3921" s="78" t="s">
        <v>20</v>
      </c>
      <c r="AE3921" s="78" t="s">
        <v>72</v>
      </c>
      <c r="AF3921" s="78" t="s">
        <v>51</v>
      </c>
      <c r="AG3921" s="78" t="s">
        <v>231</v>
      </c>
      <c r="AH3921" s="78">
        <v>3.8058878744011344</v>
      </c>
    </row>
    <row r="3922" spans="29:34">
      <c r="AC3922" s="78" t="s">
        <v>55</v>
      </c>
      <c r="AD3922" s="78" t="s">
        <v>20</v>
      </c>
      <c r="AE3922" s="78" t="s">
        <v>72</v>
      </c>
      <c r="AF3922" s="78" t="s">
        <v>51</v>
      </c>
      <c r="AG3922" s="78" t="s">
        <v>232</v>
      </c>
      <c r="AH3922" s="78">
        <v>3.929789796110164</v>
      </c>
    </row>
    <row r="3923" spans="29:34">
      <c r="AC3923" s="78" t="s">
        <v>55</v>
      </c>
      <c r="AD3923" s="78" t="s">
        <v>20</v>
      </c>
      <c r="AE3923" s="78" t="s">
        <v>72</v>
      </c>
      <c r="AF3923" s="78" t="s">
        <v>51</v>
      </c>
      <c r="AG3923" s="78" t="s">
        <v>215</v>
      </c>
      <c r="AH3923" s="78">
        <v>3.932044793512913</v>
      </c>
    </row>
    <row r="3924" spans="29:34">
      <c r="AC3924" s="78" t="s">
        <v>55</v>
      </c>
      <c r="AD3924" s="78" t="s">
        <v>20</v>
      </c>
      <c r="AE3924" s="78" t="s">
        <v>72</v>
      </c>
      <c r="AF3924" s="78" t="s">
        <v>51</v>
      </c>
      <c r="AG3924" s="78" t="s">
        <v>217</v>
      </c>
      <c r="AH3924" s="78">
        <v>3.966305483037543</v>
      </c>
    </row>
    <row r="3925" spans="29:34">
      <c r="AC3925" s="78" t="s">
        <v>55</v>
      </c>
      <c r="AD3925" s="78" t="s">
        <v>20</v>
      </c>
      <c r="AE3925" s="78" t="s">
        <v>72</v>
      </c>
      <c r="AF3925" s="78" t="s">
        <v>51</v>
      </c>
      <c r="AG3925" s="78" t="s">
        <v>237</v>
      </c>
      <c r="AH3925" s="78">
        <v>3.932044793512913</v>
      </c>
    </row>
    <row r="3926" spans="29:34">
      <c r="AC3926" s="78" t="s">
        <v>55</v>
      </c>
      <c r="AD3926" s="78" t="s">
        <v>20</v>
      </c>
      <c r="AE3926" s="78" t="s">
        <v>72</v>
      </c>
      <c r="AF3926" s="78" t="s">
        <v>51</v>
      </c>
      <c r="AG3926" s="78" t="s">
        <v>238</v>
      </c>
      <c r="AH3926" s="78">
        <v>3.966305483037543</v>
      </c>
    </row>
    <row r="3927" spans="29:34">
      <c r="AC3927" s="78" t="s">
        <v>55</v>
      </c>
      <c r="AD3927" s="78" t="s">
        <v>20</v>
      </c>
      <c r="AE3927" s="78" t="s">
        <v>72</v>
      </c>
      <c r="AF3927" s="78" t="s">
        <v>51</v>
      </c>
      <c r="AG3927" s="78" t="s">
        <v>239</v>
      </c>
      <c r="AH3927" s="78">
        <v>3.966305483037543</v>
      </c>
    </row>
    <row r="3928" spans="29:34">
      <c r="AC3928" s="78" t="s">
        <v>55</v>
      </c>
      <c r="AD3928" s="78" t="s">
        <v>20</v>
      </c>
      <c r="AE3928" s="78" t="s">
        <v>72</v>
      </c>
      <c r="AF3928" s="78" t="s">
        <v>51</v>
      </c>
      <c r="AG3928" s="78" t="s">
        <v>240</v>
      </c>
      <c r="AH3928" s="78">
        <v>3.966305483037543</v>
      </c>
    </row>
    <row r="3929" spans="29:34">
      <c r="AC3929" s="78" t="s">
        <v>55</v>
      </c>
      <c r="AD3929" s="78" t="s">
        <v>20</v>
      </c>
      <c r="AE3929" s="78" t="s">
        <v>72</v>
      </c>
      <c r="AF3929" s="78" t="s">
        <v>51</v>
      </c>
      <c r="AG3929" s="78" t="s">
        <v>241</v>
      </c>
      <c r="AH3929" s="78">
        <v>3.966305483037543</v>
      </c>
    </row>
    <row r="3930" spans="29:34">
      <c r="AC3930" s="78" t="s">
        <v>55</v>
      </c>
      <c r="AD3930" s="78" t="s">
        <v>20</v>
      </c>
      <c r="AE3930" s="78" t="s">
        <v>72</v>
      </c>
      <c r="AF3930" s="78" t="s">
        <v>51</v>
      </c>
      <c r="AG3930" s="78" t="s">
        <v>242</v>
      </c>
      <c r="AH3930" s="78">
        <v>3.932044793512913</v>
      </c>
    </row>
    <row r="3931" spans="29:34">
      <c r="AC3931" s="78" t="s">
        <v>55</v>
      </c>
      <c r="AD3931" s="78" t="s">
        <v>20</v>
      </c>
      <c r="AE3931" s="78" t="s">
        <v>72</v>
      </c>
      <c r="AF3931" s="78" t="s">
        <v>51</v>
      </c>
      <c r="AG3931" s="78" t="s">
        <v>243</v>
      </c>
      <c r="AH3931" s="78">
        <v>3.966305483037543</v>
      </c>
    </row>
    <row r="3932" spans="29:34">
      <c r="AC3932" s="78" t="s">
        <v>55</v>
      </c>
      <c r="AD3932" s="78" t="s">
        <v>20</v>
      </c>
      <c r="AE3932" s="78" t="s">
        <v>72</v>
      </c>
      <c r="AF3932" s="78" t="s">
        <v>51</v>
      </c>
      <c r="AG3932" s="78" t="s">
        <v>244</v>
      </c>
      <c r="AH3932" s="78">
        <v>3.9975388163708763</v>
      </c>
    </row>
    <row r="3933" spans="29:34">
      <c r="AC3933" s="78" t="s">
        <v>55</v>
      </c>
      <c r="AD3933" s="78" t="s">
        <v>20</v>
      </c>
      <c r="AE3933" s="78" t="s">
        <v>72</v>
      </c>
      <c r="AF3933" s="78" t="s">
        <v>51</v>
      </c>
      <c r="AG3933" s="78" t="s">
        <v>245</v>
      </c>
      <c r="AH3933" s="78">
        <v>3.966305483037543</v>
      </c>
    </row>
    <row r="3934" spans="29:34">
      <c r="AC3934" s="78" t="s">
        <v>55</v>
      </c>
      <c r="AD3934" s="78" t="s">
        <v>20</v>
      </c>
      <c r="AE3934" s="78" t="s">
        <v>72</v>
      </c>
      <c r="AF3934" s="78" t="s">
        <v>51</v>
      </c>
      <c r="AG3934" s="78" t="s">
        <v>246</v>
      </c>
      <c r="AH3934" s="78">
        <v>3.966305483037543</v>
      </c>
    </row>
    <row r="3935" spans="29:34">
      <c r="AC3935" s="78" t="s">
        <v>55</v>
      </c>
      <c r="AD3935" s="78" t="s">
        <v>20</v>
      </c>
      <c r="AE3935" s="78" t="s">
        <v>72</v>
      </c>
      <c r="AF3935" s="78" t="s">
        <v>51</v>
      </c>
      <c r="AG3935" s="78" t="s">
        <v>247</v>
      </c>
      <c r="AH3935" s="78">
        <v>3.932044793512913</v>
      </c>
    </row>
    <row r="3936" spans="29:34">
      <c r="AC3936" s="78" t="s">
        <v>55</v>
      </c>
      <c r="AD3936" s="78" t="s">
        <v>20</v>
      </c>
      <c r="AE3936" s="78" t="s">
        <v>72</v>
      </c>
      <c r="AF3936" s="78" t="s">
        <v>51</v>
      </c>
      <c r="AG3936" s="78" t="s">
        <v>248</v>
      </c>
      <c r="AH3936" s="78">
        <v>4.0557276764206129</v>
      </c>
    </row>
    <row r="3937" spans="29:34">
      <c r="AC3937" s="78" t="s">
        <v>55</v>
      </c>
      <c r="AD3937" s="78" t="s">
        <v>20</v>
      </c>
      <c r="AE3937" s="78" t="s">
        <v>72</v>
      </c>
      <c r="AF3937" s="78" t="s">
        <v>51</v>
      </c>
      <c r="AG3937" s="78" t="s">
        <v>249</v>
      </c>
      <c r="AH3937" s="78">
        <v>4.0557276764206129</v>
      </c>
    </row>
    <row r="3938" spans="29:34">
      <c r="AC3938" s="78" t="s">
        <v>55</v>
      </c>
      <c r="AD3938" s="78" t="s">
        <v>20</v>
      </c>
      <c r="AE3938" s="78" t="s">
        <v>72</v>
      </c>
      <c r="AF3938" s="78" t="s">
        <v>51</v>
      </c>
      <c r="AG3938" s="78" t="s">
        <v>250</v>
      </c>
      <c r="AH3938" s="78">
        <v>3.966305483037543</v>
      </c>
    </row>
    <row r="3939" spans="29:34">
      <c r="AC3939" s="78" t="s">
        <v>55</v>
      </c>
      <c r="AD3939" s="78" t="s">
        <v>20</v>
      </c>
      <c r="AE3939" s="78" t="s">
        <v>72</v>
      </c>
      <c r="AF3939" s="78" t="s">
        <v>51</v>
      </c>
      <c r="AG3939" s="78" t="s">
        <v>251</v>
      </c>
      <c r="AH3939" s="78">
        <v>3.932044793512913</v>
      </c>
    </row>
    <row r="3940" spans="29:34">
      <c r="AC3940" s="78" t="s">
        <v>55</v>
      </c>
      <c r="AD3940" s="78" t="s">
        <v>20</v>
      </c>
      <c r="AE3940" s="78" t="s">
        <v>72</v>
      </c>
      <c r="AF3940" s="78" t="s">
        <v>51</v>
      </c>
      <c r="AG3940" s="78" t="s">
        <v>252</v>
      </c>
      <c r="AH3940" s="78">
        <v>3.932044793512913</v>
      </c>
    </row>
    <row r="3941" spans="29:34">
      <c r="AC3941" s="78" t="s">
        <v>55</v>
      </c>
      <c r="AD3941" s="78" t="s">
        <v>20</v>
      </c>
      <c r="AE3941" s="78" t="s">
        <v>72</v>
      </c>
      <c r="AF3941" s="78" t="s">
        <v>51</v>
      </c>
      <c r="AG3941" s="78" t="s">
        <v>253</v>
      </c>
      <c r="AH3941" s="78">
        <v>3.932044793512913</v>
      </c>
    </row>
    <row r="3942" spans="29:34">
      <c r="AC3942" s="78" t="s">
        <v>55</v>
      </c>
      <c r="AD3942" s="78" t="s">
        <v>20</v>
      </c>
      <c r="AE3942" s="78" t="s">
        <v>72</v>
      </c>
      <c r="AF3942" s="78" t="s">
        <v>51</v>
      </c>
      <c r="AG3942" s="78" t="s">
        <v>254</v>
      </c>
      <c r="AH3942" s="78">
        <v>3.932044793512913</v>
      </c>
    </row>
    <row r="3943" spans="29:34">
      <c r="AC3943" s="78" t="s">
        <v>55</v>
      </c>
      <c r="AD3943" s="78" t="s">
        <v>20</v>
      </c>
      <c r="AE3943" s="78" t="s">
        <v>72</v>
      </c>
      <c r="AF3943" s="78" t="s">
        <v>51</v>
      </c>
      <c r="AG3943" s="78" t="s">
        <v>255</v>
      </c>
      <c r="AH3943" s="78">
        <v>3.8714038285041039</v>
      </c>
    </row>
    <row r="3944" spans="29:34">
      <c r="AC3944" s="78" t="s">
        <v>55</v>
      </c>
      <c r="AD3944" s="78" t="s">
        <v>20</v>
      </c>
      <c r="AE3944" s="78" t="s">
        <v>72</v>
      </c>
      <c r="AF3944" s="78" t="s">
        <v>51</v>
      </c>
      <c r="AG3944" s="78" t="s">
        <v>256</v>
      </c>
      <c r="AH3944" s="78">
        <v>3.932044793512913</v>
      </c>
    </row>
    <row r="3945" spans="29:34">
      <c r="AC3945" s="78" t="s">
        <v>55</v>
      </c>
      <c r="AD3945" s="78" t="s">
        <v>20</v>
      </c>
      <c r="AE3945" s="78" t="s">
        <v>72</v>
      </c>
      <c r="AF3945" s="78" t="s">
        <v>51</v>
      </c>
      <c r="AG3945" s="78" t="s">
        <v>257</v>
      </c>
      <c r="AH3945" s="78">
        <v>3.9691038719099652</v>
      </c>
    </row>
    <row r="3946" spans="29:34">
      <c r="AC3946" s="78" t="s">
        <v>55</v>
      </c>
      <c r="AD3946" s="78" t="s">
        <v>20</v>
      </c>
      <c r="AE3946" s="78" t="s">
        <v>72</v>
      </c>
      <c r="AF3946" s="78" t="s">
        <v>51</v>
      </c>
      <c r="AG3946" s="78" t="s">
        <v>258</v>
      </c>
      <c r="AH3946" s="78">
        <v>3.836185909281542</v>
      </c>
    </row>
    <row r="3947" spans="29:34">
      <c r="AC3947" s="78" t="s">
        <v>55</v>
      </c>
      <c r="AD3947" s="78" t="s">
        <v>20</v>
      </c>
      <c r="AE3947" s="78" t="s">
        <v>72</v>
      </c>
      <c r="AF3947" s="78" t="s">
        <v>51</v>
      </c>
      <c r="AG3947" s="78" t="s">
        <v>259</v>
      </c>
      <c r="AH3947" s="78">
        <v>3.836185909281542</v>
      </c>
    </row>
    <row r="3948" spans="29:34">
      <c r="AC3948" s="78" t="s">
        <v>55</v>
      </c>
      <c r="AD3948" s="78" t="s">
        <v>20</v>
      </c>
      <c r="AE3948" s="78" t="s">
        <v>72</v>
      </c>
      <c r="AF3948" s="78" t="s">
        <v>51</v>
      </c>
      <c r="AG3948" s="78" t="s">
        <v>260</v>
      </c>
      <c r="AH3948" s="78">
        <v>3.8432439415632444</v>
      </c>
    </row>
    <row r="3949" spans="29:34">
      <c r="AC3949" s="78" t="s">
        <v>55</v>
      </c>
      <c r="AD3949" s="78" t="s">
        <v>20</v>
      </c>
      <c r="AE3949" s="78" t="s">
        <v>72</v>
      </c>
      <c r="AF3949" s="78" t="s">
        <v>51</v>
      </c>
      <c r="AG3949" s="78" t="s">
        <v>261</v>
      </c>
      <c r="AH3949" s="78">
        <v>3.7786134524895099</v>
      </c>
    </row>
    <row r="3950" spans="29:34">
      <c r="AC3950" s="78" t="s">
        <v>55</v>
      </c>
      <c r="AD3950" s="78" t="s">
        <v>20</v>
      </c>
      <c r="AE3950" s="78" t="s">
        <v>72</v>
      </c>
      <c r="AF3950" s="78" t="s">
        <v>51</v>
      </c>
      <c r="AG3950" s="78" t="s">
        <v>262</v>
      </c>
      <c r="AH3950" s="78">
        <v>3.8674525759482088</v>
      </c>
    </row>
    <row r="3951" spans="29:34">
      <c r="AC3951" s="78" t="s">
        <v>55</v>
      </c>
      <c r="AD3951" s="78" t="s">
        <v>20</v>
      </c>
      <c r="AE3951" s="78" t="s">
        <v>72</v>
      </c>
      <c r="AF3951" s="78" t="s">
        <v>51</v>
      </c>
      <c r="AG3951" s="78" t="s">
        <v>263</v>
      </c>
      <c r="AH3951" s="78">
        <v>3.9691038719099652</v>
      </c>
    </row>
    <row r="3952" spans="29:34">
      <c r="AC3952" s="78" t="s">
        <v>55</v>
      </c>
      <c r="AD3952" s="78" t="s">
        <v>20</v>
      </c>
      <c r="AE3952" s="78" t="s">
        <v>72</v>
      </c>
      <c r="AF3952" s="78" t="s">
        <v>51</v>
      </c>
      <c r="AG3952" s="78" t="s">
        <v>264</v>
      </c>
      <c r="AH3952" s="78">
        <v>3.9691038719099652</v>
      </c>
    </row>
    <row r="3953" spans="29:34">
      <c r="AC3953" s="78" t="s">
        <v>55</v>
      </c>
      <c r="AD3953" s="78" t="s">
        <v>20</v>
      </c>
      <c r="AE3953" s="78" t="s">
        <v>72</v>
      </c>
      <c r="AF3953" s="78" t="s">
        <v>51</v>
      </c>
      <c r="AG3953" s="78" t="s">
        <v>265</v>
      </c>
      <c r="AH3953" s="78">
        <v>3.9691038719099652</v>
      </c>
    </row>
    <row r="3954" spans="29:34">
      <c r="AC3954" s="78" t="s">
        <v>55</v>
      </c>
      <c r="AD3954" s="78" t="s">
        <v>20</v>
      </c>
      <c r="AE3954" s="78" t="s">
        <v>72</v>
      </c>
      <c r="AF3954" s="78" t="s">
        <v>51</v>
      </c>
      <c r="AG3954" s="78" t="s">
        <v>266</v>
      </c>
      <c r="AH3954" s="78">
        <v>3.9935656386559404</v>
      </c>
    </row>
    <row r="3955" spans="29:34">
      <c r="AC3955" s="78" t="s">
        <v>55</v>
      </c>
      <c r="AD3955" s="78" t="s">
        <v>20</v>
      </c>
      <c r="AE3955" s="78" t="s">
        <v>72</v>
      </c>
      <c r="AF3955" s="78" t="s">
        <v>51</v>
      </c>
      <c r="AG3955" s="78" t="s">
        <v>267</v>
      </c>
      <c r="AH3955" s="78">
        <v>3.9691038719099652</v>
      </c>
    </row>
    <row r="3956" spans="29:34">
      <c r="AC3956" s="78" t="s">
        <v>55</v>
      </c>
      <c r="AD3956" s="78" t="s">
        <v>20</v>
      </c>
      <c r="AE3956" s="78" t="s">
        <v>72</v>
      </c>
      <c r="AF3956" s="78" t="s">
        <v>51</v>
      </c>
      <c r="AG3956" s="78" t="s">
        <v>268</v>
      </c>
      <c r="AH3956" s="78">
        <v>3.9077289127981323</v>
      </c>
    </row>
    <row r="3957" spans="29:34">
      <c r="AC3957" s="78" t="s">
        <v>55</v>
      </c>
      <c r="AD3957" s="78" t="s">
        <v>20</v>
      </c>
      <c r="AE3957" s="78" t="s">
        <v>72</v>
      </c>
      <c r="AF3957" s="78" t="s">
        <v>51</v>
      </c>
      <c r="AG3957" s="78" t="s">
        <v>269</v>
      </c>
      <c r="AH3957" s="78">
        <v>3.9077289127981323</v>
      </c>
    </row>
    <row r="3958" spans="29:34">
      <c r="AC3958" s="78" t="s">
        <v>55</v>
      </c>
      <c r="AD3958" s="78" t="s">
        <v>20</v>
      </c>
      <c r="AE3958" s="78" t="s">
        <v>72</v>
      </c>
      <c r="AF3958" s="78" t="s">
        <v>51</v>
      </c>
      <c r="AG3958" s="78" t="s">
        <v>270</v>
      </c>
      <c r="AH3958" s="78">
        <v>3.9691038719099652</v>
      </c>
    </row>
    <row r="3959" spans="29:34">
      <c r="AC3959" s="78" t="s">
        <v>55</v>
      </c>
      <c r="AD3959" s="78" t="s">
        <v>20</v>
      </c>
      <c r="AE3959" s="78" t="s">
        <v>72</v>
      </c>
      <c r="AF3959" s="78" t="s">
        <v>51</v>
      </c>
      <c r="AG3959" s="78" t="s">
        <v>271</v>
      </c>
      <c r="AH3959" s="78">
        <v>3.9691038719099652</v>
      </c>
    </row>
    <row r="3960" spans="29:34">
      <c r="AC3960" s="78" t="s">
        <v>55</v>
      </c>
      <c r="AD3960" s="78" t="s">
        <v>20</v>
      </c>
      <c r="AE3960" s="78" t="s">
        <v>72</v>
      </c>
      <c r="AF3960" s="78" t="s">
        <v>51</v>
      </c>
      <c r="AG3960" s="78" t="s">
        <v>272</v>
      </c>
      <c r="AH3960" s="78">
        <v>3.9935656386559404</v>
      </c>
    </row>
    <row r="3961" spans="29:34">
      <c r="AC3961" s="78" t="s">
        <v>55</v>
      </c>
      <c r="AD3961" s="78" t="s">
        <v>20</v>
      </c>
      <c r="AE3961" s="78" t="s">
        <v>72</v>
      </c>
      <c r="AF3961" s="78" t="s">
        <v>51</v>
      </c>
      <c r="AG3961" s="78" t="s">
        <v>273</v>
      </c>
      <c r="AH3961" s="78">
        <v>3.9622989719892732</v>
      </c>
    </row>
    <row r="3962" spans="29:34">
      <c r="AC3962" s="78" t="s">
        <v>55</v>
      </c>
      <c r="AD3962" s="78" t="s">
        <v>20</v>
      </c>
      <c r="AE3962" s="78" t="s">
        <v>72</v>
      </c>
      <c r="AF3962" s="78" t="s">
        <v>51</v>
      </c>
      <c r="AG3962" s="78" t="s">
        <v>274</v>
      </c>
      <c r="AH3962" s="78">
        <v>3.9622989719892732</v>
      </c>
    </row>
    <row r="3963" spans="29:34">
      <c r="AC3963" s="78" t="s">
        <v>55</v>
      </c>
      <c r="AD3963" s="78" t="s">
        <v>20</v>
      </c>
      <c r="AE3963" s="78" t="s">
        <v>72</v>
      </c>
      <c r="AF3963" s="78" t="s">
        <v>51</v>
      </c>
      <c r="AG3963" s="78" t="s">
        <v>275</v>
      </c>
      <c r="AH3963" s="78">
        <v>3.9622989719892732</v>
      </c>
    </row>
    <row r="3964" spans="29:34">
      <c r="AC3964" s="78" t="s">
        <v>55</v>
      </c>
      <c r="AD3964" s="78" t="s">
        <v>20</v>
      </c>
      <c r="AE3964" s="78" t="s">
        <v>72</v>
      </c>
      <c r="AF3964" s="78" t="s">
        <v>51</v>
      </c>
      <c r="AG3964" s="78" t="s">
        <v>276</v>
      </c>
      <c r="AH3964" s="78">
        <v>3.9935656386559404</v>
      </c>
    </row>
    <row r="3965" spans="29:34">
      <c r="AC3965" s="78" t="s">
        <v>55</v>
      </c>
      <c r="AD3965" s="78" t="s">
        <v>20</v>
      </c>
      <c r="AE3965" s="78" t="s">
        <v>72</v>
      </c>
      <c r="AF3965" s="78" t="s">
        <v>51</v>
      </c>
      <c r="AG3965" s="78" t="s">
        <v>277</v>
      </c>
      <c r="AH3965" s="78">
        <v>3.9622989719892732</v>
      </c>
    </row>
    <row r="3966" spans="29:34">
      <c r="AC3966" s="78" t="s">
        <v>55</v>
      </c>
      <c r="AD3966" s="78" t="s">
        <v>20</v>
      </c>
      <c r="AE3966" s="78" t="s">
        <v>72</v>
      </c>
      <c r="AF3966" s="78" t="s">
        <v>51</v>
      </c>
      <c r="AG3966" s="78" t="s">
        <v>278</v>
      </c>
      <c r="AH3966" s="78">
        <v>3.9622989719892732</v>
      </c>
    </row>
    <row r="3967" spans="29:34">
      <c r="AC3967" s="78" t="s">
        <v>55</v>
      </c>
      <c r="AD3967" s="78" t="s">
        <v>20</v>
      </c>
      <c r="AE3967" s="78" t="s">
        <v>72</v>
      </c>
      <c r="AF3967" s="78" t="s">
        <v>51</v>
      </c>
      <c r="AG3967" s="78" t="s">
        <v>279</v>
      </c>
      <c r="AH3967" s="78">
        <v>4.09493246058208</v>
      </c>
    </row>
    <row r="3968" spans="29:34">
      <c r="AC3968" s="78" t="s">
        <v>55</v>
      </c>
      <c r="AD3968" s="78" t="s">
        <v>20</v>
      </c>
      <c r="AE3968" s="78" t="s">
        <v>72</v>
      </c>
      <c r="AF3968" s="78" t="s">
        <v>51</v>
      </c>
      <c r="AG3968" s="78" t="s">
        <v>280</v>
      </c>
      <c r="AH3968" s="78">
        <v>4.0884460824161017</v>
      </c>
    </row>
    <row r="3969" spans="29:34">
      <c r="AC3969" s="78" t="s">
        <v>55</v>
      </c>
      <c r="AD3969" s="78" t="s">
        <v>20</v>
      </c>
      <c r="AE3969" s="78" t="s">
        <v>72</v>
      </c>
      <c r="AF3969" s="78" t="s">
        <v>51</v>
      </c>
      <c r="AG3969" s="78" t="s">
        <v>281</v>
      </c>
      <c r="AH3969" s="78">
        <v>4.09493246058208</v>
      </c>
    </row>
    <row r="3970" spans="29:34">
      <c r="AC3970" s="78" t="s">
        <v>55</v>
      </c>
      <c r="AD3970" s="78" t="s">
        <v>20</v>
      </c>
      <c r="AE3970" s="78" t="s">
        <v>72</v>
      </c>
      <c r="AF3970" s="78" t="s">
        <v>51</v>
      </c>
      <c r="AG3970" s="78" t="s">
        <v>282</v>
      </c>
      <c r="AH3970" s="78">
        <v>3.9935656386559404</v>
      </c>
    </row>
    <row r="3971" spans="29:34">
      <c r="AC3971" s="78" t="s">
        <v>55</v>
      </c>
      <c r="AD3971" s="78" t="s">
        <v>20</v>
      </c>
      <c r="AE3971" s="78" t="s">
        <v>72</v>
      </c>
      <c r="AF3971" s="78" t="s">
        <v>51</v>
      </c>
      <c r="AG3971" s="78" t="s">
        <v>283</v>
      </c>
      <c r="AH3971" s="78">
        <v>4.0337762365220735</v>
      </c>
    </row>
    <row r="3972" spans="29:34">
      <c r="AC3972" s="78" t="s">
        <v>55</v>
      </c>
      <c r="AD3972" s="78" t="s">
        <v>20</v>
      </c>
      <c r="AE3972" s="78" t="s">
        <v>72</v>
      </c>
      <c r="AF3972" s="78" t="s">
        <v>51</v>
      </c>
      <c r="AG3972" s="78" t="s">
        <v>284</v>
      </c>
      <c r="AH3972" s="78">
        <v>4.09493246058208</v>
      </c>
    </row>
    <row r="3973" spans="29:34">
      <c r="AC3973" s="78" t="s">
        <v>55</v>
      </c>
      <c r="AD3973" s="78" t="s">
        <v>20</v>
      </c>
      <c r="AE3973" s="78" t="s">
        <v>72</v>
      </c>
      <c r="AF3973" s="78" t="s">
        <v>51</v>
      </c>
      <c r="AG3973" s="78" t="s">
        <v>285</v>
      </c>
      <c r="AH3973" s="78">
        <v>4.119712749082769</v>
      </c>
    </row>
    <row r="3974" spans="29:34">
      <c r="AC3974" s="78" t="s">
        <v>55</v>
      </c>
      <c r="AD3974" s="78" t="s">
        <v>20</v>
      </c>
      <c r="AE3974" s="78" t="s">
        <v>72</v>
      </c>
      <c r="AF3974" s="78" t="s">
        <v>51</v>
      </c>
      <c r="AG3974" s="78" t="s">
        <v>286</v>
      </c>
      <c r="AH3974" s="78">
        <v>4.1598579134474827</v>
      </c>
    </row>
    <row r="3975" spans="29:34">
      <c r="AC3975" s="78" t="s">
        <v>55</v>
      </c>
      <c r="AD3975" s="78" t="s">
        <v>20</v>
      </c>
      <c r="AE3975" s="78" t="s">
        <v>72</v>
      </c>
      <c r="AF3975" s="78" t="s">
        <v>51</v>
      </c>
      <c r="AG3975" s="78" t="s">
        <v>287</v>
      </c>
      <c r="AH3975" s="78">
        <v>4.1598579134474827</v>
      </c>
    </row>
    <row r="3976" spans="29:34">
      <c r="AC3976" s="78" t="s">
        <v>55</v>
      </c>
      <c r="AD3976" s="78" t="s">
        <v>20</v>
      </c>
      <c r="AE3976" s="78" t="s">
        <v>72</v>
      </c>
      <c r="AF3976" s="78" t="s">
        <v>51</v>
      </c>
      <c r="AG3976" s="78" t="s">
        <v>288</v>
      </c>
      <c r="AH3976" s="78">
        <v>4.1598579134474827</v>
      </c>
    </row>
    <row r="3977" spans="29:34">
      <c r="AC3977" s="78" t="s">
        <v>55</v>
      </c>
      <c r="AD3977" s="78" t="s">
        <v>20</v>
      </c>
      <c r="AE3977" s="78" t="s">
        <v>72</v>
      </c>
      <c r="AF3977" s="78" t="s">
        <v>51</v>
      </c>
      <c r="AG3977" s="78" t="s">
        <v>289</v>
      </c>
      <c r="AH3977" s="78">
        <v>4.0337762365220735</v>
      </c>
    </row>
    <row r="3978" spans="29:34">
      <c r="AC3978" s="78" t="s">
        <v>55</v>
      </c>
      <c r="AD3978" s="78" t="s">
        <v>20</v>
      </c>
      <c r="AE3978" s="78" t="s">
        <v>72</v>
      </c>
      <c r="AF3978" s="78" t="s">
        <v>51</v>
      </c>
      <c r="AG3978" s="78" t="s">
        <v>290</v>
      </c>
      <c r="AH3978" s="78">
        <v>3.9935656386559404</v>
      </c>
    </row>
    <row r="3979" spans="29:34">
      <c r="AC3979" s="78" t="s">
        <v>55</v>
      </c>
      <c r="AD3979" s="78" t="s">
        <v>20</v>
      </c>
      <c r="AE3979" s="78" t="s">
        <v>72</v>
      </c>
      <c r="AF3979" s="78" t="s">
        <v>51</v>
      </c>
      <c r="AG3979" s="78" t="s">
        <v>291</v>
      </c>
      <c r="AH3979" s="78">
        <v>4.0337762365220735</v>
      </c>
    </row>
    <row r="3980" spans="29:34">
      <c r="AC3980" s="78" t="s">
        <v>55</v>
      </c>
      <c r="AD3980" s="78" t="s">
        <v>20</v>
      </c>
      <c r="AE3980" s="78" t="s">
        <v>72</v>
      </c>
      <c r="AF3980" s="78" t="s">
        <v>51</v>
      </c>
      <c r="AG3980" s="78" t="s">
        <v>292</v>
      </c>
      <c r="AH3980" s="78">
        <v>4.0337762365220735</v>
      </c>
    </row>
    <row r="3981" spans="29:34">
      <c r="AC3981" s="78" t="s">
        <v>55</v>
      </c>
      <c r="AD3981" s="78" t="s">
        <v>20</v>
      </c>
      <c r="AE3981" s="78" t="s">
        <v>72</v>
      </c>
      <c r="AF3981" s="78" t="s">
        <v>51</v>
      </c>
      <c r="AG3981" s="78" t="s">
        <v>293</v>
      </c>
      <c r="AH3981" s="78">
        <v>3.9622989719892732</v>
      </c>
    </row>
    <row r="3982" spans="29:34">
      <c r="AC3982" s="78" t="s">
        <v>55</v>
      </c>
      <c r="AD3982" s="78" t="s">
        <v>20</v>
      </c>
      <c r="AE3982" s="78" t="s">
        <v>72</v>
      </c>
      <c r="AF3982" s="78" t="s">
        <v>51</v>
      </c>
      <c r="AG3982" s="78" t="s">
        <v>294</v>
      </c>
      <c r="AH3982" s="78">
        <v>3.9622989719892732</v>
      </c>
    </row>
    <row r="3983" spans="29:34">
      <c r="AC3983" s="78" t="s">
        <v>55</v>
      </c>
      <c r="AD3983" s="78" t="s">
        <v>20</v>
      </c>
      <c r="AE3983" s="78" t="s">
        <v>72</v>
      </c>
      <c r="AF3983" s="78" t="s">
        <v>51</v>
      </c>
      <c r="AG3983" s="78" t="s">
        <v>235</v>
      </c>
      <c r="AH3983" s="78">
        <v>3.965632305322607</v>
      </c>
    </row>
    <row r="3984" spans="29:34">
      <c r="AC3984" s="78" t="s">
        <v>55</v>
      </c>
      <c r="AD3984" s="78" t="s">
        <v>20</v>
      </c>
      <c r="AE3984" s="78" t="s">
        <v>72</v>
      </c>
      <c r="AF3984" s="78" t="s">
        <v>51</v>
      </c>
      <c r="AG3984" s="78" t="s">
        <v>295</v>
      </c>
      <c r="AH3984" s="78">
        <v>3.965632305322607</v>
      </c>
    </row>
    <row r="3985" spans="29:34">
      <c r="AC3985" s="78" t="s">
        <v>55</v>
      </c>
      <c r="AD3985" s="78" t="s">
        <v>20</v>
      </c>
      <c r="AE3985" s="78" t="s">
        <v>72</v>
      </c>
      <c r="AF3985" s="78" t="s">
        <v>51</v>
      </c>
      <c r="AG3985" s="78" t="s">
        <v>296</v>
      </c>
      <c r="AH3985" s="78">
        <v>3.965632305322607</v>
      </c>
    </row>
    <row r="3986" spans="29:34">
      <c r="AC3986" s="78" t="s">
        <v>55</v>
      </c>
      <c r="AD3986" s="78" t="s">
        <v>20</v>
      </c>
      <c r="AE3986" s="78" t="s">
        <v>72</v>
      </c>
      <c r="AF3986" s="78" t="s">
        <v>51</v>
      </c>
      <c r="AG3986" s="78" t="s">
        <v>297</v>
      </c>
      <c r="AH3986" s="78">
        <v>3.965632305322607</v>
      </c>
    </row>
    <row r="3987" spans="29:34">
      <c r="AC3987" s="78" t="s">
        <v>55</v>
      </c>
      <c r="AD3987" s="78" t="s">
        <v>20</v>
      </c>
      <c r="AE3987" s="78" t="s">
        <v>72</v>
      </c>
      <c r="AF3987" s="78" t="s">
        <v>51</v>
      </c>
      <c r="AG3987" s="78" t="s">
        <v>298</v>
      </c>
      <c r="AH3987" s="78">
        <v>3.965632305322607</v>
      </c>
    </row>
    <row r="3988" spans="29:34">
      <c r="AC3988" s="78" t="s">
        <v>55</v>
      </c>
      <c r="AD3988" s="78" t="s">
        <v>20</v>
      </c>
      <c r="AE3988" s="78" t="s">
        <v>72</v>
      </c>
      <c r="AF3988" s="78" t="s">
        <v>51</v>
      </c>
      <c r="AG3988" s="78" t="s">
        <v>299</v>
      </c>
      <c r="AH3988" s="78">
        <v>3.9110622461314657</v>
      </c>
    </row>
    <row r="3989" spans="29:34">
      <c r="AC3989" s="78" t="s">
        <v>55</v>
      </c>
      <c r="AD3989" s="78" t="s">
        <v>20</v>
      </c>
      <c r="AE3989" s="78" t="s">
        <v>72</v>
      </c>
      <c r="AF3989" s="78" t="s">
        <v>51</v>
      </c>
      <c r="AG3989" s="78" t="s">
        <v>300</v>
      </c>
      <c r="AH3989" s="78">
        <v>3.9110622461314657</v>
      </c>
    </row>
    <row r="3990" spans="29:34">
      <c r="AC3990" s="78" t="s">
        <v>55</v>
      </c>
      <c r="AD3990" s="78" t="s">
        <v>20</v>
      </c>
      <c r="AE3990" s="78" t="s">
        <v>72</v>
      </c>
      <c r="AF3990" s="78" t="s">
        <v>51</v>
      </c>
      <c r="AG3990" s="78" t="s">
        <v>301</v>
      </c>
      <c r="AH3990" s="78">
        <v>4.0371095698554074</v>
      </c>
    </row>
    <row r="3991" spans="29:34">
      <c r="AC3991" s="78" t="s">
        <v>55</v>
      </c>
      <c r="AD3991" s="78" t="s">
        <v>20</v>
      </c>
      <c r="AE3991" s="78" t="s">
        <v>72</v>
      </c>
      <c r="AF3991" s="78" t="s">
        <v>51</v>
      </c>
      <c r="AG3991" s="78" t="s">
        <v>302</v>
      </c>
      <c r="AH3991" s="78">
        <v>3.9724372052432981</v>
      </c>
    </row>
    <row r="3992" spans="29:34">
      <c r="AC3992" s="78" t="s">
        <v>55</v>
      </c>
      <c r="AD3992" s="78" t="s">
        <v>20</v>
      </c>
      <c r="AE3992" s="78" t="s">
        <v>72</v>
      </c>
      <c r="AF3992" s="78" t="s">
        <v>51</v>
      </c>
      <c r="AG3992" s="78" t="s">
        <v>303</v>
      </c>
      <c r="AH3992" s="78">
        <v>3.9724372052432981</v>
      </c>
    </row>
    <row r="3993" spans="29:34">
      <c r="AC3993" s="78" t="s">
        <v>55</v>
      </c>
      <c r="AD3993" s="78" t="s">
        <v>20</v>
      </c>
      <c r="AE3993" s="78" t="s">
        <v>72</v>
      </c>
      <c r="AF3993" s="78" t="s">
        <v>51</v>
      </c>
      <c r="AG3993" s="78" t="s">
        <v>304</v>
      </c>
      <c r="AH3993" s="78">
        <v>3.9724372052432981</v>
      </c>
    </row>
    <row r="3994" spans="29:34">
      <c r="AC3994" s="78" t="s">
        <v>55</v>
      </c>
      <c r="AD3994" s="78" t="s">
        <v>20</v>
      </c>
      <c r="AE3994" s="78" t="s">
        <v>72</v>
      </c>
      <c r="AF3994" s="78" t="s">
        <v>51</v>
      </c>
      <c r="AG3994" s="78" t="s">
        <v>305</v>
      </c>
      <c r="AH3994" s="78">
        <v>3.965632305322607</v>
      </c>
    </row>
    <row r="3995" spans="29:34">
      <c r="AC3995" s="78" t="s">
        <v>55</v>
      </c>
      <c r="AD3995" s="78" t="s">
        <v>20</v>
      </c>
      <c r="AE3995" s="78" t="s">
        <v>72</v>
      </c>
      <c r="AF3995" s="78" t="s">
        <v>51</v>
      </c>
      <c r="AG3995" s="78" t="s">
        <v>306</v>
      </c>
      <c r="AH3995" s="78">
        <v>3.965632305322607</v>
      </c>
    </row>
    <row r="3996" spans="29:34">
      <c r="AC3996" s="78" t="s">
        <v>55</v>
      </c>
      <c r="AD3996" s="78" t="s">
        <v>20</v>
      </c>
      <c r="AE3996" s="78" t="s">
        <v>72</v>
      </c>
      <c r="AF3996" s="78" t="s">
        <v>51</v>
      </c>
      <c r="AG3996" s="78" t="s">
        <v>307</v>
      </c>
      <c r="AH3996" s="78">
        <v>3.9724372052432981</v>
      </c>
    </row>
    <row r="3997" spans="29:34">
      <c r="AC3997" s="78" t="s">
        <v>55</v>
      </c>
      <c r="AD3997" s="78" t="s">
        <v>20</v>
      </c>
      <c r="AE3997" s="78" t="s">
        <v>72</v>
      </c>
      <c r="AF3997" s="78" t="s">
        <v>51</v>
      </c>
      <c r="AG3997" s="78" t="s">
        <v>308</v>
      </c>
      <c r="AH3997" s="78">
        <v>3.9724372052432981</v>
      </c>
    </row>
    <row r="3998" spans="29:34">
      <c r="AC3998" s="78" t="s">
        <v>55</v>
      </c>
      <c r="AD3998" s="78" t="s">
        <v>20</v>
      </c>
      <c r="AE3998" s="78" t="s">
        <v>72</v>
      </c>
      <c r="AF3998" s="78" t="s">
        <v>51</v>
      </c>
      <c r="AG3998" s="78" t="s">
        <v>309</v>
      </c>
      <c r="AH3998" s="78">
        <v>4.0371095698554074</v>
      </c>
    </row>
    <row r="3999" spans="29:34">
      <c r="AC3999" s="78" t="s">
        <v>55</v>
      </c>
      <c r="AD3999" s="78" t="s">
        <v>20</v>
      </c>
      <c r="AE3999" s="78" t="s">
        <v>72</v>
      </c>
      <c r="AF3999" s="78" t="s">
        <v>51</v>
      </c>
      <c r="AG3999" s="78" t="s">
        <v>310</v>
      </c>
      <c r="AH3999" s="78">
        <v>4.0371095698554074</v>
      </c>
    </row>
    <row r="4000" spans="29:34">
      <c r="AC4000" s="78" t="s">
        <v>55</v>
      </c>
      <c r="AD4000" s="78" t="s">
        <v>20</v>
      </c>
      <c r="AE4000" s="78" t="s">
        <v>72</v>
      </c>
      <c r="AF4000" s="78" t="s">
        <v>51</v>
      </c>
      <c r="AG4000" s="78" t="s">
        <v>234</v>
      </c>
      <c r="AH4000" s="78">
        <v>4.0371095698554074</v>
      </c>
    </row>
    <row r="4001" spans="29:34">
      <c r="AC4001" s="78" t="s">
        <v>55</v>
      </c>
      <c r="AD4001" s="78" t="s">
        <v>20</v>
      </c>
      <c r="AE4001" s="78" t="s">
        <v>72</v>
      </c>
      <c r="AF4001" s="78" t="s">
        <v>51</v>
      </c>
      <c r="AG4001" s="78" t="s">
        <v>311</v>
      </c>
      <c r="AH4001" s="78">
        <v>3.965632305322607</v>
      </c>
    </row>
    <row r="4002" spans="29:34">
      <c r="AC4002" s="78" t="s">
        <v>55</v>
      </c>
      <c r="AD4002" s="78" t="s">
        <v>20</v>
      </c>
      <c r="AE4002" s="78" t="s">
        <v>72</v>
      </c>
      <c r="AF4002" s="78" t="s">
        <v>51</v>
      </c>
      <c r="AG4002" s="78" t="s">
        <v>312</v>
      </c>
      <c r="AH4002" s="78">
        <v>3.965632305322607</v>
      </c>
    </row>
    <row r="4003" spans="29:34">
      <c r="AC4003" s="78" t="s">
        <v>55</v>
      </c>
      <c r="AD4003" s="78" t="s">
        <v>20</v>
      </c>
      <c r="AE4003" s="78" t="s">
        <v>72</v>
      </c>
      <c r="AF4003" s="78" t="s">
        <v>51</v>
      </c>
      <c r="AG4003" s="78" t="s">
        <v>313</v>
      </c>
      <c r="AH4003" s="78">
        <v>3.965632305322607</v>
      </c>
    </row>
    <row r="4004" spans="29:34">
      <c r="AC4004" s="78" t="s">
        <v>55</v>
      </c>
      <c r="AD4004" s="78" t="s">
        <v>20</v>
      </c>
      <c r="AE4004" s="78" t="s">
        <v>72</v>
      </c>
      <c r="AF4004" s="78" t="s">
        <v>51</v>
      </c>
      <c r="AG4004" s="78" t="s">
        <v>233</v>
      </c>
      <c r="AH4004" s="78">
        <v>4.0371095698554074</v>
      </c>
    </row>
    <row r="4005" spans="29:34">
      <c r="AC4005" s="78" t="s">
        <v>55</v>
      </c>
      <c r="AD4005" s="78" t="s">
        <v>20</v>
      </c>
      <c r="AE4005" s="78" t="s">
        <v>72</v>
      </c>
      <c r="AF4005" s="78" t="s">
        <v>51</v>
      </c>
      <c r="AG4005" s="78" t="s">
        <v>236</v>
      </c>
      <c r="AH4005" s="78">
        <v>4.0371095698554074</v>
      </c>
    </row>
    <row r="4006" spans="29:34">
      <c r="AC4006" s="78" t="s">
        <v>55</v>
      </c>
      <c r="AD4006" s="78" t="s">
        <v>20</v>
      </c>
      <c r="AE4006" s="78" t="s">
        <v>72</v>
      </c>
      <c r="AF4006" s="78" t="s">
        <v>51</v>
      </c>
      <c r="AG4006" s="78" t="s">
        <v>318</v>
      </c>
      <c r="AH4006" s="78">
        <v>3.9968989719892734</v>
      </c>
    </row>
    <row r="4007" spans="29:34">
      <c r="AC4007" s="78" t="s">
        <v>55</v>
      </c>
      <c r="AD4007" s="78" t="s">
        <v>20</v>
      </c>
      <c r="AE4007" s="78" t="s">
        <v>72</v>
      </c>
      <c r="AF4007" s="78" t="s">
        <v>51</v>
      </c>
      <c r="AG4007" s="78" t="s">
        <v>319</v>
      </c>
      <c r="AH4007" s="78">
        <v>3.9968989719892734</v>
      </c>
    </row>
    <row r="4008" spans="29:34">
      <c r="AC4008" s="78" t="s">
        <v>55</v>
      </c>
      <c r="AD4008" s="78" t="s">
        <v>20</v>
      </c>
      <c r="AE4008" s="78" t="s">
        <v>72</v>
      </c>
      <c r="AF4008" s="78" t="s">
        <v>51</v>
      </c>
      <c r="AG4008" s="78" t="s">
        <v>320</v>
      </c>
      <c r="AH4008" s="78">
        <v>4.0371095698554074</v>
      </c>
    </row>
    <row r="4009" spans="29:34">
      <c r="AC4009" s="78" t="s">
        <v>55</v>
      </c>
      <c r="AD4009" s="78" t="s">
        <v>20</v>
      </c>
      <c r="AE4009" s="78" t="s">
        <v>72</v>
      </c>
      <c r="AF4009" s="78" t="s">
        <v>51</v>
      </c>
      <c r="AG4009" s="78" t="s">
        <v>321</v>
      </c>
      <c r="AH4009" s="78">
        <v>3.9968989719892734</v>
      </c>
    </row>
    <row r="4010" spans="29:34">
      <c r="AC4010" s="78" t="s">
        <v>55</v>
      </c>
      <c r="AD4010" s="78" t="s">
        <v>20</v>
      </c>
      <c r="AE4010" s="78" t="s">
        <v>72</v>
      </c>
      <c r="AF4010" s="78" t="s">
        <v>51</v>
      </c>
      <c r="AG4010" s="78" t="s">
        <v>322</v>
      </c>
      <c r="AH4010" s="78">
        <v>3.9968989719892734</v>
      </c>
    </row>
    <row r="4011" spans="29:34">
      <c r="AC4011" s="78" t="s">
        <v>55</v>
      </c>
      <c r="AD4011" s="78" t="s">
        <v>20</v>
      </c>
      <c r="AE4011" s="78" t="s">
        <v>72</v>
      </c>
      <c r="AF4011" s="78" t="s">
        <v>51</v>
      </c>
      <c r="AG4011" s="78" t="s">
        <v>323</v>
      </c>
      <c r="AH4011" s="78">
        <v>3.965632305322607</v>
      </c>
    </row>
    <row r="4012" spans="29:34">
      <c r="AC4012" s="78" t="s">
        <v>55</v>
      </c>
      <c r="AD4012" s="78" t="s">
        <v>20</v>
      </c>
      <c r="AE4012" s="78" t="s">
        <v>72</v>
      </c>
      <c r="AF4012" s="78" t="s">
        <v>51</v>
      </c>
      <c r="AG4012" s="78" t="s">
        <v>324</v>
      </c>
      <c r="AH4012" s="78">
        <v>3.9110622461314657</v>
      </c>
    </row>
    <row r="4013" spans="29:34">
      <c r="AC4013" s="78" t="s">
        <v>55</v>
      </c>
      <c r="AD4013" s="78" t="s">
        <v>20</v>
      </c>
      <c r="AE4013" s="78" t="s">
        <v>72</v>
      </c>
      <c r="AF4013" s="78" t="s">
        <v>51</v>
      </c>
      <c r="AG4013" s="78" t="s">
        <v>325</v>
      </c>
      <c r="AH4013" s="78">
        <v>3.8395192426148759</v>
      </c>
    </row>
    <row r="4014" spans="29:34">
      <c r="AC4014" s="78" t="s">
        <v>55</v>
      </c>
      <c r="AD4014" s="78" t="s">
        <v>20</v>
      </c>
      <c r="AE4014" s="78" t="s">
        <v>72</v>
      </c>
      <c r="AF4014" s="78" t="s">
        <v>51</v>
      </c>
      <c r="AG4014" s="78" t="s">
        <v>326</v>
      </c>
      <c r="AH4014" s="78">
        <v>3.8395192426148759</v>
      </c>
    </row>
    <row r="4015" spans="29:34">
      <c r="AC4015" s="78" t="s">
        <v>55</v>
      </c>
      <c r="AD4015" s="78" t="s">
        <v>20</v>
      </c>
      <c r="AE4015" s="78" t="s">
        <v>72</v>
      </c>
      <c r="AF4015" s="78" t="s">
        <v>51</v>
      </c>
      <c r="AG4015" s="78" t="s">
        <v>327</v>
      </c>
      <c r="AH4015" s="78">
        <v>3.7819467858228437</v>
      </c>
    </row>
    <row r="4016" spans="29:34">
      <c r="AC4016" s="78" t="s">
        <v>55</v>
      </c>
      <c r="AD4016" s="78" t="s">
        <v>20</v>
      </c>
      <c r="AE4016" s="78" t="s">
        <v>72</v>
      </c>
      <c r="AF4016" s="78" t="s">
        <v>51</v>
      </c>
      <c r="AG4016" s="78" t="s">
        <v>328</v>
      </c>
      <c r="AH4016" s="78">
        <v>3.8465772748965774</v>
      </c>
    </row>
    <row r="4017" spans="29:34">
      <c r="AC4017" s="78" t="s">
        <v>55</v>
      </c>
      <c r="AD4017" s="78" t="s">
        <v>20</v>
      </c>
      <c r="AE4017" s="78" t="s">
        <v>72</v>
      </c>
      <c r="AF4017" s="78" t="s">
        <v>51</v>
      </c>
      <c r="AG4017" s="78" t="s">
        <v>329</v>
      </c>
      <c r="AH4017" s="78">
        <v>3.7819467858228437</v>
      </c>
    </row>
    <row r="4018" spans="29:34">
      <c r="AC4018" s="78" t="s">
        <v>55</v>
      </c>
      <c r="AD4018" s="78" t="s">
        <v>20</v>
      </c>
      <c r="AE4018" s="78" t="s">
        <v>72</v>
      </c>
      <c r="AF4018" s="78" t="s">
        <v>51</v>
      </c>
      <c r="AG4018" s="78" t="s">
        <v>330</v>
      </c>
      <c r="AH4018" s="78">
        <v>3.7133735457080617</v>
      </c>
    </row>
    <row r="4019" spans="29:34">
      <c r="AC4019" s="78" t="s">
        <v>55</v>
      </c>
      <c r="AD4019" s="78" t="s">
        <v>20</v>
      </c>
      <c r="AE4019" s="78" t="s">
        <v>72</v>
      </c>
      <c r="AF4019" s="78" t="s">
        <v>51</v>
      </c>
      <c r="AG4019" s="78" t="s">
        <v>331</v>
      </c>
      <c r="AH4019" s="78">
        <v>3.744640212374728</v>
      </c>
    </row>
    <row r="4020" spans="29:34">
      <c r="AC4020" s="78" t="s">
        <v>55</v>
      </c>
      <c r="AD4020" s="78" t="s">
        <v>20</v>
      </c>
      <c r="AE4020" s="78" t="s">
        <v>72</v>
      </c>
      <c r="AF4020" s="78" t="s">
        <v>51</v>
      </c>
      <c r="AG4020" s="78" t="s">
        <v>332</v>
      </c>
      <c r="AH4020" s="78">
        <v>3.7133735457080617</v>
      </c>
    </row>
    <row r="4021" spans="29:34">
      <c r="AC4021" s="78" t="s">
        <v>55</v>
      </c>
      <c r="AD4021" s="78" t="s">
        <v>20</v>
      </c>
      <c r="AE4021" s="78" t="s">
        <v>72</v>
      </c>
      <c r="AF4021" s="78" t="s">
        <v>51</v>
      </c>
      <c r="AG4021" s="78" t="s">
        <v>333</v>
      </c>
      <c r="AH4021" s="78">
        <v>3.7133735457080617</v>
      </c>
    </row>
    <row r="4022" spans="29:34">
      <c r="AC4022" s="78" t="s">
        <v>55</v>
      </c>
      <c r="AD4022" s="78" t="s">
        <v>20</v>
      </c>
      <c r="AE4022" s="78" t="s">
        <v>72</v>
      </c>
      <c r="AF4022" s="78" t="s">
        <v>51</v>
      </c>
      <c r="AG4022" s="78" t="s">
        <v>334</v>
      </c>
      <c r="AH4022" s="78">
        <v>3.7819467858228437</v>
      </c>
    </row>
    <row r="4023" spans="29:34">
      <c r="AC4023" s="78" t="s">
        <v>55</v>
      </c>
      <c r="AD4023" s="78" t="s">
        <v>20</v>
      </c>
      <c r="AE4023" s="78" t="s">
        <v>72</v>
      </c>
      <c r="AF4023" s="78" t="s">
        <v>51</v>
      </c>
      <c r="AG4023" s="78" t="s">
        <v>335</v>
      </c>
      <c r="AH4023" s="78">
        <v>3.744640212374728</v>
      </c>
    </row>
    <row r="4024" spans="29:34">
      <c r="AC4024" s="78" t="s">
        <v>55</v>
      </c>
      <c r="AD4024" s="78" t="s">
        <v>20</v>
      </c>
      <c r="AE4024" s="78" t="s">
        <v>72</v>
      </c>
      <c r="AF4024" s="78" t="s">
        <v>51</v>
      </c>
      <c r="AG4024" s="78" t="s">
        <v>315</v>
      </c>
      <c r="AH4024" s="78">
        <v>3.744640212374728</v>
      </c>
    </row>
    <row r="4025" spans="29:34">
      <c r="AC4025" s="78" t="s">
        <v>55</v>
      </c>
      <c r="AD4025" s="78" t="s">
        <v>20</v>
      </c>
      <c r="AE4025" s="78" t="s">
        <v>72</v>
      </c>
      <c r="AF4025" s="78" t="s">
        <v>51</v>
      </c>
      <c r="AG4025" s="78" t="s">
        <v>336</v>
      </c>
      <c r="AH4025" s="78">
        <v>3.7819467858228437</v>
      </c>
    </row>
    <row r="4026" spans="29:34">
      <c r="AC4026" s="78" t="s">
        <v>55</v>
      </c>
      <c r="AD4026" s="78" t="s">
        <v>20</v>
      </c>
      <c r="AE4026" s="78" t="s">
        <v>72</v>
      </c>
      <c r="AF4026" s="78" t="s">
        <v>51</v>
      </c>
      <c r="AG4026" s="78" t="s">
        <v>337</v>
      </c>
      <c r="AH4026" s="78">
        <v>3.744640212374728</v>
      </c>
    </row>
    <row r="4027" spans="29:34">
      <c r="AC4027" s="78" t="s">
        <v>55</v>
      </c>
      <c r="AD4027" s="78" t="s">
        <v>20</v>
      </c>
      <c r="AE4027" s="78" t="s">
        <v>72</v>
      </c>
      <c r="AF4027" s="78" t="s">
        <v>51</v>
      </c>
      <c r="AG4027" s="78" t="s">
        <v>338</v>
      </c>
      <c r="AH4027" s="78">
        <v>3.7133735457080617</v>
      </c>
    </row>
    <row r="4028" spans="29:34">
      <c r="AC4028" s="78" t="s">
        <v>55</v>
      </c>
      <c r="AD4028" s="78" t="s">
        <v>20</v>
      </c>
      <c r="AE4028" s="78" t="s">
        <v>72</v>
      </c>
      <c r="AF4028" s="78" t="s">
        <v>51</v>
      </c>
      <c r="AG4028" s="78" t="s">
        <v>314</v>
      </c>
      <c r="AH4028" s="78">
        <v>3.7454735457080615</v>
      </c>
    </row>
    <row r="4029" spans="29:34">
      <c r="AC4029" s="78" t="s">
        <v>55</v>
      </c>
      <c r="AD4029" s="78" t="s">
        <v>20</v>
      </c>
      <c r="AE4029" s="78" t="s">
        <v>72</v>
      </c>
      <c r="AF4029" s="78" t="s">
        <v>51</v>
      </c>
      <c r="AG4029" s="78" t="s">
        <v>317</v>
      </c>
      <c r="AH4029" s="78">
        <v>3.7142068790413951</v>
      </c>
    </row>
    <row r="4030" spans="29:34">
      <c r="AC4030" s="78" t="s">
        <v>55</v>
      </c>
      <c r="AD4030" s="78" t="s">
        <v>20</v>
      </c>
      <c r="AE4030" s="78" t="s">
        <v>72</v>
      </c>
      <c r="AF4030" s="78" t="s">
        <v>51</v>
      </c>
      <c r="AG4030" s="78" t="s">
        <v>344</v>
      </c>
      <c r="AH4030" s="78">
        <v>3.7142068790413951</v>
      </c>
    </row>
    <row r="4031" spans="29:34">
      <c r="AC4031" s="78" t="s">
        <v>55</v>
      </c>
      <c r="AD4031" s="78" t="s">
        <v>20</v>
      </c>
      <c r="AE4031" s="78" t="s">
        <v>72</v>
      </c>
      <c r="AF4031" s="78" t="s">
        <v>51</v>
      </c>
      <c r="AG4031" s="78" t="s">
        <v>342</v>
      </c>
      <c r="AH4031" s="78">
        <v>3.7142068790413951</v>
      </c>
    </row>
    <row r="4032" spans="29:34">
      <c r="AC4032" s="78" t="s">
        <v>55</v>
      </c>
      <c r="AD4032" s="78" t="s">
        <v>20</v>
      </c>
      <c r="AE4032" s="78" t="s">
        <v>72</v>
      </c>
      <c r="AF4032" s="78" t="s">
        <v>51</v>
      </c>
      <c r="AG4032" s="78" t="s">
        <v>345</v>
      </c>
      <c r="AH4032" s="78">
        <v>3.7454735457080615</v>
      </c>
    </row>
    <row r="4033" spans="29:34">
      <c r="AC4033" s="78" t="s">
        <v>55</v>
      </c>
      <c r="AD4033" s="78" t="s">
        <v>20</v>
      </c>
      <c r="AE4033" s="78" t="s">
        <v>72</v>
      </c>
      <c r="AF4033" s="78" t="s">
        <v>51</v>
      </c>
      <c r="AG4033" s="78" t="s">
        <v>346</v>
      </c>
      <c r="AH4033" s="78">
        <v>3.7142068790413951</v>
      </c>
    </row>
    <row r="4034" spans="29:34">
      <c r="AC4034" s="78" t="s">
        <v>55</v>
      </c>
      <c r="AD4034" s="78" t="s">
        <v>20</v>
      </c>
      <c r="AE4034" s="78" t="s">
        <v>72</v>
      </c>
      <c r="AF4034" s="78" t="s">
        <v>51</v>
      </c>
      <c r="AG4034" s="78" t="s">
        <v>343</v>
      </c>
      <c r="AH4034" s="78">
        <v>3.7142068790413951</v>
      </c>
    </row>
    <row r="4035" spans="29:34">
      <c r="AC4035" s="78" t="s">
        <v>55</v>
      </c>
      <c r="AD4035" s="78" t="s">
        <v>20</v>
      </c>
      <c r="AE4035" s="78" t="s">
        <v>72</v>
      </c>
      <c r="AF4035" s="78" t="s">
        <v>51</v>
      </c>
      <c r="AG4035" s="78" t="s">
        <v>341</v>
      </c>
      <c r="AH4035" s="78">
        <v>3.7142068790413951</v>
      </c>
    </row>
    <row r="4036" spans="29:34">
      <c r="AC4036" s="78" t="s">
        <v>55</v>
      </c>
      <c r="AD4036" s="78" t="s">
        <v>20</v>
      </c>
      <c r="AE4036" s="78" t="s">
        <v>72</v>
      </c>
      <c r="AF4036" s="78" t="s">
        <v>51</v>
      </c>
      <c r="AG4036" s="78" t="s">
        <v>347</v>
      </c>
      <c r="AH4036" s="78">
        <v>3.7215859582430575</v>
      </c>
    </row>
    <row r="4037" spans="29:34">
      <c r="AC4037" s="78" t="s">
        <v>55</v>
      </c>
      <c r="AD4037" s="78" t="s">
        <v>20</v>
      </c>
      <c r="AE4037" s="78" t="s">
        <v>72</v>
      </c>
      <c r="AF4037" s="78" t="s">
        <v>51</v>
      </c>
      <c r="AG4037" s="78" t="s">
        <v>348</v>
      </c>
      <c r="AH4037" s="78">
        <v>3.8474106082299104</v>
      </c>
    </row>
    <row r="4038" spans="29:34">
      <c r="AC4038" s="78" t="s">
        <v>55</v>
      </c>
      <c r="AD4038" s="78" t="s">
        <v>20</v>
      </c>
      <c r="AE4038" s="78" t="s">
        <v>72</v>
      </c>
      <c r="AF4038" s="78" t="s">
        <v>51</v>
      </c>
      <c r="AG4038" s="78" t="s">
        <v>349</v>
      </c>
      <c r="AH4038" s="78">
        <v>3.8474106082299104</v>
      </c>
    </row>
    <row r="4039" spans="29:34">
      <c r="AC4039" s="78" t="s">
        <v>55</v>
      </c>
      <c r="AD4039" s="78" t="s">
        <v>20</v>
      </c>
      <c r="AE4039" s="78" t="s">
        <v>72</v>
      </c>
      <c r="AF4039" s="78" t="s">
        <v>51</v>
      </c>
      <c r="AG4039" s="78" t="s">
        <v>350</v>
      </c>
      <c r="AH4039" s="78">
        <v>3.8474106082299104</v>
      </c>
    </row>
    <row r="4040" spans="29:34">
      <c r="AC4040" s="78" t="s">
        <v>55</v>
      </c>
      <c r="AD4040" s="78" t="s">
        <v>20</v>
      </c>
      <c r="AE4040" s="78" t="s">
        <v>72</v>
      </c>
      <c r="AF4040" s="78" t="s">
        <v>51</v>
      </c>
      <c r="AG4040" s="78" t="s">
        <v>351</v>
      </c>
      <c r="AH4040" s="78">
        <v>3.8403525759482089</v>
      </c>
    </row>
    <row r="4041" spans="29:34">
      <c r="AC4041" s="78" t="s">
        <v>55</v>
      </c>
      <c r="AD4041" s="78" t="s">
        <v>20</v>
      </c>
      <c r="AE4041" s="78" t="s">
        <v>72</v>
      </c>
      <c r="AF4041" s="78" t="s">
        <v>51</v>
      </c>
      <c r="AG4041" s="78" t="s">
        <v>352</v>
      </c>
      <c r="AH4041" s="78">
        <v>3.8474106082299104</v>
      </c>
    </row>
    <row r="4042" spans="29:34">
      <c r="AC4042" s="78" t="s">
        <v>55</v>
      </c>
      <c r="AD4042" s="78" t="s">
        <v>20</v>
      </c>
      <c r="AE4042" s="78" t="s">
        <v>72</v>
      </c>
      <c r="AF4042" s="78" t="s">
        <v>51</v>
      </c>
      <c r="AG4042" s="78" t="s">
        <v>353</v>
      </c>
      <c r="AH4042" s="78">
        <v>3.8474106082299104</v>
      </c>
    </row>
    <row r="4043" spans="29:34">
      <c r="AC4043" s="78" t="s">
        <v>55</v>
      </c>
      <c r="AD4043" s="78" t="s">
        <v>20</v>
      </c>
      <c r="AE4043" s="78" t="s">
        <v>72</v>
      </c>
      <c r="AF4043" s="78" t="s">
        <v>51</v>
      </c>
      <c r="AG4043" s="78" t="s">
        <v>354</v>
      </c>
      <c r="AH4043" s="78">
        <v>3.8403525759482089</v>
      </c>
    </row>
    <row r="4044" spans="29:34">
      <c r="AC4044" s="78" t="s">
        <v>55</v>
      </c>
      <c r="AD4044" s="78" t="s">
        <v>20</v>
      </c>
      <c r="AE4044" s="78" t="s">
        <v>72</v>
      </c>
      <c r="AF4044" s="78" t="s">
        <v>51</v>
      </c>
      <c r="AG4044" s="78" t="s">
        <v>355</v>
      </c>
      <c r="AH4044" s="78">
        <v>3.7827801191561767</v>
      </c>
    </row>
    <row r="4045" spans="29:34">
      <c r="AC4045" s="78" t="s">
        <v>55</v>
      </c>
      <c r="AD4045" s="78" t="s">
        <v>20</v>
      </c>
      <c r="AE4045" s="78" t="s">
        <v>72</v>
      </c>
      <c r="AF4045" s="78" t="s">
        <v>51</v>
      </c>
      <c r="AG4045" s="78" t="s">
        <v>356</v>
      </c>
      <c r="AH4045" s="78">
        <v>3.8221534112363487</v>
      </c>
    </row>
    <row r="4046" spans="29:34">
      <c r="AC4046" s="78" t="s">
        <v>55</v>
      </c>
      <c r="AD4046" s="78" t="s">
        <v>20</v>
      </c>
      <c r="AE4046" s="78" t="s">
        <v>72</v>
      </c>
      <c r="AF4046" s="78" t="s">
        <v>51</v>
      </c>
      <c r="AG4046" s="78" t="s">
        <v>357</v>
      </c>
      <c r="AH4046" s="78">
        <v>3.8221534112363487</v>
      </c>
    </row>
    <row r="4047" spans="29:34">
      <c r="AC4047" s="78" t="s">
        <v>55</v>
      </c>
      <c r="AD4047" s="78" t="s">
        <v>20</v>
      </c>
      <c r="AE4047" s="78" t="s">
        <v>72</v>
      </c>
      <c r="AF4047" s="78" t="s">
        <v>51</v>
      </c>
      <c r="AG4047" s="78" t="s">
        <v>358</v>
      </c>
      <c r="AH4047" s="78">
        <v>3.9896003554164103</v>
      </c>
    </row>
    <row r="4048" spans="29:34">
      <c r="AC4048" s="78" t="s">
        <v>55</v>
      </c>
      <c r="AD4048" s="78" t="s">
        <v>20</v>
      </c>
      <c r="AE4048" s="78" t="s">
        <v>72</v>
      </c>
      <c r="AF4048" s="78" t="s">
        <v>51</v>
      </c>
      <c r="AG4048" s="78" t="s">
        <v>359</v>
      </c>
      <c r="AH4048" s="78">
        <v>3.8585038285041042</v>
      </c>
    </row>
    <row r="4049" spans="29:34">
      <c r="AC4049" s="78" t="s">
        <v>55</v>
      </c>
      <c r="AD4049" s="78" t="s">
        <v>20</v>
      </c>
      <c r="AE4049" s="78" t="s">
        <v>72</v>
      </c>
      <c r="AF4049" s="78" t="s">
        <v>51</v>
      </c>
      <c r="AG4049" s="78" t="s">
        <v>360</v>
      </c>
      <c r="AH4049" s="78">
        <v>3.8585038285041042</v>
      </c>
    </row>
    <row r="4050" spans="29:34">
      <c r="AC4050" s="78" t="s">
        <v>55</v>
      </c>
      <c r="AD4050" s="78" t="s">
        <v>20</v>
      </c>
      <c r="AE4050" s="78" t="s">
        <v>72</v>
      </c>
      <c r="AF4050" s="78" t="s">
        <v>51</v>
      </c>
      <c r="AG4050" s="78" t="s">
        <v>361</v>
      </c>
      <c r="AH4050" s="78">
        <v>3.8897371618374375</v>
      </c>
    </row>
    <row r="4051" spans="29:34">
      <c r="AC4051" s="78" t="s">
        <v>55</v>
      </c>
      <c r="AD4051" s="78" t="s">
        <v>20</v>
      </c>
      <c r="AE4051" s="78" t="s">
        <v>72</v>
      </c>
      <c r="AF4051" s="78" t="s">
        <v>51</v>
      </c>
      <c r="AG4051" s="78" t="s">
        <v>362</v>
      </c>
      <c r="AH4051" s="78">
        <v>3.9481231294434975</v>
      </c>
    </row>
    <row r="4052" spans="29:34">
      <c r="AC4052" s="78" t="s">
        <v>55</v>
      </c>
      <c r="AD4052" s="78" t="s">
        <v>20</v>
      </c>
      <c r="AE4052" s="78" t="s">
        <v>72</v>
      </c>
      <c r="AF4052" s="78" t="s">
        <v>51</v>
      </c>
      <c r="AG4052" s="78" t="s">
        <v>363</v>
      </c>
      <c r="AH4052" s="78">
        <v>3.8897371618374375</v>
      </c>
    </row>
    <row r="4053" spans="29:34">
      <c r="AC4053" s="78" t="s">
        <v>55</v>
      </c>
      <c r="AD4053" s="78" t="s">
        <v>20</v>
      </c>
      <c r="AE4053" s="78" t="s">
        <v>72</v>
      </c>
      <c r="AF4053" s="78" t="s">
        <v>51</v>
      </c>
      <c r="AG4053" s="78" t="s">
        <v>364</v>
      </c>
      <c r="AH4053" s="78">
        <v>3.9481231294434975</v>
      </c>
    </row>
    <row r="4054" spans="29:34">
      <c r="AC4054" s="78" t="s">
        <v>55</v>
      </c>
      <c r="AD4054" s="78" t="s">
        <v>20</v>
      </c>
      <c r="AE4054" s="78" t="s">
        <v>72</v>
      </c>
      <c r="AF4054" s="78" t="s">
        <v>51</v>
      </c>
      <c r="AG4054" s="78" t="s">
        <v>365</v>
      </c>
      <c r="AH4054" s="78">
        <v>3.9481231294434975</v>
      </c>
    </row>
    <row r="4055" spans="29:34">
      <c r="AC4055" s="78" t="s">
        <v>55</v>
      </c>
      <c r="AD4055" s="78" t="s">
        <v>20</v>
      </c>
      <c r="AE4055" s="78" t="s">
        <v>72</v>
      </c>
      <c r="AF4055" s="78" t="s">
        <v>51</v>
      </c>
      <c r="AG4055" s="78" t="s">
        <v>366</v>
      </c>
      <c r="AH4055" s="78">
        <v>3.8585038285041042</v>
      </c>
    </row>
    <row r="4056" spans="29:34">
      <c r="AC4056" s="78" t="s">
        <v>55</v>
      </c>
      <c r="AD4056" s="78" t="s">
        <v>20</v>
      </c>
      <c r="AE4056" s="78" t="s">
        <v>72</v>
      </c>
      <c r="AF4056" s="78" t="s">
        <v>51</v>
      </c>
      <c r="AG4056" s="78" t="s">
        <v>367</v>
      </c>
      <c r="AH4056" s="78">
        <v>3.9533721497042098</v>
      </c>
    </row>
    <row r="4057" spans="29:34">
      <c r="AC4057" s="78" t="s">
        <v>55</v>
      </c>
      <c r="AD4057" s="78" t="s">
        <v>20</v>
      </c>
      <c r="AE4057" s="78" t="s">
        <v>72</v>
      </c>
      <c r="AF4057" s="78" t="s">
        <v>51</v>
      </c>
      <c r="AG4057" s="78" t="s">
        <v>368</v>
      </c>
      <c r="AH4057" s="78">
        <v>3.9481231294434975</v>
      </c>
    </row>
    <row r="4058" spans="29:34">
      <c r="AC4058" s="78" t="s">
        <v>55</v>
      </c>
      <c r="AD4058" s="78" t="s">
        <v>20</v>
      </c>
      <c r="AE4058" s="78" t="s">
        <v>72</v>
      </c>
      <c r="AF4058" s="78" t="s">
        <v>51</v>
      </c>
      <c r="AG4058" s="78" t="s">
        <v>369</v>
      </c>
      <c r="AH4058" s="78">
        <v>3.9846388163708766</v>
      </c>
    </row>
    <row r="4059" spans="29:34">
      <c r="AC4059" s="78" t="s">
        <v>55</v>
      </c>
      <c r="AD4059" s="78" t="s">
        <v>20</v>
      </c>
      <c r="AE4059" s="78" t="s">
        <v>72</v>
      </c>
      <c r="AF4059" s="78" t="s">
        <v>51</v>
      </c>
      <c r="AG4059" s="78" t="s">
        <v>370</v>
      </c>
      <c r="AH4059" s="78">
        <v>3.8897371618374375</v>
      </c>
    </row>
    <row r="4060" spans="29:34">
      <c r="AC4060" s="78" t="s">
        <v>55</v>
      </c>
      <c r="AD4060" s="78" t="s">
        <v>20</v>
      </c>
      <c r="AE4060" s="78" t="s">
        <v>72</v>
      </c>
      <c r="AF4060" s="78" t="s">
        <v>51</v>
      </c>
      <c r="AG4060" s="78" t="s">
        <v>371</v>
      </c>
      <c r="AH4060" s="78">
        <v>3.8585038285041042</v>
      </c>
    </row>
    <row r="4061" spans="29:34">
      <c r="AC4061" s="78" t="s">
        <v>55</v>
      </c>
      <c r="AD4061" s="78" t="s">
        <v>20</v>
      </c>
      <c r="AE4061" s="78" t="s">
        <v>72</v>
      </c>
      <c r="AF4061" s="78" t="s">
        <v>51</v>
      </c>
      <c r="AG4061" s="78" t="s">
        <v>372</v>
      </c>
      <c r="AH4061" s="78">
        <v>3.8897371618374375</v>
      </c>
    </row>
    <row r="4062" spans="29:34">
      <c r="AC4062" s="78" t="s">
        <v>55</v>
      </c>
      <c r="AD4062" s="78" t="s">
        <v>20</v>
      </c>
      <c r="AE4062" s="78" t="s">
        <v>72</v>
      </c>
      <c r="AF4062" s="78" t="s">
        <v>51</v>
      </c>
      <c r="AG4062" s="78" t="s">
        <v>373</v>
      </c>
      <c r="AH4062" s="78">
        <v>3.8897371618374375</v>
      </c>
    </row>
    <row r="4063" spans="29:34">
      <c r="AC4063" s="78" t="s">
        <v>55</v>
      </c>
      <c r="AD4063" s="78" t="s">
        <v>20</v>
      </c>
      <c r="AE4063" s="78" t="s">
        <v>72</v>
      </c>
      <c r="AF4063" s="78" t="s">
        <v>51</v>
      </c>
      <c r="AG4063" s="78" t="s">
        <v>374</v>
      </c>
      <c r="AH4063" s="78">
        <v>3.8897371618374375</v>
      </c>
    </row>
    <row r="4064" spans="29:34">
      <c r="AC4064" s="78" t="s">
        <v>55</v>
      </c>
      <c r="AD4064" s="78" t="s">
        <v>20</v>
      </c>
      <c r="AE4064" s="78" t="s">
        <v>72</v>
      </c>
      <c r="AF4064" s="78" t="s">
        <v>51</v>
      </c>
      <c r="AG4064" s="78" t="s">
        <v>375</v>
      </c>
      <c r="AH4064" s="78">
        <v>3.8585038285041042</v>
      </c>
    </row>
    <row r="4065" spans="29:34">
      <c r="AC4065" s="78" t="s">
        <v>55</v>
      </c>
      <c r="AD4065" s="78" t="s">
        <v>20</v>
      </c>
      <c r="AE4065" s="78" t="s">
        <v>72</v>
      </c>
      <c r="AF4065" s="78" t="s">
        <v>51</v>
      </c>
      <c r="AG4065" s="78" t="s">
        <v>376</v>
      </c>
      <c r="AH4065" s="78">
        <v>3.8221534112363487</v>
      </c>
    </row>
    <row r="4066" spans="29:34">
      <c r="AC4066" s="78" t="s">
        <v>55</v>
      </c>
      <c r="AD4066" s="78" t="s">
        <v>20</v>
      </c>
      <c r="AE4066" s="78" t="s">
        <v>72</v>
      </c>
      <c r="AF4066" s="78" t="s">
        <v>51</v>
      </c>
      <c r="AG4066" s="78" t="s">
        <v>377</v>
      </c>
      <c r="AH4066" s="78">
        <v>3.8221534112363487</v>
      </c>
    </row>
    <row r="4067" spans="29:34">
      <c r="AC4067" s="78" t="s">
        <v>55</v>
      </c>
      <c r="AD4067" s="78" t="s">
        <v>20</v>
      </c>
      <c r="AE4067" s="78" t="s">
        <v>72</v>
      </c>
      <c r="AF4067" s="78" t="s">
        <v>51</v>
      </c>
      <c r="AG4067" s="78" t="s">
        <v>378</v>
      </c>
      <c r="AH4067" s="78">
        <v>3.8221534112363487</v>
      </c>
    </row>
    <row r="4068" spans="29:34">
      <c r="AC4068" s="78" t="s">
        <v>55</v>
      </c>
      <c r="AD4068" s="78" t="s">
        <v>20</v>
      </c>
      <c r="AE4068" s="78" t="s">
        <v>72</v>
      </c>
      <c r="AF4068" s="78" t="s">
        <v>51</v>
      </c>
      <c r="AG4068" s="78" t="s">
        <v>379</v>
      </c>
      <c r="AH4068" s="78">
        <v>3.7010694400308415</v>
      </c>
    </row>
    <row r="4069" spans="29:34">
      <c r="AC4069" s="78" t="s">
        <v>55</v>
      </c>
      <c r="AD4069" s="78" t="s">
        <v>20</v>
      </c>
      <c r="AE4069" s="78" t="s">
        <v>72</v>
      </c>
      <c r="AF4069" s="78" t="s">
        <v>51</v>
      </c>
      <c r="AG4069" s="78" t="s">
        <v>380</v>
      </c>
      <c r="AH4069" s="78">
        <v>3.7635694400308415</v>
      </c>
    </row>
    <row r="4070" spans="29:34">
      <c r="AC4070" s="78" t="s">
        <v>55</v>
      </c>
      <c r="AD4070" s="78" t="s">
        <v>20</v>
      </c>
      <c r="AE4070" s="78" t="s">
        <v>72</v>
      </c>
      <c r="AF4070" s="78" t="s">
        <v>51</v>
      </c>
      <c r="AG4070" s="78" t="s">
        <v>381</v>
      </c>
      <c r="AH4070" s="78">
        <v>3.7323361066975083</v>
      </c>
    </row>
    <row r="4071" spans="29:34">
      <c r="AC4071" s="78" t="s">
        <v>55</v>
      </c>
      <c r="AD4071" s="78" t="s">
        <v>20</v>
      </c>
      <c r="AE4071" s="78" t="s">
        <v>72</v>
      </c>
      <c r="AF4071" s="78" t="s">
        <v>51</v>
      </c>
      <c r="AG4071" s="78" t="s">
        <v>382</v>
      </c>
      <c r="AH4071" s="78">
        <v>3.7635694400308415</v>
      </c>
    </row>
    <row r="4072" spans="29:34">
      <c r="AC4072" s="78" t="s">
        <v>55</v>
      </c>
      <c r="AD4072" s="78" t="s">
        <v>20</v>
      </c>
      <c r="AE4072" s="78" t="s">
        <v>72</v>
      </c>
      <c r="AF4072" s="78" t="s">
        <v>51</v>
      </c>
      <c r="AG4072" s="78" t="s">
        <v>383</v>
      </c>
      <c r="AH4072" s="78">
        <v>3.7635694400308415</v>
      </c>
    </row>
    <row r="4073" spans="29:34">
      <c r="AC4073" s="78" t="s">
        <v>55</v>
      </c>
      <c r="AD4073" s="78" t="s">
        <v>20</v>
      </c>
      <c r="AE4073" s="78" t="s">
        <v>72</v>
      </c>
      <c r="AF4073" s="78" t="s">
        <v>51</v>
      </c>
      <c r="AG4073" s="78" t="s">
        <v>384</v>
      </c>
      <c r="AH4073" s="78">
        <v>3.7635694400308415</v>
      </c>
    </row>
    <row r="4074" spans="29:34">
      <c r="AC4074" s="78" t="s">
        <v>55</v>
      </c>
      <c r="AD4074" s="78" t="s">
        <v>20</v>
      </c>
      <c r="AE4074" s="78" t="s">
        <v>72</v>
      </c>
      <c r="AF4074" s="78" t="s">
        <v>51</v>
      </c>
      <c r="AG4074" s="78" t="s">
        <v>385</v>
      </c>
      <c r="AH4074" s="78">
        <v>3.7635694400308415</v>
      </c>
    </row>
    <row r="4075" spans="29:34">
      <c r="AC4075" s="78" t="s">
        <v>55</v>
      </c>
      <c r="AD4075" s="78" t="s">
        <v>20</v>
      </c>
      <c r="AE4075" s="78" t="s">
        <v>72</v>
      </c>
      <c r="AF4075" s="78" t="s">
        <v>51</v>
      </c>
      <c r="AG4075" s="78" t="s">
        <v>386</v>
      </c>
      <c r="AH4075" s="78">
        <v>3.7635694400308415</v>
      </c>
    </row>
    <row r="4076" spans="29:34">
      <c r="AC4076" s="78" t="s">
        <v>55</v>
      </c>
      <c r="AD4076" s="78" t="s">
        <v>20</v>
      </c>
      <c r="AE4076" s="78" t="s">
        <v>72</v>
      </c>
      <c r="AF4076" s="78" t="s">
        <v>51</v>
      </c>
      <c r="AG4076" s="78" t="s">
        <v>387</v>
      </c>
      <c r="AH4076" s="78">
        <v>3.7635694400308415</v>
      </c>
    </row>
    <row r="4077" spans="29:34">
      <c r="AC4077" s="78" t="s">
        <v>55</v>
      </c>
      <c r="AD4077" s="78" t="s">
        <v>20</v>
      </c>
      <c r="AE4077" s="78" t="s">
        <v>72</v>
      </c>
      <c r="AF4077" s="78" t="s">
        <v>51</v>
      </c>
      <c r="AG4077" s="78" t="s">
        <v>388</v>
      </c>
      <c r="AH4077" s="78">
        <v>3.7635694400308415</v>
      </c>
    </row>
    <row r="4078" spans="29:34">
      <c r="AC4078" s="78" t="s">
        <v>55</v>
      </c>
      <c r="AD4078" s="78" t="s">
        <v>20</v>
      </c>
      <c r="AE4078" s="78" t="s">
        <v>72</v>
      </c>
      <c r="AF4078" s="78" t="s">
        <v>51</v>
      </c>
      <c r="AG4078" s="78" t="s">
        <v>389</v>
      </c>
      <c r="AH4078" s="78">
        <v>3.7635694400308415</v>
      </c>
    </row>
    <row r="4079" spans="29:34">
      <c r="AC4079" s="78" t="s">
        <v>55</v>
      </c>
      <c r="AD4079" s="78" t="s">
        <v>20</v>
      </c>
      <c r="AE4079" s="78" t="s">
        <v>72</v>
      </c>
      <c r="AF4079" s="78" t="s">
        <v>51</v>
      </c>
      <c r="AG4079" s="78" t="s">
        <v>418</v>
      </c>
      <c r="AH4079" s="78">
        <v>3.7635694400308415</v>
      </c>
    </row>
    <row r="4080" spans="29:34">
      <c r="AC4080" s="78" t="s">
        <v>55</v>
      </c>
      <c r="AD4080" s="78" t="s">
        <v>20</v>
      </c>
      <c r="AE4080" s="78" t="s">
        <v>72</v>
      </c>
      <c r="AF4080" s="78" t="s">
        <v>51</v>
      </c>
      <c r="AG4080" s="78" t="s">
        <v>390</v>
      </c>
      <c r="AH4080" s="78">
        <v>3.7635694400308415</v>
      </c>
    </row>
    <row r="4081" spans="29:34">
      <c r="AC4081" s="78" t="s">
        <v>55</v>
      </c>
      <c r="AD4081" s="78" t="s">
        <v>20</v>
      </c>
      <c r="AE4081" s="78" t="s">
        <v>72</v>
      </c>
      <c r="AF4081" s="78" t="s">
        <v>51</v>
      </c>
      <c r="AG4081" s="78" t="s">
        <v>419</v>
      </c>
      <c r="AH4081" s="78">
        <v>3.7635694400308415</v>
      </c>
    </row>
    <row r="4082" spans="29:34">
      <c r="AC4082" s="78" t="s">
        <v>55</v>
      </c>
      <c r="AD4082" s="78" t="s">
        <v>20</v>
      </c>
      <c r="AE4082" s="78" t="s">
        <v>72</v>
      </c>
      <c r="AF4082" s="78" t="s">
        <v>51</v>
      </c>
      <c r="AG4082" s="78" t="s">
        <v>391</v>
      </c>
      <c r="AH4082" s="78">
        <v>3.7635694400308415</v>
      </c>
    </row>
    <row r="4083" spans="29:34">
      <c r="AC4083" s="78" t="s">
        <v>55</v>
      </c>
      <c r="AD4083" s="78" t="s">
        <v>20</v>
      </c>
      <c r="AE4083" s="78" t="s">
        <v>72</v>
      </c>
      <c r="AF4083" s="78" t="s">
        <v>51</v>
      </c>
      <c r="AG4083" s="78" t="s">
        <v>392</v>
      </c>
      <c r="AH4083" s="78">
        <v>3.7635694400308415</v>
      </c>
    </row>
    <row r="4084" spans="29:34">
      <c r="AC4084" s="78" t="s">
        <v>55</v>
      </c>
      <c r="AD4084" s="78" t="s">
        <v>20</v>
      </c>
      <c r="AE4084" s="78" t="s">
        <v>72</v>
      </c>
      <c r="AF4084" s="78" t="s">
        <v>51</v>
      </c>
      <c r="AG4084" s="78" t="s">
        <v>393</v>
      </c>
      <c r="AH4084" s="78">
        <v>3.6071359947299859</v>
      </c>
    </row>
    <row r="4085" spans="29:34">
      <c r="AC4085" s="78" t="s">
        <v>55</v>
      </c>
      <c r="AD4085" s="78" t="s">
        <v>20</v>
      </c>
      <c r="AE4085" s="78" t="s">
        <v>72</v>
      </c>
      <c r="AF4085" s="78" t="s">
        <v>51</v>
      </c>
      <c r="AG4085" s="78" t="s">
        <v>394</v>
      </c>
      <c r="AH4085" s="78">
        <v>3.6071359947299859</v>
      </c>
    </row>
    <row r="4086" spans="29:34">
      <c r="AC4086" s="78" t="s">
        <v>55</v>
      </c>
      <c r="AD4086" s="78" t="s">
        <v>20</v>
      </c>
      <c r="AE4086" s="78" t="s">
        <v>72</v>
      </c>
      <c r="AF4086" s="78" t="s">
        <v>51</v>
      </c>
      <c r="AG4086" s="78" t="s">
        <v>395</v>
      </c>
      <c r="AH4086" s="78">
        <v>3.6071359947299859</v>
      </c>
    </row>
    <row r="4087" spans="29:34">
      <c r="AC4087" s="78" t="s">
        <v>55</v>
      </c>
      <c r="AD4087" s="78" t="s">
        <v>20</v>
      </c>
      <c r="AE4087" s="78" t="s">
        <v>72</v>
      </c>
      <c r="AF4087" s="78" t="s">
        <v>51</v>
      </c>
      <c r="AG4087" s="78" t="s">
        <v>396</v>
      </c>
      <c r="AH4087" s="78">
        <v>3.5235928402194752</v>
      </c>
    </row>
    <row r="4088" spans="29:34">
      <c r="AC4088" s="78" t="s">
        <v>55</v>
      </c>
      <c r="AD4088" s="78" t="s">
        <v>20</v>
      </c>
      <c r="AE4088" s="78" t="s">
        <v>72</v>
      </c>
      <c r="AF4088" s="78" t="s">
        <v>51</v>
      </c>
      <c r="AG4088" s="78" t="s">
        <v>397</v>
      </c>
      <c r="AH4088" s="78">
        <v>3.5235928402194752</v>
      </c>
    </row>
    <row r="4089" spans="29:34">
      <c r="AC4089" s="78" t="s">
        <v>55</v>
      </c>
      <c r="AD4089" s="78" t="s">
        <v>20</v>
      </c>
      <c r="AE4089" s="78" t="s">
        <v>72</v>
      </c>
      <c r="AF4089" s="78" t="s">
        <v>51</v>
      </c>
      <c r="AG4089" s="78" t="s">
        <v>398</v>
      </c>
      <c r="AH4089" s="78">
        <v>3.4923595068861419</v>
      </c>
    </row>
    <row r="4090" spans="29:34">
      <c r="AC4090" s="78" t="s">
        <v>55</v>
      </c>
      <c r="AD4090" s="78" t="s">
        <v>20</v>
      </c>
      <c r="AE4090" s="78" t="s">
        <v>72</v>
      </c>
      <c r="AF4090" s="78" t="s">
        <v>51</v>
      </c>
      <c r="AG4090" s="78" t="s">
        <v>399</v>
      </c>
      <c r="AH4090" s="78">
        <v>3.4923595068861419</v>
      </c>
    </row>
    <row r="4091" spans="29:34">
      <c r="AC4091" s="78" t="s">
        <v>55</v>
      </c>
      <c r="AD4091" s="78" t="s">
        <v>20</v>
      </c>
      <c r="AE4091" s="78" t="s">
        <v>72</v>
      </c>
      <c r="AF4091" s="78" t="s">
        <v>51</v>
      </c>
      <c r="AG4091" s="78" t="s">
        <v>400</v>
      </c>
      <c r="AH4091" s="78">
        <v>3.4923595068861419</v>
      </c>
    </row>
    <row r="4092" spans="29:34">
      <c r="AC4092" s="78" t="s">
        <v>55</v>
      </c>
      <c r="AD4092" s="78" t="s">
        <v>20</v>
      </c>
      <c r="AE4092" s="78" t="s">
        <v>72</v>
      </c>
      <c r="AF4092" s="78" t="s">
        <v>51</v>
      </c>
      <c r="AG4092" s="78" t="s">
        <v>401</v>
      </c>
      <c r="AH4092" s="78">
        <v>3.4814705304459057</v>
      </c>
    </row>
    <row r="4093" spans="29:34">
      <c r="AC4093" s="78" t="s">
        <v>55</v>
      </c>
      <c r="AD4093" s="78" t="s">
        <v>20</v>
      </c>
      <c r="AE4093" s="78" t="s">
        <v>72</v>
      </c>
      <c r="AF4093" s="78" t="s">
        <v>51</v>
      </c>
      <c r="AG4093" s="78" t="s">
        <v>402</v>
      </c>
      <c r="AH4093" s="78">
        <v>3.4814705304459057</v>
      </c>
    </row>
    <row r="4094" spans="29:34">
      <c r="AC4094" s="78" t="s">
        <v>55</v>
      </c>
      <c r="AD4094" s="78" t="s">
        <v>20</v>
      </c>
      <c r="AE4094" s="78" t="s">
        <v>72</v>
      </c>
      <c r="AF4094" s="78" t="s">
        <v>51</v>
      </c>
      <c r="AG4094" s="78" t="s">
        <v>403</v>
      </c>
      <c r="AH4094" s="78">
        <v>3.4814705304459057</v>
      </c>
    </row>
    <row r="4095" spans="29:34">
      <c r="AC4095" s="78" t="s">
        <v>55</v>
      </c>
      <c r="AD4095" s="78" t="s">
        <v>20</v>
      </c>
      <c r="AE4095" s="78" t="s">
        <v>72</v>
      </c>
      <c r="AF4095" s="78" t="s">
        <v>51</v>
      </c>
      <c r="AG4095" s="78" t="s">
        <v>404</v>
      </c>
      <c r="AH4095" s="78">
        <v>3.4814705304459057</v>
      </c>
    </row>
    <row r="4096" spans="29:34">
      <c r="AC4096" s="78" t="s">
        <v>55</v>
      </c>
      <c r="AD4096" s="78" t="s">
        <v>20</v>
      </c>
      <c r="AE4096" s="78" t="s">
        <v>72</v>
      </c>
      <c r="AF4096" s="78" t="s">
        <v>51</v>
      </c>
      <c r="AG4096" s="78" t="s">
        <v>405</v>
      </c>
      <c r="AH4096" s="78">
        <v>3.3975493725819845</v>
      </c>
    </row>
    <row r="4097" spans="29:34">
      <c r="AC4097" s="78" t="s">
        <v>55</v>
      </c>
      <c r="AD4097" s="78" t="s">
        <v>20</v>
      </c>
      <c r="AE4097" s="78" t="s">
        <v>72</v>
      </c>
      <c r="AF4097" s="78" t="s">
        <v>51</v>
      </c>
      <c r="AG4097" s="78" t="s">
        <v>406</v>
      </c>
      <c r="AH4097" s="78">
        <v>3.3975493725819845</v>
      </c>
    </row>
    <row r="4098" spans="29:34">
      <c r="AC4098" s="78" t="s">
        <v>55</v>
      </c>
      <c r="AD4098" s="78" t="s">
        <v>20</v>
      </c>
      <c r="AE4098" s="78" t="s">
        <v>72</v>
      </c>
      <c r="AF4098" s="78" t="s">
        <v>51</v>
      </c>
      <c r="AG4098" s="78" t="s">
        <v>407</v>
      </c>
      <c r="AH4098" s="78">
        <v>3.3975493725819845</v>
      </c>
    </row>
    <row r="4099" spans="29:34">
      <c r="AC4099" s="78" t="s">
        <v>55</v>
      </c>
      <c r="AD4099" s="78" t="s">
        <v>20</v>
      </c>
      <c r="AE4099" s="78" t="s">
        <v>72</v>
      </c>
      <c r="AF4099" s="78" t="s">
        <v>51</v>
      </c>
      <c r="AG4099" s="78" t="s">
        <v>408</v>
      </c>
      <c r="AH4099" s="78">
        <v>3.4814705304459057</v>
      </c>
    </row>
    <row r="4100" spans="29:34">
      <c r="AC4100" s="78" t="s">
        <v>55</v>
      </c>
      <c r="AD4100" s="78" t="s">
        <v>20</v>
      </c>
      <c r="AE4100" s="78" t="s">
        <v>72</v>
      </c>
      <c r="AF4100" s="78" t="s">
        <v>51</v>
      </c>
      <c r="AG4100" s="78" t="s">
        <v>409</v>
      </c>
      <c r="AH4100" s="78">
        <v>3.4923595068861419</v>
      </c>
    </row>
    <row r="4101" spans="29:34">
      <c r="AC4101" s="78" t="s">
        <v>55</v>
      </c>
      <c r="AD4101" s="78" t="s">
        <v>20</v>
      </c>
      <c r="AE4101" s="78" t="s">
        <v>72</v>
      </c>
      <c r="AF4101" s="78" t="s">
        <v>51</v>
      </c>
      <c r="AG4101" s="78" t="s">
        <v>410</v>
      </c>
      <c r="AH4101" s="78">
        <v>3.6071359947299859</v>
      </c>
    </row>
    <row r="4102" spans="29:34">
      <c r="AC4102" s="78" t="s">
        <v>55</v>
      </c>
      <c r="AD4102" s="78" t="s">
        <v>20</v>
      </c>
      <c r="AE4102" s="78" t="s">
        <v>72</v>
      </c>
      <c r="AF4102" s="78" t="s">
        <v>51</v>
      </c>
      <c r="AG4102" s="78" t="s">
        <v>411</v>
      </c>
      <c r="AH4102" s="78">
        <v>3.6071359947299859</v>
      </c>
    </row>
    <row r="4103" spans="29:34">
      <c r="AC4103" s="78" t="s">
        <v>55</v>
      </c>
      <c r="AD4103" s="78" t="s">
        <v>20</v>
      </c>
      <c r="AE4103" s="78" t="s">
        <v>72</v>
      </c>
      <c r="AF4103" s="78" t="s">
        <v>51</v>
      </c>
      <c r="AG4103" s="78" t="s">
        <v>412</v>
      </c>
      <c r="AH4103" s="78">
        <v>3.6071359947299859</v>
      </c>
    </row>
    <row r="4104" spans="29:34">
      <c r="AC4104" s="78" t="s">
        <v>55</v>
      </c>
      <c r="AD4104" s="78" t="s">
        <v>20</v>
      </c>
      <c r="AE4104" s="78" t="s">
        <v>72</v>
      </c>
      <c r="AF4104" s="78" t="s">
        <v>51</v>
      </c>
      <c r="AG4104" s="78" t="s">
        <v>413</v>
      </c>
      <c r="AH4104" s="78">
        <v>3.6071359947299859</v>
      </c>
    </row>
    <row r="4105" spans="29:34">
      <c r="AC4105" s="78" t="s">
        <v>55</v>
      </c>
      <c r="AD4105" s="78" t="s">
        <v>20</v>
      </c>
      <c r="AE4105" s="78" t="s">
        <v>72</v>
      </c>
      <c r="AF4105" s="78" t="s">
        <v>51</v>
      </c>
      <c r="AG4105" s="78" t="s">
        <v>414</v>
      </c>
      <c r="AH4105" s="78">
        <v>3.618437237264184</v>
      </c>
    </row>
    <row r="4106" spans="29:34">
      <c r="AC4106" s="78" t="s">
        <v>55</v>
      </c>
      <c r="AD4106" s="78" t="s">
        <v>20</v>
      </c>
      <c r="AE4106" s="78" t="s">
        <v>72</v>
      </c>
      <c r="AF4106" s="78" t="s">
        <v>51</v>
      </c>
      <c r="AG4106" s="78" t="s">
        <v>415</v>
      </c>
      <c r="AH4106" s="78">
        <v>3.618437237264184</v>
      </c>
    </row>
    <row r="4107" spans="29:34">
      <c r="AC4107" s="78" t="s">
        <v>55</v>
      </c>
      <c r="AD4107" s="78" t="s">
        <v>20</v>
      </c>
      <c r="AE4107" s="78" t="s">
        <v>72</v>
      </c>
      <c r="AF4107" s="78" t="s">
        <v>51</v>
      </c>
      <c r="AG4107" s="78" t="s">
        <v>429</v>
      </c>
      <c r="AH4107" s="78">
        <v>3.6071359947299859</v>
      </c>
    </row>
    <row r="4108" spans="29:34">
      <c r="AC4108" s="78" t="s">
        <v>55</v>
      </c>
      <c r="AD4108" s="78" t="s">
        <v>20</v>
      </c>
      <c r="AE4108" s="78" t="s">
        <v>72</v>
      </c>
      <c r="AF4108" s="78" t="s">
        <v>51</v>
      </c>
      <c r="AG4108" s="78" t="s">
        <v>430</v>
      </c>
      <c r="AH4108" s="78">
        <v>3.618437237264184</v>
      </c>
    </row>
    <row r="4109" spans="29:34">
      <c r="AC4109" s="78" t="s">
        <v>55</v>
      </c>
      <c r="AD4109" s="78" t="s">
        <v>20</v>
      </c>
      <c r="AE4109" s="78" t="s">
        <v>72</v>
      </c>
      <c r="AF4109" s="78" t="s">
        <v>51</v>
      </c>
      <c r="AG4109" s="78" t="s">
        <v>431</v>
      </c>
      <c r="AH4109" s="78">
        <v>3.5235928402194752</v>
      </c>
    </row>
    <row r="4110" spans="29:34">
      <c r="AC4110" s="78" t="s">
        <v>55</v>
      </c>
      <c r="AD4110" s="78" t="s">
        <v>20</v>
      </c>
      <c r="AE4110" s="78" t="s">
        <v>72</v>
      </c>
      <c r="AF4110" s="78" t="s">
        <v>51</v>
      </c>
      <c r="AG4110" s="78" t="s">
        <v>432</v>
      </c>
      <c r="AH4110" s="78">
        <v>3.6071359947299859</v>
      </c>
    </row>
    <row r="4111" spans="29:34">
      <c r="AC4111" s="78" t="s">
        <v>55</v>
      </c>
      <c r="AD4111" s="78" t="s">
        <v>20</v>
      </c>
      <c r="AE4111" s="78" t="s">
        <v>72</v>
      </c>
      <c r="AF4111" s="78" t="s">
        <v>51</v>
      </c>
      <c r="AG4111" s="78" t="s">
        <v>433</v>
      </c>
      <c r="AH4111" s="78">
        <v>3.4923595068861419</v>
      </c>
    </row>
    <row r="4112" spans="29:34">
      <c r="AC4112" s="78" t="s">
        <v>55</v>
      </c>
      <c r="AD4112" s="78" t="s">
        <v>20</v>
      </c>
      <c r="AE4112" s="78" t="s">
        <v>72</v>
      </c>
      <c r="AF4112" s="78" t="s">
        <v>51</v>
      </c>
      <c r="AG4112" s="78" t="s">
        <v>434</v>
      </c>
      <c r="AH4112" s="78">
        <v>3.4923595068861419</v>
      </c>
    </row>
    <row r="4113" spans="29:34">
      <c r="AC4113" s="78" t="s">
        <v>55</v>
      </c>
      <c r="AD4113" s="78" t="s">
        <v>20</v>
      </c>
      <c r="AE4113" s="78" t="s">
        <v>72</v>
      </c>
      <c r="AF4113" s="78" t="s">
        <v>51</v>
      </c>
      <c r="AG4113" s="78" t="s">
        <v>435</v>
      </c>
      <c r="AH4113" s="78">
        <v>3.4923595068861419</v>
      </c>
    </row>
    <row r="4114" spans="29:34">
      <c r="AC4114" s="78" t="s">
        <v>55</v>
      </c>
      <c r="AD4114" s="78" t="s">
        <v>20</v>
      </c>
      <c r="AE4114" s="78" t="s">
        <v>72</v>
      </c>
      <c r="AF4114" s="78" t="s">
        <v>51</v>
      </c>
      <c r="AG4114" s="78" t="s">
        <v>436</v>
      </c>
      <c r="AH4114" s="78">
        <v>3.4923595068861419</v>
      </c>
    </row>
    <row r="4115" spans="29:34">
      <c r="AC4115" s="78" t="s">
        <v>55</v>
      </c>
      <c r="AD4115" s="78" t="s">
        <v>20</v>
      </c>
      <c r="AE4115" s="78" t="s">
        <v>72</v>
      </c>
      <c r="AF4115" s="78" t="s">
        <v>51</v>
      </c>
      <c r="AG4115" s="78" t="s">
        <v>437</v>
      </c>
      <c r="AH4115" s="78">
        <v>3.4923595068861419</v>
      </c>
    </row>
    <row r="4116" spans="29:34">
      <c r="AC4116" s="78" t="s">
        <v>55</v>
      </c>
      <c r="AD4116" s="78" t="s">
        <v>20</v>
      </c>
      <c r="AE4116" s="78" t="s">
        <v>72</v>
      </c>
      <c r="AF4116" s="78" t="s">
        <v>51</v>
      </c>
      <c r="AG4116" s="78" t="s">
        <v>438</v>
      </c>
      <c r="AH4116" s="78">
        <v>3.4923595068861419</v>
      </c>
    </row>
    <row r="4117" spans="29:34">
      <c r="AC4117" s="78" t="s">
        <v>55</v>
      </c>
      <c r="AD4117" s="78" t="s">
        <v>20</v>
      </c>
      <c r="AE4117" s="78" t="s">
        <v>72</v>
      </c>
      <c r="AF4117" s="78" t="s">
        <v>51</v>
      </c>
      <c r="AG4117" s="78" t="s">
        <v>439</v>
      </c>
      <c r="AH4117" s="78">
        <v>3.4923595068861419</v>
      </c>
    </row>
    <row r="4118" spans="29:34">
      <c r="AC4118" s="78" t="s">
        <v>55</v>
      </c>
      <c r="AD4118" s="78" t="s">
        <v>20</v>
      </c>
      <c r="AE4118" s="78" t="s">
        <v>72</v>
      </c>
      <c r="AF4118" s="78" t="s">
        <v>51</v>
      </c>
      <c r="AG4118" s="78" t="s">
        <v>440</v>
      </c>
      <c r="AH4118" s="78">
        <v>3.4923595068861419</v>
      </c>
    </row>
    <row r="4119" spans="29:34">
      <c r="AC4119" s="78" t="s">
        <v>55</v>
      </c>
      <c r="AD4119" s="78" t="s">
        <v>20</v>
      </c>
      <c r="AE4119" s="78" t="s">
        <v>72</v>
      </c>
      <c r="AF4119" s="78" t="s">
        <v>51</v>
      </c>
      <c r="AG4119" s="78" t="s">
        <v>441</v>
      </c>
      <c r="AH4119" s="78">
        <v>3.6486727389870555</v>
      </c>
    </row>
    <row r="4120" spans="29:34">
      <c r="AC4120" s="78" t="s">
        <v>55</v>
      </c>
      <c r="AD4120" s="78" t="s">
        <v>20</v>
      </c>
      <c r="AE4120" s="78" t="s">
        <v>72</v>
      </c>
      <c r="AF4120" s="78" t="s">
        <v>51</v>
      </c>
      <c r="AG4120" s="78" t="s">
        <v>442</v>
      </c>
      <c r="AH4120" s="78">
        <v>3.4923595068861419</v>
      </c>
    </row>
    <row r="4121" spans="29:34">
      <c r="AC4121" s="78" t="s">
        <v>55</v>
      </c>
      <c r="AD4121" s="78" t="s">
        <v>20</v>
      </c>
      <c r="AE4121" s="78" t="s">
        <v>72</v>
      </c>
      <c r="AF4121" s="78" t="s">
        <v>51</v>
      </c>
      <c r="AG4121" s="78" t="s">
        <v>443</v>
      </c>
      <c r="AH4121" s="78">
        <v>3.4923595068861419</v>
      </c>
    </row>
    <row r="4122" spans="29:34">
      <c r="AC4122" s="78" t="s">
        <v>55</v>
      </c>
      <c r="AD4122" s="78" t="s">
        <v>20</v>
      </c>
      <c r="AE4122" s="78" t="s">
        <v>72</v>
      </c>
      <c r="AF4122" s="78" t="s">
        <v>51</v>
      </c>
      <c r="AG4122" s="78" t="s">
        <v>444</v>
      </c>
      <c r="AH4122" s="78">
        <v>3.5235928402194752</v>
      </c>
    </row>
    <row r="4123" spans="29:34">
      <c r="AC4123" s="78" t="s">
        <v>55</v>
      </c>
      <c r="AD4123" s="78" t="s">
        <v>20</v>
      </c>
      <c r="AE4123" s="78" t="s">
        <v>72</v>
      </c>
      <c r="AF4123" s="78" t="s">
        <v>51</v>
      </c>
      <c r="AG4123" s="78" t="s">
        <v>445</v>
      </c>
      <c r="AH4123" s="78">
        <v>3.5235928402194752</v>
      </c>
    </row>
    <row r="4124" spans="29:34">
      <c r="AC4124" s="78" t="s">
        <v>55</v>
      </c>
      <c r="AD4124" s="78" t="s">
        <v>20</v>
      </c>
      <c r="AE4124" s="78" t="s">
        <v>72</v>
      </c>
      <c r="AF4124" s="78" t="s">
        <v>51</v>
      </c>
      <c r="AG4124" s="78" t="s">
        <v>446</v>
      </c>
      <c r="AH4124" s="78">
        <v>3.6071359947299859</v>
      </c>
    </row>
    <row r="4125" spans="29:34">
      <c r="AC4125" s="78" t="s">
        <v>55</v>
      </c>
      <c r="AD4125" s="78" t="s">
        <v>20</v>
      </c>
      <c r="AE4125" s="78" t="s">
        <v>72</v>
      </c>
      <c r="AF4125" s="78" t="s">
        <v>51</v>
      </c>
      <c r="AG4125" s="78" t="s">
        <v>447</v>
      </c>
      <c r="AH4125" s="78">
        <v>3.6071359947299859</v>
      </c>
    </row>
    <row r="4126" spans="29:34">
      <c r="AC4126" s="78" t="s">
        <v>55</v>
      </c>
      <c r="AD4126" s="78" t="s">
        <v>20</v>
      </c>
      <c r="AE4126" s="78" t="s">
        <v>72</v>
      </c>
      <c r="AF4126" s="78" t="s">
        <v>51</v>
      </c>
      <c r="AG4126" s="78" t="s">
        <v>448</v>
      </c>
      <c r="AH4126" s="78">
        <v>3.4923595068861419</v>
      </c>
    </row>
    <row r="4127" spans="29:34">
      <c r="AC4127" s="78" t="s">
        <v>55</v>
      </c>
      <c r="AD4127" s="78" t="s">
        <v>20</v>
      </c>
      <c r="AE4127" s="78" t="s">
        <v>72</v>
      </c>
      <c r="AF4127" s="78" t="s">
        <v>51</v>
      </c>
      <c r="AG4127" s="78" t="s">
        <v>449</v>
      </c>
      <c r="AH4127" s="78">
        <v>3.4923595068861419</v>
      </c>
    </row>
    <row r="4128" spans="29:34">
      <c r="AC4128" s="78" t="s">
        <v>55</v>
      </c>
      <c r="AD4128" s="78" t="s">
        <v>20</v>
      </c>
      <c r="AE4128" s="78" t="s">
        <v>72</v>
      </c>
      <c r="AF4128" s="78" t="s">
        <v>51</v>
      </c>
      <c r="AG4128" s="78" t="s">
        <v>450</v>
      </c>
      <c r="AH4128" s="78">
        <v>3.4923595068861419</v>
      </c>
    </row>
    <row r="4129" spans="29:34">
      <c r="AC4129" s="78" t="s">
        <v>55</v>
      </c>
      <c r="AD4129" s="78" t="s">
        <v>20</v>
      </c>
      <c r="AE4129" s="78" t="s">
        <v>72</v>
      </c>
      <c r="AF4129" s="78" t="s">
        <v>51</v>
      </c>
      <c r="AG4129" s="78" t="s">
        <v>451</v>
      </c>
      <c r="AH4129" s="78">
        <v>3.4923595068861419</v>
      </c>
    </row>
    <row r="4130" spans="29:34">
      <c r="AC4130" s="78" t="s">
        <v>55</v>
      </c>
      <c r="AD4130" s="78" t="s">
        <v>20</v>
      </c>
      <c r="AE4130" s="78" t="s">
        <v>72</v>
      </c>
      <c r="AF4130" s="78" t="s">
        <v>51</v>
      </c>
      <c r="AG4130" s="78" t="s">
        <v>452</v>
      </c>
      <c r="AH4130" s="78">
        <v>3.4923595068861419</v>
      </c>
    </row>
    <row r="4131" spans="29:34">
      <c r="AC4131" s="78" t="s">
        <v>55</v>
      </c>
      <c r="AD4131" s="78" t="s">
        <v>20</v>
      </c>
      <c r="AE4131" s="78" t="s">
        <v>72</v>
      </c>
      <c r="AF4131" s="78" t="s">
        <v>51</v>
      </c>
      <c r="AG4131" s="78" t="s">
        <v>453</v>
      </c>
      <c r="AH4131" s="78">
        <v>3.4923595068861419</v>
      </c>
    </row>
    <row r="4132" spans="29:34">
      <c r="AC4132" s="78" t="s">
        <v>55</v>
      </c>
      <c r="AD4132" s="78" t="s">
        <v>20</v>
      </c>
      <c r="AE4132" s="78" t="s">
        <v>72</v>
      </c>
      <c r="AF4132" s="78" t="s">
        <v>51</v>
      </c>
      <c r="AG4132" s="78" t="s">
        <v>454</v>
      </c>
      <c r="AH4132" s="78">
        <v>3.4923595068861419</v>
      </c>
    </row>
    <row r="4133" spans="29:34">
      <c r="AC4133" s="78" t="s">
        <v>55</v>
      </c>
      <c r="AD4133" s="78" t="s">
        <v>20</v>
      </c>
      <c r="AE4133" s="78" t="s">
        <v>72</v>
      </c>
      <c r="AF4133" s="78" t="s">
        <v>51</v>
      </c>
      <c r="AG4133" s="78" t="s">
        <v>455</v>
      </c>
      <c r="AH4133" s="78">
        <v>3.4814705304459057</v>
      </c>
    </row>
    <row r="4134" spans="29:34">
      <c r="AC4134" s="78" t="s">
        <v>55</v>
      </c>
      <c r="AD4134" s="78" t="s">
        <v>20</v>
      </c>
      <c r="AE4134" s="78" t="s">
        <v>72</v>
      </c>
      <c r="AF4134" s="78" t="s">
        <v>51</v>
      </c>
      <c r="AG4134" s="78" t="s">
        <v>456</v>
      </c>
      <c r="AH4134" s="78">
        <v>3.5235928402194752</v>
      </c>
    </row>
    <row r="4135" spans="29:34">
      <c r="AC4135" s="78" t="s">
        <v>55</v>
      </c>
      <c r="AD4135" s="78" t="s">
        <v>20</v>
      </c>
      <c r="AE4135" s="78" t="s">
        <v>72</v>
      </c>
      <c r="AF4135" s="78" t="s">
        <v>51</v>
      </c>
      <c r="AG4135" s="78" t="s">
        <v>457</v>
      </c>
      <c r="AH4135" s="78">
        <v>3.5235928402194752</v>
      </c>
    </row>
    <row r="4136" spans="29:34">
      <c r="AC4136" s="78" t="s">
        <v>55</v>
      </c>
      <c r="AD4136" s="78" t="s">
        <v>20</v>
      </c>
      <c r="AE4136" s="78" t="s">
        <v>72</v>
      </c>
      <c r="AF4136" s="78" t="s">
        <v>51</v>
      </c>
      <c r="AG4136" s="78" t="s">
        <v>458</v>
      </c>
      <c r="AH4136" s="78">
        <v>3.6071359947299859</v>
      </c>
    </row>
    <row r="4137" spans="29:34">
      <c r="AC4137" s="78" t="s">
        <v>55</v>
      </c>
      <c r="AD4137" s="78" t="s">
        <v>20</v>
      </c>
      <c r="AE4137" s="78" t="s">
        <v>72</v>
      </c>
      <c r="AF4137" s="78" t="s">
        <v>51</v>
      </c>
      <c r="AG4137" s="78" t="s">
        <v>459</v>
      </c>
      <c r="AH4137" s="78">
        <v>3.5235928402194752</v>
      </c>
    </row>
    <row r="4138" spans="29:34">
      <c r="AC4138" s="78" t="s">
        <v>55</v>
      </c>
      <c r="AD4138" s="78" t="s">
        <v>20</v>
      </c>
      <c r="AE4138" s="78" t="s">
        <v>72</v>
      </c>
      <c r="AF4138" s="78" t="s">
        <v>51</v>
      </c>
      <c r="AG4138" s="78" t="s">
        <v>460</v>
      </c>
      <c r="AH4138" s="78">
        <v>3.6071359947299859</v>
      </c>
    </row>
    <row r="4139" spans="29:34">
      <c r="AC4139" s="78" t="s">
        <v>55</v>
      </c>
      <c r="AD4139" s="78" t="s">
        <v>20</v>
      </c>
      <c r="AE4139" s="78" t="s">
        <v>72</v>
      </c>
      <c r="AF4139" s="78" t="s">
        <v>51</v>
      </c>
      <c r="AG4139" s="78" t="s">
        <v>461</v>
      </c>
      <c r="AH4139" s="78">
        <v>3.618437237264184</v>
      </c>
    </row>
    <row r="4140" spans="29:34">
      <c r="AC4140" s="78" t="s">
        <v>55</v>
      </c>
      <c r="AD4140" s="78" t="s">
        <v>20</v>
      </c>
      <c r="AE4140" s="78" t="s">
        <v>72</v>
      </c>
      <c r="AF4140" s="78" t="s">
        <v>51</v>
      </c>
      <c r="AG4140" s="78" t="s">
        <v>462</v>
      </c>
      <c r="AH4140" s="78">
        <v>3.6187039039308506</v>
      </c>
    </row>
    <row r="4141" spans="29:34">
      <c r="AC4141" s="78" t="s">
        <v>55</v>
      </c>
      <c r="AD4141" s="78" t="s">
        <v>20</v>
      </c>
      <c r="AE4141" s="78" t="s">
        <v>72</v>
      </c>
      <c r="AF4141" s="78" t="s">
        <v>51</v>
      </c>
      <c r="AG4141" s="78" t="s">
        <v>463</v>
      </c>
      <c r="AH4141" s="78">
        <v>3.6187039039308506</v>
      </c>
    </row>
    <row r="4142" spans="29:34">
      <c r="AC4142" s="78" t="s">
        <v>55</v>
      </c>
      <c r="AD4142" s="78" t="s">
        <v>20</v>
      </c>
      <c r="AE4142" s="78" t="s">
        <v>72</v>
      </c>
      <c r="AF4142" s="78" t="s">
        <v>51</v>
      </c>
      <c r="AG4142" s="78" t="s">
        <v>464</v>
      </c>
      <c r="AH4142" s="78">
        <v>3.6187039039308506</v>
      </c>
    </row>
    <row r="4143" spans="29:34">
      <c r="AC4143" s="78" t="s">
        <v>55</v>
      </c>
      <c r="AD4143" s="78" t="s">
        <v>20</v>
      </c>
      <c r="AE4143" s="78" t="s">
        <v>72</v>
      </c>
      <c r="AF4143" s="78" t="s">
        <v>51</v>
      </c>
      <c r="AG4143" s="78" t="s">
        <v>465</v>
      </c>
      <c r="AH4143" s="78">
        <v>3.6499372372641843</v>
      </c>
    </row>
    <row r="4144" spans="29:34">
      <c r="AC4144" s="78" t="s">
        <v>55</v>
      </c>
      <c r="AD4144" s="78" t="s">
        <v>20</v>
      </c>
      <c r="AE4144" s="78" t="s">
        <v>72</v>
      </c>
      <c r="AF4144" s="78" t="s">
        <v>51</v>
      </c>
      <c r="AG4144" s="78" t="s">
        <v>466</v>
      </c>
      <c r="AH4144" s="78">
        <v>3.6499372372641843</v>
      </c>
    </row>
    <row r="4145" spans="29:34">
      <c r="AC4145" s="78" t="s">
        <v>55</v>
      </c>
      <c r="AD4145" s="78" t="s">
        <v>20</v>
      </c>
      <c r="AE4145" s="78" t="s">
        <v>72</v>
      </c>
      <c r="AF4145" s="78" t="s">
        <v>51</v>
      </c>
      <c r="AG4145" s="78" t="s">
        <v>467</v>
      </c>
      <c r="AH4145" s="78">
        <v>3.6187039039308506</v>
      </c>
    </row>
    <row r="4146" spans="29:34">
      <c r="AC4146" s="78" t="s">
        <v>55</v>
      </c>
      <c r="AD4146" s="78" t="s">
        <v>20</v>
      </c>
      <c r="AE4146" s="78" t="s">
        <v>72</v>
      </c>
      <c r="AF4146" s="78" t="s">
        <v>51</v>
      </c>
      <c r="AG4146" s="78" t="s">
        <v>468</v>
      </c>
      <c r="AH4146" s="78">
        <v>3.6187039039308506</v>
      </c>
    </row>
    <row r="4147" spans="29:34">
      <c r="AC4147" s="78" t="s">
        <v>55</v>
      </c>
      <c r="AD4147" s="78" t="s">
        <v>20</v>
      </c>
      <c r="AE4147" s="78" t="s">
        <v>72</v>
      </c>
      <c r="AF4147" s="78" t="s">
        <v>51</v>
      </c>
      <c r="AG4147" s="78" t="s">
        <v>469</v>
      </c>
      <c r="AH4147" s="78">
        <v>3.6187039039308506</v>
      </c>
    </row>
    <row r="4148" spans="29:34">
      <c r="AC4148" s="78" t="s">
        <v>55</v>
      </c>
      <c r="AD4148" s="78" t="s">
        <v>20</v>
      </c>
      <c r="AE4148" s="78" t="s">
        <v>72</v>
      </c>
      <c r="AF4148" s="78" t="s">
        <v>51</v>
      </c>
      <c r="AG4148" s="78" t="s">
        <v>470</v>
      </c>
      <c r="AH4148" s="78">
        <v>3.6074026613966526</v>
      </c>
    </row>
    <row r="4149" spans="29:34">
      <c r="AC4149" s="78" t="s">
        <v>55</v>
      </c>
      <c r="AD4149" s="78" t="s">
        <v>20</v>
      </c>
      <c r="AE4149" s="78" t="s">
        <v>72</v>
      </c>
      <c r="AF4149" s="78" t="s">
        <v>51</v>
      </c>
      <c r="AG4149" s="78" t="s">
        <v>471</v>
      </c>
      <c r="AH4149" s="78">
        <v>3.5238595068861422</v>
      </c>
    </row>
    <row r="4150" spans="29:34">
      <c r="AC4150" s="78" t="s">
        <v>55</v>
      </c>
      <c r="AD4150" s="78" t="s">
        <v>20</v>
      </c>
      <c r="AE4150" s="78" t="s">
        <v>72</v>
      </c>
      <c r="AF4150" s="78" t="s">
        <v>51</v>
      </c>
      <c r="AG4150" s="78" t="s">
        <v>472</v>
      </c>
      <c r="AH4150" s="78">
        <v>3.5238595068861422</v>
      </c>
    </row>
    <row r="4151" spans="29:34">
      <c r="AC4151" s="78" t="s">
        <v>55</v>
      </c>
      <c r="AD4151" s="78" t="s">
        <v>20</v>
      </c>
      <c r="AE4151" s="78" t="s">
        <v>72</v>
      </c>
      <c r="AF4151" s="78" t="s">
        <v>51</v>
      </c>
      <c r="AG4151" s="78" t="s">
        <v>473</v>
      </c>
      <c r="AH4151" s="78">
        <v>3.6074026613966526</v>
      </c>
    </row>
    <row r="4152" spans="29:34">
      <c r="AC4152" s="78" t="s">
        <v>55</v>
      </c>
      <c r="AD4152" s="78" t="s">
        <v>20</v>
      </c>
      <c r="AE4152" s="78" t="s">
        <v>72</v>
      </c>
      <c r="AF4152" s="78" t="s">
        <v>51</v>
      </c>
      <c r="AG4152" s="78" t="s">
        <v>474</v>
      </c>
      <c r="AH4152" s="78">
        <v>3.4926261735528081</v>
      </c>
    </row>
    <row r="4153" spans="29:34">
      <c r="AC4153" s="78" t="s">
        <v>55</v>
      </c>
      <c r="AD4153" s="78" t="s">
        <v>20</v>
      </c>
      <c r="AE4153" s="78" t="s">
        <v>72</v>
      </c>
      <c r="AF4153" s="78" t="s">
        <v>51</v>
      </c>
      <c r="AG4153" s="78" t="s">
        <v>475</v>
      </c>
      <c r="AH4153" s="78">
        <v>3.4817371971125723</v>
      </c>
    </row>
    <row r="4154" spans="29:34">
      <c r="AC4154" s="78" t="s">
        <v>55</v>
      </c>
      <c r="AD4154" s="78" t="s">
        <v>20</v>
      </c>
      <c r="AE4154" s="78" t="s">
        <v>72</v>
      </c>
      <c r="AF4154" s="78" t="s">
        <v>51</v>
      </c>
      <c r="AG4154" s="78" t="s">
        <v>476</v>
      </c>
      <c r="AH4154" s="78">
        <v>3.4817371971125723</v>
      </c>
    </row>
    <row r="4155" spans="29:34">
      <c r="AC4155" s="78" t="s">
        <v>55</v>
      </c>
      <c r="AD4155" s="78" t="s">
        <v>20</v>
      </c>
      <c r="AE4155" s="78" t="s">
        <v>72</v>
      </c>
      <c r="AF4155" s="78" t="s">
        <v>51</v>
      </c>
      <c r="AG4155" s="78" t="s">
        <v>477</v>
      </c>
      <c r="AH4155" s="78">
        <v>3.4926261735528081</v>
      </c>
    </row>
    <row r="4156" spans="29:34">
      <c r="AC4156" s="78" t="s">
        <v>55</v>
      </c>
      <c r="AD4156" s="78" t="s">
        <v>20</v>
      </c>
      <c r="AE4156" s="78" t="s">
        <v>72</v>
      </c>
      <c r="AF4156" s="78" t="s">
        <v>51</v>
      </c>
      <c r="AG4156" s="78" t="s">
        <v>478</v>
      </c>
      <c r="AH4156" s="78">
        <v>3.4926261735528081</v>
      </c>
    </row>
    <row r="4157" spans="29:34">
      <c r="AC4157" s="78" t="s">
        <v>55</v>
      </c>
      <c r="AD4157" s="78" t="s">
        <v>20</v>
      </c>
      <c r="AE4157" s="78" t="s">
        <v>72</v>
      </c>
      <c r="AF4157" s="78" t="s">
        <v>51</v>
      </c>
      <c r="AG4157" s="78" t="s">
        <v>479</v>
      </c>
      <c r="AH4157" s="78">
        <v>3.3665827059153179</v>
      </c>
    </row>
    <row r="4158" spans="29:34">
      <c r="AC4158" s="78" t="s">
        <v>55</v>
      </c>
      <c r="AD4158" s="78" t="s">
        <v>20</v>
      </c>
      <c r="AE4158" s="78" t="s">
        <v>72</v>
      </c>
      <c r="AF4158" s="78" t="s">
        <v>51</v>
      </c>
      <c r="AG4158" s="78" t="s">
        <v>480</v>
      </c>
      <c r="AH4158" s="78">
        <v>3.3665827059153179</v>
      </c>
    </row>
    <row r="4159" spans="29:34">
      <c r="AC4159" s="78" t="s">
        <v>55</v>
      </c>
      <c r="AD4159" s="78" t="s">
        <v>20</v>
      </c>
      <c r="AE4159" s="78" t="s">
        <v>72</v>
      </c>
      <c r="AF4159" s="78" t="s">
        <v>51</v>
      </c>
      <c r="AG4159" s="78" t="s">
        <v>481</v>
      </c>
      <c r="AH4159" s="78">
        <v>3.3665827059153179</v>
      </c>
    </row>
    <row r="4160" spans="29:34">
      <c r="AC4160" s="78" t="s">
        <v>55</v>
      </c>
      <c r="AD4160" s="78" t="s">
        <v>20</v>
      </c>
      <c r="AE4160" s="78" t="s">
        <v>72</v>
      </c>
      <c r="AF4160" s="78" t="s">
        <v>51</v>
      </c>
      <c r="AG4160" s="78" t="s">
        <v>482</v>
      </c>
      <c r="AH4160" s="78">
        <v>3.3978160392486516</v>
      </c>
    </row>
    <row r="4161" spans="29:34">
      <c r="AC4161" s="78" t="s">
        <v>55</v>
      </c>
      <c r="AD4161" s="78" t="s">
        <v>20</v>
      </c>
      <c r="AE4161" s="78" t="s">
        <v>72</v>
      </c>
      <c r="AF4161" s="78" t="s">
        <v>51</v>
      </c>
      <c r="AG4161" s="78" t="s">
        <v>483</v>
      </c>
      <c r="AH4161" s="78">
        <v>3.3665827059153179</v>
      </c>
    </row>
    <row r="4162" spans="29:34">
      <c r="AC4162" s="78" t="s">
        <v>55</v>
      </c>
      <c r="AD4162" s="78" t="s">
        <v>20</v>
      </c>
      <c r="AE4162" s="78" t="s">
        <v>72</v>
      </c>
      <c r="AF4162" s="78" t="s">
        <v>51</v>
      </c>
      <c r="AG4162" s="78" t="s">
        <v>484</v>
      </c>
      <c r="AH4162" s="78">
        <v>3.3665827059153179</v>
      </c>
    </row>
    <row r="4163" spans="29:34">
      <c r="AC4163" s="78" t="s">
        <v>55</v>
      </c>
      <c r="AD4163" s="78" t="s">
        <v>20</v>
      </c>
      <c r="AE4163" s="78" t="s">
        <v>72</v>
      </c>
      <c r="AF4163" s="78" t="s">
        <v>51</v>
      </c>
      <c r="AG4163" s="78" t="s">
        <v>485</v>
      </c>
      <c r="AH4163" s="78">
        <v>3.3560408342652157</v>
      </c>
    </row>
    <row r="4164" spans="29:34">
      <c r="AC4164" s="78" t="s">
        <v>55</v>
      </c>
      <c r="AD4164" s="78" t="s">
        <v>20</v>
      </c>
      <c r="AE4164" s="78" t="s">
        <v>72</v>
      </c>
      <c r="AF4164" s="78" t="s">
        <v>51</v>
      </c>
      <c r="AG4164" s="78" t="s">
        <v>486</v>
      </c>
      <c r="AH4164" s="78">
        <v>3.3560408342652157</v>
      </c>
    </row>
    <row r="4165" spans="29:34">
      <c r="AC4165" s="78" t="s">
        <v>55</v>
      </c>
      <c r="AD4165" s="78" t="s">
        <v>20</v>
      </c>
      <c r="AE4165" s="78" t="s">
        <v>72</v>
      </c>
      <c r="AF4165" s="78" t="s">
        <v>51</v>
      </c>
      <c r="AG4165" s="78" t="s">
        <v>487</v>
      </c>
      <c r="AH4165" s="78">
        <v>3.3560408342652157</v>
      </c>
    </row>
    <row r="4166" spans="29:34">
      <c r="AC4166" s="78" t="s">
        <v>55</v>
      </c>
      <c r="AD4166" s="78" t="s">
        <v>20</v>
      </c>
      <c r="AE4166" s="78" t="s">
        <v>72</v>
      </c>
      <c r="AF4166" s="78" t="s">
        <v>51</v>
      </c>
      <c r="AG4166" s="78" t="s">
        <v>488</v>
      </c>
      <c r="AH4166" s="78">
        <v>3.3665827059153179</v>
      </c>
    </row>
    <row r="4167" spans="29:34">
      <c r="AC4167" s="78" t="s">
        <v>55</v>
      </c>
      <c r="AD4167" s="78" t="s">
        <v>20</v>
      </c>
      <c r="AE4167" s="78" t="s">
        <v>72</v>
      </c>
      <c r="AF4167" s="78" t="s">
        <v>51</v>
      </c>
      <c r="AG4167" s="78" t="s">
        <v>489</v>
      </c>
      <c r="AH4167" s="78">
        <v>3.3560408342652157</v>
      </c>
    </row>
    <row r="4168" spans="29:34">
      <c r="AC4168" s="78" t="s">
        <v>55</v>
      </c>
      <c r="AD4168" s="78" t="s">
        <v>20</v>
      </c>
      <c r="AE4168" s="78" t="s">
        <v>72</v>
      </c>
      <c r="AF4168" s="78" t="s">
        <v>51</v>
      </c>
      <c r="AG4168" s="78" t="s">
        <v>423</v>
      </c>
      <c r="AH4168" s="78">
        <v>3.3560408342652157</v>
      </c>
    </row>
    <row r="4169" spans="29:34">
      <c r="AC4169" s="78" t="s">
        <v>55</v>
      </c>
      <c r="AD4169" s="78" t="s">
        <v>20</v>
      </c>
      <c r="AE4169" s="78" t="s">
        <v>72</v>
      </c>
      <c r="AF4169" s="78" t="s">
        <v>51</v>
      </c>
      <c r="AG4169" s="78" t="s">
        <v>490</v>
      </c>
      <c r="AH4169" s="78">
        <v>3.3665827059153179</v>
      </c>
    </row>
    <row r="4170" spans="29:34">
      <c r="AC4170" s="78" t="s">
        <v>55</v>
      </c>
      <c r="AD4170" s="78" t="s">
        <v>20</v>
      </c>
      <c r="AE4170" s="78" t="s">
        <v>72</v>
      </c>
      <c r="AF4170" s="78" t="s">
        <v>51</v>
      </c>
      <c r="AG4170" s="78" t="s">
        <v>491</v>
      </c>
      <c r="AH4170" s="78">
        <v>3.2717401437093376</v>
      </c>
    </row>
    <row r="4171" spans="29:34">
      <c r="AC4171" s="78" t="s">
        <v>55</v>
      </c>
      <c r="AD4171" s="78" t="s">
        <v>20</v>
      </c>
      <c r="AE4171" s="78" t="s">
        <v>72</v>
      </c>
      <c r="AF4171" s="78" t="s">
        <v>51</v>
      </c>
      <c r="AG4171" s="78" t="s">
        <v>492</v>
      </c>
      <c r="AH4171" s="78">
        <v>3.2717401437093376</v>
      </c>
    </row>
    <row r="4172" spans="29:34">
      <c r="AC4172" s="78" t="s">
        <v>55</v>
      </c>
      <c r="AD4172" s="78" t="s">
        <v>20</v>
      </c>
      <c r="AE4172" s="78" t="s">
        <v>72</v>
      </c>
      <c r="AF4172" s="78" t="s">
        <v>51</v>
      </c>
      <c r="AG4172" s="78" t="s">
        <v>493</v>
      </c>
      <c r="AH4172" s="78">
        <v>3.3665827059153179</v>
      </c>
    </row>
    <row r="4173" spans="29:34">
      <c r="AC4173" s="78" t="s">
        <v>55</v>
      </c>
      <c r="AD4173" s="78" t="s">
        <v>20</v>
      </c>
      <c r="AE4173" s="78" t="s">
        <v>72</v>
      </c>
      <c r="AF4173" s="78" t="s">
        <v>51</v>
      </c>
      <c r="AG4173" s="78" t="s">
        <v>494</v>
      </c>
      <c r="AH4173" s="78">
        <v>3.3665827059153179</v>
      </c>
    </row>
    <row r="4174" spans="29:34">
      <c r="AC4174" s="78" t="s">
        <v>55</v>
      </c>
      <c r="AD4174" s="78" t="s">
        <v>20</v>
      </c>
      <c r="AE4174" s="78" t="s">
        <v>72</v>
      </c>
      <c r="AF4174" s="78" t="s">
        <v>51</v>
      </c>
      <c r="AG4174" s="78" t="s">
        <v>495</v>
      </c>
      <c r="AH4174" s="78">
        <v>3.3665827059153179</v>
      </c>
    </row>
    <row r="4175" spans="29:34">
      <c r="AC4175" s="78" t="s">
        <v>55</v>
      </c>
      <c r="AD4175" s="78" t="s">
        <v>20</v>
      </c>
      <c r="AE4175" s="78" t="s">
        <v>72</v>
      </c>
      <c r="AF4175" s="78" t="s">
        <v>51</v>
      </c>
      <c r="AG4175" s="78" t="s">
        <v>496</v>
      </c>
      <c r="AH4175" s="78">
        <v>3.3665827059153179</v>
      </c>
    </row>
    <row r="4176" spans="29:34">
      <c r="AC4176" s="78" t="s">
        <v>55</v>
      </c>
      <c r="AD4176" s="78" t="s">
        <v>20</v>
      </c>
      <c r="AE4176" s="78" t="s">
        <v>72</v>
      </c>
      <c r="AF4176" s="78" t="s">
        <v>51</v>
      </c>
      <c r="AG4176" s="78" t="s">
        <v>497</v>
      </c>
      <c r="AH4176" s="78">
        <v>3.3560408342652157</v>
      </c>
    </row>
    <row r="4177" spans="29:34">
      <c r="AC4177" s="78" t="s">
        <v>55</v>
      </c>
      <c r="AD4177" s="78" t="s">
        <v>20</v>
      </c>
      <c r="AE4177" s="78" t="s">
        <v>72</v>
      </c>
      <c r="AF4177" s="78" t="s">
        <v>51</v>
      </c>
      <c r="AG4177" s="78" t="s">
        <v>498</v>
      </c>
      <c r="AH4177" s="78">
        <v>3.3560408342652157</v>
      </c>
    </row>
    <row r="4178" spans="29:34">
      <c r="AC4178" s="78" t="s">
        <v>55</v>
      </c>
      <c r="AD4178" s="78" t="s">
        <v>20</v>
      </c>
      <c r="AE4178" s="78" t="s">
        <v>72</v>
      </c>
      <c r="AF4178" s="78" t="s">
        <v>51</v>
      </c>
      <c r="AG4178" s="78" t="s">
        <v>499</v>
      </c>
      <c r="AH4178" s="78">
        <v>3.3560408342652157</v>
      </c>
    </row>
    <row r="4179" spans="29:34">
      <c r="AC4179" s="78" t="s">
        <v>55</v>
      </c>
      <c r="AD4179" s="78" t="s">
        <v>20</v>
      </c>
      <c r="AE4179" s="78" t="s">
        <v>72</v>
      </c>
      <c r="AF4179" s="78" t="s">
        <v>51</v>
      </c>
      <c r="AG4179" s="78" t="s">
        <v>500</v>
      </c>
      <c r="AH4179" s="78">
        <v>3.3560408342652157</v>
      </c>
    </row>
    <row r="4180" spans="29:34">
      <c r="AC4180" s="78" t="s">
        <v>55</v>
      </c>
      <c r="AD4180" s="78" t="s">
        <v>20</v>
      </c>
      <c r="AE4180" s="78" t="s">
        <v>72</v>
      </c>
      <c r="AF4180" s="78" t="s">
        <v>51</v>
      </c>
      <c r="AG4180" s="78" t="s">
        <v>501</v>
      </c>
      <c r="AH4180" s="78">
        <v>3.3560408342652157</v>
      </c>
    </row>
    <row r="4181" spans="29:34">
      <c r="AC4181" s="78" t="s">
        <v>55</v>
      </c>
      <c r="AD4181" s="78" t="s">
        <v>20</v>
      </c>
      <c r="AE4181" s="78" t="s">
        <v>72</v>
      </c>
      <c r="AF4181" s="78" t="s">
        <v>51</v>
      </c>
      <c r="AG4181" s="78" t="s">
        <v>502</v>
      </c>
      <c r="AH4181" s="78">
        <v>3.2717401437093376</v>
      </c>
    </row>
    <row r="4182" spans="29:34">
      <c r="AC4182" s="78" t="s">
        <v>55</v>
      </c>
      <c r="AD4182" s="78" t="s">
        <v>20</v>
      </c>
      <c r="AE4182" s="78" t="s">
        <v>72</v>
      </c>
      <c r="AF4182" s="78" t="s">
        <v>51</v>
      </c>
      <c r="AG4182" s="78" t="s">
        <v>422</v>
      </c>
      <c r="AH4182" s="78">
        <v>3.2717401437093376</v>
      </c>
    </row>
    <row r="4183" spans="29:34">
      <c r="AC4183" s="78" t="s">
        <v>55</v>
      </c>
      <c r="AD4183" s="78" t="s">
        <v>20</v>
      </c>
      <c r="AE4183" s="78" t="s">
        <v>72</v>
      </c>
      <c r="AF4183" s="78" t="s">
        <v>51</v>
      </c>
      <c r="AG4183" s="78" t="s">
        <v>503</v>
      </c>
      <c r="AH4183" s="78">
        <v>3.2405068103760035</v>
      </c>
    </row>
    <row r="4184" spans="29:34">
      <c r="AC4184" s="78" t="s">
        <v>55</v>
      </c>
      <c r="AD4184" s="78" t="s">
        <v>20</v>
      </c>
      <c r="AE4184" s="78" t="s">
        <v>72</v>
      </c>
      <c r="AF4184" s="78" t="s">
        <v>51</v>
      </c>
      <c r="AG4184" s="78" t="s">
        <v>504</v>
      </c>
      <c r="AH4184" s="78">
        <v>3.2405068103760035</v>
      </c>
    </row>
    <row r="4185" spans="29:34">
      <c r="AC4185" s="78" t="s">
        <v>55</v>
      </c>
      <c r="AD4185" s="78" t="s">
        <v>20</v>
      </c>
      <c r="AE4185" s="78" t="s">
        <v>72</v>
      </c>
      <c r="AF4185" s="78" t="s">
        <v>51</v>
      </c>
      <c r="AG4185" s="78" t="s">
        <v>505</v>
      </c>
      <c r="AH4185" s="78">
        <v>3.2717401437093376</v>
      </c>
    </row>
    <row r="4186" spans="29:34">
      <c r="AC4186" s="78" t="s">
        <v>55</v>
      </c>
      <c r="AD4186" s="78" t="s">
        <v>20</v>
      </c>
      <c r="AE4186" s="78" t="s">
        <v>72</v>
      </c>
      <c r="AF4186" s="78" t="s">
        <v>51</v>
      </c>
      <c r="AG4186" s="78" t="s">
        <v>421</v>
      </c>
      <c r="AH4186" s="78">
        <v>3.2405068103760035</v>
      </c>
    </row>
    <row r="4187" spans="29:34">
      <c r="AC4187" s="78" t="s">
        <v>55</v>
      </c>
      <c r="AD4187" s="78" t="s">
        <v>20</v>
      </c>
      <c r="AE4187" s="78" t="s">
        <v>72</v>
      </c>
      <c r="AF4187" s="78" t="s">
        <v>51</v>
      </c>
      <c r="AG4187" s="78" t="s">
        <v>506</v>
      </c>
      <c r="AH4187" s="78">
        <v>3.2717401437093376</v>
      </c>
    </row>
    <row r="4188" spans="29:34">
      <c r="AC4188" s="78" t="s">
        <v>55</v>
      </c>
      <c r="AD4188" s="78" t="s">
        <v>20</v>
      </c>
      <c r="AE4188" s="78" t="s">
        <v>72</v>
      </c>
      <c r="AF4188" s="78" t="s">
        <v>51</v>
      </c>
      <c r="AG4188" s="78" t="s">
        <v>507</v>
      </c>
      <c r="AH4188" s="78">
        <v>3.2717401437093376</v>
      </c>
    </row>
    <row r="4189" spans="29:34">
      <c r="AC4189" s="78" t="s">
        <v>55</v>
      </c>
      <c r="AD4189" s="78" t="s">
        <v>20</v>
      </c>
      <c r="AE4189" s="78" t="s">
        <v>72</v>
      </c>
      <c r="AF4189" s="78" t="s">
        <v>51</v>
      </c>
      <c r="AG4189" s="78" t="s">
        <v>508</v>
      </c>
      <c r="AH4189" s="78">
        <v>3.3560408342652157</v>
      </c>
    </row>
    <row r="4190" spans="29:34">
      <c r="AC4190" s="78" t="s">
        <v>55</v>
      </c>
      <c r="AD4190" s="78" t="s">
        <v>20</v>
      </c>
      <c r="AE4190" s="78" t="s">
        <v>72</v>
      </c>
      <c r="AF4190" s="78" t="s">
        <v>51</v>
      </c>
      <c r="AG4190" s="78" t="s">
        <v>509</v>
      </c>
      <c r="AH4190" s="78">
        <v>3.3665827059153179</v>
      </c>
    </row>
    <row r="4191" spans="29:34">
      <c r="AC4191" s="78" t="s">
        <v>55</v>
      </c>
      <c r="AD4191" s="78" t="s">
        <v>20</v>
      </c>
      <c r="AE4191" s="78" t="s">
        <v>72</v>
      </c>
      <c r="AF4191" s="78" t="s">
        <v>51</v>
      </c>
      <c r="AG4191" s="78" t="s">
        <v>510</v>
      </c>
      <c r="AH4191" s="78">
        <v>3.3665827059153179</v>
      </c>
    </row>
    <row r="4192" spans="29:34">
      <c r="AC4192" s="78" t="s">
        <v>55</v>
      </c>
      <c r="AD4192" s="78" t="s">
        <v>20</v>
      </c>
      <c r="AE4192" s="78" t="s">
        <v>72</v>
      </c>
      <c r="AF4192" s="78" t="s">
        <v>51</v>
      </c>
      <c r="AG4192" s="78" t="s">
        <v>511</v>
      </c>
      <c r="AH4192" s="78">
        <v>3.3978160392486516</v>
      </c>
    </row>
    <row r="4193" spans="29:34">
      <c r="AC4193" s="78" t="s">
        <v>55</v>
      </c>
      <c r="AD4193" s="78" t="s">
        <v>20</v>
      </c>
      <c r="AE4193" s="78" t="s">
        <v>72</v>
      </c>
      <c r="AF4193" s="78" t="s">
        <v>51</v>
      </c>
      <c r="AG4193" s="78" t="s">
        <v>512</v>
      </c>
      <c r="AH4193" s="78">
        <v>3.3978160392486516</v>
      </c>
    </row>
    <row r="4194" spans="29:34">
      <c r="AC4194" s="78" t="s">
        <v>55</v>
      </c>
      <c r="AD4194" s="78" t="s">
        <v>20</v>
      </c>
      <c r="AE4194" s="78" t="s">
        <v>72</v>
      </c>
      <c r="AF4194" s="78" t="s">
        <v>51</v>
      </c>
      <c r="AG4194" s="78" t="s">
        <v>513</v>
      </c>
      <c r="AH4194" s="78">
        <v>3.3665827059153179</v>
      </c>
    </row>
    <row r="4195" spans="29:34">
      <c r="AC4195" s="78" t="s">
        <v>55</v>
      </c>
      <c r="AD4195" s="78" t="s">
        <v>20</v>
      </c>
      <c r="AE4195" s="78" t="s">
        <v>72</v>
      </c>
      <c r="AF4195" s="78" t="s">
        <v>51</v>
      </c>
      <c r="AG4195" s="78" t="s">
        <v>514</v>
      </c>
      <c r="AH4195" s="78">
        <v>3.3978160392486516</v>
      </c>
    </row>
    <row r="4196" spans="29:34">
      <c r="AC4196" s="78" t="s">
        <v>55</v>
      </c>
      <c r="AD4196" s="78" t="s">
        <v>20</v>
      </c>
      <c r="AE4196" s="78" t="s">
        <v>72</v>
      </c>
      <c r="AF4196" s="78" t="s">
        <v>51</v>
      </c>
      <c r="AG4196" s="78" t="s">
        <v>515</v>
      </c>
      <c r="AH4196" s="78">
        <v>3.3978160392486516</v>
      </c>
    </row>
    <row r="4197" spans="29:34">
      <c r="AC4197" s="78" t="s">
        <v>55</v>
      </c>
      <c r="AD4197" s="78" t="s">
        <v>20</v>
      </c>
      <c r="AE4197" s="78" t="s">
        <v>72</v>
      </c>
      <c r="AF4197" s="78" t="s">
        <v>51</v>
      </c>
      <c r="AG4197" s="78" t="s">
        <v>516</v>
      </c>
      <c r="AH4197" s="78">
        <v>3.3665827059153179</v>
      </c>
    </row>
    <row r="4198" spans="29:34">
      <c r="AC4198" s="78" t="s">
        <v>55</v>
      </c>
      <c r="AD4198" s="78" t="s">
        <v>20</v>
      </c>
      <c r="AE4198" s="78" t="s">
        <v>72</v>
      </c>
      <c r="AF4198" s="78" t="s">
        <v>51</v>
      </c>
      <c r="AG4198" s="78" t="s">
        <v>517</v>
      </c>
      <c r="AH4198" s="78">
        <v>3.3665827059153179</v>
      </c>
    </row>
    <row r="4199" spans="29:34">
      <c r="AC4199" s="78" t="s">
        <v>55</v>
      </c>
      <c r="AD4199" s="78" t="s">
        <v>20</v>
      </c>
      <c r="AE4199" s="78" t="s">
        <v>72</v>
      </c>
      <c r="AF4199" s="78" t="s">
        <v>51</v>
      </c>
      <c r="AG4199" s="78" t="s">
        <v>518</v>
      </c>
      <c r="AH4199" s="78">
        <v>3.3665827059153179</v>
      </c>
    </row>
    <row r="4200" spans="29:34">
      <c r="AC4200" s="78" t="s">
        <v>55</v>
      </c>
      <c r="AD4200" s="78" t="s">
        <v>20</v>
      </c>
      <c r="AE4200" s="78" t="s">
        <v>72</v>
      </c>
      <c r="AF4200" s="78" t="s">
        <v>51</v>
      </c>
      <c r="AG4200" s="78" t="s">
        <v>519</v>
      </c>
      <c r="AH4200" s="78">
        <v>3.2717401437093376</v>
      </c>
    </row>
    <row r="4201" spans="29:34">
      <c r="AC4201" s="78" t="s">
        <v>55</v>
      </c>
      <c r="AD4201" s="78" t="s">
        <v>20</v>
      </c>
      <c r="AE4201" s="78" t="s">
        <v>72</v>
      </c>
      <c r="AF4201" s="78" t="s">
        <v>51</v>
      </c>
      <c r="AG4201" s="78" t="s">
        <v>520</v>
      </c>
      <c r="AH4201" s="78">
        <v>3.3665827059153179</v>
      </c>
    </row>
    <row r="4202" spans="29:34">
      <c r="AC4202" s="78" t="s">
        <v>55</v>
      </c>
      <c r="AD4202" s="78" t="s">
        <v>20</v>
      </c>
      <c r="AE4202" s="78" t="s">
        <v>72</v>
      </c>
      <c r="AF4202" s="78" t="s">
        <v>51</v>
      </c>
      <c r="AG4202" s="78" t="s">
        <v>521</v>
      </c>
      <c r="AH4202" s="78">
        <v>3.3978160392486516</v>
      </c>
    </row>
    <row r="4203" spans="29:34">
      <c r="AC4203" s="78" t="s">
        <v>55</v>
      </c>
      <c r="AD4203" s="78" t="s">
        <v>20</v>
      </c>
      <c r="AE4203" s="78" t="s">
        <v>72</v>
      </c>
      <c r="AF4203" s="78" t="s">
        <v>51</v>
      </c>
      <c r="AG4203" s="78" t="s">
        <v>522</v>
      </c>
      <c r="AH4203" s="78">
        <v>3.3978160392486516</v>
      </c>
    </row>
    <row r="4204" spans="29:34">
      <c r="AC4204" s="78" t="s">
        <v>55</v>
      </c>
      <c r="AD4204" s="78" t="s">
        <v>20</v>
      </c>
      <c r="AE4204" s="78" t="s">
        <v>72</v>
      </c>
      <c r="AF4204" s="78" t="s">
        <v>51</v>
      </c>
      <c r="AG4204" s="78" t="s">
        <v>523</v>
      </c>
      <c r="AH4204" s="78">
        <v>3.4817371971125723</v>
      </c>
    </row>
    <row r="4205" spans="29:34">
      <c r="AC4205" s="78" t="s">
        <v>55</v>
      </c>
      <c r="AD4205" s="78" t="s">
        <v>20</v>
      </c>
      <c r="AE4205" s="78" t="s">
        <v>72</v>
      </c>
      <c r="AF4205" s="78" t="s">
        <v>51</v>
      </c>
      <c r="AG4205" s="78" t="s">
        <v>524</v>
      </c>
      <c r="AH4205" s="78">
        <v>3.4817371971125723</v>
      </c>
    </row>
    <row r="4206" spans="29:34">
      <c r="AC4206" s="78" t="s">
        <v>55</v>
      </c>
      <c r="AD4206" s="78" t="s">
        <v>20</v>
      </c>
      <c r="AE4206" s="78" t="s">
        <v>72</v>
      </c>
      <c r="AF4206" s="78" t="s">
        <v>51</v>
      </c>
      <c r="AG4206" s="78" t="s">
        <v>525</v>
      </c>
      <c r="AH4206" s="78">
        <v>3.4817371971125723</v>
      </c>
    </row>
    <row r="4207" spans="29:34">
      <c r="AC4207" s="78" t="s">
        <v>55</v>
      </c>
      <c r="AD4207" s="78" t="s">
        <v>20</v>
      </c>
      <c r="AE4207" s="78" t="s">
        <v>72</v>
      </c>
      <c r="AF4207" s="78" t="s">
        <v>51</v>
      </c>
      <c r="AG4207" s="78" t="s">
        <v>526</v>
      </c>
      <c r="AH4207" s="78">
        <v>3.4817371971125723</v>
      </c>
    </row>
    <row r="4208" spans="29:34">
      <c r="AC4208" s="78" t="s">
        <v>55</v>
      </c>
      <c r="AD4208" s="78" t="s">
        <v>20</v>
      </c>
      <c r="AE4208" s="78" t="s">
        <v>72</v>
      </c>
      <c r="AF4208" s="78" t="s">
        <v>51</v>
      </c>
      <c r="AG4208" s="78" t="s">
        <v>527</v>
      </c>
      <c r="AH4208" s="78">
        <v>3.3978160392486516</v>
      </c>
    </row>
    <row r="4209" spans="29:34">
      <c r="AC4209" s="78" t="s">
        <v>55</v>
      </c>
      <c r="AD4209" s="78" t="s">
        <v>20</v>
      </c>
      <c r="AE4209" s="78" t="s">
        <v>72</v>
      </c>
      <c r="AF4209" s="78" t="s">
        <v>51</v>
      </c>
      <c r="AG4209" s="78" t="s">
        <v>528</v>
      </c>
      <c r="AH4209" s="78">
        <v>3.3978160392486516</v>
      </c>
    </row>
    <row r="4210" spans="29:34">
      <c r="AC4210" s="78" t="s">
        <v>55</v>
      </c>
      <c r="AD4210" s="78" t="s">
        <v>20</v>
      </c>
      <c r="AE4210" s="78" t="s">
        <v>72</v>
      </c>
      <c r="AF4210" s="78" t="s">
        <v>51</v>
      </c>
      <c r="AG4210" s="78" t="s">
        <v>529</v>
      </c>
      <c r="AH4210" s="78">
        <v>3.3978160392486516</v>
      </c>
    </row>
    <row r="4211" spans="29:34">
      <c r="AC4211" s="78" t="s">
        <v>55</v>
      </c>
      <c r="AD4211" s="78" t="s">
        <v>20</v>
      </c>
      <c r="AE4211" s="78" t="s">
        <v>72</v>
      </c>
      <c r="AF4211" s="78" t="s">
        <v>51</v>
      </c>
      <c r="AG4211" s="78" t="s">
        <v>530</v>
      </c>
      <c r="AH4211" s="78">
        <v>3.3978160392486516</v>
      </c>
    </row>
    <row r="4212" spans="29:34">
      <c r="AC4212" s="78" t="s">
        <v>55</v>
      </c>
      <c r="AD4212" s="78" t="s">
        <v>20</v>
      </c>
      <c r="AE4212" s="78" t="s">
        <v>72</v>
      </c>
      <c r="AF4212" s="78" t="s">
        <v>51</v>
      </c>
      <c r="AG4212" s="78" t="s">
        <v>531</v>
      </c>
      <c r="AH4212" s="78">
        <v>3.3978160392486516</v>
      </c>
    </row>
    <row r="4213" spans="29:34">
      <c r="AC4213" s="78" t="s">
        <v>55</v>
      </c>
      <c r="AD4213" s="78" t="s">
        <v>20</v>
      </c>
      <c r="AE4213" s="78" t="s">
        <v>72</v>
      </c>
      <c r="AF4213" s="78" t="s">
        <v>51</v>
      </c>
      <c r="AG4213" s="78" t="s">
        <v>532</v>
      </c>
      <c r="AH4213" s="78">
        <v>3.6074026613966526</v>
      </c>
    </row>
    <row r="4214" spans="29:34">
      <c r="AC4214" s="78" t="s">
        <v>55</v>
      </c>
      <c r="AD4214" s="78" t="s">
        <v>20</v>
      </c>
      <c r="AE4214" s="78" t="s">
        <v>72</v>
      </c>
      <c r="AF4214" s="78" t="s">
        <v>51</v>
      </c>
      <c r="AG4214" s="78" t="s">
        <v>533</v>
      </c>
      <c r="AH4214" s="78">
        <v>3.6187039039308506</v>
      </c>
    </row>
    <row r="4215" spans="29:34">
      <c r="AC4215" s="78" t="s">
        <v>55</v>
      </c>
      <c r="AD4215" s="78" t="s">
        <v>20</v>
      </c>
      <c r="AE4215" s="78" t="s">
        <v>72</v>
      </c>
      <c r="AF4215" s="78" t="s">
        <v>51</v>
      </c>
      <c r="AG4215" s="78" t="s">
        <v>534</v>
      </c>
      <c r="AH4215" s="78">
        <v>3.7310825871584004</v>
      </c>
    </row>
    <row r="4216" spans="29:34">
      <c r="AC4216" s="78" t="s">
        <v>55</v>
      </c>
      <c r="AD4216" s="78" t="s">
        <v>20</v>
      </c>
      <c r="AE4216" s="78" t="s">
        <v>72</v>
      </c>
      <c r="AF4216" s="78" t="s">
        <v>51</v>
      </c>
      <c r="AG4216" s="78" t="s">
        <v>535</v>
      </c>
      <c r="AH4216" s="78">
        <v>3.7310825871584004</v>
      </c>
    </row>
    <row r="4217" spans="29:34">
      <c r="AC4217" s="78" t="s">
        <v>55</v>
      </c>
      <c r="AD4217" s="78" t="s">
        <v>20</v>
      </c>
      <c r="AE4217" s="78" t="s">
        <v>72</v>
      </c>
      <c r="AF4217" s="78" t="s">
        <v>51</v>
      </c>
      <c r="AG4217" s="78" t="s">
        <v>536</v>
      </c>
      <c r="AH4217" s="78">
        <v>3.7310825871584004</v>
      </c>
    </row>
    <row r="4218" spans="29:34">
      <c r="AC4218" s="78" t="s">
        <v>55</v>
      </c>
      <c r="AD4218" s="78" t="s">
        <v>20</v>
      </c>
      <c r="AE4218" s="78" t="s">
        <v>72</v>
      </c>
      <c r="AF4218" s="78" t="s">
        <v>51</v>
      </c>
      <c r="AG4218" s="78" t="s">
        <v>537</v>
      </c>
      <c r="AH4218" s="78">
        <v>3.7310825871584004</v>
      </c>
    </row>
    <row r="4219" spans="29:34">
      <c r="AC4219" s="78" t="s">
        <v>55</v>
      </c>
      <c r="AD4219" s="78" t="s">
        <v>20</v>
      </c>
      <c r="AE4219" s="78" t="s">
        <v>72</v>
      </c>
      <c r="AF4219" s="78" t="s">
        <v>51</v>
      </c>
      <c r="AG4219" s="78" t="s">
        <v>538</v>
      </c>
      <c r="AH4219" s="78">
        <v>3.7310825871584004</v>
      </c>
    </row>
    <row r="4220" spans="29:34">
      <c r="AC4220" s="78" t="s">
        <v>55</v>
      </c>
      <c r="AD4220" s="78" t="s">
        <v>20</v>
      </c>
      <c r="AE4220" s="78" t="s">
        <v>72</v>
      </c>
      <c r="AF4220" s="78" t="s">
        <v>51</v>
      </c>
      <c r="AG4220" s="78" t="s">
        <v>539</v>
      </c>
      <c r="AH4220" s="78">
        <v>3.8451078179729343</v>
      </c>
    </row>
    <row r="4221" spans="29:34">
      <c r="AC4221" s="78" t="s">
        <v>55</v>
      </c>
      <c r="AD4221" s="78" t="s">
        <v>20</v>
      </c>
      <c r="AE4221" s="78" t="s">
        <v>72</v>
      </c>
      <c r="AF4221" s="78" t="s">
        <v>51</v>
      </c>
      <c r="AG4221" s="78" t="s">
        <v>540</v>
      </c>
      <c r="AH4221" s="78">
        <v>3.8451078179729343</v>
      </c>
    </row>
    <row r="4222" spans="29:34">
      <c r="AC4222" s="78" t="s">
        <v>55</v>
      </c>
      <c r="AD4222" s="78" t="s">
        <v>20</v>
      </c>
      <c r="AE4222" s="78" t="s">
        <v>72</v>
      </c>
      <c r="AF4222" s="78" t="s">
        <v>51</v>
      </c>
      <c r="AG4222" s="78" t="s">
        <v>541</v>
      </c>
      <c r="AH4222" s="78">
        <v>3.8883955794647993</v>
      </c>
    </row>
    <row r="4223" spans="29:34">
      <c r="AC4223" s="78" t="s">
        <v>55</v>
      </c>
      <c r="AD4223" s="78" t="s">
        <v>20</v>
      </c>
      <c r="AE4223" s="78" t="s">
        <v>72</v>
      </c>
      <c r="AF4223" s="78" t="s">
        <v>51</v>
      </c>
      <c r="AG4223" s="78" t="s">
        <v>542</v>
      </c>
      <c r="AH4223" s="78">
        <v>3.8571622461314652</v>
      </c>
    </row>
    <row r="4224" spans="29:34">
      <c r="AC4224" s="78" t="s">
        <v>55</v>
      </c>
      <c r="AD4224" s="78" t="s">
        <v>20</v>
      </c>
      <c r="AE4224" s="78" t="s">
        <v>72</v>
      </c>
      <c r="AF4224" s="78" t="s">
        <v>51</v>
      </c>
      <c r="AG4224" s="78" t="s">
        <v>543</v>
      </c>
      <c r="AH4224" s="78">
        <v>3.8451078179729343</v>
      </c>
    </row>
    <row r="4225" spans="29:34">
      <c r="AC4225" s="78" t="s">
        <v>55</v>
      </c>
      <c r="AD4225" s="78" t="s">
        <v>20</v>
      </c>
      <c r="AE4225" s="78" t="s">
        <v>72</v>
      </c>
      <c r="AF4225" s="78" t="s">
        <v>51</v>
      </c>
      <c r="AG4225" s="78" t="s">
        <v>544</v>
      </c>
      <c r="AH4225" s="78">
        <v>3.8451078179729343</v>
      </c>
    </row>
    <row r="4226" spans="29:34">
      <c r="AC4226" s="78" t="s">
        <v>55</v>
      </c>
      <c r="AD4226" s="78" t="s">
        <v>20</v>
      </c>
      <c r="AE4226" s="78" t="s">
        <v>72</v>
      </c>
      <c r="AF4226" s="78" t="s">
        <v>51</v>
      </c>
      <c r="AG4226" s="78" t="s">
        <v>545</v>
      </c>
      <c r="AH4226" s="78">
        <v>3.8451078179729343</v>
      </c>
    </row>
    <row r="4227" spans="29:34">
      <c r="AC4227" s="78" t="s">
        <v>55</v>
      </c>
      <c r="AD4227" s="78" t="s">
        <v>20</v>
      </c>
      <c r="AE4227" s="78" t="s">
        <v>72</v>
      </c>
      <c r="AF4227" s="78" t="s">
        <v>51</v>
      </c>
      <c r="AG4227" s="78" t="s">
        <v>546</v>
      </c>
      <c r="AH4227" s="78">
        <v>3.8883955794647993</v>
      </c>
    </row>
    <row r="4228" spans="29:34">
      <c r="AC4228" s="78" t="s">
        <v>55</v>
      </c>
      <c r="AD4228" s="78" t="s">
        <v>20</v>
      </c>
      <c r="AE4228" s="78" t="s">
        <v>72</v>
      </c>
      <c r="AF4228" s="78" t="s">
        <v>51</v>
      </c>
      <c r="AG4228" s="78" t="s">
        <v>547</v>
      </c>
      <c r="AH4228" s="78">
        <v>3.8571622461314652</v>
      </c>
    </row>
    <row r="4229" spans="29:34">
      <c r="AC4229" s="78" t="s">
        <v>55</v>
      </c>
      <c r="AD4229" s="78" t="s">
        <v>20</v>
      </c>
      <c r="AE4229" s="78" t="s">
        <v>72</v>
      </c>
      <c r="AF4229" s="78" t="s">
        <v>51</v>
      </c>
      <c r="AG4229" s="78" t="s">
        <v>548</v>
      </c>
      <c r="AH4229" s="78">
        <v>3.8883955794647993</v>
      </c>
    </row>
    <row r="4230" spans="29:34">
      <c r="AC4230" s="78" t="s">
        <v>55</v>
      </c>
      <c r="AD4230" s="78" t="s">
        <v>20</v>
      </c>
      <c r="AE4230" s="78" t="s">
        <v>72</v>
      </c>
      <c r="AF4230" s="78" t="s">
        <v>51</v>
      </c>
      <c r="AG4230" s="78" t="s">
        <v>549</v>
      </c>
      <c r="AH4230" s="78">
        <v>3.8883955794647993</v>
      </c>
    </row>
    <row r="4231" spans="29:34">
      <c r="AC4231" s="78" t="s">
        <v>55</v>
      </c>
      <c r="AD4231" s="78" t="s">
        <v>20</v>
      </c>
      <c r="AE4231" s="78" t="s">
        <v>72</v>
      </c>
      <c r="AF4231" s="78" t="s">
        <v>51</v>
      </c>
      <c r="AG4231" s="78" t="s">
        <v>550</v>
      </c>
      <c r="AH4231" s="78">
        <v>3.8571622461314652</v>
      </c>
    </row>
    <row r="4232" spans="29:34">
      <c r="AC4232" s="78" t="s">
        <v>55</v>
      </c>
      <c r="AD4232" s="78" t="s">
        <v>20</v>
      </c>
      <c r="AE4232" s="78" t="s">
        <v>72</v>
      </c>
      <c r="AF4232" s="78" t="s">
        <v>51</v>
      </c>
      <c r="AG4232" s="78" t="s">
        <v>551</v>
      </c>
      <c r="AH4232" s="78">
        <v>3.8883955794647993</v>
      </c>
    </row>
    <row r="4233" spans="29:34">
      <c r="AC4233" s="78" t="s">
        <v>55</v>
      </c>
      <c r="AD4233" s="78" t="s">
        <v>20</v>
      </c>
      <c r="AE4233" s="78" t="s">
        <v>72</v>
      </c>
      <c r="AF4233" s="78" t="s">
        <v>51</v>
      </c>
      <c r="AG4233" s="78" t="s">
        <v>552</v>
      </c>
      <c r="AH4233" s="78">
        <v>3.8883955794647993</v>
      </c>
    </row>
    <row r="4234" spans="29:34">
      <c r="AC4234" s="78" t="s">
        <v>55</v>
      </c>
      <c r="AD4234" s="78" t="s">
        <v>20</v>
      </c>
      <c r="AE4234" s="78" t="s">
        <v>72</v>
      </c>
      <c r="AF4234" s="78" t="s">
        <v>51</v>
      </c>
      <c r="AG4234" s="78" t="s">
        <v>553</v>
      </c>
      <c r="AH4234" s="78">
        <v>3.9832095698554069</v>
      </c>
    </row>
    <row r="4235" spans="29:34">
      <c r="AC4235" s="78" t="s">
        <v>55</v>
      </c>
      <c r="AD4235" s="78" t="s">
        <v>20</v>
      </c>
      <c r="AE4235" s="78" t="s">
        <v>72</v>
      </c>
      <c r="AF4235" s="78" t="s">
        <v>51</v>
      </c>
      <c r="AG4235" s="78" t="s">
        <v>554</v>
      </c>
      <c r="AH4235" s="78">
        <v>3.9708143018144364</v>
      </c>
    </row>
    <row r="4236" spans="29:34">
      <c r="AC4236" s="78" t="s">
        <v>55</v>
      </c>
      <c r="AD4236" s="78" t="s">
        <v>20</v>
      </c>
      <c r="AE4236" s="78" t="s">
        <v>72</v>
      </c>
      <c r="AF4236" s="78" t="s">
        <v>51</v>
      </c>
      <c r="AG4236" s="78" t="s">
        <v>555</v>
      </c>
      <c r="AH4236" s="78">
        <v>3.9708143018144364</v>
      </c>
    </row>
    <row r="4237" spans="29:34">
      <c r="AC4237" s="78" t="s">
        <v>55</v>
      </c>
      <c r="AD4237" s="78" t="s">
        <v>20</v>
      </c>
      <c r="AE4237" s="78" t="s">
        <v>72</v>
      </c>
      <c r="AF4237" s="78" t="s">
        <v>51</v>
      </c>
      <c r="AG4237" s="78" t="s">
        <v>556</v>
      </c>
      <c r="AH4237" s="78">
        <v>4.1092912467808151</v>
      </c>
    </row>
    <row r="4238" spans="29:34">
      <c r="AC4238" s="78" t="s">
        <v>55</v>
      </c>
      <c r="AD4238" s="78" t="s">
        <v>20</v>
      </c>
      <c r="AE4238" s="78" t="s">
        <v>72</v>
      </c>
      <c r="AF4238" s="78" t="s">
        <v>51</v>
      </c>
      <c r="AG4238" s="78" t="s">
        <v>557</v>
      </c>
      <c r="AH4238" s="78">
        <v>4.1092912467808151</v>
      </c>
    </row>
    <row r="4239" spans="29:34">
      <c r="AC4239" s="78" t="s">
        <v>55</v>
      </c>
      <c r="AD4239" s="78" t="s">
        <v>20</v>
      </c>
      <c r="AE4239" s="78" t="s">
        <v>72</v>
      </c>
      <c r="AF4239" s="78" t="s">
        <v>51</v>
      </c>
      <c r="AG4239" s="78" t="s">
        <v>558</v>
      </c>
      <c r="AH4239" s="78">
        <v>4.1092912467808151</v>
      </c>
    </row>
    <row r="4240" spans="29:34">
      <c r="AC4240" s="78" t="s">
        <v>55</v>
      </c>
      <c r="AD4240" s="78" t="s">
        <v>20</v>
      </c>
      <c r="AE4240" s="78" t="s">
        <v>72</v>
      </c>
      <c r="AF4240" s="78" t="s">
        <v>51</v>
      </c>
      <c r="AG4240" s="78" t="s">
        <v>559</v>
      </c>
      <c r="AH4240" s="78">
        <v>4.1092912467808151</v>
      </c>
    </row>
    <row r="4241" spans="29:34">
      <c r="AC4241" s="78" t="s">
        <v>55</v>
      </c>
      <c r="AD4241" s="78" t="s">
        <v>20</v>
      </c>
      <c r="AE4241" s="78" t="s">
        <v>72</v>
      </c>
      <c r="AF4241" s="78" t="s">
        <v>51</v>
      </c>
      <c r="AG4241" s="78" t="s">
        <v>560</v>
      </c>
      <c r="AH4241" s="78">
        <v>4.1092912467808151</v>
      </c>
    </row>
    <row r="4242" spans="29:34">
      <c r="AC4242" s="78" t="s">
        <v>55</v>
      </c>
      <c r="AD4242" s="78" t="s">
        <v>20</v>
      </c>
      <c r="AE4242" s="78" t="s">
        <v>72</v>
      </c>
      <c r="AF4242" s="78" t="s">
        <v>51</v>
      </c>
      <c r="AG4242" s="78" t="s">
        <v>561</v>
      </c>
      <c r="AH4242" s="78">
        <v>4.1092912467808151</v>
      </c>
    </row>
    <row r="4243" spans="29:34">
      <c r="AC4243" s="78" t="s">
        <v>55</v>
      </c>
      <c r="AD4243" s="78" t="s">
        <v>20</v>
      </c>
      <c r="AE4243" s="78" t="s">
        <v>72</v>
      </c>
      <c r="AF4243" s="78" t="s">
        <v>51</v>
      </c>
      <c r="AG4243" s="78" t="s">
        <v>562</v>
      </c>
      <c r="AH4243" s="78">
        <v>4.1092912467808151</v>
      </c>
    </row>
    <row r="4244" spans="29:34">
      <c r="AC4244" s="78" t="s">
        <v>55</v>
      </c>
      <c r="AD4244" s="78" t="s">
        <v>20</v>
      </c>
      <c r="AE4244" s="78" t="s">
        <v>72</v>
      </c>
      <c r="AF4244" s="78" t="s">
        <v>51</v>
      </c>
      <c r="AG4244" s="78" t="s">
        <v>563</v>
      </c>
      <c r="AH4244" s="78">
        <v>4.1405245801141497</v>
      </c>
    </row>
    <row r="4245" spans="29:34">
      <c r="AC4245" s="78" t="s">
        <v>55</v>
      </c>
      <c r="AD4245" s="78" t="s">
        <v>20</v>
      </c>
      <c r="AE4245" s="78" t="s">
        <v>72</v>
      </c>
      <c r="AF4245" s="78" t="s">
        <v>51</v>
      </c>
      <c r="AG4245" s="78" t="s">
        <v>564</v>
      </c>
      <c r="AH4245" s="78">
        <v>4.1092912467808151</v>
      </c>
    </row>
    <row r="4246" spans="29:34">
      <c r="AC4246" s="78" t="s">
        <v>55</v>
      </c>
      <c r="AD4246" s="78" t="s">
        <v>20</v>
      </c>
      <c r="AE4246" s="78" t="s">
        <v>72</v>
      </c>
      <c r="AF4246" s="78" t="s">
        <v>51</v>
      </c>
      <c r="AG4246" s="78" t="s">
        <v>565</v>
      </c>
      <c r="AH4246" s="78">
        <v>4.0964901368075282</v>
      </c>
    </row>
    <row r="4247" spans="29:34">
      <c r="AC4247" s="78" t="s">
        <v>55</v>
      </c>
      <c r="AD4247" s="78" t="s">
        <v>20</v>
      </c>
      <c r="AE4247" s="78" t="s">
        <v>72</v>
      </c>
      <c r="AF4247" s="78" t="s">
        <v>51</v>
      </c>
      <c r="AG4247" s="78" t="s">
        <v>566</v>
      </c>
      <c r="AH4247" s="78">
        <v>4.0144429031887405</v>
      </c>
    </row>
    <row r="4248" spans="29:34">
      <c r="AC4248" s="78" t="s">
        <v>55</v>
      </c>
      <c r="AD4248" s="78" t="s">
        <v>20</v>
      </c>
      <c r="AE4248" s="78" t="s">
        <v>72</v>
      </c>
      <c r="AF4248" s="78" t="s">
        <v>51</v>
      </c>
      <c r="AG4248" s="78" t="s">
        <v>567</v>
      </c>
      <c r="AH4248" s="78">
        <v>4.0964901368075282</v>
      </c>
    </row>
    <row r="4249" spans="29:34">
      <c r="AC4249" s="78" t="s">
        <v>55</v>
      </c>
      <c r="AD4249" s="78" t="s">
        <v>20</v>
      </c>
      <c r="AE4249" s="78" t="s">
        <v>72</v>
      </c>
      <c r="AF4249" s="78" t="s">
        <v>51</v>
      </c>
      <c r="AG4249" s="78" t="s">
        <v>568</v>
      </c>
      <c r="AH4249" s="78">
        <v>4.0144429031887405</v>
      </c>
    </row>
    <row r="4250" spans="29:34">
      <c r="AC4250" s="78" t="s">
        <v>55</v>
      </c>
      <c r="AD4250" s="78" t="s">
        <v>20</v>
      </c>
      <c r="AE4250" s="78" t="s">
        <v>72</v>
      </c>
      <c r="AF4250" s="78" t="s">
        <v>51</v>
      </c>
      <c r="AG4250" s="78" t="s">
        <v>569</v>
      </c>
      <c r="AH4250" s="78">
        <v>3.9708143018144364</v>
      </c>
    </row>
    <row r="4251" spans="29:34">
      <c r="AC4251" s="78" t="s">
        <v>55</v>
      </c>
      <c r="AD4251" s="78" t="s">
        <v>20</v>
      </c>
      <c r="AE4251" s="78" t="s">
        <v>72</v>
      </c>
      <c r="AF4251" s="78" t="s">
        <v>51</v>
      </c>
      <c r="AG4251" s="78" t="s">
        <v>570</v>
      </c>
      <c r="AH4251" s="78">
        <v>3.9832095698554069</v>
      </c>
    </row>
    <row r="4252" spans="29:34">
      <c r="AC4252" s="78" t="s">
        <v>55</v>
      </c>
      <c r="AD4252" s="78" t="s">
        <v>20</v>
      </c>
      <c r="AE4252" s="78" t="s">
        <v>72</v>
      </c>
      <c r="AF4252" s="78" t="s">
        <v>51</v>
      </c>
      <c r="AG4252" s="78" t="s">
        <v>571</v>
      </c>
      <c r="AH4252" s="78">
        <v>3.9832095698554069</v>
      </c>
    </row>
    <row r="4253" spans="29:34">
      <c r="AC4253" s="78" t="s">
        <v>55</v>
      </c>
      <c r="AD4253" s="78" t="s">
        <v>20</v>
      </c>
      <c r="AE4253" s="78" t="s">
        <v>72</v>
      </c>
      <c r="AF4253" s="78" t="s">
        <v>51</v>
      </c>
      <c r="AG4253" s="78" t="s">
        <v>572</v>
      </c>
      <c r="AH4253" s="78">
        <v>3.9832095698554069</v>
      </c>
    </row>
    <row r="4254" spans="29:34">
      <c r="AC4254" s="78" t="s">
        <v>55</v>
      </c>
      <c r="AD4254" s="78" t="s">
        <v>20</v>
      </c>
      <c r="AE4254" s="78" t="s">
        <v>72</v>
      </c>
      <c r="AF4254" s="78" t="s">
        <v>51</v>
      </c>
      <c r="AG4254" s="78" t="s">
        <v>573</v>
      </c>
      <c r="AH4254" s="78">
        <v>3.9708143018144364</v>
      </c>
    </row>
    <row r="4255" spans="29:34">
      <c r="AC4255" s="78" t="s">
        <v>55</v>
      </c>
      <c r="AD4255" s="78" t="s">
        <v>20</v>
      </c>
      <c r="AE4255" s="78" t="s">
        <v>72</v>
      </c>
      <c r="AF4255" s="78" t="s">
        <v>51</v>
      </c>
      <c r="AG4255" s="78" t="s">
        <v>574</v>
      </c>
      <c r="AH4255" s="78">
        <v>3.8883955794647993</v>
      </c>
    </row>
    <row r="4256" spans="29:34">
      <c r="AC4256" s="78" t="s">
        <v>55</v>
      </c>
      <c r="AD4256" s="78" t="s">
        <v>20</v>
      </c>
      <c r="AE4256" s="78" t="s">
        <v>72</v>
      </c>
      <c r="AF4256" s="78" t="s">
        <v>51</v>
      </c>
      <c r="AG4256" s="78" t="s">
        <v>575</v>
      </c>
      <c r="AH4256" s="78">
        <v>3.9708143018144364</v>
      </c>
    </row>
    <row r="4257" spans="29:34">
      <c r="AC4257" s="78" t="s">
        <v>55</v>
      </c>
      <c r="AD4257" s="78" t="s">
        <v>20</v>
      </c>
      <c r="AE4257" s="78" t="s">
        <v>72</v>
      </c>
      <c r="AF4257" s="78" t="s">
        <v>51</v>
      </c>
      <c r="AG4257" s="78" t="s">
        <v>576</v>
      </c>
      <c r="AH4257" s="78">
        <v>3.8883955794647993</v>
      </c>
    </row>
    <row r="4258" spans="29:34">
      <c r="AC4258" s="78" t="s">
        <v>55</v>
      </c>
      <c r="AD4258" s="78" t="s">
        <v>20</v>
      </c>
      <c r="AE4258" s="78" t="s">
        <v>72</v>
      </c>
      <c r="AF4258" s="78" t="s">
        <v>51</v>
      </c>
      <c r="AG4258" s="78" t="s">
        <v>577</v>
      </c>
      <c r="AH4258" s="78">
        <v>3.8883955794647993</v>
      </c>
    </row>
    <row r="4259" spans="29:34">
      <c r="AC4259" s="78" t="s">
        <v>55</v>
      </c>
      <c r="AD4259" s="78" t="s">
        <v>20</v>
      </c>
      <c r="AE4259" s="78" t="s">
        <v>72</v>
      </c>
      <c r="AF4259" s="78" t="s">
        <v>51</v>
      </c>
      <c r="AG4259" s="78" t="s">
        <v>578</v>
      </c>
      <c r="AH4259" s="78">
        <v>3.9832095698554069</v>
      </c>
    </row>
    <row r="4260" spans="29:34">
      <c r="AC4260" s="78" t="s">
        <v>55</v>
      </c>
      <c r="AD4260" s="78" t="s">
        <v>20</v>
      </c>
      <c r="AE4260" s="78" t="s">
        <v>72</v>
      </c>
      <c r="AF4260" s="78" t="s">
        <v>51</v>
      </c>
      <c r="AG4260" s="78" t="s">
        <v>579</v>
      </c>
      <c r="AH4260" s="78">
        <v>3.9832095698554069</v>
      </c>
    </row>
    <row r="4261" spans="29:34">
      <c r="AC4261" s="78" t="s">
        <v>55</v>
      </c>
      <c r="AD4261" s="78" t="s">
        <v>20</v>
      </c>
      <c r="AE4261" s="78" t="s">
        <v>72</v>
      </c>
      <c r="AF4261" s="78" t="s">
        <v>51</v>
      </c>
      <c r="AG4261" s="78" t="s">
        <v>580</v>
      </c>
      <c r="AH4261" s="78">
        <v>3.9708143018144364</v>
      </c>
    </row>
    <row r="4262" spans="29:34">
      <c r="AC4262" s="78" t="s">
        <v>55</v>
      </c>
      <c r="AD4262" s="78" t="s">
        <v>20</v>
      </c>
      <c r="AE4262" s="78" t="s">
        <v>72</v>
      </c>
      <c r="AF4262" s="78" t="s">
        <v>51</v>
      </c>
      <c r="AG4262" s="78" t="s">
        <v>581</v>
      </c>
      <c r="AH4262" s="78">
        <v>3.9708143018144364</v>
      </c>
    </row>
    <row r="4263" spans="29:34">
      <c r="AC4263" s="78" t="s">
        <v>55</v>
      </c>
      <c r="AD4263" s="78" t="s">
        <v>20</v>
      </c>
      <c r="AE4263" s="78" t="s">
        <v>72</v>
      </c>
      <c r="AF4263" s="78" t="s">
        <v>51</v>
      </c>
      <c r="AG4263" s="78" t="s">
        <v>582</v>
      </c>
      <c r="AH4263" s="78">
        <v>3.9832095698554069</v>
      </c>
    </row>
    <row r="4264" spans="29:34">
      <c r="AC4264" s="78" t="s">
        <v>55</v>
      </c>
      <c r="AD4264" s="78" t="s">
        <v>20</v>
      </c>
      <c r="AE4264" s="78" t="s">
        <v>72</v>
      </c>
      <c r="AF4264" s="78" t="s">
        <v>51</v>
      </c>
      <c r="AG4264" s="78" t="s">
        <v>583</v>
      </c>
      <c r="AH4264" s="78">
        <v>4.0144429031887405</v>
      </c>
    </row>
    <row r="4265" spans="29:34">
      <c r="AC4265" s="78" t="s">
        <v>55</v>
      </c>
      <c r="AD4265" s="78" t="s">
        <v>20</v>
      </c>
      <c r="AE4265" s="78" t="s">
        <v>72</v>
      </c>
      <c r="AF4265" s="78" t="s">
        <v>51</v>
      </c>
      <c r="AG4265" s="78" t="s">
        <v>584</v>
      </c>
      <c r="AH4265" s="78">
        <v>4.0144429031887405</v>
      </c>
    </row>
    <row r="4266" spans="29:34">
      <c r="AC4266" s="78" t="s">
        <v>55</v>
      </c>
      <c r="AD4266" s="78" t="s">
        <v>20</v>
      </c>
      <c r="AE4266" s="78" t="s">
        <v>72</v>
      </c>
      <c r="AF4266" s="78" t="s">
        <v>51</v>
      </c>
      <c r="AG4266" s="78" t="s">
        <v>585</v>
      </c>
      <c r="AH4266" s="78">
        <v>3.9832095698554069</v>
      </c>
    </row>
    <row r="4267" spans="29:34">
      <c r="AC4267" s="78" t="s">
        <v>55</v>
      </c>
      <c r="AD4267" s="78" t="s">
        <v>20</v>
      </c>
      <c r="AE4267" s="78" t="s">
        <v>72</v>
      </c>
      <c r="AF4267" s="78" t="s">
        <v>51</v>
      </c>
      <c r="AG4267" s="78" t="s">
        <v>586</v>
      </c>
      <c r="AH4267" s="78">
        <v>3.9832095698554069</v>
      </c>
    </row>
    <row r="4268" spans="29:34">
      <c r="AC4268" s="78" t="s">
        <v>55</v>
      </c>
      <c r="AD4268" s="78" t="s">
        <v>20</v>
      </c>
      <c r="AE4268" s="78" t="s">
        <v>72</v>
      </c>
      <c r="AF4268" s="78" t="s">
        <v>51</v>
      </c>
      <c r="AG4268" s="78" t="s">
        <v>587</v>
      </c>
      <c r="AH4268" s="78">
        <v>4.0144429031887405</v>
      </c>
    </row>
    <row r="4269" spans="29:34">
      <c r="AC4269" s="78" t="s">
        <v>55</v>
      </c>
      <c r="AD4269" s="78" t="s">
        <v>20</v>
      </c>
      <c r="AE4269" s="78" t="s">
        <v>72</v>
      </c>
      <c r="AF4269" s="78" t="s">
        <v>51</v>
      </c>
      <c r="AG4269" s="78" t="s">
        <v>588</v>
      </c>
      <c r="AH4269" s="78">
        <v>3.9708143018144364</v>
      </c>
    </row>
    <row r="4270" spans="29:34">
      <c r="AC4270" s="78" t="s">
        <v>55</v>
      </c>
      <c r="AD4270" s="78" t="s">
        <v>20</v>
      </c>
      <c r="AE4270" s="78" t="s">
        <v>72</v>
      </c>
      <c r="AF4270" s="78" t="s">
        <v>51</v>
      </c>
      <c r="AG4270" s="78" t="s">
        <v>589</v>
      </c>
      <c r="AH4270" s="78">
        <v>3.9708143018144364</v>
      </c>
    </row>
    <row r="4271" spans="29:34">
      <c r="AC4271" s="78" t="s">
        <v>55</v>
      </c>
      <c r="AD4271" s="78" t="s">
        <v>20</v>
      </c>
      <c r="AE4271" s="78" t="s">
        <v>72</v>
      </c>
      <c r="AF4271" s="78" t="s">
        <v>51</v>
      </c>
      <c r="AG4271" s="78" t="s">
        <v>590</v>
      </c>
      <c r="AH4271" s="78">
        <v>3.9708143018144364</v>
      </c>
    </row>
    <row r="4272" spans="29:34">
      <c r="AC4272" s="78" t="s">
        <v>55</v>
      </c>
      <c r="AD4272" s="78" t="s">
        <v>20</v>
      </c>
      <c r="AE4272" s="78" t="s">
        <v>72</v>
      </c>
      <c r="AF4272" s="78" t="s">
        <v>51</v>
      </c>
      <c r="AG4272" s="78" t="s">
        <v>591</v>
      </c>
      <c r="AH4272" s="78">
        <v>3.9708143018144364</v>
      </c>
    </row>
    <row r="4273" spans="29:34">
      <c r="AC4273" s="78" t="s">
        <v>55</v>
      </c>
      <c r="AD4273" s="78" t="s">
        <v>20</v>
      </c>
      <c r="AE4273" s="78" t="s">
        <v>72</v>
      </c>
      <c r="AF4273" s="78" t="s">
        <v>51</v>
      </c>
      <c r="AG4273" s="78" t="s">
        <v>592</v>
      </c>
      <c r="AH4273" s="78">
        <v>3.8883955794647993</v>
      </c>
    </row>
    <row r="4274" spans="29:34">
      <c r="AC4274" s="78" t="s">
        <v>55</v>
      </c>
      <c r="AD4274" s="78" t="s">
        <v>20</v>
      </c>
      <c r="AE4274" s="78" t="s">
        <v>72</v>
      </c>
      <c r="AF4274" s="78" t="s">
        <v>51</v>
      </c>
      <c r="AG4274" s="78" t="s">
        <v>593</v>
      </c>
      <c r="AH4274" s="78">
        <v>3.9708143018144364</v>
      </c>
    </row>
    <row r="4275" spans="29:34">
      <c r="AC4275" s="78" t="s">
        <v>55</v>
      </c>
      <c r="AD4275" s="78" t="s">
        <v>20</v>
      </c>
      <c r="AE4275" s="78" t="s">
        <v>72</v>
      </c>
      <c r="AF4275" s="78" t="s">
        <v>51</v>
      </c>
      <c r="AG4275" s="78" t="s">
        <v>594</v>
      </c>
      <c r="AH4275" s="78">
        <v>3.9708143018144364</v>
      </c>
    </row>
    <row r="4276" spans="29:34">
      <c r="AC4276" s="78" t="s">
        <v>55</v>
      </c>
      <c r="AD4276" s="78" t="s">
        <v>20</v>
      </c>
      <c r="AE4276" s="78" t="s">
        <v>72</v>
      </c>
      <c r="AF4276" s="78" t="s">
        <v>51</v>
      </c>
      <c r="AG4276" s="78" t="s">
        <v>595</v>
      </c>
      <c r="AH4276" s="78">
        <v>3.9832095698554069</v>
      </c>
    </row>
    <row r="4277" spans="29:34">
      <c r="AC4277" s="78" t="s">
        <v>55</v>
      </c>
      <c r="AD4277" s="78" t="s">
        <v>20</v>
      </c>
      <c r="AE4277" s="78" t="s">
        <v>72</v>
      </c>
      <c r="AF4277" s="78" t="s">
        <v>51</v>
      </c>
      <c r="AG4277" s="78" t="s">
        <v>596</v>
      </c>
      <c r="AH4277" s="78">
        <v>4.0144429031887405</v>
      </c>
    </row>
    <row r="4278" spans="29:34">
      <c r="AC4278" s="78" t="s">
        <v>55</v>
      </c>
      <c r="AD4278" s="78" t="s">
        <v>20</v>
      </c>
      <c r="AE4278" s="78" t="s">
        <v>72</v>
      </c>
      <c r="AF4278" s="78" t="s">
        <v>51</v>
      </c>
      <c r="AG4278" s="78" t="s">
        <v>597</v>
      </c>
      <c r="AH4278" s="78">
        <v>3.9832095698554069</v>
      </c>
    </row>
    <row r="4279" spans="29:34">
      <c r="AC4279" s="78" t="s">
        <v>55</v>
      </c>
      <c r="AD4279" s="78" t="s">
        <v>20</v>
      </c>
      <c r="AE4279" s="78" t="s">
        <v>72</v>
      </c>
      <c r="AF4279" s="78" t="s">
        <v>51</v>
      </c>
      <c r="AG4279" s="78" t="s">
        <v>598</v>
      </c>
      <c r="AH4279" s="78">
        <v>3.9708143018144364</v>
      </c>
    </row>
    <row r="4280" spans="29:34">
      <c r="AC4280" s="78" t="s">
        <v>55</v>
      </c>
      <c r="AD4280" s="78" t="s">
        <v>20</v>
      </c>
      <c r="AE4280" s="78" t="s">
        <v>72</v>
      </c>
      <c r="AF4280" s="78" t="s">
        <v>51</v>
      </c>
      <c r="AG4280" s="78" t="s">
        <v>599</v>
      </c>
      <c r="AH4280" s="78">
        <v>3.9832095698554069</v>
      </c>
    </row>
    <row r="4281" spans="29:34">
      <c r="AC4281" s="78" t="s">
        <v>55</v>
      </c>
      <c r="AD4281" s="78" t="s">
        <v>20</v>
      </c>
      <c r="AE4281" s="78" t="s">
        <v>72</v>
      </c>
      <c r="AF4281" s="78" t="s">
        <v>51</v>
      </c>
      <c r="AG4281" s="78" t="s">
        <v>600</v>
      </c>
      <c r="AH4281" s="78">
        <v>3.9708143018144364</v>
      </c>
    </row>
    <row r="4282" spans="29:34">
      <c r="AC4282" s="78" t="s">
        <v>55</v>
      </c>
      <c r="AD4282" s="78" t="s">
        <v>20</v>
      </c>
      <c r="AE4282" s="78" t="s">
        <v>72</v>
      </c>
      <c r="AF4282" s="78" t="s">
        <v>51</v>
      </c>
      <c r="AG4282" s="78" t="s">
        <v>601</v>
      </c>
      <c r="AH4282" s="78">
        <v>3.9708143018144364</v>
      </c>
    </row>
    <row r="4283" spans="29:34">
      <c r="AC4283" s="78" t="s">
        <v>55</v>
      </c>
      <c r="AD4283" s="78" t="s">
        <v>20</v>
      </c>
      <c r="AE4283" s="78" t="s">
        <v>72</v>
      </c>
      <c r="AF4283" s="78" t="s">
        <v>51</v>
      </c>
      <c r="AG4283" s="78" t="s">
        <v>602</v>
      </c>
      <c r="AH4283" s="78">
        <v>3.8571622461314652</v>
      </c>
    </row>
    <row r="4284" spans="29:34">
      <c r="AC4284" s="78" t="s">
        <v>55</v>
      </c>
      <c r="AD4284" s="78" t="s">
        <v>20</v>
      </c>
      <c r="AE4284" s="78" t="s">
        <v>72</v>
      </c>
      <c r="AF4284" s="78" t="s">
        <v>51</v>
      </c>
      <c r="AG4284" s="78" t="s">
        <v>603</v>
      </c>
      <c r="AH4284" s="78">
        <v>3.8571622461314652</v>
      </c>
    </row>
    <row r="4285" spans="29:34">
      <c r="AC4285" s="78" t="s">
        <v>55</v>
      </c>
      <c r="AD4285" s="78" t="s">
        <v>20</v>
      </c>
      <c r="AE4285" s="78" t="s">
        <v>72</v>
      </c>
      <c r="AF4285" s="78" t="s">
        <v>51</v>
      </c>
      <c r="AG4285" s="78" t="s">
        <v>604</v>
      </c>
      <c r="AH4285" s="78">
        <v>3.8883955794647993</v>
      </c>
    </row>
    <row r="4286" spans="29:34">
      <c r="AC4286" s="78" t="s">
        <v>55</v>
      </c>
      <c r="AD4286" s="78" t="s">
        <v>20</v>
      </c>
      <c r="AE4286" s="78" t="s">
        <v>72</v>
      </c>
      <c r="AF4286" s="78" t="s">
        <v>51</v>
      </c>
      <c r="AG4286" s="78" t="s">
        <v>605</v>
      </c>
      <c r="AH4286" s="78">
        <v>3.9832095698554069</v>
      </c>
    </row>
    <row r="4287" spans="29:34">
      <c r="AC4287" s="78" t="s">
        <v>55</v>
      </c>
      <c r="AD4287" s="78" t="s">
        <v>20</v>
      </c>
      <c r="AE4287" s="78" t="s">
        <v>72</v>
      </c>
      <c r="AF4287" s="78" t="s">
        <v>51</v>
      </c>
      <c r="AG4287" s="78" t="s">
        <v>606</v>
      </c>
      <c r="AH4287" s="78">
        <v>3.9832095698554069</v>
      </c>
    </row>
    <row r="4288" spans="29:34">
      <c r="AC4288" s="78" t="s">
        <v>55</v>
      </c>
      <c r="AD4288" s="78" t="s">
        <v>20</v>
      </c>
      <c r="AE4288" s="78" t="s">
        <v>72</v>
      </c>
      <c r="AF4288" s="78" t="s">
        <v>51</v>
      </c>
      <c r="AG4288" s="78" t="s">
        <v>607</v>
      </c>
      <c r="AH4288" s="78">
        <v>3.9832095698554069</v>
      </c>
    </row>
    <row r="4289" spans="29:34">
      <c r="AC4289" s="78" t="s">
        <v>55</v>
      </c>
      <c r="AD4289" s="78" t="s">
        <v>20</v>
      </c>
      <c r="AE4289" s="78" t="s">
        <v>72</v>
      </c>
      <c r="AF4289" s="78" t="s">
        <v>51</v>
      </c>
      <c r="AG4289" s="78" t="s">
        <v>608</v>
      </c>
      <c r="AH4289" s="78">
        <v>3.9832095698554069</v>
      </c>
    </row>
    <row r="4290" spans="29:34">
      <c r="AC4290" s="78" t="s">
        <v>55</v>
      </c>
      <c r="AD4290" s="78" t="s">
        <v>20</v>
      </c>
      <c r="AE4290" s="78" t="s">
        <v>72</v>
      </c>
      <c r="AF4290" s="78" t="s">
        <v>51</v>
      </c>
      <c r="AG4290" s="78" t="s">
        <v>609</v>
      </c>
      <c r="AH4290" s="78">
        <v>3.9832095698554069</v>
      </c>
    </row>
    <row r="4291" spans="29:34">
      <c r="AC4291" s="78" t="s">
        <v>55</v>
      </c>
      <c r="AD4291" s="78" t="s">
        <v>20</v>
      </c>
      <c r="AE4291" s="78" t="s">
        <v>72</v>
      </c>
      <c r="AF4291" s="78" t="s">
        <v>51</v>
      </c>
      <c r="AG4291" s="78" t="s">
        <v>610</v>
      </c>
      <c r="AH4291" s="78">
        <v>4.0144429031887405</v>
      </c>
    </row>
    <row r="4292" spans="29:34">
      <c r="AC4292" s="78" t="s">
        <v>55</v>
      </c>
      <c r="AD4292" s="78" t="s">
        <v>20</v>
      </c>
      <c r="AE4292" s="78" t="s">
        <v>72</v>
      </c>
      <c r="AF4292" s="78" t="s">
        <v>51</v>
      </c>
      <c r="AG4292" s="78" t="s">
        <v>611</v>
      </c>
      <c r="AH4292" s="78">
        <v>4.0964901368075282</v>
      </c>
    </row>
    <row r="4293" spans="29:34">
      <c r="AC4293" s="78" t="s">
        <v>55</v>
      </c>
      <c r="AD4293" s="78" t="s">
        <v>20</v>
      </c>
      <c r="AE4293" s="78" t="s">
        <v>72</v>
      </c>
      <c r="AF4293" s="78" t="s">
        <v>51</v>
      </c>
      <c r="AG4293" s="78" t="s">
        <v>612</v>
      </c>
      <c r="AH4293" s="78">
        <v>4.0964901368075282</v>
      </c>
    </row>
    <row r="4294" spans="29:34">
      <c r="AC4294" s="78" t="s">
        <v>55</v>
      </c>
      <c r="AD4294" s="78" t="s">
        <v>20</v>
      </c>
      <c r="AE4294" s="78" t="s">
        <v>72</v>
      </c>
      <c r="AF4294" s="78" t="s">
        <v>51</v>
      </c>
      <c r="AG4294" s="78" t="s">
        <v>613</v>
      </c>
      <c r="AH4294" s="78">
        <v>4.0964901368075282</v>
      </c>
    </row>
    <row r="4295" spans="29:34">
      <c r="AC4295" s="78" t="s">
        <v>55</v>
      </c>
      <c r="AD4295" s="78" t="s">
        <v>20</v>
      </c>
      <c r="AE4295" s="78" t="s">
        <v>72</v>
      </c>
      <c r="AF4295" s="78" t="s">
        <v>51</v>
      </c>
      <c r="AG4295" s="78" t="s">
        <v>614</v>
      </c>
      <c r="AH4295" s="78">
        <v>4.1092912467808151</v>
      </c>
    </row>
    <row r="4296" spans="29:34">
      <c r="AC4296" s="78" t="s">
        <v>55</v>
      </c>
      <c r="AD4296" s="78" t="s">
        <v>20</v>
      </c>
      <c r="AE4296" s="78" t="s">
        <v>72</v>
      </c>
      <c r="AF4296" s="78" t="s">
        <v>51</v>
      </c>
      <c r="AG4296" s="78" t="s">
        <v>615</v>
      </c>
      <c r="AH4296" s="78">
        <v>4.0964901368075282</v>
      </c>
    </row>
    <row r="4297" spans="29:34">
      <c r="AC4297" s="78" t="s">
        <v>55</v>
      </c>
      <c r="AD4297" s="78" t="s">
        <v>20</v>
      </c>
      <c r="AE4297" s="78" t="s">
        <v>72</v>
      </c>
      <c r="AF4297" s="78" t="s">
        <v>51</v>
      </c>
      <c r="AG4297" s="78" t="s">
        <v>616</v>
      </c>
      <c r="AH4297" s="78">
        <v>3.9832095698554069</v>
      </c>
    </row>
    <row r="4298" spans="29:34">
      <c r="AC4298" s="78" t="s">
        <v>55</v>
      </c>
      <c r="AD4298" s="78" t="s">
        <v>20</v>
      </c>
      <c r="AE4298" s="78" t="s">
        <v>72</v>
      </c>
      <c r="AF4298" s="78" t="s">
        <v>51</v>
      </c>
      <c r="AG4298" s="78" t="s">
        <v>617</v>
      </c>
      <c r="AH4298" s="78">
        <v>3.9832095698554069</v>
      </c>
    </row>
    <row r="4299" spans="29:34">
      <c r="AC4299" s="78" t="s">
        <v>55</v>
      </c>
      <c r="AD4299" s="78" t="s">
        <v>20</v>
      </c>
      <c r="AE4299" s="78" t="s">
        <v>72</v>
      </c>
      <c r="AF4299" s="78" t="s">
        <v>51</v>
      </c>
      <c r="AG4299" s="78" t="s">
        <v>618</v>
      </c>
      <c r="AH4299" s="78">
        <v>3.9832095698554069</v>
      </c>
    </row>
    <row r="4300" spans="29:34">
      <c r="AC4300" s="78" t="s">
        <v>55</v>
      </c>
      <c r="AD4300" s="78" t="s">
        <v>20</v>
      </c>
      <c r="AE4300" s="78" t="s">
        <v>72</v>
      </c>
      <c r="AF4300" s="78" t="s">
        <v>51</v>
      </c>
      <c r="AG4300" s="78" t="s">
        <v>619</v>
      </c>
      <c r="AH4300" s="78">
        <v>3.9708143018144364</v>
      </c>
    </row>
    <row r="4301" spans="29:34">
      <c r="AC4301" s="78" t="s">
        <v>55</v>
      </c>
      <c r="AD4301" s="78" t="s">
        <v>20</v>
      </c>
      <c r="AE4301" s="78" t="s">
        <v>72</v>
      </c>
      <c r="AF4301" s="78" t="s">
        <v>51</v>
      </c>
      <c r="AG4301" s="78" t="s">
        <v>620</v>
      </c>
      <c r="AH4301" s="78">
        <v>3.8883955794647993</v>
      </c>
    </row>
    <row r="4302" spans="29:34">
      <c r="AC4302" s="78" t="s">
        <v>55</v>
      </c>
      <c r="AD4302" s="78" t="s">
        <v>20</v>
      </c>
      <c r="AE4302" s="78" t="s">
        <v>72</v>
      </c>
      <c r="AF4302" s="78" t="s">
        <v>51</v>
      </c>
      <c r="AG4302" s="78" t="s">
        <v>621</v>
      </c>
      <c r="AH4302" s="78">
        <v>3.8883955794647993</v>
      </c>
    </row>
    <row r="4303" spans="29:34">
      <c r="AC4303" s="78" t="s">
        <v>55</v>
      </c>
      <c r="AD4303" s="78" t="s">
        <v>20</v>
      </c>
      <c r="AE4303" s="78" t="s">
        <v>72</v>
      </c>
      <c r="AF4303" s="78" t="s">
        <v>51</v>
      </c>
      <c r="AG4303" s="78" t="s">
        <v>622</v>
      </c>
      <c r="AH4303" s="78">
        <v>3.9708143018144364</v>
      </c>
    </row>
    <row r="4304" spans="29:34">
      <c r="AC4304" s="78" t="s">
        <v>55</v>
      </c>
      <c r="AD4304" s="78" t="s">
        <v>20</v>
      </c>
      <c r="AE4304" s="78" t="s">
        <v>72</v>
      </c>
      <c r="AF4304" s="78" t="s">
        <v>51</v>
      </c>
      <c r="AG4304" s="78" t="s">
        <v>623</v>
      </c>
      <c r="AH4304" s="78">
        <v>3.8883955794647993</v>
      </c>
    </row>
    <row r="4305" spans="29:34">
      <c r="AC4305" s="78" t="s">
        <v>55</v>
      </c>
      <c r="AD4305" s="78" t="s">
        <v>20</v>
      </c>
      <c r="AE4305" s="78" t="s">
        <v>72</v>
      </c>
      <c r="AF4305" s="78" t="s">
        <v>51</v>
      </c>
      <c r="AG4305" s="78" t="s">
        <v>624</v>
      </c>
      <c r="AH4305" s="78">
        <v>3.9708143018144364</v>
      </c>
    </row>
    <row r="4306" spans="29:34">
      <c r="AC4306" s="78" t="s">
        <v>55</v>
      </c>
      <c r="AD4306" s="78" t="s">
        <v>20</v>
      </c>
      <c r="AE4306" s="78" t="s">
        <v>72</v>
      </c>
      <c r="AF4306" s="78" t="s">
        <v>51</v>
      </c>
      <c r="AG4306" s="78" t="s">
        <v>625</v>
      </c>
      <c r="AH4306" s="78">
        <v>3.9708143018144364</v>
      </c>
    </row>
    <row r="4307" spans="29:34">
      <c r="AC4307" s="78" t="s">
        <v>55</v>
      </c>
      <c r="AD4307" s="78" t="s">
        <v>20</v>
      </c>
      <c r="AE4307" s="78" t="s">
        <v>72</v>
      </c>
      <c r="AF4307" s="78" t="s">
        <v>51</v>
      </c>
      <c r="AG4307" s="78" t="s">
        <v>626</v>
      </c>
      <c r="AH4307" s="78">
        <v>3.9708143018144364</v>
      </c>
    </row>
    <row r="4308" spans="29:34">
      <c r="AC4308" s="78" t="s">
        <v>55</v>
      </c>
      <c r="AD4308" s="78" t="s">
        <v>20</v>
      </c>
      <c r="AE4308" s="78" t="s">
        <v>72</v>
      </c>
      <c r="AF4308" s="78" t="s">
        <v>51</v>
      </c>
      <c r="AG4308" s="78" t="s">
        <v>627</v>
      </c>
      <c r="AH4308" s="78">
        <v>3.9708143018144364</v>
      </c>
    </row>
    <row r="4309" spans="29:34">
      <c r="AC4309" s="78" t="s">
        <v>55</v>
      </c>
      <c r="AD4309" s="78" t="s">
        <v>20</v>
      </c>
      <c r="AE4309" s="78" t="s">
        <v>72</v>
      </c>
      <c r="AF4309" s="78" t="s">
        <v>51</v>
      </c>
      <c r="AG4309" s="78" t="s">
        <v>628</v>
      </c>
      <c r="AH4309" s="78">
        <v>3.9708143018144364</v>
      </c>
    </row>
    <row r="4310" spans="29:34">
      <c r="AC4310" s="78" t="s">
        <v>55</v>
      </c>
      <c r="AD4310" s="78" t="s">
        <v>20</v>
      </c>
      <c r="AE4310" s="78" t="s">
        <v>72</v>
      </c>
      <c r="AF4310" s="78" t="s">
        <v>51</v>
      </c>
      <c r="AG4310" s="78" t="s">
        <v>629</v>
      </c>
      <c r="AH4310" s="78">
        <v>3.8571622461314652</v>
      </c>
    </row>
    <row r="4311" spans="29:34">
      <c r="AC4311" s="78" t="s">
        <v>55</v>
      </c>
      <c r="AD4311" s="78" t="s">
        <v>20</v>
      </c>
      <c r="AE4311" s="78" t="s">
        <v>72</v>
      </c>
      <c r="AF4311" s="78" t="s">
        <v>51</v>
      </c>
      <c r="AG4311" s="78" t="s">
        <v>630</v>
      </c>
      <c r="AH4311" s="78">
        <v>3.8883955794647993</v>
      </c>
    </row>
    <row r="4312" spans="29:34">
      <c r="AC4312" s="78" t="s">
        <v>55</v>
      </c>
      <c r="AD4312" s="78" t="s">
        <v>20</v>
      </c>
      <c r="AE4312" s="78" t="s">
        <v>72</v>
      </c>
      <c r="AF4312" s="78" t="s">
        <v>51</v>
      </c>
      <c r="AG4312" s="78" t="s">
        <v>631</v>
      </c>
      <c r="AH4312" s="78">
        <v>3.8571622461314652</v>
      </c>
    </row>
    <row r="4313" spans="29:34">
      <c r="AC4313" s="78" t="s">
        <v>55</v>
      </c>
      <c r="AD4313" s="78" t="s">
        <v>20</v>
      </c>
      <c r="AE4313" s="78" t="s">
        <v>72</v>
      </c>
      <c r="AF4313" s="78" t="s">
        <v>51</v>
      </c>
      <c r="AG4313" s="78" t="s">
        <v>632</v>
      </c>
      <c r="AH4313" s="78">
        <v>3.8571622461314652</v>
      </c>
    </row>
    <row r="4314" spans="29:34">
      <c r="AC4314" s="78" t="s">
        <v>55</v>
      </c>
      <c r="AD4314" s="78" t="s">
        <v>20</v>
      </c>
      <c r="AE4314" s="78" t="s">
        <v>72</v>
      </c>
      <c r="AF4314" s="78" t="s">
        <v>51</v>
      </c>
      <c r="AG4314" s="78" t="s">
        <v>633</v>
      </c>
      <c r="AH4314" s="78">
        <v>3.8883955794647993</v>
      </c>
    </row>
    <row r="4315" spans="29:34">
      <c r="AC4315" s="78" t="s">
        <v>55</v>
      </c>
      <c r="AD4315" s="78" t="s">
        <v>20</v>
      </c>
      <c r="AE4315" s="78" t="s">
        <v>72</v>
      </c>
      <c r="AF4315" s="78" t="s">
        <v>51</v>
      </c>
      <c r="AG4315" s="78" t="s">
        <v>634</v>
      </c>
      <c r="AH4315" s="78">
        <v>3.8571622461314652</v>
      </c>
    </row>
    <row r="4316" spans="29:34">
      <c r="AC4316" s="78" t="s">
        <v>55</v>
      </c>
      <c r="AD4316" s="78" t="s">
        <v>20</v>
      </c>
      <c r="AE4316" s="78" t="s">
        <v>72</v>
      </c>
      <c r="AF4316" s="78" t="s">
        <v>51</v>
      </c>
      <c r="AG4316" s="78" t="s">
        <v>635</v>
      </c>
      <c r="AH4316" s="78">
        <v>3.8451078179729343</v>
      </c>
    </row>
    <row r="4317" spans="29:34">
      <c r="AC4317" s="78" t="s">
        <v>55</v>
      </c>
      <c r="AD4317" s="78" t="s">
        <v>20</v>
      </c>
      <c r="AE4317" s="78" t="s">
        <v>72</v>
      </c>
      <c r="AF4317" s="78" t="s">
        <v>51</v>
      </c>
      <c r="AG4317" s="78" t="s">
        <v>636</v>
      </c>
      <c r="AH4317" s="78">
        <v>3.7623159204917345</v>
      </c>
    </row>
    <row r="4318" spans="29:34">
      <c r="AC4318" s="78" t="s">
        <v>55</v>
      </c>
      <c r="AD4318" s="78" t="s">
        <v>20</v>
      </c>
      <c r="AE4318" s="78" t="s">
        <v>72</v>
      </c>
      <c r="AF4318" s="78" t="s">
        <v>51</v>
      </c>
      <c r="AG4318" s="78" t="s">
        <v>637</v>
      </c>
      <c r="AH4318" s="78">
        <v>3.7623159204917345</v>
      </c>
    </row>
    <row r="4319" spans="29:34">
      <c r="AC4319" s="78" t="s">
        <v>55</v>
      </c>
      <c r="AD4319" s="78" t="s">
        <v>20</v>
      </c>
      <c r="AE4319" s="78" t="s">
        <v>72</v>
      </c>
      <c r="AF4319" s="78" t="s">
        <v>51</v>
      </c>
      <c r="AG4319" s="78" t="s">
        <v>638</v>
      </c>
      <c r="AH4319" s="78">
        <v>3.7310825871584004</v>
      </c>
    </row>
    <row r="4320" spans="29:34">
      <c r="AC4320" s="78" t="s">
        <v>55</v>
      </c>
      <c r="AD4320" s="78" t="s">
        <v>20</v>
      </c>
      <c r="AE4320" s="78" t="s">
        <v>72</v>
      </c>
      <c r="AF4320" s="78" t="s">
        <v>51</v>
      </c>
      <c r="AG4320" s="78" t="s">
        <v>639</v>
      </c>
      <c r="AH4320" s="78">
        <v>3.7310825871584004</v>
      </c>
    </row>
    <row r="4321" spans="29:34">
      <c r="AC4321" s="78" t="s">
        <v>55</v>
      </c>
      <c r="AD4321" s="78" t="s">
        <v>20</v>
      </c>
      <c r="AE4321" s="78" t="s">
        <v>72</v>
      </c>
      <c r="AF4321" s="78" t="s">
        <v>51</v>
      </c>
      <c r="AG4321" s="78" t="s">
        <v>640</v>
      </c>
      <c r="AH4321" s="78">
        <v>3.7623159204917345</v>
      </c>
    </row>
    <row r="4322" spans="29:34">
      <c r="AC4322" s="78" t="s">
        <v>55</v>
      </c>
      <c r="AD4322" s="78" t="s">
        <v>20</v>
      </c>
      <c r="AE4322" s="78" t="s">
        <v>72</v>
      </c>
      <c r="AF4322" s="78" t="s">
        <v>51</v>
      </c>
      <c r="AG4322" s="78" t="s">
        <v>641</v>
      </c>
      <c r="AH4322" s="78">
        <v>3.7623159204917345</v>
      </c>
    </row>
    <row r="4323" spans="29:34">
      <c r="AC4323" s="78" t="s">
        <v>55</v>
      </c>
      <c r="AD4323" s="78" t="s">
        <v>20</v>
      </c>
      <c r="AE4323" s="78" t="s">
        <v>72</v>
      </c>
      <c r="AF4323" s="78" t="s">
        <v>51</v>
      </c>
      <c r="AG4323" s="78" t="s">
        <v>642</v>
      </c>
      <c r="AH4323" s="78">
        <v>3.8451078179729343</v>
      </c>
    </row>
    <row r="4324" spans="29:34">
      <c r="AC4324" s="78" t="s">
        <v>55</v>
      </c>
      <c r="AD4324" s="78" t="s">
        <v>20</v>
      </c>
      <c r="AE4324" s="78" t="s">
        <v>72</v>
      </c>
      <c r="AF4324" s="78" t="s">
        <v>51</v>
      </c>
      <c r="AG4324" s="78" t="s">
        <v>643</v>
      </c>
      <c r="AH4324" s="78">
        <v>3.8571622461314652</v>
      </c>
    </row>
    <row r="4325" spans="29:34">
      <c r="AC4325" s="78" t="s">
        <v>55</v>
      </c>
      <c r="AD4325" s="78" t="s">
        <v>20</v>
      </c>
      <c r="AE4325" s="78" t="s">
        <v>72</v>
      </c>
      <c r="AF4325" s="78" t="s">
        <v>51</v>
      </c>
      <c r="AG4325" s="78" t="s">
        <v>644</v>
      </c>
      <c r="AH4325" s="78">
        <v>3.8883955794647993</v>
      </c>
    </row>
    <row r="4326" spans="29:34">
      <c r="AC4326" s="78" t="s">
        <v>55</v>
      </c>
      <c r="AD4326" s="78" t="s">
        <v>20</v>
      </c>
      <c r="AE4326" s="78" t="s">
        <v>72</v>
      </c>
      <c r="AF4326" s="78" t="s">
        <v>51</v>
      </c>
      <c r="AG4326" s="78" t="s">
        <v>645</v>
      </c>
      <c r="AH4326" s="78">
        <v>3.8571622461314652</v>
      </c>
    </row>
    <row r="4327" spans="29:34">
      <c r="AC4327" s="78" t="s">
        <v>55</v>
      </c>
      <c r="AD4327" s="78" t="s">
        <v>20</v>
      </c>
      <c r="AE4327" s="78" t="s">
        <v>72</v>
      </c>
      <c r="AF4327" s="78" t="s">
        <v>51</v>
      </c>
      <c r="AG4327" s="78" t="s">
        <v>646</v>
      </c>
      <c r="AH4327" s="78">
        <v>3.8571622461314652</v>
      </c>
    </row>
    <row r="4328" spans="29:34">
      <c r="AC4328" s="78" t="s">
        <v>55</v>
      </c>
      <c r="AD4328" s="78" t="s">
        <v>20</v>
      </c>
      <c r="AE4328" s="78" t="s">
        <v>72</v>
      </c>
      <c r="AF4328" s="78" t="s">
        <v>51</v>
      </c>
      <c r="AG4328" s="78" t="s">
        <v>647</v>
      </c>
      <c r="AH4328" s="78">
        <v>3.8571622461314652</v>
      </c>
    </row>
    <row r="4329" spans="29:34">
      <c r="AC4329" s="78" t="s">
        <v>55</v>
      </c>
      <c r="AD4329" s="78" t="s">
        <v>20</v>
      </c>
      <c r="AE4329" s="78" t="s">
        <v>72</v>
      </c>
      <c r="AF4329" s="78" t="s">
        <v>51</v>
      </c>
      <c r="AG4329" s="78" t="s">
        <v>648</v>
      </c>
      <c r="AH4329" s="78">
        <v>3.8571622461314652</v>
      </c>
    </row>
    <row r="4330" spans="29:34">
      <c r="AC4330" s="78" t="s">
        <v>55</v>
      </c>
      <c r="AD4330" s="78" t="s">
        <v>20</v>
      </c>
      <c r="AE4330" s="78" t="s">
        <v>72</v>
      </c>
      <c r="AF4330" s="78" t="s">
        <v>51</v>
      </c>
      <c r="AG4330" s="78" t="s">
        <v>649</v>
      </c>
      <c r="AH4330" s="78">
        <v>3.8571622461314652</v>
      </c>
    </row>
    <row r="4331" spans="29:34">
      <c r="AC4331" s="78" t="s">
        <v>55</v>
      </c>
      <c r="AD4331" s="78" t="s">
        <v>20</v>
      </c>
      <c r="AE4331" s="78" t="s">
        <v>72</v>
      </c>
      <c r="AF4331" s="78" t="s">
        <v>51</v>
      </c>
      <c r="AG4331" s="78" t="s">
        <v>650</v>
      </c>
      <c r="AH4331" s="78">
        <v>3.8883955794647993</v>
      </c>
    </row>
    <row r="4332" spans="29:34">
      <c r="AC4332" s="78" t="s">
        <v>55</v>
      </c>
      <c r="AD4332" s="78" t="s">
        <v>20</v>
      </c>
      <c r="AE4332" s="78" t="s">
        <v>72</v>
      </c>
      <c r="AF4332" s="78" t="s">
        <v>51</v>
      </c>
      <c r="AG4332" s="78" t="s">
        <v>651</v>
      </c>
      <c r="AH4332" s="78">
        <v>3.8883955794647993</v>
      </c>
    </row>
    <row r="4333" spans="29:34">
      <c r="AC4333" s="78" t="s">
        <v>55</v>
      </c>
      <c r="AD4333" s="78" t="s">
        <v>20</v>
      </c>
      <c r="AE4333" s="78" t="s">
        <v>72</v>
      </c>
      <c r="AF4333" s="78" t="s">
        <v>51</v>
      </c>
      <c r="AG4333" s="78" t="s">
        <v>652</v>
      </c>
      <c r="AH4333" s="78">
        <v>3.8883955794647993</v>
      </c>
    </row>
    <row r="4334" spans="29:34">
      <c r="AC4334" s="78" t="s">
        <v>55</v>
      </c>
      <c r="AD4334" s="78" t="s">
        <v>20</v>
      </c>
      <c r="AE4334" s="78" t="s">
        <v>72</v>
      </c>
      <c r="AF4334" s="78" t="s">
        <v>51</v>
      </c>
      <c r="AG4334" s="78" t="s">
        <v>653</v>
      </c>
      <c r="AH4334" s="78">
        <v>3.8883955794647993</v>
      </c>
    </row>
    <row r="4335" spans="29:34">
      <c r="AC4335" s="78" t="s">
        <v>55</v>
      </c>
      <c r="AD4335" s="78" t="s">
        <v>20</v>
      </c>
      <c r="AE4335" s="78" t="s">
        <v>72</v>
      </c>
      <c r="AF4335" s="78" t="s">
        <v>51</v>
      </c>
      <c r="AG4335" s="78" t="s">
        <v>654</v>
      </c>
      <c r="AH4335" s="78">
        <v>3.8883955794647993</v>
      </c>
    </row>
    <row r="4336" spans="29:34">
      <c r="AC4336" s="78" t="s">
        <v>55</v>
      </c>
      <c r="AD4336" s="78" t="s">
        <v>20</v>
      </c>
      <c r="AE4336" s="78" t="s">
        <v>72</v>
      </c>
      <c r="AF4336" s="78" t="s">
        <v>51</v>
      </c>
      <c r="AG4336" s="78" t="s">
        <v>655</v>
      </c>
      <c r="AH4336" s="78">
        <v>3.8571622461314652</v>
      </c>
    </row>
    <row r="4337" spans="29:34">
      <c r="AC4337" s="78" t="s">
        <v>55</v>
      </c>
      <c r="AD4337" s="78" t="s">
        <v>20</v>
      </c>
      <c r="AE4337" s="78" t="s">
        <v>72</v>
      </c>
      <c r="AF4337" s="78" t="s">
        <v>51</v>
      </c>
      <c r="AG4337" s="78" t="s">
        <v>656</v>
      </c>
      <c r="AH4337" s="78">
        <v>3.8451078179729343</v>
      </c>
    </row>
    <row r="4338" spans="29:34">
      <c r="AC4338" s="78" t="s">
        <v>55</v>
      </c>
      <c r="AD4338" s="78" t="s">
        <v>20</v>
      </c>
      <c r="AE4338" s="78" t="s">
        <v>72</v>
      </c>
      <c r="AF4338" s="78" t="s">
        <v>51</v>
      </c>
      <c r="AG4338" s="78" t="s">
        <v>657</v>
      </c>
      <c r="AH4338" s="78">
        <v>3.8451078179729343</v>
      </c>
    </row>
    <row r="4339" spans="29:34">
      <c r="AC4339" s="78" t="s">
        <v>55</v>
      </c>
      <c r="AD4339" s="78" t="s">
        <v>20</v>
      </c>
      <c r="AE4339" s="78" t="s">
        <v>72</v>
      </c>
      <c r="AF4339" s="78" t="s">
        <v>51</v>
      </c>
      <c r="AG4339" s="78" t="s">
        <v>658</v>
      </c>
      <c r="AH4339" s="78">
        <v>3.7310825871584004</v>
      </c>
    </row>
    <row r="4340" spans="29:34">
      <c r="AC4340" s="78" t="s">
        <v>55</v>
      </c>
      <c r="AD4340" s="78" t="s">
        <v>20</v>
      </c>
      <c r="AE4340" s="78" t="s">
        <v>72</v>
      </c>
      <c r="AF4340" s="78" t="s">
        <v>51</v>
      </c>
      <c r="AG4340" s="78" t="s">
        <v>659</v>
      </c>
      <c r="AH4340" s="78">
        <v>3.7310825871584004</v>
      </c>
    </row>
    <row r="4341" spans="29:34">
      <c r="AC4341" s="78" t="s">
        <v>55</v>
      </c>
      <c r="AD4341" s="78" t="s">
        <v>20</v>
      </c>
      <c r="AE4341" s="78" t="s">
        <v>72</v>
      </c>
      <c r="AF4341" s="78" t="s">
        <v>51</v>
      </c>
      <c r="AG4341" s="78" t="s">
        <v>660</v>
      </c>
      <c r="AH4341" s="78">
        <v>3.7623159204917345</v>
      </c>
    </row>
    <row r="4342" spans="29:34">
      <c r="AC4342" s="78" t="s">
        <v>55</v>
      </c>
      <c r="AD4342" s="78" t="s">
        <v>20</v>
      </c>
      <c r="AE4342" s="78" t="s">
        <v>72</v>
      </c>
      <c r="AF4342" s="78" t="s">
        <v>51</v>
      </c>
      <c r="AG4342" s="78" t="s">
        <v>661</v>
      </c>
      <c r="AH4342" s="78">
        <v>3.7623159204917345</v>
      </c>
    </row>
    <row r="4343" spans="29:34">
      <c r="AC4343" s="78" t="s">
        <v>55</v>
      </c>
      <c r="AD4343" s="78" t="s">
        <v>20</v>
      </c>
      <c r="AE4343" s="78" t="s">
        <v>72</v>
      </c>
      <c r="AF4343" s="78" t="s">
        <v>51</v>
      </c>
      <c r="AG4343" s="78" t="s">
        <v>662</v>
      </c>
      <c r="AH4343" s="78">
        <v>3.7623159204917345</v>
      </c>
    </row>
    <row r="4344" spans="29:34">
      <c r="AC4344" s="78" t="s">
        <v>55</v>
      </c>
      <c r="AD4344" s="78" t="s">
        <v>20</v>
      </c>
      <c r="AE4344" s="78" t="s">
        <v>72</v>
      </c>
      <c r="AF4344" s="78" t="s">
        <v>51</v>
      </c>
      <c r="AG4344" s="78" t="s">
        <v>663</v>
      </c>
      <c r="AH4344" s="78">
        <v>3.8451078179729343</v>
      </c>
    </row>
    <row r="4345" spans="29:34">
      <c r="AC4345" s="78" t="s">
        <v>55</v>
      </c>
      <c r="AD4345" s="78" t="s">
        <v>20</v>
      </c>
      <c r="AE4345" s="78" t="s">
        <v>72</v>
      </c>
      <c r="AF4345" s="78" t="s">
        <v>51</v>
      </c>
      <c r="AG4345" s="78" t="s">
        <v>664</v>
      </c>
      <c r="AH4345" s="78">
        <v>3.7623159204917345</v>
      </c>
    </row>
    <row r="4346" spans="29:34">
      <c r="AC4346" s="78" t="s">
        <v>55</v>
      </c>
      <c r="AD4346" s="78" t="s">
        <v>20</v>
      </c>
      <c r="AE4346" s="78" t="s">
        <v>72</v>
      </c>
      <c r="AF4346" s="78" t="s">
        <v>51</v>
      </c>
      <c r="AG4346" s="78" t="s">
        <v>665</v>
      </c>
      <c r="AH4346" s="78">
        <v>3.7623159204917345</v>
      </c>
    </row>
    <row r="4347" spans="29:34">
      <c r="AC4347" s="78" t="s">
        <v>55</v>
      </c>
      <c r="AD4347" s="78" t="s">
        <v>20</v>
      </c>
      <c r="AE4347" s="78" t="s">
        <v>72</v>
      </c>
      <c r="AF4347" s="78" t="s">
        <v>51</v>
      </c>
      <c r="AG4347" s="78" t="s">
        <v>666</v>
      </c>
      <c r="AH4347" s="78">
        <v>3.7623159204917345</v>
      </c>
    </row>
    <row r="4348" spans="29:34">
      <c r="AC4348" s="78" t="s">
        <v>55</v>
      </c>
      <c r="AD4348" s="78" t="s">
        <v>20</v>
      </c>
      <c r="AE4348" s="78" t="s">
        <v>72</v>
      </c>
      <c r="AF4348" s="78" t="s">
        <v>51</v>
      </c>
      <c r="AG4348" s="78" t="s">
        <v>667</v>
      </c>
      <c r="AH4348" s="78">
        <v>4.1746520753994307</v>
      </c>
    </row>
    <row r="4349" spans="29:34">
      <c r="AC4349" s="78" t="s">
        <v>55</v>
      </c>
      <c r="AD4349" s="78" t="s">
        <v>20</v>
      </c>
      <c r="AE4349" s="78" t="s">
        <v>72</v>
      </c>
      <c r="AF4349" s="78" t="s">
        <v>51</v>
      </c>
      <c r="AG4349" s="78" t="s">
        <v>668</v>
      </c>
      <c r="AH4349" s="78">
        <v>4.2571164346307437</v>
      </c>
    </row>
    <row r="4350" spans="29:34">
      <c r="AC4350" s="78" t="s">
        <v>55</v>
      </c>
      <c r="AD4350" s="78" t="s">
        <v>20</v>
      </c>
      <c r="AE4350" s="78" t="s">
        <v>72</v>
      </c>
      <c r="AF4350" s="78" t="s">
        <v>51</v>
      </c>
      <c r="AG4350" s="78" t="s">
        <v>669</v>
      </c>
      <c r="AH4350" s="78">
        <v>4.1481752040431985</v>
      </c>
    </row>
    <row r="4351" spans="29:34">
      <c r="AC4351" s="78" t="s">
        <v>55</v>
      </c>
      <c r="AD4351" s="78" t="s">
        <v>20</v>
      </c>
      <c r="AE4351" s="78" t="s">
        <v>72</v>
      </c>
      <c r="AF4351" s="78" t="s">
        <v>51</v>
      </c>
      <c r="AG4351" s="78" t="s">
        <v>670</v>
      </c>
      <c r="AH4351" s="78">
        <v>4.1481752040431985</v>
      </c>
    </row>
    <row r="4352" spans="29:34">
      <c r="AC4352" s="78" t="s">
        <v>55</v>
      </c>
      <c r="AD4352" s="78" t="s">
        <v>20</v>
      </c>
      <c r="AE4352" s="78" t="s">
        <v>72</v>
      </c>
      <c r="AF4352" s="78" t="s">
        <v>51</v>
      </c>
      <c r="AG4352" s="78" t="s">
        <v>671</v>
      </c>
      <c r="AH4352" s="78">
        <v>4.1481752040431985</v>
      </c>
    </row>
    <row r="4353" spans="29:34">
      <c r="AC4353" s="78" t="s">
        <v>55</v>
      </c>
      <c r="AD4353" s="78" t="s">
        <v>20</v>
      </c>
      <c r="AE4353" s="78" t="s">
        <v>72</v>
      </c>
      <c r="AF4353" s="78" t="s">
        <v>51</v>
      </c>
      <c r="AG4353" s="78" t="s">
        <v>672</v>
      </c>
      <c r="AH4353" s="78">
        <v>4.1746520753994307</v>
      </c>
    </row>
    <row r="4354" spans="29:34">
      <c r="AC4354" s="78" t="s">
        <v>55</v>
      </c>
      <c r="AD4354" s="78" t="s">
        <v>20</v>
      </c>
      <c r="AE4354" s="78" t="s">
        <v>72</v>
      </c>
      <c r="AF4354" s="78" t="s">
        <v>51</v>
      </c>
      <c r="AG4354" s="78" t="s">
        <v>673</v>
      </c>
      <c r="AH4354" s="78">
        <v>4.1746520753994307</v>
      </c>
    </row>
    <row r="4355" spans="29:34">
      <c r="AC4355" s="78" t="s">
        <v>55</v>
      </c>
      <c r="AD4355" s="78" t="s">
        <v>20</v>
      </c>
      <c r="AE4355" s="78" t="s">
        <v>72</v>
      </c>
      <c r="AF4355" s="78" t="s">
        <v>51</v>
      </c>
      <c r="AG4355" s="78" t="s">
        <v>674</v>
      </c>
      <c r="AH4355" s="78">
        <v>4.1746520753994307</v>
      </c>
    </row>
    <row r="4356" spans="29:34">
      <c r="AC4356" s="78" t="s">
        <v>55</v>
      </c>
      <c r="AD4356" s="78" t="s">
        <v>20</v>
      </c>
      <c r="AE4356" s="78" t="s">
        <v>72</v>
      </c>
      <c r="AF4356" s="78" t="s">
        <v>51</v>
      </c>
      <c r="AG4356" s="78" t="s">
        <v>675</v>
      </c>
      <c r="AH4356" s="78">
        <v>4.1746520753994307</v>
      </c>
    </row>
    <row r="4357" spans="29:34">
      <c r="AC4357" s="78" t="s">
        <v>55</v>
      </c>
      <c r="AD4357" s="78" t="s">
        <v>20</v>
      </c>
      <c r="AE4357" s="78" t="s">
        <v>72</v>
      </c>
      <c r="AF4357" s="78" t="s">
        <v>51</v>
      </c>
      <c r="AG4357" s="78" t="s">
        <v>676</v>
      </c>
      <c r="AH4357" s="78">
        <v>4.1481752040431985</v>
      </c>
    </row>
    <row r="4358" spans="29:34">
      <c r="AC4358" s="78" t="s">
        <v>55</v>
      </c>
      <c r="AD4358" s="78" t="s">
        <v>20</v>
      </c>
      <c r="AE4358" s="78" t="s">
        <v>72</v>
      </c>
      <c r="AF4358" s="78" t="s">
        <v>51</v>
      </c>
      <c r="AG4358" s="78" t="s">
        <v>677</v>
      </c>
      <c r="AH4358" s="78">
        <v>4.1746520753994307</v>
      </c>
    </row>
    <row r="4359" spans="29:34">
      <c r="AC4359" s="78" t="s">
        <v>55</v>
      </c>
      <c r="AD4359" s="78" t="s">
        <v>20</v>
      </c>
      <c r="AE4359" s="78" t="s">
        <v>72</v>
      </c>
      <c r="AF4359" s="78" t="s">
        <v>51</v>
      </c>
      <c r="AG4359" s="78" t="s">
        <v>678</v>
      </c>
      <c r="AH4359" s="78">
        <v>4.1746520753994307</v>
      </c>
    </row>
    <row r="4360" spans="29:34">
      <c r="AC4360" s="78" t="s">
        <v>55</v>
      </c>
      <c r="AD4360" s="78" t="s">
        <v>20</v>
      </c>
      <c r="AE4360" s="78" t="s">
        <v>72</v>
      </c>
      <c r="AF4360" s="78" t="s">
        <v>51</v>
      </c>
      <c r="AG4360" s="78" t="s">
        <v>679</v>
      </c>
      <c r="AH4360" s="78">
        <v>4.1746520753994307</v>
      </c>
    </row>
    <row r="4361" spans="29:34">
      <c r="AC4361" s="78" t="s">
        <v>55</v>
      </c>
      <c r="AD4361" s="78" t="s">
        <v>20</v>
      </c>
      <c r="AE4361" s="78" t="s">
        <v>72</v>
      </c>
      <c r="AF4361" s="78" t="s">
        <v>51</v>
      </c>
      <c r="AG4361" s="78" t="s">
        <v>680</v>
      </c>
      <c r="AH4361" s="78">
        <v>4.0688746701783671</v>
      </c>
    </row>
    <row r="4362" spans="29:34">
      <c r="AC4362" s="78" t="s">
        <v>55</v>
      </c>
      <c r="AD4362" s="78" t="s">
        <v>20</v>
      </c>
      <c r="AE4362" s="78" t="s">
        <v>72</v>
      </c>
      <c r="AF4362" s="78" t="s">
        <v>51</v>
      </c>
      <c r="AG4362" s="78" t="s">
        <v>681</v>
      </c>
      <c r="AH4362" s="78">
        <v>4.1746520753994307</v>
      </c>
    </row>
    <row r="4363" spans="29:34">
      <c r="AC4363" s="78" t="s">
        <v>55</v>
      </c>
      <c r="AD4363" s="78" t="s">
        <v>20</v>
      </c>
      <c r="AE4363" s="78" t="s">
        <v>72</v>
      </c>
      <c r="AF4363" s="78" t="s">
        <v>51</v>
      </c>
      <c r="AG4363" s="78" t="s">
        <v>682</v>
      </c>
      <c r="AH4363" s="78">
        <v>4.1746520753994307</v>
      </c>
    </row>
    <row r="4364" spans="29:34">
      <c r="AC4364" s="78" t="s">
        <v>55</v>
      </c>
      <c r="AD4364" s="78" t="s">
        <v>20</v>
      </c>
      <c r="AE4364" s="78" t="s">
        <v>72</v>
      </c>
      <c r="AF4364" s="78" t="s">
        <v>51</v>
      </c>
      <c r="AG4364" s="78" t="s">
        <v>683</v>
      </c>
      <c r="AH4364" s="78">
        <v>4.1481752040431985</v>
      </c>
    </row>
    <row r="4365" spans="29:34">
      <c r="AC4365" s="78" t="s">
        <v>55</v>
      </c>
      <c r="AD4365" s="78" t="s">
        <v>20</v>
      </c>
      <c r="AE4365" s="78" t="s">
        <v>72</v>
      </c>
      <c r="AF4365" s="78" t="s">
        <v>51</v>
      </c>
      <c r="AG4365" s="78" t="s">
        <v>684</v>
      </c>
      <c r="AH4365" s="78">
        <v>4.1746520753994307</v>
      </c>
    </row>
    <row r="4366" spans="29:34">
      <c r="AC4366" s="78" t="s">
        <v>55</v>
      </c>
      <c r="AD4366" s="78" t="s">
        <v>20</v>
      </c>
      <c r="AE4366" s="78" t="s">
        <v>72</v>
      </c>
      <c r="AF4366" s="78" t="s">
        <v>51</v>
      </c>
      <c r="AG4366" s="78" t="s">
        <v>685</v>
      </c>
      <c r="AH4366" s="78">
        <v>4.0688746701783671</v>
      </c>
    </row>
    <row r="4367" spans="29:34">
      <c r="AC4367" s="78" t="s">
        <v>55</v>
      </c>
      <c r="AD4367" s="78" t="s">
        <v>20</v>
      </c>
      <c r="AE4367" s="78" t="s">
        <v>72</v>
      </c>
      <c r="AF4367" s="78" t="s">
        <v>51</v>
      </c>
      <c r="AG4367" s="78" t="s">
        <v>686</v>
      </c>
      <c r="AH4367" s="78">
        <v>4.0688746701783671</v>
      </c>
    </row>
    <row r="4368" spans="29:34">
      <c r="AC4368" s="78" t="s">
        <v>55</v>
      </c>
      <c r="AD4368" s="78" t="s">
        <v>20</v>
      </c>
      <c r="AE4368" s="78" t="s">
        <v>72</v>
      </c>
      <c r="AF4368" s="78" t="s">
        <v>51</v>
      </c>
      <c r="AG4368" s="78" t="s">
        <v>687</v>
      </c>
      <c r="AH4368" s="78">
        <v>4.0984418323544558</v>
      </c>
    </row>
    <row r="4369" spans="29:34">
      <c r="AC4369" s="78" t="s">
        <v>55</v>
      </c>
      <c r="AD4369" s="78" t="s">
        <v>20</v>
      </c>
      <c r="AE4369" s="78" t="s">
        <v>72</v>
      </c>
      <c r="AF4369" s="78" t="s">
        <v>51</v>
      </c>
      <c r="AG4369" s="78" t="s">
        <v>688</v>
      </c>
      <c r="AH4369" s="78">
        <v>4.0984418323544558</v>
      </c>
    </row>
    <row r="4370" spans="29:34">
      <c r="AC4370" s="78" t="s">
        <v>55</v>
      </c>
      <c r="AD4370" s="78" t="s">
        <v>20</v>
      </c>
      <c r="AE4370" s="78" t="s">
        <v>72</v>
      </c>
      <c r="AF4370" s="78" t="s">
        <v>51</v>
      </c>
      <c r="AG4370" s="78" t="s">
        <v>689</v>
      </c>
      <c r="AH4370" s="78">
        <v>4.0984418323544558</v>
      </c>
    </row>
    <row r="4371" spans="29:34">
      <c r="AC4371" s="78" t="s">
        <v>55</v>
      </c>
      <c r="AD4371" s="78" t="s">
        <v>20</v>
      </c>
      <c r="AE4371" s="78" t="s">
        <v>72</v>
      </c>
      <c r="AF4371" s="78" t="s">
        <v>51</v>
      </c>
      <c r="AG4371" s="78" t="s">
        <v>690</v>
      </c>
      <c r="AH4371" s="78">
        <v>3.9929555782460247</v>
      </c>
    </row>
    <row r="4372" spans="29:34">
      <c r="AC4372" s="78" t="s">
        <v>55</v>
      </c>
      <c r="AD4372" s="78" t="s">
        <v>20</v>
      </c>
      <c r="AE4372" s="78" t="s">
        <v>72</v>
      </c>
      <c r="AF4372" s="78" t="s">
        <v>51</v>
      </c>
      <c r="AG4372" s="78" t="s">
        <v>691</v>
      </c>
      <c r="AH4372" s="78">
        <v>3.9929555782460247</v>
      </c>
    </row>
    <row r="4373" spans="29:34">
      <c r="AC4373" s="78" t="s">
        <v>55</v>
      </c>
      <c r="AD4373" s="78" t="s">
        <v>20</v>
      </c>
      <c r="AE4373" s="78" t="s">
        <v>72</v>
      </c>
      <c r="AF4373" s="78" t="s">
        <v>51</v>
      </c>
      <c r="AG4373" s="78" t="s">
        <v>692</v>
      </c>
      <c r="AH4373" s="78">
        <v>3.9929555782460247</v>
      </c>
    </row>
    <row r="4374" spans="29:34">
      <c r="AC4374" s="78" t="s">
        <v>55</v>
      </c>
      <c r="AD4374" s="78" t="s">
        <v>20</v>
      </c>
      <c r="AE4374" s="78" t="s">
        <v>72</v>
      </c>
      <c r="AF4374" s="78" t="s">
        <v>51</v>
      </c>
      <c r="AG4374" s="78" t="s">
        <v>693</v>
      </c>
      <c r="AH4374" s="78">
        <v>3.9929555782460247</v>
      </c>
    </row>
    <row r="4375" spans="29:34">
      <c r="AC4375" s="78" t="s">
        <v>55</v>
      </c>
      <c r="AD4375" s="78" t="s">
        <v>20</v>
      </c>
      <c r="AE4375" s="78" t="s">
        <v>72</v>
      </c>
      <c r="AF4375" s="78" t="s">
        <v>51</v>
      </c>
      <c r="AG4375" s="78" t="s">
        <v>694</v>
      </c>
      <c r="AH4375" s="78">
        <v>4.0984418323544558</v>
      </c>
    </row>
    <row r="4376" spans="29:34">
      <c r="AC4376" s="78" t="s">
        <v>55</v>
      </c>
      <c r="AD4376" s="78" t="s">
        <v>20</v>
      </c>
      <c r="AE4376" s="78" t="s">
        <v>72</v>
      </c>
      <c r="AF4376" s="78" t="s">
        <v>51</v>
      </c>
      <c r="AG4376" s="78" t="s">
        <v>695</v>
      </c>
      <c r="AH4376" s="78">
        <v>4.0984418323544558</v>
      </c>
    </row>
    <row r="4377" spans="29:34">
      <c r="AC4377" s="78" t="s">
        <v>55</v>
      </c>
      <c r="AD4377" s="78" t="s">
        <v>20</v>
      </c>
      <c r="AE4377" s="78" t="s">
        <v>72</v>
      </c>
      <c r="AF4377" s="78" t="s">
        <v>51</v>
      </c>
      <c r="AG4377" s="78" t="s">
        <v>696</v>
      </c>
      <c r="AH4377" s="78">
        <v>3.9929555782460247</v>
      </c>
    </row>
    <row r="4378" spans="29:34">
      <c r="AC4378" s="78" t="s">
        <v>55</v>
      </c>
      <c r="AD4378" s="78" t="s">
        <v>20</v>
      </c>
      <c r="AE4378" s="78" t="s">
        <v>72</v>
      </c>
      <c r="AF4378" s="78" t="s">
        <v>51</v>
      </c>
      <c r="AG4378" s="78" t="s">
        <v>697</v>
      </c>
      <c r="AH4378" s="78">
        <v>4.0688746701783671</v>
      </c>
    </row>
    <row r="4379" spans="29:34">
      <c r="AC4379" s="78" t="s">
        <v>55</v>
      </c>
      <c r="AD4379" s="78" t="s">
        <v>20</v>
      </c>
      <c r="AE4379" s="78" t="s">
        <v>72</v>
      </c>
      <c r="AF4379" s="78" t="s">
        <v>51</v>
      </c>
      <c r="AG4379" s="78" t="s">
        <v>698</v>
      </c>
      <c r="AH4379" s="78">
        <v>4.0688746701783671</v>
      </c>
    </row>
    <row r="4380" spans="29:34">
      <c r="AC4380" s="78" t="s">
        <v>55</v>
      </c>
      <c r="AD4380" s="78" t="s">
        <v>20</v>
      </c>
      <c r="AE4380" s="78" t="s">
        <v>72</v>
      </c>
      <c r="AF4380" s="78" t="s">
        <v>51</v>
      </c>
      <c r="AG4380" s="78" t="s">
        <v>699</v>
      </c>
      <c r="AH4380" s="78">
        <v>4.0688746701783671</v>
      </c>
    </row>
    <row r="4381" spans="29:34">
      <c r="AC4381" s="78" t="s">
        <v>55</v>
      </c>
      <c r="AD4381" s="78" t="s">
        <v>20</v>
      </c>
      <c r="AE4381" s="78" t="s">
        <v>72</v>
      </c>
      <c r="AF4381" s="78" t="s">
        <v>51</v>
      </c>
      <c r="AG4381" s="78" t="s">
        <v>700</v>
      </c>
      <c r="AH4381" s="78">
        <v>4.0688746701783671</v>
      </c>
    </row>
    <row r="4382" spans="29:34">
      <c r="AC4382" s="78" t="s">
        <v>55</v>
      </c>
      <c r="AD4382" s="78" t="s">
        <v>20</v>
      </c>
      <c r="AE4382" s="78" t="s">
        <v>72</v>
      </c>
      <c r="AF4382" s="78" t="s">
        <v>51</v>
      </c>
      <c r="AG4382" s="78" t="s">
        <v>701</v>
      </c>
      <c r="AH4382" s="78">
        <v>4.0688746701783671</v>
      </c>
    </row>
    <row r="4383" spans="29:34">
      <c r="AC4383" s="78" t="s">
        <v>55</v>
      </c>
      <c r="AD4383" s="78" t="s">
        <v>20</v>
      </c>
      <c r="AE4383" s="78" t="s">
        <v>72</v>
      </c>
      <c r="AF4383" s="78" t="s">
        <v>51</v>
      </c>
      <c r="AG4383" s="78" t="s">
        <v>702</v>
      </c>
      <c r="AH4383" s="78">
        <v>4.0688746701783671</v>
      </c>
    </row>
    <row r="4384" spans="29:34">
      <c r="AC4384" s="78" t="s">
        <v>55</v>
      </c>
      <c r="AD4384" s="78" t="s">
        <v>20</v>
      </c>
      <c r="AE4384" s="78" t="s">
        <v>72</v>
      </c>
      <c r="AF4384" s="78" t="s">
        <v>51</v>
      </c>
      <c r="AG4384" s="78" t="s">
        <v>703</v>
      </c>
      <c r="AH4384" s="78">
        <v>4.0984418323544558</v>
      </c>
    </row>
    <row r="4385" spans="29:34">
      <c r="AC4385" s="78" t="s">
        <v>55</v>
      </c>
      <c r="AD4385" s="78" t="s">
        <v>20</v>
      </c>
      <c r="AE4385" s="78" t="s">
        <v>72</v>
      </c>
      <c r="AF4385" s="78" t="s">
        <v>51</v>
      </c>
      <c r="AG4385" s="78" t="s">
        <v>704</v>
      </c>
      <c r="AH4385" s="78">
        <v>4.0688746701783671</v>
      </c>
    </row>
    <row r="4386" spans="29:34">
      <c r="AC4386" s="78" t="s">
        <v>55</v>
      </c>
      <c r="AD4386" s="78" t="s">
        <v>20</v>
      </c>
      <c r="AE4386" s="78" t="s">
        <v>72</v>
      </c>
      <c r="AF4386" s="78" t="s">
        <v>51</v>
      </c>
      <c r="AG4386" s="78" t="s">
        <v>705</v>
      </c>
      <c r="AH4386" s="78">
        <v>4.0688746701783671</v>
      </c>
    </row>
    <row r="4387" spans="29:34">
      <c r="AC4387" s="78" t="s">
        <v>55</v>
      </c>
      <c r="AD4387" s="78" t="s">
        <v>20</v>
      </c>
      <c r="AE4387" s="78" t="s">
        <v>72</v>
      </c>
      <c r="AF4387" s="78" t="s">
        <v>51</v>
      </c>
      <c r="AG4387" s="78" t="s">
        <v>706</v>
      </c>
      <c r="AH4387" s="78">
        <v>4.0688746701783671</v>
      </c>
    </row>
    <row r="4388" spans="29:34">
      <c r="AC4388" s="78" t="s">
        <v>55</v>
      </c>
      <c r="AD4388" s="78" t="s">
        <v>20</v>
      </c>
      <c r="AE4388" s="78" t="s">
        <v>72</v>
      </c>
      <c r="AF4388" s="78" t="s">
        <v>51</v>
      </c>
      <c r="AG4388" s="78" t="s">
        <v>707</v>
      </c>
      <c r="AH4388" s="78">
        <v>4.0688746701783671</v>
      </c>
    </row>
    <row r="4389" spans="29:34">
      <c r="AC4389" s="78" t="s">
        <v>55</v>
      </c>
      <c r="AD4389" s="78" t="s">
        <v>20</v>
      </c>
      <c r="AE4389" s="78" t="s">
        <v>72</v>
      </c>
      <c r="AF4389" s="78" t="s">
        <v>51</v>
      </c>
      <c r="AG4389" s="78" t="s">
        <v>708</v>
      </c>
      <c r="AH4389" s="78">
        <v>4.0688746701783671</v>
      </c>
    </row>
    <row r="4390" spans="29:34">
      <c r="AC4390" s="78" t="s">
        <v>55</v>
      </c>
      <c r="AD4390" s="78" t="s">
        <v>20</v>
      </c>
      <c r="AE4390" s="78" t="s">
        <v>72</v>
      </c>
      <c r="AF4390" s="78" t="s">
        <v>51</v>
      </c>
      <c r="AG4390" s="78" t="s">
        <v>709</v>
      </c>
      <c r="AH4390" s="78">
        <v>4.0688746701783671</v>
      </c>
    </row>
    <row r="4391" spans="29:34">
      <c r="AC4391" s="78" t="s">
        <v>55</v>
      </c>
      <c r="AD4391" s="78" t="s">
        <v>20</v>
      </c>
      <c r="AE4391" s="78" t="s">
        <v>72</v>
      </c>
      <c r="AF4391" s="78" t="s">
        <v>51</v>
      </c>
      <c r="AG4391" s="78" t="s">
        <v>710</v>
      </c>
      <c r="AH4391" s="78">
        <v>4.0688746701783671</v>
      </c>
    </row>
    <row r="4392" spans="29:34">
      <c r="AC4392" s="78" t="s">
        <v>55</v>
      </c>
      <c r="AD4392" s="78" t="s">
        <v>20</v>
      </c>
      <c r="AE4392" s="78" t="s">
        <v>72</v>
      </c>
      <c r="AF4392" s="78" t="s">
        <v>51</v>
      </c>
      <c r="AG4392" s="78" t="s">
        <v>711</v>
      </c>
      <c r="AH4392" s="78">
        <v>4.0688746701783671</v>
      </c>
    </row>
    <row r="4393" spans="29:34">
      <c r="AC4393" s="78" t="s">
        <v>55</v>
      </c>
      <c r="AD4393" s="78" t="s">
        <v>20</v>
      </c>
      <c r="AE4393" s="78" t="s">
        <v>72</v>
      </c>
      <c r="AF4393" s="78" t="s">
        <v>51</v>
      </c>
      <c r="AG4393" s="78" t="s">
        <v>712</v>
      </c>
      <c r="AH4393" s="78">
        <v>4.0688746701783671</v>
      </c>
    </row>
    <row r="4394" spans="29:34">
      <c r="AC4394" s="78" t="s">
        <v>55</v>
      </c>
      <c r="AD4394" s="78" t="s">
        <v>20</v>
      </c>
      <c r="AE4394" s="78" t="s">
        <v>72</v>
      </c>
      <c r="AF4394" s="78" t="s">
        <v>51</v>
      </c>
      <c r="AG4394" s="78" t="s">
        <v>713</v>
      </c>
      <c r="AH4394" s="78">
        <v>4.0688746701783671</v>
      </c>
    </row>
    <row r="4395" spans="29:34">
      <c r="AC4395" s="78" t="s">
        <v>55</v>
      </c>
      <c r="AD4395" s="78" t="s">
        <v>20</v>
      </c>
      <c r="AE4395" s="78" t="s">
        <v>72</v>
      </c>
      <c r="AF4395" s="78" t="s">
        <v>51</v>
      </c>
      <c r="AG4395" s="78" t="s">
        <v>714</v>
      </c>
      <c r="AH4395" s="78">
        <v>4.0688746701783671</v>
      </c>
    </row>
    <row r="4396" spans="29:34">
      <c r="AC4396" s="78" t="s">
        <v>55</v>
      </c>
      <c r="AD4396" s="78" t="s">
        <v>20</v>
      </c>
      <c r="AE4396" s="78" t="s">
        <v>72</v>
      </c>
      <c r="AF4396" s="78" t="s">
        <v>51</v>
      </c>
      <c r="AG4396" s="78" t="s">
        <v>715</v>
      </c>
      <c r="AH4396" s="78">
        <v>4.0688746701783671</v>
      </c>
    </row>
    <row r="4397" spans="29:34">
      <c r="AC4397" s="78" t="s">
        <v>55</v>
      </c>
      <c r="AD4397" s="78" t="s">
        <v>20</v>
      </c>
      <c r="AE4397" s="78" t="s">
        <v>72</v>
      </c>
      <c r="AF4397" s="78" t="s">
        <v>51</v>
      </c>
      <c r="AG4397" s="78" t="s">
        <v>716</v>
      </c>
      <c r="AH4397" s="78">
        <v>4.0688746701783671</v>
      </c>
    </row>
    <row r="4398" spans="29:34">
      <c r="AC4398" s="78" t="s">
        <v>55</v>
      </c>
      <c r="AD4398" s="78" t="s">
        <v>20</v>
      </c>
      <c r="AE4398" s="78" t="s">
        <v>72</v>
      </c>
      <c r="AF4398" s="78" t="s">
        <v>51</v>
      </c>
      <c r="AG4398" s="78" t="s">
        <v>717</v>
      </c>
      <c r="AH4398" s="78">
        <v>4.0688746701783671</v>
      </c>
    </row>
    <row r="4399" spans="29:34">
      <c r="AC4399" s="78" t="s">
        <v>55</v>
      </c>
      <c r="AD4399" s="78" t="s">
        <v>20</v>
      </c>
      <c r="AE4399" s="78" t="s">
        <v>72</v>
      </c>
      <c r="AF4399" s="78" t="s">
        <v>51</v>
      </c>
      <c r="AG4399" s="78" t="s">
        <v>718</v>
      </c>
      <c r="AH4399" s="78">
        <v>4.0688746701783671</v>
      </c>
    </row>
    <row r="4400" spans="29:34">
      <c r="AC4400" s="78" t="s">
        <v>55</v>
      </c>
      <c r="AD4400" s="78" t="s">
        <v>20</v>
      </c>
      <c r="AE4400" s="78" t="s">
        <v>72</v>
      </c>
      <c r="AF4400" s="78" t="s">
        <v>51</v>
      </c>
      <c r="AG4400" s="78" t="s">
        <v>719</v>
      </c>
      <c r="AH4400" s="78">
        <v>4.0688746701783671</v>
      </c>
    </row>
    <row r="4401" spans="29:34">
      <c r="AC4401" s="78" t="s">
        <v>55</v>
      </c>
      <c r="AD4401" s="78" t="s">
        <v>20</v>
      </c>
      <c r="AE4401" s="78" t="s">
        <v>72</v>
      </c>
      <c r="AF4401" s="78" t="s">
        <v>51</v>
      </c>
      <c r="AG4401" s="78" t="s">
        <v>720</v>
      </c>
      <c r="AH4401" s="78">
        <v>4.0688746701783671</v>
      </c>
    </row>
    <row r="4402" spans="29:34">
      <c r="AC4402" s="78" t="s">
        <v>55</v>
      </c>
      <c r="AD4402" s="78" t="s">
        <v>20</v>
      </c>
      <c r="AE4402" s="78" t="s">
        <v>72</v>
      </c>
      <c r="AF4402" s="78" t="s">
        <v>51</v>
      </c>
      <c r="AG4402" s="78" t="s">
        <v>721</v>
      </c>
      <c r="AH4402" s="78">
        <v>4.0688746701783671</v>
      </c>
    </row>
    <row r="4403" spans="29:34">
      <c r="AC4403" s="78" t="s">
        <v>55</v>
      </c>
      <c r="AD4403" s="78" t="s">
        <v>20</v>
      </c>
      <c r="AE4403" s="78" t="s">
        <v>72</v>
      </c>
      <c r="AF4403" s="78" t="s">
        <v>51</v>
      </c>
      <c r="AG4403" s="78" t="s">
        <v>722</v>
      </c>
      <c r="AH4403" s="78">
        <v>4.1746520753994307</v>
      </c>
    </row>
    <row r="4404" spans="29:34">
      <c r="AC4404" s="78" t="s">
        <v>55</v>
      </c>
      <c r="AD4404" s="78" t="s">
        <v>20</v>
      </c>
      <c r="AE4404" s="78" t="s">
        <v>72</v>
      </c>
      <c r="AF4404" s="78" t="s">
        <v>51</v>
      </c>
      <c r="AG4404" s="78" t="s">
        <v>723</v>
      </c>
      <c r="AH4404" s="78">
        <v>4.1746520753994307</v>
      </c>
    </row>
    <row r="4405" spans="29:34">
      <c r="AC4405" s="78" t="s">
        <v>55</v>
      </c>
      <c r="AD4405" s="78" t="s">
        <v>20</v>
      </c>
      <c r="AE4405" s="78" t="s">
        <v>72</v>
      </c>
      <c r="AF4405" s="78" t="s">
        <v>51</v>
      </c>
      <c r="AG4405" s="78" t="s">
        <v>724</v>
      </c>
      <c r="AH4405" s="78">
        <v>4.1481752040431985</v>
      </c>
    </row>
    <row r="4406" spans="29:34">
      <c r="AC4406" s="78" t="s">
        <v>55</v>
      </c>
      <c r="AD4406" s="78" t="s">
        <v>20</v>
      </c>
      <c r="AE4406" s="78" t="s">
        <v>72</v>
      </c>
      <c r="AF4406" s="78" t="s">
        <v>51</v>
      </c>
      <c r="AG4406" s="78" t="s">
        <v>725</v>
      </c>
      <c r="AH4406" s="78">
        <v>4.1746520753994307</v>
      </c>
    </row>
    <row r="4407" spans="29:34">
      <c r="AC4407" s="78" t="s">
        <v>55</v>
      </c>
      <c r="AD4407" s="78" t="s">
        <v>20</v>
      </c>
      <c r="AE4407" s="78" t="s">
        <v>72</v>
      </c>
      <c r="AF4407" s="78" t="s">
        <v>51</v>
      </c>
      <c r="AG4407" s="78" t="s">
        <v>726</v>
      </c>
      <c r="AH4407" s="78">
        <v>4.1481752040431985</v>
      </c>
    </row>
    <row r="4408" spans="29:34">
      <c r="AC4408" s="78" t="s">
        <v>55</v>
      </c>
      <c r="AD4408" s="78" t="s">
        <v>20</v>
      </c>
      <c r="AE4408" s="78" t="s">
        <v>72</v>
      </c>
      <c r="AF4408" s="78" t="s">
        <v>51</v>
      </c>
      <c r="AG4408" s="78" t="s">
        <v>426</v>
      </c>
      <c r="AH4408" s="78">
        <v>4.1481752040431985</v>
      </c>
    </row>
    <row r="4409" spans="29:34">
      <c r="AC4409" s="78" t="s">
        <v>55</v>
      </c>
      <c r="AD4409" s="78" t="s">
        <v>20</v>
      </c>
      <c r="AE4409" s="78" t="s">
        <v>72</v>
      </c>
      <c r="AF4409" s="78" t="s">
        <v>51</v>
      </c>
      <c r="AG4409" s="78" t="s">
        <v>727</v>
      </c>
      <c r="AH4409" s="78">
        <v>4.1481752040431985</v>
      </c>
    </row>
    <row r="4410" spans="29:34">
      <c r="AC4410" s="78" t="s">
        <v>55</v>
      </c>
      <c r="AD4410" s="78" t="s">
        <v>20</v>
      </c>
      <c r="AE4410" s="78" t="s">
        <v>72</v>
      </c>
      <c r="AF4410" s="78" t="s">
        <v>51</v>
      </c>
      <c r="AG4410" s="78" t="s">
        <v>728</v>
      </c>
      <c r="AH4410" s="78">
        <v>4.1481752040431985</v>
      </c>
    </row>
    <row r="4411" spans="29:34">
      <c r="AC4411" s="78" t="s">
        <v>55</v>
      </c>
      <c r="AD4411" s="78" t="s">
        <v>20</v>
      </c>
      <c r="AE4411" s="78" t="s">
        <v>72</v>
      </c>
      <c r="AF4411" s="78" t="s">
        <v>51</v>
      </c>
      <c r="AG4411" s="78" t="s">
        <v>729</v>
      </c>
      <c r="AH4411" s="78">
        <v>4.1481752040431985</v>
      </c>
    </row>
    <row r="4412" spans="29:34">
      <c r="AC4412" s="78" t="s">
        <v>55</v>
      </c>
      <c r="AD4412" s="78" t="s">
        <v>20</v>
      </c>
      <c r="AE4412" s="78" t="s">
        <v>72</v>
      </c>
      <c r="AF4412" s="78" t="s">
        <v>51</v>
      </c>
      <c r="AG4412" s="78" t="s">
        <v>730</v>
      </c>
      <c r="AH4412" s="78">
        <v>4.1481752040431985</v>
      </c>
    </row>
    <row r="4413" spans="29:34">
      <c r="AC4413" s="78" t="s">
        <v>55</v>
      </c>
      <c r="AD4413" s="78" t="s">
        <v>20</v>
      </c>
      <c r="AE4413" s="78" t="s">
        <v>72</v>
      </c>
      <c r="AF4413" s="78" t="s">
        <v>51</v>
      </c>
      <c r="AG4413" s="78" t="s">
        <v>731</v>
      </c>
      <c r="AH4413" s="78">
        <v>4.1481752040431985</v>
      </c>
    </row>
    <row r="4414" spans="29:34">
      <c r="AC4414" s="78" t="s">
        <v>55</v>
      </c>
      <c r="AD4414" s="78" t="s">
        <v>20</v>
      </c>
      <c r="AE4414" s="78" t="s">
        <v>72</v>
      </c>
      <c r="AF4414" s="78" t="s">
        <v>51</v>
      </c>
      <c r="AG4414" s="78" t="s">
        <v>732</v>
      </c>
      <c r="AH4414" s="78">
        <v>4.1481752040431985</v>
      </c>
    </row>
    <row r="4415" spans="29:34">
      <c r="AC4415" s="78" t="s">
        <v>55</v>
      </c>
      <c r="AD4415" s="78" t="s">
        <v>20</v>
      </c>
      <c r="AE4415" s="78" t="s">
        <v>72</v>
      </c>
      <c r="AF4415" s="78" t="s">
        <v>51</v>
      </c>
      <c r="AG4415" s="78" t="s">
        <v>733</v>
      </c>
      <c r="AH4415" s="78">
        <v>4.1481752040431985</v>
      </c>
    </row>
    <row r="4416" spans="29:34">
      <c r="AC4416" s="78" t="s">
        <v>55</v>
      </c>
      <c r="AD4416" s="78" t="s">
        <v>20</v>
      </c>
      <c r="AE4416" s="78" t="s">
        <v>72</v>
      </c>
      <c r="AF4416" s="78" t="s">
        <v>51</v>
      </c>
      <c r="AG4416" s="78" t="s">
        <v>734</v>
      </c>
      <c r="AH4416" s="78">
        <v>4.1746520753994307</v>
      </c>
    </row>
    <row r="4417" spans="29:34">
      <c r="AC4417" s="78" t="s">
        <v>55</v>
      </c>
      <c r="AD4417" s="78" t="s">
        <v>20</v>
      </c>
      <c r="AE4417" s="78" t="s">
        <v>72</v>
      </c>
      <c r="AF4417" s="78" t="s">
        <v>51</v>
      </c>
      <c r="AG4417" s="78" t="s">
        <v>735</v>
      </c>
      <c r="AH4417" s="78">
        <v>4.0688746701783671</v>
      </c>
    </row>
    <row r="4418" spans="29:34">
      <c r="AC4418" s="78" t="s">
        <v>55</v>
      </c>
      <c r="AD4418" s="78" t="s">
        <v>20</v>
      </c>
      <c r="AE4418" s="78" t="s">
        <v>72</v>
      </c>
      <c r="AF4418" s="78" t="s">
        <v>51</v>
      </c>
      <c r="AG4418" s="78" t="s">
        <v>736</v>
      </c>
      <c r="AH4418" s="78">
        <v>4.0688746701783671</v>
      </c>
    </row>
    <row r="4419" spans="29:34">
      <c r="AC4419" s="78" t="s">
        <v>55</v>
      </c>
      <c r="AD4419" s="78" t="s">
        <v>20</v>
      </c>
      <c r="AE4419" s="78" t="s">
        <v>72</v>
      </c>
      <c r="AF4419" s="78" t="s">
        <v>51</v>
      </c>
      <c r="AG4419" s="78" t="s">
        <v>737</v>
      </c>
      <c r="AH4419" s="78">
        <v>4.0688746701783671</v>
      </c>
    </row>
    <row r="4420" spans="29:34">
      <c r="AC4420" s="78" t="s">
        <v>55</v>
      </c>
      <c r="AD4420" s="78" t="s">
        <v>20</v>
      </c>
      <c r="AE4420" s="78" t="s">
        <v>72</v>
      </c>
      <c r="AF4420" s="78" t="s">
        <v>51</v>
      </c>
      <c r="AG4420" s="78" t="s">
        <v>738</v>
      </c>
      <c r="AH4420" s="78">
        <v>4.0984418323544558</v>
      </c>
    </row>
    <row r="4421" spans="29:34">
      <c r="AC4421" s="78" t="s">
        <v>55</v>
      </c>
      <c r="AD4421" s="78" t="s">
        <v>20</v>
      </c>
      <c r="AE4421" s="78" t="s">
        <v>72</v>
      </c>
      <c r="AF4421" s="78" t="s">
        <v>51</v>
      </c>
      <c r="AG4421" s="78" t="s">
        <v>739</v>
      </c>
      <c r="AH4421" s="78">
        <v>4.0984418323544558</v>
      </c>
    </row>
    <row r="4422" spans="29:34">
      <c r="AC4422" s="78" t="s">
        <v>55</v>
      </c>
      <c r="AD4422" s="78" t="s">
        <v>20</v>
      </c>
      <c r="AE4422" s="78" t="s">
        <v>72</v>
      </c>
      <c r="AF4422" s="78" t="s">
        <v>51</v>
      </c>
      <c r="AG4422" s="78" t="s">
        <v>740</v>
      </c>
      <c r="AH4422" s="78">
        <v>4.0984418323544558</v>
      </c>
    </row>
    <row r="4423" spans="29:34">
      <c r="AC4423" s="78" t="s">
        <v>55</v>
      </c>
      <c r="AD4423" s="78" t="s">
        <v>20</v>
      </c>
      <c r="AE4423" s="78" t="s">
        <v>72</v>
      </c>
      <c r="AF4423" s="78" t="s">
        <v>51</v>
      </c>
      <c r="AG4423" s="78" t="s">
        <v>741</v>
      </c>
      <c r="AH4423" s="78">
        <v>3.9929555782460247</v>
      </c>
    </row>
    <row r="4424" spans="29:34">
      <c r="AC4424" s="78" t="s">
        <v>55</v>
      </c>
      <c r="AD4424" s="78" t="s">
        <v>20</v>
      </c>
      <c r="AE4424" s="78" t="s">
        <v>72</v>
      </c>
      <c r="AF4424" s="78" t="s">
        <v>51</v>
      </c>
      <c r="AG4424" s="78" t="s">
        <v>742</v>
      </c>
      <c r="AH4424" s="78">
        <v>3.9929555782460247</v>
      </c>
    </row>
    <row r="4425" spans="29:34">
      <c r="AC4425" s="78" t="s">
        <v>55</v>
      </c>
      <c r="AD4425" s="78" t="s">
        <v>20</v>
      </c>
      <c r="AE4425" s="78" t="s">
        <v>72</v>
      </c>
      <c r="AF4425" s="78" t="s">
        <v>51</v>
      </c>
      <c r="AG4425" s="78" t="s">
        <v>425</v>
      </c>
      <c r="AH4425" s="78">
        <v>3.9929555782460247</v>
      </c>
    </row>
    <row r="4426" spans="29:34">
      <c r="AC4426" s="78" t="s">
        <v>55</v>
      </c>
      <c r="AD4426" s="78" t="s">
        <v>20</v>
      </c>
      <c r="AE4426" s="78" t="s">
        <v>72</v>
      </c>
      <c r="AF4426" s="78" t="s">
        <v>51</v>
      </c>
      <c r="AG4426" s="78" t="s">
        <v>743</v>
      </c>
      <c r="AH4426" s="78">
        <v>4.0984418323544558</v>
      </c>
    </row>
    <row r="4427" spans="29:34">
      <c r="AC4427" s="78" t="s">
        <v>55</v>
      </c>
      <c r="AD4427" s="78" t="s">
        <v>20</v>
      </c>
      <c r="AE4427" s="78" t="s">
        <v>72</v>
      </c>
      <c r="AF4427" s="78" t="s">
        <v>51</v>
      </c>
      <c r="AG4427" s="78" t="s">
        <v>744</v>
      </c>
      <c r="AH4427" s="78">
        <v>3.9929555782460247</v>
      </c>
    </row>
    <row r="4428" spans="29:34">
      <c r="AC4428" s="78" t="s">
        <v>55</v>
      </c>
      <c r="AD4428" s="78" t="s">
        <v>20</v>
      </c>
      <c r="AE4428" s="78" t="s">
        <v>72</v>
      </c>
      <c r="AF4428" s="78" t="s">
        <v>51</v>
      </c>
      <c r="AG4428" s="78" t="s">
        <v>745</v>
      </c>
      <c r="AH4428" s="78">
        <v>3.9929555782460247</v>
      </c>
    </row>
    <row r="4429" spans="29:34">
      <c r="AC4429" s="78" t="s">
        <v>55</v>
      </c>
      <c r="AD4429" s="78" t="s">
        <v>20</v>
      </c>
      <c r="AE4429" s="78" t="s">
        <v>72</v>
      </c>
      <c r="AF4429" s="78" t="s">
        <v>51</v>
      </c>
      <c r="AG4429" s="78" t="s">
        <v>424</v>
      </c>
      <c r="AH4429" s="78">
        <v>3.9929555782460247</v>
      </c>
    </row>
    <row r="4430" spans="29:34">
      <c r="AC4430" s="78" t="s">
        <v>55</v>
      </c>
      <c r="AD4430" s="78" t="s">
        <v>20</v>
      </c>
      <c r="AE4430" s="78" t="s">
        <v>72</v>
      </c>
      <c r="AF4430" s="78" t="s">
        <v>51</v>
      </c>
      <c r="AG4430" s="78" t="s">
        <v>427</v>
      </c>
      <c r="AH4430" s="78">
        <v>3.9929555782460247</v>
      </c>
    </row>
    <row r="4431" spans="29:34">
      <c r="AC4431" s="78"/>
      <c r="AD4431" s="78"/>
      <c r="AE4431" s="78"/>
      <c r="AF4431" s="78"/>
      <c r="AG4431" s="78"/>
      <c r="AH4431" s="78"/>
    </row>
    <row r="4432" spans="29:34">
      <c r="AC4432" s="78"/>
      <c r="AD4432" s="78"/>
      <c r="AE4432" s="78"/>
      <c r="AF4432" s="78"/>
      <c r="AG4432" s="78"/>
      <c r="AH4432" s="78"/>
    </row>
    <row r="4433" spans="29:34">
      <c r="AC4433" s="78"/>
      <c r="AD4433" s="78"/>
      <c r="AE4433" s="78"/>
      <c r="AF4433" s="78"/>
      <c r="AG4433" s="78"/>
      <c r="AH4433" s="78"/>
    </row>
    <row r="4434" spans="29:34">
      <c r="AC4434" s="78"/>
      <c r="AD4434" s="78"/>
      <c r="AE4434" s="78"/>
      <c r="AF4434" s="78"/>
      <c r="AG4434" s="78"/>
      <c r="AH4434" s="78"/>
    </row>
    <row r="4435" spans="29:34">
      <c r="AC4435" s="78"/>
      <c r="AD4435" s="78"/>
      <c r="AE4435" s="78"/>
      <c r="AF4435" s="78"/>
      <c r="AG4435" s="78"/>
      <c r="AH4435" s="78"/>
    </row>
    <row r="4436" spans="29:34">
      <c r="AC4436" s="78"/>
      <c r="AD4436" s="78"/>
      <c r="AE4436" s="78"/>
      <c r="AF4436" s="78"/>
      <c r="AG4436" s="78"/>
      <c r="AH4436" s="78"/>
    </row>
    <row r="4437" spans="29:34">
      <c r="AC4437" s="78"/>
      <c r="AD4437" s="78"/>
      <c r="AE4437" s="78"/>
      <c r="AF4437" s="78"/>
      <c r="AG4437" s="78"/>
      <c r="AH4437" s="78"/>
    </row>
    <row r="4438" spans="29:34">
      <c r="AC4438" s="78"/>
      <c r="AD4438" s="78"/>
      <c r="AE4438" s="78"/>
      <c r="AF4438" s="78"/>
      <c r="AG4438" s="78"/>
      <c r="AH4438" s="78"/>
    </row>
    <row r="4439" spans="29:34">
      <c r="AC4439" s="78"/>
      <c r="AD4439" s="78"/>
      <c r="AE4439" s="78"/>
      <c r="AF4439" s="78"/>
      <c r="AG4439" s="78"/>
      <c r="AH4439" s="78"/>
    </row>
    <row r="4440" spans="29:34">
      <c r="AC4440" s="78"/>
      <c r="AD4440" s="78"/>
      <c r="AE4440" s="78"/>
      <c r="AF4440" s="78"/>
      <c r="AG4440" s="78"/>
      <c r="AH4440" s="78"/>
    </row>
    <row r="4441" spans="29:34">
      <c r="AC4441" s="78"/>
      <c r="AD4441" s="78"/>
      <c r="AE4441" s="78"/>
      <c r="AF4441" s="78"/>
      <c r="AG4441" s="78"/>
      <c r="AH4441" s="78"/>
    </row>
    <row r="4442" spans="29:34">
      <c r="AC4442" s="78"/>
      <c r="AD4442" s="78"/>
      <c r="AE4442" s="78"/>
      <c r="AF4442" s="78"/>
      <c r="AG4442" s="78"/>
      <c r="AH4442" s="78"/>
    </row>
    <row r="4443" spans="29:34">
      <c r="AC4443" s="78"/>
      <c r="AD4443" s="78"/>
      <c r="AE4443" s="78"/>
      <c r="AF4443" s="78"/>
      <c r="AG4443" s="78"/>
      <c r="AH4443" s="78"/>
    </row>
    <row r="4444" spans="29:34">
      <c r="AC4444" s="78"/>
      <c r="AD4444" s="78"/>
      <c r="AE4444" s="78"/>
      <c r="AF4444" s="78"/>
      <c r="AG4444" s="78"/>
      <c r="AH4444" s="78"/>
    </row>
    <row r="4445" spans="29:34">
      <c r="AC4445" s="78"/>
      <c r="AD4445" s="78"/>
      <c r="AE4445" s="78"/>
      <c r="AF4445" s="78"/>
      <c r="AG4445" s="78"/>
      <c r="AH4445" s="78"/>
    </row>
    <row r="4446" spans="29:34">
      <c r="AC4446" s="78"/>
      <c r="AD4446" s="78"/>
      <c r="AE4446" s="78"/>
      <c r="AF4446" s="78"/>
      <c r="AG4446" s="78"/>
      <c r="AH4446" s="78"/>
    </row>
    <row r="4447" spans="29:34">
      <c r="AC4447" s="78"/>
      <c r="AD4447" s="78"/>
      <c r="AE4447" s="78"/>
      <c r="AF4447" s="78"/>
      <c r="AG4447" s="78"/>
      <c r="AH4447" s="78"/>
    </row>
    <row r="4448" spans="29:34">
      <c r="AC4448" s="78"/>
      <c r="AD4448" s="78"/>
      <c r="AE4448" s="78"/>
      <c r="AF4448" s="78"/>
      <c r="AG4448" s="78"/>
      <c r="AH4448" s="78"/>
    </row>
    <row r="4449" spans="29:34">
      <c r="AC4449" s="78"/>
      <c r="AD4449" s="78"/>
      <c r="AE4449" s="78"/>
      <c r="AF4449" s="78"/>
      <c r="AG4449" s="78"/>
      <c r="AH4449" s="78"/>
    </row>
    <row r="4450" spans="29:34">
      <c r="AC4450" s="78"/>
      <c r="AD4450" s="78"/>
      <c r="AE4450" s="78"/>
      <c r="AF4450" s="78"/>
      <c r="AG4450" s="78"/>
      <c r="AH4450" s="78"/>
    </row>
    <row r="4451" spans="29:34">
      <c r="AC4451" s="78"/>
      <c r="AD4451" s="78"/>
      <c r="AE4451" s="78"/>
      <c r="AF4451" s="78"/>
      <c r="AG4451" s="78"/>
      <c r="AH4451" s="78"/>
    </row>
    <row r="4452" spans="29:34">
      <c r="AC4452" s="78"/>
      <c r="AD4452" s="78"/>
      <c r="AE4452" s="78"/>
      <c r="AF4452" s="78"/>
      <c r="AG4452" s="78"/>
      <c r="AH4452" s="78"/>
    </row>
    <row r="4453" spans="29:34">
      <c r="AC4453" s="78"/>
      <c r="AD4453" s="78"/>
      <c r="AE4453" s="78"/>
      <c r="AF4453" s="78"/>
      <c r="AG4453" s="78"/>
      <c r="AH4453" s="78"/>
    </row>
    <row r="4454" spans="29:34">
      <c r="AC4454" s="78"/>
      <c r="AD4454" s="78"/>
      <c r="AE4454" s="78"/>
      <c r="AF4454" s="78"/>
      <c r="AG4454" s="78"/>
      <c r="AH4454" s="78"/>
    </row>
    <row r="4455" spans="29:34">
      <c r="AC4455" s="78"/>
      <c r="AD4455" s="78"/>
      <c r="AE4455" s="78"/>
      <c r="AF4455" s="78"/>
      <c r="AG4455" s="78"/>
      <c r="AH4455" s="78"/>
    </row>
    <row r="4456" spans="29:34">
      <c r="AC4456" s="78"/>
      <c r="AD4456" s="78"/>
      <c r="AE4456" s="78"/>
      <c r="AF4456" s="78"/>
      <c r="AG4456" s="78"/>
      <c r="AH4456" s="78"/>
    </row>
    <row r="4457" spans="29:34">
      <c r="AC4457" s="78"/>
      <c r="AD4457" s="78"/>
      <c r="AE4457" s="78"/>
      <c r="AF4457" s="78"/>
      <c r="AG4457" s="78"/>
      <c r="AH4457" s="78"/>
    </row>
    <row r="4458" spans="29:34">
      <c r="AC4458" s="77"/>
      <c r="AD4458" s="77"/>
      <c r="AE4458" s="77"/>
      <c r="AF4458" s="77"/>
      <c r="AG4458" s="77"/>
      <c r="AH4458" s="77"/>
    </row>
    <row r="4459" spans="29:34">
      <c r="AC4459" s="77"/>
      <c r="AD4459" s="77"/>
      <c r="AE4459" s="77"/>
      <c r="AF4459" s="77"/>
      <c r="AG4459" s="77"/>
      <c r="AH4459" s="77"/>
    </row>
    <row r="4460" spans="29:34">
      <c r="AC4460" s="77"/>
      <c r="AD4460" s="77"/>
      <c r="AE4460" s="77"/>
      <c r="AF4460" s="77"/>
      <c r="AG4460" s="77"/>
      <c r="AH4460" s="77"/>
    </row>
    <row r="4461" spans="29:34">
      <c r="AC4461" s="77"/>
      <c r="AD4461" s="77"/>
      <c r="AE4461" s="77"/>
      <c r="AF4461" s="77"/>
      <c r="AG4461" s="77"/>
      <c r="AH4461" s="77"/>
    </row>
    <row r="4462" spans="29:34">
      <c r="AC4462" s="77"/>
      <c r="AD4462" s="77"/>
      <c r="AE4462" s="77"/>
      <c r="AF4462" s="77"/>
      <c r="AG4462" s="77"/>
      <c r="AH4462" s="77"/>
    </row>
    <row r="4463" spans="29:34">
      <c r="AC4463" s="77"/>
      <c r="AD4463" s="77"/>
      <c r="AE4463" s="77"/>
      <c r="AF4463" s="77"/>
      <c r="AG4463" s="77"/>
      <c r="AH4463" s="77"/>
    </row>
    <row r="4464" spans="29:34">
      <c r="AC4464" s="77"/>
      <c r="AD4464" s="77"/>
      <c r="AE4464" s="77"/>
      <c r="AF4464" s="77"/>
      <c r="AG4464" s="77"/>
      <c r="AH4464" s="77"/>
    </row>
    <row r="4465" spans="29:34">
      <c r="AC4465" s="77"/>
      <c r="AD4465" s="77"/>
      <c r="AE4465" s="77"/>
      <c r="AF4465" s="77"/>
      <c r="AG4465" s="77"/>
      <c r="AH4465" s="77"/>
    </row>
    <row r="4466" spans="29:34">
      <c r="AC4466" s="77"/>
      <c r="AD4466" s="77"/>
      <c r="AE4466" s="77"/>
      <c r="AF4466" s="77"/>
      <c r="AG4466" s="77"/>
      <c r="AH4466" s="77"/>
    </row>
    <row r="4467" spans="29:34">
      <c r="AC4467" s="77"/>
      <c r="AD4467" s="77"/>
      <c r="AE4467" s="77"/>
      <c r="AF4467" s="77"/>
      <c r="AG4467" s="77"/>
      <c r="AH4467" s="77"/>
    </row>
    <row r="4468" spans="29:34">
      <c r="AC4468" s="77"/>
      <c r="AD4468" s="77"/>
      <c r="AE4468" s="77"/>
      <c r="AF4468" s="77"/>
      <c r="AG4468" s="77"/>
      <c r="AH4468" s="77"/>
    </row>
    <row r="4469" spans="29:34">
      <c r="AC4469" s="77"/>
      <c r="AD4469" s="77"/>
      <c r="AE4469" s="77"/>
      <c r="AF4469" s="77"/>
      <c r="AG4469" s="77"/>
      <c r="AH4469" s="77"/>
    </row>
    <row r="4470" spans="29:34">
      <c r="AC4470" s="77"/>
      <c r="AD4470" s="77"/>
      <c r="AE4470" s="77"/>
      <c r="AF4470" s="77"/>
      <c r="AG4470" s="77"/>
      <c r="AH4470" s="77"/>
    </row>
    <row r="4471" spans="29:34">
      <c r="AC4471" s="77"/>
      <c r="AD4471" s="77"/>
      <c r="AE4471" s="77"/>
      <c r="AF4471" s="77"/>
      <c r="AG4471" s="77"/>
      <c r="AH4471" s="77"/>
    </row>
    <row r="4472" spans="29:34">
      <c r="AC4472" s="77"/>
      <c r="AD4472" s="77"/>
      <c r="AE4472" s="77"/>
      <c r="AF4472" s="77"/>
      <c r="AG4472" s="77"/>
      <c r="AH4472" s="77"/>
    </row>
    <row r="4473" spans="29:34">
      <c r="AC4473" s="77"/>
      <c r="AD4473" s="77"/>
      <c r="AE4473" s="77"/>
      <c r="AF4473" s="77"/>
      <c r="AG4473" s="77"/>
      <c r="AH4473" s="77"/>
    </row>
    <row r="4474" spans="29:34">
      <c r="AC4474" s="77"/>
      <c r="AD4474" s="77"/>
      <c r="AE4474" s="77"/>
      <c r="AF4474" s="77"/>
      <c r="AG4474" s="77"/>
      <c r="AH4474" s="77"/>
    </row>
    <row r="4475" spans="29:34">
      <c r="AC4475" s="77"/>
      <c r="AD4475" s="77"/>
      <c r="AE4475" s="77"/>
      <c r="AF4475" s="77"/>
      <c r="AG4475" s="77"/>
      <c r="AH4475" s="77"/>
    </row>
    <row r="4476" spans="29:34">
      <c r="AC4476" s="77"/>
      <c r="AD4476" s="77"/>
      <c r="AE4476" s="77"/>
      <c r="AF4476" s="77"/>
      <c r="AG4476" s="77"/>
      <c r="AH4476" s="77"/>
    </row>
    <row r="4477" spans="29:34">
      <c r="AC4477" s="77"/>
      <c r="AD4477" s="77"/>
      <c r="AE4477" s="77"/>
      <c r="AF4477" s="77"/>
      <c r="AG4477" s="77"/>
      <c r="AH4477" s="77"/>
    </row>
    <row r="4478" spans="29:34">
      <c r="AC4478" s="77"/>
      <c r="AD4478" s="77"/>
      <c r="AE4478" s="77"/>
      <c r="AF4478" s="77"/>
      <c r="AG4478" s="77"/>
      <c r="AH4478" s="77"/>
    </row>
    <row r="4479" spans="29:34">
      <c r="AC4479" s="77"/>
      <c r="AD4479" s="77"/>
      <c r="AE4479" s="77"/>
      <c r="AF4479" s="77"/>
      <c r="AG4479" s="77"/>
      <c r="AH4479" s="77"/>
    </row>
    <row r="4480" spans="29:34">
      <c r="AC4480" s="77"/>
      <c r="AD4480" s="77"/>
      <c r="AE4480" s="77"/>
      <c r="AF4480" s="77"/>
      <c r="AG4480" s="77"/>
      <c r="AH4480" s="77"/>
    </row>
    <row r="4481" spans="29:34">
      <c r="AC4481" s="77"/>
      <c r="AD4481" s="77"/>
      <c r="AE4481" s="77"/>
      <c r="AF4481" s="77"/>
      <c r="AG4481" s="77"/>
      <c r="AH4481" s="77"/>
    </row>
    <row r="4482" spans="29:34">
      <c r="AC4482" s="77"/>
      <c r="AD4482" s="77"/>
      <c r="AE4482" s="77"/>
      <c r="AF4482" s="77"/>
      <c r="AG4482" s="77"/>
      <c r="AH4482" s="77"/>
    </row>
    <row r="4483" spans="29:34">
      <c r="AC4483" s="77"/>
      <c r="AD4483" s="77"/>
      <c r="AE4483" s="77"/>
      <c r="AF4483" s="77"/>
      <c r="AG4483" s="77"/>
      <c r="AH4483" s="77"/>
    </row>
    <row r="4484" spans="29:34">
      <c r="AC4484" s="77"/>
      <c r="AD4484" s="77"/>
      <c r="AE4484" s="77"/>
      <c r="AF4484" s="77"/>
      <c r="AG4484" s="77"/>
      <c r="AH4484" s="77"/>
    </row>
    <row r="4485" spans="29:34">
      <c r="AC4485" s="77"/>
      <c r="AD4485" s="77"/>
      <c r="AE4485" s="77"/>
      <c r="AF4485" s="77"/>
      <c r="AG4485" s="77"/>
      <c r="AH4485" s="77"/>
    </row>
    <row r="4486" spans="29:34">
      <c r="AC4486" s="77"/>
      <c r="AD4486" s="77"/>
      <c r="AE4486" s="77"/>
      <c r="AF4486" s="77"/>
      <c r="AG4486" s="77"/>
      <c r="AH4486" s="77"/>
    </row>
    <row r="4487" spans="29:34">
      <c r="AC4487" s="77"/>
      <c r="AD4487" s="77"/>
      <c r="AE4487" s="77"/>
      <c r="AF4487" s="77"/>
      <c r="AG4487" s="77"/>
      <c r="AH4487" s="77"/>
    </row>
    <row r="4488" spans="29:34">
      <c r="AC4488" s="77"/>
      <c r="AD4488" s="77"/>
      <c r="AE4488" s="77"/>
      <c r="AF4488" s="77"/>
      <c r="AG4488" s="77"/>
      <c r="AH4488" s="77"/>
    </row>
    <row r="4489" spans="29:34">
      <c r="AC4489" s="77"/>
      <c r="AD4489" s="77"/>
      <c r="AE4489" s="77"/>
      <c r="AF4489" s="77"/>
      <c r="AG4489" s="77"/>
      <c r="AH4489" s="77"/>
    </row>
    <row r="4490" spans="29:34">
      <c r="AC4490" s="77"/>
      <c r="AD4490" s="77"/>
      <c r="AE4490" s="77"/>
      <c r="AF4490" s="77"/>
      <c r="AG4490" s="77"/>
      <c r="AH4490" s="77"/>
    </row>
    <row r="4491" spans="29:34">
      <c r="AC4491" s="77"/>
      <c r="AD4491" s="77"/>
      <c r="AE4491" s="77"/>
      <c r="AF4491" s="77"/>
      <c r="AG4491" s="77"/>
      <c r="AH4491" s="77"/>
    </row>
    <row r="4492" spans="29:34">
      <c r="AC4492" s="77"/>
      <c r="AD4492" s="77"/>
      <c r="AE4492" s="77"/>
      <c r="AF4492" s="77"/>
      <c r="AG4492" s="77"/>
      <c r="AH4492" s="77"/>
    </row>
    <row r="4493" spans="29:34">
      <c r="AC4493" s="77"/>
      <c r="AD4493" s="77"/>
      <c r="AE4493" s="77"/>
      <c r="AF4493" s="77"/>
      <c r="AG4493" s="77"/>
      <c r="AH4493" s="77"/>
    </row>
    <row r="4494" spans="29:34">
      <c r="AC4494" s="77"/>
      <c r="AD4494" s="77"/>
      <c r="AE4494" s="77"/>
      <c r="AF4494" s="77"/>
      <c r="AG4494" s="77"/>
      <c r="AH4494" s="77"/>
    </row>
    <row r="4495" spans="29:34">
      <c r="AC4495" s="77"/>
      <c r="AD4495" s="77"/>
      <c r="AE4495" s="77"/>
      <c r="AF4495" s="77"/>
      <c r="AG4495" s="77"/>
      <c r="AH4495" s="77"/>
    </row>
    <row r="4496" spans="29:34">
      <c r="AC4496" s="77"/>
      <c r="AD4496" s="77"/>
      <c r="AE4496" s="77"/>
      <c r="AF4496" s="77"/>
      <c r="AG4496" s="77"/>
      <c r="AH4496" s="77"/>
    </row>
    <row r="4497" spans="29:34">
      <c r="AC4497" s="77"/>
      <c r="AD4497" s="77"/>
      <c r="AE4497" s="77"/>
      <c r="AF4497" s="77"/>
      <c r="AG4497" s="77"/>
      <c r="AH4497" s="77"/>
    </row>
    <row r="4498" spans="29:34">
      <c r="AC4498" s="77"/>
      <c r="AD4498" s="77"/>
      <c r="AE4498" s="77"/>
      <c r="AF4498" s="77"/>
      <c r="AG4498" s="77"/>
      <c r="AH4498" s="77"/>
    </row>
    <row r="4499" spans="29:34">
      <c r="AC4499" s="77"/>
      <c r="AD4499" s="77"/>
      <c r="AE4499" s="77"/>
      <c r="AF4499" s="77"/>
      <c r="AG4499" s="77"/>
      <c r="AH4499" s="77"/>
    </row>
    <row r="4500" spans="29:34">
      <c r="AC4500" s="77"/>
      <c r="AD4500" s="77"/>
      <c r="AE4500" s="77"/>
      <c r="AF4500" s="77"/>
      <c r="AG4500" s="77"/>
      <c r="AH4500" s="77"/>
    </row>
    <row r="4501" spans="29:34">
      <c r="AC4501" s="77"/>
      <c r="AD4501" s="77"/>
      <c r="AE4501" s="77"/>
      <c r="AF4501" s="77"/>
      <c r="AG4501" s="77"/>
      <c r="AH4501" s="77"/>
    </row>
    <row r="4502" spans="29:34">
      <c r="AC4502" s="77"/>
      <c r="AD4502" s="77"/>
      <c r="AE4502" s="77"/>
      <c r="AF4502" s="77"/>
      <c r="AG4502" s="77"/>
      <c r="AH4502" s="77"/>
    </row>
    <row r="4503" spans="29:34">
      <c r="AC4503" s="77"/>
      <c r="AD4503" s="77"/>
      <c r="AE4503" s="77"/>
      <c r="AF4503" s="77"/>
      <c r="AG4503" s="77"/>
      <c r="AH4503" s="77"/>
    </row>
    <row r="4504" spans="29:34">
      <c r="AC4504" s="77"/>
      <c r="AD4504" s="77"/>
      <c r="AE4504" s="77"/>
      <c r="AF4504" s="77"/>
      <c r="AG4504" s="77"/>
      <c r="AH4504" s="77"/>
    </row>
    <row r="4505" spans="29:34">
      <c r="AC4505" s="77"/>
      <c r="AD4505" s="77"/>
      <c r="AE4505" s="77"/>
      <c r="AF4505" s="77"/>
      <c r="AG4505" s="77"/>
      <c r="AH4505" s="77"/>
    </row>
    <row r="4506" spans="29:34">
      <c r="AC4506" s="77"/>
      <c r="AD4506" s="77"/>
      <c r="AE4506" s="77"/>
      <c r="AF4506" s="77"/>
      <c r="AG4506" s="77"/>
      <c r="AH4506" s="77"/>
    </row>
    <row r="4507" spans="29:34">
      <c r="AC4507" s="77"/>
      <c r="AD4507" s="77"/>
      <c r="AE4507" s="77"/>
      <c r="AF4507" s="77"/>
      <c r="AG4507" s="77"/>
      <c r="AH4507" s="77"/>
    </row>
    <row r="4508" spans="29:34">
      <c r="AC4508" s="77"/>
      <c r="AD4508" s="77"/>
      <c r="AE4508" s="77"/>
      <c r="AF4508" s="77"/>
      <c r="AG4508" s="77"/>
      <c r="AH4508" s="77"/>
    </row>
    <row r="4509" spans="29:34">
      <c r="AC4509" s="77"/>
      <c r="AD4509" s="77"/>
      <c r="AE4509" s="77"/>
      <c r="AF4509" s="77"/>
      <c r="AG4509" s="77"/>
      <c r="AH4509" s="77"/>
    </row>
    <row r="4510" spans="29:34">
      <c r="AC4510" s="77"/>
      <c r="AD4510" s="77"/>
      <c r="AE4510" s="77"/>
      <c r="AF4510" s="77"/>
      <c r="AG4510" s="77"/>
      <c r="AH4510" s="77"/>
    </row>
    <row r="4511" spans="29:34">
      <c r="AC4511" s="77"/>
      <c r="AD4511" s="77"/>
      <c r="AE4511" s="77"/>
      <c r="AF4511" s="77"/>
      <c r="AG4511" s="77"/>
      <c r="AH4511" s="77"/>
    </row>
    <row r="4512" spans="29:34">
      <c r="AC4512" s="77"/>
      <c r="AD4512" s="77"/>
      <c r="AE4512" s="77"/>
      <c r="AF4512" s="77"/>
      <c r="AG4512" s="77"/>
      <c r="AH4512" s="77"/>
    </row>
    <row r="4513" spans="29:34">
      <c r="AC4513" s="77"/>
      <c r="AD4513" s="77"/>
      <c r="AE4513" s="77"/>
      <c r="AF4513" s="77"/>
      <c r="AG4513" s="77"/>
      <c r="AH4513" s="77"/>
    </row>
    <row r="4514" spans="29:34">
      <c r="AC4514" s="77"/>
      <c r="AD4514" s="77"/>
      <c r="AE4514" s="77"/>
      <c r="AF4514" s="77"/>
      <c r="AG4514" s="77"/>
      <c r="AH4514" s="77"/>
    </row>
    <row r="4515" spans="29:34">
      <c r="AC4515" s="77"/>
      <c r="AD4515" s="77"/>
      <c r="AE4515" s="77"/>
      <c r="AF4515" s="77"/>
      <c r="AG4515" s="77"/>
      <c r="AH4515" s="77"/>
    </row>
    <row r="4516" spans="29:34">
      <c r="AC4516" s="77"/>
      <c r="AD4516" s="77"/>
      <c r="AE4516" s="77"/>
      <c r="AF4516" s="77"/>
      <c r="AG4516" s="77"/>
      <c r="AH4516" s="77"/>
    </row>
    <row r="4517" spans="29:34">
      <c r="AC4517" s="77"/>
      <c r="AD4517" s="77"/>
      <c r="AE4517" s="77"/>
      <c r="AF4517" s="77"/>
      <c r="AG4517" s="77"/>
      <c r="AH4517" s="77"/>
    </row>
    <row r="4518" spans="29:34">
      <c r="AC4518" s="77"/>
      <c r="AD4518" s="77"/>
      <c r="AE4518" s="77"/>
      <c r="AF4518" s="77"/>
      <c r="AG4518" s="77"/>
      <c r="AH4518" s="77"/>
    </row>
    <row r="4519" spans="29:34">
      <c r="AC4519" s="77"/>
      <c r="AD4519" s="77"/>
      <c r="AE4519" s="77"/>
      <c r="AF4519" s="77"/>
      <c r="AG4519" s="77"/>
      <c r="AH4519" s="77"/>
    </row>
    <row r="4520" spans="29:34">
      <c r="AC4520" s="77"/>
      <c r="AD4520" s="77"/>
      <c r="AE4520" s="77"/>
      <c r="AF4520" s="77"/>
      <c r="AG4520" s="77"/>
      <c r="AH4520" s="77"/>
    </row>
    <row r="4521" spans="29:34">
      <c r="AC4521" s="77"/>
      <c r="AD4521" s="77"/>
      <c r="AE4521" s="77"/>
      <c r="AF4521" s="77"/>
      <c r="AG4521" s="77"/>
      <c r="AH4521" s="77"/>
    </row>
    <row r="4522" spans="29:34">
      <c r="AC4522" s="77"/>
      <c r="AD4522" s="77"/>
      <c r="AE4522" s="77"/>
      <c r="AF4522" s="77"/>
      <c r="AG4522" s="77"/>
      <c r="AH4522" s="77"/>
    </row>
    <row r="4523" spans="29:34">
      <c r="AC4523" s="77"/>
      <c r="AD4523" s="77"/>
      <c r="AE4523" s="77"/>
      <c r="AF4523" s="77"/>
      <c r="AG4523" s="77"/>
      <c r="AH4523" s="77"/>
    </row>
    <row r="4524" spans="29:34">
      <c r="AC4524" s="77"/>
      <c r="AD4524" s="77"/>
      <c r="AE4524" s="77"/>
      <c r="AF4524" s="77"/>
      <c r="AG4524" s="77"/>
      <c r="AH4524" s="77"/>
    </row>
    <row r="4525" spans="29:34">
      <c r="AC4525" s="77"/>
      <c r="AD4525" s="77"/>
      <c r="AE4525" s="77"/>
      <c r="AF4525" s="77"/>
      <c r="AG4525" s="77"/>
      <c r="AH4525" s="77"/>
    </row>
    <row r="4526" spans="29:34">
      <c r="AC4526" s="77"/>
      <c r="AD4526" s="77"/>
      <c r="AE4526" s="77"/>
      <c r="AF4526" s="77"/>
      <c r="AG4526" s="77"/>
      <c r="AH4526" s="77"/>
    </row>
    <row r="4527" spans="29:34">
      <c r="AC4527" s="77"/>
      <c r="AD4527" s="77"/>
      <c r="AE4527" s="77"/>
      <c r="AF4527" s="77"/>
      <c r="AG4527" s="77"/>
      <c r="AH4527" s="77"/>
    </row>
    <row r="4528" spans="29:34">
      <c r="AC4528" s="77"/>
      <c r="AD4528" s="77"/>
      <c r="AE4528" s="77"/>
      <c r="AF4528" s="77"/>
      <c r="AG4528" s="77"/>
      <c r="AH4528" s="77"/>
    </row>
    <row r="4529" spans="29:34">
      <c r="AC4529" s="77"/>
      <c r="AD4529" s="77"/>
      <c r="AE4529" s="77"/>
      <c r="AF4529" s="77"/>
      <c r="AG4529" s="77"/>
      <c r="AH4529" s="77"/>
    </row>
    <row r="4530" spans="29:34">
      <c r="AC4530" s="77"/>
      <c r="AD4530" s="77"/>
      <c r="AE4530" s="77"/>
      <c r="AF4530" s="77"/>
      <c r="AG4530" s="77"/>
      <c r="AH4530" s="77"/>
    </row>
  </sheetData>
  <pageMargins left="0.7" right="0.7" top="0.75" bottom="0.75" header="0.3" footer="0.3"/>
  <pageSetup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729"/>
  <sheetViews>
    <sheetView topLeftCell="B373" workbookViewId="0">
      <selection activeCell="O411" sqref="O411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199" t="s">
        <v>65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</row>
    <row r="3" spans="1:11" hidden="1">
      <c r="A3" s="39" t="s">
        <v>56</v>
      </c>
      <c r="D3" s="39" t="s">
        <v>47</v>
      </c>
    </row>
    <row r="4" spans="1:11" s="42" customFormat="1">
      <c r="A4" s="39" t="s">
        <v>49</v>
      </c>
      <c r="B4" s="39" t="s">
        <v>45</v>
      </c>
      <c r="C4" s="39" t="s">
        <v>46</v>
      </c>
      <c r="D4" s="42" t="s">
        <v>25</v>
      </c>
      <c r="E4" s="42" t="s">
        <v>7</v>
      </c>
      <c r="F4" s="42" t="s">
        <v>0</v>
      </c>
      <c r="G4" s="42" t="s">
        <v>40</v>
      </c>
      <c r="H4" s="42" t="s">
        <v>1</v>
      </c>
      <c r="I4" s="42" t="s">
        <v>41</v>
      </c>
      <c r="J4" s="42" t="s">
        <v>72</v>
      </c>
      <c r="K4" s="42" t="s">
        <v>28</v>
      </c>
    </row>
    <row r="5" spans="1:11">
      <c r="A5" s="1" t="s">
        <v>427</v>
      </c>
      <c r="B5" s="1" t="s">
        <v>20</v>
      </c>
      <c r="C5" s="1" t="s">
        <v>52</v>
      </c>
      <c r="D5" s="40">
        <v>4.125</v>
      </c>
      <c r="E5" s="40">
        <v>1</v>
      </c>
      <c r="F5" s="40">
        <v>4.1619999999999999</v>
      </c>
      <c r="G5" s="40">
        <v>2598</v>
      </c>
      <c r="H5" s="40">
        <v>200000</v>
      </c>
      <c r="I5" s="40"/>
      <c r="J5" s="40">
        <v>4.3102725972031495</v>
      </c>
      <c r="K5" s="40">
        <v>1.3525237141218998</v>
      </c>
    </row>
    <row r="6" spans="1:11">
      <c r="A6" s="1" t="s">
        <v>427</v>
      </c>
      <c r="B6" s="1" t="s">
        <v>20</v>
      </c>
      <c r="C6" s="1" t="s">
        <v>53</v>
      </c>
      <c r="D6" s="40">
        <v>4.625</v>
      </c>
      <c r="E6" s="40">
        <v>1</v>
      </c>
      <c r="F6" s="40">
        <v>5.6790000000000003</v>
      </c>
      <c r="G6" s="40">
        <v>7014</v>
      </c>
      <c r="H6" s="40">
        <v>200000</v>
      </c>
      <c r="I6" s="40">
        <v>3500</v>
      </c>
      <c r="J6" s="40">
        <v>4.8142499999999995</v>
      </c>
      <c r="K6" s="40">
        <v>2.0263022796586294</v>
      </c>
    </row>
    <row r="7" spans="1:11">
      <c r="A7" s="1" t="s">
        <v>427</v>
      </c>
      <c r="B7" s="1" t="s">
        <v>20</v>
      </c>
      <c r="C7" s="1" t="s">
        <v>54</v>
      </c>
      <c r="D7" s="40">
        <v>3.875</v>
      </c>
      <c r="E7" s="40">
        <v>1</v>
      </c>
      <c r="F7" s="40">
        <v>3.992</v>
      </c>
      <c r="G7" s="40">
        <v>0.05</v>
      </c>
      <c r="H7" s="40">
        <v>200000</v>
      </c>
      <c r="I7" s="40"/>
      <c r="J7" s="40">
        <v>3.9770901967365671</v>
      </c>
      <c r="K7" s="40">
        <v>1.0193413136553171</v>
      </c>
    </row>
    <row r="8" spans="1:11">
      <c r="A8" s="1" t="s">
        <v>427</v>
      </c>
      <c r="B8" s="1" t="s">
        <v>20</v>
      </c>
      <c r="C8" s="1" t="s">
        <v>55</v>
      </c>
      <c r="D8" s="40">
        <v>3.625</v>
      </c>
      <c r="E8" s="40">
        <v>1</v>
      </c>
      <c r="F8" s="40">
        <v>3.8290000000000002</v>
      </c>
      <c r="G8" s="40">
        <v>0.05</v>
      </c>
      <c r="H8" s="40">
        <v>750000</v>
      </c>
      <c r="I8" s="40"/>
      <c r="J8" s="40">
        <v>3.9929555782460247</v>
      </c>
      <c r="K8" s="40">
        <v>1.0352066951647747</v>
      </c>
    </row>
    <row r="9" spans="1:11">
      <c r="A9" s="1" t="s">
        <v>427</v>
      </c>
      <c r="B9" s="1" t="s">
        <v>19</v>
      </c>
      <c r="C9" s="1" t="s">
        <v>52</v>
      </c>
      <c r="D9" s="40">
        <v>3.875</v>
      </c>
      <c r="E9" s="40">
        <v>1.75</v>
      </c>
      <c r="F9" s="40">
        <v>4.1139999999999999</v>
      </c>
      <c r="G9" s="40"/>
      <c r="H9" s="40"/>
      <c r="I9" s="40"/>
      <c r="J9" s="40">
        <v>4.3364393474588088</v>
      </c>
      <c r="K9" s="40">
        <v>1.3786904643775584</v>
      </c>
    </row>
    <row r="10" spans="1:11">
      <c r="A10" s="1" t="s">
        <v>427</v>
      </c>
      <c r="B10" s="1" t="s">
        <v>19</v>
      </c>
      <c r="C10" s="1" t="s">
        <v>53</v>
      </c>
      <c r="D10" s="40">
        <v>1</v>
      </c>
      <c r="E10" s="40">
        <v>1</v>
      </c>
      <c r="F10" s="40">
        <v>1</v>
      </c>
      <c r="G10" s="40"/>
      <c r="H10" s="40"/>
      <c r="I10" s="40"/>
      <c r="J10" s="40"/>
      <c r="K10" s="40"/>
    </row>
    <row r="11" spans="1:11">
      <c r="A11" s="1" t="s">
        <v>427</v>
      </c>
      <c r="B11" s="1" t="s">
        <v>17</v>
      </c>
      <c r="C11" s="1" t="s">
        <v>52</v>
      </c>
      <c r="D11" s="40">
        <v>4</v>
      </c>
      <c r="E11" s="40">
        <v>0.73</v>
      </c>
      <c r="F11" s="40">
        <v>4.1449999999999996</v>
      </c>
      <c r="G11" s="40"/>
      <c r="H11" s="40"/>
      <c r="I11" s="40"/>
      <c r="J11" s="40">
        <v>4.1821179681285399</v>
      </c>
      <c r="K11" s="40">
        <v>1.2243690850472895</v>
      </c>
    </row>
    <row r="12" spans="1:11">
      <c r="A12" s="1" t="s">
        <v>427</v>
      </c>
      <c r="B12" s="1" t="s">
        <v>18</v>
      </c>
      <c r="C12" s="1" t="s">
        <v>52</v>
      </c>
      <c r="D12" s="40">
        <v>3.875</v>
      </c>
      <c r="E12" s="40">
        <v>0.875</v>
      </c>
      <c r="F12" s="40">
        <v>3.9470000000000001</v>
      </c>
      <c r="G12" s="40"/>
      <c r="H12" s="40"/>
      <c r="I12" s="40"/>
      <c r="J12" s="40">
        <v>3.8425411667081901</v>
      </c>
      <c r="K12" s="40">
        <v>0.88479228362694018</v>
      </c>
    </row>
    <row r="28" spans="1:11" ht="19.5">
      <c r="A28" s="199" t="s">
        <v>66</v>
      </c>
      <c r="B28" s="199"/>
      <c r="C28" s="199"/>
      <c r="D28" s="199"/>
      <c r="E28" s="199"/>
      <c r="F28" s="199"/>
      <c r="G28" s="199"/>
      <c r="H28" s="199"/>
      <c r="I28" s="199"/>
      <c r="J28" s="199"/>
      <c r="K28" s="199"/>
    </row>
    <row r="29" spans="1:11">
      <c r="A29" s="39" t="s">
        <v>56</v>
      </c>
      <c r="D29" s="39" t="s">
        <v>47</v>
      </c>
    </row>
    <row r="30" spans="1:11">
      <c r="A30" s="39" t="s">
        <v>49</v>
      </c>
      <c r="B30" s="39" t="s">
        <v>45</v>
      </c>
      <c r="C30" s="39" t="s">
        <v>46</v>
      </c>
      <c r="D30" s="42" t="s">
        <v>25</v>
      </c>
      <c r="E30" s="42" t="s">
        <v>7</v>
      </c>
      <c r="F30" s="42" t="s">
        <v>0</v>
      </c>
      <c r="G30" s="42" t="s">
        <v>40</v>
      </c>
      <c r="H30" s="42" t="s">
        <v>1</v>
      </c>
      <c r="I30" s="42" t="s">
        <v>41</v>
      </c>
      <c r="J30" s="42" t="s">
        <v>72</v>
      </c>
      <c r="K30" s="42" t="s">
        <v>28</v>
      </c>
    </row>
    <row r="31" spans="1:11">
      <c r="A31" s="1" t="s">
        <v>424</v>
      </c>
      <c r="B31" s="1" t="s">
        <v>20</v>
      </c>
      <c r="C31" s="1" t="s">
        <v>52</v>
      </c>
      <c r="D31" s="40">
        <v>4.125</v>
      </c>
      <c r="E31" s="40">
        <v>1</v>
      </c>
      <c r="F31" s="40">
        <v>4.1470000000000002</v>
      </c>
      <c r="G31" s="40">
        <v>2098</v>
      </c>
      <c r="H31" s="40">
        <v>200000</v>
      </c>
      <c r="I31" s="40"/>
      <c r="J31" s="40">
        <v>4.2030539804499192</v>
      </c>
      <c r="K31" s="40">
        <v>1.2498437509823688</v>
      </c>
    </row>
    <row r="32" spans="1:11">
      <c r="A32" s="1" t="s">
        <v>424</v>
      </c>
      <c r="B32" s="1" t="s">
        <v>20</v>
      </c>
      <c r="C32" s="1" t="s">
        <v>53</v>
      </c>
      <c r="D32" s="40">
        <v>4.625</v>
      </c>
      <c r="E32" s="40">
        <v>1</v>
      </c>
      <c r="F32" s="40">
        <v>5.6790000000000003</v>
      </c>
      <c r="G32" s="40">
        <v>7014</v>
      </c>
      <c r="H32" s="40">
        <v>200000</v>
      </c>
      <c r="I32" s="40">
        <v>3500</v>
      </c>
      <c r="J32" s="40">
        <v>4.8142499999999995</v>
      </c>
      <c r="K32" s="40">
        <v>2.0174328382577098</v>
      </c>
    </row>
    <row r="33" spans="1:11">
      <c r="A33" s="1" t="s">
        <v>424</v>
      </c>
      <c r="B33" s="1" t="s">
        <v>20</v>
      </c>
      <c r="C33" s="1" t="s">
        <v>54</v>
      </c>
      <c r="D33" s="40">
        <v>3.75</v>
      </c>
      <c r="E33" s="40">
        <v>1</v>
      </c>
      <c r="F33" s="40">
        <v>3.968</v>
      </c>
      <c r="G33" s="40">
        <v>0.05</v>
      </c>
      <c r="H33" s="40">
        <v>200000</v>
      </c>
      <c r="I33" s="40"/>
      <c r="J33" s="40">
        <v>4.1548334667180757</v>
      </c>
      <c r="K33" s="40">
        <v>1.201623237250526</v>
      </c>
    </row>
    <row r="34" spans="1:11">
      <c r="A34" s="1" t="s">
        <v>424</v>
      </c>
      <c r="B34" s="1" t="s">
        <v>20</v>
      </c>
      <c r="C34" s="1" t="s">
        <v>55</v>
      </c>
      <c r="D34" s="40">
        <v>3.625</v>
      </c>
      <c r="E34" s="40">
        <v>1</v>
      </c>
      <c r="F34" s="40">
        <v>3.8290000000000002</v>
      </c>
      <c r="G34" s="40">
        <v>0.05</v>
      </c>
      <c r="H34" s="40">
        <v>750000</v>
      </c>
      <c r="I34" s="40"/>
      <c r="J34" s="40">
        <v>3.9929555782460247</v>
      </c>
      <c r="K34" s="40">
        <v>1.0397453487784747</v>
      </c>
    </row>
    <row r="35" spans="1:11">
      <c r="A35" s="1" t="s">
        <v>424</v>
      </c>
      <c r="B35" s="1" t="s">
        <v>19</v>
      </c>
      <c r="C35" s="1" t="s">
        <v>52</v>
      </c>
      <c r="D35" s="40">
        <v>3.75</v>
      </c>
      <c r="E35" s="40">
        <v>2.25</v>
      </c>
      <c r="F35" s="40">
        <v>4.03</v>
      </c>
      <c r="G35" s="40"/>
      <c r="H35" s="40"/>
      <c r="I35" s="40"/>
      <c r="J35" s="40">
        <v>4.3364279754872603</v>
      </c>
      <c r="K35" s="40">
        <v>1.3832177460197108</v>
      </c>
    </row>
    <row r="36" spans="1:11">
      <c r="A36" s="1" t="s">
        <v>424</v>
      </c>
      <c r="B36" s="1" t="s">
        <v>19</v>
      </c>
      <c r="C36" s="1" t="s">
        <v>53</v>
      </c>
      <c r="D36" s="40">
        <v>1</v>
      </c>
      <c r="E36" s="40">
        <v>1</v>
      </c>
      <c r="F36" s="40">
        <v>1</v>
      </c>
      <c r="G36" s="40"/>
      <c r="H36" s="40"/>
      <c r="I36" s="40"/>
      <c r="J36" s="40"/>
      <c r="K36" s="40"/>
    </row>
    <row r="37" spans="1:11">
      <c r="A37" s="1" t="s">
        <v>424</v>
      </c>
      <c r="B37" s="1" t="s">
        <v>17</v>
      </c>
      <c r="C37" s="1" t="s">
        <v>52</v>
      </c>
      <c r="D37" s="40">
        <v>4</v>
      </c>
      <c r="E37" s="40">
        <v>0.56399999999999995</v>
      </c>
      <c r="F37" s="40">
        <v>4.1310000000000002</v>
      </c>
      <c r="G37" s="40"/>
      <c r="H37" s="40"/>
      <c r="I37" s="40"/>
      <c r="J37" s="40">
        <v>4.1408825121982815</v>
      </c>
      <c r="K37" s="40">
        <v>1.1876722827307316</v>
      </c>
    </row>
    <row r="38" spans="1:11">
      <c r="A38" s="1" t="s">
        <v>424</v>
      </c>
      <c r="B38" s="1" t="s">
        <v>18</v>
      </c>
      <c r="C38" s="1" t="s">
        <v>52</v>
      </c>
      <c r="D38" s="40">
        <v>3.75</v>
      </c>
      <c r="E38" s="40">
        <v>1.375</v>
      </c>
      <c r="F38" s="40">
        <v>3.863</v>
      </c>
      <c r="G38" s="40"/>
      <c r="H38" s="40"/>
      <c r="I38" s="40"/>
      <c r="J38" s="40">
        <v>3.8426337494806249</v>
      </c>
      <c r="K38" s="40">
        <v>0.8894235200130749</v>
      </c>
    </row>
    <row r="56" spans="1:11" ht="19.5">
      <c r="A56" s="199" t="s">
        <v>67</v>
      </c>
      <c r="B56" s="199"/>
      <c r="C56" s="199"/>
      <c r="D56" s="199"/>
      <c r="E56" s="199"/>
      <c r="F56" s="199"/>
      <c r="G56" s="199"/>
      <c r="H56" s="199"/>
      <c r="I56" s="199"/>
      <c r="J56" s="199"/>
      <c r="K56" s="199"/>
    </row>
    <row r="57" spans="1:11">
      <c r="A57" s="39" t="s">
        <v>56</v>
      </c>
      <c r="D57" s="39" t="s">
        <v>47</v>
      </c>
    </row>
    <row r="58" spans="1:11">
      <c r="A58" s="39" t="s">
        <v>49</v>
      </c>
      <c r="B58" s="39" t="s">
        <v>45</v>
      </c>
      <c r="C58" s="39" t="s">
        <v>46</v>
      </c>
      <c r="D58" s="42" t="s">
        <v>25</v>
      </c>
      <c r="E58" s="42" t="s">
        <v>7</v>
      </c>
      <c r="F58" s="42" t="s">
        <v>0</v>
      </c>
      <c r="G58" s="42" t="s">
        <v>40</v>
      </c>
      <c r="H58" s="42" t="s">
        <v>1</v>
      </c>
      <c r="I58" s="42" t="s">
        <v>41</v>
      </c>
      <c r="J58" s="42" t="s">
        <v>72</v>
      </c>
      <c r="K58" s="42" t="s">
        <v>28</v>
      </c>
    </row>
    <row r="59" spans="1:11">
      <c r="A59" s="1" t="s">
        <v>425</v>
      </c>
      <c r="B59" s="1" t="s">
        <v>20</v>
      </c>
      <c r="C59" s="1" t="s">
        <v>52</v>
      </c>
      <c r="D59" s="40">
        <v>4.125</v>
      </c>
      <c r="E59" s="40">
        <v>1</v>
      </c>
      <c r="F59" s="40">
        <v>4.1470000000000002</v>
      </c>
      <c r="G59" s="40">
        <v>2098</v>
      </c>
      <c r="H59" s="40">
        <v>200000</v>
      </c>
      <c r="I59" s="40"/>
      <c r="J59" s="40">
        <v>4.2030539804499192</v>
      </c>
      <c r="K59" s="40">
        <v>1.3189893873635086</v>
      </c>
    </row>
    <row r="60" spans="1:11">
      <c r="A60" s="1" t="s">
        <v>425</v>
      </c>
      <c r="B60" s="1" t="s">
        <v>20</v>
      </c>
      <c r="C60" s="1" t="s">
        <v>53</v>
      </c>
      <c r="D60" s="40">
        <v>4.625</v>
      </c>
      <c r="E60" s="40">
        <v>1</v>
      </c>
      <c r="F60" s="40">
        <v>5.6790000000000003</v>
      </c>
      <c r="G60" s="40">
        <v>7014</v>
      </c>
      <c r="H60" s="40">
        <v>200000</v>
      </c>
      <c r="I60" s="40">
        <v>3500</v>
      </c>
      <c r="J60" s="40">
        <v>4.8142499999999995</v>
      </c>
      <c r="K60" s="40">
        <v>2.0604933227684996</v>
      </c>
    </row>
    <row r="61" spans="1:11">
      <c r="A61" s="1" t="s">
        <v>425</v>
      </c>
      <c r="B61" s="1" t="s">
        <v>20</v>
      </c>
      <c r="C61" s="1" t="s">
        <v>54</v>
      </c>
      <c r="D61" s="40">
        <v>3.875</v>
      </c>
      <c r="E61" s="40">
        <v>1</v>
      </c>
      <c r="F61" s="40">
        <v>3.992</v>
      </c>
      <c r="G61" s="40">
        <v>0.05</v>
      </c>
      <c r="H61" s="40">
        <v>200000</v>
      </c>
      <c r="I61" s="40"/>
      <c r="J61" s="40">
        <v>3.9770901967365671</v>
      </c>
      <c r="K61" s="40">
        <v>1.0930256036501569</v>
      </c>
    </row>
    <row r="62" spans="1:11">
      <c r="A62" s="1" t="s">
        <v>425</v>
      </c>
      <c r="B62" s="1" t="s">
        <v>20</v>
      </c>
      <c r="C62" s="1" t="s">
        <v>55</v>
      </c>
      <c r="D62" s="40">
        <v>3.625</v>
      </c>
      <c r="E62" s="40">
        <v>1</v>
      </c>
      <c r="F62" s="40">
        <v>3.8290000000000002</v>
      </c>
      <c r="G62" s="40">
        <v>0.05</v>
      </c>
      <c r="H62" s="40">
        <v>750000</v>
      </c>
      <c r="I62" s="40"/>
      <c r="J62" s="40">
        <v>3.9929555782460247</v>
      </c>
      <c r="K62" s="40">
        <v>1.1088909851596145</v>
      </c>
    </row>
    <row r="63" spans="1:11">
      <c r="A63" s="1" t="s">
        <v>425</v>
      </c>
      <c r="B63" s="1" t="s">
        <v>19</v>
      </c>
      <c r="C63" s="1" t="s">
        <v>52</v>
      </c>
      <c r="D63" s="40">
        <v>3.75</v>
      </c>
      <c r="E63" s="40">
        <v>2.25</v>
      </c>
      <c r="F63" s="40">
        <v>4.03</v>
      </c>
      <c r="G63" s="40"/>
      <c r="H63" s="40"/>
      <c r="I63" s="40"/>
      <c r="J63" s="40">
        <v>4.3364279754872603</v>
      </c>
      <c r="K63" s="40">
        <v>1.4523633824008504</v>
      </c>
    </row>
    <row r="64" spans="1:11">
      <c r="A64" s="1" t="s">
        <v>425</v>
      </c>
      <c r="B64" s="1" t="s">
        <v>19</v>
      </c>
      <c r="C64" s="1" t="s">
        <v>53</v>
      </c>
      <c r="D64" s="40">
        <v>1</v>
      </c>
      <c r="E64" s="40">
        <v>1</v>
      </c>
      <c r="F64" s="40">
        <v>1</v>
      </c>
      <c r="G64" s="40"/>
      <c r="H64" s="40"/>
      <c r="I64" s="40"/>
      <c r="J64" s="40"/>
      <c r="K64" s="40"/>
    </row>
    <row r="65" spans="1:15">
      <c r="A65" s="1" t="s">
        <v>425</v>
      </c>
      <c r="B65" s="1" t="s">
        <v>17</v>
      </c>
      <c r="C65" s="1" t="s">
        <v>52</v>
      </c>
      <c r="D65" s="40">
        <v>4</v>
      </c>
      <c r="E65" s="40">
        <v>0.54800000000000004</v>
      </c>
      <c r="F65" s="40">
        <v>4.13</v>
      </c>
      <c r="G65" s="40"/>
      <c r="H65" s="40"/>
      <c r="I65" s="40"/>
      <c r="J65" s="40">
        <v>4.1379331815548976</v>
      </c>
      <c r="K65" s="40">
        <v>1.253868588468487</v>
      </c>
    </row>
    <row r="66" spans="1:15">
      <c r="A66" s="1" t="s">
        <v>425</v>
      </c>
      <c r="B66" s="1" t="s">
        <v>18</v>
      </c>
      <c r="C66" s="1" t="s">
        <v>52</v>
      </c>
      <c r="D66" s="40">
        <v>3.875</v>
      </c>
      <c r="E66" s="40">
        <v>0.75</v>
      </c>
      <c r="F66" s="40">
        <v>3.9369999999999998</v>
      </c>
      <c r="G66" s="40"/>
      <c r="H66" s="40"/>
      <c r="I66" s="40"/>
      <c r="J66" s="40">
        <v>3.8124950348616728</v>
      </c>
      <c r="K66" s="40">
        <v>0.92843044177526279</v>
      </c>
    </row>
    <row r="77" spans="1:15" ht="19.5">
      <c r="A77" s="199" t="s">
        <v>77</v>
      </c>
      <c r="B77" s="199"/>
      <c r="C77" s="199"/>
      <c r="D77" s="199"/>
      <c r="E77" s="199"/>
      <c r="M77" s="199" t="s">
        <v>88</v>
      </c>
      <c r="N77" s="199"/>
      <c r="O77" s="199"/>
    </row>
    <row r="78" spans="1:15">
      <c r="A78" s="39" t="s">
        <v>78</v>
      </c>
      <c r="M78" s="39" t="s">
        <v>78</v>
      </c>
    </row>
    <row r="79" spans="1:15">
      <c r="B79" s="1" t="s">
        <v>79</v>
      </c>
      <c r="C79" s="1" t="s">
        <v>80</v>
      </c>
      <c r="D79" s="1" t="s">
        <v>81</v>
      </c>
      <c r="N79" s="1" t="s">
        <v>90</v>
      </c>
      <c r="O79" s="1" t="s">
        <v>89</v>
      </c>
    </row>
    <row r="80" spans="1:15">
      <c r="A80" s="164" t="s">
        <v>129</v>
      </c>
      <c r="B80" s="40">
        <v>4.2109722530911462</v>
      </c>
      <c r="C80" s="40">
        <v>4.0036250000000004</v>
      </c>
      <c r="D80" s="40">
        <v>3.9170666666666665</v>
      </c>
      <c r="M80" s="117" t="s">
        <v>129</v>
      </c>
      <c r="N80" s="40">
        <v>2.8341999400292899</v>
      </c>
      <c r="O80" s="40">
        <v>1.3767723130618554</v>
      </c>
    </row>
    <row r="81" spans="1:15">
      <c r="A81" s="117" t="s">
        <v>130</v>
      </c>
      <c r="B81" s="40">
        <v>4.2092383259139474</v>
      </c>
      <c r="C81" s="40">
        <v>4.0036250000000004</v>
      </c>
      <c r="D81" s="40">
        <v>3.9170666666666665</v>
      </c>
      <c r="M81" s="117" t="s">
        <v>130</v>
      </c>
      <c r="N81" s="40">
        <v>2.8241837227534399</v>
      </c>
      <c r="O81" s="40">
        <v>1.3850546031605075</v>
      </c>
    </row>
    <row r="82" spans="1:15">
      <c r="A82" s="117" t="s">
        <v>131</v>
      </c>
      <c r="B82" s="40">
        <v>4.1848202800158329</v>
      </c>
      <c r="C82" s="40">
        <v>3.9717500000000001</v>
      </c>
      <c r="D82" s="40">
        <v>3.9170666666666665</v>
      </c>
      <c r="M82" s="117" t="s">
        <v>131</v>
      </c>
      <c r="N82" s="40">
        <v>2.81556157497667</v>
      </c>
      <c r="O82" s="40">
        <v>1.3692587050391631</v>
      </c>
    </row>
    <row r="83" spans="1:15">
      <c r="A83" s="117" t="s">
        <v>132</v>
      </c>
      <c r="B83" s="40">
        <v>4.2793845467200686</v>
      </c>
      <c r="C83" s="40">
        <v>4.0676249999999996</v>
      </c>
      <c r="D83" s="40">
        <v>3.9975388163708763</v>
      </c>
      <c r="M83" s="117" t="s">
        <v>132</v>
      </c>
      <c r="N83" s="40">
        <v>2.9303170109018999</v>
      </c>
      <c r="O83" s="40">
        <v>1.3490675358181696</v>
      </c>
    </row>
    <row r="84" spans="1:15">
      <c r="A84" s="117" t="s">
        <v>133</v>
      </c>
      <c r="B84" s="40">
        <v>4.2526168084086038</v>
      </c>
      <c r="C84" s="40">
        <v>4.0353750000000002</v>
      </c>
      <c r="D84" s="40">
        <v>3.9543261870321942</v>
      </c>
      <c r="M84" s="117" t="s">
        <v>133</v>
      </c>
      <c r="N84" s="40">
        <v>2.90222752352993</v>
      </c>
      <c r="O84" s="40">
        <v>1.350389284878674</v>
      </c>
    </row>
    <row r="85" spans="1:15">
      <c r="A85" s="117" t="s">
        <v>134</v>
      </c>
      <c r="B85" s="40">
        <v>4.1948574056984462</v>
      </c>
      <c r="C85" s="40">
        <v>4.0353750000000002</v>
      </c>
      <c r="D85" s="40">
        <v>3.929789796110164</v>
      </c>
      <c r="M85" s="117" t="s">
        <v>134</v>
      </c>
      <c r="N85" s="40">
        <v>2.84635033680676</v>
      </c>
      <c r="O85" s="40">
        <v>1.3485070688916867</v>
      </c>
    </row>
    <row r="86" spans="1:15">
      <c r="A86" s="117" t="s">
        <v>135</v>
      </c>
      <c r="B86" s="40">
        <v>4.183912785416835</v>
      </c>
      <c r="C86" s="40">
        <v>4.0036250000000004</v>
      </c>
      <c r="D86" s="40">
        <v>3.929789796110164</v>
      </c>
      <c r="M86" s="117" t="s">
        <v>135</v>
      </c>
      <c r="N86" s="40">
        <v>2.8278353033181198</v>
      </c>
      <c r="O86" s="40">
        <v>1.3560774820987149</v>
      </c>
    </row>
    <row r="87" spans="1:15">
      <c r="A87" s="117" t="s">
        <v>136</v>
      </c>
      <c r="B87" s="40">
        <v>4.1580287281176718</v>
      </c>
      <c r="C87" s="40">
        <v>3.9717500000000001</v>
      </c>
      <c r="D87" s="40">
        <v>3.8281034376602534</v>
      </c>
      <c r="M87" s="117" t="s">
        <v>136</v>
      </c>
      <c r="N87" s="40">
        <v>2.8138191102539798</v>
      </c>
      <c r="O87" s="40">
        <v>1.344209617863692</v>
      </c>
    </row>
    <row r="88" spans="1:15">
      <c r="A88" s="117" t="s">
        <v>137</v>
      </c>
      <c r="B88" s="40">
        <v>4.1711206525116253</v>
      </c>
      <c r="C88" s="40">
        <v>4.0036250000000004</v>
      </c>
      <c r="D88" s="40">
        <v>3.8714038285041039</v>
      </c>
      <c r="M88" s="117" t="s">
        <v>137</v>
      </c>
      <c r="N88" s="40">
        <v>2.8315057491425</v>
      </c>
      <c r="O88" s="40">
        <v>1.3396149033691263</v>
      </c>
    </row>
    <row r="89" spans="1:15" ht="15.75" customHeight="1">
      <c r="A89" s="117" t="s">
        <v>138</v>
      </c>
      <c r="B89" s="40">
        <v>4.1349192739455276</v>
      </c>
      <c r="C89" s="40">
        <v>3.9717500000000001</v>
      </c>
      <c r="D89" s="40">
        <v>3.8281034376602534</v>
      </c>
      <c r="M89" s="117" t="s">
        <v>138</v>
      </c>
      <c r="N89" s="40">
        <v>2.8241768518279202</v>
      </c>
      <c r="O89" s="40">
        <v>1.3107424221176069</v>
      </c>
    </row>
    <row r="90" spans="1:15">
      <c r="A90" s="117" t="s">
        <v>139</v>
      </c>
      <c r="B90" s="40">
        <v>4.1195438104816251</v>
      </c>
      <c r="C90" s="40">
        <v>3.9717500000000001</v>
      </c>
      <c r="D90" s="40">
        <v>3.7907999999999999</v>
      </c>
      <c r="M90" s="117" t="s">
        <v>139</v>
      </c>
      <c r="N90" s="40">
        <v>2.79584100930466</v>
      </c>
      <c r="O90" s="40">
        <v>1.3237028011769647</v>
      </c>
    </row>
    <row r="91" spans="1:15">
      <c r="A91" s="117" t="s">
        <v>140</v>
      </c>
      <c r="B91" s="40">
        <v>4.0625796613669598</v>
      </c>
      <c r="C91" s="40">
        <v>3.8759999999999994</v>
      </c>
      <c r="D91" s="40">
        <v>3.7452361066975079</v>
      </c>
      <c r="M91" s="117" t="s">
        <v>140</v>
      </c>
      <c r="N91" s="40">
        <v>2.6928489030954199</v>
      </c>
      <c r="O91" s="40">
        <v>1.3697307582715406</v>
      </c>
    </row>
    <row r="92" spans="1:15">
      <c r="A92" s="117" t="s">
        <v>141</v>
      </c>
      <c r="B92" s="40">
        <v>4.0272197213430534</v>
      </c>
      <c r="C92" s="40">
        <v>3.8441249999999996</v>
      </c>
      <c r="D92" s="40">
        <v>3.701847554934004</v>
      </c>
      <c r="M92" s="117" t="s">
        <v>141</v>
      </c>
      <c r="N92" s="40">
        <v>2.70955656376128</v>
      </c>
      <c r="O92" s="40">
        <v>1.3176631575817741</v>
      </c>
    </row>
    <row r="93" spans="1:15">
      <c r="A93" s="117" t="s">
        <v>142</v>
      </c>
      <c r="B93" s="40">
        <v>4.0522074267600177</v>
      </c>
      <c r="C93" s="40">
        <v>3.9077500000000001</v>
      </c>
      <c r="D93" s="40">
        <v>3.7452361066975079</v>
      </c>
      <c r="M93" s="117" t="s">
        <v>142</v>
      </c>
      <c r="N93" s="40">
        <v>2.6717729385436999</v>
      </c>
      <c r="O93" s="40">
        <v>1.380434488216318</v>
      </c>
    </row>
    <row r="94" spans="1:15">
      <c r="A94" s="117" t="s">
        <v>143</v>
      </c>
      <c r="B94" s="40">
        <v>4.0183878599642231</v>
      </c>
      <c r="C94" s="40">
        <v>3.8759999999999994</v>
      </c>
      <c r="D94" s="40">
        <v>3.7452361066975079</v>
      </c>
      <c r="M94" s="117" t="s">
        <v>143</v>
      </c>
      <c r="N94" s="40">
        <v>2.6575094779916602</v>
      </c>
      <c r="O94" s="40">
        <v>1.3608783819725627</v>
      </c>
    </row>
    <row r="95" spans="1:15">
      <c r="A95" s="117" t="s">
        <v>144</v>
      </c>
      <c r="B95" s="40">
        <v>3.9852298964584785</v>
      </c>
      <c r="C95" s="40">
        <v>3.8441249999999996</v>
      </c>
      <c r="D95" s="40">
        <v>3.7907999999999999</v>
      </c>
      <c r="M95" s="117" t="s">
        <v>144</v>
      </c>
      <c r="N95" s="40">
        <v>2.60984671554638</v>
      </c>
      <c r="O95" s="40">
        <v>1.3753831809120984</v>
      </c>
    </row>
    <row r="96" spans="1:15">
      <c r="A96" s="117" t="s">
        <v>145</v>
      </c>
      <c r="B96" s="40">
        <v>4.0086704188015165</v>
      </c>
      <c r="C96" s="40">
        <v>3.8441249999999996</v>
      </c>
      <c r="D96" s="40">
        <v>3.8281034376602534</v>
      </c>
      <c r="M96" s="117" t="s">
        <v>145</v>
      </c>
      <c r="N96" s="40">
        <v>2.6641693960453199</v>
      </c>
      <c r="O96" s="40">
        <v>1.3445010227561975</v>
      </c>
    </row>
    <row r="97" spans="1:15">
      <c r="A97" s="117" t="s">
        <v>146</v>
      </c>
      <c r="B97" s="40">
        <v>4.133340061547397</v>
      </c>
      <c r="C97" s="40">
        <v>3.9077500000000001</v>
      </c>
      <c r="D97" s="40">
        <v>3.8714038285041039</v>
      </c>
      <c r="M97" s="117" t="s">
        <v>146</v>
      </c>
      <c r="N97" s="40">
        <v>2.7519990602785001</v>
      </c>
      <c r="O97" s="40">
        <v>1.3813410012688965</v>
      </c>
    </row>
    <row r="98" spans="1:15">
      <c r="A98" s="117" t="s">
        <v>147</v>
      </c>
      <c r="B98" s="40">
        <v>4.1023271797597225</v>
      </c>
      <c r="C98" s="40">
        <v>3.9077500000000001</v>
      </c>
      <c r="D98" s="40">
        <v>3.8714038285041039</v>
      </c>
      <c r="M98" s="117" t="s">
        <v>147</v>
      </c>
      <c r="N98" s="40">
        <v>2.6934832462996599</v>
      </c>
      <c r="O98" s="40">
        <v>1.4088439334600631</v>
      </c>
    </row>
    <row r="99" spans="1:15">
      <c r="A99" s="117" t="s">
        <v>148</v>
      </c>
      <c r="B99" s="40">
        <v>4.0736179989078529</v>
      </c>
      <c r="C99" s="40">
        <v>3.9077500000000001</v>
      </c>
      <c r="D99" s="40">
        <v>3.8714038285041039</v>
      </c>
      <c r="M99" s="117" t="s">
        <v>148</v>
      </c>
      <c r="N99" s="40">
        <v>2.6906214304432701</v>
      </c>
      <c r="O99" s="40">
        <v>1.3829965684645829</v>
      </c>
    </row>
    <row r="100" spans="1:15">
      <c r="A100" s="117" t="s">
        <v>149</v>
      </c>
      <c r="B100" s="40">
        <v>4.0714417710088808</v>
      </c>
      <c r="C100" s="40">
        <v>3.8759999999999994</v>
      </c>
      <c r="D100" s="40">
        <v>3.8714038285041039</v>
      </c>
      <c r="M100" s="117" t="s">
        <v>149</v>
      </c>
      <c r="N100" s="40">
        <v>2.66103516127894</v>
      </c>
      <c r="O100" s="40">
        <v>1.4104066097299408</v>
      </c>
    </row>
    <row r="101" spans="1:15">
      <c r="A101" s="117" t="s">
        <v>150</v>
      </c>
      <c r="B101" s="40">
        <v>4.0407390738732358</v>
      </c>
      <c r="C101" s="40">
        <v>3.8123749999999998</v>
      </c>
      <c r="D101" s="40">
        <v>3.7907999999999999</v>
      </c>
      <c r="M101" s="117" t="s">
        <v>150</v>
      </c>
      <c r="N101" s="40">
        <v>2.5992657753902901</v>
      </c>
      <c r="O101" s="40">
        <v>1.4414732984829457</v>
      </c>
    </row>
    <row r="102" spans="1:15">
      <c r="A102" s="117" t="s">
        <v>151</v>
      </c>
      <c r="B102" s="40">
        <v>4.0497476246961881</v>
      </c>
      <c r="C102" s="40">
        <v>3.7805</v>
      </c>
      <c r="D102" s="40">
        <v>3.7907999999999999</v>
      </c>
      <c r="M102" s="117" t="s">
        <v>151</v>
      </c>
      <c r="N102" s="40">
        <v>2.6512826680006101</v>
      </c>
      <c r="O102" s="40">
        <v>1.3984649566955778</v>
      </c>
    </row>
    <row r="103" spans="1:15">
      <c r="A103" s="117" t="s">
        <v>152</v>
      </c>
      <c r="B103" s="40">
        <v>4.0184302716039797</v>
      </c>
      <c r="C103" s="40">
        <v>3.7805</v>
      </c>
      <c r="D103" s="40">
        <v>3.8038200779030156</v>
      </c>
      <c r="M103" s="117" t="s">
        <v>152</v>
      </c>
      <c r="N103" s="40">
        <v>2.5908884215358099</v>
      </c>
      <c r="O103" s="40">
        <v>1.4275418500681698</v>
      </c>
    </row>
    <row r="104" spans="1:15">
      <c r="A104" s="117" t="s">
        <v>153</v>
      </c>
      <c r="B104" s="40">
        <v>4.0686879947021506</v>
      </c>
      <c r="C104" s="40">
        <v>3.964</v>
      </c>
      <c r="D104" s="40">
        <v>3.6708585343811904</v>
      </c>
      <c r="M104" s="117" t="s">
        <v>153</v>
      </c>
      <c r="N104" s="40">
        <v>2.63391710374052</v>
      </c>
      <c r="O104" s="40">
        <v>1.4347708909616306</v>
      </c>
    </row>
    <row r="105" spans="1:15">
      <c r="A105" s="117" t="s">
        <v>154</v>
      </c>
      <c r="B105" s="40">
        <v>4.0832773999934098</v>
      </c>
      <c r="C105" s="40">
        <v>3.964</v>
      </c>
      <c r="D105" s="40">
        <v>3.6708585343811904</v>
      </c>
      <c r="M105" s="117" t="s">
        <v>154</v>
      </c>
      <c r="N105" s="40">
        <v>2.6287824588785198</v>
      </c>
      <c r="O105" s="40">
        <v>1.45449494111489</v>
      </c>
    </row>
    <row r="106" spans="1:15">
      <c r="A106" s="117" t="s">
        <v>155</v>
      </c>
      <c r="B106" s="40">
        <v>4.0487453173162224</v>
      </c>
      <c r="C106" s="40">
        <v>4.0271249999999998</v>
      </c>
      <c r="D106" s="40">
        <v>3.6708585343811904</v>
      </c>
      <c r="M106" s="117" t="s">
        <v>155</v>
      </c>
      <c r="N106" s="40">
        <v>2.62032151165119</v>
      </c>
      <c r="O106" s="40">
        <v>1.4284238056650325</v>
      </c>
    </row>
    <row r="107" spans="1:15">
      <c r="A107" s="117" t="s">
        <v>156</v>
      </c>
      <c r="B107" s="40">
        <v>4.081627655506578</v>
      </c>
      <c r="C107" s="40">
        <v>3.9634999999999998</v>
      </c>
      <c r="D107" s="40">
        <v>3.6708585343811904</v>
      </c>
      <c r="M107" s="117" t="s">
        <v>156</v>
      </c>
      <c r="N107" s="40">
        <v>2.6476582784281</v>
      </c>
      <c r="O107" s="40">
        <v>1.4339693770784783</v>
      </c>
    </row>
    <row r="108" spans="1:15">
      <c r="A108" s="117" t="s">
        <v>157</v>
      </c>
      <c r="B108" s="40">
        <v>4.0659316584268881</v>
      </c>
      <c r="C108" s="40">
        <v>4.0271249999999998</v>
      </c>
      <c r="D108" s="40">
        <v>3.6708585343811904</v>
      </c>
      <c r="M108" s="117" t="s">
        <v>157</v>
      </c>
      <c r="N108" s="40">
        <v>2.6673945625319102</v>
      </c>
      <c r="O108" s="40">
        <v>1.3985370958949779</v>
      </c>
    </row>
    <row r="109" spans="1:15">
      <c r="A109" s="117" t="s">
        <v>158</v>
      </c>
      <c r="B109" s="40">
        <v>4.0555237007239207</v>
      </c>
      <c r="C109" s="40">
        <v>4.0271249999999998</v>
      </c>
      <c r="D109" s="40">
        <v>3.7143356375412493</v>
      </c>
      <c r="M109" s="117" t="s">
        <v>158</v>
      </c>
      <c r="N109" s="40">
        <v>2.64134045041691</v>
      </c>
      <c r="O109" s="40">
        <v>1.4141832503070106</v>
      </c>
    </row>
    <row r="110" spans="1:15">
      <c r="A110" s="117" t="s">
        <v>159</v>
      </c>
      <c r="B110" s="40">
        <v>4.0368826735599121</v>
      </c>
      <c r="C110" s="40">
        <v>3.8995000000000002</v>
      </c>
      <c r="D110" s="40">
        <v>3.6334666666666666</v>
      </c>
      <c r="M110" s="117" t="s">
        <v>159</v>
      </c>
      <c r="N110" s="40">
        <v>2.5968587672613901</v>
      </c>
      <c r="O110" s="40">
        <v>1.4400239062985229</v>
      </c>
    </row>
    <row r="111" spans="1:15">
      <c r="A111" s="117" t="s">
        <v>160</v>
      </c>
      <c r="B111" s="40">
        <v>4.0612395217521149</v>
      </c>
      <c r="C111" s="40">
        <v>3.8995000000000002</v>
      </c>
      <c r="D111" s="40">
        <v>3.6334666666666666</v>
      </c>
      <c r="M111" s="117" t="s">
        <v>160</v>
      </c>
      <c r="N111" s="40">
        <v>2.58469358456979</v>
      </c>
      <c r="O111" s="40">
        <v>1.4765459371823244</v>
      </c>
    </row>
    <row r="112" spans="1:15">
      <c r="A112" s="117" t="s">
        <v>161</v>
      </c>
      <c r="B112" s="40">
        <v>4.0575599907953466</v>
      </c>
      <c r="C112" s="40">
        <v>3.9634999999999998</v>
      </c>
      <c r="D112" s="40">
        <v>3.6334666666666666</v>
      </c>
      <c r="M112" s="117" t="s">
        <v>161</v>
      </c>
      <c r="N112" s="40">
        <v>2.5759029417987498</v>
      </c>
      <c r="O112" s="40">
        <v>1.4816570489965968</v>
      </c>
    </row>
    <row r="113" spans="1:15">
      <c r="A113" s="117" t="s">
        <v>162</v>
      </c>
      <c r="B113" s="40">
        <v>4.0225179325894045</v>
      </c>
      <c r="C113" s="40">
        <v>3.9634999999999998</v>
      </c>
      <c r="D113" s="40">
        <v>3.6334666666666666</v>
      </c>
      <c r="M113" s="117" t="s">
        <v>162</v>
      </c>
      <c r="N113" s="40">
        <v>2.56712042045777</v>
      </c>
      <c r="O113" s="40">
        <v>1.4553975121316345</v>
      </c>
    </row>
    <row r="114" spans="1:15">
      <c r="A114" s="117" t="s">
        <v>163</v>
      </c>
      <c r="B114" s="40">
        <v>4.047073769815273</v>
      </c>
      <c r="C114" s="40">
        <v>3.8995000000000002</v>
      </c>
      <c r="D114" s="40">
        <v>3.6334666666666666</v>
      </c>
      <c r="M114" s="117" t="s">
        <v>163</v>
      </c>
      <c r="N114" s="40">
        <v>2.59858921707026</v>
      </c>
      <c r="O114" s="40">
        <v>1.4484845527450128</v>
      </c>
    </row>
    <row r="115" spans="1:15">
      <c r="A115" s="117" t="s">
        <v>164</v>
      </c>
      <c r="B115" s="40">
        <v>4.0415040358882131</v>
      </c>
      <c r="C115" s="40">
        <v>3.9634999999999998</v>
      </c>
      <c r="D115" s="40">
        <v>3.6334666666666666</v>
      </c>
      <c r="M115" s="117" t="s">
        <v>164</v>
      </c>
      <c r="N115" s="40">
        <v>2.62252108008507</v>
      </c>
      <c r="O115" s="40">
        <v>1.4189829558031428</v>
      </c>
    </row>
    <row r="116" spans="1:15">
      <c r="A116" s="117" t="s">
        <v>165</v>
      </c>
      <c r="B116" s="40">
        <v>4.0709250025615749</v>
      </c>
      <c r="C116" s="40">
        <v>4.0271249999999998</v>
      </c>
      <c r="D116" s="40">
        <v>3.7597333333333331</v>
      </c>
      <c r="M116" s="117" t="s">
        <v>165</v>
      </c>
      <c r="N116" s="40">
        <v>2.6753264137467299</v>
      </c>
      <c r="O116" s="40">
        <v>1.3955985888148446</v>
      </c>
    </row>
    <row r="117" spans="1:15">
      <c r="A117" s="117" t="s">
        <v>166</v>
      </c>
      <c r="B117" s="40">
        <v>4.0590200464742132</v>
      </c>
      <c r="C117" s="40">
        <v>4.0271249999999998</v>
      </c>
      <c r="D117" s="40">
        <v>3.7597333333333331</v>
      </c>
      <c r="M117" s="117" t="s">
        <v>166</v>
      </c>
      <c r="N117" s="40">
        <v>2.6562875815293401</v>
      </c>
      <c r="O117" s="40">
        <v>1.4027324649448731</v>
      </c>
    </row>
    <row r="118" spans="1:15">
      <c r="A118" s="117" t="s">
        <v>167</v>
      </c>
      <c r="B118" s="40">
        <v>4.0582853232102964</v>
      </c>
      <c r="C118" s="40">
        <v>3.9953749999999997</v>
      </c>
      <c r="D118" s="40">
        <v>3.7143356375412493</v>
      </c>
      <c r="M118" s="117" t="s">
        <v>167</v>
      </c>
      <c r="N118" s="40">
        <v>2.62955921776924</v>
      </c>
      <c r="O118" s="40">
        <v>1.4287261054410563</v>
      </c>
    </row>
    <row r="119" spans="1:15">
      <c r="A119" s="117" t="s">
        <v>168</v>
      </c>
      <c r="B119" s="40">
        <v>4.0433720320738056</v>
      </c>
      <c r="C119" s="40">
        <v>4.0271249999999998</v>
      </c>
      <c r="D119" s="40">
        <v>3.7143356375412493</v>
      </c>
      <c r="M119" s="117" t="s">
        <v>168</v>
      </c>
      <c r="N119" s="40">
        <v>2.6437338504186898</v>
      </c>
      <c r="O119" s="40">
        <v>1.399638181655116</v>
      </c>
    </row>
    <row r="120" spans="1:15">
      <c r="A120" s="117" t="s">
        <v>169</v>
      </c>
      <c r="B120" s="40">
        <v>4.095665958992865</v>
      </c>
      <c r="C120" s="40">
        <v>3.9321250000000001</v>
      </c>
      <c r="D120" s="40">
        <v>3.7143356375412493</v>
      </c>
      <c r="M120" s="117" t="s">
        <v>169</v>
      </c>
      <c r="N120" s="40">
        <v>2.6991414546305501</v>
      </c>
      <c r="O120" s="40">
        <v>1.3965245043623147</v>
      </c>
    </row>
    <row r="121" spans="1:15">
      <c r="A121" s="117" t="s">
        <v>170</v>
      </c>
      <c r="B121" s="40">
        <v>4.1518717849292841</v>
      </c>
      <c r="C121" s="40">
        <v>4.0274999999999999</v>
      </c>
      <c r="D121" s="40">
        <v>3.7970808882673373</v>
      </c>
      <c r="M121" s="117" t="s">
        <v>170</v>
      </c>
      <c r="N121" s="40">
        <v>2.7467458715573199</v>
      </c>
      <c r="O121" s="40">
        <v>1.4051259133719631</v>
      </c>
    </row>
    <row r="122" spans="1:15">
      <c r="A122" s="117" t="s">
        <v>171</v>
      </c>
      <c r="B122" s="40">
        <v>4.1403416826452109</v>
      </c>
      <c r="C122" s="40">
        <v>3.9957500000000001</v>
      </c>
      <c r="D122" s="40">
        <v>3.7970808882673373</v>
      </c>
      <c r="M122" s="117" t="s">
        <v>171</v>
      </c>
      <c r="N122" s="40">
        <v>2.7480147229669498</v>
      </c>
      <c r="O122" s="40">
        <v>1.392326959678261</v>
      </c>
    </row>
    <row r="123" spans="1:15">
      <c r="A123" s="117" t="s">
        <v>172</v>
      </c>
      <c r="B123" s="40">
        <v>4.1440136116171136</v>
      </c>
      <c r="C123" s="40">
        <v>3.9957500000000001</v>
      </c>
      <c r="D123" s="40">
        <v>3.7970808882673373</v>
      </c>
      <c r="M123" s="117" t="s">
        <v>172</v>
      </c>
      <c r="N123" s="40">
        <v>2.8064099070641602</v>
      </c>
      <c r="O123" s="40">
        <v>1.3376037045529532</v>
      </c>
    </row>
    <row r="124" spans="1:15">
      <c r="A124" s="117" t="s">
        <v>173</v>
      </c>
      <c r="B124" s="40">
        <v>4.1799628612746957</v>
      </c>
      <c r="C124" s="40">
        <v>4.0593750000000002</v>
      </c>
      <c r="D124" s="40">
        <v>3.7970808882673373</v>
      </c>
      <c r="M124" s="117" t="s">
        <v>173</v>
      </c>
      <c r="N124" s="40">
        <v>2.8416760056146502</v>
      </c>
      <c r="O124" s="40">
        <v>1.3382868556600449</v>
      </c>
    </row>
    <row r="125" spans="1:15">
      <c r="A125" s="117" t="s">
        <v>174</v>
      </c>
      <c r="B125" s="40">
        <v>4.2347543125726199</v>
      </c>
      <c r="C125" s="40">
        <v>4.0911249999999999</v>
      </c>
      <c r="D125" s="40">
        <v>3.8404694400308417</v>
      </c>
      <c r="M125" s="117" t="s">
        <v>174</v>
      </c>
      <c r="N125" s="40">
        <v>2.8756484754346898</v>
      </c>
      <c r="O125" s="40">
        <v>1.3591058371379292</v>
      </c>
    </row>
    <row r="126" spans="1:15">
      <c r="A126" s="117" t="s">
        <v>175</v>
      </c>
      <c r="B126" s="40">
        <v>4.2681737145446403</v>
      </c>
      <c r="C126" s="40">
        <v>4.1547499999999999</v>
      </c>
      <c r="D126" s="40">
        <v>3.9020859403395352</v>
      </c>
      <c r="M126" s="117" t="s">
        <v>175</v>
      </c>
      <c r="N126" s="40">
        <v>2.91930519695658</v>
      </c>
      <c r="O126" s="40">
        <v>1.3488685175880604</v>
      </c>
    </row>
    <row r="127" spans="1:15">
      <c r="A127" s="117" t="s">
        <v>176</v>
      </c>
      <c r="B127" s="40">
        <v>4.2810922266017739</v>
      </c>
      <c r="C127" s="40">
        <v>4.1547499999999999</v>
      </c>
      <c r="D127" s="40">
        <v>3.9020859403395352</v>
      </c>
      <c r="M127" s="117" t="s">
        <v>176</v>
      </c>
      <c r="N127" s="40">
        <v>2.86177796804412</v>
      </c>
      <c r="O127" s="40">
        <v>1.4193142585576541</v>
      </c>
    </row>
    <row r="128" spans="1:15">
      <c r="A128" s="117" t="s">
        <v>177</v>
      </c>
      <c r="B128" s="40">
        <v>4.1649795879680038</v>
      </c>
      <c r="C128" s="40">
        <v>4.0274999999999999</v>
      </c>
      <c r="D128" s="40">
        <v>3.7970808882673373</v>
      </c>
      <c r="M128" s="117" t="s">
        <v>177</v>
      </c>
      <c r="N128" s="40">
        <v>2.8101076932532698</v>
      </c>
      <c r="O128" s="40">
        <v>1.3548718947147338</v>
      </c>
    </row>
    <row r="129" spans="1:15">
      <c r="A129" s="117" t="s">
        <v>178</v>
      </c>
      <c r="B129" s="40">
        <v>4.2379897525498276</v>
      </c>
      <c r="C129" s="40">
        <v>4.1229999999999993</v>
      </c>
      <c r="D129" s="40">
        <v>3.8860333333333337</v>
      </c>
      <c r="M129" s="117" t="s">
        <v>178</v>
      </c>
      <c r="N129" s="40">
        <v>2.9199815904284798</v>
      </c>
      <c r="O129" s="40">
        <v>1.3180081621213482</v>
      </c>
    </row>
    <row r="130" spans="1:15">
      <c r="A130" s="117" t="s">
        <v>179</v>
      </c>
      <c r="B130" s="40">
        <v>4.2264521189694744</v>
      </c>
      <c r="C130" s="40">
        <v>4.1229999999999993</v>
      </c>
      <c r="D130" s="40">
        <v>3.9233367709935867</v>
      </c>
      <c r="M130" s="117" t="s">
        <v>179</v>
      </c>
      <c r="N130" s="40">
        <v>2.9362897451124002</v>
      </c>
      <c r="O130" s="40">
        <v>1.2901623738570742</v>
      </c>
    </row>
    <row r="131" spans="1:15">
      <c r="A131" s="117" t="s">
        <v>180</v>
      </c>
      <c r="B131" s="40">
        <v>4.2344098452321184</v>
      </c>
      <c r="C131" s="40">
        <v>4.1547499999999999</v>
      </c>
      <c r="D131" s="40">
        <v>3.9233367709935867</v>
      </c>
      <c r="M131" s="117" t="s">
        <v>180</v>
      </c>
      <c r="N131" s="40">
        <v>2.9586092652733198</v>
      </c>
      <c r="O131" s="40">
        <v>1.2758005799587988</v>
      </c>
    </row>
    <row r="132" spans="1:15">
      <c r="A132" s="117" t="s">
        <v>181</v>
      </c>
      <c r="B132" s="40">
        <v>4.2346857860149951</v>
      </c>
      <c r="C132" s="40">
        <v>4.1547499999999999</v>
      </c>
      <c r="D132" s="40">
        <v>3.8860333333333337</v>
      </c>
      <c r="M132" s="117" t="s">
        <v>181</v>
      </c>
      <c r="N132" s="40">
        <v>2.9068905487933598</v>
      </c>
      <c r="O132" s="40">
        <v>1.3277952372216348</v>
      </c>
    </row>
    <row r="133" spans="1:15">
      <c r="A133" s="117" t="s">
        <v>182</v>
      </c>
      <c r="B133" s="40">
        <v>4.2323574962017467</v>
      </c>
      <c r="C133" s="40">
        <v>4.0593750000000002</v>
      </c>
      <c r="D133" s="40">
        <v>3.8404694400308417</v>
      </c>
      <c r="M133" s="117" t="s">
        <v>182</v>
      </c>
      <c r="N133" s="40">
        <v>2.82631669904023</v>
      </c>
      <c r="O133" s="40">
        <v>1.4060407971615168</v>
      </c>
    </row>
    <row r="134" spans="1:15">
      <c r="A134" s="117" t="s">
        <v>183</v>
      </c>
      <c r="B134" s="40">
        <v>4.2147472340123695</v>
      </c>
      <c r="C134" s="40">
        <v>4.0911249999999999</v>
      </c>
      <c r="D134" s="40">
        <v>3.8404694400308417</v>
      </c>
      <c r="M134" s="117" t="s">
        <v>183</v>
      </c>
      <c r="N134" s="40">
        <v>2.8896799307946499</v>
      </c>
      <c r="O134" s="40">
        <v>1.3250673032177192</v>
      </c>
    </row>
    <row r="135" spans="1:15">
      <c r="A135" s="117" t="s">
        <v>184</v>
      </c>
      <c r="B135" s="40">
        <v>4.3068583158312457</v>
      </c>
      <c r="C135" s="40">
        <v>4.1547499999999999</v>
      </c>
      <c r="D135" s="40">
        <v>3.9041371618374376</v>
      </c>
      <c r="M135" s="117" t="s">
        <v>184</v>
      </c>
      <c r="N135" s="40">
        <v>2.9214483553786899</v>
      </c>
      <c r="O135" s="40">
        <v>1.3854099604525558</v>
      </c>
    </row>
    <row r="136" spans="1:15">
      <c r="A136" s="117" t="s">
        <v>185</v>
      </c>
      <c r="B136" s="40">
        <v>4.295933915293987</v>
      </c>
      <c r="C136" s="40">
        <v>4.1547499999999999</v>
      </c>
      <c r="D136" s="40">
        <v>3.9041371618374376</v>
      </c>
      <c r="M136" s="117" t="s">
        <v>185</v>
      </c>
      <c r="N136" s="40">
        <v>2.9102623265110599</v>
      </c>
      <c r="O136" s="40">
        <v>1.3856715887829274</v>
      </c>
    </row>
    <row r="137" spans="1:15">
      <c r="A137" s="117" t="s">
        <v>186</v>
      </c>
      <c r="B137" s="40">
        <v>4.2663749732293477</v>
      </c>
      <c r="C137" s="40">
        <v>4.1547499999999999</v>
      </c>
      <c r="D137" s="40">
        <v>3.9041371618374376</v>
      </c>
      <c r="M137" s="117" t="s">
        <v>186</v>
      </c>
      <c r="N137" s="40">
        <v>2.8599760435846102</v>
      </c>
      <c r="O137" s="40">
        <v>1.4063989296447374</v>
      </c>
    </row>
    <row r="138" spans="1:15">
      <c r="A138" s="117" t="s">
        <v>187</v>
      </c>
      <c r="B138" s="40">
        <v>4.294547379243582</v>
      </c>
      <c r="C138" s="40">
        <v>4.1547499999999999</v>
      </c>
      <c r="D138" s="40">
        <v>3.7749314548968891</v>
      </c>
      <c r="M138" s="117" t="s">
        <v>187</v>
      </c>
      <c r="N138" s="40">
        <v>2.8915210158303699</v>
      </c>
      <c r="O138" s="40">
        <v>1.4030263634132119</v>
      </c>
    </row>
    <row r="139" spans="1:15">
      <c r="A139" s="117" t="s">
        <v>188</v>
      </c>
      <c r="B139" s="40">
        <v>4.2920571022905696</v>
      </c>
      <c r="C139" s="40">
        <v>4.155125</v>
      </c>
      <c r="D139" s="40">
        <v>3.7749314548968891</v>
      </c>
      <c r="M139" s="117" t="s">
        <v>188</v>
      </c>
      <c r="N139" s="40">
        <v>2.8500704386135798</v>
      </c>
      <c r="O139" s="40">
        <v>1.44198666367699</v>
      </c>
    </row>
    <row r="140" spans="1:15">
      <c r="A140" s="117" t="s">
        <v>189</v>
      </c>
      <c r="B140" s="40">
        <v>4.2379068843211822</v>
      </c>
      <c r="C140" s="40">
        <v>4.1547499999999999</v>
      </c>
      <c r="D140" s="40">
        <v>3.7749314548968891</v>
      </c>
      <c r="M140" s="117" t="s">
        <v>189</v>
      </c>
      <c r="N140" s="40">
        <v>2.8460665334928898</v>
      </c>
      <c r="O140" s="40">
        <v>1.3918403508282922</v>
      </c>
    </row>
    <row r="141" spans="1:15">
      <c r="A141" s="117" t="s">
        <v>190</v>
      </c>
      <c r="B141" s="40">
        <v>4.2233209218479928</v>
      </c>
      <c r="C141" s="40">
        <v>4.1229999999999993</v>
      </c>
      <c r="D141" s="40">
        <v>3.7761730843118855</v>
      </c>
      <c r="M141" s="117" t="s">
        <v>190</v>
      </c>
      <c r="N141" s="40">
        <v>2.8413672152174398</v>
      </c>
      <c r="O141" s="40">
        <v>1.3819537066305525</v>
      </c>
    </row>
    <row r="142" spans="1:15">
      <c r="A142" s="117" t="s">
        <v>191</v>
      </c>
      <c r="B142" s="40">
        <v>4.172073309877991</v>
      </c>
      <c r="C142" s="40">
        <v>4.0911249999999999</v>
      </c>
      <c r="D142" s="40">
        <v>3.7761730843118855</v>
      </c>
      <c r="M142" s="117" t="s">
        <v>191</v>
      </c>
      <c r="N142" s="40">
        <v>2.8125589424365498</v>
      </c>
      <c r="O142" s="40">
        <v>1.3595143674414412</v>
      </c>
    </row>
    <row r="143" spans="1:15">
      <c r="A143" s="117" t="s">
        <v>192</v>
      </c>
      <c r="B143" s="40">
        <v>4.2772299202203019</v>
      </c>
      <c r="C143" s="40">
        <v>4.0993750000000002</v>
      </c>
      <c r="D143" s="40">
        <v>4.0557276764206129</v>
      </c>
      <c r="M143" s="117" t="s">
        <v>192</v>
      </c>
      <c r="N143" s="40">
        <v>2.8873082715202201</v>
      </c>
      <c r="O143" s="40">
        <v>1.3899216487000827</v>
      </c>
    </row>
    <row r="144" spans="1:15">
      <c r="A144" s="117" t="s">
        <v>193</v>
      </c>
      <c r="B144" s="40">
        <v>4.2772299202203019</v>
      </c>
      <c r="C144" s="40">
        <v>4.0993750000000002</v>
      </c>
      <c r="D144" s="40">
        <v>4.0557276764206129</v>
      </c>
      <c r="M144" s="117" t="s">
        <v>193</v>
      </c>
      <c r="N144" s="40">
        <v>2.96123512742628</v>
      </c>
      <c r="O144" s="40">
        <v>1.3159947927940223</v>
      </c>
    </row>
    <row r="145" spans="1:15">
      <c r="A145" s="117" t="s">
        <v>194</v>
      </c>
      <c r="B145" s="40">
        <v>4.3923720218044648</v>
      </c>
      <c r="C145" s="40">
        <v>4.2910000000000004</v>
      </c>
      <c r="D145" s="40">
        <v>4.1817004181546098</v>
      </c>
      <c r="M145" s="117" t="s">
        <v>194</v>
      </c>
      <c r="N145" s="40">
        <v>3.0744144315737501</v>
      </c>
      <c r="O145" s="40">
        <v>1.3179575902307146</v>
      </c>
    </row>
    <row r="146" spans="1:15">
      <c r="A146" s="117" t="s">
        <v>195</v>
      </c>
      <c r="B146" s="40">
        <v>4.4021158998488241</v>
      </c>
      <c r="C146" s="40">
        <v>4.2588749999999997</v>
      </c>
      <c r="D146" s="40">
        <v>4.1237077500397357</v>
      </c>
      <c r="M146" s="117" t="s">
        <v>195</v>
      </c>
      <c r="N146" s="40">
        <v>3.0256748636149999</v>
      </c>
      <c r="O146" s="40">
        <v>1.3764410362338237</v>
      </c>
    </row>
    <row r="147" spans="1:15">
      <c r="A147" s="117" t="s">
        <v>196</v>
      </c>
      <c r="B147" s="40">
        <v>4.4471212470221824</v>
      </c>
      <c r="C147" s="40">
        <v>4.2592500000000006</v>
      </c>
      <c r="D147" s="40">
        <v>4.2186106422383469</v>
      </c>
      <c r="M147" s="117" t="s">
        <v>196</v>
      </c>
      <c r="N147" s="40">
        <v>3.1185389251118698</v>
      </c>
      <c r="O147" s="40">
        <v>1.328582321910313</v>
      </c>
    </row>
    <row r="148" spans="1:15">
      <c r="A148" s="117" t="s">
        <v>197</v>
      </c>
      <c r="B148" s="40">
        <v>4.4217882161894426</v>
      </c>
      <c r="C148" s="40">
        <v>4.2275</v>
      </c>
      <c r="D148" s="40">
        <v>4.1873439755716797</v>
      </c>
      <c r="M148" s="117" t="s">
        <v>197</v>
      </c>
      <c r="N148" s="40">
        <v>3.0852280715370801</v>
      </c>
      <c r="O148" s="40">
        <v>1.3365601446523632</v>
      </c>
    </row>
    <row r="149" spans="1:15">
      <c r="A149" s="117" t="s">
        <v>198</v>
      </c>
      <c r="B149" s="40">
        <v>4.4633281546176118</v>
      </c>
      <c r="C149" s="40">
        <v>4.1956249999999997</v>
      </c>
      <c r="D149" s="40">
        <v>4.1873439755716797</v>
      </c>
      <c r="M149" s="117" t="s">
        <v>198</v>
      </c>
      <c r="N149" s="40">
        <v>3.1292995796246399</v>
      </c>
      <c r="O149" s="40">
        <v>1.3340285749929719</v>
      </c>
    </row>
    <row r="150" spans="1:15">
      <c r="A150" s="117" t="s">
        <v>199</v>
      </c>
      <c r="B150" s="40">
        <v>4.5405932501440986</v>
      </c>
      <c r="C150" s="40">
        <v>4.2275</v>
      </c>
      <c r="D150" s="40">
        <v>4.310586640999877</v>
      </c>
      <c r="M150" s="117" t="s">
        <v>199</v>
      </c>
      <c r="N150" s="40">
        <v>3.1773446759928401</v>
      </c>
      <c r="O150" s="40">
        <v>1.363248574151259</v>
      </c>
    </row>
    <row r="151" spans="1:15">
      <c r="A151" s="117" t="s">
        <v>200</v>
      </c>
      <c r="B151" s="40">
        <v>4.4488627715372981</v>
      </c>
      <c r="C151" s="40">
        <v>4.1956249999999997</v>
      </c>
      <c r="D151" s="40">
        <v>4.2186106422383469</v>
      </c>
      <c r="M151" s="117" t="s">
        <v>200</v>
      </c>
      <c r="N151" s="40">
        <v>3.0761153132050598</v>
      </c>
      <c r="O151" s="40">
        <v>1.3727474583322374</v>
      </c>
    </row>
    <row r="152" spans="1:15">
      <c r="A152" s="117" t="s">
        <v>201</v>
      </c>
      <c r="B152" s="40">
        <v>4.4439837591100426</v>
      </c>
      <c r="C152" s="40">
        <v>4.2906250000000004</v>
      </c>
      <c r="D152" s="40">
        <v>4.2186106422383469</v>
      </c>
      <c r="M152" s="117" t="s">
        <v>201</v>
      </c>
      <c r="N152" s="40">
        <v>3.0919401279735599</v>
      </c>
      <c r="O152" s="40">
        <v>1.3520436311364827</v>
      </c>
    </row>
    <row r="153" spans="1:15">
      <c r="A153" s="117" t="s">
        <v>202</v>
      </c>
      <c r="B153" s="40">
        <v>4.4098494468306768</v>
      </c>
      <c r="C153" s="40">
        <v>4.2906250000000004</v>
      </c>
      <c r="D153" s="40">
        <v>4.1817004181546098</v>
      </c>
      <c r="M153" s="117" t="s">
        <v>202</v>
      </c>
      <c r="N153" s="40">
        <v>3.0848485059502999</v>
      </c>
      <c r="O153" s="40">
        <v>1.3250009408803773</v>
      </c>
    </row>
    <row r="154" spans="1:15">
      <c r="A154" s="117" t="s">
        <v>203</v>
      </c>
      <c r="B154" s="40">
        <v>4.4083993376568298</v>
      </c>
      <c r="C154" s="40">
        <v>4.2275</v>
      </c>
      <c r="D154" s="40">
        <v>4.1817004181546098</v>
      </c>
      <c r="M154" s="117" t="s">
        <v>203</v>
      </c>
      <c r="N154" s="40">
        <v>3.0537402902567599</v>
      </c>
      <c r="O154" s="40">
        <v>1.3546590474000695</v>
      </c>
    </row>
    <row r="155" spans="1:15">
      <c r="A155" s="117" t="s">
        <v>204</v>
      </c>
      <c r="B155" s="40">
        <v>4.4105641199278889</v>
      </c>
      <c r="C155" s="40">
        <v>4.2275</v>
      </c>
      <c r="D155" s="40">
        <v>4.1873439755716797</v>
      </c>
      <c r="M155" s="117" t="s">
        <v>204</v>
      </c>
      <c r="N155" s="40">
        <v>3.03216152423493</v>
      </c>
      <c r="O155" s="40">
        <v>1.3784025956929589</v>
      </c>
    </row>
    <row r="156" spans="1:15">
      <c r="A156" s="117" t="s">
        <v>205</v>
      </c>
      <c r="B156" s="40">
        <v>4.4094136727874513</v>
      </c>
      <c r="C156" s="40">
        <v>4.2588749999999997</v>
      </c>
      <c r="D156" s="40">
        <v>4.1873439755716797</v>
      </c>
      <c r="M156" s="117" t="s">
        <v>205</v>
      </c>
      <c r="N156" s="40">
        <v>3.0468019127231698</v>
      </c>
      <c r="O156" s="40">
        <v>1.3626117600642815</v>
      </c>
    </row>
    <row r="157" spans="1:15">
      <c r="A157" s="117" t="s">
        <v>206</v>
      </c>
      <c r="B157" s="40">
        <v>4.3215201199074498</v>
      </c>
      <c r="C157" s="40">
        <v>4.2270000000000003</v>
      </c>
      <c r="D157" s="40">
        <v>4.1817004181546098</v>
      </c>
      <c r="M157" s="117" t="s">
        <v>206</v>
      </c>
      <c r="N157" s="40">
        <v>2.9822174038917302</v>
      </c>
      <c r="O157" s="40">
        <v>1.3393027160157196</v>
      </c>
    </row>
    <row r="158" spans="1:15">
      <c r="A158" s="117" t="s">
        <v>207</v>
      </c>
      <c r="B158" s="40">
        <v>4.4009763614890982</v>
      </c>
      <c r="C158" s="40">
        <v>4.2906250000000004</v>
      </c>
      <c r="D158" s="40">
        <v>4.1873439755716797</v>
      </c>
      <c r="M158" s="117" t="s">
        <v>207</v>
      </c>
      <c r="N158" s="40">
        <v>3.0761568887156101</v>
      </c>
      <c r="O158" s="40">
        <v>1.3248194727734872</v>
      </c>
    </row>
    <row r="159" spans="1:15">
      <c r="A159" s="117" t="s">
        <v>208</v>
      </c>
      <c r="B159" s="40">
        <v>4.4392183160681951</v>
      </c>
      <c r="C159" s="40">
        <v>4.3228750000000007</v>
      </c>
      <c r="D159" s="40">
        <v>4.2186106422383469</v>
      </c>
      <c r="M159" s="117" t="s">
        <v>208</v>
      </c>
      <c r="N159" s="40">
        <v>3.1219045210798799</v>
      </c>
      <c r="O159" s="40">
        <v>1.3173137949883147</v>
      </c>
    </row>
    <row r="160" spans="1:15">
      <c r="A160" s="117" t="s">
        <v>209</v>
      </c>
      <c r="B160" s="40">
        <v>4.4453796157833887</v>
      </c>
      <c r="C160" s="40">
        <v>4.2910000000000004</v>
      </c>
      <c r="D160" s="40">
        <v>4.2186106422383469</v>
      </c>
      <c r="M160" s="117" t="s">
        <v>209</v>
      </c>
      <c r="N160" s="40">
        <v>3.0912606104251101</v>
      </c>
      <c r="O160" s="40">
        <v>1.3541190053582786</v>
      </c>
    </row>
    <row r="161" spans="1:15">
      <c r="A161" s="117" t="s">
        <v>210</v>
      </c>
      <c r="B161" s="40">
        <v>4.4482669586560188</v>
      </c>
      <c r="C161" s="40">
        <v>4.2910000000000004</v>
      </c>
      <c r="D161" s="40">
        <v>4.2186106422383469</v>
      </c>
      <c r="M161" s="117" t="s">
        <v>210</v>
      </c>
      <c r="N161" s="40">
        <v>3.1158923075545402</v>
      </c>
      <c r="O161" s="40">
        <v>1.3323746511014782</v>
      </c>
    </row>
    <row r="162" spans="1:15">
      <c r="A162" s="117" t="s">
        <v>211</v>
      </c>
      <c r="B162" s="40">
        <v>4.4711318074263238</v>
      </c>
      <c r="C162" s="40">
        <v>4.3546250000000004</v>
      </c>
      <c r="D162" s="40">
        <v>4.310586640999877</v>
      </c>
      <c r="M162" s="117" t="s">
        <v>211</v>
      </c>
      <c r="N162" s="40">
        <v>3.2022687944333499</v>
      </c>
      <c r="O162" s="40">
        <v>1.2688630129929737</v>
      </c>
    </row>
    <row r="163" spans="1:15">
      <c r="A163" s="117" t="s">
        <v>212</v>
      </c>
      <c r="B163" s="40">
        <v>4.4665872716104538</v>
      </c>
      <c r="C163" s="40">
        <v>4.2910000000000004</v>
      </c>
      <c r="D163" s="40">
        <v>4.2186106422383469</v>
      </c>
      <c r="M163" s="117" t="s">
        <v>212</v>
      </c>
      <c r="N163" s="40">
        <v>3.0851869199683102</v>
      </c>
      <c r="O163" s="40">
        <v>1.381400351642144</v>
      </c>
    </row>
    <row r="164" spans="1:15">
      <c r="A164" s="117" t="s">
        <v>97</v>
      </c>
      <c r="B164" s="40">
        <v>4.4146762877484873</v>
      </c>
      <c r="C164" s="40">
        <v>4.2592500000000006</v>
      </c>
      <c r="D164" s="40">
        <v>4.1873439755716797</v>
      </c>
      <c r="M164" s="117" t="s">
        <v>97</v>
      </c>
      <c r="N164" s="40">
        <v>3.0732804432921599</v>
      </c>
      <c r="O164" s="40">
        <v>1.341395844456327</v>
      </c>
    </row>
    <row r="165" spans="1:15">
      <c r="A165" s="117" t="s">
        <v>95</v>
      </c>
      <c r="B165" s="40">
        <v>4.5207040024477276</v>
      </c>
      <c r="C165" s="40">
        <v>4.3228750000000007</v>
      </c>
      <c r="D165" s="40">
        <v>4.2186106422383469</v>
      </c>
      <c r="M165" s="117" t="s">
        <v>95</v>
      </c>
      <c r="N165" s="40">
        <v>3.16276525236256</v>
      </c>
      <c r="O165" s="40">
        <v>1.3579387500851681</v>
      </c>
    </row>
    <row r="166" spans="1:15">
      <c r="A166" s="117" t="s">
        <v>96</v>
      </c>
      <c r="B166" s="40">
        <v>4.464829651284651</v>
      </c>
      <c r="C166" s="40">
        <v>4.2910000000000004</v>
      </c>
      <c r="D166" s="40">
        <v>4.2186106422383469</v>
      </c>
      <c r="M166" s="117" t="s">
        <v>96</v>
      </c>
      <c r="N166" s="40">
        <v>3.1329453977786899</v>
      </c>
      <c r="O166" s="40">
        <v>1.3318842535059612</v>
      </c>
    </row>
    <row r="167" spans="1:15">
      <c r="A167" s="117" t="s">
        <v>100</v>
      </c>
      <c r="B167" s="40">
        <v>4.4440509154403669</v>
      </c>
      <c r="C167" s="40">
        <v>4.2592500000000006</v>
      </c>
      <c r="D167" s="40">
        <v>4.1237077500397357</v>
      </c>
      <c r="M167" s="117" t="s">
        <v>100</v>
      </c>
      <c r="N167" s="40">
        <v>3.0409627195865201</v>
      </c>
      <c r="O167" s="40">
        <v>1.403088195853847</v>
      </c>
    </row>
    <row r="168" spans="1:15">
      <c r="A168" s="117" t="s">
        <v>101</v>
      </c>
      <c r="B168" s="40">
        <v>4.3983780593055251</v>
      </c>
      <c r="C168" s="40">
        <v>4.2906250000000004</v>
      </c>
      <c r="D168" s="40">
        <v>4.0612077500397348</v>
      </c>
      <c r="M168" s="117" t="s">
        <v>101</v>
      </c>
      <c r="N168" s="40">
        <v>3.00985191194196</v>
      </c>
      <c r="O168" s="40">
        <v>1.3885261473635655</v>
      </c>
    </row>
    <row r="169" spans="1:15">
      <c r="A169" s="117" t="s">
        <v>102</v>
      </c>
      <c r="B169" s="40">
        <v>4.425564979941222</v>
      </c>
      <c r="C169" s="40">
        <v>4.2910000000000004</v>
      </c>
      <c r="D169" s="40">
        <v>4.092474416706402</v>
      </c>
      <c r="M169" s="117" t="s">
        <v>102</v>
      </c>
      <c r="N169" s="40">
        <v>2.9791453962399599</v>
      </c>
      <c r="O169" s="40">
        <v>1.4464195837012623</v>
      </c>
    </row>
    <row r="170" spans="1:15">
      <c r="A170" s="117" t="s">
        <v>103</v>
      </c>
      <c r="B170" s="40">
        <v>4.4311762126347389</v>
      </c>
      <c r="C170" s="40">
        <v>4.2592500000000006</v>
      </c>
      <c r="D170" s="40">
        <v>4.092474416706402</v>
      </c>
      <c r="M170" s="117" t="s">
        <v>103</v>
      </c>
      <c r="N170" s="40">
        <v>3.0519928057207899</v>
      </c>
      <c r="O170" s="40">
        <v>1.3791834069139486</v>
      </c>
    </row>
    <row r="171" spans="1:15">
      <c r="A171" s="117" t="s">
        <v>104</v>
      </c>
      <c r="B171" s="40">
        <v>4.5092366228623613</v>
      </c>
      <c r="C171" s="40">
        <v>4.3228750000000007</v>
      </c>
      <c r="D171" s="40">
        <v>4.1873439755716797</v>
      </c>
      <c r="M171" s="117" t="s">
        <v>104</v>
      </c>
      <c r="N171" s="40">
        <v>3.1469144966257199</v>
      </c>
      <c r="O171" s="40">
        <v>1.3623221262366418</v>
      </c>
    </row>
    <row r="172" spans="1:15">
      <c r="A172" s="117" t="s">
        <v>105</v>
      </c>
      <c r="B172" s="40">
        <v>4.4900516049545001</v>
      </c>
      <c r="C172" s="40">
        <v>4.3864999999999998</v>
      </c>
      <c r="D172" s="40">
        <v>4.2498439755716797</v>
      </c>
      <c r="M172" s="117" t="s">
        <v>105</v>
      </c>
      <c r="N172" s="40">
        <v>3.1440801611331</v>
      </c>
      <c r="O172" s="40">
        <v>1.3459714438214008</v>
      </c>
    </row>
    <row r="173" spans="1:15">
      <c r="A173" s="117" t="s">
        <v>106</v>
      </c>
      <c r="B173" s="40">
        <v>4.4632421539572196</v>
      </c>
      <c r="C173" s="40">
        <v>4.2910000000000004</v>
      </c>
      <c r="D173" s="40">
        <v>4.1873439755716797</v>
      </c>
      <c r="M173" s="117" t="s">
        <v>106</v>
      </c>
      <c r="N173" s="40">
        <v>3.1081065530197201</v>
      </c>
      <c r="O173" s="40">
        <v>1.3551356009374995</v>
      </c>
    </row>
    <row r="174" spans="1:15">
      <c r="A174" s="117" t="s">
        <v>107</v>
      </c>
      <c r="B174" s="40">
        <v>4.4514544365653475</v>
      </c>
      <c r="C174" s="40">
        <v>4.2592500000000006</v>
      </c>
      <c r="D174" s="40">
        <v>4.1237077500397357</v>
      </c>
      <c r="M174" s="117" t="s">
        <v>107</v>
      </c>
      <c r="N174" s="40">
        <v>3.0651881254767099</v>
      </c>
      <c r="O174" s="40">
        <v>1.3862663110886373</v>
      </c>
    </row>
    <row r="175" spans="1:15">
      <c r="A175" s="117" t="s">
        <v>99</v>
      </c>
      <c r="B175" s="40">
        <v>4.4290275255907448</v>
      </c>
      <c r="C175" s="40">
        <v>4.2592500000000006</v>
      </c>
      <c r="D175" s="40">
        <v>4.1817004181546098</v>
      </c>
      <c r="M175" s="117" t="s">
        <v>99</v>
      </c>
      <c r="N175" s="40">
        <v>3.0642370952529001</v>
      </c>
      <c r="O175" s="40">
        <v>1.3647904303378449</v>
      </c>
    </row>
    <row r="176" spans="1:15">
      <c r="A176" s="117" t="s">
        <v>108</v>
      </c>
      <c r="B176" s="40">
        <v>4.3810187767133026</v>
      </c>
      <c r="C176" s="40">
        <v>4.2592500000000006</v>
      </c>
      <c r="D176" s="40">
        <v>4.1237077500397357</v>
      </c>
      <c r="M176" s="117" t="s">
        <v>108</v>
      </c>
      <c r="N176" s="40">
        <v>3.0508649511892498</v>
      </c>
      <c r="O176" s="40">
        <v>1.3301538255240535</v>
      </c>
    </row>
    <row r="177" spans="1:15">
      <c r="A177" s="117" t="s">
        <v>109</v>
      </c>
      <c r="B177" s="40">
        <v>4.4078248196462049</v>
      </c>
      <c r="C177" s="40">
        <v>4.2910000000000004</v>
      </c>
      <c r="D177" s="40">
        <v>4.1817004181546098</v>
      </c>
      <c r="M177" s="117" t="s">
        <v>109</v>
      </c>
      <c r="N177" s="40">
        <v>3.07026860246684</v>
      </c>
      <c r="O177" s="40">
        <v>1.337556217179366</v>
      </c>
    </row>
    <row r="178" spans="1:15">
      <c r="A178" s="117" t="s">
        <v>110</v>
      </c>
      <c r="B178" s="40">
        <v>4.4364625323187852</v>
      </c>
      <c r="C178" s="40">
        <v>4.2906250000000004</v>
      </c>
      <c r="D178" s="40">
        <v>4.1237077500397357</v>
      </c>
      <c r="M178" s="117" t="s">
        <v>110</v>
      </c>
      <c r="N178" s="40">
        <v>3.04099858929172</v>
      </c>
      <c r="O178" s="40">
        <v>1.3954639430270657</v>
      </c>
    </row>
    <row r="179" spans="1:15">
      <c r="A179" s="117" t="s">
        <v>98</v>
      </c>
      <c r="B179" s="40">
        <v>4.426843113943276</v>
      </c>
      <c r="C179" s="40">
        <v>4.2906250000000004</v>
      </c>
      <c r="D179" s="40">
        <v>4.1237077500397357</v>
      </c>
      <c r="M179" s="117" t="s">
        <v>98</v>
      </c>
      <c r="N179" s="40">
        <v>3.0272722743659699</v>
      </c>
      <c r="O179" s="40">
        <v>1.3995708395773065</v>
      </c>
    </row>
    <row r="180" spans="1:15">
      <c r="A180" s="117" t="s">
        <v>125</v>
      </c>
      <c r="B180" s="40">
        <v>4.4426873504270654</v>
      </c>
      <c r="C180" s="40">
        <v>4.2592500000000006</v>
      </c>
      <c r="D180" s="40">
        <v>4.1237077500397357</v>
      </c>
      <c r="M180" s="117" t="s">
        <v>125</v>
      </c>
      <c r="N180" s="40">
        <v>3.00152435884748</v>
      </c>
      <c r="O180" s="40">
        <v>1.4411629915795856</v>
      </c>
    </row>
    <row r="181" spans="1:15">
      <c r="A181" s="117" t="s">
        <v>123</v>
      </c>
      <c r="B181" s="40">
        <v>4.3703983083468625</v>
      </c>
      <c r="C181" s="40">
        <v>4.2588749999999997</v>
      </c>
      <c r="D181" s="40">
        <v>4.0612077500397348</v>
      </c>
      <c r="M181" s="117" t="s">
        <v>123</v>
      </c>
      <c r="N181" s="40">
        <v>3.00880742941581</v>
      </c>
      <c r="O181" s="40">
        <v>1.3615908789310525</v>
      </c>
    </row>
    <row r="182" spans="1:15">
      <c r="A182" s="117" t="s">
        <v>126</v>
      </c>
      <c r="B182" s="40">
        <v>4.3673853128344291</v>
      </c>
      <c r="C182" s="40">
        <v>4.2588749999999997</v>
      </c>
      <c r="D182" s="40">
        <v>4.0557276764206129</v>
      </c>
      <c r="M182" s="117" t="s">
        <v>126</v>
      </c>
      <c r="N182" s="40">
        <v>2.9768819813504899</v>
      </c>
      <c r="O182" s="40">
        <v>1.3905033314839395</v>
      </c>
    </row>
    <row r="183" spans="1:15">
      <c r="A183" s="117" t="s">
        <v>127</v>
      </c>
      <c r="B183" s="40">
        <v>4.3769220970021951</v>
      </c>
      <c r="C183" s="40">
        <v>4.2906250000000004</v>
      </c>
      <c r="D183" s="40">
        <v>4.0557276764206129</v>
      </c>
      <c r="M183" s="117" t="s">
        <v>127</v>
      </c>
      <c r="N183" s="40">
        <v>2.9700273705701301</v>
      </c>
      <c r="O183" s="40">
        <v>1.406894726432065</v>
      </c>
    </row>
    <row r="184" spans="1:15">
      <c r="A184" s="117" t="s">
        <v>128</v>
      </c>
      <c r="B184" s="40">
        <v>4.3942897588062166</v>
      </c>
      <c r="C184" s="40">
        <v>4.2906250000000004</v>
      </c>
      <c r="D184" s="40">
        <v>4.0557276764206129</v>
      </c>
      <c r="M184" s="117" t="s">
        <v>128</v>
      </c>
      <c r="N184" s="40">
        <v>2.9952166878972601</v>
      </c>
      <c r="O184" s="40">
        <v>1.3990730709089572</v>
      </c>
    </row>
    <row r="185" spans="1:15">
      <c r="A185" s="117" t="s">
        <v>122</v>
      </c>
      <c r="B185" s="40">
        <v>4.4087078229261731</v>
      </c>
      <c r="C185" s="40">
        <v>4.2906250000000004</v>
      </c>
      <c r="D185" s="40">
        <v>4.0557276764206129</v>
      </c>
      <c r="M185" s="117" t="s">
        <v>122</v>
      </c>
      <c r="N185" s="40">
        <v>2.9944455468035298</v>
      </c>
      <c r="O185" s="40">
        <v>1.4142622761226427</v>
      </c>
    </row>
    <row r="186" spans="1:15">
      <c r="A186" s="117" t="s">
        <v>124</v>
      </c>
      <c r="B186" s="40">
        <v>4.2901196607965808</v>
      </c>
      <c r="C186" s="40">
        <v>4.1630000000000003</v>
      </c>
      <c r="D186" s="40">
        <v>3.966305483037543</v>
      </c>
      <c r="M186" s="117" t="s">
        <v>124</v>
      </c>
      <c r="N186" s="40">
        <v>2.9155081259623699</v>
      </c>
      <c r="O186" s="40">
        <v>1.3746115348342114</v>
      </c>
    </row>
    <row r="187" spans="1:15">
      <c r="A187" s="117" t="s">
        <v>214</v>
      </c>
      <c r="B187" s="40">
        <v>4.2743799866887233</v>
      </c>
      <c r="C187" s="40">
        <v>4.1312500000000005</v>
      </c>
      <c r="D187" s="40">
        <v>3.966305483037543</v>
      </c>
      <c r="M187" s="117" t="s">
        <v>214</v>
      </c>
      <c r="N187" s="40">
        <v>2.8859588833612699</v>
      </c>
      <c r="O187" s="40">
        <v>1.3884211033274538</v>
      </c>
    </row>
    <row r="188" spans="1:15">
      <c r="A188" s="117" t="s">
        <v>218</v>
      </c>
      <c r="B188" s="40">
        <v>4.3009666321134858</v>
      </c>
      <c r="C188" s="40">
        <v>4.2588749999999997</v>
      </c>
      <c r="D188" s="40">
        <v>3.9975388163708763</v>
      </c>
      <c r="M188" s="117" t="s">
        <v>218</v>
      </c>
      <c r="N188" s="40">
        <v>2.9592567116727899</v>
      </c>
      <c r="O188" s="40">
        <v>1.3417099204406964</v>
      </c>
    </row>
    <row r="189" spans="1:15">
      <c r="A189" s="117" t="s">
        <v>219</v>
      </c>
      <c r="B189" s="40">
        <v>4.398638713788694</v>
      </c>
      <c r="C189" s="40">
        <v>4.2906250000000004</v>
      </c>
      <c r="D189" s="40">
        <v>4.0557276764206129</v>
      </c>
      <c r="M189" s="117" t="s">
        <v>219</v>
      </c>
      <c r="N189" s="40">
        <v>3.0089114844805001</v>
      </c>
      <c r="O189" s="40">
        <v>1.3897272293081944</v>
      </c>
    </row>
    <row r="190" spans="1:15">
      <c r="A190" s="117" t="s">
        <v>220</v>
      </c>
      <c r="B190" s="40">
        <v>4.3781885102162965</v>
      </c>
      <c r="C190" s="40">
        <v>4.2588749999999997</v>
      </c>
      <c r="D190" s="40">
        <v>4.0557276764206129</v>
      </c>
      <c r="M190" s="117" t="s">
        <v>220</v>
      </c>
      <c r="N190" s="40">
        <v>2.9719648499802398</v>
      </c>
      <c r="O190" s="40">
        <v>1.4062236602360569</v>
      </c>
    </row>
    <row r="191" spans="1:15">
      <c r="A191" s="117" t="s">
        <v>221</v>
      </c>
      <c r="B191" s="40">
        <v>4.3054132350660215</v>
      </c>
      <c r="C191" s="40">
        <v>4.2270000000000003</v>
      </c>
      <c r="D191" s="40">
        <v>3.9975388163708763</v>
      </c>
      <c r="M191" s="117" t="s">
        <v>221</v>
      </c>
      <c r="N191" s="40">
        <v>2.92350190324946</v>
      </c>
      <c r="O191" s="40">
        <v>1.3819113318165615</v>
      </c>
    </row>
    <row r="192" spans="1:15">
      <c r="A192" s="117" t="s">
        <v>222</v>
      </c>
      <c r="B192" s="40">
        <v>4.328119640526455</v>
      </c>
      <c r="C192" s="40">
        <v>4.2588749999999997</v>
      </c>
      <c r="D192" s="40">
        <v>3.9975388163708763</v>
      </c>
      <c r="M192" s="117" t="s">
        <v>222</v>
      </c>
      <c r="N192" s="40">
        <v>2.9753003706109098</v>
      </c>
      <c r="O192" s="40">
        <v>1.3528192699155452</v>
      </c>
    </row>
    <row r="193" spans="1:15">
      <c r="A193" s="117" t="s">
        <v>223</v>
      </c>
      <c r="B193" s="40">
        <v>4.256251670682226</v>
      </c>
      <c r="C193" s="40">
        <v>4.1312500000000005</v>
      </c>
      <c r="D193" s="40">
        <v>3.966305483037543</v>
      </c>
      <c r="M193" s="117" t="s">
        <v>223</v>
      </c>
      <c r="N193" s="40">
        <v>2.8894517792115599</v>
      </c>
      <c r="O193" s="40">
        <v>1.3667998914706656</v>
      </c>
    </row>
    <row r="194" spans="1:15">
      <c r="A194" s="117" t="s">
        <v>224</v>
      </c>
      <c r="B194" s="40">
        <v>4.2798698058308915</v>
      </c>
      <c r="C194" s="40">
        <v>4.0993750000000002</v>
      </c>
      <c r="D194" s="40">
        <v>3.932044793512913</v>
      </c>
      <c r="M194" s="117" t="s">
        <v>224</v>
      </c>
      <c r="N194" s="40">
        <v>2.8863432484098199</v>
      </c>
      <c r="O194" s="40">
        <v>1.3935265574210718</v>
      </c>
    </row>
    <row r="195" spans="1:15">
      <c r="A195" s="117" t="s">
        <v>225</v>
      </c>
      <c r="B195" s="40">
        <v>4.2615155143787584</v>
      </c>
      <c r="C195" s="40">
        <v>4.0993750000000002</v>
      </c>
      <c r="D195" s="40">
        <v>3.966305483037543</v>
      </c>
      <c r="M195" s="117" t="s">
        <v>225</v>
      </c>
      <c r="N195" s="40">
        <v>2.94154866689746</v>
      </c>
      <c r="O195" s="40">
        <v>1.3199668474812989</v>
      </c>
    </row>
    <row r="196" spans="1:15">
      <c r="A196" s="117" t="s">
        <v>226</v>
      </c>
      <c r="B196" s="40">
        <v>4.3093959807899367</v>
      </c>
      <c r="C196" s="40">
        <v>4.1630000000000003</v>
      </c>
      <c r="D196" s="40">
        <v>3.966305483037543</v>
      </c>
      <c r="M196" s="117" t="s">
        <v>226</v>
      </c>
      <c r="N196" s="40">
        <v>2.9622833477952701</v>
      </c>
      <c r="O196" s="40">
        <v>1.3471126329946661</v>
      </c>
    </row>
    <row r="197" spans="1:15">
      <c r="A197" s="117" t="s">
        <v>227</v>
      </c>
      <c r="B197" s="40">
        <v>4.2927085290160356</v>
      </c>
      <c r="C197" s="40">
        <v>4.2270000000000003</v>
      </c>
      <c r="D197" s="40">
        <v>3.932044793512913</v>
      </c>
      <c r="M197" s="117" t="s">
        <v>227</v>
      </c>
      <c r="N197" s="40">
        <v>2.9357435322539001</v>
      </c>
      <c r="O197" s="40">
        <v>1.3569649967621358</v>
      </c>
    </row>
    <row r="198" spans="1:15">
      <c r="A198" s="117" t="s">
        <v>228</v>
      </c>
      <c r="B198" s="40">
        <v>4.3383116630778407</v>
      </c>
      <c r="C198" s="40">
        <v>4.2588749999999997</v>
      </c>
      <c r="D198" s="40">
        <v>3.932044793512913</v>
      </c>
      <c r="M198" s="117" t="s">
        <v>228</v>
      </c>
      <c r="N198" s="40">
        <v>2.9596582925735899</v>
      </c>
      <c r="O198" s="40">
        <v>1.3786533705042512</v>
      </c>
    </row>
    <row r="199" spans="1:15">
      <c r="A199" s="117" t="s">
        <v>229</v>
      </c>
      <c r="B199" s="40">
        <v>4.2741047638281264</v>
      </c>
      <c r="C199" s="40">
        <v>4.1630000000000003</v>
      </c>
      <c r="D199" s="40">
        <v>3.929789796110164</v>
      </c>
      <c r="M199" s="117" t="s">
        <v>229</v>
      </c>
      <c r="N199" s="40">
        <v>2.8898853758214198</v>
      </c>
      <c r="O199" s="40">
        <v>1.3842193880067069</v>
      </c>
    </row>
    <row r="200" spans="1:15">
      <c r="A200" s="117" t="s">
        <v>216</v>
      </c>
      <c r="B200" s="40">
        <v>4.2783479721846032</v>
      </c>
      <c r="C200" s="40">
        <v>4.1312500000000005</v>
      </c>
      <c r="D200" s="40">
        <v>3.8714038285041039</v>
      </c>
      <c r="M200" s="117" t="s">
        <v>216</v>
      </c>
      <c r="N200" s="40">
        <v>2.85986737962509</v>
      </c>
      <c r="O200" s="40">
        <v>1.4184805925595136</v>
      </c>
    </row>
    <row r="201" spans="1:15">
      <c r="A201" s="117" t="s">
        <v>230</v>
      </c>
      <c r="B201" s="40">
        <v>4.2585314708060427</v>
      </c>
      <c r="C201" s="40">
        <v>4.0993750000000002</v>
      </c>
      <c r="D201" s="40">
        <v>3.8401704951707707</v>
      </c>
      <c r="M201" s="117" t="s">
        <v>230</v>
      </c>
      <c r="N201" s="40">
        <v>2.8344803887664098</v>
      </c>
      <c r="O201" s="40">
        <v>1.4240510820396328</v>
      </c>
    </row>
    <row r="202" spans="1:15">
      <c r="A202" s="117" t="s">
        <v>231</v>
      </c>
      <c r="B202" s="40">
        <v>4.1362210691810724</v>
      </c>
      <c r="C202" s="40">
        <v>4.0353750000000002</v>
      </c>
      <c r="D202" s="40">
        <v>3.8058878744011344</v>
      </c>
      <c r="M202" s="117" t="s">
        <v>231</v>
      </c>
      <c r="N202" s="40">
        <v>2.79004351105465</v>
      </c>
      <c r="O202" s="40">
        <v>1.3461775581264221</v>
      </c>
    </row>
    <row r="203" spans="1:15">
      <c r="A203" s="117" t="s">
        <v>232</v>
      </c>
      <c r="B203" s="40">
        <v>4.2843012936801426</v>
      </c>
      <c r="C203" s="40">
        <v>4.1630000000000003</v>
      </c>
      <c r="D203" s="40">
        <v>3.929789796110164</v>
      </c>
      <c r="M203" s="117" t="s">
        <v>232</v>
      </c>
      <c r="N203" s="40">
        <v>2.9080768711615201</v>
      </c>
      <c r="O203" s="40">
        <v>1.3762244225186233</v>
      </c>
    </row>
    <row r="204" spans="1:15">
      <c r="A204" s="117" t="s">
        <v>215</v>
      </c>
      <c r="B204" s="40">
        <v>4.2820818935349738</v>
      </c>
      <c r="C204" s="40">
        <v>4.2270000000000003</v>
      </c>
      <c r="D204" s="40">
        <v>3.932044793512913</v>
      </c>
      <c r="M204" s="117" t="s">
        <v>215</v>
      </c>
      <c r="N204" s="40">
        <v>2.9117942461472701</v>
      </c>
      <c r="O204" s="40">
        <v>1.3702876473877039</v>
      </c>
    </row>
    <row r="205" spans="1:15">
      <c r="A205" s="117" t="s">
        <v>217</v>
      </c>
      <c r="B205" s="40">
        <v>4.2801658704684504</v>
      </c>
      <c r="C205" s="40">
        <v>4.2270000000000003</v>
      </c>
      <c r="D205" s="40">
        <v>3.966305483037543</v>
      </c>
      <c r="M205" s="117" t="s">
        <v>217</v>
      </c>
      <c r="N205" s="40">
        <v>2.9085457311755398</v>
      </c>
      <c r="O205" s="40">
        <v>1.371620139292911</v>
      </c>
    </row>
    <row r="206" spans="1:15">
      <c r="A206" s="117" t="s">
        <v>237</v>
      </c>
      <c r="B206" s="40">
        <v>4.2489956925125085</v>
      </c>
      <c r="C206" s="40">
        <v>4.1312500000000005</v>
      </c>
      <c r="D206" s="40">
        <v>3.932044793512913</v>
      </c>
      <c r="M206" s="117" t="s">
        <v>237</v>
      </c>
      <c r="N206" s="40">
        <v>2.9130814289562301</v>
      </c>
      <c r="O206" s="40">
        <v>1.3359142635562784</v>
      </c>
    </row>
    <row r="207" spans="1:15">
      <c r="A207" s="117" t="s">
        <v>238</v>
      </c>
      <c r="B207" s="40">
        <v>4.2743108149537381</v>
      </c>
      <c r="C207" s="40">
        <v>4.1312500000000005</v>
      </c>
      <c r="D207" s="40">
        <v>3.966305483037543</v>
      </c>
      <c r="M207" s="117" t="s">
        <v>238</v>
      </c>
      <c r="N207" s="40">
        <v>2.9344470402340699</v>
      </c>
      <c r="O207" s="40">
        <v>1.3398637747196687</v>
      </c>
    </row>
    <row r="208" spans="1:15">
      <c r="A208" s="117" t="s">
        <v>239</v>
      </c>
      <c r="B208" s="40">
        <v>4.2759151287191974</v>
      </c>
      <c r="C208" s="40">
        <v>4.1312500000000005</v>
      </c>
      <c r="D208" s="40">
        <v>3.966305483037543</v>
      </c>
      <c r="M208" s="117" t="s">
        <v>239</v>
      </c>
      <c r="N208" s="40">
        <v>2.9096799662845698</v>
      </c>
      <c r="O208" s="40">
        <v>1.3662351624346272</v>
      </c>
    </row>
    <row r="209" spans="1:15">
      <c r="A209" s="117" t="s">
        <v>240</v>
      </c>
      <c r="B209" s="40">
        <v>4.2693599909218944</v>
      </c>
      <c r="C209" s="40">
        <v>4.2270000000000003</v>
      </c>
      <c r="D209" s="40">
        <v>3.966305483037543</v>
      </c>
      <c r="M209" s="117" t="s">
        <v>240</v>
      </c>
      <c r="N209" s="40">
        <v>2.9358931445910401</v>
      </c>
      <c r="O209" s="40">
        <v>1.3334668463308543</v>
      </c>
    </row>
    <row r="210" spans="1:15">
      <c r="A210" s="117" t="s">
        <v>241</v>
      </c>
      <c r="B210" s="40">
        <v>4.2597906227196534</v>
      </c>
      <c r="C210" s="40">
        <v>4.1630000000000003</v>
      </c>
      <c r="D210" s="40">
        <v>3.966305483037543</v>
      </c>
      <c r="M210" s="117" t="s">
        <v>241</v>
      </c>
      <c r="N210" s="40">
        <v>2.90498942377981</v>
      </c>
      <c r="O210" s="40">
        <v>1.3548011989398434</v>
      </c>
    </row>
    <row r="211" spans="1:15">
      <c r="A211" s="117" t="s">
        <v>242</v>
      </c>
      <c r="B211" s="40">
        <v>4.2247089731681386</v>
      </c>
      <c r="C211" s="40">
        <v>4.1312500000000005</v>
      </c>
      <c r="D211" s="40">
        <v>3.932044793512913</v>
      </c>
      <c r="M211" s="117" t="s">
        <v>242</v>
      </c>
      <c r="N211" s="40">
        <v>2.8787744272910301</v>
      </c>
      <c r="O211" s="40">
        <v>1.345934545877109</v>
      </c>
    </row>
    <row r="212" spans="1:15">
      <c r="A212" s="117" t="s">
        <v>243</v>
      </c>
      <c r="B212" s="40">
        <v>4.2607544043214585</v>
      </c>
      <c r="C212" s="40">
        <v>4.1630000000000003</v>
      </c>
      <c r="D212" s="40">
        <v>3.966305483037543</v>
      </c>
      <c r="M212" s="117" t="s">
        <v>243</v>
      </c>
      <c r="N212" s="40">
        <v>2.9185627226684798</v>
      </c>
      <c r="O212" s="40">
        <v>1.3421916816529791</v>
      </c>
    </row>
    <row r="213" spans="1:15">
      <c r="A213" s="117" t="s">
        <v>244</v>
      </c>
      <c r="B213" s="40">
        <v>4.2828998142079913</v>
      </c>
      <c r="C213" s="40">
        <v>4.1312500000000005</v>
      </c>
      <c r="D213" s="40">
        <v>3.9975388163708763</v>
      </c>
      <c r="M213" s="117" t="s">
        <v>244</v>
      </c>
      <c r="N213" s="40">
        <v>2.9027513521030701</v>
      </c>
      <c r="O213" s="40">
        <v>1.3801484621049211</v>
      </c>
    </row>
    <row r="214" spans="1:15">
      <c r="A214" s="117" t="s">
        <v>245</v>
      </c>
      <c r="B214" s="40">
        <v>4.2467122577530523</v>
      </c>
      <c r="C214" s="40">
        <v>4.0993750000000002</v>
      </c>
      <c r="D214" s="40">
        <v>3.966305483037543</v>
      </c>
      <c r="M214" s="117" t="s">
        <v>245</v>
      </c>
      <c r="N214" s="40">
        <v>2.9327229891480799</v>
      </c>
      <c r="O214" s="40">
        <v>1.3139892686049721</v>
      </c>
    </row>
    <row r="215" spans="1:15">
      <c r="A215" s="117" t="s">
        <v>246</v>
      </c>
      <c r="B215" s="40">
        <v>4.2248646767380205</v>
      </c>
      <c r="C215" s="40">
        <v>4.0676249999999996</v>
      </c>
      <c r="D215" s="40">
        <v>3.966305483037543</v>
      </c>
      <c r="M215" s="117" t="s">
        <v>246</v>
      </c>
      <c r="N215" s="40">
        <v>2.9154645829543302</v>
      </c>
      <c r="O215" s="40">
        <v>1.3094000937836907</v>
      </c>
    </row>
    <row r="216" spans="1:15">
      <c r="A216" s="117" t="s">
        <v>247</v>
      </c>
      <c r="B216" s="40">
        <v>4.2286816979480868</v>
      </c>
      <c r="C216" s="40">
        <v>4.0763750000000005</v>
      </c>
      <c r="D216" s="40">
        <v>3.932044793512913</v>
      </c>
      <c r="M216" s="117" t="s">
        <v>247</v>
      </c>
      <c r="N216" s="40">
        <v>2.90800506731745</v>
      </c>
      <c r="O216" s="40">
        <v>1.320676630630637</v>
      </c>
    </row>
    <row r="217" spans="1:15">
      <c r="A217" s="117" t="s">
        <v>248</v>
      </c>
      <c r="B217" s="40">
        <v>4.2753252212751045</v>
      </c>
      <c r="C217" s="40">
        <v>4.2357500000000003</v>
      </c>
      <c r="D217" s="40">
        <v>4.0557276764206129</v>
      </c>
      <c r="M217" s="117" t="s">
        <v>248</v>
      </c>
      <c r="N217" s="40">
        <v>2.9912109118513701</v>
      </c>
      <c r="O217" s="40">
        <v>1.2841143094237346</v>
      </c>
    </row>
    <row r="218" spans="1:15">
      <c r="A218" s="117" t="s">
        <v>249</v>
      </c>
      <c r="B218" s="40">
        <v>4.3079955529072969</v>
      </c>
      <c r="C218" s="40">
        <v>4.2676249999999998</v>
      </c>
      <c r="D218" s="40">
        <v>4.0557276764206129</v>
      </c>
      <c r="M218" s="117" t="s">
        <v>249</v>
      </c>
      <c r="N218" s="40">
        <v>2.9926621611582802</v>
      </c>
      <c r="O218" s="40">
        <v>1.3153333917490166</v>
      </c>
    </row>
    <row r="219" spans="1:15">
      <c r="A219" s="117" t="s">
        <v>250</v>
      </c>
      <c r="B219" s="40">
        <v>4.2555514882447678</v>
      </c>
      <c r="C219" s="40">
        <v>4.1717499999999994</v>
      </c>
      <c r="D219" s="40">
        <v>3.966305483037543</v>
      </c>
      <c r="M219" s="117" t="s">
        <v>250</v>
      </c>
      <c r="N219" s="40">
        <v>2.8946199392202701</v>
      </c>
      <c r="O219" s="40">
        <v>1.3609315490244984</v>
      </c>
    </row>
    <row r="220" spans="1:15">
      <c r="A220" s="117" t="s">
        <v>251</v>
      </c>
      <c r="B220" s="40">
        <v>4.1796506024391906</v>
      </c>
      <c r="C220" s="40">
        <v>4.0123749999999996</v>
      </c>
      <c r="D220" s="40">
        <v>3.932044793512913</v>
      </c>
      <c r="M220" s="117" t="s">
        <v>251</v>
      </c>
      <c r="N220" s="40">
        <v>2.8362882018725202</v>
      </c>
      <c r="O220" s="40">
        <v>1.3433624005666713</v>
      </c>
    </row>
    <row r="221" spans="1:15">
      <c r="A221" s="117" t="s">
        <v>252</v>
      </c>
      <c r="B221" s="40">
        <v>4.1859939582552013</v>
      </c>
      <c r="C221" s="40">
        <v>4.0441250000000002</v>
      </c>
      <c r="D221" s="40">
        <v>3.932044793512913</v>
      </c>
      <c r="M221" s="117" t="s">
        <v>252</v>
      </c>
      <c r="N221" s="40">
        <v>2.91486476009828</v>
      </c>
      <c r="O221" s="40">
        <v>1.2711291981569215</v>
      </c>
    </row>
    <row r="222" spans="1:15">
      <c r="A222" s="117" t="s">
        <v>253</v>
      </c>
      <c r="B222" s="40">
        <v>4.1998208363295628</v>
      </c>
      <c r="C222" s="40">
        <v>4.0441250000000002</v>
      </c>
      <c r="D222" s="40">
        <v>3.932044793512913</v>
      </c>
      <c r="M222" s="117" t="s">
        <v>253</v>
      </c>
      <c r="N222" s="40">
        <v>2.8594352216235301</v>
      </c>
      <c r="O222" s="40">
        <v>1.3403856147060331</v>
      </c>
    </row>
    <row r="223" spans="1:15">
      <c r="A223" s="117" t="s">
        <v>254</v>
      </c>
      <c r="B223" s="40">
        <v>4.1822142987835784</v>
      </c>
      <c r="C223" s="40">
        <v>4.0123749999999996</v>
      </c>
      <c r="D223" s="40">
        <v>3.932044793512913</v>
      </c>
      <c r="M223" s="117" t="s">
        <v>254</v>
      </c>
      <c r="N223" s="40">
        <v>2.8734950564364601</v>
      </c>
      <c r="O223" s="40">
        <v>1.3087192423471181</v>
      </c>
    </row>
    <row r="224" spans="1:15">
      <c r="A224" s="117" t="s">
        <v>255</v>
      </c>
      <c r="B224" s="40">
        <v>4.1812861602079927</v>
      </c>
      <c r="C224" s="40">
        <v>4.0123749999999996</v>
      </c>
      <c r="D224" s="40">
        <v>3.8714038285041039</v>
      </c>
      <c r="M224" s="117" t="s">
        <v>255</v>
      </c>
      <c r="N224" s="40">
        <v>2.8712695086990299</v>
      </c>
      <c r="O224" s="40">
        <v>1.3100166515089626</v>
      </c>
    </row>
    <row r="225" spans="1:15">
      <c r="A225" s="117" t="s">
        <v>256</v>
      </c>
      <c r="B225" s="40">
        <v>4.2380105386356348</v>
      </c>
      <c r="C225" s="40">
        <v>4.0763750000000005</v>
      </c>
      <c r="D225" s="40">
        <v>3.932044793512913</v>
      </c>
      <c r="M225" s="117" t="s">
        <v>256</v>
      </c>
      <c r="N225" s="40">
        <v>2.8987506443333801</v>
      </c>
      <c r="O225" s="40">
        <v>1.3392598943022547</v>
      </c>
    </row>
    <row r="226" spans="1:15">
      <c r="A226" s="117" t="s">
        <v>257</v>
      </c>
      <c r="B226" s="40">
        <v>4.2563048986174703</v>
      </c>
      <c r="C226" s="40">
        <v>4.1901250000000001</v>
      </c>
      <c r="D226" s="40">
        <v>3.9691038719099652</v>
      </c>
      <c r="M226" s="117" t="s">
        <v>257</v>
      </c>
      <c r="N226" s="40">
        <v>2.8546348135519901</v>
      </c>
      <c r="O226" s="40">
        <v>1.4016700850654802</v>
      </c>
    </row>
    <row r="227" spans="1:15">
      <c r="A227" s="117" t="s">
        <v>258</v>
      </c>
      <c r="B227" s="40">
        <v>4.1820212108377133</v>
      </c>
      <c r="C227" s="40">
        <v>4.1583750000000004</v>
      </c>
      <c r="D227" s="40">
        <v>3.836185909281542</v>
      </c>
      <c r="M227" s="117" t="s">
        <v>258</v>
      </c>
      <c r="N227" s="40">
        <v>2.8124515814242899</v>
      </c>
      <c r="O227" s="40">
        <v>1.3695696294134241</v>
      </c>
    </row>
    <row r="228" spans="1:15">
      <c r="A228" s="117" t="s">
        <v>259</v>
      </c>
      <c r="B228" s="40">
        <v>4.1625060290770577</v>
      </c>
      <c r="C228" s="40">
        <v>4.126125</v>
      </c>
      <c r="D228" s="40">
        <v>3.836185909281542</v>
      </c>
      <c r="M228" s="117" t="s">
        <v>259</v>
      </c>
      <c r="N228" s="40">
        <v>2.8018988061488499</v>
      </c>
      <c r="O228" s="40">
        <v>1.360607222928208</v>
      </c>
    </row>
    <row r="229" spans="1:15">
      <c r="A229" s="117" t="s">
        <v>260</v>
      </c>
      <c r="B229" s="40">
        <v>4.1392619751477389</v>
      </c>
      <c r="C229" s="40">
        <v>4.0625</v>
      </c>
      <c r="D229" s="40">
        <v>3.8432439415632444</v>
      </c>
      <c r="M229" s="117" t="s">
        <v>260</v>
      </c>
      <c r="N229" s="40">
        <v>2.7784102270308701</v>
      </c>
      <c r="O229" s="40">
        <v>1.3608517481168692</v>
      </c>
    </row>
    <row r="230" spans="1:15">
      <c r="A230" s="117" t="s">
        <v>261</v>
      </c>
      <c r="B230" s="40">
        <v>4.0649189932097878</v>
      </c>
      <c r="C230" s="40">
        <v>3.9348750000000003</v>
      </c>
      <c r="D230" s="40">
        <v>3.7786134524895099</v>
      </c>
      <c r="M230" s="117" t="s">
        <v>261</v>
      </c>
      <c r="N230" s="40">
        <v>2.7296334551710499</v>
      </c>
      <c r="O230" s="40">
        <v>1.3352855380387381</v>
      </c>
    </row>
    <row r="231" spans="1:15">
      <c r="A231" s="117" t="s">
        <v>262</v>
      </c>
      <c r="B231" s="40">
        <v>4.1318788734843528</v>
      </c>
      <c r="C231" s="40">
        <v>4.0307500000000003</v>
      </c>
      <c r="D231" s="40">
        <v>3.8674525759482088</v>
      </c>
      <c r="M231" s="117" t="s">
        <v>262</v>
      </c>
      <c r="N231" s="40">
        <v>2.7734212235563001</v>
      </c>
      <c r="O231" s="40">
        <v>1.3584576499280527</v>
      </c>
    </row>
    <row r="232" spans="1:15">
      <c r="A232" s="117" t="s">
        <v>263</v>
      </c>
      <c r="B232" s="40">
        <v>4.1669826827441652</v>
      </c>
      <c r="C232" s="40">
        <v>4.0625</v>
      </c>
      <c r="D232" s="40">
        <v>3.9691038719099652</v>
      </c>
      <c r="M232" s="117" t="s">
        <v>263</v>
      </c>
      <c r="N232" s="40">
        <v>2.7570320859498798</v>
      </c>
      <c r="O232" s="40">
        <v>1.4099505967942854</v>
      </c>
    </row>
    <row r="233" spans="1:15">
      <c r="A233" s="117" t="s">
        <v>264</v>
      </c>
      <c r="B233" s="40">
        <v>4.1669874279537762</v>
      </c>
      <c r="C233" s="40">
        <v>4.0625</v>
      </c>
      <c r="D233" s="40">
        <v>3.9691038719099652</v>
      </c>
      <c r="M233" s="117" t="s">
        <v>264</v>
      </c>
      <c r="N233" s="40">
        <v>2.77010275743095</v>
      </c>
      <c r="O233" s="40">
        <v>1.3968846705228266</v>
      </c>
    </row>
    <row r="234" spans="1:15">
      <c r="A234" s="117" t="s">
        <v>265</v>
      </c>
      <c r="B234" s="40">
        <v>4.1606993820056015</v>
      </c>
      <c r="C234" s="40">
        <v>4.0307500000000003</v>
      </c>
      <c r="D234" s="40">
        <v>3.9691038719099652</v>
      </c>
      <c r="M234" s="117" t="s">
        <v>265</v>
      </c>
      <c r="N234" s="40">
        <v>2.81486937200697</v>
      </c>
      <c r="O234" s="40">
        <v>1.3458300099986316</v>
      </c>
    </row>
    <row r="235" spans="1:15">
      <c r="A235" s="117" t="s">
        <v>266</v>
      </c>
      <c r="B235" s="40">
        <v>4.1783542218482514</v>
      </c>
      <c r="C235" s="40">
        <v>4.0943750000000003</v>
      </c>
      <c r="D235" s="40">
        <v>3.9935656386559404</v>
      </c>
      <c r="M235" s="117" t="s">
        <v>266</v>
      </c>
      <c r="N235" s="40">
        <v>2.8165675160693602</v>
      </c>
      <c r="O235" s="40">
        <v>1.3617867057788908</v>
      </c>
    </row>
    <row r="236" spans="1:15">
      <c r="A236" s="117" t="s">
        <v>267</v>
      </c>
      <c r="B236" s="40">
        <v>4.1776026769725565</v>
      </c>
      <c r="C236" s="40">
        <v>4.0307500000000003</v>
      </c>
      <c r="D236" s="40">
        <v>3.9691038719099652</v>
      </c>
      <c r="M236" s="117" t="s">
        <v>267</v>
      </c>
      <c r="N236" s="40">
        <v>2.7891999400544001</v>
      </c>
      <c r="O236" s="40">
        <v>1.3884027369181562</v>
      </c>
    </row>
    <row r="237" spans="1:15">
      <c r="A237" s="117" t="s">
        <v>268</v>
      </c>
      <c r="B237" s="40">
        <v>4.1238187866684619</v>
      </c>
      <c r="C237" s="40">
        <v>3.9984999999999999</v>
      </c>
      <c r="D237" s="40">
        <v>3.9077289127981323</v>
      </c>
      <c r="M237" s="117" t="s">
        <v>268</v>
      </c>
      <c r="N237" s="40">
        <v>2.7081035827114999</v>
      </c>
      <c r="O237" s="40">
        <v>1.4157152039569625</v>
      </c>
    </row>
    <row r="238" spans="1:15">
      <c r="A238" s="117" t="s">
        <v>269</v>
      </c>
      <c r="B238" s="40">
        <v>4.1041106316567983</v>
      </c>
      <c r="C238" s="40">
        <v>3.9984999999999999</v>
      </c>
      <c r="D238" s="40">
        <v>3.9077289127981323</v>
      </c>
      <c r="M238" s="117" t="s">
        <v>269</v>
      </c>
      <c r="N238" s="40">
        <v>2.73044392273518</v>
      </c>
      <c r="O238" s="40">
        <v>1.3736667089216181</v>
      </c>
    </row>
    <row r="239" spans="1:15">
      <c r="A239" s="117" t="s">
        <v>270</v>
      </c>
      <c r="B239" s="40">
        <v>4.1282390424577491</v>
      </c>
      <c r="C239" s="40">
        <v>3.9667500000000002</v>
      </c>
      <c r="D239" s="40">
        <v>3.9691038719099652</v>
      </c>
      <c r="M239" s="117" t="s">
        <v>270</v>
      </c>
      <c r="N239" s="40">
        <v>2.7334728347211201</v>
      </c>
      <c r="O239" s="40">
        <v>1.3947662077366294</v>
      </c>
    </row>
    <row r="240" spans="1:15">
      <c r="A240" s="117" t="s">
        <v>271</v>
      </c>
      <c r="B240" s="40">
        <v>4.1495985584263186</v>
      </c>
      <c r="C240" s="40">
        <v>3.9984999999999999</v>
      </c>
      <c r="D240" s="40">
        <v>3.9691038719099652</v>
      </c>
      <c r="M240" s="117" t="s">
        <v>271</v>
      </c>
      <c r="N240" s="40">
        <v>2.7352021596982001</v>
      </c>
      <c r="O240" s="40">
        <v>1.4143963987281183</v>
      </c>
    </row>
    <row r="241" spans="1:15">
      <c r="A241" s="117" t="s">
        <v>272</v>
      </c>
      <c r="B241" s="40">
        <v>4.1743826382394378</v>
      </c>
      <c r="C241" s="40">
        <v>4.0307500000000003</v>
      </c>
      <c r="D241" s="40">
        <v>3.9935656386559404</v>
      </c>
      <c r="M241" s="117" t="s">
        <v>272</v>
      </c>
      <c r="N241" s="40">
        <v>2.7729349961757701</v>
      </c>
      <c r="O241" s="40">
        <v>1.4014476420636686</v>
      </c>
    </row>
    <row r="242" spans="1:15">
      <c r="A242" s="117" t="s">
        <v>273</v>
      </c>
      <c r="B242" s="40">
        <v>4.1459211077381877</v>
      </c>
      <c r="C242" s="40">
        <v>4.0307500000000003</v>
      </c>
      <c r="D242" s="40">
        <v>3.9622989719892732</v>
      </c>
      <c r="M242" s="117" t="s">
        <v>273</v>
      </c>
      <c r="N242" s="40">
        <v>2.7446763066937101</v>
      </c>
      <c r="O242" s="40">
        <v>1.4012448010444774</v>
      </c>
    </row>
    <row r="243" spans="1:15">
      <c r="A243" s="117" t="s">
        <v>274</v>
      </c>
      <c r="B243" s="40">
        <v>4.1385342073194886</v>
      </c>
      <c r="C243" s="40">
        <v>3.9984999999999999</v>
      </c>
      <c r="D243" s="40">
        <v>3.9622989719892732</v>
      </c>
      <c r="M243" s="117" t="s">
        <v>274</v>
      </c>
      <c r="N243" s="40">
        <v>2.7173642653119501</v>
      </c>
      <c r="O243" s="40">
        <v>1.4211699420075385</v>
      </c>
    </row>
    <row r="244" spans="1:15">
      <c r="A244" s="117" t="s">
        <v>275</v>
      </c>
      <c r="B244" s="40">
        <v>4.1385342073194886</v>
      </c>
      <c r="C244" s="40">
        <v>3.9984999999999999</v>
      </c>
      <c r="D244" s="40">
        <v>3.9622989719892732</v>
      </c>
      <c r="M244" s="117" t="s">
        <v>275</v>
      </c>
      <c r="N244" s="40">
        <v>2.77127537293183</v>
      </c>
      <c r="O244" s="40">
        <v>1.3672588343876586</v>
      </c>
    </row>
    <row r="245" spans="1:15">
      <c r="A245" s="117" t="s">
        <v>276</v>
      </c>
      <c r="B245" s="40">
        <v>4.1510417760607154</v>
      </c>
      <c r="C245" s="40">
        <v>3.9988749999999995</v>
      </c>
      <c r="D245" s="40">
        <v>3.9935656386559404</v>
      </c>
      <c r="M245" s="117" t="s">
        <v>276</v>
      </c>
      <c r="N245" s="40">
        <v>2.7558575864349502</v>
      </c>
      <c r="O245" s="40">
        <v>1.3951841896257662</v>
      </c>
    </row>
    <row r="246" spans="1:15">
      <c r="A246" s="117" t="s">
        <v>277</v>
      </c>
      <c r="B246" s="40">
        <v>4.1062481929392582</v>
      </c>
      <c r="C246" s="40">
        <v>3.9984999999999999</v>
      </c>
      <c r="D246" s="40">
        <v>3.9622989719892732</v>
      </c>
      <c r="M246" s="117" t="s">
        <v>277</v>
      </c>
      <c r="N246" s="40">
        <v>2.7239833090670502</v>
      </c>
      <c r="O246" s="40">
        <v>1.3822648838722078</v>
      </c>
    </row>
    <row r="247" spans="1:15">
      <c r="A247" s="117" t="s">
        <v>278</v>
      </c>
      <c r="B247" s="40">
        <v>4.1364060307916874</v>
      </c>
      <c r="C247" s="40">
        <v>3.9984999999999999</v>
      </c>
      <c r="D247" s="40">
        <v>3.9622989719892732</v>
      </c>
      <c r="M247" s="117" t="s">
        <v>278</v>
      </c>
      <c r="N247" s="40">
        <v>2.7958120452124602</v>
      </c>
      <c r="O247" s="40">
        <v>1.3405939855792273</v>
      </c>
    </row>
    <row r="248" spans="1:15">
      <c r="A248" s="117" t="s">
        <v>279</v>
      </c>
      <c r="B248" s="40">
        <v>4.1923855028192927</v>
      </c>
      <c r="C248" s="40">
        <v>4.0943750000000003</v>
      </c>
      <c r="D248" s="40">
        <v>4.09493246058208</v>
      </c>
      <c r="M248" s="117" t="s">
        <v>279</v>
      </c>
      <c r="N248" s="40">
        <v>2.8760429870518398</v>
      </c>
      <c r="O248" s="40">
        <v>1.3163425157674535</v>
      </c>
    </row>
    <row r="249" spans="1:15">
      <c r="A249" s="117" t="s">
        <v>280</v>
      </c>
      <c r="B249" s="40">
        <v>4.2270213818520324</v>
      </c>
      <c r="C249" s="40">
        <v>4.126125</v>
      </c>
      <c r="D249" s="40">
        <v>4.0884460824161017</v>
      </c>
      <c r="M249" s="117" t="s">
        <v>280</v>
      </c>
      <c r="N249" s="40">
        <v>2.8444181025455899</v>
      </c>
      <c r="O249" s="40">
        <v>1.382603279306442</v>
      </c>
    </row>
    <row r="250" spans="1:15">
      <c r="A250" s="117" t="s">
        <v>281</v>
      </c>
      <c r="B250" s="40">
        <v>4.1985621936498552</v>
      </c>
      <c r="C250" s="40">
        <v>4.0943750000000003</v>
      </c>
      <c r="D250" s="40">
        <v>4.09493246058208</v>
      </c>
      <c r="M250" s="117" t="s">
        <v>281</v>
      </c>
      <c r="N250" s="40">
        <v>2.8650468207927799</v>
      </c>
      <c r="O250" s="40">
        <v>1.333515372857075</v>
      </c>
    </row>
    <row r="251" spans="1:15">
      <c r="A251" s="117" t="s">
        <v>282</v>
      </c>
      <c r="B251" s="40">
        <v>4.2123473678777321</v>
      </c>
      <c r="C251" s="40">
        <v>4.0943750000000003</v>
      </c>
      <c r="D251" s="40">
        <v>3.9935656386559404</v>
      </c>
      <c r="M251" s="117" t="s">
        <v>282</v>
      </c>
      <c r="N251" s="40">
        <v>2.8982983852453801</v>
      </c>
      <c r="O251" s="40">
        <v>1.3140489826323516</v>
      </c>
    </row>
    <row r="252" spans="1:15">
      <c r="A252" s="117" t="s">
        <v>283</v>
      </c>
      <c r="B252" s="40">
        <v>4.2346419297223825</v>
      </c>
      <c r="C252" s="40">
        <v>4.126125</v>
      </c>
      <c r="D252" s="40">
        <v>4.0337762365220735</v>
      </c>
      <c r="M252" s="117" t="s">
        <v>283</v>
      </c>
      <c r="N252" s="40">
        <v>2.9340630334667899</v>
      </c>
      <c r="O252" s="40">
        <v>1.3005788962555929</v>
      </c>
    </row>
    <row r="253" spans="1:15">
      <c r="A253" s="117" t="s">
        <v>284</v>
      </c>
      <c r="B253" s="40">
        <v>4.285094245651238</v>
      </c>
      <c r="C253" s="40">
        <v>4.1583750000000004</v>
      </c>
      <c r="D253" s="40">
        <v>4.09493246058208</v>
      </c>
      <c r="M253" s="117" t="s">
        <v>284</v>
      </c>
      <c r="N253" s="40">
        <v>2.9388026853832501</v>
      </c>
      <c r="O253" s="40">
        <v>1.3462915602679879</v>
      </c>
    </row>
    <row r="254" spans="1:15">
      <c r="A254" s="117" t="s">
        <v>285</v>
      </c>
      <c r="B254" s="40">
        <v>4.329991724476109</v>
      </c>
      <c r="C254" s="40">
        <v>4.2537500000000001</v>
      </c>
      <c r="D254" s="40">
        <v>4.119712749082769</v>
      </c>
      <c r="M254" s="117" t="s">
        <v>285</v>
      </c>
      <c r="N254" s="40">
        <v>3.0126979954339599</v>
      </c>
      <c r="O254" s="40">
        <v>1.3172937290421491</v>
      </c>
    </row>
    <row r="255" spans="1:15">
      <c r="A255" s="117" t="s">
        <v>286</v>
      </c>
      <c r="B255" s="40">
        <v>4.3562584611930539</v>
      </c>
      <c r="C255" s="40">
        <v>4.2537500000000001</v>
      </c>
      <c r="D255" s="40">
        <v>4.1598579134474827</v>
      </c>
      <c r="M255" s="117" t="s">
        <v>286</v>
      </c>
      <c r="N255" s="40">
        <v>3.0394713990433302</v>
      </c>
      <c r="O255" s="40">
        <v>1.316787062149724</v>
      </c>
    </row>
    <row r="256" spans="1:15">
      <c r="A256" s="117" t="s">
        <v>287</v>
      </c>
      <c r="B256" s="40">
        <v>4.3751039547622605</v>
      </c>
      <c r="C256" s="40">
        <v>4.3496249999999996</v>
      </c>
      <c r="D256" s="40">
        <v>4.1598579134474827</v>
      </c>
      <c r="M256" s="117" t="s">
        <v>287</v>
      </c>
      <c r="N256" s="40">
        <v>3.0240881034818901</v>
      </c>
      <c r="O256" s="40">
        <v>1.3510158512803705</v>
      </c>
    </row>
    <row r="257" spans="1:15">
      <c r="A257" s="117" t="s">
        <v>288</v>
      </c>
      <c r="B257" s="40">
        <v>4.3533627128040342</v>
      </c>
      <c r="C257" s="40">
        <v>4.3496249999999996</v>
      </c>
      <c r="D257" s="40">
        <v>4.1598579134474827</v>
      </c>
      <c r="M257" s="117" t="s">
        <v>288</v>
      </c>
      <c r="N257" s="40">
        <v>3.0415503408748101</v>
      </c>
      <c r="O257" s="40">
        <v>1.3118123719292241</v>
      </c>
    </row>
    <row r="258" spans="1:15">
      <c r="A258" s="117" t="s">
        <v>289</v>
      </c>
      <c r="B258" s="40">
        <v>4.3441636403463884</v>
      </c>
      <c r="C258" s="40">
        <v>4.2537500000000001</v>
      </c>
      <c r="D258" s="40">
        <v>4.0337762365220735</v>
      </c>
      <c r="M258" s="117" t="s">
        <v>289</v>
      </c>
      <c r="N258" s="40">
        <v>3.0032203766891601</v>
      </c>
      <c r="O258" s="40">
        <v>1.3409432636572283</v>
      </c>
    </row>
    <row r="259" spans="1:15">
      <c r="A259" s="117" t="s">
        <v>290</v>
      </c>
      <c r="B259" s="40">
        <v>4.3055819043234527</v>
      </c>
      <c r="C259" s="40">
        <v>4.2220000000000004</v>
      </c>
      <c r="D259" s="40">
        <v>3.9935656386559404</v>
      </c>
      <c r="M259" s="117" t="s">
        <v>290</v>
      </c>
      <c r="N259" s="40">
        <v>2.9962349476624799</v>
      </c>
      <c r="O259" s="40">
        <v>1.3093469566609726</v>
      </c>
    </row>
    <row r="260" spans="1:15">
      <c r="A260" s="117" t="s">
        <v>291</v>
      </c>
      <c r="B260" s="40">
        <v>4.3488950768631245</v>
      </c>
      <c r="C260" s="40">
        <v>4.2537500000000001</v>
      </c>
      <c r="D260" s="40">
        <v>4.0337762365220735</v>
      </c>
      <c r="M260" s="117" t="s">
        <v>291</v>
      </c>
      <c r="N260" s="40">
        <v>2.9829487992520902</v>
      </c>
      <c r="O260" s="40">
        <v>1.3659462776110343</v>
      </c>
    </row>
    <row r="261" spans="1:15">
      <c r="A261" s="117" t="s">
        <v>292</v>
      </c>
      <c r="B261" s="40">
        <v>4.3213983472497244</v>
      </c>
      <c r="C261" s="40">
        <v>4.2537500000000001</v>
      </c>
      <c r="D261" s="40">
        <v>4.0337762365220735</v>
      </c>
      <c r="M261" s="117" t="s">
        <v>292</v>
      </c>
      <c r="N261" s="40">
        <v>2.97922271147955</v>
      </c>
      <c r="O261" s="40">
        <v>1.3421756357701742</v>
      </c>
    </row>
    <row r="262" spans="1:15">
      <c r="A262" s="117" t="s">
        <v>293</v>
      </c>
      <c r="B262" s="40">
        <v>4.2843052534227679</v>
      </c>
      <c r="C262" s="40">
        <v>4.2220000000000004</v>
      </c>
      <c r="D262" s="40">
        <v>3.9622989719892732</v>
      </c>
      <c r="M262" s="117" t="s">
        <v>293</v>
      </c>
      <c r="N262" s="40">
        <v>2.9567440380932299</v>
      </c>
      <c r="O262" s="40">
        <v>1.3275612153295382</v>
      </c>
    </row>
    <row r="263" spans="1:15">
      <c r="A263" s="117" t="s">
        <v>294</v>
      </c>
      <c r="B263" s="40">
        <v>4.3239170564645804</v>
      </c>
      <c r="C263" s="40">
        <v>4.2537500000000001</v>
      </c>
      <c r="D263" s="40">
        <v>3.9622989719892732</v>
      </c>
      <c r="M263" s="117" t="s">
        <v>294</v>
      </c>
      <c r="N263" s="40">
        <v>2.9778815410804498</v>
      </c>
      <c r="O263" s="40">
        <v>1.3460355153841306</v>
      </c>
    </row>
    <row r="264" spans="1:15">
      <c r="A264" s="117" t="s">
        <v>235</v>
      </c>
      <c r="B264" s="40">
        <v>4.3281334460035037</v>
      </c>
      <c r="C264" s="40">
        <v>4.3177500000000002</v>
      </c>
      <c r="D264" s="40">
        <v>3.965632305322607</v>
      </c>
      <c r="M264" s="117" t="s">
        <v>235</v>
      </c>
      <c r="N264" s="40">
        <v>2.9783756626827098</v>
      </c>
      <c r="O264" s="40">
        <v>1.3497577833207932</v>
      </c>
    </row>
    <row r="265" spans="1:15">
      <c r="A265" s="117" t="s">
        <v>295</v>
      </c>
      <c r="B265" s="40">
        <v>4.2851738715603451</v>
      </c>
      <c r="C265" s="40">
        <v>4.3177500000000002</v>
      </c>
      <c r="D265" s="40">
        <v>3.965632305322607</v>
      </c>
      <c r="M265" s="117" t="s">
        <v>295</v>
      </c>
      <c r="N265" s="40">
        <v>2.9726150604600501</v>
      </c>
      <c r="O265" s="40">
        <v>1.312558811100295</v>
      </c>
    </row>
    <row r="266" spans="1:15">
      <c r="A266" s="117" t="s">
        <v>296</v>
      </c>
      <c r="B266" s="40">
        <v>4.3028322612441263</v>
      </c>
      <c r="C266" s="40">
        <v>4.3177500000000002</v>
      </c>
      <c r="D266" s="40">
        <v>3.965632305322607</v>
      </c>
      <c r="M266" s="117" t="s">
        <v>296</v>
      </c>
      <c r="N266" s="40">
        <v>2.9699990408330801</v>
      </c>
      <c r="O266" s="40">
        <v>1.3328332204110456</v>
      </c>
    </row>
    <row r="267" spans="1:15">
      <c r="A267" s="117" t="s">
        <v>297</v>
      </c>
      <c r="B267" s="40">
        <v>4.3417083972590067</v>
      </c>
      <c r="C267" s="40">
        <v>4.2537500000000001</v>
      </c>
      <c r="D267" s="40">
        <v>3.965632305322607</v>
      </c>
      <c r="M267" s="117" t="s">
        <v>297</v>
      </c>
      <c r="N267" s="40">
        <v>2.9627998266716902</v>
      </c>
      <c r="O267" s="40">
        <v>1.3789085705873161</v>
      </c>
    </row>
    <row r="268" spans="1:15">
      <c r="A268" s="117" t="s">
        <v>298</v>
      </c>
      <c r="B268" s="40">
        <v>4.3344780097436102</v>
      </c>
      <c r="C268" s="40">
        <v>4.2220000000000004</v>
      </c>
      <c r="D268" s="40">
        <v>3.965632305322607</v>
      </c>
      <c r="M268" s="117" t="s">
        <v>298</v>
      </c>
      <c r="N268" s="40">
        <v>2.9474672658602201</v>
      </c>
      <c r="O268" s="40">
        <v>1.3870107438833901</v>
      </c>
    </row>
    <row r="269" spans="1:15">
      <c r="A269" s="117" t="s">
        <v>299</v>
      </c>
      <c r="B269" s="40">
        <v>4.2667796172403714</v>
      </c>
      <c r="C269" s="40">
        <v>4.1583750000000004</v>
      </c>
      <c r="D269" s="40">
        <v>3.9110622461314657</v>
      </c>
      <c r="M269" s="117" t="s">
        <v>299</v>
      </c>
      <c r="N269" s="40">
        <v>2.8947298491443201</v>
      </c>
      <c r="O269" s="40">
        <v>1.3720497680960513</v>
      </c>
    </row>
    <row r="270" spans="1:15">
      <c r="A270" s="117" t="s">
        <v>300</v>
      </c>
      <c r="B270" s="40">
        <v>4.2677991674350624</v>
      </c>
      <c r="C270" s="40">
        <v>4.1901250000000001</v>
      </c>
      <c r="D270" s="40">
        <v>3.9110622461314657</v>
      </c>
      <c r="M270" s="117" t="s">
        <v>300</v>
      </c>
      <c r="N270" s="40">
        <v>2.9165593470462001</v>
      </c>
      <c r="O270" s="40">
        <v>1.3512398203888618</v>
      </c>
    </row>
    <row r="271" spans="1:15">
      <c r="A271" s="117" t="s">
        <v>301</v>
      </c>
      <c r="B271" s="40">
        <v>4.38017479925937</v>
      </c>
      <c r="C271" s="40">
        <v>4.3813750000000002</v>
      </c>
      <c r="D271" s="40">
        <v>4.0371095698554074</v>
      </c>
      <c r="M271" s="117" t="s">
        <v>301</v>
      </c>
      <c r="N271" s="40">
        <v>3.0544306669029599</v>
      </c>
      <c r="O271" s="40">
        <v>1.3257441323564103</v>
      </c>
    </row>
    <row r="272" spans="1:15">
      <c r="A272" s="117" t="s">
        <v>302</v>
      </c>
      <c r="B272" s="40">
        <v>4.3489654663193029</v>
      </c>
      <c r="C272" s="40">
        <v>4.3177500000000002</v>
      </c>
      <c r="D272" s="40">
        <v>3.9724372052432981</v>
      </c>
      <c r="M272" s="117" t="s">
        <v>302</v>
      </c>
      <c r="N272" s="40">
        <v>2.9966381834712199</v>
      </c>
      <c r="O272" s="40">
        <v>1.3523272828480835</v>
      </c>
    </row>
    <row r="273" spans="1:15">
      <c r="A273" s="117" t="s">
        <v>303</v>
      </c>
      <c r="B273" s="40">
        <v>4.3599853464153728</v>
      </c>
      <c r="C273" s="40">
        <v>4.1901250000000001</v>
      </c>
      <c r="D273" s="40">
        <v>3.9724372052432981</v>
      </c>
      <c r="M273" s="117" t="s">
        <v>303</v>
      </c>
      <c r="N273" s="40">
        <v>2.9498986890501602</v>
      </c>
      <c r="O273" s="40">
        <v>1.4100866573652131</v>
      </c>
    </row>
    <row r="274" spans="1:15">
      <c r="A274" s="117" t="s">
        <v>304</v>
      </c>
      <c r="B274" s="40">
        <v>4.3056741522365538</v>
      </c>
      <c r="C274" s="40">
        <v>4.1583750000000004</v>
      </c>
      <c r="D274" s="40">
        <v>3.9724372052432981</v>
      </c>
      <c r="M274" s="117" t="s">
        <v>304</v>
      </c>
      <c r="N274" s="40">
        <v>2.97492729888162</v>
      </c>
      <c r="O274" s="40">
        <v>1.3307468533549343</v>
      </c>
    </row>
    <row r="275" spans="1:15">
      <c r="A275" s="117" t="s">
        <v>305</v>
      </c>
      <c r="B275" s="40">
        <v>4.3406635094447017</v>
      </c>
      <c r="C275" s="40">
        <v>4.1901250000000001</v>
      </c>
      <c r="D275" s="40">
        <v>3.965632305322607</v>
      </c>
      <c r="M275" s="117" t="s">
        <v>305</v>
      </c>
      <c r="N275" s="40">
        <v>2.9584562580557998</v>
      </c>
      <c r="O275" s="40">
        <v>1.3822072513889021</v>
      </c>
    </row>
    <row r="276" spans="1:15">
      <c r="A276" s="117" t="s">
        <v>306</v>
      </c>
      <c r="B276" s="40">
        <v>4.3010601394721419</v>
      </c>
      <c r="C276" s="40">
        <v>4.1901250000000001</v>
      </c>
      <c r="D276" s="40">
        <v>3.965632305322607</v>
      </c>
      <c r="M276" s="117" t="s">
        <v>306</v>
      </c>
      <c r="N276" s="40">
        <v>2.9975278287112799</v>
      </c>
      <c r="O276" s="40">
        <v>1.3035323107608618</v>
      </c>
    </row>
    <row r="277" spans="1:15">
      <c r="A277" s="117" t="s">
        <v>307</v>
      </c>
      <c r="B277" s="40">
        <v>4.2924844985640558</v>
      </c>
      <c r="C277" s="40">
        <v>4.1901250000000001</v>
      </c>
      <c r="D277" s="40">
        <v>3.9724372052432981</v>
      </c>
      <c r="M277" s="117" t="s">
        <v>307</v>
      </c>
      <c r="N277" s="40">
        <v>2.93038775773327</v>
      </c>
      <c r="O277" s="40">
        <v>1.3620967408307858</v>
      </c>
    </row>
    <row r="278" spans="1:15">
      <c r="A278" s="117" t="s">
        <v>308</v>
      </c>
      <c r="B278" s="40">
        <v>4.3294657649727935</v>
      </c>
      <c r="C278" s="40">
        <v>4.2220000000000004</v>
      </c>
      <c r="D278" s="40">
        <v>3.9724372052432981</v>
      </c>
      <c r="M278" s="117" t="s">
        <v>308</v>
      </c>
      <c r="N278" s="40">
        <v>2.9956917661864102</v>
      </c>
      <c r="O278" s="40">
        <v>1.333773998786383</v>
      </c>
    </row>
    <row r="279" spans="1:15">
      <c r="A279" s="117" t="s">
        <v>309</v>
      </c>
      <c r="B279" s="40">
        <v>4.422578091400803</v>
      </c>
      <c r="C279" s="40">
        <v>4.3496249999999996</v>
      </c>
      <c r="D279" s="40">
        <v>4.0371095698554074</v>
      </c>
      <c r="M279" s="117" t="s">
        <v>309</v>
      </c>
      <c r="N279" s="40">
        <v>3.0277544715368299</v>
      </c>
      <c r="O279" s="40">
        <v>1.3948236198639736</v>
      </c>
    </row>
    <row r="280" spans="1:15">
      <c r="A280" s="117" t="s">
        <v>310</v>
      </c>
      <c r="B280" s="40">
        <v>4.4110563488184518</v>
      </c>
      <c r="C280" s="40">
        <v>4.3496249999999996</v>
      </c>
      <c r="D280" s="40">
        <v>4.0371095698554074</v>
      </c>
      <c r="M280" s="117" t="s">
        <v>310</v>
      </c>
      <c r="N280" s="40">
        <v>3.0337070171743399</v>
      </c>
      <c r="O280" s="40">
        <v>1.3773493316441123</v>
      </c>
    </row>
    <row r="281" spans="1:15">
      <c r="A281" s="117" t="s">
        <v>234</v>
      </c>
      <c r="B281" s="40">
        <v>4.3449709393154823</v>
      </c>
      <c r="C281" s="40">
        <v>4.2537500000000001</v>
      </c>
      <c r="D281" s="40">
        <v>4.0371095698554074</v>
      </c>
      <c r="M281" s="117" t="s">
        <v>234</v>
      </c>
      <c r="N281" s="40">
        <v>2.9938542795846499</v>
      </c>
      <c r="O281" s="40">
        <v>1.3511166597308324</v>
      </c>
    </row>
    <row r="282" spans="1:15">
      <c r="A282" s="117" t="s">
        <v>311</v>
      </c>
      <c r="B282" s="40">
        <v>4.3272893529022571</v>
      </c>
      <c r="C282" s="40">
        <v>4.2220000000000004</v>
      </c>
      <c r="D282" s="40">
        <v>3.965632305322607</v>
      </c>
      <c r="M282" s="117" t="s">
        <v>311</v>
      </c>
      <c r="N282" s="40">
        <v>2.9654454819851401</v>
      </c>
      <c r="O282" s="40">
        <v>1.3618438709171168</v>
      </c>
    </row>
    <row r="283" spans="1:15">
      <c r="A283" s="117" t="s">
        <v>312</v>
      </c>
      <c r="B283" s="40">
        <v>4.3091130026065949</v>
      </c>
      <c r="C283" s="40">
        <v>4.1901250000000001</v>
      </c>
      <c r="D283" s="40">
        <v>3.965632305322607</v>
      </c>
      <c r="M283" s="117" t="s">
        <v>312</v>
      </c>
      <c r="N283" s="40">
        <v>2.9731174036640602</v>
      </c>
      <c r="O283" s="40">
        <v>1.3359955989425345</v>
      </c>
    </row>
    <row r="284" spans="1:15">
      <c r="A284" s="117" t="s">
        <v>313</v>
      </c>
      <c r="B284" s="40">
        <v>4.3432456541281885</v>
      </c>
      <c r="C284" s="40">
        <v>4.2220000000000004</v>
      </c>
      <c r="D284" s="40">
        <v>3.965632305322607</v>
      </c>
      <c r="M284" s="117" t="s">
        <v>313</v>
      </c>
      <c r="N284" s="40">
        <v>3.0177597197552002</v>
      </c>
      <c r="O284" s="40">
        <v>1.3254859343729883</v>
      </c>
    </row>
    <row r="285" spans="1:15">
      <c r="A285" s="117" t="s">
        <v>233</v>
      </c>
      <c r="B285" s="40">
        <v>4.4059671900560815</v>
      </c>
      <c r="C285" s="40">
        <v>4.3496249999999996</v>
      </c>
      <c r="D285" s="40">
        <v>4.0371095698554074</v>
      </c>
      <c r="M285" s="117" t="s">
        <v>233</v>
      </c>
      <c r="N285" s="40">
        <v>3.0426080275796101</v>
      </c>
      <c r="O285" s="40">
        <v>1.3633591624764714</v>
      </c>
    </row>
    <row r="286" spans="1:15">
      <c r="A286" s="117" t="s">
        <v>236</v>
      </c>
      <c r="B286" s="40">
        <v>4.4133668437379638</v>
      </c>
      <c r="C286" s="40">
        <v>4.3177500000000002</v>
      </c>
      <c r="D286" s="40">
        <v>4.0371095698554074</v>
      </c>
      <c r="M286" s="117" t="s">
        <v>236</v>
      </c>
      <c r="N286" s="40">
        <v>3.0275766664066102</v>
      </c>
      <c r="O286" s="40">
        <v>1.3857901773313539</v>
      </c>
    </row>
    <row r="287" spans="1:15">
      <c r="A287" s="117" t="s">
        <v>318</v>
      </c>
      <c r="B287" s="40">
        <v>4.4009593596309298</v>
      </c>
      <c r="C287" s="40">
        <v>4.3496249999999996</v>
      </c>
      <c r="D287" s="40">
        <v>3.9968989719892734</v>
      </c>
      <c r="M287" s="117" t="s">
        <v>318</v>
      </c>
      <c r="N287" s="40">
        <v>3.0029644484734299</v>
      </c>
      <c r="O287" s="40">
        <v>1.3979949111574996</v>
      </c>
    </row>
    <row r="288" spans="1:15">
      <c r="A288" s="117" t="s">
        <v>319</v>
      </c>
      <c r="B288" s="40">
        <v>4.3965952938816981</v>
      </c>
      <c r="C288" s="40">
        <v>4.3177500000000002</v>
      </c>
      <c r="D288" s="40">
        <v>3.9968989719892734</v>
      </c>
      <c r="M288" s="117" t="s">
        <v>319</v>
      </c>
      <c r="N288" s="40">
        <v>3.05738829293283</v>
      </c>
      <c r="O288" s="40">
        <v>1.3392070009488681</v>
      </c>
    </row>
    <row r="289" spans="1:15">
      <c r="A289" s="117" t="s">
        <v>320</v>
      </c>
      <c r="B289" s="40">
        <v>4.380525451363888</v>
      </c>
      <c r="C289" s="40">
        <v>4.3177500000000002</v>
      </c>
      <c r="D289" s="40">
        <v>4.0371095698554074</v>
      </c>
      <c r="M289" s="117" t="s">
        <v>316</v>
      </c>
      <c r="N289" s="40">
        <v>3.0484600868524701</v>
      </c>
      <c r="O289" s="40">
        <v>1.3392070009488681</v>
      </c>
    </row>
    <row r="290" spans="1:15">
      <c r="A290" s="117" t="s">
        <v>321</v>
      </c>
      <c r="B290" s="40">
        <v>4.3210059259788007</v>
      </c>
      <c r="C290" s="40">
        <v>4.2220000000000004</v>
      </c>
      <c r="D290" s="40">
        <v>3.9968989719892734</v>
      </c>
      <c r="M290" s="117" t="s">
        <v>320</v>
      </c>
      <c r="N290" s="40">
        <v>3.0053894082817201</v>
      </c>
      <c r="O290" s="40">
        <v>1.375136043082168</v>
      </c>
    </row>
    <row r="291" spans="1:15">
      <c r="A291" s="117" t="s">
        <v>322</v>
      </c>
      <c r="B291" s="40">
        <v>4.3455378353786811</v>
      </c>
      <c r="C291" s="40">
        <v>4.2220000000000004</v>
      </c>
      <c r="D291" s="40">
        <v>3.9968989719892734</v>
      </c>
      <c r="M291" s="117" t="s">
        <v>321</v>
      </c>
      <c r="N291" s="40">
        <v>2.993452685197</v>
      </c>
      <c r="O291" s="40">
        <v>1.3275532407818007</v>
      </c>
    </row>
    <row r="292" spans="1:15">
      <c r="A292" s="117" t="s">
        <v>323</v>
      </c>
      <c r="B292" s="40">
        <v>4.3041739955411167</v>
      </c>
      <c r="C292" s="40">
        <v>4.2537500000000001</v>
      </c>
      <c r="D292" s="40">
        <v>3.965632305322607</v>
      </c>
      <c r="M292" s="117" t="s">
        <v>322</v>
      </c>
      <c r="N292" s="40">
        <v>2.99513727920968</v>
      </c>
      <c r="O292" s="40">
        <v>1.3504005561690013</v>
      </c>
    </row>
    <row r="293" spans="1:15">
      <c r="A293" s="117" t="s">
        <v>324</v>
      </c>
      <c r="B293" s="40">
        <v>4.3173267663028305</v>
      </c>
      <c r="C293" s="40">
        <v>4.1901250000000001</v>
      </c>
      <c r="D293" s="40">
        <v>3.9110622461314657</v>
      </c>
      <c r="M293" s="117" t="s">
        <v>323</v>
      </c>
      <c r="N293" s="40">
        <v>2.9334005201837599</v>
      </c>
      <c r="O293" s="40">
        <v>1.3707734753573573</v>
      </c>
    </row>
    <row r="294" spans="1:15">
      <c r="A294" s="117" t="s">
        <v>325</v>
      </c>
      <c r="B294" s="40">
        <v>4.3217185985309348</v>
      </c>
      <c r="C294" s="40">
        <v>4.1583750000000004</v>
      </c>
      <c r="D294" s="40">
        <v>3.8395192426148759</v>
      </c>
      <c r="M294" s="117" t="s">
        <v>324</v>
      </c>
      <c r="N294" s="40">
        <v>2.9119506998989602</v>
      </c>
      <c r="O294" s="40">
        <v>1.4053760664038701</v>
      </c>
    </row>
    <row r="295" spans="1:15">
      <c r="A295" s="117" t="s">
        <v>326</v>
      </c>
      <c r="B295" s="40">
        <v>4.3099775325285856</v>
      </c>
      <c r="C295" s="40">
        <v>4.1901250000000001</v>
      </c>
      <c r="D295" s="40">
        <v>3.8395192426148759</v>
      </c>
      <c r="M295" s="117" t="s">
        <v>325</v>
      </c>
      <c r="N295" s="40">
        <v>2.88545680781831</v>
      </c>
      <c r="O295" s="40">
        <v>1.4362617907126243</v>
      </c>
    </row>
    <row r="296" spans="1:15">
      <c r="A296" s="117" t="s">
        <v>327</v>
      </c>
      <c r="B296" s="40">
        <v>4.232728245736336</v>
      </c>
      <c r="C296" s="40">
        <v>4.126125</v>
      </c>
      <c r="D296" s="40">
        <v>3.7819467858228437</v>
      </c>
      <c r="M296" s="117" t="s">
        <v>326</v>
      </c>
      <c r="N296" s="40">
        <v>2.8978342309890999</v>
      </c>
      <c r="O296" s="40">
        <v>1.412143301539486</v>
      </c>
    </row>
    <row r="297" spans="1:15">
      <c r="A297" s="117" t="s">
        <v>328</v>
      </c>
      <c r="B297" s="40">
        <v>4.2561914116256432</v>
      </c>
      <c r="C297" s="40">
        <v>4.1901250000000001</v>
      </c>
      <c r="D297" s="40">
        <v>3.8465772748965774</v>
      </c>
      <c r="M297" s="117" t="s">
        <v>327</v>
      </c>
      <c r="N297" s="40">
        <v>2.8424738889513801</v>
      </c>
      <c r="O297" s="40">
        <v>1.3902543567849559</v>
      </c>
    </row>
    <row r="298" spans="1:15">
      <c r="A298" s="117" t="s">
        <v>329</v>
      </c>
      <c r="B298" s="40">
        <v>4.2423825574580913</v>
      </c>
      <c r="C298" s="40">
        <v>4.1901250000000001</v>
      </c>
      <c r="D298" s="40">
        <v>3.7819467858228437</v>
      </c>
      <c r="M298" s="117" t="s">
        <v>328</v>
      </c>
      <c r="N298" s="40">
        <v>2.8127941632470699</v>
      </c>
      <c r="O298" s="40">
        <v>1.4433972483785733</v>
      </c>
    </row>
    <row r="299" spans="1:15">
      <c r="A299" s="117" t="s">
        <v>330</v>
      </c>
      <c r="B299" s="40">
        <v>4.1692908446472829</v>
      </c>
      <c r="C299" s="40">
        <v>4.0943750000000003</v>
      </c>
      <c r="D299" s="40">
        <v>3.7133735457080617</v>
      </c>
      <c r="M299" s="117" t="s">
        <v>329</v>
      </c>
      <c r="N299" s="40">
        <v>2.82567876803239</v>
      </c>
      <c r="O299" s="40">
        <v>1.4167037894257015</v>
      </c>
    </row>
    <row r="300" spans="1:15">
      <c r="A300" s="117" t="s">
        <v>331</v>
      </c>
      <c r="B300" s="40">
        <v>4.1873076907920197</v>
      </c>
      <c r="C300" s="40">
        <v>4.1583750000000004</v>
      </c>
      <c r="D300" s="40">
        <v>3.744640212374728</v>
      </c>
      <c r="M300" s="117" t="s">
        <v>330</v>
      </c>
      <c r="N300" s="40">
        <v>2.78255799649583</v>
      </c>
      <c r="O300" s="40">
        <v>1.3867328481514531</v>
      </c>
    </row>
    <row r="301" spans="1:15">
      <c r="A301" s="117" t="s">
        <v>332</v>
      </c>
      <c r="B301" s="40">
        <v>4.1931919743411967</v>
      </c>
      <c r="C301" s="40">
        <v>4.0943750000000003</v>
      </c>
      <c r="D301" s="40">
        <v>3.7133735457080617</v>
      </c>
      <c r="M301" s="117" t="s">
        <v>331</v>
      </c>
      <c r="N301" s="40">
        <v>2.78837847860318</v>
      </c>
      <c r="O301" s="40">
        <v>1.3989292121888393</v>
      </c>
    </row>
    <row r="302" spans="1:15">
      <c r="A302" s="117" t="s">
        <v>333</v>
      </c>
      <c r="B302" s="40">
        <v>4.1773392517801362</v>
      </c>
      <c r="C302" s="40">
        <v>4.126125</v>
      </c>
      <c r="D302" s="40">
        <v>3.7133735457080617</v>
      </c>
      <c r="M302" s="117" t="s">
        <v>332</v>
      </c>
      <c r="N302" s="40">
        <v>2.7399955828051801</v>
      </c>
      <c r="O302" s="40">
        <v>1.4531963915360162</v>
      </c>
    </row>
    <row r="303" spans="1:15">
      <c r="A303" s="117" t="s">
        <v>334</v>
      </c>
      <c r="B303" s="40">
        <v>4.1912504516498013</v>
      </c>
      <c r="C303" s="40">
        <v>4.1901250000000001</v>
      </c>
      <c r="D303" s="40">
        <v>3.7819467858228437</v>
      </c>
      <c r="M303" s="117" t="s">
        <v>333</v>
      </c>
      <c r="N303" s="40">
        <v>2.7634717888750999</v>
      </c>
      <c r="O303" s="40">
        <v>1.4138674629050358</v>
      </c>
    </row>
    <row r="304" spans="1:15">
      <c r="A304" s="117" t="s">
        <v>335</v>
      </c>
      <c r="B304" s="40">
        <v>4.2156916471790833</v>
      </c>
      <c r="C304" s="40">
        <v>4.1583750000000004</v>
      </c>
      <c r="D304" s="40">
        <v>3.744640212374728</v>
      </c>
      <c r="M304" s="117" t="s">
        <v>334</v>
      </c>
      <c r="N304" s="40">
        <v>2.7884908118762199</v>
      </c>
      <c r="O304" s="40">
        <v>1.4027596397735813</v>
      </c>
    </row>
    <row r="305" spans="1:15">
      <c r="A305" s="117" t="s">
        <v>315</v>
      </c>
      <c r="B305" s="40">
        <v>4.2019720060395578</v>
      </c>
      <c r="C305" s="40">
        <v>4.126125</v>
      </c>
      <c r="D305" s="40">
        <v>3.744640212374728</v>
      </c>
      <c r="M305" s="117" t="s">
        <v>335</v>
      </c>
      <c r="N305" s="40">
        <v>2.7702129413051901</v>
      </c>
      <c r="O305" s="40">
        <v>1.4454787058738934</v>
      </c>
    </row>
    <row r="306" spans="1:15">
      <c r="A306" s="117" t="s">
        <v>336</v>
      </c>
      <c r="B306" s="40">
        <v>4.2019720060395578</v>
      </c>
      <c r="C306" s="40">
        <v>4.1583750000000004</v>
      </c>
      <c r="D306" s="40">
        <v>3.7819467858228437</v>
      </c>
      <c r="M306" s="117" t="s">
        <v>315</v>
      </c>
      <c r="N306" s="40">
        <v>2.7316832790579499</v>
      </c>
      <c r="O306" s="40">
        <v>1.4702887269816074</v>
      </c>
    </row>
    <row r="307" spans="1:15">
      <c r="A307" s="117" t="s">
        <v>337</v>
      </c>
      <c r="B307" s="40">
        <v>4.1471971909725784</v>
      </c>
      <c r="C307" s="40">
        <v>4.126125</v>
      </c>
      <c r="D307" s="40">
        <v>3.744640212374728</v>
      </c>
      <c r="M307" s="117" t="s">
        <v>336</v>
      </c>
      <c r="N307" s="40">
        <v>2.73574020589367</v>
      </c>
      <c r="O307" s="40">
        <v>1.4662318001458878</v>
      </c>
    </row>
    <row r="308" spans="1:15">
      <c r="A308" s="117" t="s">
        <v>338</v>
      </c>
      <c r="B308" s="40">
        <v>4.0969334301691225</v>
      </c>
      <c r="C308" s="40">
        <v>4.0625</v>
      </c>
      <c r="D308" s="40">
        <v>3.7133735457080617</v>
      </c>
      <c r="M308" s="117" t="s">
        <v>337</v>
      </c>
      <c r="N308" s="40">
        <v>2.70685241961761</v>
      </c>
      <c r="O308" s="40">
        <v>1.4403447713549691</v>
      </c>
    </row>
    <row r="309" spans="1:15">
      <c r="A309" s="117" t="s">
        <v>314</v>
      </c>
      <c r="B309" s="40">
        <v>4.1072795194525717</v>
      </c>
      <c r="C309" s="40">
        <v>4.0943750000000003</v>
      </c>
      <c r="D309" s="40">
        <v>3.7454735457080615</v>
      </c>
      <c r="M309" s="117" t="s">
        <v>338</v>
      </c>
      <c r="N309" s="40">
        <v>2.6475345232254401</v>
      </c>
      <c r="O309" s="40">
        <v>1.4493989069436828</v>
      </c>
    </row>
    <row r="310" spans="1:15">
      <c r="A310" s="117" t="s">
        <v>317</v>
      </c>
      <c r="B310" s="40">
        <v>4.1012205308195053</v>
      </c>
      <c r="C310" s="40">
        <v>4.0943750000000003</v>
      </c>
      <c r="D310" s="40">
        <v>3.7142068790413951</v>
      </c>
      <c r="M310" s="117" t="s">
        <v>314</v>
      </c>
      <c r="N310" s="40">
        <v>2.7082747576934199</v>
      </c>
      <c r="O310" s="40">
        <v>1.3990047617591512</v>
      </c>
    </row>
    <row r="311" spans="1:15">
      <c r="A311" s="117" t="s">
        <v>344</v>
      </c>
      <c r="B311" s="40">
        <v>4.1072995232038672</v>
      </c>
      <c r="C311" s="40">
        <v>4.0943750000000003</v>
      </c>
      <c r="D311" s="40">
        <v>3.7142068790413951</v>
      </c>
      <c r="M311" s="117" t="s">
        <v>317</v>
      </c>
      <c r="N311" s="40">
        <v>2.6172888132357301</v>
      </c>
      <c r="O311" s="40">
        <v>1.4839317175837758</v>
      </c>
    </row>
    <row r="312" spans="1:15">
      <c r="A312" s="117" t="s">
        <v>342</v>
      </c>
      <c r="B312" s="40">
        <v>4.0692736469236239</v>
      </c>
      <c r="C312" s="40">
        <v>4.0943750000000003</v>
      </c>
      <c r="D312" s="40">
        <v>3.7142068790413951</v>
      </c>
      <c r="M312" s="117" t="s">
        <v>344</v>
      </c>
      <c r="N312" s="40">
        <v>2.6150928157028002</v>
      </c>
      <c r="O312" s="40">
        <v>1.4922067075010674</v>
      </c>
    </row>
    <row r="313" spans="1:15">
      <c r="A313" s="117" t="s">
        <v>345</v>
      </c>
      <c r="B313" s="40">
        <v>4.0739581851150932</v>
      </c>
      <c r="C313" s="40">
        <v>4.126125</v>
      </c>
      <c r="D313" s="40">
        <v>3.7454735457080615</v>
      </c>
      <c r="M313" s="117" t="s">
        <v>342</v>
      </c>
      <c r="N313" s="40">
        <v>2.6195226711190198</v>
      </c>
      <c r="O313" s="40">
        <v>1.4497509758046037</v>
      </c>
    </row>
    <row r="314" spans="1:15">
      <c r="A314" s="117" t="s">
        <v>346</v>
      </c>
      <c r="B314" s="40">
        <v>4.0499091895180088</v>
      </c>
      <c r="C314" s="40">
        <v>4.0943750000000003</v>
      </c>
      <c r="D314" s="40">
        <v>3.7142068790413951</v>
      </c>
      <c r="M314" s="117" t="s">
        <v>345</v>
      </c>
      <c r="N314" s="40">
        <v>2.6103236546711099</v>
      </c>
      <c r="O314" s="40">
        <v>1.4636345304439833</v>
      </c>
    </row>
    <row r="315" spans="1:15">
      <c r="A315" s="117" t="s">
        <v>343</v>
      </c>
      <c r="B315" s="40">
        <v>3.9335731024542722</v>
      </c>
      <c r="C315" s="40">
        <v>4.0625</v>
      </c>
      <c r="D315" s="40">
        <v>3.7142068790413951</v>
      </c>
      <c r="M315" s="117" t="s">
        <v>346</v>
      </c>
      <c r="N315" s="40">
        <v>2.5303433230650998</v>
      </c>
      <c r="O315" s="40">
        <v>1.5195658664529095</v>
      </c>
    </row>
    <row r="316" spans="1:15">
      <c r="A316" s="117" t="s">
        <v>341</v>
      </c>
      <c r="B316" s="40">
        <v>3.999549414119425</v>
      </c>
      <c r="C316" s="40">
        <v>4.0943750000000003</v>
      </c>
      <c r="D316" s="40">
        <v>3.7142068790413951</v>
      </c>
      <c r="M316" s="117" t="s">
        <v>343</v>
      </c>
      <c r="N316" s="40">
        <v>2.5047286028973201</v>
      </c>
      <c r="O316" s="40">
        <v>1.4288444995569523</v>
      </c>
    </row>
    <row r="317" spans="1:15">
      <c r="A317" s="117" t="s">
        <v>347</v>
      </c>
      <c r="B317" s="40">
        <v>3.9099911093700599</v>
      </c>
      <c r="C317" s="40">
        <v>4.0307500000000003</v>
      </c>
      <c r="D317" s="40">
        <v>3.7215859582430575</v>
      </c>
      <c r="M317" s="117" t="s">
        <v>341</v>
      </c>
      <c r="N317" s="40">
        <v>2.4821302759437298</v>
      </c>
      <c r="O317" s="40">
        <v>1.5174191381756956</v>
      </c>
    </row>
    <row r="318" spans="1:15">
      <c r="A318" s="117" t="s">
        <v>348</v>
      </c>
      <c r="B318" s="40">
        <v>3.996017377881671</v>
      </c>
      <c r="C318" s="40">
        <v>4.126125</v>
      </c>
      <c r="D318" s="40">
        <v>3.8474106082299104</v>
      </c>
      <c r="M318" s="117" t="s">
        <v>347</v>
      </c>
      <c r="N318" s="40">
        <v>2.42881647726065</v>
      </c>
      <c r="O318" s="40">
        <v>1.4811746321094097</v>
      </c>
    </row>
    <row r="319" spans="1:15">
      <c r="A319" s="117" t="s">
        <v>349</v>
      </c>
      <c r="B319" s="40">
        <v>4.0524679334387788</v>
      </c>
      <c r="C319" s="40">
        <v>4.126125</v>
      </c>
      <c r="D319" s="40">
        <v>3.8474106082299104</v>
      </c>
      <c r="M319" s="117" t="s">
        <v>348</v>
      </c>
      <c r="N319" s="40">
        <v>2.5557387123841</v>
      </c>
      <c r="O319" s="40">
        <v>1.4402786654975712</v>
      </c>
    </row>
    <row r="320" spans="1:15">
      <c r="A320" s="117" t="s">
        <v>350</v>
      </c>
      <c r="B320" s="40">
        <v>4.0524679334387788</v>
      </c>
      <c r="C320" s="40">
        <v>4.126125</v>
      </c>
      <c r="D320" s="40">
        <v>3.8474106082299104</v>
      </c>
      <c r="M320" s="117" t="s">
        <v>349</v>
      </c>
      <c r="N320" s="40">
        <v>2.5621450125099101</v>
      </c>
      <c r="O320" s="40">
        <v>1.4903229209288682</v>
      </c>
    </row>
    <row r="321" spans="1:15">
      <c r="A321" s="117" t="s">
        <v>351</v>
      </c>
      <c r="B321" s="40">
        <v>4.0609015778041941</v>
      </c>
      <c r="C321" s="40">
        <v>4.0943750000000003</v>
      </c>
      <c r="D321" s="40">
        <v>3.8403525759482089</v>
      </c>
      <c r="M321" s="117" t="s">
        <v>350</v>
      </c>
      <c r="N321" s="40">
        <v>2.60333938625172</v>
      </c>
      <c r="O321" s="40">
        <v>1.4491285471870583</v>
      </c>
    </row>
    <row r="322" spans="1:15">
      <c r="A322" s="117" t="s">
        <v>352</v>
      </c>
      <c r="B322" s="40">
        <v>4.0259333187553921</v>
      </c>
      <c r="C322" s="40">
        <v>4.0943750000000003</v>
      </c>
      <c r="D322" s="40">
        <v>3.8474106082299104</v>
      </c>
      <c r="M322" s="117" t="s">
        <v>351</v>
      </c>
      <c r="N322" s="40">
        <v>2.5443053522825401</v>
      </c>
      <c r="O322" s="40">
        <v>1.5165962255216543</v>
      </c>
    </row>
    <row r="323" spans="1:15">
      <c r="A323" s="117" t="s">
        <v>353</v>
      </c>
      <c r="B323" s="40">
        <v>4.0385352562893484</v>
      </c>
      <c r="C323" s="40">
        <v>4.0943750000000003</v>
      </c>
      <c r="D323" s="40">
        <v>3.8474106082299104</v>
      </c>
      <c r="M323" s="117" t="s">
        <v>352</v>
      </c>
      <c r="N323" s="40">
        <v>2.5449659922268899</v>
      </c>
      <c r="O323" s="40">
        <v>1.4809673265285019</v>
      </c>
    </row>
    <row r="324" spans="1:15">
      <c r="A324" s="117" t="s">
        <v>354</v>
      </c>
      <c r="B324" s="40">
        <v>4.0801287281305978</v>
      </c>
      <c r="C324" s="40">
        <v>4.0943750000000003</v>
      </c>
      <c r="D324" s="40">
        <v>3.8403525759482089</v>
      </c>
      <c r="M324" s="117" t="s">
        <v>353</v>
      </c>
      <c r="N324" s="40">
        <v>2.5540295471269099</v>
      </c>
      <c r="O324" s="40">
        <v>1.484505709162439</v>
      </c>
    </row>
    <row r="325" spans="1:15">
      <c r="A325" s="117" t="s">
        <v>355</v>
      </c>
      <c r="B325" s="40">
        <v>3.9821340582593443</v>
      </c>
      <c r="C325" s="40">
        <v>4.0625</v>
      </c>
      <c r="D325" s="40">
        <v>3.7827801191561767</v>
      </c>
      <c r="M325" s="117" t="s">
        <v>354</v>
      </c>
      <c r="N325" s="40">
        <v>2.5356667445590699</v>
      </c>
      <c r="O325" s="40">
        <v>1.5444619835715279</v>
      </c>
    </row>
    <row r="326" spans="1:15">
      <c r="A326" s="117" t="s">
        <v>356</v>
      </c>
      <c r="B326" s="40">
        <v>4.038130867663182</v>
      </c>
      <c r="C326" s="40">
        <v>3.9742500000000001</v>
      </c>
      <c r="D326" s="40">
        <v>3.8221534112363487</v>
      </c>
      <c r="M326" s="117" t="s">
        <v>416</v>
      </c>
      <c r="N326" s="40">
        <v>2.5165312715175401</v>
      </c>
      <c r="O326" s="40">
        <v>1.5444619835715279</v>
      </c>
    </row>
    <row r="327" spans="1:15">
      <c r="A327" s="117" t="s">
        <v>357</v>
      </c>
      <c r="B327" s="40">
        <v>4.0195628796489613</v>
      </c>
      <c r="C327" s="40">
        <v>3.9425000000000003</v>
      </c>
      <c r="D327" s="40">
        <v>3.8221534112363487</v>
      </c>
      <c r="M327" s="117" t="s">
        <v>355</v>
      </c>
      <c r="N327" s="40">
        <v>2.4936082120119001</v>
      </c>
      <c r="O327" s="40">
        <v>1.4885258462474449</v>
      </c>
    </row>
    <row r="328" spans="1:15">
      <c r="A328" s="117" t="s">
        <v>358</v>
      </c>
      <c r="B328" s="40">
        <v>4.1418472175586061</v>
      </c>
      <c r="C328" s="40">
        <v>4.1820000000000004</v>
      </c>
      <c r="D328" s="40">
        <v>3.9896003554164103</v>
      </c>
      <c r="M328" s="117" t="s">
        <v>356</v>
      </c>
      <c r="N328" s="40">
        <v>2.5559111404476602</v>
      </c>
      <c r="O328" s="40">
        <v>1.4822197272155224</v>
      </c>
    </row>
    <row r="329" spans="1:15">
      <c r="A329" s="117" t="s">
        <v>359</v>
      </c>
      <c r="B329" s="40">
        <v>4.0586664737351743</v>
      </c>
      <c r="C329" s="40">
        <v>3.9742500000000001</v>
      </c>
      <c r="D329" s="40">
        <v>3.8585038285041042</v>
      </c>
      <c r="M329" s="117" t="s">
        <v>357</v>
      </c>
      <c r="N329" s="40">
        <v>2.52735457322752</v>
      </c>
      <c r="O329" s="40">
        <v>1.4922083064214415</v>
      </c>
    </row>
    <row r="330" spans="1:15">
      <c r="A330" s="117" t="s">
        <v>360</v>
      </c>
      <c r="B330" s="40">
        <v>4.05126159214573</v>
      </c>
      <c r="C330" s="40">
        <v>3.9742500000000001</v>
      </c>
      <c r="D330" s="40">
        <v>3.8585038285041042</v>
      </c>
      <c r="M330" s="117" t="s">
        <v>358</v>
      </c>
      <c r="N330" s="40">
        <v>2.6160113869012802</v>
      </c>
      <c r="O330" s="40">
        <v>1.5258358306573263</v>
      </c>
    </row>
    <row r="331" spans="1:15">
      <c r="A331" s="117" t="s">
        <v>361</v>
      </c>
      <c r="B331" s="40">
        <v>4.0180929414375397</v>
      </c>
      <c r="C331" s="40">
        <v>3.9742500000000001</v>
      </c>
      <c r="D331" s="40">
        <v>3.8897371618374375</v>
      </c>
      <c r="M331" s="117" t="s">
        <v>359</v>
      </c>
      <c r="N331" s="40">
        <v>2.6371866759210301</v>
      </c>
      <c r="O331" s="40">
        <v>1.4214797978141447</v>
      </c>
    </row>
    <row r="332" spans="1:15">
      <c r="A332" s="117" t="s">
        <v>362</v>
      </c>
      <c r="B332" s="40">
        <v>4.0895888463427941</v>
      </c>
      <c r="C332" s="40">
        <v>4.0061249999999999</v>
      </c>
      <c r="D332" s="40">
        <v>3.9481231294434975</v>
      </c>
      <c r="M332" s="117" t="s">
        <v>360</v>
      </c>
      <c r="N332" s="40">
        <v>2.6040316185117298</v>
      </c>
      <c r="O332" s="40">
        <v>1.4472299736339997</v>
      </c>
    </row>
    <row r="333" spans="1:15">
      <c r="A333" s="117" t="s">
        <v>363</v>
      </c>
      <c r="B333" s="40">
        <v>4.0594056027848886</v>
      </c>
      <c r="C333" s="40">
        <v>3.9742500000000001</v>
      </c>
      <c r="D333" s="40">
        <v>3.8897371618374375</v>
      </c>
      <c r="M333" s="117" t="s">
        <v>361</v>
      </c>
      <c r="N333" s="40">
        <v>2.6456437130167698</v>
      </c>
      <c r="O333" s="40">
        <v>1.3724492284207701</v>
      </c>
    </row>
    <row r="334" spans="1:15">
      <c r="A334" s="117" t="s">
        <v>364</v>
      </c>
      <c r="B334" s="40">
        <v>4.1067185113851021</v>
      </c>
      <c r="C334" s="40">
        <v>4.0061249999999999</v>
      </c>
      <c r="D334" s="40">
        <v>3.9481231294434975</v>
      </c>
      <c r="M334" s="117" t="s">
        <v>362</v>
      </c>
      <c r="N334" s="40">
        <v>2.6797159507930601</v>
      </c>
      <c r="O334" s="40">
        <v>1.4098728955497342</v>
      </c>
    </row>
    <row r="335" spans="1:15">
      <c r="A335" s="117" t="s">
        <v>365</v>
      </c>
      <c r="B335" s="40">
        <v>4.1279567617729853</v>
      </c>
      <c r="C335" s="40">
        <v>4.0061249999999999</v>
      </c>
      <c r="D335" s="40">
        <v>3.9481231294434975</v>
      </c>
      <c r="M335" s="117" t="s">
        <v>363</v>
      </c>
      <c r="N335" s="40">
        <v>2.6318246797468499</v>
      </c>
      <c r="O335" s="40">
        <v>1.4275809230380383</v>
      </c>
    </row>
    <row r="336" spans="1:15">
      <c r="A336" s="117" t="s">
        <v>366</v>
      </c>
      <c r="B336" s="40">
        <v>4.129224643744613</v>
      </c>
      <c r="C336" s="40">
        <v>4.0378749999999997</v>
      </c>
      <c r="D336" s="40">
        <v>3.8585038285041042</v>
      </c>
      <c r="M336" s="117" t="s">
        <v>364</v>
      </c>
      <c r="N336" s="40">
        <v>2.6993160821671598</v>
      </c>
      <c r="O336" s="40">
        <v>1.407402429217943</v>
      </c>
    </row>
    <row r="337" spans="1:15">
      <c r="A337" s="117" t="s">
        <v>367</v>
      </c>
      <c r="B337" s="40">
        <v>4.1160025587317532</v>
      </c>
      <c r="C337" s="40">
        <v>4.0378749999999997</v>
      </c>
      <c r="D337" s="40">
        <v>3.9533721497042098</v>
      </c>
      <c r="M337" s="117" t="s">
        <v>365</v>
      </c>
      <c r="N337" s="40">
        <v>2.7087001450916599</v>
      </c>
      <c r="O337" s="40">
        <v>1.4192566166813254</v>
      </c>
    </row>
    <row r="338" spans="1:15">
      <c r="A338" s="117" t="s">
        <v>368</v>
      </c>
      <c r="B338" s="40">
        <v>4.1389115457524479</v>
      </c>
      <c r="C338" s="40">
        <v>3.9742500000000001</v>
      </c>
      <c r="D338" s="40">
        <v>3.9481231294434975</v>
      </c>
      <c r="M338" s="117" t="s">
        <v>366</v>
      </c>
      <c r="N338" s="40">
        <v>2.7411857736504301</v>
      </c>
      <c r="O338" s="40">
        <v>1.3880388700941824</v>
      </c>
    </row>
    <row r="339" spans="1:15">
      <c r="A339" s="117" t="s">
        <v>369</v>
      </c>
      <c r="B339" s="40">
        <v>4.1177479233812715</v>
      </c>
      <c r="C339" s="40">
        <v>4.070125</v>
      </c>
      <c r="D339" s="40">
        <v>3.9846388163708766</v>
      </c>
      <c r="M339" s="117" t="s">
        <v>367</v>
      </c>
      <c r="N339" s="40">
        <v>2.7302113432602999</v>
      </c>
      <c r="O339" s="40">
        <v>1.3857912154714538</v>
      </c>
    </row>
    <row r="340" spans="1:15">
      <c r="A340" s="117" t="s">
        <v>370</v>
      </c>
      <c r="B340" s="40">
        <v>4.0527435108813883</v>
      </c>
      <c r="C340" s="40">
        <v>3.91025</v>
      </c>
      <c r="D340" s="40">
        <v>3.8897371618374375</v>
      </c>
      <c r="M340" s="117" t="s">
        <v>368</v>
      </c>
      <c r="N340" s="40">
        <v>2.7488667702223699</v>
      </c>
      <c r="O340" s="40">
        <v>1.390044775530078</v>
      </c>
    </row>
    <row r="341" spans="1:15">
      <c r="A341" s="117" t="s">
        <v>371</v>
      </c>
      <c r="B341" s="40">
        <v>4.0403890536855291</v>
      </c>
      <c r="C341" s="40">
        <v>3.91025</v>
      </c>
      <c r="D341" s="40">
        <v>3.8585038285041042</v>
      </c>
      <c r="M341" s="117" t="s">
        <v>369</v>
      </c>
      <c r="N341" s="40">
        <v>2.6989079918651599</v>
      </c>
      <c r="O341" s="40">
        <v>1.4188399315161118</v>
      </c>
    </row>
    <row r="342" spans="1:15">
      <c r="A342" s="117" t="s">
        <v>372</v>
      </c>
      <c r="B342" s="40">
        <v>4.0765042664578726</v>
      </c>
      <c r="C342" s="40">
        <v>3.9742500000000001</v>
      </c>
      <c r="D342" s="40">
        <v>3.8897371618374375</v>
      </c>
      <c r="M342" s="117" t="s">
        <v>370</v>
      </c>
      <c r="N342" s="40">
        <v>2.6507645211895499</v>
      </c>
      <c r="O342" s="40">
        <v>1.4019789896918387</v>
      </c>
    </row>
    <row r="343" spans="1:15">
      <c r="A343" s="117" t="s">
        <v>373</v>
      </c>
      <c r="B343" s="40">
        <v>4.1140258436369566</v>
      </c>
      <c r="C343" s="40">
        <v>3.9742500000000001</v>
      </c>
      <c r="D343" s="40">
        <v>3.8897371618374375</v>
      </c>
      <c r="M343" s="117" t="s">
        <v>371</v>
      </c>
      <c r="N343" s="40">
        <v>2.6443435040904602</v>
      </c>
      <c r="O343" s="40">
        <v>1.3960455495950694</v>
      </c>
    </row>
    <row r="344" spans="1:15">
      <c r="A344" s="117" t="s">
        <v>374</v>
      </c>
      <c r="B344" s="40">
        <v>4.1447063439290783</v>
      </c>
      <c r="C344" s="40">
        <v>4.0061249999999999</v>
      </c>
      <c r="D344" s="40">
        <v>3.8897371618374375</v>
      </c>
      <c r="M344" s="117" t="s">
        <v>372</v>
      </c>
      <c r="N344" s="40">
        <v>2.6999804416345499</v>
      </c>
      <c r="O344" s="40">
        <v>1.3765238248233231</v>
      </c>
    </row>
    <row r="345" spans="1:15">
      <c r="A345" s="117" t="s">
        <v>375</v>
      </c>
      <c r="B345" s="40">
        <v>4.1086841590215641</v>
      </c>
      <c r="C345" s="40">
        <v>4.070125</v>
      </c>
      <c r="D345" s="40">
        <v>3.8585038285041042</v>
      </c>
      <c r="M345" s="117" t="s">
        <v>373</v>
      </c>
      <c r="N345" s="40">
        <v>2.7181679952198698</v>
      </c>
      <c r="O345" s="40">
        <v>1.3958578484170869</v>
      </c>
    </row>
    <row r="346" spans="1:15">
      <c r="A346" s="117" t="s">
        <v>376</v>
      </c>
      <c r="B346" s="40">
        <v>4.0268060393411318</v>
      </c>
      <c r="C346" s="40">
        <v>3.9425000000000003</v>
      </c>
      <c r="D346" s="40">
        <v>3.8221534112363487</v>
      </c>
      <c r="M346" s="117" t="s">
        <v>374</v>
      </c>
      <c r="N346" s="40">
        <v>2.66584672213606</v>
      </c>
      <c r="O346" s="40">
        <v>1.4788596217930181</v>
      </c>
    </row>
    <row r="347" spans="1:15">
      <c r="A347" s="117" t="s">
        <v>377</v>
      </c>
      <c r="B347" s="40">
        <v>3.9905728260413369</v>
      </c>
      <c r="C347" s="40">
        <v>3.9425000000000003</v>
      </c>
      <c r="D347" s="40">
        <v>3.8221534112363487</v>
      </c>
      <c r="M347" s="117" t="s">
        <v>417</v>
      </c>
      <c r="N347" s="40">
        <v>2.6924441854195602</v>
      </c>
      <c r="O347" s="40">
        <v>1.4788596217930181</v>
      </c>
    </row>
    <row r="348" spans="1:15">
      <c r="A348" s="117" t="s">
        <v>378</v>
      </c>
      <c r="B348" s="40">
        <v>3.9961547356511682</v>
      </c>
      <c r="C348" s="40">
        <v>3.9425000000000003</v>
      </c>
      <c r="D348" s="40">
        <v>3.8221534112363487</v>
      </c>
      <c r="M348" s="117" t="s">
        <v>375</v>
      </c>
      <c r="N348" s="40">
        <v>2.6784573232198698</v>
      </c>
      <c r="O348" s="40">
        <v>1.4302268358016947</v>
      </c>
    </row>
    <row r="349" spans="1:15">
      <c r="A349" s="117" t="s">
        <v>379</v>
      </c>
      <c r="B349" s="40">
        <v>3.9387101752388789</v>
      </c>
      <c r="C349" s="40">
        <v>3.8784999999999998</v>
      </c>
      <c r="D349" s="40">
        <v>3.7010694400308415</v>
      </c>
      <c r="M349" s="117" t="s">
        <v>376</v>
      </c>
      <c r="N349" s="40">
        <v>2.5818538340504298</v>
      </c>
      <c r="O349" s="40">
        <v>1.4449522052907025</v>
      </c>
    </row>
    <row r="350" spans="1:15">
      <c r="A350" s="117" t="s">
        <v>380</v>
      </c>
      <c r="B350" s="40">
        <v>3.9184794487857557</v>
      </c>
      <c r="C350" s="40">
        <v>3.8784999999999998</v>
      </c>
      <c r="D350" s="40">
        <v>3.7635694400308415</v>
      </c>
      <c r="M350" s="117" t="s">
        <v>377</v>
      </c>
      <c r="N350" s="40">
        <v>2.5932132712975302</v>
      </c>
      <c r="O350" s="40">
        <v>1.3973595547438067</v>
      </c>
    </row>
    <row r="351" spans="1:15">
      <c r="A351" s="117" t="s">
        <v>381</v>
      </c>
      <c r="B351" s="40">
        <v>3.8776019427165607</v>
      </c>
      <c r="C351" s="40">
        <v>3.8784999999999998</v>
      </c>
      <c r="D351" s="40">
        <v>3.7323361066975083</v>
      </c>
      <c r="M351" s="117" t="s">
        <v>378</v>
      </c>
      <c r="N351" s="40">
        <v>2.5397621553493499</v>
      </c>
      <c r="O351" s="40">
        <v>1.4563925803018185</v>
      </c>
    </row>
    <row r="352" spans="1:15">
      <c r="A352" s="117" t="s">
        <v>382</v>
      </c>
      <c r="B352" s="40">
        <v>3.9169809029109368</v>
      </c>
      <c r="C352" s="40">
        <v>3.91025</v>
      </c>
      <c r="D352" s="40">
        <v>3.7635694400308415</v>
      </c>
      <c r="M352" s="117" t="s">
        <v>379</v>
      </c>
      <c r="N352" s="40">
        <v>2.5354129105946002</v>
      </c>
      <c r="O352" s="40">
        <v>1.4032972646442787</v>
      </c>
    </row>
    <row r="353" spans="1:15">
      <c r="A353" s="117" t="s">
        <v>383</v>
      </c>
      <c r="B353" s="40">
        <v>3.9162314278228294</v>
      </c>
      <c r="C353" s="40">
        <v>3.91025</v>
      </c>
      <c r="D353" s="40">
        <v>3.7635694400308415</v>
      </c>
      <c r="M353" s="117" t="s">
        <v>380</v>
      </c>
      <c r="N353" s="40">
        <v>2.5272030973588802</v>
      </c>
      <c r="O353" s="40">
        <v>1.3912763514268753</v>
      </c>
    </row>
    <row r="354" spans="1:15">
      <c r="A354" s="117" t="s">
        <v>384</v>
      </c>
      <c r="B354" s="40">
        <v>3.9016230858200736</v>
      </c>
      <c r="C354" s="40">
        <v>3.846625</v>
      </c>
      <c r="D354" s="40">
        <v>3.7635694400308415</v>
      </c>
      <c r="M354" s="117" t="s">
        <v>381</v>
      </c>
      <c r="N354" s="40">
        <v>2.49044583951994</v>
      </c>
      <c r="O354" s="40">
        <v>1.3871561031966206</v>
      </c>
    </row>
    <row r="355" spans="1:15">
      <c r="A355" s="117" t="s">
        <v>385</v>
      </c>
      <c r="B355" s="40">
        <v>3.7514931701835263</v>
      </c>
      <c r="C355" s="40">
        <v>3.846625</v>
      </c>
      <c r="D355" s="40">
        <v>3.7635694400308415</v>
      </c>
      <c r="M355" s="117" t="s">
        <v>382</v>
      </c>
      <c r="N355" s="40">
        <v>2.5206676223705302</v>
      </c>
      <c r="O355" s="40">
        <v>1.3963132805404066</v>
      </c>
    </row>
    <row r="356" spans="1:15">
      <c r="A356" s="117" t="s">
        <v>386</v>
      </c>
      <c r="B356" s="40">
        <v>3.7319650108628761</v>
      </c>
      <c r="C356" s="40">
        <v>3.846625</v>
      </c>
      <c r="D356" s="40">
        <v>3.7635694400308415</v>
      </c>
      <c r="M356" s="117" t="s">
        <v>383</v>
      </c>
      <c r="N356" s="40">
        <v>2.47278907327191</v>
      </c>
      <c r="O356" s="40">
        <v>1.4434423545509192</v>
      </c>
    </row>
    <row r="357" spans="1:15">
      <c r="A357" s="117" t="s">
        <v>387</v>
      </c>
      <c r="B357" s="40">
        <v>3.764551605280992</v>
      </c>
      <c r="C357" s="40">
        <v>3.846625</v>
      </c>
      <c r="D357" s="40">
        <v>3.7635694400308415</v>
      </c>
      <c r="M357" s="117" t="s">
        <v>384</v>
      </c>
      <c r="N357" s="40">
        <v>2.47640548535824</v>
      </c>
      <c r="O357" s="40">
        <v>1.4252176004618335</v>
      </c>
    </row>
    <row r="358" spans="1:15">
      <c r="A358" s="117" t="s">
        <v>388</v>
      </c>
      <c r="B358" s="40">
        <v>3.7780676004901728</v>
      </c>
      <c r="C358" s="40">
        <v>3.846625</v>
      </c>
      <c r="D358" s="40">
        <v>3.7635694400308415</v>
      </c>
      <c r="M358" s="117" t="s">
        <v>385</v>
      </c>
      <c r="N358" s="40">
        <v>2.4761946977279501</v>
      </c>
      <c r="O358" s="40">
        <v>1.2752984724555763</v>
      </c>
    </row>
    <row r="359" spans="1:15">
      <c r="A359" s="117" t="s">
        <v>389</v>
      </c>
      <c r="B359" s="40">
        <v>3.7499919264892521</v>
      </c>
      <c r="C359" s="40">
        <v>3.846625</v>
      </c>
      <c r="D359" s="40">
        <v>3.7635694400308415</v>
      </c>
      <c r="M359" s="117" t="s">
        <v>386</v>
      </c>
      <c r="N359" s="40">
        <v>2.52514420347971</v>
      </c>
      <c r="O359" s="40">
        <v>1.2068208073831663</v>
      </c>
    </row>
    <row r="360" spans="1:15">
      <c r="A360" s="117" t="s">
        <v>418</v>
      </c>
      <c r="B360" s="40">
        <v>3.749961435703566</v>
      </c>
      <c r="C360" s="40">
        <v>3.846625</v>
      </c>
      <c r="D360" s="40">
        <v>3.7635694400308415</v>
      </c>
      <c r="M360" s="117" t="s">
        <v>387</v>
      </c>
      <c r="N360" s="40">
        <v>2.5121043496510298</v>
      </c>
      <c r="O360" s="40">
        <v>1.2524472556299622</v>
      </c>
    </row>
    <row r="361" spans="1:15">
      <c r="A361" s="117" t="s">
        <v>390</v>
      </c>
      <c r="B361" s="40">
        <v>3.758082827931466</v>
      </c>
      <c r="C361" s="40">
        <v>3.846625</v>
      </c>
      <c r="D361" s="40">
        <v>3.7635694400308415</v>
      </c>
      <c r="M361" s="117" t="s">
        <v>388</v>
      </c>
      <c r="N361" s="40">
        <v>2.5130719329869802</v>
      </c>
      <c r="O361" s="40">
        <v>1.2649956675031926</v>
      </c>
    </row>
    <row r="362" spans="1:15">
      <c r="A362" s="117" t="s">
        <v>419</v>
      </c>
      <c r="B362" s="40">
        <v>3.7972705431395126</v>
      </c>
      <c r="C362" s="40">
        <v>3.846625</v>
      </c>
      <c r="D362" s="40">
        <v>3.7635694400308415</v>
      </c>
      <c r="M362" s="117" t="s">
        <v>389</v>
      </c>
      <c r="N362" s="40">
        <v>2.50830487739315</v>
      </c>
      <c r="O362" s="40">
        <v>1.2416870490961023</v>
      </c>
    </row>
    <row r="363" spans="1:15">
      <c r="A363" s="117" t="s">
        <v>391</v>
      </c>
      <c r="B363" s="40">
        <v>3.8750467275347917</v>
      </c>
      <c r="C363" s="40">
        <v>3.846625</v>
      </c>
      <c r="D363" s="40">
        <v>3.7635694400308415</v>
      </c>
      <c r="M363" s="117" t="s">
        <v>418</v>
      </c>
      <c r="N363" s="40">
        <v>2.5181131981013598</v>
      </c>
      <c r="O363" s="40">
        <v>1.2318482376022057</v>
      </c>
    </row>
    <row r="364" spans="1:15">
      <c r="A364" s="117" t="s">
        <v>392</v>
      </c>
      <c r="B364" s="40">
        <v>3.8608854673786004</v>
      </c>
      <c r="C364" s="40">
        <v>3.846625</v>
      </c>
      <c r="D364" s="40">
        <v>3.7635694400308415</v>
      </c>
      <c r="M364" s="117" t="s">
        <v>390</v>
      </c>
      <c r="N364" s="40">
        <v>2.5437168006359601</v>
      </c>
      <c r="O364" s="40">
        <v>1.2143660272955057</v>
      </c>
    </row>
    <row r="365" spans="1:15">
      <c r="A365" s="117" t="s">
        <v>393</v>
      </c>
      <c r="B365" s="40">
        <v>4.0105553053616951</v>
      </c>
      <c r="C365" s="40">
        <v>3.846625</v>
      </c>
      <c r="D365" s="40">
        <v>3.6071359947299859</v>
      </c>
      <c r="M365" s="117" t="s">
        <v>419</v>
      </c>
      <c r="N365" s="40">
        <v>2.6250547369401902</v>
      </c>
      <c r="O365" s="40">
        <v>1.1722158061993229</v>
      </c>
    </row>
    <row r="366" spans="1:15">
      <c r="A366" s="117" t="s">
        <v>394</v>
      </c>
      <c r="B366" s="40">
        <v>4.0247193516407878</v>
      </c>
      <c r="C366" s="40">
        <v>3.8784999999999998</v>
      </c>
      <c r="D366" s="40">
        <v>3.6071359947299859</v>
      </c>
      <c r="M366" s="117" t="s">
        <v>391</v>
      </c>
      <c r="N366" s="40">
        <v>2.6404764057609502</v>
      </c>
      <c r="O366" s="40">
        <v>1.2345703217738415</v>
      </c>
    </row>
    <row r="367" spans="1:15">
      <c r="A367" s="117" t="s">
        <v>395</v>
      </c>
      <c r="B367" s="40">
        <v>4.0352771401087768</v>
      </c>
      <c r="C367" s="40">
        <v>3.8784999999999998</v>
      </c>
      <c r="D367" s="40">
        <v>3.6071359947299859</v>
      </c>
      <c r="M367" s="117" t="s">
        <v>392</v>
      </c>
      <c r="N367" s="40">
        <v>2.6550245016792</v>
      </c>
      <c r="O367" s="40">
        <v>1.2058609656994008</v>
      </c>
    </row>
    <row r="368" spans="1:15">
      <c r="A368" s="117" t="s">
        <v>396</v>
      </c>
      <c r="B368" s="40">
        <v>3.9930152560917365</v>
      </c>
      <c r="C368" s="40">
        <v>3.8784999999999998</v>
      </c>
      <c r="D368" s="40">
        <v>3.5235928402194752</v>
      </c>
      <c r="M368" s="117" t="s">
        <v>393</v>
      </c>
      <c r="N368" s="40">
        <v>2.6615233310635298</v>
      </c>
      <c r="O368" s="40">
        <v>1.349031974298166</v>
      </c>
    </row>
    <row r="369" spans="1:15">
      <c r="A369" s="117" t="s">
        <v>397</v>
      </c>
      <c r="B369" s="40">
        <v>3.96300768207439</v>
      </c>
      <c r="C369" s="40">
        <v>3.8784999999999998</v>
      </c>
      <c r="D369" s="40">
        <v>3.5235928402194752</v>
      </c>
      <c r="M369" s="117" t="s">
        <v>394</v>
      </c>
      <c r="N369" s="40">
        <v>2.6761661289504999</v>
      </c>
      <c r="O369" s="40">
        <v>1.3485532226902881</v>
      </c>
    </row>
    <row r="370" spans="1:15">
      <c r="A370" s="117" t="s">
        <v>398</v>
      </c>
      <c r="B370" s="40">
        <v>3.9220821185603296</v>
      </c>
      <c r="C370" s="40">
        <v>3.8148749999999993</v>
      </c>
      <c r="D370" s="40">
        <v>3.4923595068861419</v>
      </c>
      <c r="M370" s="117" t="s">
        <v>395</v>
      </c>
      <c r="N370" s="40">
        <v>2.6300132369593099</v>
      </c>
      <c r="O370" s="40">
        <v>1.4052639031494674</v>
      </c>
    </row>
    <row r="371" spans="1:15">
      <c r="A371" s="117" t="s">
        <v>399</v>
      </c>
      <c r="B371" s="40">
        <v>3.8922805639705458</v>
      </c>
      <c r="C371" s="40">
        <v>3.846625</v>
      </c>
      <c r="D371" s="40">
        <v>3.4923595068861419</v>
      </c>
      <c r="M371" s="117" t="s">
        <v>396</v>
      </c>
      <c r="N371" s="40">
        <v>2.5822903724603399</v>
      </c>
      <c r="O371" s="40">
        <v>1.4107248836313966</v>
      </c>
    </row>
    <row r="372" spans="1:15">
      <c r="A372" s="117" t="s">
        <v>400</v>
      </c>
      <c r="B372" s="40">
        <v>3.919326206996113</v>
      </c>
      <c r="C372" s="40">
        <v>3.846625</v>
      </c>
      <c r="D372" s="40">
        <v>3.4923595068861419</v>
      </c>
      <c r="M372" s="117" t="s">
        <v>397</v>
      </c>
      <c r="N372" s="40">
        <v>2.5646426996598599</v>
      </c>
      <c r="O372" s="40">
        <v>1.3983649824145301</v>
      </c>
    </row>
    <row r="373" spans="1:15">
      <c r="A373" s="117" t="s">
        <v>401</v>
      </c>
      <c r="B373" s="40">
        <v>3.9306686731370073</v>
      </c>
      <c r="C373" s="40">
        <v>3.8148749999999993</v>
      </c>
      <c r="D373" s="40">
        <v>3.4814705304459057</v>
      </c>
      <c r="M373" s="117" t="s">
        <v>420</v>
      </c>
      <c r="N373" s="40">
        <v>2.6083213948699102</v>
      </c>
      <c r="O373" s="40">
        <v>1.3983649824145301</v>
      </c>
    </row>
    <row r="374" spans="1:15">
      <c r="A374" s="117" t="s">
        <v>402</v>
      </c>
      <c r="B374" s="40">
        <v>3.9074511348480598</v>
      </c>
      <c r="C374" s="40">
        <v>3.7829999999999995</v>
      </c>
      <c r="D374" s="40">
        <v>3.4814705304459057</v>
      </c>
      <c r="M374" s="117" t="s">
        <v>398</v>
      </c>
      <c r="N374" s="40">
        <v>2.5475265739167301</v>
      </c>
      <c r="O374" s="40">
        <v>1.3745555446435995</v>
      </c>
    </row>
    <row r="375" spans="1:15">
      <c r="A375" s="117" t="s">
        <v>403</v>
      </c>
      <c r="B375" s="40">
        <v>3.9284827187605211</v>
      </c>
      <c r="C375" s="40">
        <v>4.2052500000000004</v>
      </c>
      <c r="D375" s="40">
        <v>3.4814705304459057</v>
      </c>
      <c r="M375" s="117" t="s">
        <v>399</v>
      </c>
      <c r="N375" s="40">
        <v>2.55214527077672</v>
      </c>
      <c r="O375" s="40">
        <v>1.3401352931938257</v>
      </c>
    </row>
    <row r="376" spans="1:15">
      <c r="A376" s="117" t="s">
        <v>404</v>
      </c>
      <c r="B376" s="40">
        <v>3.923296465715076</v>
      </c>
      <c r="C376" s="40">
        <v>3.7829999999999995</v>
      </c>
      <c r="D376" s="40">
        <v>3.4814705304459057</v>
      </c>
      <c r="M376" s="117" t="s">
        <v>400</v>
      </c>
      <c r="N376" s="40">
        <v>2.5164663859594998</v>
      </c>
      <c r="O376" s="40">
        <v>1.4028598210366134</v>
      </c>
    </row>
    <row r="377" spans="1:15">
      <c r="A377" s="117" t="s">
        <v>405</v>
      </c>
      <c r="B377" s="40">
        <v>3.9537132333470422</v>
      </c>
      <c r="C377" s="40">
        <v>3.7829999999999995</v>
      </c>
      <c r="D377" s="40">
        <v>3.3975493725819845</v>
      </c>
      <c r="M377" s="117" t="s">
        <v>401</v>
      </c>
      <c r="N377" s="40">
        <v>2.5169224725100698</v>
      </c>
      <c r="O377" s="40">
        <v>1.413746200626937</v>
      </c>
    </row>
    <row r="378" spans="1:15">
      <c r="A378" s="117" t="s">
        <v>406</v>
      </c>
      <c r="B378" s="40">
        <v>3.9507542925733383</v>
      </c>
      <c r="C378" s="40">
        <v>3.7829999999999995</v>
      </c>
      <c r="D378" s="40">
        <v>3.3975493725819845</v>
      </c>
      <c r="M378" s="117" t="s">
        <v>402</v>
      </c>
      <c r="N378" s="40">
        <v>2.5026837288081998</v>
      </c>
      <c r="O378" s="40">
        <v>1.4047674060398603</v>
      </c>
    </row>
    <row r="379" spans="1:15">
      <c r="A379" s="117" t="s">
        <v>407</v>
      </c>
      <c r="B379" s="40">
        <v>3.9470562914038414</v>
      </c>
      <c r="C379" s="40">
        <v>3.8148749999999993</v>
      </c>
      <c r="D379" s="40">
        <v>3.3975493725819845</v>
      </c>
      <c r="M379" s="117" t="s">
        <v>403</v>
      </c>
      <c r="N379" s="40">
        <v>2.5182072919323999</v>
      </c>
      <c r="O379" s="40">
        <v>1.4102754268281212</v>
      </c>
    </row>
    <row r="380" spans="1:15">
      <c r="A380" s="117" t="s">
        <v>408</v>
      </c>
      <c r="B380" s="40">
        <v>3.9403038499758609</v>
      </c>
      <c r="C380" s="40">
        <v>3.846625</v>
      </c>
      <c r="D380" s="40">
        <v>3.4814705304459057</v>
      </c>
      <c r="M380" s="117" t="s">
        <v>404</v>
      </c>
      <c r="N380" s="40">
        <v>2.5137546946134099</v>
      </c>
      <c r="O380" s="40">
        <v>1.4095417711016662</v>
      </c>
    </row>
    <row r="381" spans="1:15">
      <c r="A381" s="117" t="s">
        <v>409</v>
      </c>
      <c r="B381" s="40">
        <v>4.0293294521374783</v>
      </c>
      <c r="C381" s="40">
        <v>3.91025</v>
      </c>
      <c r="D381" s="40">
        <v>3.4923595068861419</v>
      </c>
      <c r="M381" s="117" t="s">
        <v>405</v>
      </c>
      <c r="N381" s="40">
        <v>2.5257961096675898</v>
      </c>
      <c r="O381" s="40">
        <v>1.4279171236794526</v>
      </c>
    </row>
    <row r="382" spans="1:15">
      <c r="A382" s="117" t="s">
        <v>410</v>
      </c>
      <c r="B382" s="40">
        <v>4.0309857666496489</v>
      </c>
      <c r="C382" s="40">
        <v>3.9742500000000001</v>
      </c>
      <c r="D382" s="40">
        <v>3.6071359947299859</v>
      </c>
      <c r="M382" s="117" t="s">
        <v>406</v>
      </c>
      <c r="N382" s="40">
        <v>2.4834878565514402</v>
      </c>
      <c r="O382" s="40">
        <v>1.4672664360218979</v>
      </c>
    </row>
    <row r="383" spans="1:15">
      <c r="A383" s="117" t="s">
        <v>411</v>
      </c>
      <c r="B383" s="40">
        <v>4.0131383952141206</v>
      </c>
      <c r="C383" s="40">
        <v>3.9425000000000003</v>
      </c>
      <c r="D383" s="40">
        <v>3.6071359947299859</v>
      </c>
      <c r="M383" s="117" t="s">
        <v>407</v>
      </c>
      <c r="N383" s="40">
        <v>2.5243153261906799</v>
      </c>
      <c r="O383" s="40">
        <v>1.4227409652131613</v>
      </c>
    </row>
    <row r="384" spans="1:15">
      <c r="A384" s="117" t="s">
        <v>412</v>
      </c>
      <c r="B384" s="40">
        <v>4.0040799611668039</v>
      </c>
      <c r="C384" s="40">
        <v>3.9425000000000003</v>
      </c>
      <c r="D384" s="40">
        <v>3.6071359947299859</v>
      </c>
      <c r="M384" s="117" t="s">
        <v>408</v>
      </c>
      <c r="N384" s="40">
        <v>2.5507411556917998</v>
      </c>
      <c r="O384" s="40">
        <v>1.3895626942840609</v>
      </c>
    </row>
    <row r="385" spans="1:15">
      <c r="A385" s="117" t="s">
        <v>413</v>
      </c>
      <c r="B385" s="40">
        <v>4.0092361942256129</v>
      </c>
      <c r="C385" s="40">
        <v>3.9425000000000003</v>
      </c>
      <c r="D385" s="40">
        <v>3.6071359947299859</v>
      </c>
      <c r="M385" s="117" t="s">
        <v>409</v>
      </c>
      <c r="N385" s="40">
        <v>2.6588027556734102</v>
      </c>
      <c r="O385" s="40">
        <v>1.3705266964640681</v>
      </c>
    </row>
    <row r="386" spans="1:15">
      <c r="A386" s="117" t="s">
        <v>414</v>
      </c>
      <c r="B386" s="40">
        <v>4.0437033300341003</v>
      </c>
      <c r="C386" s="40">
        <v>3.9425000000000003</v>
      </c>
      <c r="D386" s="40">
        <v>3.618437237264184</v>
      </c>
      <c r="M386" s="117" t="s">
        <v>410</v>
      </c>
      <c r="N386" s="40">
        <v>2.61087975726997</v>
      </c>
      <c r="O386" s="40">
        <v>1.4201060093796789</v>
      </c>
    </row>
    <row r="387" spans="1:15">
      <c r="A387" s="117" t="s">
        <v>415</v>
      </c>
      <c r="B387" s="40">
        <v>4.031273670683043</v>
      </c>
      <c r="C387" s="40">
        <v>3.9425000000000003</v>
      </c>
      <c r="D387" s="40">
        <v>3.618437237264184</v>
      </c>
      <c r="M387" s="117" t="s">
        <v>411</v>
      </c>
      <c r="N387" s="40">
        <v>2.6144990771795702</v>
      </c>
      <c r="O387" s="40">
        <v>1.3986393180345504</v>
      </c>
    </row>
    <row r="388" spans="1:15">
      <c r="A388" s="117" t="s">
        <v>429</v>
      </c>
      <c r="B388" s="40">
        <v>4.0356767394780269</v>
      </c>
      <c r="C388" s="40">
        <v>3.9425000000000003</v>
      </c>
      <c r="D388" s="40">
        <v>3.6071359947299859</v>
      </c>
      <c r="M388" s="117" t="s">
        <v>412</v>
      </c>
      <c r="N388" s="40">
        <v>2.6073788484172402</v>
      </c>
      <c r="O388" s="40">
        <v>1.3967011127495641</v>
      </c>
    </row>
    <row r="389" spans="1:15">
      <c r="A389" s="117" t="s">
        <v>430</v>
      </c>
      <c r="B389" s="40">
        <v>4.0661354815851443</v>
      </c>
      <c r="C389" s="40">
        <v>3.9742500000000001</v>
      </c>
      <c r="D389" s="40">
        <v>3.618437237264184</v>
      </c>
      <c r="M389" s="117" t="s">
        <v>413</v>
      </c>
      <c r="N389" s="40">
        <v>2.6240146186215201</v>
      </c>
      <c r="O389" s="40">
        <v>1.3852215756040926</v>
      </c>
    </row>
    <row r="390" spans="1:15">
      <c r="A390" s="117" t="s">
        <v>431</v>
      </c>
      <c r="B390" s="40">
        <v>4.0207114495073641</v>
      </c>
      <c r="C390" s="40">
        <v>3.91025</v>
      </c>
      <c r="D390" s="40">
        <v>3.5235928402194752</v>
      </c>
      <c r="M390" s="117" t="s">
        <v>414</v>
      </c>
      <c r="N390" s="40">
        <v>2.6451164330337602</v>
      </c>
      <c r="O390" s="40">
        <v>1.3985868970003403</v>
      </c>
    </row>
    <row r="391" spans="1:15">
      <c r="A391" s="117" t="s">
        <v>432</v>
      </c>
      <c r="B391" s="40">
        <v>4.0686187993958525</v>
      </c>
      <c r="C391" s="40">
        <v>3.9742500000000001</v>
      </c>
      <c r="D391" s="40">
        <v>3.6071359947299859</v>
      </c>
      <c r="M391" s="117" t="s">
        <v>415</v>
      </c>
      <c r="N391" s="40">
        <v>2.59920787607486</v>
      </c>
      <c r="O391" s="40">
        <v>1.432065794608183</v>
      </c>
    </row>
    <row r="392" spans="1:15">
      <c r="A392" s="117" t="s">
        <v>433</v>
      </c>
      <c r="B392" s="40">
        <v>3.9137860053583422</v>
      </c>
      <c r="C392" s="40">
        <v>3.91025</v>
      </c>
      <c r="D392" s="40">
        <v>3.4923595068861419</v>
      </c>
      <c r="M392" s="117" t="s">
        <v>429</v>
      </c>
      <c r="N392" s="40">
        <v>2.6025934291599802</v>
      </c>
      <c r="O392" s="40">
        <v>1.4330833103180467</v>
      </c>
    </row>
    <row r="393" spans="1:15">
      <c r="A393" s="117" t="s">
        <v>434</v>
      </c>
      <c r="B393" s="40">
        <v>3.9120998723970972</v>
      </c>
      <c r="C393" s="40">
        <v>3.8784999999999998</v>
      </c>
      <c r="D393" s="40">
        <v>3.4923595068861419</v>
      </c>
      <c r="M393" s="117" t="s">
        <v>430</v>
      </c>
      <c r="N393" s="40">
        <v>2.5912536258674699</v>
      </c>
      <c r="O393" s="40">
        <v>1.474881855717675</v>
      </c>
    </row>
    <row r="394" spans="1:15">
      <c r="A394" s="117" t="s">
        <v>435</v>
      </c>
      <c r="B394" s="40">
        <v>3.9052197903399115</v>
      </c>
      <c r="C394" s="40">
        <v>3.8784999999999998</v>
      </c>
      <c r="D394" s="40">
        <v>3.4923595068861419</v>
      </c>
      <c r="M394" s="117" t="s">
        <v>431</v>
      </c>
      <c r="N394" s="40">
        <v>2.6061508171936398</v>
      </c>
      <c r="O394" s="40">
        <v>1.4145606323137245</v>
      </c>
    </row>
    <row r="395" spans="1:15">
      <c r="A395" s="117" t="s">
        <v>436</v>
      </c>
      <c r="B395" s="40">
        <v>3.9044779706784922</v>
      </c>
      <c r="C395" s="40">
        <v>4.2359999999999998</v>
      </c>
      <c r="D395" s="40">
        <v>3.4923595068861419</v>
      </c>
      <c r="M395" s="117" t="s">
        <v>432</v>
      </c>
      <c r="N395" s="40">
        <v>2.5951614206570599</v>
      </c>
      <c r="O395" s="40">
        <v>1.4734573787387928</v>
      </c>
    </row>
    <row r="396" spans="1:15">
      <c r="A396" s="117" t="s">
        <v>437</v>
      </c>
      <c r="B396" s="40">
        <v>3.9008562847662183</v>
      </c>
      <c r="C396" s="40">
        <v>3.8784999999999998</v>
      </c>
      <c r="D396" s="40">
        <v>3.4923595068861419</v>
      </c>
      <c r="M396" s="117" t="s">
        <v>433</v>
      </c>
      <c r="N396" s="40">
        <v>2.50110738001568</v>
      </c>
      <c r="O396" s="40">
        <v>1.4126786253426622</v>
      </c>
    </row>
    <row r="397" spans="1:15">
      <c r="A397" s="117" t="s">
        <v>438</v>
      </c>
      <c r="B397" s="40">
        <v>3.8949222566362791</v>
      </c>
      <c r="C397" s="40">
        <v>3.8784999999999998</v>
      </c>
      <c r="D397" s="40">
        <v>3.4923595068861419</v>
      </c>
      <c r="M397" s="117" t="s">
        <v>434</v>
      </c>
      <c r="N397" s="40">
        <v>2.50890733570674</v>
      </c>
      <c r="O397" s="40">
        <v>1.4031925366903568</v>
      </c>
    </row>
    <row r="398" spans="1:15">
      <c r="A398" s="117" t="s">
        <v>439</v>
      </c>
      <c r="B398" s="40">
        <v>3.871502850923815</v>
      </c>
      <c r="C398" s="40">
        <v>3.8784999999999998</v>
      </c>
      <c r="D398" s="40">
        <v>3.4923595068861419</v>
      </c>
      <c r="M398" s="117" t="s">
        <v>435</v>
      </c>
      <c r="N398" s="40">
        <v>2.5084011199927301</v>
      </c>
      <c r="O398" s="40">
        <v>1.3968186703471814</v>
      </c>
    </row>
    <row r="399" spans="1:15">
      <c r="A399" s="117" t="s">
        <v>440</v>
      </c>
      <c r="B399" s="40">
        <v>3.8454340726026541</v>
      </c>
      <c r="C399" s="40">
        <v>3.8784999999999998</v>
      </c>
      <c r="D399" s="40">
        <v>3.4923595068861419</v>
      </c>
      <c r="M399" s="117" t="s">
        <v>436</v>
      </c>
      <c r="N399" s="40">
        <v>2.5005077726390401</v>
      </c>
      <c r="O399" s="40">
        <v>1.4039701980394521</v>
      </c>
    </row>
    <row r="400" spans="1:15">
      <c r="A400" s="117" t="s">
        <v>441</v>
      </c>
      <c r="B400" s="40">
        <v>3.8811744970332458</v>
      </c>
      <c r="C400" s="40">
        <v>4.1180000000000003</v>
      </c>
      <c r="D400" s="40">
        <v>3.6486727389870555</v>
      </c>
      <c r="M400" s="117" t="s">
        <v>437</v>
      </c>
      <c r="N400" s="40">
        <v>2.4857330932558601</v>
      </c>
      <c r="O400" s="40">
        <v>1.4151231915103581</v>
      </c>
    </row>
    <row r="401" spans="1:15">
      <c r="A401" s="117" t="s">
        <v>442</v>
      </c>
      <c r="B401" s="40">
        <v>3.8387347094910438</v>
      </c>
      <c r="C401" s="40">
        <v>3.846625</v>
      </c>
      <c r="D401" s="40">
        <v>3.4923595068861419</v>
      </c>
      <c r="M401" s="117" t="s">
        <v>438</v>
      </c>
      <c r="N401" s="40">
        <v>2.4694934611032302</v>
      </c>
      <c r="O401" s="40">
        <v>1.4254287955330489</v>
      </c>
    </row>
    <row r="402" spans="1:15">
      <c r="A402" s="117" t="s">
        <v>443</v>
      </c>
      <c r="B402" s="40">
        <v>3.8387303384808189</v>
      </c>
      <c r="C402" s="40">
        <v>3.846625</v>
      </c>
      <c r="D402" s="40">
        <v>3.4923595068861419</v>
      </c>
      <c r="M402" s="117" t="s">
        <v>439</v>
      </c>
      <c r="N402" s="40">
        <v>2.45908468763596</v>
      </c>
      <c r="O402" s="40">
        <v>1.4124181632878554</v>
      </c>
    </row>
    <row r="403" spans="1:15">
      <c r="A403" s="117" t="s">
        <v>444</v>
      </c>
      <c r="B403" s="40">
        <v>3.9272089704690778</v>
      </c>
      <c r="C403" s="40">
        <v>3.8784999999999998</v>
      </c>
      <c r="D403" s="40">
        <v>3.5235928402194752</v>
      </c>
      <c r="M403" s="117" t="s">
        <v>440</v>
      </c>
      <c r="N403" s="40">
        <v>2.46769011076751</v>
      </c>
      <c r="O403" s="40">
        <v>1.3777439618351444</v>
      </c>
    </row>
    <row r="404" spans="1:15">
      <c r="A404" s="117" t="s">
        <v>445</v>
      </c>
      <c r="B404" s="40">
        <v>3.9065005298175031</v>
      </c>
      <c r="C404" s="40">
        <v>3.91025</v>
      </c>
      <c r="D404" s="40">
        <v>3.5235928402194752</v>
      </c>
      <c r="M404" s="117" t="s">
        <v>441</v>
      </c>
      <c r="N404" s="40">
        <v>2.45037012960805</v>
      </c>
      <c r="O404" s="40">
        <v>1.4308043674251958</v>
      </c>
    </row>
    <row r="405" spans="1:15">
      <c r="A405" s="117" t="s">
        <v>446</v>
      </c>
      <c r="B405" s="40">
        <v>3.9361773215624249</v>
      </c>
      <c r="C405" s="40">
        <v>3.91025</v>
      </c>
      <c r="D405" s="40">
        <v>3.6071359947299859</v>
      </c>
      <c r="M405" s="117" t="s">
        <v>442</v>
      </c>
      <c r="N405" s="40">
        <v>2.4315261347107602</v>
      </c>
      <c r="O405" s="40">
        <v>1.4072085747802836</v>
      </c>
    </row>
    <row r="406" spans="1:15">
      <c r="A406" s="117" t="s">
        <v>447</v>
      </c>
      <c r="B406" s="40">
        <v>3.9578753665427158</v>
      </c>
      <c r="C406" s="40">
        <v>3.91025</v>
      </c>
      <c r="D406" s="40">
        <v>3.6071359947299859</v>
      </c>
      <c r="M406" s="117" t="s">
        <v>443</v>
      </c>
      <c r="N406" s="40">
        <v>2.47900822312821</v>
      </c>
      <c r="O406" s="40">
        <v>1.3597221153526091</v>
      </c>
    </row>
    <row r="407" spans="1:15">
      <c r="A407" s="117" t="s">
        <v>448</v>
      </c>
      <c r="B407" s="40">
        <v>3.807177878234512</v>
      </c>
      <c r="C407" s="40">
        <v>3.7826249999999999</v>
      </c>
      <c r="D407" s="40">
        <v>3.4923595068861419</v>
      </c>
      <c r="M407" s="117" t="s">
        <v>444</v>
      </c>
      <c r="N407" s="40">
        <v>2.50328408923819</v>
      </c>
      <c r="O407" s="40">
        <v>1.4239248812308876</v>
      </c>
    </row>
    <row r="408" spans="1:15">
      <c r="A408" s="117" t="s">
        <v>449</v>
      </c>
      <c r="B408" s="40">
        <v>3.7969270572493343</v>
      </c>
      <c r="C408" s="40">
        <v>3.7508750000000002</v>
      </c>
      <c r="D408" s="40">
        <v>3.4923595068861419</v>
      </c>
      <c r="M408" s="117" t="s">
        <v>445</v>
      </c>
      <c r="N408" s="40">
        <v>2.5153297074650598</v>
      </c>
      <c r="O408" s="40">
        <v>1.3911708223524433</v>
      </c>
    </row>
    <row r="409" spans="1:15">
      <c r="A409" s="117" t="s">
        <v>450</v>
      </c>
      <c r="B409" s="40">
        <v>3.7853043572048395</v>
      </c>
      <c r="C409" s="40">
        <v>3.7508750000000002</v>
      </c>
      <c r="D409" s="40">
        <v>3.4923595068861419</v>
      </c>
      <c r="M409" s="117" t="s">
        <v>446</v>
      </c>
      <c r="N409" s="40">
        <v>2.51044994669209</v>
      </c>
      <c r="O409" s="40">
        <v>1.4257273748703347</v>
      </c>
    </row>
    <row r="410" spans="1:15">
      <c r="A410" s="117" t="s">
        <v>451</v>
      </c>
      <c r="B410" s="40">
        <v>3.8046794063152904</v>
      </c>
      <c r="C410" s="40">
        <v>3.7826249999999999</v>
      </c>
      <c r="D410" s="40">
        <v>3.4923595068861419</v>
      </c>
      <c r="M410" s="117" t="s">
        <v>447</v>
      </c>
      <c r="N410" s="40">
        <v>2.5328661525509899</v>
      </c>
      <c r="O410" s="40">
        <v>1.4250092139917259</v>
      </c>
    </row>
    <row r="411" spans="1:15">
      <c r="A411" s="117" t="s">
        <v>452</v>
      </c>
      <c r="B411" s="40">
        <v>3.8091581035980697</v>
      </c>
      <c r="C411" s="40">
        <v>3.7826249999999999</v>
      </c>
      <c r="D411" s="40">
        <v>3.4923595068861419</v>
      </c>
      <c r="M411" s="117" t="s">
        <v>448</v>
      </c>
      <c r="N411" s="40">
        <v>2.42238784637689</v>
      </c>
      <c r="O411" s="40">
        <v>1.3847900318576221</v>
      </c>
    </row>
    <row r="412" spans="1:15">
      <c r="A412" s="117" t="s">
        <v>453</v>
      </c>
      <c r="B412" s="40">
        <v>3.776535097064357</v>
      </c>
      <c r="C412" s="40">
        <v>3.7190000000000003</v>
      </c>
      <c r="D412" s="40">
        <v>3.4923595068861419</v>
      </c>
      <c r="M412" s="117" t="s">
        <v>449</v>
      </c>
      <c r="N412" s="40">
        <v>2.28975271762293</v>
      </c>
      <c r="O412" s="40">
        <v>1.5071743396264043</v>
      </c>
    </row>
    <row r="413" spans="1:15">
      <c r="A413" s="117" t="s">
        <v>454</v>
      </c>
      <c r="B413" s="40">
        <v>3.7391400860513953</v>
      </c>
      <c r="C413" s="40">
        <v>3.6550000000000007</v>
      </c>
      <c r="D413" s="40">
        <v>3.4923595068861419</v>
      </c>
      <c r="M413" s="117" t="s">
        <v>450</v>
      </c>
      <c r="N413" s="40">
        <v>2.2924928729045799</v>
      </c>
      <c r="O413" s="40">
        <v>1.4928114843002596</v>
      </c>
    </row>
    <row r="414" spans="1:15">
      <c r="A414" s="117" t="s">
        <v>455</v>
      </c>
      <c r="B414" s="40">
        <v>3.6867303035583063</v>
      </c>
      <c r="C414" s="40">
        <v>3.6232500000000001</v>
      </c>
      <c r="D414" s="40">
        <v>3.4814705304459057</v>
      </c>
      <c r="M414" s="117" t="s">
        <v>451</v>
      </c>
      <c r="N414" s="40">
        <v>2.2865529695176998</v>
      </c>
      <c r="O414" s="40">
        <v>1.5181264367975902</v>
      </c>
    </row>
    <row r="415" spans="1:15">
      <c r="A415" s="117" t="s">
        <v>456</v>
      </c>
      <c r="B415" s="40">
        <v>3.7421073431134371</v>
      </c>
      <c r="C415" s="40">
        <v>3.7190000000000003</v>
      </c>
      <c r="D415" s="40">
        <v>3.5235928402194752</v>
      </c>
      <c r="M415" s="117" t="s">
        <v>452</v>
      </c>
      <c r="N415" s="40">
        <v>2.2474863691242</v>
      </c>
      <c r="O415" s="40">
        <v>1.5616717344738698</v>
      </c>
    </row>
    <row r="416" spans="1:15">
      <c r="A416" s="117" t="s">
        <v>457</v>
      </c>
      <c r="B416" s="40">
        <v>3.740602392042486</v>
      </c>
      <c r="C416" s="40">
        <v>3.7190000000000003</v>
      </c>
      <c r="D416" s="40">
        <v>3.5235928402194752</v>
      </c>
      <c r="M416" s="117" t="s">
        <v>453</v>
      </c>
      <c r="N416" s="40">
        <v>2.2397995226071998</v>
      </c>
      <c r="O416" s="40">
        <v>1.5367355744571571</v>
      </c>
    </row>
    <row r="417" spans="1:15">
      <c r="A417" s="117" t="s">
        <v>458</v>
      </c>
      <c r="B417" s="40">
        <v>3.7914461353911935</v>
      </c>
      <c r="C417" s="40">
        <v>3.7508750000000002</v>
      </c>
      <c r="D417" s="40">
        <v>3.6071359947299859</v>
      </c>
      <c r="M417" s="117" t="s">
        <v>454</v>
      </c>
      <c r="N417" s="40">
        <v>2.1596234413025202</v>
      </c>
      <c r="O417" s="40">
        <v>1.5795166447488749</v>
      </c>
    </row>
    <row r="418" spans="1:15">
      <c r="A418" s="117" t="s">
        <v>459</v>
      </c>
      <c r="B418" s="40">
        <v>3.7907632318209141</v>
      </c>
      <c r="C418" s="40">
        <v>3.7190000000000003</v>
      </c>
      <c r="D418" s="40">
        <v>3.5235928402194752</v>
      </c>
      <c r="M418" s="117" t="s">
        <v>455</v>
      </c>
      <c r="N418" s="40">
        <v>2.19882717699562</v>
      </c>
      <c r="O418" s="40">
        <v>1.4879031265626859</v>
      </c>
    </row>
    <row r="419" spans="1:15">
      <c r="A419" s="117" t="s">
        <v>460</v>
      </c>
      <c r="B419" s="40">
        <v>3.7990254598960074</v>
      </c>
      <c r="C419" s="40">
        <v>3.7508750000000002</v>
      </c>
      <c r="D419" s="40">
        <v>3.6071359947299859</v>
      </c>
      <c r="M419" s="117" t="s">
        <v>456</v>
      </c>
      <c r="N419" s="40">
        <v>2.2327355208775002</v>
      </c>
      <c r="O419" s="40">
        <v>1.5093718222359371</v>
      </c>
    </row>
    <row r="420" spans="1:15">
      <c r="A420" s="117" t="s">
        <v>461</v>
      </c>
      <c r="B420" s="40">
        <v>3.790769870378683</v>
      </c>
      <c r="C420" s="40">
        <v>3.7508750000000002</v>
      </c>
      <c r="D420" s="40">
        <v>3.618437237264184</v>
      </c>
      <c r="M420" s="117" t="s">
        <v>746</v>
      </c>
      <c r="N420" s="40">
        <v>2.22171317291324</v>
      </c>
      <c r="O420" s="40">
        <v>1.5093718222359371</v>
      </c>
    </row>
    <row r="421" spans="1:15">
      <c r="A421" s="117" t="s">
        <v>462</v>
      </c>
      <c r="B421" s="40">
        <v>3.7867122767736472</v>
      </c>
      <c r="C421" s="40">
        <v>3.7518749999999996</v>
      </c>
      <c r="D421" s="40">
        <v>3.6187039039308506</v>
      </c>
      <c r="M421" s="117" t="s">
        <v>457</v>
      </c>
      <c r="N421" s="40">
        <v>2.2498836736013899</v>
      </c>
      <c r="O421" s="40">
        <v>1.4907187184410962</v>
      </c>
    </row>
    <row r="422" spans="1:15">
      <c r="A422" s="117" t="s">
        <v>463</v>
      </c>
      <c r="B422" s="40">
        <v>3.7832956279176626</v>
      </c>
      <c r="C422" s="40">
        <v>3.7518749999999996</v>
      </c>
      <c r="D422" s="40">
        <v>3.6187039039308506</v>
      </c>
      <c r="M422" s="117" t="s">
        <v>458</v>
      </c>
      <c r="N422" s="40">
        <v>2.3035973514028201</v>
      </c>
      <c r="O422" s="40">
        <v>1.4878487839883734</v>
      </c>
    </row>
    <row r="423" spans="1:15">
      <c r="A423" s="117" t="s">
        <v>464</v>
      </c>
      <c r="B423" s="40">
        <v>3.7868226056383221</v>
      </c>
      <c r="C423" s="40">
        <v>3.7199999999999998</v>
      </c>
      <c r="D423" s="40">
        <v>3.6187039039308506</v>
      </c>
      <c r="M423" s="117" t="s">
        <v>459</v>
      </c>
      <c r="N423" s="40">
        <v>2.2780835111266402</v>
      </c>
      <c r="O423" s="40">
        <v>1.5126797206942739</v>
      </c>
    </row>
    <row r="424" spans="1:15">
      <c r="A424" s="117" t="s">
        <v>465</v>
      </c>
      <c r="B424" s="40">
        <v>3.8193731727030489</v>
      </c>
      <c r="C424" s="40">
        <v>3.7518749999999996</v>
      </c>
      <c r="D424" s="40">
        <v>3.6499372372641843</v>
      </c>
      <c r="M424" s="117" t="s">
        <v>460</v>
      </c>
      <c r="N424" s="40">
        <v>2.3132728669173401</v>
      </c>
      <c r="O424" s="40">
        <v>1.4857525929786672</v>
      </c>
    </row>
    <row r="425" spans="1:15">
      <c r="A425" s="117" t="s">
        <v>466</v>
      </c>
      <c r="B425" s="40">
        <v>3.8038669652215038</v>
      </c>
      <c r="C425" s="40">
        <v>3.7836249999999993</v>
      </c>
      <c r="D425" s="40">
        <v>3.6499372372641843</v>
      </c>
      <c r="M425" s="117" t="s">
        <v>461</v>
      </c>
      <c r="N425" s="40">
        <v>2.3587572487332702</v>
      </c>
      <c r="O425" s="40">
        <v>1.4320126216454128</v>
      </c>
    </row>
    <row r="426" spans="1:15">
      <c r="A426" s="117" t="s">
        <v>467</v>
      </c>
      <c r="B426" s="40">
        <v>3.7871809437405908</v>
      </c>
      <c r="C426" s="40">
        <v>3.7836249999999993</v>
      </c>
      <c r="D426" s="40">
        <v>3.6187039039308506</v>
      </c>
      <c r="M426" s="117" t="s">
        <v>462</v>
      </c>
      <c r="N426" s="40">
        <v>2.3547084525242998</v>
      </c>
      <c r="O426" s="40">
        <v>1.4320038242493474</v>
      </c>
    </row>
    <row r="427" spans="1:15">
      <c r="A427" s="117" t="s">
        <v>468</v>
      </c>
      <c r="B427" s="40">
        <v>3.8070067438282713</v>
      </c>
      <c r="C427" s="40">
        <v>3.7836249999999993</v>
      </c>
      <c r="D427" s="40">
        <v>3.6187039039308506</v>
      </c>
      <c r="M427" s="117" t="s">
        <v>463</v>
      </c>
      <c r="N427" s="40">
        <v>2.3280330351195899</v>
      </c>
      <c r="O427" s="40">
        <v>1.4552625927980722</v>
      </c>
    </row>
    <row r="428" spans="1:15">
      <c r="A428" s="117" t="s">
        <v>469</v>
      </c>
      <c r="B428" s="40">
        <v>3.8427662988437516</v>
      </c>
      <c r="C428" s="40">
        <v>3.8794999999999997</v>
      </c>
      <c r="D428" s="40">
        <v>3.6187039039308506</v>
      </c>
      <c r="M428" s="117" t="s">
        <v>464</v>
      </c>
      <c r="N428" s="40">
        <v>2.34677807026147</v>
      </c>
      <c r="O428" s="40">
        <v>1.4400445353768521</v>
      </c>
    </row>
    <row r="429" spans="1:15">
      <c r="A429" s="117" t="s">
        <v>470</v>
      </c>
      <c r="B429" s="40">
        <v>3.780236029255581</v>
      </c>
      <c r="C429" s="40">
        <v>3.7518749999999996</v>
      </c>
      <c r="D429" s="40">
        <v>3.6074026613966526</v>
      </c>
      <c r="M429" s="117" t="s">
        <v>465</v>
      </c>
      <c r="N429" s="40">
        <v>2.3508657378420699</v>
      </c>
      <c r="O429" s="40">
        <v>1.4685074348609786</v>
      </c>
    </row>
    <row r="430" spans="1:15">
      <c r="A430" s="117" t="s">
        <v>471</v>
      </c>
      <c r="B430" s="40">
        <v>3.7618168905284421</v>
      </c>
      <c r="C430" s="40">
        <v>3.6560000000000001</v>
      </c>
      <c r="D430" s="40">
        <v>3.5238595068861422</v>
      </c>
      <c r="M430" s="117" t="s">
        <v>466</v>
      </c>
      <c r="N430" s="40">
        <v>2.3723679310859498</v>
      </c>
      <c r="O430" s="40">
        <v>1.4314990341355542</v>
      </c>
    </row>
    <row r="431" spans="1:15">
      <c r="A431" s="117" t="s">
        <v>472</v>
      </c>
      <c r="B431" s="40">
        <v>3.7388143730808849</v>
      </c>
      <c r="C431" s="40">
        <v>3.6242500000000004</v>
      </c>
      <c r="D431" s="40">
        <v>3.5238595068861422</v>
      </c>
      <c r="M431" s="117" t="s">
        <v>467</v>
      </c>
      <c r="N431" s="40">
        <v>2.3827340297619202</v>
      </c>
      <c r="O431" s="40">
        <v>1.4044469139786706</v>
      </c>
    </row>
    <row r="432" spans="1:15">
      <c r="A432" s="117" t="s">
        <v>473</v>
      </c>
      <c r="B432" s="40">
        <v>3.7748263546450138</v>
      </c>
      <c r="C432" s="40">
        <v>3.7199999999999998</v>
      </c>
      <c r="D432" s="40">
        <v>3.6074026613966526</v>
      </c>
      <c r="M432" s="117" t="s">
        <v>468</v>
      </c>
      <c r="N432" s="40">
        <v>2.3913145424010498</v>
      </c>
      <c r="O432" s="40">
        <v>1.4156922014272217</v>
      </c>
    </row>
    <row r="433" spans="1:15">
      <c r="A433" s="117" t="s">
        <v>474</v>
      </c>
      <c r="B433" s="40">
        <v>3.7611102003399663</v>
      </c>
      <c r="C433" s="40">
        <v>3.7199999999999998</v>
      </c>
      <c r="D433" s="40">
        <v>3.4926261735528081</v>
      </c>
      <c r="M433" s="117" t="s">
        <v>469</v>
      </c>
      <c r="N433" s="40">
        <v>2.3415396621578699</v>
      </c>
      <c r="O433" s="40">
        <v>1.5012266366858813</v>
      </c>
    </row>
    <row r="434" spans="1:15">
      <c r="A434" s="117" t="s">
        <v>475</v>
      </c>
      <c r="B434" s="40">
        <v>3.7436342152014777</v>
      </c>
      <c r="C434" s="40">
        <v>3.6560000000000001</v>
      </c>
      <c r="D434" s="40">
        <v>3.4817371971125723</v>
      </c>
      <c r="M434" s="117" t="s">
        <v>470</v>
      </c>
      <c r="N434" s="40">
        <v>2.3214949111864098</v>
      </c>
      <c r="O434" s="40">
        <v>1.458741118069171</v>
      </c>
    </row>
    <row r="435" spans="1:15">
      <c r="A435" s="117" t="s">
        <v>476</v>
      </c>
      <c r="B435" s="40">
        <v>3.7541139765336813</v>
      </c>
      <c r="C435" s="40">
        <v>3.6242500000000004</v>
      </c>
      <c r="D435" s="40">
        <v>3.4817371971125723</v>
      </c>
      <c r="M435" s="117" t="s">
        <v>471</v>
      </c>
      <c r="N435" s="40">
        <v>2.2658760705109899</v>
      </c>
      <c r="O435" s="40">
        <v>1.4959408200174518</v>
      </c>
    </row>
    <row r="436" spans="1:15">
      <c r="A436" s="117" t="s">
        <v>477</v>
      </c>
      <c r="B436" s="40">
        <v>3.7767167865815257</v>
      </c>
      <c r="C436" s="40">
        <v>3.7199999999999998</v>
      </c>
      <c r="D436" s="40">
        <v>3.4926261735528081</v>
      </c>
      <c r="M436" s="117" t="s">
        <v>472</v>
      </c>
      <c r="N436" s="40">
        <v>2.2903256966230399</v>
      </c>
      <c r="O436" s="40">
        <v>1.4484886764578451</v>
      </c>
    </row>
    <row r="437" spans="1:15">
      <c r="A437" s="117" t="s">
        <v>478</v>
      </c>
      <c r="B437" s="40">
        <v>3.750598113719144</v>
      </c>
      <c r="C437" s="40">
        <v>3.7199999999999998</v>
      </c>
      <c r="D437" s="40">
        <v>3.4926261735528081</v>
      </c>
      <c r="M437" s="117" t="s">
        <v>473</v>
      </c>
      <c r="N437" s="40">
        <v>2.3285237865503698</v>
      </c>
      <c r="O437" s="40">
        <v>1.4463025680946437</v>
      </c>
    </row>
    <row r="438" spans="1:15">
      <c r="A438" s="117" t="s">
        <v>479</v>
      </c>
      <c r="B438" s="40">
        <v>3.7256671324216208</v>
      </c>
      <c r="C438" s="40">
        <v>3.6242500000000004</v>
      </c>
      <c r="D438" s="40">
        <v>3.3665827059153179</v>
      </c>
      <c r="M438" s="117" t="s">
        <v>474</v>
      </c>
      <c r="N438" s="40">
        <v>2.3355292606834301</v>
      </c>
      <c r="O438" s="40">
        <v>1.425580939656536</v>
      </c>
    </row>
    <row r="439" spans="1:15">
      <c r="A439" s="117" t="s">
        <v>480</v>
      </c>
      <c r="B439" s="40">
        <v>3.7620740849860148</v>
      </c>
      <c r="C439" s="40">
        <v>3.6242500000000004</v>
      </c>
      <c r="D439" s="40">
        <v>3.3665827059153179</v>
      </c>
      <c r="M439" s="117" t="s">
        <v>475</v>
      </c>
      <c r="N439" s="40">
        <v>2.2962196436559199</v>
      </c>
      <c r="O439" s="40">
        <v>1.4474145715455575</v>
      </c>
    </row>
    <row r="440" spans="1:15">
      <c r="A440" s="117" t="s">
        <v>481</v>
      </c>
      <c r="B440" s="40">
        <v>3.7414258180870346</v>
      </c>
      <c r="C440" s="40">
        <v>3.6560000000000001</v>
      </c>
      <c r="D440" s="40">
        <v>3.3665827059153179</v>
      </c>
      <c r="M440" s="117" t="s">
        <v>476</v>
      </c>
      <c r="N440" s="40">
        <v>2.36176289703742</v>
      </c>
      <c r="O440" s="40">
        <v>1.3923510794962612</v>
      </c>
    </row>
    <row r="441" spans="1:15">
      <c r="A441" s="117" t="s">
        <v>482</v>
      </c>
      <c r="B441" s="40">
        <v>3.7637129817625761</v>
      </c>
      <c r="C441" s="40">
        <v>3.7518749999999996</v>
      </c>
      <c r="D441" s="40">
        <v>3.3978160392486516</v>
      </c>
      <c r="M441" s="117" t="s">
        <v>477</v>
      </c>
      <c r="N441" s="40">
        <v>2.3691281963665198</v>
      </c>
      <c r="O441" s="40">
        <v>1.4075885902150056</v>
      </c>
    </row>
    <row r="442" spans="1:15">
      <c r="A442" s="117" t="s">
        <v>483</v>
      </c>
      <c r="B442" s="40">
        <v>3.7324393688753772</v>
      </c>
      <c r="C442" s="40">
        <v>3.6560000000000001</v>
      </c>
      <c r="D442" s="40">
        <v>3.3665827059153179</v>
      </c>
      <c r="M442" s="117" t="s">
        <v>478</v>
      </c>
      <c r="N442" s="40">
        <v>2.33119047788963</v>
      </c>
      <c r="O442" s="40">
        <v>1.4194076358295136</v>
      </c>
    </row>
    <row r="443" spans="1:15">
      <c r="A443" s="117" t="s">
        <v>484</v>
      </c>
      <c r="B443" s="40">
        <v>3.7422471902700436</v>
      </c>
      <c r="C443" s="40">
        <v>3.7199999999999998</v>
      </c>
      <c r="D443" s="40">
        <v>3.3665827059153179</v>
      </c>
      <c r="M443" s="117" t="s">
        <v>479</v>
      </c>
      <c r="N443" s="40">
        <v>2.2940770499801002</v>
      </c>
      <c r="O443" s="40">
        <v>1.4315900824415204</v>
      </c>
    </row>
    <row r="444" spans="1:15">
      <c r="A444" s="117" t="s">
        <v>485</v>
      </c>
      <c r="B444" s="40">
        <v>3.7630464356030382</v>
      </c>
      <c r="C444" s="40">
        <v>3.7518749999999996</v>
      </c>
      <c r="D444" s="40">
        <v>3.3560408342652157</v>
      </c>
      <c r="M444" s="117" t="s">
        <v>747</v>
      </c>
      <c r="N444" s="40">
        <v>2.3497760407358701</v>
      </c>
      <c r="O444" s="40">
        <v>1.4315900824415204</v>
      </c>
    </row>
    <row r="445" spans="1:15">
      <c r="A445" s="117" t="s">
        <v>486</v>
      </c>
      <c r="B445" s="40">
        <v>3.755369681958368</v>
      </c>
      <c r="C445" s="40">
        <v>3.7199999999999998</v>
      </c>
      <c r="D445" s="40">
        <v>3.3560408342652157</v>
      </c>
      <c r="M445" s="117" t="s">
        <v>748</v>
      </c>
      <c r="N445" s="40">
        <v>2.31461753479971</v>
      </c>
      <c r="O445" s="40">
        <v>1.4315900824415204</v>
      </c>
    </row>
    <row r="446" spans="1:15">
      <c r="A446" s="117" t="s">
        <v>487</v>
      </c>
      <c r="B446" s="40">
        <v>3.7287578174392468</v>
      </c>
      <c r="C446" s="40">
        <v>3.7199999999999998</v>
      </c>
      <c r="D446" s="40">
        <v>3.3560408342652157</v>
      </c>
      <c r="M446" s="117" t="s">
        <v>480</v>
      </c>
      <c r="N446" s="40">
        <v>2.34200914311478</v>
      </c>
      <c r="O446" s="40">
        <v>1.4200649418712348</v>
      </c>
    </row>
    <row r="447" spans="1:15">
      <c r="A447" s="117" t="s">
        <v>488</v>
      </c>
      <c r="B447" s="40">
        <v>3.7713229212043409</v>
      </c>
      <c r="C447" s="40">
        <v>3.7518749999999996</v>
      </c>
      <c r="D447" s="40">
        <v>3.3665827059153179</v>
      </c>
      <c r="M447" s="117" t="s">
        <v>481</v>
      </c>
      <c r="N447" s="40">
        <v>2.35874720795284</v>
      </c>
      <c r="O447" s="40">
        <v>1.3826786101341946</v>
      </c>
    </row>
    <row r="448" spans="1:15">
      <c r="A448" s="117" t="s">
        <v>489</v>
      </c>
      <c r="B448" s="40">
        <v>3.7370492548043388</v>
      </c>
      <c r="C448" s="40">
        <v>3.7199999999999998</v>
      </c>
      <c r="D448" s="40">
        <v>3.3560408342652157</v>
      </c>
      <c r="M448" s="117" t="s">
        <v>482</v>
      </c>
      <c r="N448" s="40">
        <v>2.34960598186067</v>
      </c>
      <c r="O448" s="40">
        <v>1.414106999901906</v>
      </c>
    </row>
    <row r="449" spans="1:15">
      <c r="A449" s="117" t="s">
        <v>423</v>
      </c>
      <c r="B449" s="40">
        <v>3.7585994124693469</v>
      </c>
      <c r="C449" s="40">
        <v>3.7518749999999996</v>
      </c>
      <c r="D449" s="40">
        <v>3.3560408342652157</v>
      </c>
      <c r="M449" s="117" t="s">
        <v>483</v>
      </c>
      <c r="N449" s="40">
        <v>2.32201570653978</v>
      </c>
      <c r="O449" s="40">
        <v>1.4104236623355972</v>
      </c>
    </row>
    <row r="450" spans="1:15">
      <c r="A450" s="117" t="s">
        <v>490</v>
      </c>
      <c r="B450" s="40">
        <v>3.7935100513653062</v>
      </c>
      <c r="C450" s="40">
        <v>3.7199999999999998</v>
      </c>
      <c r="D450" s="40">
        <v>3.3665827059153179</v>
      </c>
      <c r="M450" s="117" t="s">
        <v>484</v>
      </c>
      <c r="N450" s="40">
        <v>2.3744079472292099</v>
      </c>
      <c r="O450" s="40">
        <v>1.3678392430408335</v>
      </c>
    </row>
    <row r="451" spans="1:15">
      <c r="A451" s="117" t="s">
        <v>491</v>
      </c>
      <c r="B451" s="40">
        <v>3.7262219609493643</v>
      </c>
      <c r="C451" s="40">
        <v>3.6242500000000004</v>
      </c>
      <c r="D451" s="40">
        <v>3.2717401437093376</v>
      </c>
      <c r="M451" s="117" t="s">
        <v>485</v>
      </c>
      <c r="N451" s="40">
        <v>2.35076611353908</v>
      </c>
      <c r="O451" s="40">
        <v>1.4122803220639581</v>
      </c>
    </row>
    <row r="452" spans="1:15">
      <c r="A452" s="117" t="s">
        <v>492</v>
      </c>
      <c r="B452" s="40">
        <v>3.7412580820205892</v>
      </c>
      <c r="C452" s="40">
        <v>3.6560000000000001</v>
      </c>
      <c r="D452" s="40">
        <v>3.2717401437093376</v>
      </c>
      <c r="M452" s="117" t="s">
        <v>486</v>
      </c>
      <c r="N452" s="40">
        <v>2.34539470834196</v>
      </c>
      <c r="O452" s="40">
        <v>1.4099749736164078</v>
      </c>
    </row>
    <row r="453" spans="1:15">
      <c r="A453" s="117" t="s">
        <v>493</v>
      </c>
      <c r="B453" s="40">
        <v>3.8452903400337068</v>
      </c>
      <c r="C453" s="40">
        <v>3.7836249999999993</v>
      </c>
      <c r="D453" s="40">
        <v>3.3665827059153179</v>
      </c>
      <c r="M453" s="117" t="s">
        <v>487</v>
      </c>
      <c r="N453" s="40">
        <v>2.3488178258811199</v>
      </c>
      <c r="O453" s="40">
        <v>1.3799399915581267</v>
      </c>
    </row>
    <row r="454" spans="1:15">
      <c r="A454" s="117" t="s">
        <v>494</v>
      </c>
      <c r="B454" s="40">
        <v>3.8492332370021209</v>
      </c>
      <c r="C454" s="40">
        <v>3.8794999999999997</v>
      </c>
      <c r="D454" s="40">
        <v>3.3665827059153179</v>
      </c>
      <c r="M454" s="117" t="s">
        <v>749</v>
      </c>
      <c r="N454" s="40">
        <v>2.35475537195207</v>
      </c>
      <c r="O454" s="40">
        <v>1.3799399915581267</v>
      </c>
    </row>
    <row r="455" spans="1:15">
      <c r="A455" s="117" t="s">
        <v>495</v>
      </c>
      <c r="B455" s="40">
        <v>3.8539349846939635</v>
      </c>
      <c r="C455" s="40">
        <v>3.7518749999999996</v>
      </c>
      <c r="D455" s="40">
        <v>3.3665827059153179</v>
      </c>
      <c r="M455" s="117" t="s">
        <v>750</v>
      </c>
      <c r="N455" s="40">
        <v>2.3971487906373001</v>
      </c>
      <c r="O455" s="40">
        <v>1.3799399915581267</v>
      </c>
    </row>
    <row r="456" spans="1:15">
      <c r="A456" s="117" t="s">
        <v>496</v>
      </c>
      <c r="B456" s="40">
        <v>3.8181862493046426</v>
      </c>
      <c r="C456" s="40">
        <v>3.7199999999999998</v>
      </c>
      <c r="D456" s="40">
        <v>3.3665827059153179</v>
      </c>
      <c r="M456" s="117" t="s">
        <v>488</v>
      </c>
      <c r="N456" s="40">
        <v>2.3636791601900198</v>
      </c>
      <c r="O456" s="40">
        <v>1.4076437610143209</v>
      </c>
    </row>
    <row r="457" spans="1:15">
      <c r="A457" s="117" t="s">
        <v>497</v>
      </c>
      <c r="B457" s="40">
        <v>3.8091728190187215</v>
      </c>
      <c r="C457" s="40">
        <v>3.7199999999999998</v>
      </c>
      <c r="D457" s="40">
        <v>3.3560408342652157</v>
      </c>
      <c r="M457" s="117" t="s">
        <v>489</v>
      </c>
      <c r="N457" s="40">
        <v>2.3673893775366199</v>
      </c>
      <c r="O457" s="40">
        <v>1.3696598772677189</v>
      </c>
    </row>
    <row r="458" spans="1:15">
      <c r="A458" s="117" t="s">
        <v>498</v>
      </c>
      <c r="B458" s="40">
        <v>3.8039059651503937</v>
      </c>
      <c r="C458" s="40">
        <v>3.7518749999999996</v>
      </c>
      <c r="D458" s="40">
        <v>3.3560408342652157</v>
      </c>
      <c r="M458" s="117" t="s">
        <v>423</v>
      </c>
      <c r="N458" s="40">
        <v>2.3666135397931098</v>
      </c>
      <c r="O458" s="40">
        <v>1.3919858726762371</v>
      </c>
    </row>
    <row r="459" spans="1:15">
      <c r="A459" s="117" t="s">
        <v>499</v>
      </c>
      <c r="B459" s="40">
        <v>3.8205124737128617</v>
      </c>
      <c r="C459" s="40">
        <v>3.7518749999999996</v>
      </c>
      <c r="D459" s="40">
        <v>3.3560408342652157</v>
      </c>
      <c r="M459" s="117" t="s">
        <v>490</v>
      </c>
      <c r="N459" s="40">
        <v>2.3803157009582701</v>
      </c>
      <c r="O459" s="40">
        <v>1.4131943504070361</v>
      </c>
    </row>
    <row r="460" spans="1:15">
      <c r="A460" s="117" t="s">
        <v>500</v>
      </c>
      <c r="B460" s="40">
        <v>3.8108019470411021</v>
      </c>
      <c r="C460" s="40">
        <v>3.7518749999999996</v>
      </c>
      <c r="D460" s="40">
        <v>3.3560408342652157</v>
      </c>
      <c r="M460" s="117" t="s">
        <v>751</v>
      </c>
      <c r="N460" s="40">
        <v>2.3963402358760302</v>
      </c>
      <c r="O460" s="40">
        <v>1.4131943504070361</v>
      </c>
    </row>
    <row r="461" spans="1:15">
      <c r="A461" s="117" t="s">
        <v>501</v>
      </c>
      <c r="B461" s="40">
        <v>3.8108019470411021</v>
      </c>
      <c r="C461" s="40">
        <v>3.7518749999999996</v>
      </c>
      <c r="D461" s="40">
        <v>3.3560408342652157</v>
      </c>
      <c r="M461" s="117" t="s">
        <v>752</v>
      </c>
      <c r="N461" s="40">
        <v>2.3497707860559398</v>
      </c>
      <c r="O461" s="40">
        <v>1.4131943504070361</v>
      </c>
    </row>
    <row r="462" spans="1:15">
      <c r="A462" s="117" t="s">
        <v>502</v>
      </c>
      <c r="B462" s="40">
        <v>3.7235418988595117</v>
      </c>
      <c r="C462" s="40">
        <v>3.6560000000000001</v>
      </c>
      <c r="D462" s="40">
        <v>3.2717401437093376</v>
      </c>
      <c r="M462" s="117" t="s">
        <v>491</v>
      </c>
      <c r="N462" s="40">
        <v>2.3452158200023101</v>
      </c>
      <c r="O462" s="40">
        <v>1.3810061409470544</v>
      </c>
    </row>
    <row r="463" spans="1:15">
      <c r="A463" s="117" t="s">
        <v>422</v>
      </c>
      <c r="B463" s="40">
        <v>3.6966671211819757</v>
      </c>
      <c r="C463" s="40">
        <v>3.6242500000000004</v>
      </c>
      <c r="D463" s="40">
        <v>3.2717401437093376</v>
      </c>
      <c r="M463" s="117" t="s">
        <v>492</v>
      </c>
      <c r="N463" s="40">
        <v>2.3842872829241002</v>
      </c>
      <c r="O463" s="40">
        <v>1.356970799096489</v>
      </c>
    </row>
    <row r="464" spans="1:15">
      <c r="A464" s="117" t="s">
        <v>503</v>
      </c>
      <c r="B464" s="40">
        <v>3.7215952320855843</v>
      </c>
      <c r="C464" s="40">
        <v>3.5606250000000008</v>
      </c>
      <c r="D464" s="40">
        <v>3.2405068103760035</v>
      </c>
      <c r="M464" s="117" t="s">
        <v>753</v>
      </c>
      <c r="N464" s="40">
        <v>2.4473125668689599</v>
      </c>
      <c r="O464" s="40">
        <v>1.356970799096489</v>
      </c>
    </row>
    <row r="465" spans="1:15">
      <c r="A465" s="117" t="s">
        <v>504</v>
      </c>
      <c r="B465" s="40">
        <v>3.7360248952790274</v>
      </c>
      <c r="C465" s="40">
        <v>3.5606250000000008</v>
      </c>
      <c r="D465" s="40">
        <v>3.2405068103760035</v>
      </c>
      <c r="M465" s="117" t="s">
        <v>493</v>
      </c>
      <c r="N465" s="40">
        <v>2.44286053650336</v>
      </c>
      <c r="O465" s="40">
        <v>1.4024298035303469</v>
      </c>
    </row>
    <row r="466" spans="1:15">
      <c r="A466" s="117" t="s">
        <v>505</v>
      </c>
      <c r="B466" s="40">
        <v>3.7208326047939781</v>
      </c>
      <c r="C466" s="40">
        <v>3.6242500000000004</v>
      </c>
      <c r="D466" s="40">
        <v>3.2717401437093376</v>
      </c>
      <c r="M466" s="117" t="s">
        <v>494</v>
      </c>
      <c r="N466" s="40">
        <v>2.4759496030778601</v>
      </c>
      <c r="O466" s="40">
        <v>1.3732836339242607</v>
      </c>
    </row>
    <row r="467" spans="1:15">
      <c r="A467" s="117" t="s">
        <v>421</v>
      </c>
      <c r="B467" s="40">
        <v>3.7106699393341351</v>
      </c>
      <c r="C467" s="40">
        <v>3.5923750000000005</v>
      </c>
      <c r="D467" s="40">
        <v>3.2405068103760035</v>
      </c>
      <c r="M467" s="117" t="s">
        <v>495</v>
      </c>
      <c r="N467" s="40">
        <v>2.44524956278855</v>
      </c>
      <c r="O467" s="40">
        <v>1.4086854219054139</v>
      </c>
    </row>
    <row r="468" spans="1:15">
      <c r="A468" s="117" t="s">
        <v>506</v>
      </c>
      <c r="B468" s="40">
        <v>3.7422997391496389</v>
      </c>
      <c r="C468" s="40">
        <v>3.6242500000000004</v>
      </c>
      <c r="D468" s="40">
        <v>3.2717401437093376</v>
      </c>
      <c r="M468" s="117" t="s">
        <v>496</v>
      </c>
      <c r="N468" s="40">
        <v>2.45404364191142</v>
      </c>
      <c r="O468" s="40">
        <v>1.3641426073932224</v>
      </c>
    </row>
    <row r="469" spans="1:15">
      <c r="A469" s="117" t="s">
        <v>507</v>
      </c>
      <c r="B469" s="40">
        <v>3.7427984171849866</v>
      </c>
      <c r="C469" s="40">
        <v>3.6242500000000004</v>
      </c>
      <c r="D469" s="40">
        <v>3.2717401437093376</v>
      </c>
      <c r="M469" s="117" t="s">
        <v>497</v>
      </c>
      <c r="N469" s="40">
        <v>2.45470500500842</v>
      </c>
      <c r="O469" s="40">
        <v>1.3544678140103013</v>
      </c>
    </row>
    <row r="470" spans="1:15">
      <c r="A470" s="117" t="s">
        <v>508</v>
      </c>
      <c r="B470" s="40">
        <v>3.739320888712212</v>
      </c>
      <c r="C470" s="40">
        <v>3.68825</v>
      </c>
      <c r="D470" s="40">
        <v>3.3560408342652157</v>
      </c>
      <c r="M470" s="117" t="s">
        <v>498</v>
      </c>
      <c r="N470" s="40">
        <v>2.4705200282403998</v>
      </c>
      <c r="O470" s="40">
        <v>1.3333859369099939</v>
      </c>
    </row>
    <row r="471" spans="1:15">
      <c r="A471" s="117" t="s">
        <v>509</v>
      </c>
      <c r="B471" s="40">
        <v>3.739320888712212</v>
      </c>
      <c r="C471" s="40">
        <v>3.6560000000000001</v>
      </c>
      <c r="D471" s="40">
        <v>3.3665827059153179</v>
      </c>
      <c r="M471" s="117" t="s">
        <v>499</v>
      </c>
      <c r="N471" s="40">
        <v>2.4677434570547199</v>
      </c>
      <c r="O471" s="40">
        <v>1.3527690166581421</v>
      </c>
    </row>
    <row r="472" spans="1:15">
      <c r="A472" s="117" t="s">
        <v>510</v>
      </c>
      <c r="B472" s="40">
        <v>3.7616693089669631</v>
      </c>
      <c r="C472" s="40">
        <v>3.7199999999999998</v>
      </c>
      <c r="D472" s="40">
        <v>3.3665827059153179</v>
      </c>
      <c r="M472" s="117" t="s">
        <v>500</v>
      </c>
      <c r="N472" s="40">
        <v>2.4472298243210799</v>
      </c>
      <c r="O472" s="40">
        <v>1.3635721227200222</v>
      </c>
    </row>
    <row r="473" spans="1:15">
      <c r="A473" s="117" t="s">
        <v>511</v>
      </c>
      <c r="B473" s="40">
        <v>3.8360703995747247</v>
      </c>
      <c r="C473" s="40">
        <v>3.7518749999999996</v>
      </c>
      <c r="D473" s="40">
        <v>3.3978160392486516</v>
      </c>
      <c r="M473" s="117" t="s">
        <v>501</v>
      </c>
      <c r="N473" s="40">
        <v>2.4229898766104698</v>
      </c>
      <c r="O473" s="40">
        <v>1.3878120704306323</v>
      </c>
    </row>
    <row r="474" spans="1:15">
      <c r="A474" s="117" t="s">
        <v>512</v>
      </c>
      <c r="B474" s="40">
        <v>3.8531855572721776</v>
      </c>
      <c r="C474" s="40">
        <v>3.7518749999999996</v>
      </c>
      <c r="D474" s="40">
        <v>3.3978160392486516</v>
      </c>
      <c r="M474" s="117" t="s">
        <v>502</v>
      </c>
      <c r="N474" s="40">
        <v>2.35417709036851</v>
      </c>
      <c r="O474" s="40">
        <v>1.3693648084910017</v>
      </c>
    </row>
    <row r="475" spans="1:15">
      <c r="A475" s="117" t="s">
        <v>513</v>
      </c>
      <c r="B475" s="40">
        <v>3.8156390323212701</v>
      </c>
      <c r="C475" s="40">
        <v>3.7199999999999998</v>
      </c>
      <c r="D475" s="40">
        <v>3.3665827059153179</v>
      </c>
      <c r="M475" s="117" t="s">
        <v>422</v>
      </c>
      <c r="N475" s="40">
        <v>2.3204598577200901</v>
      </c>
      <c r="O475" s="40">
        <v>1.3762072634618856</v>
      </c>
    </row>
    <row r="476" spans="1:15">
      <c r="A476" s="117" t="s">
        <v>514</v>
      </c>
      <c r="B476" s="40">
        <v>3.8099246837635263</v>
      </c>
      <c r="C476" s="40">
        <v>3.7199999999999998</v>
      </c>
      <c r="D476" s="40">
        <v>3.3978160392486516</v>
      </c>
      <c r="M476" s="117" t="s">
        <v>503</v>
      </c>
      <c r="N476" s="40">
        <v>2.3036095465699198</v>
      </c>
      <c r="O476" s="40">
        <v>1.4179856855156647</v>
      </c>
    </row>
    <row r="477" spans="1:15">
      <c r="A477" s="117" t="s">
        <v>515</v>
      </c>
      <c r="B477" s="40">
        <v>3.8623327967743624</v>
      </c>
      <c r="C477" s="40">
        <v>3.7518749999999996</v>
      </c>
      <c r="D477" s="40">
        <v>3.3978160392486516</v>
      </c>
      <c r="M477" s="117" t="s">
        <v>504</v>
      </c>
      <c r="N477" s="40">
        <v>2.3175565245512799</v>
      </c>
      <c r="O477" s="40">
        <v>1.4184683707277475</v>
      </c>
    </row>
    <row r="478" spans="1:15">
      <c r="A478" s="117" t="s">
        <v>516</v>
      </c>
      <c r="B478" s="40">
        <v>3.8242738332137867</v>
      </c>
      <c r="C478" s="40">
        <v>3.7199999999999998</v>
      </c>
      <c r="D478" s="40">
        <v>3.3665827059153179</v>
      </c>
      <c r="M478" s="117" t="s">
        <v>505</v>
      </c>
      <c r="N478" s="40">
        <v>2.3157936267169901</v>
      </c>
      <c r="O478" s="40">
        <v>1.4050389780769876</v>
      </c>
    </row>
    <row r="479" spans="1:15">
      <c r="A479" s="117" t="s">
        <v>517</v>
      </c>
      <c r="B479" s="40">
        <v>3.8180596548822474</v>
      </c>
      <c r="C479" s="40">
        <v>3.7199999999999998</v>
      </c>
      <c r="D479" s="40">
        <v>3.3665827059153179</v>
      </c>
      <c r="M479" s="117" t="s">
        <v>421</v>
      </c>
      <c r="N479" s="40">
        <v>2.3450247275103502</v>
      </c>
      <c r="O479" s="40">
        <v>1.3656452118237845</v>
      </c>
    </row>
    <row r="480" spans="1:15">
      <c r="A480" s="117" t="s">
        <v>518</v>
      </c>
      <c r="B480" s="40">
        <v>3.7883798304954133</v>
      </c>
      <c r="C480" s="40">
        <v>3.7199999999999998</v>
      </c>
      <c r="D480" s="40">
        <v>3.3665827059153179</v>
      </c>
      <c r="M480" s="117" t="s">
        <v>506</v>
      </c>
      <c r="N480" s="40">
        <v>2.3593230360377899</v>
      </c>
      <c r="O480" s="40">
        <v>1.3829767031118487</v>
      </c>
    </row>
    <row r="481" spans="1:15">
      <c r="A481" s="117" t="s">
        <v>519</v>
      </c>
      <c r="B481" s="40">
        <v>3.8036992976446968</v>
      </c>
      <c r="C481" s="40">
        <v>3.7199999999999998</v>
      </c>
      <c r="D481" s="40">
        <v>3.2717401437093376</v>
      </c>
      <c r="M481" s="117" t="s">
        <v>507</v>
      </c>
      <c r="N481" s="40">
        <v>2.4007367882510802</v>
      </c>
      <c r="O481" s="40">
        <v>1.342061628933906</v>
      </c>
    </row>
    <row r="482" spans="1:15">
      <c r="A482" s="117" t="s">
        <v>520</v>
      </c>
      <c r="B482" s="40">
        <v>3.7793715674070638</v>
      </c>
      <c r="C482" s="40">
        <v>3.6560000000000001</v>
      </c>
      <c r="D482" s="40">
        <v>3.3665827059153179</v>
      </c>
      <c r="M482" s="117" t="s">
        <v>508</v>
      </c>
      <c r="N482" s="40">
        <v>2.4230964984502701</v>
      </c>
      <c r="O482" s="40">
        <v>1.3162243902619417</v>
      </c>
    </row>
    <row r="483" spans="1:15">
      <c r="A483" s="117" t="s">
        <v>521</v>
      </c>
      <c r="B483" s="40">
        <v>3.8255559578299878</v>
      </c>
      <c r="C483" s="40">
        <v>3.7199999999999998</v>
      </c>
      <c r="D483" s="40">
        <v>3.3978160392486516</v>
      </c>
      <c r="M483" s="117" t="s">
        <v>509</v>
      </c>
      <c r="N483" s="40">
        <v>2.4425561319038702</v>
      </c>
      <c r="O483" s="40">
        <v>1.2967647568083416</v>
      </c>
    </row>
    <row r="484" spans="1:15">
      <c r="A484" s="117" t="s">
        <v>522</v>
      </c>
      <c r="B484" s="40">
        <v>3.8423070029144402</v>
      </c>
      <c r="C484" s="40">
        <v>3.7199999999999998</v>
      </c>
      <c r="D484" s="40">
        <v>3.3978160392486516</v>
      </c>
      <c r="M484" s="117" t="s">
        <v>510</v>
      </c>
      <c r="N484" s="40">
        <v>2.4494735846374298</v>
      </c>
      <c r="O484" s="40">
        <v>1.3121957243295332</v>
      </c>
    </row>
    <row r="485" spans="1:15">
      <c r="A485" s="117" t="s">
        <v>523</v>
      </c>
      <c r="B485" s="40">
        <v>3.8592031663485695</v>
      </c>
      <c r="C485" s="40">
        <v>3.9112500000000003</v>
      </c>
      <c r="D485" s="40">
        <v>3.4817371971125723</v>
      </c>
      <c r="M485" s="117" t="s">
        <v>511</v>
      </c>
      <c r="N485" s="40">
        <v>2.4735241202306701</v>
      </c>
      <c r="O485" s="40">
        <v>1.3625462793440548</v>
      </c>
    </row>
    <row r="486" spans="1:15">
      <c r="A486" s="117" t="s">
        <v>524</v>
      </c>
      <c r="B486" s="40">
        <v>3.8763404577351892</v>
      </c>
      <c r="C486" s="40">
        <v>3.8794999999999997</v>
      </c>
      <c r="D486" s="40">
        <v>3.4817371971125723</v>
      </c>
      <c r="M486" s="117" t="s">
        <v>512</v>
      </c>
      <c r="N486" s="40">
        <v>2.49089475229058</v>
      </c>
      <c r="O486" s="40">
        <v>1.3622908049815976</v>
      </c>
    </row>
    <row r="487" spans="1:15">
      <c r="A487" s="117" t="s">
        <v>525</v>
      </c>
      <c r="B487" s="40">
        <v>3.856553909016426</v>
      </c>
      <c r="C487" s="40">
        <v>3.7836249999999993</v>
      </c>
      <c r="D487" s="40">
        <v>3.4817371971125723</v>
      </c>
      <c r="M487" s="117" t="s">
        <v>513</v>
      </c>
      <c r="N487" s="40">
        <v>2.4566708605099099</v>
      </c>
      <c r="O487" s="40">
        <v>1.3589681718113604</v>
      </c>
    </row>
    <row r="488" spans="1:15">
      <c r="A488" s="117" t="s">
        <v>526</v>
      </c>
      <c r="B488" s="40">
        <v>3.8726516339967461</v>
      </c>
      <c r="C488" s="40">
        <v>3.8794999999999997</v>
      </c>
      <c r="D488" s="40">
        <v>3.4817371971125723</v>
      </c>
      <c r="M488" s="117" t="s">
        <v>514</v>
      </c>
      <c r="N488" s="40">
        <v>2.5031538447013899</v>
      </c>
      <c r="O488" s="40">
        <v>1.306770839062136</v>
      </c>
    </row>
    <row r="489" spans="1:15">
      <c r="A489" s="117" t="s">
        <v>527</v>
      </c>
      <c r="B489" s="40">
        <v>3.8503974973403192</v>
      </c>
      <c r="C489" s="40">
        <v>3.7836249999999993</v>
      </c>
      <c r="D489" s="40">
        <v>3.3978160392486516</v>
      </c>
      <c r="M489" s="117" t="s">
        <v>515</v>
      </c>
      <c r="N489" s="40">
        <v>2.48665049817154</v>
      </c>
      <c r="O489" s="40">
        <v>1.3756822986028225</v>
      </c>
    </row>
    <row r="490" spans="1:15">
      <c r="A490" s="117" t="s">
        <v>528</v>
      </c>
      <c r="B490" s="40">
        <v>3.8705108715849494</v>
      </c>
      <c r="C490" s="40">
        <v>3.8794999999999997</v>
      </c>
      <c r="D490" s="40">
        <v>3.3978160392486516</v>
      </c>
      <c r="M490" s="117" t="s">
        <v>516</v>
      </c>
      <c r="N490" s="40">
        <v>2.46551867128733</v>
      </c>
      <c r="O490" s="40">
        <v>1.3587551619264566</v>
      </c>
    </row>
    <row r="491" spans="1:15">
      <c r="A491" s="117" t="s">
        <v>529</v>
      </c>
      <c r="B491" s="40">
        <v>3.841226208098115</v>
      </c>
      <c r="C491" s="40">
        <v>3.8794999999999997</v>
      </c>
      <c r="D491" s="40">
        <v>3.3978160392486516</v>
      </c>
      <c r="M491" s="117" t="s">
        <v>517</v>
      </c>
      <c r="N491" s="40">
        <v>2.4639577006004401</v>
      </c>
      <c r="O491" s="40">
        <v>1.3541019542818074</v>
      </c>
    </row>
    <row r="492" spans="1:15">
      <c r="A492" s="117" t="s">
        <v>530</v>
      </c>
      <c r="B492" s="40">
        <v>3.8318093772246611</v>
      </c>
      <c r="C492" s="40">
        <v>3.7836249999999993</v>
      </c>
      <c r="D492" s="40">
        <v>3.3978160392486516</v>
      </c>
      <c r="M492" s="117" t="s">
        <v>518</v>
      </c>
      <c r="N492" s="40">
        <v>2.45827138639036</v>
      </c>
      <c r="O492" s="40">
        <v>1.3301084441050532</v>
      </c>
    </row>
    <row r="493" spans="1:15">
      <c r="A493" s="117" t="s">
        <v>531</v>
      </c>
      <c r="B493" s="40">
        <v>3.8661210700353221</v>
      </c>
      <c r="C493" s="40">
        <v>3.7836249999999993</v>
      </c>
      <c r="D493" s="40">
        <v>3.3978160392486516</v>
      </c>
      <c r="M493" s="117" t="s">
        <v>519</v>
      </c>
      <c r="N493" s="40">
        <v>2.4486777045586599</v>
      </c>
      <c r="O493" s="40">
        <v>1.355021593086037</v>
      </c>
    </row>
    <row r="494" spans="1:15">
      <c r="A494" s="117" t="s">
        <v>532</v>
      </c>
      <c r="B494" s="40">
        <v>4.0163228230669636</v>
      </c>
      <c r="C494" s="40">
        <v>3.9434999999999998</v>
      </c>
      <c r="D494" s="40">
        <v>3.6074026613966526</v>
      </c>
      <c r="M494" s="117" t="s">
        <v>520</v>
      </c>
      <c r="N494" s="40">
        <v>2.46526496945889</v>
      </c>
      <c r="O494" s="40">
        <v>1.3141065979481743</v>
      </c>
    </row>
    <row r="495" spans="1:15">
      <c r="A495" s="117" t="s">
        <v>533</v>
      </c>
      <c r="B495" s="40">
        <v>4.107748130737459</v>
      </c>
      <c r="C495" s="40">
        <v>4.0071250000000003</v>
      </c>
      <c r="D495" s="40">
        <v>3.6187039039308506</v>
      </c>
      <c r="M495" s="117" t="s">
        <v>521</v>
      </c>
      <c r="N495" s="40">
        <v>2.4661306434007502</v>
      </c>
      <c r="O495" s="40">
        <v>1.3594253144292376</v>
      </c>
    </row>
    <row r="496" spans="1:15">
      <c r="A496" s="117" t="s">
        <v>534</v>
      </c>
      <c r="B496" s="40">
        <v>4.2480573786299658</v>
      </c>
      <c r="C496" s="40">
        <v>4.1441249999999998</v>
      </c>
      <c r="D496" s="40">
        <v>3.7310825871584004</v>
      </c>
      <c r="M496" s="117" t="s">
        <v>522</v>
      </c>
      <c r="N496" s="40">
        <v>2.4860574973773799</v>
      </c>
      <c r="O496" s="40">
        <v>1.3562495055370607</v>
      </c>
    </row>
    <row r="497" spans="1:15">
      <c r="A497" s="117" t="s">
        <v>535</v>
      </c>
      <c r="B497" s="40">
        <v>4.2901377804310892</v>
      </c>
      <c r="C497" s="40">
        <v>4.1441249999999998</v>
      </c>
      <c r="D497" s="40">
        <v>3.7310825871584004</v>
      </c>
      <c r="M497" s="117" t="s">
        <v>523</v>
      </c>
      <c r="N497" s="40">
        <v>2.5299104688545802</v>
      </c>
      <c r="O497" s="40">
        <v>1.3292926974939896</v>
      </c>
    </row>
    <row r="498" spans="1:15">
      <c r="A498" s="117" t="s">
        <v>536</v>
      </c>
      <c r="B498" s="40">
        <v>4.2747906195407568</v>
      </c>
      <c r="C498" s="40">
        <v>4.1441249999999998</v>
      </c>
      <c r="D498" s="40">
        <v>3.7310825871584004</v>
      </c>
      <c r="M498" s="117" t="s">
        <v>524</v>
      </c>
      <c r="N498" s="40">
        <v>2.53316437266355</v>
      </c>
      <c r="O498" s="40">
        <v>1.3431760850716392</v>
      </c>
    </row>
    <row r="499" spans="1:15">
      <c r="A499" s="117" t="s">
        <v>537</v>
      </c>
      <c r="B499" s="40">
        <v>4.241060977793202</v>
      </c>
      <c r="C499" s="40">
        <v>4.1122499999999995</v>
      </c>
      <c r="D499" s="40">
        <v>3.7310825871584004</v>
      </c>
      <c r="M499" s="117" t="s">
        <v>525</v>
      </c>
      <c r="N499" s="40">
        <v>2.5336094696522</v>
      </c>
      <c r="O499" s="40">
        <v>1.322944439364226</v>
      </c>
    </row>
    <row r="500" spans="1:15">
      <c r="A500" s="117" t="s">
        <v>538</v>
      </c>
      <c r="B500" s="40">
        <v>4.335504120001934</v>
      </c>
      <c r="C500" s="40">
        <v>4.3035000000000005</v>
      </c>
      <c r="D500" s="40">
        <v>3.7310825871584004</v>
      </c>
      <c r="M500" s="117" t="s">
        <v>526</v>
      </c>
      <c r="N500" s="40">
        <v>2.5296440225789101</v>
      </c>
      <c r="O500" s="40">
        <v>1.3430076114178362</v>
      </c>
    </row>
    <row r="501" spans="1:15">
      <c r="A501" s="117" t="s">
        <v>539</v>
      </c>
      <c r="B501" s="40">
        <v>4.3348914515110319</v>
      </c>
      <c r="C501" s="40">
        <v>4.3035000000000005</v>
      </c>
      <c r="D501" s="40">
        <v>3.8451078179729343</v>
      </c>
      <c r="M501" s="117" t="s">
        <v>527</v>
      </c>
      <c r="N501" s="40">
        <v>2.52426864553397</v>
      </c>
      <c r="O501" s="40">
        <v>1.326128851806349</v>
      </c>
    </row>
    <row r="502" spans="1:15">
      <c r="A502" s="117" t="s">
        <v>540</v>
      </c>
      <c r="B502" s="40">
        <v>4.4313802911147278</v>
      </c>
      <c r="C502" s="40">
        <v>4.3035000000000005</v>
      </c>
      <c r="D502" s="40">
        <v>3.8451078179729343</v>
      </c>
      <c r="M502" s="117" t="s">
        <v>528</v>
      </c>
      <c r="N502" s="40">
        <v>2.53251832650023</v>
      </c>
      <c r="O502" s="40">
        <v>1.3379925450847203</v>
      </c>
    </row>
    <row r="503" spans="1:15">
      <c r="A503" s="117" t="s">
        <v>541</v>
      </c>
      <c r="B503" s="40">
        <v>4.4324473728828933</v>
      </c>
      <c r="C503" s="40">
        <v>4.4633750000000001</v>
      </c>
      <c r="D503" s="40">
        <v>3.8883955794647993</v>
      </c>
      <c r="M503" s="117" t="s">
        <v>529</v>
      </c>
      <c r="N503" s="40">
        <v>2.5169810735830902</v>
      </c>
      <c r="O503" s="40">
        <v>1.324245134515025</v>
      </c>
    </row>
    <row r="504" spans="1:15">
      <c r="A504" s="117" t="s">
        <v>542</v>
      </c>
      <c r="B504" s="40">
        <v>4.4713084721448562</v>
      </c>
      <c r="C504" s="40">
        <v>4.4311250000000006</v>
      </c>
      <c r="D504" s="40">
        <v>3.8571622461314652</v>
      </c>
      <c r="M504" s="117" t="s">
        <v>530</v>
      </c>
      <c r="N504" s="40">
        <v>2.5437510721177499</v>
      </c>
      <c r="O504" s="40">
        <v>1.2880583051069112</v>
      </c>
    </row>
    <row r="505" spans="1:15">
      <c r="A505" s="117" t="s">
        <v>543</v>
      </c>
      <c r="B505" s="40">
        <v>4.4350879142033488</v>
      </c>
      <c r="C505" s="40">
        <v>4.3993750000000009</v>
      </c>
      <c r="D505" s="40">
        <v>3.8451078179729343</v>
      </c>
      <c r="M505" s="117" t="s">
        <v>531</v>
      </c>
      <c r="N505" s="40">
        <v>2.5815492501069399</v>
      </c>
      <c r="O505" s="40">
        <v>1.2845718199283824</v>
      </c>
    </row>
    <row r="506" spans="1:15">
      <c r="A506" s="117" t="s">
        <v>544</v>
      </c>
      <c r="B506" s="40">
        <v>4.3942590128247891</v>
      </c>
      <c r="C506" s="40">
        <v>4.3675000000000006</v>
      </c>
      <c r="D506" s="40">
        <v>3.8451078179729343</v>
      </c>
      <c r="M506" s="117" t="s">
        <v>532</v>
      </c>
      <c r="N506" s="40">
        <v>2.7578334689679198</v>
      </c>
      <c r="O506" s="40">
        <v>1.2584893540990438</v>
      </c>
    </row>
    <row r="507" spans="1:15">
      <c r="A507" s="117" t="s">
        <v>545</v>
      </c>
      <c r="B507" s="40">
        <v>4.419292514895055</v>
      </c>
      <c r="C507" s="40">
        <v>4.3675000000000006</v>
      </c>
      <c r="D507" s="40">
        <v>3.8451078179729343</v>
      </c>
      <c r="M507" s="117" t="s">
        <v>533</v>
      </c>
      <c r="N507" s="40">
        <v>2.8203429128505602</v>
      </c>
      <c r="O507" s="40">
        <v>1.2874052178868989</v>
      </c>
    </row>
    <row r="508" spans="1:15">
      <c r="A508" s="117" t="s">
        <v>546</v>
      </c>
      <c r="B508" s="40">
        <v>4.4667225857275268</v>
      </c>
      <c r="C508" s="40">
        <v>4.4314999999999998</v>
      </c>
      <c r="D508" s="40">
        <v>3.8883955794647993</v>
      </c>
      <c r="M508" s="117" t="s">
        <v>534</v>
      </c>
      <c r="N508" s="40">
        <v>2.9518507510638798</v>
      </c>
      <c r="O508" s="40">
        <v>1.2962066275660855</v>
      </c>
    </row>
    <row r="509" spans="1:15">
      <c r="A509" s="117" t="s">
        <v>547</v>
      </c>
      <c r="B509" s="40">
        <v>4.4380419702852398</v>
      </c>
      <c r="C509" s="40">
        <v>4.2717499999999999</v>
      </c>
      <c r="D509" s="40">
        <v>3.8571622461314652</v>
      </c>
      <c r="M509" s="117" t="s">
        <v>535</v>
      </c>
      <c r="N509" s="40">
        <v>2.938815281358</v>
      </c>
      <c r="O509" s="40">
        <v>1.3513224990730894</v>
      </c>
    </row>
    <row r="510" spans="1:15">
      <c r="A510" s="117" t="s">
        <v>548</v>
      </c>
      <c r="B510" s="40">
        <v>4.4235682671037715</v>
      </c>
      <c r="C510" s="40">
        <v>4.3993750000000009</v>
      </c>
      <c r="D510" s="40">
        <v>3.8883955794647993</v>
      </c>
      <c r="M510" s="117" t="s">
        <v>536</v>
      </c>
      <c r="N510" s="40">
        <v>2.9180541697648699</v>
      </c>
      <c r="O510" s="40">
        <v>1.3567364497758867</v>
      </c>
    </row>
    <row r="511" spans="1:15">
      <c r="A511" s="117" t="s">
        <v>549</v>
      </c>
      <c r="B511" s="40">
        <v>4.4473394285168837</v>
      </c>
      <c r="C511" s="40">
        <v>4.3035000000000005</v>
      </c>
      <c r="D511" s="40">
        <v>3.8883955794647993</v>
      </c>
      <c r="M511" s="117" t="s">
        <v>537</v>
      </c>
      <c r="N511" s="40">
        <v>2.9579353811966902</v>
      </c>
      <c r="O511" s="40">
        <v>1.2831255965965118</v>
      </c>
    </row>
    <row r="512" spans="1:15">
      <c r="A512" s="117" t="s">
        <v>550</v>
      </c>
      <c r="B512" s="40">
        <v>4.4446242620615442</v>
      </c>
      <c r="C512" s="40">
        <v>4.3035000000000005</v>
      </c>
      <c r="D512" s="40">
        <v>3.8571622461314652</v>
      </c>
      <c r="M512" s="117" t="s">
        <v>538</v>
      </c>
      <c r="N512" s="40">
        <v>3.03169131774919</v>
      </c>
      <c r="O512" s="40">
        <v>1.303812802252744</v>
      </c>
    </row>
    <row r="513" spans="1:15">
      <c r="A513" s="117" t="s">
        <v>551</v>
      </c>
      <c r="B513" s="40">
        <v>4.4555283220697319</v>
      </c>
      <c r="C513" s="40">
        <v>4.3035000000000005</v>
      </c>
      <c r="D513" s="40">
        <v>3.8883955794647993</v>
      </c>
      <c r="M513" s="117" t="s">
        <v>539</v>
      </c>
      <c r="N513" s="40">
        <v>3.0422928996340901</v>
      </c>
      <c r="O513" s="40">
        <v>1.2925985518769423</v>
      </c>
    </row>
    <row r="514" spans="1:15">
      <c r="A514" s="117" t="s">
        <v>552</v>
      </c>
      <c r="B514" s="40">
        <v>4.4609093364398973</v>
      </c>
      <c r="C514" s="40">
        <v>4.2717499999999999</v>
      </c>
      <c r="D514" s="40">
        <v>3.8883955794647993</v>
      </c>
      <c r="M514" s="117" t="s">
        <v>540</v>
      </c>
      <c r="N514" s="40">
        <v>3.0253759468796799</v>
      </c>
      <c r="O514" s="40">
        <v>1.4060043442350474</v>
      </c>
    </row>
    <row r="515" spans="1:15">
      <c r="A515" s="117" t="s">
        <v>553</v>
      </c>
      <c r="B515" s="40">
        <v>4.5274217197251101</v>
      </c>
      <c r="C515" s="40">
        <v>4.3675000000000006</v>
      </c>
      <c r="D515" s="40">
        <v>3.9832095698554069</v>
      </c>
      <c r="M515" s="117" t="s">
        <v>541</v>
      </c>
      <c r="N515" s="40">
        <v>3.0811413392722198</v>
      </c>
      <c r="O515" s="40">
        <v>1.3513060336106737</v>
      </c>
    </row>
    <row r="516" spans="1:15">
      <c r="A516" s="117" t="s">
        <v>554</v>
      </c>
      <c r="B516" s="40">
        <v>4.4799083333326655</v>
      </c>
      <c r="C516" s="40">
        <v>4.2398749999999996</v>
      </c>
      <c r="D516" s="40">
        <v>3.9708143018144364</v>
      </c>
      <c r="M516" s="117" t="s">
        <v>542</v>
      </c>
      <c r="N516" s="40">
        <v>3.1125235634348298</v>
      </c>
      <c r="O516" s="40">
        <v>1.3587849087100263</v>
      </c>
    </row>
    <row r="517" spans="1:15">
      <c r="A517" s="117" t="s">
        <v>555</v>
      </c>
      <c r="B517" s="40">
        <v>4.4865930639242499</v>
      </c>
      <c r="C517" s="40">
        <v>4.3035000000000005</v>
      </c>
      <c r="D517" s="40">
        <v>3.9708143018144364</v>
      </c>
      <c r="M517" s="117" t="s">
        <v>543</v>
      </c>
      <c r="N517" s="40">
        <v>3.0232721749517699</v>
      </c>
      <c r="O517" s="40">
        <v>1.4118157392515787</v>
      </c>
    </row>
    <row r="518" spans="1:15">
      <c r="A518" s="117" t="s">
        <v>556</v>
      </c>
      <c r="B518" s="40">
        <v>4.6448458487199096</v>
      </c>
      <c r="C518" s="40">
        <v>4.4311250000000006</v>
      </c>
      <c r="D518" s="40">
        <v>4.1092912467808151</v>
      </c>
      <c r="M518" s="117" t="s">
        <v>544</v>
      </c>
      <c r="N518" s="40">
        <v>3.0032104294376101</v>
      </c>
      <c r="O518" s="40">
        <v>1.3910485833871793</v>
      </c>
    </row>
    <row r="519" spans="1:15">
      <c r="A519" s="117" t="s">
        <v>557</v>
      </c>
      <c r="B519" s="40">
        <v>4.6437959075962434</v>
      </c>
      <c r="C519" s="40">
        <v>4.4314999999999998</v>
      </c>
      <c r="D519" s="40">
        <v>4.1092912467808151</v>
      </c>
      <c r="M519" s="117" t="s">
        <v>545</v>
      </c>
      <c r="N519" s="40">
        <v>3.0600031389564002</v>
      </c>
      <c r="O519" s="40">
        <v>1.3592893759386548</v>
      </c>
    </row>
    <row r="520" spans="1:15">
      <c r="A520" s="117" t="s">
        <v>558</v>
      </c>
      <c r="B520" s="40">
        <v>4.6173421076755465</v>
      </c>
      <c r="C520" s="40">
        <v>4.4633750000000001</v>
      </c>
      <c r="D520" s="40">
        <v>4.1092912467808151</v>
      </c>
      <c r="M520" s="117" t="s">
        <v>546</v>
      </c>
      <c r="N520" s="40">
        <v>3.13599610528588</v>
      </c>
      <c r="O520" s="40">
        <v>1.3307264804416468</v>
      </c>
    </row>
    <row r="521" spans="1:15">
      <c r="A521" s="117" t="s">
        <v>559</v>
      </c>
      <c r="B521" s="40">
        <v>4.6331373769079987</v>
      </c>
      <c r="C521" s="40">
        <v>4.4951249999999998</v>
      </c>
      <c r="D521" s="40">
        <v>4.1092912467808151</v>
      </c>
      <c r="M521" s="117" t="s">
        <v>547</v>
      </c>
      <c r="N521" s="40">
        <v>3.0833533421517099</v>
      </c>
      <c r="O521" s="40">
        <v>1.3546886281335297</v>
      </c>
    </row>
    <row r="522" spans="1:15">
      <c r="A522" s="117" t="s">
        <v>560</v>
      </c>
      <c r="B522" s="40">
        <v>4.6254456401425523</v>
      </c>
      <c r="C522" s="40">
        <v>4.4633750000000001</v>
      </c>
      <c r="D522" s="40">
        <v>4.1092912467808151</v>
      </c>
      <c r="M522" s="117" t="s">
        <v>548</v>
      </c>
      <c r="N522" s="40">
        <v>3.0836284241838401</v>
      </c>
      <c r="O522" s="40">
        <v>1.3399398429199323</v>
      </c>
    </row>
    <row r="523" spans="1:15">
      <c r="A523" s="117" t="s">
        <v>561</v>
      </c>
      <c r="B523" s="40">
        <v>4.6253118065335883</v>
      </c>
      <c r="C523" s="40">
        <v>4.4633750000000001</v>
      </c>
      <c r="D523" s="40">
        <v>4.1092912467808151</v>
      </c>
      <c r="M523" s="117" t="s">
        <v>549</v>
      </c>
      <c r="N523" s="40">
        <v>3.0839441300707402</v>
      </c>
      <c r="O523" s="40">
        <v>1.3633952984461435</v>
      </c>
    </row>
    <row r="524" spans="1:15">
      <c r="A524" s="117" t="s">
        <v>562</v>
      </c>
      <c r="B524" s="40">
        <v>4.5945753742997182</v>
      </c>
      <c r="C524" s="40">
        <v>4.4311250000000006</v>
      </c>
      <c r="D524" s="40">
        <v>4.1092912467808151</v>
      </c>
      <c r="M524" s="117" t="s">
        <v>550</v>
      </c>
      <c r="N524" s="40">
        <v>3.0288108885972802</v>
      </c>
      <c r="O524" s="40">
        <v>1.4158133734642635</v>
      </c>
    </row>
    <row r="525" spans="1:15">
      <c r="A525" s="117" t="s">
        <v>563</v>
      </c>
      <c r="B525" s="40">
        <v>4.6311897605062082</v>
      </c>
      <c r="C525" s="40">
        <v>4.4951249999999998</v>
      </c>
      <c r="D525" s="40">
        <v>4.1405245801141497</v>
      </c>
      <c r="M525" s="117" t="s">
        <v>551</v>
      </c>
      <c r="N525" s="40">
        <v>3.05722705621156</v>
      </c>
      <c r="O525" s="40">
        <v>1.3983012658581722</v>
      </c>
    </row>
    <row r="526" spans="1:15">
      <c r="A526" s="117" t="s">
        <v>564</v>
      </c>
      <c r="B526" s="40">
        <v>4.6324839816248486</v>
      </c>
      <c r="C526" s="40">
        <v>4.4311250000000006</v>
      </c>
      <c r="D526" s="40">
        <v>4.1092912467808151</v>
      </c>
      <c r="M526" s="117" t="s">
        <v>552</v>
      </c>
      <c r="N526" s="40">
        <v>3.1428652362036398</v>
      </c>
      <c r="O526" s="40">
        <v>1.3180441002362577</v>
      </c>
    </row>
    <row r="527" spans="1:15">
      <c r="A527" s="117" t="s">
        <v>565</v>
      </c>
      <c r="B527" s="40">
        <v>4.5543725743116337</v>
      </c>
      <c r="C527" s="40">
        <v>4.3993750000000009</v>
      </c>
      <c r="D527" s="40">
        <v>4.0964901368075282</v>
      </c>
      <c r="M527" s="117" t="s">
        <v>553</v>
      </c>
      <c r="N527" s="40">
        <v>3.1502344995912401</v>
      </c>
      <c r="O527" s="40">
        <v>1.3771872201338704</v>
      </c>
    </row>
    <row r="528" spans="1:15">
      <c r="A528" s="117" t="s">
        <v>566</v>
      </c>
      <c r="B528" s="40">
        <v>4.5330805566678523</v>
      </c>
      <c r="C528" s="40">
        <v>4.3675000000000006</v>
      </c>
      <c r="D528" s="40">
        <v>4.0144429031887405</v>
      </c>
      <c r="M528" s="117" t="s">
        <v>554</v>
      </c>
      <c r="N528" s="40">
        <v>3.1621575354435998</v>
      </c>
      <c r="O528" s="40">
        <v>1.3177507978890657</v>
      </c>
    </row>
    <row r="529" spans="1:15">
      <c r="A529" s="117" t="s">
        <v>567</v>
      </c>
      <c r="B529" s="40">
        <v>4.5292170306888906</v>
      </c>
      <c r="C529" s="40">
        <v>4.3993750000000009</v>
      </c>
      <c r="D529" s="40">
        <v>4.0964901368075282</v>
      </c>
      <c r="M529" s="117" t="s">
        <v>555</v>
      </c>
      <c r="N529" s="40">
        <v>3.2178280594971298</v>
      </c>
      <c r="O529" s="40">
        <v>1.2687650044271197</v>
      </c>
    </row>
    <row r="530" spans="1:15">
      <c r="A530" s="117" t="s">
        <v>568</v>
      </c>
      <c r="B530" s="40">
        <v>4.5157900051622075</v>
      </c>
      <c r="C530" s="40">
        <v>4.3675000000000006</v>
      </c>
      <c r="D530" s="40">
        <v>4.0144429031887405</v>
      </c>
      <c r="M530" s="117" t="s">
        <v>556</v>
      </c>
      <c r="N530" s="40">
        <v>3.3050524395001402</v>
      </c>
      <c r="O530" s="40">
        <v>1.3397934092197692</v>
      </c>
    </row>
    <row r="531" spans="1:15">
      <c r="A531" s="117" t="s">
        <v>569</v>
      </c>
      <c r="B531" s="40">
        <v>4.4409304455448462</v>
      </c>
      <c r="C531" s="40">
        <v>4.2717499999999999</v>
      </c>
      <c r="D531" s="40">
        <v>3.9708143018144364</v>
      </c>
      <c r="M531" s="117" t="s">
        <v>557</v>
      </c>
      <c r="N531" s="40">
        <v>3.3305211408689099</v>
      </c>
      <c r="O531" s="40">
        <v>1.3132747667273332</v>
      </c>
    </row>
    <row r="532" spans="1:15">
      <c r="A532" s="117" t="s">
        <v>570</v>
      </c>
      <c r="B532" s="40">
        <v>4.4860802951581285</v>
      </c>
      <c r="C532" s="40">
        <v>4.33575</v>
      </c>
      <c r="D532" s="40">
        <v>3.9832095698554069</v>
      </c>
      <c r="M532" s="117" t="s">
        <v>558</v>
      </c>
      <c r="N532" s="40">
        <v>3.2735630913423499</v>
      </c>
      <c r="O532" s="40">
        <v>1.3437790163331964</v>
      </c>
    </row>
    <row r="533" spans="1:15">
      <c r="A533" s="117" t="s">
        <v>571</v>
      </c>
      <c r="B533" s="40">
        <v>4.5278711107162506</v>
      </c>
      <c r="C533" s="40">
        <v>4.4311250000000006</v>
      </c>
      <c r="D533" s="40">
        <v>3.9832095698554069</v>
      </c>
      <c r="M533" s="117" t="s">
        <v>559</v>
      </c>
      <c r="N533" s="40">
        <v>3.2884025896165299</v>
      </c>
      <c r="O533" s="40">
        <v>1.3447347872914683</v>
      </c>
    </row>
    <row r="534" spans="1:15">
      <c r="A534" s="117" t="s">
        <v>572</v>
      </c>
      <c r="B534" s="40">
        <v>4.5120133704451808</v>
      </c>
      <c r="C534" s="40">
        <v>4.3675000000000006</v>
      </c>
      <c r="D534" s="40">
        <v>3.9832095698554069</v>
      </c>
      <c r="M534" s="117" t="s">
        <v>560</v>
      </c>
      <c r="N534" s="40">
        <v>3.25892031354691</v>
      </c>
      <c r="O534" s="40">
        <v>1.3665253265956423</v>
      </c>
    </row>
    <row r="535" spans="1:15">
      <c r="A535" s="117" t="s">
        <v>573</v>
      </c>
      <c r="B535" s="40">
        <v>4.4815755481233381</v>
      </c>
      <c r="C535" s="40">
        <v>4.4311250000000006</v>
      </c>
      <c r="D535" s="40">
        <v>3.9708143018144364</v>
      </c>
      <c r="M535" s="117" t="s">
        <v>561</v>
      </c>
      <c r="N535" s="40">
        <v>3.2544954518988001</v>
      </c>
      <c r="O535" s="40">
        <v>1.3708163546347887</v>
      </c>
    </row>
    <row r="536" spans="1:15">
      <c r="A536" s="117" t="s">
        <v>574</v>
      </c>
      <c r="B536" s="40">
        <v>4.4510628551916369</v>
      </c>
      <c r="C536" s="40">
        <v>4.3675000000000006</v>
      </c>
      <c r="D536" s="40">
        <v>3.8883955794647993</v>
      </c>
      <c r="M536" s="117" t="s">
        <v>562</v>
      </c>
      <c r="N536" s="40">
        <v>3.25541429686829</v>
      </c>
      <c r="O536" s="40">
        <v>1.3391610774314282</v>
      </c>
    </row>
    <row r="537" spans="1:15">
      <c r="A537" s="117" t="s">
        <v>575</v>
      </c>
      <c r="B537" s="40">
        <v>4.5150492318912523</v>
      </c>
      <c r="C537" s="40">
        <v>4.4951249999999998</v>
      </c>
      <c r="D537" s="40">
        <v>3.9708143018144364</v>
      </c>
      <c r="M537" s="117" t="s">
        <v>563</v>
      </c>
      <c r="N537" s="40">
        <v>3.2725828232051102</v>
      </c>
      <c r="O537" s="40">
        <v>1.3586069373010987</v>
      </c>
    </row>
    <row r="538" spans="1:15">
      <c r="A538" s="117" t="s">
        <v>576</v>
      </c>
      <c r="B538" s="40">
        <v>4.4895110899320372</v>
      </c>
      <c r="C538" s="40">
        <v>4.4633750000000001</v>
      </c>
      <c r="D538" s="40">
        <v>3.8883955794647993</v>
      </c>
      <c r="M538" s="117" t="s">
        <v>564</v>
      </c>
      <c r="N538" s="40">
        <v>3.2082776514321698</v>
      </c>
      <c r="O538" s="40">
        <v>1.4242063301926788</v>
      </c>
    </row>
    <row r="539" spans="1:15">
      <c r="A539" s="117" t="s">
        <v>577</v>
      </c>
      <c r="B539" s="40">
        <v>4.4821277567990316</v>
      </c>
      <c r="C539" s="40">
        <v>4.4633750000000001</v>
      </c>
      <c r="D539" s="40">
        <v>3.8883955794647993</v>
      </c>
      <c r="M539" s="117" t="s">
        <v>565</v>
      </c>
      <c r="N539" s="40">
        <v>3.1554338932112498</v>
      </c>
      <c r="O539" s="40">
        <v>1.3989386811003834</v>
      </c>
    </row>
    <row r="540" spans="1:15">
      <c r="A540" s="117" t="s">
        <v>578</v>
      </c>
      <c r="B540" s="40">
        <v>4.5684856330664463</v>
      </c>
      <c r="C540" s="40">
        <v>4.4951249999999998</v>
      </c>
      <c r="D540" s="40">
        <v>3.9832095698554069</v>
      </c>
      <c r="M540" s="117" t="s">
        <v>566</v>
      </c>
      <c r="N540" s="40">
        <v>3.0949306211781802</v>
      </c>
      <c r="O540" s="40">
        <v>1.4381499354896716</v>
      </c>
    </row>
    <row r="541" spans="1:15">
      <c r="A541" s="117" t="s">
        <v>579</v>
      </c>
      <c r="B541" s="40">
        <v>4.6136330230774227</v>
      </c>
      <c r="C541" s="40">
        <v>4.5270000000000001</v>
      </c>
      <c r="D541" s="40">
        <v>3.9832095698554069</v>
      </c>
      <c r="M541" s="117" t="s">
        <v>567</v>
      </c>
      <c r="N541" s="40">
        <v>3.1214715085485301</v>
      </c>
      <c r="O541" s="40">
        <v>1.4077455221403607</v>
      </c>
    </row>
    <row r="542" spans="1:15">
      <c r="A542" s="117" t="s">
        <v>580</v>
      </c>
      <c r="B542" s="40">
        <v>4.5326644842841919</v>
      </c>
      <c r="C542" s="40">
        <v>4.4311250000000006</v>
      </c>
      <c r="D542" s="40">
        <v>3.9708143018144364</v>
      </c>
      <c r="M542" s="117" t="s">
        <v>568</v>
      </c>
      <c r="N542" s="40">
        <v>3.1384996351244299</v>
      </c>
      <c r="O542" s="40">
        <v>1.3772903700377783</v>
      </c>
    </row>
    <row r="543" spans="1:15">
      <c r="A543" s="117" t="s">
        <v>581</v>
      </c>
      <c r="B543" s="40">
        <v>4.5413244307679639</v>
      </c>
      <c r="C543" s="40">
        <v>4.4311250000000006</v>
      </c>
      <c r="D543" s="40">
        <v>3.9708143018144364</v>
      </c>
      <c r="M543" s="117" t="s">
        <v>569</v>
      </c>
      <c r="N543" s="40">
        <v>3.0451114987111199</v>
      </c>
      <c r="O543" s="40">
        <v>1.3958189468337268</v>
      </c>
    </row>
    <row r="544" spans="1:15">
      <c r="A544" s="117" t="s">
        <v>582</v>
      </c>
      <c r="B544" s="40">
        <v>4.5872079004818067</v>
      </c>
      <c r="C544" s="40">
        <v>4.4633750000000001</v>
      </c>
      <c r="D544" s="40">
        <v>3.9832095698554069</v>
      </c>
      <c r="M544" s="117" t="s">
        <v>570</v>
      </c>
      <c r="N544" s="40">
        <v>3.1031472109984501</v>
      </c>
      <c r="O544" s="40">
        <v>1.3829330841596783</v>
      </c>
    </row>
    <row r="545" spans="1:15">
      <c r="A545" s="117" t="s">
        <v>583</v>
      </c>
      <c r="B545" s="40">
        <v>4.6364896647658416</v>
      </c>
      <c r="C545" s="40">
        <v>4.4633750000000001</v>
      </c>
      <c r="D545" s="40">
        <v>4.0144429031887405</v>
      </c>
      <c r="M545" s="117" t="s">
        <v>571</v>
      </c>
      <c r="N545" s="40">
        <v>3.0761940067362201</v>
      </c>
      <c r="O545" s="40">
        <v>1.4516771039800307</v>
      </c>
    </row>
    <row r="546" spans="1:15">
      <c r="A546" s="117" t="s">
        <v>584</v>
      </c>
      <c r="B546" s="40">
        <v>4.5820222288407839</v>
      </c>
      <c r="C546" s="40">
        <v>4.4951249999999998</v>
      </c>
      <c r="D546" s="40">
        <v>4.0144429031887405</v>
      </c>
      <c r="M546" s="117" t="s">
        <v>572</v>
      </c>
      <c r="N546" s="40">
        <v>3.0731891921219798</v>
      </c>
      <c r="O546" s="40">
        <v>1.438824178323201</v>
      </c>
    </row>
    <row r="547" spans="1:15">
      <c r="A547" s="117" t="s">
        <v>585</v>
      </c>
      <c r="B547" s="40">
        <v>4.5497762464413238</v>
      </c>
      <c r="C547" s="40">
        <v>4.4633750000000001</v>
      </c>
      <c r="D547" s="40">
        <v>3.9832095698554069</v>
      </c>
      <c r="M547" s="117" t="s">
        <v>573</v>
      </c>
      <c r="N547" s="40">
        <v>3.05308577181211</v>
      </c>
      <c r="O547" s="40">
        <v>1.4284897763112285</v>
      </c>
    </row>
    <row r="548" spans="1:15">
      <c r="A548" s="117" t="s">
        <v>586</v>
      </c>
      <c r="B548" s="40">
        <v>4.5653319335394613</v>
      </c>
      <c r="C548" s="40">
        <v>4.4633750000000001</v>
      </c>
      <c r="D548" s="40">
        <v>3.9832095698554069</v>
      </c>
      <c r="M548" s="117" t="s">
        <v>574</v>
      </c>
      <c r="N548" s="40">
        <v>3.0490468852483001</v>
      </c>
      <c r="O548" s="40">
        <v>1.4020159699433365</v>
      </c>
    </row>
    <row r="549" spans="1:15">
      <c r="A549" s="117" t="s">
        <v>587</v>
      </c>
      <c r="B549" s="40">
        <v>4.5598204602193242</v>
      </c>
      <c r="C549" s="40">
        <v>4.4951249999999998</v>
      </c>
      <c r="D549" s="40">
        <v>4.0144429031887405</v>
      </c>
      <c r="M549" s="117" t="s">
        <v>575</v>
      </c>
      <c r="N549" s="40">
        <v>3.0821770129948698</v>
      </c>
      <c r="O549" s="40">
        <v>1.4328722188963829</v>
      </c>
    </row>
    <row r="550" spans="1:15">
      <c r="A550" s="117" t="s">
        <v>588</v>
      </c>
      <c r="B550" s="40">
        <v>4.5526684036897613</v>
      </c>
      <c r="C550" s="40">
        <v>4.4633750000000001</v>
      </c>
      <c r="D550" s="40">
        <v>3.9708143018144364</v>
      </c>
      <c r="M550" s="117" t="s">
        <v>576</v>
      </c>
      <c r="N550" s="40">
        <v>3.03783768226076</v>
      </c>
      <c r="O550" s="40">
        <v>1.4516734076712772</v>
      </c>
    </row>
    <row r="551" spans="1:15">
      <c r="A551" s="117" t="s">
        <v>589</v>
      </c>
      <c r="B551" s="40">
        <v>4.575351476416964</v>
      </c>
      <c r="C551" s="40">
        <v>4.4311250000000006</v>
      </c>
      <c r="D551" s="40">
        <v>3.9708143018144364</v>
      </c>
      <c r="M551" s="117" t="s">
        <v>577</v>
      </c>
      <c r="N551" s="40">
        <v>3.1230464878989399</v>
      </c>
      <c r="O551" s="40">
        <v>1.3590812689000915</v>
      </c>
    </row>
    <row r="552" spans="1:15">
      <c r="A552" s="117" t="s">
        <v>590</v>
      </c>
      <c r="B552" s="40">
        <v>4.5789020131350258</v>
      </c>
      <c r="C552" s="40">
        <v>4.4311250000000006</v>
      </c>
      <c r="D552" s="40">
        <v>3.9708143018144364</v>
      </c>
      <c r="M552" s="117" t="s">
        <v>578</v>
      </c>
      <c r="N552" s="40">
        <v>3.1861069346241799</v>
      </c>
      <c r="O552" s="40">
        <v>1.3823786984422664</v>
      </c>
    </row>
    <row r="553" spans="1:15">
      <c r="A553" s="117" t="s">
        <v>591</v>
      </c>
      <c r="B553" s="40">
        <v>4.5441047771311514</v>
      </c>
      <c r="C553" s="40">
        <v>4.4311250000000006</v>
      </c>
      <c r="D553" s="40">
        <v>3.9708143018144364</v>
      </c>
      <c r="M553" s="117" t="s">
        <v>579</v>
      </c>
      <c r="N553" s="40">
        <v>3.1835668268230601</v>
      </c>
      <c r="O553" s="40">
        <v>1.4300661962543626</v>
      </c>
    </row>
    <row r="554" spans="1:15">
      <c r="A554" s="117" t="s">
        <v>592</v>
      </c>
      <c r="B554" s="40">
        <v>4.4976845513475965</v>
      </c>
      <c r="C554" s="40">
        <v>4.3993750000000009</v>
      </c>
      <c r="D554" s="40">
        <v>3.8883955794647993</v>
      </c>
      <c r="M554" s="117" t="s">
        <v>580</v>
      </c>
      <c r="N554" s="40">
        <v>3.11336724887106</v>
      </c>
      <c r="O554" s="40">
        <v>1.4192972354131319</v>
      </c>
    </row>
    <row r="555" spans="1:15">
      <c r="A555" s="117" t="s">
        <v>593</v>
      </c>
      <c r="B555" s="40">
        <v>4.5322657617632212</v>
      </c>
      <c r="C555" s="40">
        <v>4.4314999999999998</v>
      </c>
      <c r="D555" s="40">
        <v>3.9708143018144364</v>
      </c>
      <c r="M555" s="117" t="s">
        <v>581</v>
      </c>
      <c r="N555" s="40">
        <v>3.1829132943818701</v>
      </c>
      <c r="O555" s="40">
        <v>1.3584111363860938</v>
      </c>
    </row>
    <row r="556" spans="1:15">
      <c r="A556" s="117" t="s">
        <v>594</v>
      </c>
      <c r="B556" s="40">
        <v>4.5036742337550191</v>
      </c>
      <c r="C556" s="40">
        <v>4.4311250000000006</v>
      </c>
      <c r="D556" s="40">
        <v>3.9708143018144364</v>
      </c>
      <c r="M556" s="117" t="s">
        <v>582</v>
      </c>
      <c r="N556" s="40">
        <v>3.2322949335607598</v>
      </c>
      <c r="O556" s="40">
        <v>1.3549129669210469</v>
      </c>
    </row>
    <row r="557" spans="1:15">
      <c r="A557" s="117" t="s">
        <v>595</v>
      </c>
      <c r="B557" s="40">
        <v>4.5633227704811077</v>
      </c>
      <c r="C557" s="40">
        <v>4.4951249999999998</v>
      </c>
      <c r="D557" s="40">
        <v>3.9832095698554069</v>
      </c>
      <c r="M557" s="117" t="s">
        <v>583</v>
      </c>
      <c r="N557" s="40">
        <v>3.2180488774769902</v>
      </c>
      <c r="O557" s="40">
        <v>1.418440787288852</v>
      </c>
    </row>
    <row r="558" spans="1:15">
      <c r="A558" s="117" t="s">
        <v>596</v>
      </c>
      <c r="B558" s="40">
        <v>4.5590539041216411</v>
      </c>
      <c r="C558" s="40">
        <v>4.4951249999999998</v>
      </c>
      <c r="D558" s="40">
        <v>4.0144429031887405</v>
      </c>
      <c r="M558" s="117" t="s">
        <v>584</v>
      </c>
      <c r="N558" s="40">
        <v>3.19076268089509</v>
      </c>
      <c r="O558" s="40">
        <v>1.3912595479456935</v>
      </c>
    </row>
    <row r="559" spans="1:15">
      <c r="A559" s="117" t="s">
        <v>597</v>
      </c>
      <c r="B559" s="40">
        <v>4.4859053280740344</v>
      </c>
      <c r="C559" s="40">
        <v>4.4633750000000001</v>
      </c>
      <c r="D559" s="40">
        <v>3.9832095698554069</v>
      </c>
      <c r="M559" s="117" t="s">
        <v>585</v>
      </c>
      <c r="N559" s="40">
        <v>3.1841018118348199</v>
      </c>
      <c r="O559" s="40">
        <v>1.3656744346065048</v>
      </c>
    </row>
    <row r="560" spans="1:15">
      <c r="A560" s="117" t="s">
        <v>598</v>
      </c>
      <c r="B560" s="40">
        <v>4.4522316809511793</v>
      </c>
      <c r="C560" s="40">
        <v>4.3993750000000009</v>
      </c>
      <c r="D560" s="40">
        <v>3.9708143018144364</v>
      </c>
      <c r="M560" s="117" t="s">
        <v>586</v>
      </c>
      <c r="N560" s="40">
        <v>3.1648459578607699</v>
      </c>
      <c r="O560" s="40">
        <v>1.4004859756786916</v>
      </c>
    </row>
    <row r="561" spans="1:15">
      <c r="A561" s="117" t="s">
        <v>599</v>
      </c>
      <c r="B561" s="40">
        <v>4.4918586940471954</v>
      </c>
      <c r="C561" s="40">
        <v>4.4633750000000001</v>
      </c>
      <c r="D561" s="40">
        <v>3.9832095698554069</v>
      </c>
      <c r="M561" s="117" t="s">
        <v>587</v>
      </c>
      <c r="N561" s="40">
        <v>3.18917499104727</v>
      </c>
      <c r="O561" s="40">
        <v>1.3706454691720542</v>
      </c>
    </row>
    <row r="562" spans="1:15">
      <c r="A562" s="117" t="s">
        <v>600</v>
      </c>
      <c r="B562" s="40">
        <v>4.4475090391437577</v>
      </c>
      <c r="C562" s="40">
        <v>4.4314999999999998</v>
      </c>
      <c r="D562" s="40">
        <v>3.9708143018144364</v>
      </c>
      <c r="M562" s="117" t="s">
        <v>588</v>
      </c>
      <c r="N562" s="40">
        <v>3.1752248472544302</v>
      </c>
      <c r="O562" s="40">
        <v>1.3774435564353316</v>
      </c>
    </row>
    <row r="563" spans="1:15">
      <c r="A563" s="117" t="s">
        <v>601</v>
      </c>
      <c r="B563" s="40">
        <v>4.4362326506551772</v>
      </c>
      <c r="C563" s="40">
        <v>4.3993750000000009</v>
      </c>
      <c r="D563" s="40">
        <v>3.9708143018144364</v>
      </c>
      <c r="M563" s="117" t="s">
        <v>589</v>
      </c>
      <c r="N563" s="40">
        <v>3.1937009048335998</v>
      </c>
      <c r="O563" s="40">
        <v>1.3816505715833649</v>
      </c>
    </row>
    <row r="564" spans="1:15">
      <c r="A564" s="117" t="s">
        <v>602</v>
      </c>
      <c r="B564" s="40">
        <v>4.3562413065793395</v>
      </c>
      <c r="C564" s="40">
        <v>4.3035000000000005</v>
      </c>
      <c r="D564" s="40">
        <v>3.8571622461314652</v>
      </c>
      <c r="M564" s="117" t="s">
        <v>590</v>
      </c>
      <c r="N564" s="40">
        <v>3.12563821963785</v>
      </c>
      <c r="O564" s="40">
        <v>1.4532637934971762</v>
      </c>
    </row>
    <row r="565" spans="1:15">
      <c r="A565" s="117" t="s">
        <v>603</v>
      </c>
      <c r="B565" s="40">
        <v>4.3685985104751373</v>
      </c>
      <c r="C565" s="40">
        <v>4.3675000000000006</v>
      </c>
      <c r="D565" s="40">
        <v>3.8571622461314652</v>
      </c>
      <c r="M565" s="117" t="s">
        <v>591</v>
      </c>
      <c r="N565" s="40">
        <v>3.11144834473152</v>
      </c>
      <c r="O565" s="40">
        <v>1.432656432399632</v>
      </c>
    </row>
    <row r="566" spans="1:15">
      <c r="A566" s="117" t="s">
        <v>604</v>
      </c>
      <c r="B566" s="40">
        <v>4.4290053589207048</v>
      </c>
      <c r="C566" s="40">
        <v>4.4311250000000006</v>
      </c>
      <c r="D566" s="40">
        <v>3.8883955794647993</v>
      </c>
      <c r="M566" s="117" t="s">
        <v>592</v>
      </c>
      <c r="N566" s="40">
        <v>3.06145355695508</v>
      </c>
      <c r="O566" s="40">
        <v>1.4362309943925169</v>
      </c>
    </row>
    <row r="567" spans="1:15">
      <c r="A567" s="117" t="s">
        <v>605</v>
      </c>
      <c r="B567" s="40">
        <v>4.4810269428933323</v>
      </c>
      <c r="C567" s="40">
        <v>4.4951249999999998</v>
      </c>
      <c r="D567" s="40">
        <v>3.9832095698554069</v>
      </c>
      <c r="M567" s="117" t="s">
        <v>754</v>
      </c>
      <c r="N567" s="40">
        <v>3.1159737913786199</v>
      </c>
      <c r="O567" s="40"/>
    </row>
    <row r="568" spans="1:15">
      <c r="A568" s="117" t="s">
        <v>606</v>
      </c>
      <c r="B568" s="40">
        <v>4.4738085782035526</v>
      </c>
      <c r="C568" s="40">
        <v>4.4951249999999998</v>
      </c>
      <c r="D568" s="40">
        <v>3.9832095698554069</v>
      </c>
      <c r="M568" s="117" t="s">
        <v>593</v>
      </c>
      <c r="N568" s="40">
        <v>3.1266954027246601</v>
      </c>
      <c r="O568" s="40">
        <v>1.4055703590385618</v>
      </c>
    </row>
    <row r="569" spans="1:15">
      <c r="A569" s="117" t="s">
        <v>607</v>
      </c>
      <c r="B569" s="40">
        <v>4.5026502264006227</v>
      </c>
      <c r="C569" s="40">
        <v>4.5270000000000001</v>
      </c>
      <c r="D569" s="40">
        <v>3.9832095698554069</v>
      </c>
      <c r="M569" s="117" t="s">
        <v>594</v>
      </c>
      <c r="N569" s="40">
        <v>3.14587454818964</v>
      </c>
      <c r="O569" s="40">
        <v>1.3577996855653796</v>
      </c>
    </row>
    <row r="570" spans="1:15">
      <c r="A570" s="117" t="s">
        <v>608</v>
      </c>
      <c r="B570" s="40">
        <v>4.5361011120130383</v>
      </c>
      <c r="C570" s="40">
        <v>4.5270000000000001</v>
      </c>
      <c r="D570" s="40">
        <v>3.9832095698554069</v>
      </c>
      <c r="M570" s="117" t="s">
        <v>595</v>
      </c>
      <c r="N570" s="40">
        <v>3.1762657063573001</v>
      </c>
      <c r="O570" s="40">
        <v>1.3870570641238074</v>
      </c>
    </row>
    <row r="571" spans="1:15">
      <c r="A571" s="117" t="s">
        <v>609</v>
      </c>
      <c r="B571" s="40">
        <v>4.4853187703963631</v>
      </c>
      <c r="C571" s="40">
        <v>4.5587499999999999</v>
      </c>
      <c r="D571" s="40">
        <v>3.9832095698554069</v>
      </c>
      <c r="M571" s="117" t="s">
        <v>596</v>
      </c>
      <c r="N571" s="40">
        <v>3.2164698384240098</v>
      </c>
      <c r="O571" s="40">
        <v>1.3425840656976322</v>
      </c>
    </row>
    <row r="572" spans="1:15">
      <c r="A572" s="117" t="s">
        <v>610</v>
      </c>
      <c r="B572" s="40">
        <v>4.5509054222717467</v>
      </c>
      <c r="C572" s="40">
        <v>4.6227499999999999</v>
      </c>
      <c r="D572" s="40">
        <v>4.0144429031887405</v>
      </c>
      <c r="M572" s="117" t="s">
        <v>597</v>
      </c>
      <c r="N572" s="40">
        <v>3.1651345268873601</v>
      </c>
      <c r="O572" s="40">
        <v>1.3207708011866748</v>
      </c>
    </row>
    <row r="573" spans="1:15">
      <c r="A573" s="117" t="s">
        <v>611</v>
      </c>
      <c r="B573" s="40">
        <v>4.5710029220889306</v>
      </c>
      <c r="C573" s="40">
        <v>4.6227499999999999</v>
      </c>
      <c r="D573" s="40">
        <v>4.0964901368075282</v>
      </c>
      <c r="M573" s="117" t="s">
        <v>598</v>
      </c>
      <c r="N573" s="40">
        <v>3.1413763100515402</v>
      </c>
      <c r="O573" s="40">
        <v>1.3108553708996395</v>
      </c>
    </row>
    <row r="574" spans="1:15">
      <c r="A574" s="117" t="s">
        <v>612</v>
      </c>
      <c r="B574" s="40">
        <v>4.5749048701641106</v>
      </c>
      <c r="C574" s="40">
        <v>4.686375</v>
      </c>
      <c r="D574" s="40">
        <v>4.0964901368075282</v>
      </c>
      <c r="M574" s="117" t="s">
        <v>599</v>
      </c>
      <c r="N574" s="40">
        <v>3.15611019744426</v>
      </c>
      <c r="O574" s="40">
        <v>1.335748496602936</v>
      </c>
    </row>
    <row r="575" spans="1:15">
      <c r="A575" s="117" t="s">
        <v>613</v>
      </c>
      <c r="B575" s="40">
        <v>4.5833136149348368</v>
      </c>
      <c r="C575" s="40">
        <v>4.686375</v>
      </c>
      <c r="D575" s="40">
        <v>4.0964901368075282</v>
      </c>
      <c r="M575" s="117" t="s">
        <v>600</v>
      </c>
      <c r="N575" s="40">
        <v>3.1530775330962602</v>
      </c>
      <c r="O575" s="40">
        <v>1.2944315060474976</v>
      </c>
    </row>
    <row r="576" spans="1:15">
      <c r="A576" s="117" t="s">
        <v>614</v>
      </c>
      <c r="B576" s="40">
        <v>4.6451207136433119</v>
      </c>
      <c r="C576" s="40">
        <v>4.7822499999999994</v>
      </c>
      <c r="D576" s="40">
        <v>4.1092912467808151</v>
      </c>
      <c r="M576" s="117" t="s">
        <v>601</v>
      </c>
      <c r="N576" s="40">
        <v>3.1200244614852002</v>
      </c>
      <c r="O576" s="40">
        <v>1.3162081891699771</v>
      </c>
    </row>
    <row r="577" spans="1:15">
      <c r="A577" s="117" t="s">
        <v>615</v>
      </c>
      <c r="B577" s="40">
        <v>4.5824204874756127</v>
      </c>
      <c r="C577" s="40">
        <v>4.750375</v>
      </c>
      <c r="D577" s="40">
        <v>4.0964901368075282</v>
      </c>
      <c r="M577" s="117" t="s">
        <v>602</v>
      </c>
      <c r="N577" s="40">
        <v>3.0479406911303002</v>
      </c>
      <c r="O577" s="40">
        <v>1.3083006154490393</v>
      </c>
    </row>
    <row r="578" spans="1:15">
      <c r="A578" s="117" t="s">
        <v>616</v>
      </c>
      <c r="B578" s="40">
        <v>4.5261763185644801</v>
      </c>
      <c r="C578" s="40">
        <v>4.5591249999999999</v>
      </c>
      <c r="D578" s="40">
        <v>3.9832095698554069</v>
      </c>
      <c r="M578" s="117" t="s">
        <v>603</v>
      </c>
      <c r="N578" s="40">
        <v>3.1104332506902499</v>
      </c>
      <c r="O578" s="40">
        <v>1.2581652597848882</v>
      </c>
    </row>
    <row r="579" spans="1:15">
      <c r="A579" s="117" t="s">
        <v>617</v>
      </c>
      <c r="B579" s="40">
        <v>4.5654085186335251</v>
      </c>
      <c r="C579" s="40">
        <v>4.5591249999999999</v>
      </c>
      <c r="D579" s="40">
        <v>3.9832095698554069</v>
      </c>
      <c r="M579" s="117" t="s">
        <v>604</v>
      </c>
      <c r="N579" s="40">
        <v>3.10342915438406</v>
      </c>
      <c r="O579" s="40">
        <v>1.3255762045366453</v>
      </c>
    </row>
    <row r="580" spans="1:15">
      <c r="A580" s="117" t="s">
        <v>618</v>
      </c>
      <c r="B580" s="40">
        <v>4.5611201515006021</v>
      </c>
      <c r="C580" s="40">
        <v>4.5587499999999999</v>
      </c>
      <c r="D580" s="40">
        <v>3.9832095698554069</v>
      </c>
      <c r="M580" s="117" t="s">
        <v>605</v>
      </c>
      <c r="N580" s="40">
        <v>3.20642025134075</v>
      </c>
      <c r="O580" s="40">
        <v>1.2746066915525829</v>
      </c>
    </row>
    <row r="581" spans="1:15">
      <c r="A581" s="117" t="s">
        <v>619</v>
      </c>
      <c r="B581" s="40">
        <v>4.4823749280020966</v>
      </c>
      <c r="C581" s="40">
        <v>4.5270000000000001</v>
      </c>
      <c r="D581" s="40">
        <v>3.9708143018144364</v>
      </c>
      <c r="M581" s="117" t="s">
        <v>606</v>
      </c>
      <c r="N581" s="40">
        <v>3.2342757341067498</v>
      </c>
      <c r="O581" s="40">
        <v>1.2395328440968028</v>
      </c>
    </row>
    <row r="582" spans="1:15">
      <c r="A582" s="117" t="s">
        <v>620</v>
      </c>
      <c r="B582" s="40">
        <v>4.4524713251021506</v>
      </c>
      <c r="C582" s="40">
        <v>4.4951249999999998</v>
      </c>
      <c r="D582" s="40">
        <v>3.8883955794647993</v>
      </c>
      <c r="M582" s="117" t="s">
        <v>607</v>
      </c>
      <c r="N582" s="40">
        <v>3.2320225363083699</v>
      </c>
      <c r="O582" s="40">
        <v>1.2706276900922533</v>
      </c>
    </row>
    <row r="583" spans="1:15">
      <c r="A583" s="117" t="s">
        <v>621</v>
      </c>
      <c r="B583" s="40">
        <v>4.4478344426411258</v>
      </c>
      <c r="C583" s="40">
        <v>4.4951249999999998</v>
      </c>
      <c r="D583" s="40">
        <v>3.8883955794647993</v>
      </c>
      <c r="M583" s="117" t="s">
        <v>608</v>
      </c>
      <c r="N583" s="40">
        <v>3.22523463201723</v>
      </c>
      <c r="O583" s="40">
        <v>1.3108664799958092</v>
      </c>
    </row>
    <row r="584" spans="1:15">
      <c r="A584" s="117" t="s">
        <v>622</v>
      </c>
      <c r="B584" s="40">
        <v>4.4271124217914304</v>
      </c>
      <c r="C584" s="40">
        <v>4.5270000000000001</v>
      </c>
      <c r="D584" s="40">
        <v>3.9708143018144364</v>
      </c>
      <c r="M584" s="117" t="s">
        <v>609</v>
      </c>
      <c r="N584" s="40">
        <v>3.2431556019799901</v>
      </c>
      <c r="O584" s="40">
        <v>1.2421631684163734</v>
      </c>
    </row>
    <row r="585" spans="1:15">
      <c r="A585" s="117" t="s">
        <v>623</v>
      </c>
      <c r="B585" s="40">
        <v>4.3719528510173795</v>
      </c>
      <c r="C585" s="40">
        <v>4.4951249999999998</v>
      </c>
      <c r="D585" s="40">
        <v>3.8883955794647993</v>
      </c>
      <c r="M585" s="117" t="s">
        <v>610</v>
      </c>
      <c r="N585" s="40">
        <v>3.2819752362601502</v>
      </c>
      <c r="O585" s="40">
        <v>1.268930186011596</v>
      </c>
    </row>
    <row r="586" spans="1:15">
      <c r="A586" s="117" t="s">
        <v>624</v>
      </c>
      <c r="B586" s="40">
        <v>4.4315013439708046</v>
      </c>
      <c r="C586" s="40">
        <v>4.5587499999999999</v>
      </c>
      <c r="D586" s="40">
        <v>3.9708143018144364</v>
      </c>
      <c r="M586" s="117" t="s">
        <v>611</v>
      </c>
      <c r="N586" s="40">
        <v>3.3406216672638802</v>
      </c>
      <c r="O586" s="40">
        <v>1.2303812548250501</v>
      </c>
    </row>
    <row r="587" spans="1:15">
      <c r="A587" s="117" t="s">
        <v>625</v>
      </c>
      <c r="B587" s="40">
        <v>4.4378283571716128</v>
      </c>
      <c r="C587" s="40">
        <v>4.5587499999999999</v>
      </c>
      <c r="D587" s="40">
        <v>3.9708143018144364</v>
      </c>
      <c r="M587" s="117" t="s">
        <v>612</v>
      </c>
      <c r="N587" s="40">
        <v>3.3206925533128699</v>
      </c>
      <c r="O587" s="40">
        <v>1.2542123168512402</v>
      </c>
    </row>
    <row r="588" spans="1:15">
      <c r="A588" s="117" t="s">
        <v>626</v>
      </c>
      <c r="B588" s="40">
        <v>4.4125205304214745</v>
      </c>
      <c r="C588" s="40">
        <v>4.5270000000000001</v>
      </c>
      <c r="D588" s="40">
        <v>3.9708143018144364</v>
      </c>
      <c r="M588" s="117" t="s">
        <v>613</v>
      </c>
      <c r="N588" s="40">
        <v>3.35448233982074</v>
      </c>
      <c r="O588" s="40">
        <v>1.2288312751140966</v>
      </c>
    </row>
    <row r="589" spans="1:15">
      <c r="A589" s="117" t="s">
        <v>627</v>
      </c>
      <c r="B589" s="40">
        <v>4.4291154093352567</v>
      </c>
      <c r="C589" s="40">
        <v>4.5270000000000001</v>
      </c>
      <c r="D589" s="40">
        <v>3.9708143018144364</v>
      </c>
      <c r="M589" s="117" t="s">
        <v>614</v>
      </c>
      <c r="N589" s="40">
        <v>3.3507469979464899</v>
      </c>
      <c r="O589" s="40">
        <v>1.2943737156968225</v>
      </c>
    </row>
    <row r="590" spans="1:15">
      <c r="A590" s="117" t="s">
        <v>628</v>
      </c>
      <c r="B590" s="40">
        <v>4.4043210072911201</v>
      </c>
      <c r="C590" s="40">
        <v>4.4633750000000001</v>
      </c>
      <c r="D590" s="40">
        <v>3.9708143018144364</v>
      </c>
      <c r="M590" s="117" t="s">
        <v>615</v>
      </c>
      <c r="N590" s="40">
        <v>3.2454530703247602</v>
      </c>
      <c r="O590" s="40">
        <v>1.3369674171508525</v>
      </c>
    </row>
    <row r="591" spans="1:15">
      <c r="A591" s="117" t="s">
        <v>629</v>
      </c>
      <c r="B591" s="40">
        <v>4.3806402991046207</v>
      </c>
      <c r="C591" s="40">
        <v>4.4314999999999998</v>
      </c>
      <c r="D591" s="40">
        <v>3.8571622461314652</v>
      </c>
      <c r="M591" s="117" t="s">
        <v>616</v>
      </c>
      <c r="N591" s="40">
        <v>3.2604043069453401</v>
      </c>
      <c r="O591" s="40">
        <v>1.26577201161914</v>
      </c>
    </row>
    <row r="592" spans="1:15">
      <c r="A592" s="117" t="s">
        <v>630</v>
      </c>
      <c r="B592" s="40">
        <v>4.3667458611386945</v>
      </c>
      <c r="C592" s="40">
        <v>4.4633750000000001</v>
      </c>
      <c r="D592" s="40">
        <v>3.8883955794647993</v>
      </c>
      <c r="M592" s="117" t="s">
        <v>617</v>
      </c>
      <c r="N592" s="40">
        <v>3.2371023816739601</v>
      </c>
      <c r="O592" s="40">
        <v>1.3283061369595652</v>
      </c>
    </row>
    <row r="593" spans="1:15">
      <c r="A593" s="117" t="s">
        <v>631</v>
      </c>
      <c r="B593" s="40">
        <v>4.3771372282095964</v>
      </c>
      <c r="C593" s="40">
        <v>4.4314999999999998</v>
      </c>
      <c r="D593" s="40">
        <v>3.8571622461314652</v>
      </c>
      <c r="M593" s="117" t="s">
        <v>618</v>
      </c>
      <c r="N593" s="40">
        <v>3.2160937594911698</v>
      </c>
      <c r="O593" s="40">
        <v>1.3450263920094332</v>
      </c>
    </row>
    <row r="594" spans="1:15">
      <c r="A594" s="117" t="s">
        <v>632</v>
      </c>
      <c r="B594" s="40">
        <v>4.384524968260302</v>
      </c>
      <c r="C594" s="40">
        <v>4.4311250000000006</v>
      </c>
      <c r="D594" s="40">
        <v>3.8571622461314652</v>
      </c>
      <c r="M594" s="117" t="s">
        <v>619</v>
      </c>
      <c r="N594" s="40">
        <v>3.1691629122543801</v>
      </c>
      <c r="O594" s="40">
        <v>1.313212015747717</v>
      </c>
    </row>
    <row r="595" spans="1:15">
      <c r="A595" s="117" t="s">
        <v>633</v>
      </c>
      <c r="B595" s="40">
        <v>4.3724636231968432</v>
      </c>
      <c r="C595" s="40">
        <v>4.4951249999999998</v>
      </c>
      <c r="D595" s="40">
        <v>3.8883955794647993</v>
      </c>
      <c r="M595" s="117" t="s">
        <v>620</v>
      </c>
      <c r="N595" s="40">
        <v>3.13601308669194</v>
      </c>
      <c r="O595" s="40">
        <v>1.3164582384102108</v>
      </c>
    </row>
    <row r="596" spans="1:15">
      <c r="A596" s="117" t="s">
        <v>634</v>
      </c>
      <c r="B596" s="40">
        <v>4.3305408979196365</v>
      </c>
      <c r="C596" s="40">
        <v>4.4633750000000001</v>
      </c>
      <c r="D596" s="40">
        <v>3.8571622461314652</v>
      </c>
      <c r="M596" s="117" t="s">
        <v>621</v>
      </c>
      <c r="N596" s="40">
        <v>3.16228142903738</v>
      </c>
      <c r="O596" s="40">
        <v>1.2855530136037454</v>
      </c>
    </row>
    <row r="597" spans="1:15">
      <c r="A597" s="117" t="s">
        <v>635</v>
      </c>
      <c r="B597" s="40">
        <v>4.317149777530366</v>
      </c>
      <c r="C597" s="40">
        <v>4.4311250000000006</v>
      </c>
      <c r="D597" s="40">
        <v>3.8451078179729343</v>
      </c>
      <c r="M597" s="117" t="s">
        <v>622</v>
      </c>
      <c r="N597" s="40">
        <v>3.1557690807885401</v>
      </c>
      <c r="O597" s="40">
        <v>1.27134334100289</v>
      </c>
    </row>
    <row r="598" spans="1:15">
      <c r="A598" s="117" t="s">
        <v>636</v>
      </c>
      <c r="B598" s="40">
        <v>4.264550286037001</v>
      </c>
      <c r="C598" s="40">
        <v>4.3993750000000009</v>
      </c>
      <c r="D598" s="40">
        <v>3.7623159204917345</v>
      </c>
      <c r="M598" s="117" t="s">
        <v>623</v>
      </c>
      <c r="N598" s="40">
        <v>3.12573819371962</v>
      </c>
      <c r="O598" s="40">
        <v>1.2462146572977593</v>
      </c>
    </row>
    <row r="599" spans="1:15">
      <c r="A599" s="117" t="s">
        <v>637</v>
      </c>
      <c r="B599" s="40">
        <v>4.2675764997853776</v>
      </c>
      <c r="C599" s="40">
        <v>4.4311250000000006</v>
      </c>
      <c r="D599" s="40">
        <v>3.7623159204917345</v>
      </c>
      <c r="M599" s="117" t="s">
        <v>624</v>
      </c>
      <c r="N599" s="40">
        <v>3.17921056091257</v>
      </c>
      <c r="O599" s="40">
        <v>1.2522907830582346</v>
      </c>
    </row>
    <row r="600" spans="1:15">
      <c r="A600" s="117" t="s">
        <v>638</v>
      </c>
      <c r="B600" s="40">
        <v>4.2260521849684443</v>
      </c>
      <c r="C600" s="40">
        <v>4.5270000000000001</v>
      </c>
      <c r="D600" s="40">
        <v>3.7310825871584004</v>
      </c>
      <c r="M600" s="117" t="s">
        <v>625</v>
      </c>
      <c r="N600" s="40">
        <v>3.14154244535563</v>
      </c>
      <c r="O600" s="40">
        <v>1.2962859118159822</v>
      </c>
    </row>
    <row r="601" spans="1:15">
      <c r="A601" s="117" t="s">
        <v>639</v>
      </c>
      <c r="B601" s="40">
        <v>4.2143218889874019</v>
      </c>
      <c r="C601" s="40">
        <v>4.5270000000000001</v>
      </c>
      <c r="D601" s="40">
        <v>3.7310825871584004</v>
      </c>
      <c r="M601" s="117" t="s">
        <v>626</v>
      </c>
      <c r="N601" s="40">
        <v>3.1654132061037701</v>
      </c>
      <c r="O601" s="40">
        <v>1.2471073243177044</v>
      </c>
    </row>
    <row r="602" spans="1:15">
      <c r="A602" s="117" t="s">
        <v>640</v>
      </c>
      <c r="B602" s="40">
        <v>4.2580285401652658</v>
      </c>
      <c r="C602" s="40">
        <v>4.5587499999999999</v>
      </c>
      <c r="D602" s="40">
        <v>3.7623159204917345</v>
      </c>
      <c r="M602" s="117" t="s">
        <v>627</v>
      </c>
      <c r="N602" s="40">
        <v>3.1464660335213801</v>
      </c>
      <c r="O602" s="40">
        <v>1.2826493758138766</v>
      </c>
    </row>
    <row r="603" spans="1:15">
      <c r="A603" s="117" t="s">
        <v>641</v>
      </c>
      <c r="B603" s="40">
        <v>4.2427402769480835</v>
      </c>
      <c r="C603" s="40">
        <v>4.5587499999999999</v>
      </c>
      <c r="D603" s="40">
        <v>3.7623159204917345</v>
      </c>
      <c r="M603" s="117" t="s">
        <v>628</v>
      </c>
      <c r="N603" s="40">
        <v>3.0927700686783002</v>
      </c>
      <c r="O603" s="40">
        <v>1.3115509386128199</v>
      </c>
    </row>
    <row r="604" spans="1:15">
      <c r="A604" s="117" t="s">
        <v>642</v>
      </c>
      <c r="B604" s="40">
        <v>4.3105626137475221</v>
      </c>
      <c r="C604" s="40">
        <v>4.6227499999999999</v>
      </c>
      <c r="D604" s="40">
        <v>3.8451078179729343</v>
      </c>
      <c r="M604" s="117" t="s">
        <v>629</v>
      </c>
      <c r="N604" s="40">
        <v>3.0853787320257</v>
      </c>
      <c r="O604" s="40">
        <v>1.2952615670789209</v>
      </c>
    </row>
    <row r="605" spans="1:15">
      <c r="A605" s="117" t="s">
        <v>643</v>
      </c>
      <c r="B605" s="40">
        <v>4.313491542118058</v>
      </c>
      <c r="C605" s="40">
        <v>4.6227499999999999</v>
      </c>
      <c r="D605" s="40">
        <v>3.8571622461314652</v>
      </c>
      <c r="M605" s="117" t="s">
        <v>630</v>
      </c>
      <c r="N605" s="40">
        <v>3.0998224631634499</v>
      </c>
      <c r="O605" s="40">
        <v>1.2669233979752441</v>
      </c>
    </row>
    <row r="606" spans="1:15">
      <c r="A606" s="117" t="s">
        <v>644</v>
      </c>
      <c r="B606" s="40">
        <v>4.3511673041738543</v>
      </c>
      <c r="C606" s="40">
        <v>4.6546249999999993</v>
      </c>
      <c r="D606" s="40">
        <v>3.8883955794647993</v>
      </c>
      <c r="M606" s="117" t="s">
        <v>631</v>
      </c>
      <c r="N606" s="40">
        <v>3.0807227057386499</v>
      </c>
      <c r="O606" s="40">
        <v>1.2964145224709467</v>
      </c>
    </row>
    <row r="607" spans="1:15">
      <c r="A607" s="117" t="s">
        <v>645</v>
      </c>
      <c r="B607" s="40">
        <v>4.3390436070513809</v>
      </c>
      <c r="C607" s="40">
        <v>4.6546249999999993</v>
      </c>
      <c r="D607" s="40">
        <v>3.8571622461314652</v>
      </c>
      <c r="M607" s="117" t="s">
        <v>632</v>
      </c>
      <c r="N607" s="40">
        <v>3.1209189236978601</v>
      </c>
      <c r="O607" s="40">
        <v>1.263606044562442</v>
      </c>
    </row>
    <row r="608" spans="1:15">
      <c r="A608" s="117" t="s">
        <v>646</v>
      </c>
      <c r="B608" s="40">
        <v>4.3580242743277342</v>
      </c>
      <c r="C608" s="40">
        <v>4.6227499999999999</v>
      </c>
      <c r="D608" s="40">
        <v>3.8571622461314652</v>
      </c>
      <c r="M608" s="117" t="s">
        <v>633</v>
      </c>
      <c r="N608" s="40">
        <v>3.1141964081853302</v>
      </c>
      <c r="O608" s="40">
        <v>1.2582672150115126</v>
      </c>
    </row>
    <row r="609" spans="1:15">
      <c r="A609" s="117" t="s">
        <v>647</v>
      </c>
      <c r="B609" s="40">
        <v>4.3235787418551226</v>
      </c>
      <c r="C609" s="40">
        <v>4.5910000000000002</v>
      </c>
      <c r="D609" s="40">
        <v>3.8571622461314652</v>
      </c>
      <c r="M609" s="117" t="s">
        <v>634</v>
      </c>
      <c r="N609" s="40">
        <v>3.0374940248305098</v>
      </c>
      <c r="O609" s="40">
        <v>1.2930468730891267</v>
      </c>
    </row>
    <row r="610" spans="1:15">
      <c r="A610" s="117" t="s">
        <v>648</v>
      </c>
      <c r="B610" s="40">
        <v>4.3623920030378223</v>
      </c>
      <c r="C610" s="40">
        <v>4.6227499999999999</v>
      </c>
      <c r="D610" s="40">
        <v>3.8571622461314652</v>
      </c>
      <c r="M610" s="117" t="s">
        <v>635</v>
      </c>
      <c r="N610" s="40">
        <v>3.0385942417440401</v>
      </c>
      <c r="O610" s="40">
        <v>1.2785555357863252</v>
      </c>
    </row>
    <row r="611" spans="1:15">
      <c r="A611" s="117" t="s">
        <v>649</v>
      </c>
      <c r="B611" s="40">
        <v>4.3129113294353099</v>
      </c>
      <c r="C611" s="40">
        <v>4.5910000000000002</v>
      </c>
      <c r="D611" s="40">
        <v>3.8571622461314652</v>
      </c>
      <c r="M611" s="117" t="s">
        <v>636</v>
      </c>
      <c r="N611" s="40">
        <v>2.9754212603526402</v>
      </c>
      <c r="O611" s="40">
        <v>1.2891290256843611</v>
      </c>
    </row>
    <row r="612" spans="1:15">
      <c r="A612" s="117" t="s">
        <v>650</v>
      </c>
      <c r="B612" s="40">
        <v>4.3978539360828401</v>
      </c>
      <c r="C612" s="40">
        <v>4.6227499999999999</v>
      </c>
      <c r="D612" s="40">
        <v>3.8883955794647993</v>
      </c>
      <c r="M612" s="117" t="s">
        <v>637</v>
      </c>
      <c r="N612" s="40">
        <v>2.98409934955184</v>
      </c>
      <c r="O612" s="40">
        <v>1.2834771502335374</v>
      </c>
    </row>
    <row r="613" spans="1:15">
      <c r="A613" s="117" t="s">
        <v>651</v>
      </c>
      <c r="B613" s="40">
        <v>4.3665891929541578</v>
      </c>
      <c r="C613" s="40">
        <v>4.5910000000000002</v>
      </c>
      <c r="D613" s="40">
        <v>3.8883955794647993</v>
      </c>
      <c r="M613" s="117" t="s">
        <v>638</v>
      </c>
      <c r="N613" s="40">
        <v>2.9250473100689098</v>
      </c>
      <c r="O613" s="40">
        <v>1.3010048748995342</v>
      </c>
    </row>
    <row r="614" spans="1:15">
      <c r="A614" s="117" t="s">
        <v>652</v>
      </c>
      <c r="B614" s="40">
        <v>4.3353834218782454</v>
      </c>
      <c r="C614" s="40">
        <v>4.5910000000000002</v>
      </c>
      <c r="D614" s="40">
        <v>3.8883955794647993</v>
      </c>
      <c r="M614" s="117" t="s">
        <v>639</v>
      </c>
      <c r="N614" s="40">
        <v>2.9490872231359599</v>
      </c>
      <c r="O614" s="40">
        <v>1.2652346658514417</v>
      </c>
    </row>
    <row r="615" spans="1:15">
      <c r="A615" s="117" t="s">
        <v>653</v>
      </c>
      <c r="B615" s="40">
        <v>4.3587858650641191</v>
      </c>
      <c r="C615" s="40">
        <v>4.6227499999999999</v>
      </c>
      <c r="D615" s="40">
        <v>3.8883955794647993</v>
      </c>
      <c r="M615" s="117" t="s">
        <v>640</v>
      </c>
      <c r="N615" s="40">
        <v>2.98817605273842</v>
      </c>
      <c r="O615" s="40">
        <v>1.2698524874268458</v>
      </c>
    </row>
    <row r="616" spans="1:15">
      <c r="A616" s="117" t="s">
        <v>654</v>
      </c>
      <c r="B616" s="40">
        <v>4.3587858650641191</v>
      </c>
      <c r="C616" s="40">
        <v>4.6227499999999999</v>
      </c>
      <c r="D616" s="40">
        <v>3.8883955794647993</v>
      </c>
      <c r="M616" s="117" t="s">
        <v>641</v>
      </c>
      <c r="N616" s="40">
        <v>2.9809859854313698</v>
      </c>
      <c r="O616" s="40">
        <v>1.2617542915167137</v>
      </c>
    </row>
    <row r="617" spans="1:15">
      <c r="A617" s="117" t="s">
        <v>655</v>
      </c>
      <c r="B617" s="40">
        <v>4.3147499926192072</v>
      </c>
      <c r="C617" s="40">
        <v>4.6227499999999999</v>
      </c>
      <c r="D617" s="40">
        <v>3.8571622461314652</v>
      </c>
      <c r="M617" s="117" t="s">
        <v>642</v>
      </c>
      <c r="N617" s="40">
        <v>3.0169909715329202</v>
      </c>
      <c r="O617" s="40">
        <v>1.2935716422146022</v>
      </c>
    </row>
    <row r="618" spans="1:15">
      <c r="A618" s="117" t="s">
        <v>656</v>
      </c>
      <c r="B618" s="40">
        <v>4.3164183903068007</v>
      </c>
      <c r="C618" s="40">
        <v>4.6227499999999999</v>
      </c>
      <c r="D618" s="40">
        <v>3.8451078179729343</v>
      </c>
      <c r="M618" s="117" t="s">
        <v>643</v>
      </c>
      <c r="N618" s="40">
        <v>3.0874346795919401</v>
      </c>
      <c r="O618" s="40">
        <v>1.2260568625261175</v>
      </c>
    </row>
    <row r="619" spans="1:15">
      <c r="A619" s="117" t="s">
        <v>657</v>
      </c>
      <c r="B619" s="40">
        <v>4.313491542118058</v>
      </c>
      <c r="C619" s="40">
        <v>4.6227499999999999</v>
      </c>
      <c r="D619" s="40">
        <v>3.8451078179729343</v>
      </c>
      <c r="M619" s="117" t="s">
        <v>644</v>
      </c>
      <c r="N619" s="40">
        <v>3.0602135791338601</v>
      </c>
      <c r="O619" s="40">
        <v>1.2909537250399936</v>
      </c>
    </row>
    <row r="620" spans="1:15">
      <c r="A620" s="117" t="s">
        <v>658</v>
      </c>
      <c r="B620" s="40">
        <v>4.2559020119463842</v>
      </c>
      <c r="C620" s="40">
        <v>4.5270000000000001</v>
      </c>
      <c r="D620" s="40">
        <v>3.7310825871584004</v>
      </c>
      <c r="M620" s="117" t="s">
        <v>645</v>
      </c>
      <c r="N620" s="40">
        <v>3.0345757133158</v>
      </c>
      <c r="O620" s="40">
        <v>1.3044678937355811</v>
      </c>
    </row>
    <row r="621" spans="1:15">
      <c r="A621" s="117" t="s">
        <v>659</v>
      </c>
      <c r="B621" s="40">
        <v>4.1999971717177615</v>
      </c>
      <c r="C621" s="40">
        <v>4.5587499999999999</v>
      </c>
      <c r="D621" s="40">
        <v>3.7310825871584004</v>
      </c>
      <c r="M621" s="117" t="s">
        <v>646</v>
      </c>
      <c r="N621" s="40">
        <v>3.0168102354422901</v>
      </c>
      <c r="O621" s="40">
        <v>1.3412140388854445</v>
      </c>
    </row>
    <row r="622" spans="1:15">
      <c r="A622" s="117" t="s">
        <v>660</v>
      </c>
      <c r="B622" s="40">
        <v>4.2116018551782108</v>
      </c>
      <c r="C622" s="40">
        <v>4.5587499999999999</v>
      </c>
      <c r="D622" s="40">
        <v>3.7623159204917345</v>
      </c>
      <c r="M622" s="117" t="s">
        <v>647</v>
      </c>
      <c r="N622" s="40">
        <v>3.0580560556291201</v>
      </c>
      <c r="O622" s="40">
        <v>1.2655226862260021</v>
      </c>
    </row>
    <row r="623" spans="1:15">
      <c r="A623" s="117" t="s">
        <v>661</v>
      </c>
      <c r="B623" s="40">
        <v>4.2332941768911345</v>
      </c>
      <c r="C623" s="40">
        <v>4.5587499999999999</v>
      </c>
      <c r="D623" s="40">
        <v>3.7623159204917345</v>
      </c>
      <c r="M623" s="117" t="s">
        <v>648</v>
      </c>
      <c r="N623" s="40">
        <v>3.02195489821497</v>
      </c>
      <c r="O623" s="40">
        <v>1.3404371048228521</v>
      </c>
    </row>
    <row r="624" spans="1:15">
      <c r="A624" s="117" t="s">
        <v>662</v>
      </c>
      <c r="B624" s="40">
        <v>4.2216451771887771</v>
      </c>
      <c r="C624" s="40">
        <v>4.5587499999999999</v>
      </c>
      <c r="D624" s="40">
        <v>3.7623159204917345</v>
      </c>
      <c r="M624" s="117" t="s">
        <v>649</v>
      </c>
      <c r="N624" s="40">
        <v>3.04669100104817</v>
      </c>
      <c r="O624" s="40">
        <v>1.2662203283871403</v>
      </c>
    </row>
    <row r="625" spans="1:15">
      <c r="A625" s="117" t="s">
        <v>663</v>
      </c>
      <c r="B625" s="40">
        <v>4.2529166295058225</v>
      </c>
      <c r="C625" s="40">
        <v>4.5910000000000002</v>
      </c>
      <c r="D625" s="40">
        <v>3.8451078179729343</v>
      </c>
      <c r="M625" s="117" t="s">
        <v>650</v>
      </c>
      <c r="N625" s="40">
        <v>3.0837456473004301</v>
      </c>
      <c r="O625" s="40">
        <v>1.31410828878241</v>
      </c>
    </row>
    <row r="626" spans="1:15">
      <c r="A626" s="117" t="s">
        <v>664</v>
      </c>
      <c r="B626" s="40">
        <v>4.2186997883093902</v>
      </c>
      <c r="C626" s="40">
        <v>4.5910000000000002</v>
      </c>
      <c r="D626" s="40">
        <v>3.7623159204917345</v>
      </c>
      <c r="M626" s="117" t="s">
        <v>651</v>
      </c>
      <c r="N626" s="40">
        <v>3.07550277889916</v>
      </c>
      <c r="O626" s="40">
        <v>1.2910864140549976</v>
      </c>
    </row>
    <row r="627" spans="1:15">
      <c r="A627" s="117" t="s">
        <v>665</v>
      </c>
      <c r="B627" s="40">
        <v>4.248169561228246</v>
      </c>
      <c r="C627" s="40">
        <v>4.5910000000000002</v>
      </c>
      <c r="D627" s="40">
        <v>3.7623159204917345</v>
      </c>
      <c r="M627" s="117" t="s">
        <v>652</v>
      </c>
      <c r="N627" s="40">
        <v>3.0924935285971999</v>
      </c>
      <c r="O627" s="40">
        <v>1.2428898932810455</v>
      </c>
    </row>
    <row r="628" spans="1:15">
      <c r="A628" s="117" t="s">
        <v>666</v>
      </c>
      <c r="B628" s="40">
        <v>4.2303868503729305</v>
      </c>
      <c r="C628" s="40">
        <v>4.5910000000000002</v>
      </c>
      <c r="D628" s="40">
        <v>3.7623159204917345</v>
      </c>
      <c r="M628" s="117" t="s">
        <v>755</v>
      </c>
      <c r="N628" s="40">
        <v>3.1238691664051901</v>
      </c>
      <c r="O628" s="40"/>
    </row>
    <row r="629" spans="1:15">
      <c r="A629" s="117" t="s">
        <v>667</v>
      </c>
      <c r="B629" s="40">
        <v>4.2511052622819649</v>
      </c>
      <c r="C629" s="40">
        <v>4.5910000000000002</v>
      </c>
      <c r="D629" s="40">
        <v>4.1746520753994307</v>
      </c>
      <c r="M629" s="117" t="s">
        <v>653</v>
      </c>
      <c r="N629" s="40">
        <v>3.1370226273665902</v>
      </c>
      <c r="O629" s="40">
        <v>1.2217632376975294</v>
      </c>
    </row>
    <row r="630" spans="1:15">
      <c r="A630" s="117" t="s">
        <v>668</v>
      </c>
      <c r="B630" s="40">
        <v>4.1380850230351678</v>
      </c>
      <c r="C630" s="40">
        <v>4.5587499999999999</v>
      </c>
      <c r="D630" s="40">
        <v>4.2571164346307437</v>
      </c>
      <c r="M630" s="117" t="s">
        <v>654</v>
      </c>
      <c r="N630" s="40">
        <v>3.13354455783506</v>
      </c>
      <c r="O630" s="40">
        <v>1.2252413072290596</v>
      </c>
    </row>
    <row r="631" spans="1:15">
      <c r="A631" s="117" t="s">
        <v>669</v>
      </c>
      <c r="B631" s="40">
        <v>4.1831886740406343</v>
      </c>
      <c r="C631" s="40">
        <v>4.5910000000000002</v>
      </c>
      <c r="D631" s="40">
        <v>4.1481752040431985</v>
      </c>
      <c r="M631" s="117" t="s">
        <v>655</v>
      </c>
      <c r="N631" s="40">
        <v>3.0503961031254101</v>
      </c>
      <c r="O631" s="40">
        <v>1.2643538894937967</v>
      </c>
    </row>
    <row r="632" spans="1:15">
      <c r="A632" s="117" t="s">
        <v>670</v>
      </c>
      <c r="B632" s="40">
        <v>4.1701960043980577</v>
      </c>
      <c r="C632" s="40">
        <v>4.5587499999999999</v>
      </c>
      <c r="D632" s="40">
        <v>4.1481752040431985</v>
      </c>
      <c r="M632" s="117" t="s">
        <v>656</v>
      </c>
      <c r="N632" s="40">
        <v>3.0540256886172599</v>
      </c>
      <c r="O632" s="40">
        <v>1.2623927016895407</v>
      </c>
    </row>
    <row r="633" spans="1:15">
      <c r="A633" s="117" t="s">
        <v>671</v>
      </c>
      <c r="B633" s="40">
        <v>4.1696642203376886</v>
      </c>
      <c r="C633" s="40">
        <v>4.5587499999999999</v>
      </c>
      <c r="D633" s="40">
        <v>4.1481752040431985</v>
      </c>
      <c r="M633" s="117" t="s">
        <v>657</v>
      </c>
      <c r="N633" s="40">
        <v>3.0367748690923499</v>
      </c>
      <c r="O633" s="40">
        <v>1.2767166730257076</v>
      </c>
    </row>
    <row r="634" spans="1:15">
      <c r="A634" s="117" t="s">
        <v>672</v>
      </c>
      <c r="B634" s="40">
        <v>4.1486800011591818</v>
      </c>
      <c r="C634" s="40">
        <v>4.5587499999999999</v>
      </c>
      <c r="D634" s="40">
        <v>4.1746520753994307</v>
      </c>
      <c r="M634" s="117" t="s">
        <v>658</v>
      </c>
      <c r="N634" s="40">
        <v>2.9255759416218798</v>
      </c>
      <c r="O634" s="40">
        <v>1.3303260703245043</v>
      </c>
    </row>
    <row r="635" spans="1:15">
      <c r="A635" s="117" t="s">
        <v>673</v>
      </c>
      <c r="B635" s="40">
        <v>4.1435371431785839</v>
      </c>
      <c r="C635" s="40">
        <v>4.5910000000000002</v>
      </c>
      <c r="D635" s="40">
        <v>4.1746520753994307</v>
      </c>
      <c r="M635" s="117" t="s">
        <v>659</v>
      </c>
      <c r="N635" s="40">
        <v>2.96077919351512</v>
      </c>
      <c r="O635" s="40">
        <v>1.2392179782026409</v>
      </c>
    </row>
    <row r="636" spans="1:15">
      <c r="A636" s="117" t="s">
        <v>674</v>
      </c>
      <c r="B636" s="40">
        <v>4.1575655512144669</v>
      </c>
      <c r="C636" s="40">
        <v>4.5910000000000002</v>
      </c>
      <c r="D636" s="40">
        <v>4.1746520753994307</v>
      </c>
      <c r="M636" s="117" t="s">
        <v>660</v>
      </c>
      <c r="N636" s="40">
        <v>2.9772059927121801</v>
      </c>
      <c r="O636" s="40">
        <v>1.2343958624660312</v>
      </c>
    </row>
    <row r="637" spans="1:15">
      <c r="A637" s="117" t="s">
        <v>675</v>
      </c>
      <c r="B637" s="40">
        <v>4.1809500753891857</v>
      </c>
      <c r="C637" s="40">
        <v>4.6227499999999999</v>
      </c>
      <c r="D637" s="40">
        <v>4.1746520753994307</v>
      </c>
      <c r="M637" s="117" t="s">
        <v>661</v>
      </c>
      <c r="N637" s="40">
        <v>2.98253297919802</v>
      </c>
      <c r="O637" s="40">
        <v>1.250761197693115</v>
      </c>
    </row>
    <row r="638" spans="1:15">
      <c r="A638" s="117" t="s">
        <v>676</v>
      </c>
      <c r="B638" s="40">
        <v>4.0949683646862614</v>
      </c>
      <c r="C638" s="40">
        <v>4.5910000000000002</v>
      </c>
      <c r="D638" s="40">
        <v>4.1481752040431985</v>
      </c>
      <c r="M638" s="117" t="s">
        <v>662</v>
      </c>
      <c r="N638" s="40">
        <v>3.0058699919752301</v>
      </c>
      <c r="O638" s="40">
        <v>1.215775185213547</v>
      </c>
    </row>
    <row r="639" spans="1:15">
      <c r="A639" s="117" t="s">
        <v>677</v>
      </c>
      <c r="B639" s="40">
        <v>4.1248649211744954</v>
      </c>
      <c r="C639" s="40">
        <v>4.6546249999999993</v>
      </c>
      <c r="D639" s="40">
        <v>4.1746520753994307</v>
      </c>
      <c r="M639" s="117" t="s">
        <v>663</v>
      </c>
      <c r="N639" s="40">
        <v>2.9850094443117499</v>
      </c>
      <c r="O639" s="40">
        <v>1.2679071851940724</v>
      </c>
    </row>
    <row r="640" spans="1:15">
      <c r="A640" s="117" t="s">
        <v>678</v>
      </c>
      <c r="B640" s="40">
        <v>4.1353324760473065</v>
      </c>
      <c r="C640" s="40">
        <v>4.6546249999999993</v>
      </c>
      <c r="D640" s="40">
        <v>4.1746520753994307</v>
      </c>
      <c r="M640" s="117" t="s">
        <v>664</v>
      </c>
      <c r="N640" s="40">
        <v>2.9655991684288501</v>
      </c>
      <c r="O640" s="40">
        <v>1.2531006198805399</v>
      </c>
    </row>
    <row r="641" spans="1:15">
      <c r="A641" s="117" t="s">
        <v>679</v>
      </c>
      <c r="B641" s="40">
        <v>4.1553418370912159</v>
      </c>
      <c r="C641" s="40">
        <v>4.686375</v>
      </c>
      <c r="D641" s="40">
        <v>4.1746520753994307</v>
      </c>
      <c r="M641" s="117" t="s">
        <v>756</v>
      </c>
      <c r="N641" s="40">
        <v>2.9675370068735298</v>
      </c>
      <c r="O641" s="40"/>
    </row>
    <row r="642" spans="1:15">
      <c r="A642" s="117" t="s">
        <v>680</v>
      </c>
      <c r="B642" s="40">
        <v>4.1560785126070803</v>
      </c>
      <c r="C642" s="40">
        <v>4.686375</v>
      </c>
      <c r="D642" s="40">
        <v>4.0688746701783671</v>
      </c>
      <c r="M642" s="117" t="s">
        <v>665</v>
      </c>
      <c r="N642" s="40">
        <v>2.9372545764826601</v>
      </c>
      <c r="O642" s="40">
        <v>1.3109149847455859</v>
      </c>
    </row>
    <row r="643" spans="1:15">
      <c r="A643" s="117" t="s">
        <v>681</v>
      </c>
      <c r="B643" s="40">
        <v>4.1398301842733334</v>
      </c>
      <c r="C643" s="40">
        <v>4.686375</v>
      </c>
      <c r="D643" s="40">
        <v>4.1746520753994307</v>
      </c>
      <c r="M643" s="117" t="s">
        <v>666</v>
      </c>
      <c r="N643" s="40">
        <v>2.9230211048442398</v>
      </c>
      <c r="O643" s="40">
        <v>1.3073657455286902</v>
      </c>
    </row>
    <row r="644" spans="1:15">
      <c r="A644" s="117" t="s">
        <v>682</v>
      </c>
      <c r="B644" s="40">
        <v>4.1307748504917878</v>
      </c>
      <c r="C644" s="40">
        <v>4.686375</v>
      </c>
      <c r="D644" s="40">
        <v>4.1746520753994307</v>
      </c>
      <c r="M644" s="117" t="s">
        <v>667</v>
      </c>
      <c r="N644" s="40">
        <v>2.9488855063004098</v>
      </c>
      <c r="O644" s="40">
        <v>1.302219755981556</v>
      </c>
    </row>
    <row r="645" spans="1:15">
      <c r="A645" s="117" t="s">
        <v>683</v>
      </c>
      <c r="B645" s="40">
        <v>4.1253397957739635</v>
      </c>
      <c r="C645" s="40">
        <v>4.686375</v>
      </c>
      <c r="D645" s="40">
        <v>4.1481752040431985</v>
      </c>
      <c r="M645" s="117" t="s">
        <v>668</v>
      </c>
      <c r="N645" s="40">
        <v>2.90078451779174</v>
      </c>
      <c r="O645" s="40">
        <v>1.2373005052434276</v>
      </c>
    </row>
    <row r="646" spans="1:15">
      <c r="A646" s="117" t="s">
        <v>684</v>
      </c>
      <c r="B646" s="40">
        <v>4.1097643587247354</v>
      </c>
      <c r="C646" s="40">
        <v>4.6546249999999993</v>
      </c>
      <c r="D646" s="40">
        <v>4.1746520753994307</v>
      </c>
      <c r="M646" s="117" t="s">
        <v>669</v>
      </c>
      <c r="N646" s="40">
        <v>2.9134061518930401</v>
      </c>
      <c r="O646" s="40">
        <v>1.2697825221475945</v>
      </c>
    </row>
    <row r="647" spans="1:15">
      <c r="A647" s="117" t="s">
        <v>685</v>
      </c>
      <c r="B647" s="40">
        <v>4.1436563684974832</v>
      </c>
      <c r="C647" s="40">
        <v>4.686375</v>
      </c>
      <c r="D647" s="40">
        <v>4.0688746701783671</v>
      </c>
      <c r="M647" s="117" t="s">
        <v>670</v>
      </c>
      <c r="N647" s="40">
        <v>2.87725867553146</v>
      </c>
      <c r="O647" s="40">
        <v>1.2929373288665977</v>
      </c>
    </row>
    <row r="648" spans="1:15">
      <c r="A648" s="117" t="s">
        <v>686</v>
      </c>
      <c r="B648" s="40">
        <v>4.1774764892824621</v>
      </c>
      <c r="C648" s="40">
        <v>4.6546249999999993</v>
      </c>
      <c r="D648" s="40">
        <v>4.0688746701783671</v>
      </c>
      <c r="M648" s="117" t="s">
        <v>671</v>
      </c>
      <c r="N648" s="40">
        <v>2.9007963657703</v>
      </c>
      <c r="O648" s="40">
        <v>1.2688678545673886</v>
      </c>
    </row>
    <row r="649" spans="1:15">
      <c r="A649" s="117" t="s">
        <v>687</v>
      </c>
      <c r="B649" s="40">
        <v>4.2256521482142748</v>
      </c>
      <c r="C649" s="40">
        <v>4.686375</v>
      </c>
      <c r="D649" s="40">
        <v>4.0984418323544558</v>
      </c>
      <c r="M649" s="117" t="s">
        <v>672</v>
      </c>
      <c r="N649" s="40">
        <v>2.90843617288568</v>
      </c>
      <c r="O649" s="40">
        <v>1.240243828273502</v>
      </c>
    </row>
    <row r="650" spans="1:15">
      <c r="A650" s="117" t="s">
        <v>688</v>
      </c>
      <c r="B650" s="40">
        <v>4.2322995208341245</v>
      </c>
      <c r="C650" s="40">
        <v>4.750375</v>
      </c>
      <c r="D650" s="40">
        <v>4.0984418323544558</v>
      </c>
      <c r="M650" s="117" t="s">
        <v>673</v>
      </c>
      <c r="N650" s="40">
        <v>2.9249537323478201</v>
      </c>
      <c r="O650" s="40">
        <v>1.218583410830764</v>
      </c>
    </row>
    <row r="651" spans="1:15">
      <c r="A651" s="117" t="s">
        <v>689</v>
      </c>
      <c r="B651" s="40">
        <v>4.2465899353503112</v>
      </c>
      <c r="C651" s="40">
        <v>4.7506250000000003</v>
      </c>
      <c r="D651" s="40">
        <v>4.0984418323544558</v>
      </c>
      <c r="M651" s="117" t="s">
        <v>674</v>
      </c>
      <c r="N651" s="40">
        <v>2.94258560480931</v>
      </c>
      <c r="O651" s="40">
        <v>1.2149799464051572</v>
      </c>
    </row>
    <row r="652" spans="1:15">
      <c r="A652" s="117" t="s">
        <v>690</v>
      </c>
      <c r="B652" s="40">
        <v>4.3020243337311719</v>
      </c>
      <c r="C652" s="40">
        <v>4.7824999999999998</v>
      </c>
      <c r="D652" s="40">
        <v>3.9929555782460247</v>
      </c>
      <c r="M652" s="117" t="s">
        <v>675</v>
      </c>
      <c r="N652" s="40">
        <v>2.9398654916265299</v>
      </c>
      <c r="O652" s="40">
        <v>1.2410845837626554</v>
      </c>
    </row>
    <row r="653" spans="1:15">
      <c r="A653" s="117" t="s">
        <v>691</v>
      </c>
      <c r="B653" s="40">
        <v>4.3162362986062313</v>
      </c>
      <c r="C653" s="40">
        <v>4.7824999999999998</v>
      </c>
      <c r="D653" s="40">
        <v>3.9929555782460247</v>
      </c>
      <c r="M653" s="117" t="s">
        <v>676</v>
      </c>
      <c r="N653" s="40">
        <v>2.8752948215848</v>
      </c>
      <c r="O653" s="40">
        <v>1.2196735431014611</v>
      </c>
    </row>
    <row r="654" spans="1:15">
      <c r="A654" s="117" t="s">
        <v>692</v>
      </c>
      <c r="B654" s="40">
        <v>4.3185360539856914</v>
      </c>
      <c r="C654" s="40">
        <v>4.7824999999999998</v>
      </c>
      <c r="D654" s="40">
        <v>3.9929555782460247</v>
      </c>
      <c r="M654" s="117" t="s">
        <v>677</v>
      </c>
      <c r="N654" s="40">
        <v>2.9075667658346598</v>
      </c>
      <c r="O654" s="40">
        <v>1.2172981553398361</v>
      </c>
    </row>
    <row r="655" spans="1:15">
      <c r="A655" s="117" t="s">
        <v>693</v>
      </c>
      <c r="B655" s="40">
        <v>4.3083066253854909</v>
      </c>
      <c r="C655" s="40">
        <v>4.8142499999999995</v>
      </c>
      <c r="D655" s="40">
        <v>3.9929555782460247</v>
      </c>
      <c r="M655" s="117" t="s">
        <v>678</v>
      </c>
      <c r="N655" s="40">
        <v>2.8970830344627001</v>
      </c>
      <c r="O655" s="40">
        <v>1.238249441584607</v>
      </c>
    </row>
    <row r="656" spans="1:15">
      <c r="A656" s="117" t="s">
        <v>694</v>
      </c>
      <c r="B656" s="40">
        <v>4.249318359604068</v>
      </c>
      <c r="C656" s="40">
        <v>4.7506250000000003</v>
      </c>
      <c r="D656" s="40">
        <v>4.0984418323544558</v>
      </c>
      <c r="M656" s="117" t="s">
        <v>679</v>
      </c>
      <c r="N656" s="40">
        <v>2.9229309635649501</v>
      </c>
      <c r="O656" s="40">
        <v>1.2324108735262664</v>
      </c>
    </row>
    <row r="657" spans="1:15">
      <c r="A657" s="117" t="s">
        <v>695</v>
      </c>
      <c r="B657" s="40">
        <v>4.2486043271949052</v>
      </c>
      <c r="C657" s="40">
        <v>4.7824999999999998</v>
      </c>
      <c r="D657" s="40">
        <v>4.0984418323544558</v>
      </c>
      <c r="M657" s="117" t="s">
        <v>680</v>
      </c>
      <c r="N657" s="40">
        <v>2.8829829108867799</v>
      </c>
      <c r="O657" s="40">
        <v>1.2730956017203012</v>
      </c>
    </row>
    <row r="658" spans="1:15">
      <c r="A658" s="117" t="s">
        <v>696</v>
      </c>
      <c r="B658" s="40">
        <v>4.2301240765193739</v>
      </c>
      <c r="C658" s="40">
        <v>4.6866249999999994</v>
      </c>
      <c r="D658" s="40">
        <v>3.9929555782460247</v>
      </c>
      <c r="M658" s="117" t="s">
        <v>681</v>
      </c>
      <c r="N658" s="40">
        <v>2.8967693275214801</v>
      </c>
      <c r="O658" s="40">
        <v>1.2430608567518531</v>
      </c>
    </row>
    <row r="659" spans="1:15">
      <c r="A659" s="117" t="s">
        <v>697</v>
      </c>
      <c r="B659" s="40">
        <v>4.2554885058821705</v>
      </c>
      <c r="C659" s="40">
        <v>4.7824999999999998</v>
      </c>
      <c r="D659" s="40">
        <v>4.0688746701783671</v>
      </c>
      <c r="M659" s="117" t="s">
        <v>682</v>
      </c>
      <c r="N659" s="40">
        <v>2.89502511307504</v>
      </c>
      <c r="O659" s="40">
        <v>1.2357497374167477</v>
      </c>
    </row>
    <row r="660" spans="1:15">
      <c r="A660" s="117" t="s">
        <v>698</v>
      </c>
      <c r="B660" s="40">
        <v>4.2250908607491526</v>
      </c>
      <c r="C660" s="40">
        <v>4.7824999999999998</v>
      </c>
      <c r="D660" s="40">
        <v>4.0688746701783671</v>
      </c>
      <c r="M660" s="117" t="s">
        <v>683</v>
      </c>
      <c r="N660" s="40">
        <v>2.8885893355353098</v>
      </c>
      <c r="O660" s="40">
        <v>1.2367504602386543</v>
      </c>
    </row>
    <row r="661" spans="1:15">
      <c r="A661" s="117" t="s">
        <v>699</v>
      </c>
      <c r="B661" s="40">
        <v>4.2221538603276958</v>
      </c>
      <c r="C661" s="40">
        <v>4.7506250000000003</v>
      </c>
      <c r="D661" s="40">
        <v>4.0688746701783671</v>
      </c>
      <c r="M661" s="117" t="s">
        <v>684</v>
      </c>
      <c r="N661" s="40">
        <v>2.8786176823455198</v>
      </c>
      <c r="O661" s="40">
        <v>1.2311466763792156</v>
      </c>
    </row>
    <row r="662" spans="1:15">
      <c r="A662" s="117" t="s">
        <v>700</v>
      </c>
      <c r="B662" s="40">
        <v>4.184373677122398</v>
      </c>
      <c r="C662" s="40">
        <v>4.7506250000000003</v>
      </c>
      <c r="D662" s="40">
        <v>4.0688746701783671</v>
      </c>
      <c r="M662" s="117" t="s">
        <v>685</v>
      </c>
      <c r="N662" s="40">
        <v>2.9305936844385498</v>
      </c>
      <c r="O662" s="40">
        <v>1.2130626840589334</v>
      </c>
    </row>
    <row r="663" spans="1:15">
      <c r="A663" s="117" t="s">
        <v>701</v>
      </c>
      <c r="B663" s="40">
        <v>4.1776732854905996</v>
      </c>
      <c r="C663" s="40">
        <v>4.7506250000000003</v>
      </c>
      <c r="D663" s="40">
        <v>4.0688746701783671</v>
      </c>
      <c r="M663" s="117" t="s">
        <v>686</v>
      </c>
      <c r="N663" s="40">
        <v>2.9404244020871499</v>
      </c>
      <c r="O663" s="40">
        <v>1.2370520871953121</v>
      </c>
    </row>
    <row r="664" spans="1:15">
      <c r="A664" s="117" t="s">
        <v>702</v>
      </c>
      <c r="B664" s="40">
        <v>4.2143062295963079</v>
      </c>
      <c r="C664" s="40">
        <v>4.7506250000000003</v>
      </c>
      <c r="D664" s="40">
        <v>4.0688746701783671</v>
      </c>
      <c r="M664" s="117" t="s">
        <v>687</v>
      </c>
      <c r="N664" s="40">
        <v>2.9800880794915101</v>
      </c>
      <c r="O664" s="40">
        <v>1.2455640687227643</v>
      </c>
    </row>
    <row r="665" spans="1:15">
      <c r="A665" s="117" t="s">
        <v>703</v>
      </c>
      <c r="B665" s="40">
        <v>4.2194605990418488</v>
      </c>
      <c r="C665" s="40">
        <v>4.7824999999999998</v>
      </c>
      <c r="D665" s="40">
        <v>4.0984418323544558</v>
      </c>
      <c r="M665" s="117" t="s">
        <v>688</v>
      </c>
      <c r="N665" s="40">
        <v>3.0226143981411502</v>
      </c>
      <c r="O665" s="40">
        <v>1.2096851226929746</v>
      </c>
    </row>
    <row r="666" spans="1:15">
      <c r="A666" s="117" t="s">
        <v>704</v>
      </c>
      <c r="B666" s="40">
        <v>4.222276445787986</v>
      </c>
      <c r="C666" s="40">
        <v>4.7824999999999998</v>
      </c>
      <c r="D666" s="40">
        <v>4.0688746701783671</v>
      </c>
      <c r="M666" s="117" t="s">
        <v>689</v>
      </c>
      <c r="N666" s="40">
        <v>3.0738606111301499</v>
      </c>
      <c r="O666" s="40">
        <v>1.1727293242201613</v>
      </c>
    </row>
    <row r="667" spans="1:15">
      <c r="A667" s="117" t="s">
        <v>705</v>
      </c>
      <c r="B667" s="40">
        <v>4.2279404131362393</v>
      </c>
      <c r="C667" s="40">
        <v>4.7824999999999998</v>
      </c>
      <c r="D667" s="40">
        <v>4.0688746701783671</v>
      </c>
      <c r="M667" s="117" t="s">
        <v>690</v>
      </c>
      <c r="N667" s="40">
        <v>3.0541997432279802</v>
      </c>
      <c r="O667" s="40">
        <v>1.2478245905031917</v>
      </c>
    </row>
    <row r="668" spans="1:15">
      <c r="A668" s="117" t="s">
        <v>706</v>
      </c>
      <c r="B668" s="40">
        <v>4.2319282475577165</v>
      </c>
      <c r="C668" s="40">
        <v>4.7824999999999998</v>
      </c>
      <c r="D668" s="40">
        <v>4.0688746701783671</v>
      </c>
      <c r="M668" s="117" t="s">
        <v>757</v>
      </c>
      <c r="N668" s="40">
        <v>3.0857459402469098</v>
      </c>
      <c r="O668" s="40"/>
    </row>
    <row r="669" spans="1:15">
      <c r="A669" s="117" t="s">
        <v>707</v>
      </c>
      <c r="B669" s="40">
        <v>4.174665314092854</v>
      </c>
      <c r="C669" s="40">
        <v>4.7824999999999998</v>
      </c>
      <c r="D669" s="40">
        <v>4.0688746701783671</v>
      </c>
      <c r="M669" s="117" t="s">
        <v>691</v>
      </c>
      <c r="N669" s="40">
        <v>3.1061017529399901</v>
      </c>
      <c r="O669" s="40">
        <v>1.2101345456662407</v>
      </c>
    </row>
    <row r="670" spans="1:15">
      <c r="A670" s="117" t="s">
        <v>708</v>
      </c>
      <c r="B670" s="40">
        <v>4.1733565433513906</v>
      </c>
      <c r="C670" s="40">
        <v>4.7506250000000003</v>
      </c>
      <c r="D670" s="40">
        <v>4.0688746701783671</v>
      </c>
      <c r="M670" s="117" t="s">
        <v>692</v>
      </c>
      <c r="N670" s="40">
        <v>3.0818663952260299</v>
      </c>
      <c r="O670" s="40">
        <v>1.2366696587596613</v>
      </c>
    </row>
    <row r="671" spans="1:15">
      <c r="A671" s="117" t="s">
        <v>709</v>
      </c>
      <c r="B671" s="40">
        <v>4.1487756722126612</v>
      </c>
      <c r="C671" s="40">
        <v>4.7824999999999998</v>
      </c>
      <c r="D671" s="40">
        <v>4.0688746701783671</v>
      </c>
      <c r="M671" s="117" t="s">
        <v>693</v>
      </c>
      <c r="N671" s="40">
        <v>3.0692268892382302</v>
      </c>
      <c r="O671" s="40">
        <v>1.2390797361472607</v>
      </c>
    </row>
    <row r="672" spans="1:15">
      <c r="A672" s="117" t="s">
        <v>710</v>
      </c>
      <c r="B672" s="40">
        <v>4.1652487749098954</v>
      </c>
      <c r="C672" s="40">
        <v>4.7824999999999998</v>
      </c>
      <c r="D672" s="40">
        <v>4.0688746701783671</v>
      </c>
      <c r="M672" s="117" t="s">
        <v>694</v>
      </c>
      <c r="N672" s="40">
        <v>3.01403656016261</v>
      </c>
      <c r="O672" s="40">
        <v>1.2352817994414582</v>
      </c>
    </row>
    <row r="673" spans="1:15">
      <c r="A673" s="117" t="s">
        <v>711</v>
      </c>
      <c r="B673" s="40">
        <v>4.1742356308652848</v>
      </c>
      <c r="C673" s="40">
        <v>4.7824999999999998</v>
      </c>
      <c r="D673" s="40">
        <v>4.0688746701783671</v>
      </c>
      <c r="M673" s="117" t="s">
        <v>695</v>
      </c>
      <c r="N673" s="40">
        <v>3.0326199882874301</v>
      </c>
      <c r="O673" s="40">
        <v>1.2159843389074756</v>
      </c>
    </row>
    <row r="674" spans="1:15">
      <c r="A674" s="117" t="s">
        <v>712</v>
      </c>
      <c r="B674" s="40">
        <v>4.1630348033847966</v>
      </c>
      <c r="C674" s="40">
        <v>4.7824999999999998</v>
      </c>
      <c r="D674" s="40">
        <v>4.0688746701783671</v>
      </c>
      <c r="M674" s="117" t="s">
        <v>696</v>
      </c>
      <c r="N674" s="40">
        <v>3.0158212312193302</v>
      </c>
      <c r="O674" s="40">
        <v>1.2143028453000442</v>
      </c>
    </row>
    <row r="675" spans="1:15">
      <c r="A675" s="117" t="s">
        <v>713</v>
      </c>
      <c r="B675" s="40">
        <v>4.1324167331369237</v>
      </c>
      <c r="C675" s="40">
        <v>4.7824999999999998</v>
      </c>
      <c r="D675" s="40">
        <v>4.0688746701783671</v>
      </c>
      <c r="M675" s="117" t="s">
        <v>697</v>
      </c>
      <c r="N675" s="40">
        <v>3.0046032284055402</v>
      </c>
      <c r="O675" s="40">
        <v>1.2508852774766308</v>
      </c>
    </row>
    <row r="676" spans="1:15">
      <c r="A676" s="117" t="s">
        <v>714</v>
      </c>
      <c r="B676" s="40">
        <v>4.1358671732058605</v>
      </c>
      <c r="C676" s="40">
        <v>4.7824999999999998</v>
      </c>
      <c r="D676" s="40">
        <v>4.0688746701783671</v>
      </c>
      <c r="M676" s="117" t="s">
        <v>698</v>
      </c>
      <c r="N676" s="40">
        <v>2.97056428337457</v>
      </c>
      <c r="O676" s="40">
        <v>1.2545265773745822</v>
      </c>
    </row>
    <row r="677" spans="1:15">
      <c r="A677" s="117" t="s">
        <v>715</v>
      </c>
      <c r="B677" s="40">
        <v>4.1358915799394467</v>
      </c>
      <c r="C677" s="40">
        <v>4.8142499999999995</v>
      </c>
      <c r="D677" s="40">
        <v>4.0688746701783671</v>
      </c>
      <c r="M677" s="117" t="s">
        <v>699</v>
      </c>
      <c r="N677" s="40">
        <v>2.97246415847412</v>
      </c>
      <c r="O677" s="40">
        <v>1.249689701853576</v>
      </c>
    </row>
    <row r="678" spans="1:15">
      <c r="A678" s="117" t="s">
        <v>716</v>
      </c>
      <c r="B678" s="40">
        <v>4.1459704226355001</v>
      </c>
      <c r="C678" s="40">
        <v>4.8142499999999995</v>
      </c>
      <c r="D678" s="40">
        <v>4.0688746701783671</v>
      </c>
      <c r="M678" s="117" t="s">
        <v>758</v>
      </c>
      <c r="N678" s="40">
        <v>2.9731323059338801</v>
      </c>
      <c r="O678" s="40"/>
    </row>
    <row r="679" spans="1:15">
      <c r="A679" s="117" t="s">
        <v>717</v>
      </c>
      <c r="B679" s="40">
        <v>4.1623254200874928</v>
      </c>
      <c r="C679" s="40">
        <v>4.8142499999999995</v>
      </c>
      <c r="D679" s="40">
        <v>4.0688746701783671</v>
      </c>
      <c r="M679" s="117" t="s">
        <v>700</v>
      </c>
      <c r="N679" s="40">
        <v>2.94257511254186</v>
      </c>
      <c r="O679" s="40">
        <v>1.2417985645805381</v>
      </c>
    </row>
    <row r="680" spans="1:15">
      <c r="A680" s="117" t="s">
        <v>718</v>
      </c>
      <c r="B680" s="40">
        <v>4.1647444712951529</v>
      </c>
      <c r="C680" s="40">
        <v>4.8142499999999995</v>
      </c>
      <c r="D680" s="40">
        <v>4.0688746701783671</v>
      </c>
      <c r="M680" s="117" t="s">
        <v>701</v>
      </c>
      <c r="N680" s="40">
        <v>2.9539216653401201</v>
      </c>
      <c r="O680" s="40">
        <v>1.2237516201504794</v>
      </c>
    </row>
    <row r="681" spans="1:15">
      <c r="A681" s="117" t="s">
        <v>719</v>
      </c>
      <c r="B681" s="40">
        <v>4.1418689218854938</v>
      </c>
      <c r="C681" s="40">
        <v>4.7824999999999998</v>
      </c>
      <c r="D681" s="40">
        <v>4.0688746701783671</v>
      </c>
      <c r="M681" s="117" t="s">
        <v>702</v>
      </c>
      <c r="N681" s="40">
        <v>3.02215443116989</v>
      </c>
      <c r="O681" s="40">
        <v>1.1921517984264178</v>
      </c>
    </row>
    <row r="682" spans="1:15">
      <c r="A682" s="117" t="s">
        <v>720</v>
      </c>
      <c r="B682" s="40">
        <v>4.1219488522536594</v>
      </c>
      <c r="C682" s="40">
        <v>4.7824999999999998</v>
      </c>
      <c r="D682" s="40">
        <v>4.0688746701783671</v>
      </c>
      <c r="M682" s="117" t="s">
        <v>703</v>
      </c>
      <c r="N682" s="40">
        <v>2.9701129901318302</v>
      </c>
      <c r="O682" s="40">
        <v>1.2493476089100186</v>
      </c>
    </row>
    <row r="683" spans="1:15">
      <c r="A683" s="117" t="s">
        <v>721</v>
      </c>
      <c r="B683" s="40">
        <v>4.135333045464427</v>
      </c>
      <c r="C683" s="40">
        <v>5.0376250000000002</v>
      </c>
      <c r="D683" s="40">
        <v>4.0688746701783671</v>
      </c>
      <c r="M683" s="117" t="s">
        <v>704</v>
      </c>
      <c r="N683" s="40">
        <v>2.9938270438996102</v>
      </c>
      <c r="O683" s="40">
        <v>1.2284494018883758</v>
      </c>
    </row>
    <row r="684" spans="1:15">
      <c r="A684" s="117" t="s">
        <v>722</v>
      </c>
      <c r="B684" s="40">
        <v>4.1171387286994534</v>
      </c>
      <c r="C684" s="40">
        <v>4.8142499999999995</v>
      </c>
      <c r="D684" s="40">
        <v>4.1746520753994307</v>
      </c>
      <c r="M684" s="117" t="s">
        <v>705</v>
      </c>
      <c r="N684" s="40">
        <v>2.9740140733448301</v>
      </c>
      <c r="O684" s="40">
        <v>1.2539263397914087</v>
      </c>
    </row>
    <row r="685" spans="1:15">
      <c r="A685" s="117" t="s">
        <v>723</v>
      </c>
      <c r="B685" s="40">
        <v>4.1324010104650251</v>
      </c>
      <c r="C685" s="40">
        <v>4.8142499999999995</v>
      </c>
      <c r="D685" s="40">
        <v>4.1746520753994307</v>
      </c>
      <c r="M685" s="117" t="s">
        <v>706</v>
      </c>
      <c r="N685" s="40">
        <v>2.97637624245715</v>
      </c>
      <c r="O685" s="40">
        <v>1.255552005100566</v>
      </c>
    </row>
    <row r="686" spans="1:15">
      <c r="A686" s="117" t="s">
        <v>724</v>
      </c>
      <c r="B686" s="40">
        <v>4.1243713848587849</v>
      </c>
      <c r="C686" s="40">
        <v>4.8142499999999995</v>
      </c>
      <c r="D686" s="40">
        <v>4.1481752040431985</v>
      </c>
      <c r="M686" s="117" t="s">
        <v>707</v>
      </c>
      <c r="N686" s="40">
        <v>2.9403667589797098</v>
      </c>
      <c r="O686" s="40">
        <v>1.2342985551131438</v>
      </c>
    </row>
    <row r="687" spans="1:15">
      <c r="A687" s="117" t="s">
        <v>725</v>
      </c>
      <c r="B687" s="40">
        <v>4.0776566652227064</v>
      </c>
      <c r="C687" s="40">
        <v>4.8142499999999995</v>
      </c>
      <c r="D687" s="40">
        <v>4.1746520753994307</v>
      </c>
      <c r="M687" s="117" t="s">
        <v>708</v>
      </c>
      <c r="N687" s="40">
        <v>2.9478542196080602</v>
      </c>
      <c r="O687" s="40">
        <v>1.2255023237433309</v>
      </c>
    </row>
    <row r="688" spans="1:15">
      <c r="A688" s="117" t="s">
        <v>726</v>
      </c>
      <c r="B688" s="40">
        <v>4.0536056186890237</v>
      </c>
      <c r="C688" s="40">
        <v>4.8142499999999995</v>
      </c>
      <c r="D688" s="40">
        <v>4.1481752040431985</v>
      </c>
      <c r="M688" s="117" t="s">
        <v>709</v>
      </c>
      <c r="N688" s="40">
        <v>2.9190280511429001</v>
      </c>
      <c r="O688" s="40">
        <v>1.2297476210697611</v>
      </c>
    </row>
    <row r="689" spans="1:15">
      <c r="A689" s="117" t="s">
        <v>426</v>
      </c>
      <c r="B689" s="40">
        <v>4.0724571632195792</v>
      </c>
      <c r="C689" s="40">
        <v>4.7824999999999998</v>
      </c>
      <c r="D689" s="40">
        <v>4.1481752040431985</v>
      </c>
      <c r="M689" s="117" t="s">
        <v>710</v>
      </c>
      <c r="N689" s="40">
        <v>2.9469409436626601</v>
      </c>
      <c r="O689" s="40">
        <v>1.2183078312472355</v>
      </c>
    </row>
    <row r="690" spans="1:15">
      <c r="A690" s="117" t="s">
        <v>727</v>
      </c>
      <c r="B690" s="40">
        <v>4.0847321423072458</v>
      </c>
      <c r="C690" s="40">
        <v>4.7824999999999998</v>
      </c>
      <c r="D690" s="40">
        <v>4.1481752040431985</v>
      </c>
      <c r="M690" s="117" t="s">
        <v>711</v>
      </c>
      <c r="N690" s="40">
        <v>2.9337005392138198</v>
      </c>
      <c r="O690" s="40">
        <v>1.2405350916514657</v>
      </c>
    </row>
    <row r="691" spans="1:15">
      <c r="A691" s="117" t="s">
        <v>728</v>
      </c>
      <c r="B691" s="40">
        <v>4.0904367747022761</v>
      </c>
      <c r="C691" s="40">
        <v>4.7824999999999998</v>
      </c>
      <c r="D691" s="40">
        <v>4.1481752040431985</v>
      </c>
      <c r="M691" s="117" t="s">
        <v>712</v>
      </c>
      <c r="N691" s="40">
        <v>2.9532777755808302</v>
      </c>
      <c r="O691" s="40">
        <v>1.2097570278039669</v>
      </c>
    </row>
    <row r="692" spans="1:15">
      <c r="A692" s="117" t="s">
        <v>729</v>
      </c>
      <c r="B692" s="40">
        <v>4.0823884383840525</v>
      </c>
      <c r="C692" s="40">
        <v>4.7824999999999998</v>
      </c>
      <c r="D692" s="40">
        <v>4.1481752040431985</v>
      </c>
      <c r="M692" s="117" t="s">
        <v>713</v>
      </c>
      <c r="N692" s="40">
        <v>2.9149127266331099</v>
      </c>
      <c r="O692" s="40">
        <v>1.2175040065038143</v>
      </c>
    </row>
    <row r="693" spans="1:15">
      <c r="A693" s="117" t="s">
        <v>730</v>
      </c>
      <c r="B693" s="40">
        <v>4.0084550146635562</v>
      </c>
      <c r="C693" s="40">
        <v>4.7506250000000003</v>
      </c>
      <c r="D693" s="40">
        <v>4.1481752040431985</v>
      </c>
      <c r="M693" s="117" t="s">
        <v>714</v>
      </c>
      <c r="N693" s="40">
        <v>2.9057812704780299</v>
      </c>
      <c r="O693" s="40">
        <v>1.2300859027278306</v>
      </c>
    </row>
    <row r="694" spans="1:15">
      <c r="A694" s="117" t="s">
        <v>731</v>
      </c>
      <c r="B694" s="40">
        <v>4.0091977995378709</v>
      </c>
      <c r="C694" s="40">
        <v>4.7506250000000003</v>
      </c>
      <c r="D694" s="40">
        <v>4.1481752040431985</v>
      </c>
      <c r="M694" s="117" t="s">
        <v>715</v>
      </c>
      <c r="N694" s="40">
        <v>2.88684387791647</v>
      </c>
      <c r="O694" s="40">
        <v>1.2490477020229764</v>
      </c>
    </row>
    <row r="695" spans="1:15">
      <c r="A695" s="117" t="s">
        <v>732</v>
      </c>
      <c r="B695" s="40">
        <v>4.0064606690623936</v>
      </c>
      <c r="C695" s="40">
        <v>4.7506250000000003</v>
      </c>
      <c r="D695" s="40">
        <v>4.1481752040431985</v>
      </c>
      <c r="M695" s="117" t="s">
        <v>716</v>
      </c>
      <c r="N695" s="40">
        <v>2.8989518850804301</v>
      </c>
      <c r="O695" s="40">
        <v>1.2470185375550702</v>
      </c>
    </row>
    <row r="696" spans="1:15">
      <c r="A696" s="117" t="s">
        <v>733</v>
      </c>
      <c r="B696" s="40">
        <v>4.0488250485213069</v>
      </c>
      <c r="C696" s="40">
        <v>4.7824999999999998</v>
      </c>
      <c r="D696" s="40">
        <v>4.1481752040431985</v>
      </c>
      <c r="M696" s="117" t="s">
        <v>717</v>
      </c>
      <c r="N696" s="40">
        <v>2.9395075858603499</v>
      </c>
      <c r="O696" s="40">
        <v>1.2228178342271425</v>
      </c>
    </row>
    <row r="697" spans="1:15">
      <c r="A697" s="117" t="s">
        <v>734</v>
      </c>
      <c r="B697" s="40">
        <v>4.0973965139043438</v>
      </c>
      <c r="C697" s="40">
        <v>4.7506250000000003</v>
      </c>
      <c r="D697" s="40">
        <v>4.1746520753994307</v>
      </c>
      <c r="M697" s="117" t="s">
        <v>718</v>
      </c>
      <c r="N697" s="40">
        <v>2.9032960694511001</v>
      </c>
      <c r="O697" s="40">
        <v>1.2614484018440528</v>
      </c>
    </row>
    <row r="698" spans="1:15">
      <c r="A698" s="117" t="s">
        <v>735</v>
      </c>
      <c r="B698" s="40">
        <v>4.0878747849028354</v>
      </c>
      <c r="C698" s="40">
        <v>4.7506250000000003</v>
      </c>
      <c r="D698" s="40">
        <v>4.0688746701783671</v>
      </c>
      <c r="M698" s="117" t="s">
        <v>719</v>
      </c>
      <c r="N698" s="40">
        <v>2.8788328946045998</v>
      </c>
      <c r="O698" s="40">
        <v>1.2630360272808943</v>
      </c>
    </row>
    <row r="699" spans="1:15">
      <c r="A699" s="117" t="s">
        <v>736</v>
      </c>
      <c r="B699" s="40">
        <v>4.1254206262375792</v>
      </c>
      <c r="C699" s="40">
        <v>4.6866249999999994</v>
      </c>
      <c r="D699" s="40">
        <v>4.0688746701783671</v>
      </c>
      <c r="M699" s="117" t="s">
        <v>720</v>
      </c>
      <c r="N699" s="40">
        <v>2.8849159649276999</v>
      </c>
      <c r="O699" s="40">
        <v>1.2370328873259593</v>
      </c>
    </row>
    <row r="700" spans="1:15">
      <c r="A700" s="117" t="s">
        <v>737</v>
      </c>
      <c r="B700" s="40">
        <v>4.1093837070676607</v>
      </c>
      <c r="C700" s="40">
        <v>4.6866249999999994</v>
      </c>
      <c r="D700" s="40">
        <v>4.0688746701783671</v>
      </c>
      <c r="M700" s="117" t="s">
        <v>759</v>
      </c>
      <c r="N700" s="40">
        <v>2.8809330766595802</v>
      </c>
      <c r="O700" s="40"/>
    </row>
    <row r="701" spans="1:15">
      <c r="A701" s="117" t="s">
        <v>738</v>
      </c>
      <c r="B701" s="40">
        <v>4.1426445384183186</v>
      </c>
      <c r="C701" s="40">
        <v>4.6866249999999994</v>
      </c>
      <c r="D701" s="40">
        <v>4.0984418323544558</v>
      </c>
      <c r="M701" s="117" t="s">
        <v>721</v>
      </c>
      <c r="N701" s="40">
        <v>2.9039512630900401</v>
      </c>
      <c r="O701" s="40">
        <v>1.2313817823743876</v>
      </c>
    </row>
    <row r="702" spans="1:15">
      <c r="A702" s="117" t="s">
        <v>739</v>
      </c>
      <c r="B702" s="40">
        <v>4.1374468199155912</v>
      </c>
      <c r="C702" s="40">
        <v>4.7506250000000003</v>
      </c>
      <c r="D702" s="40">
        <v>4.0984418323544558</v>
      </c>
      <c r="M702" s="117" t="s">
        <v>722</v>
      </c>
      <c r="N702" s="40">
        <v>2.86756430791635</v>
      </c>
      <c r="O702" s="40">
        <v>1.2495744207831039</v>
      </c>
    </row>
    <row r="703" spans="1:15">
      <c r="A703" s="117" t="s">
        <v>740</v>
      </c>
      <c r="B703" s="40">
        <v>4.1412439101779359</v>
      </c>
      <c r="C703" s="40">
        <v>4.7506250000000003</v>
      </c>
      <c r="D703" s="40">
        <v>4.0984418323544558</v>
      </c>
      <c r="M703" s="117" t="s">
        <v>723</v>
      </c>
      <c r="N703" s="40">
        <v>2.8814309818514099</v>
      </c>
      <c r="O703" s="40">
        <v>1.2509700286136158</v>
      </c>
    </row>
    <row r="704" spans="1:15">
      <c r="A704" s="117" t="s">
        <v>741</v>
      </c>
      <c r="B704" s="40">
        <v>4.1391784839340637</v>
      </c>
      <c r="C704" s="40">
        <v>4.7824999999999998</v>
      </c>
      <c r="D704" s="40">
        <v>3.9929555782460247</v>
      </c>
      <c r="M704" s="117" t="s">
        <v>724</v>
      </c>
      <c r="N704" s="40">
        <v>2.85470701352213</v>
      </c>
      <c r="O704" s="40">
        <v>1.2696643713366551</v>
      </c>
    </row>
    <row r="705" spans="1:15">
      <c r="A705" s="117" t="s">
        <v>742</v>
      </c>
      <c r="B705" s="40">
        <v>4.1347572481720194</v>
      </c>
      <c r="C705" s="40">
        <v>4.8142499999999995</v>
      </c>
      <c r="D705" s="40">
        <v>3.9929555782460247</v>
      </c>
      <c r="M705" s="117" t="s">
        <v>725</v>
      </c>
      <c r="N705" s="40">
        <v>2.8455759093588999</v>
      </c>
      <c r="O705" s="40">
        <v>1.2320807558638061</v>
      </c>
    </row>
    <row r="706" spans="1:15">
      <c r="A706" s="117" t="s">
        <v>425</v>
      </c>
      <c r="B706" s="40">
        <v>4.1224775430884373</v>
      </c>
      <c r="C706" s="40">
        <v>4.8142499999999995</v>
      </c>
      <c r="D706" s="40">
        <v>3.9929555782460247</v>
      </c>
      <c r="M706" s="117" t="s">
        <v>726</v>
      </c>
      <c r="N706" s="40">
        <v>2.8303497254794401</v>
      </c>
      <c r="O706" s="40">
        <v>1.2232558932095841</v>
      </c>
    </row>
    <row r="707" spans="1:15">
      <c r="A707" s="117" t="s">
        <v>743</v>
      </c>
      <c r="B707" s="40">
        <v>4.1368415582192934</v>
      </c>
      <c r="C707" s="40">
        <v>4.9417500000000008</v>
      </c>
      <c r="D707" s="40">
        <v>4.0984418323544558</v>
      </c>
      <c r="M707" s="117" t="s">
        <v>426</v>
      </c>
      <c r="N707" s="40">
        <v>2.8426315316664401</v>
      </c>
      <c r="O707" s="40">
        <v>1.2298256315531391</v>
      </c>
    </row>
    <row r="708" spans="1:15">
      <c r="A708" s="117" t="s">
        <v>744</v>
      </c>
      <c r="B708" s="40">
        <v>4.1406511783461806</v>
      </c>
      <c r="C708" s="40">
        <v>4.8142499999999995</v>
      </c>
      <c r="D708" s="40">
        <v>3.9929555782460247</v>
      </c>
      <c r="M708" s="117" t="s">
        <v>727</v>
      </c>
      <c r="N708" s="40">
        <v>2.8177381018146699</v>
      </c>
      <c r="O708" s="40">
        <v>1.2669940404925761</v>
      </c>
    </row>
    <row r="709" spans="1:15">
      <c r="A709" s="117" t="s">
        <v>745</v>
      </c>
      <c r="B709" s="40">
        <v>4.1700484665938049</v>
      </c>
      <c r="C709" s="40">
        <v>4.9740000000000002</v>
      </c>
      <c r="D709" s="40">
        <v>3.9929555782460247</v>
      </c>
      <c r="M709" s="117" t="s">
        <v>728</v>
      </c>
      <c r="N709" s="40">
        <v>2.8505659614824999</v>
      </c>
      <c r="O709" s="40">
        <v>1.2398708132197762</v>
      </c>
    </row>
    <row r="710" spans="1:15">
      <c r="A710" s="117" t="s">
        <v>424</v>
      </c>
      <c r="B710" s="40">
        <v>4.1307495544040211</v>
      </c>
      <c r="C710" s="40">
        <v>4.8142499999999995</v>
      </c>
      <c r="D710" s="40">
        <v>3.9929555782460247</v>
      </c>
      <c r="M710" s="117" t="s">
        <v>729</v>
      </c>
      <c r="N710" s="40">
        <v>2.7686387386153899</v>
      </c>
      <c r="O710" s="40">
        <v>1.3137496997686626</v>
      </c>
    </row>
    <row r="711" spans="1:15">
      <c r="A711" s="117" t="s">
        <v>427</v>
      </c>
      <c r="B711" s="40">
        <v>4.1678427698746718</v>
      </c>
      <c r="C711" s="40">
        <v>4.8142499999999995</v>
      </c>
      <c r="D711" s="40">
        <v>3.9929555782460247</v>
      </c>
      <c r="M711" s="117" t="s">
        <v>730</v>
      </c>
      <c r="N711" s="40">
        <v>2.8132496631977602</v>
      </c>
      <c r="O711" s="40">
        <v>1.1952053514657961</v>
      </c>
    </row>
    <row r="712" spans="1:15">
      <c r="M712" s="117" t="s">
        <v>731</v>
      </c>
      <c r="N712" s="40">
        <v>2.7688521651914</v>
      </c>
      <c r="O712" s="40">
        <v>1.2403456343464707</v>
      </c>
    </row>
    <row r="713" spans="1:15">
      <c r="M713" s="117" t="s">
        <v>732</v>
      </c>
      <c r="N713" s="40">
        <v>2.76958844979265</v>
      </c>
      <c r="O713" s="40">
        <v>1.2368722192697439</v>
      </c>
    </row>
    <row r="714" spans="1:15">
      <c r="M714" s="117" t="s">
        <v>733</v>
      </c>
      <c r="N714" s="40">
        <v>2.8333960473494502</v>
      </c>
      <c r="O714" s="40">
        <v>1.2154290011718563</v>
      </c>
    </row>
    <row r="715" spans="1:15">
      <c r="M715" s="117" t="s">
        <v>734</v>
      </c>
      <c r="N715" s="40">
        <v>2.85764653167635</v>
      </c>
      <c r="O715" s="40">
        <v>1.2397499822279943</v>
      </c>
    </row>
    <row r="716" spans="1:15">
      <c r="M716" s="117" t="s">
        <v>735</v>
      </c>
      <c r="N716" s="40">
        <v>2.8730648948017001</v>
      </c>
      <c r="O716" s="40">
        <v>1.2148098901011357</v>
      </c>
    </row>
    <row r="717" spans="1:15">
      <c r="M717" s="117" t="s">
        <v>736</v>
      </c>
      <c r="N717" s="40">
        <v>2.8751288472692602</v>
      </c>
      <c r="O717" s="40">
        <v>1.2502917789683186</v>
      </c>
    </row>
    <row r="718" spans="1:15">
      <c r="M718" s="117" t="s">
        <v>737</v>
      </c>
      <c r="N718" s="40">
        <v>2.8805932706555302</v>
      </c>
      <c r="O718" s="40">
        <v>1.2287904364121307</v>
      </c>
    </row>
    <row r="719" spans="1:15">
      <c r="M719" s="117" t="s">
        <v>738</v>
      </c>
      <c r="N719" s="40">
        <v>2.9057723964536701</v>
      </c>
      <c r="O719" s="40">
        <v>1.2368721419646482</v>
      </c>
    </row>
    <row r="720" spans="1:15">
      <c r="M720" s="117" t="s">
        <v>739</v>
      </c>
      <c r="N720" s="40">
        <v>2.9043715676588402</v>
      </c>
      <c r="O720" s="40">
        <v>1.233075252256751</v>
      </c>
    </row>
    <row r="721" spans="13:15">
      <c r="M721" s="117" t="s">
        <v>740</v>
      </c>
      <c r="N721" s="40">
        <v>2.9399523487894101</v>
      </c>
      <c r="O721" s="40">
        <v>1.2012915613885258</v>
      </c>
    </row>
    <row r="722" spans="13:15">
      <c r="M722" s="117" t="s">
        <v>741</v>
      </c>
      <c r="N722" s="40">
        <v>2.93833125966247</v>
      </c>
      <c r="O722" s="40">
        <v>1.2008472242715935</v>
      </c>
    </row>
    <row r="723" spans="13:15">
      <c r="M723" s="117" t="s">
        <v>742</v>
      </c>
      <c r="N723" s="40">
        <v>2.9240861727141798</v>
      </c>
      <c r="O723" s="40">
        <v>1.2106710754578394</v>
      </c>
    </row>
    <row r="724" spans="13:15">
      <c r="M724" s="117" t="s">
        <v>425</v>
      </c>
      <c r="N724" s="40">
        <v>2.8840645930864102</v>
      </c>
      <c r="O724" s="40">
        <v>1.2384129500020271</v>
      </c>
    </row>
    <row r="725" spans="13:15">
      <c r="M725" s="117" t="s">
        <v>743</v>
      </c>
      <c r="N725" s="40">
        <v>2.8877476464560701</v>
      </c>
      <c r="O725" s="40">
        <v>1.2490939117632229</v>
      </c>
    </row>
    <row r="726" spans="13:15">
      <c r="M726" s="117" t="s">
        <v>744</v>
      </c>
      <c r="N726" s="40">
        <v>2.9533030207859099</v>
      </c>
      <c r="O726" s="40">
        <v>1.1873481575602705</v>
      </c>
    </row>
    <row r="727" spans="13:15">
      <c r="M727" s="117" t="s">
        <v>745</v>
      </c>
      <c r="N727" s="40">
        <v>2.93891033578682</v>
      </c>
      <c r="O727" s="40">
        <v>1.2311381308069846</v>
      </c>
    </row>
    <row r="728" spans="13:15">
      <c r="M728" s="117" t="s">
        <v>424</v>
      </c>
      <c r="N728" s="40">
        <v>2.9532102294675502</v>
      </c>
      <c r="O728" s="40">
        <v>1.1775393249364716</v>
      </c>
    </row>
    <row r="729" spans="13:15">
      <c r="M729" s="117" t="s">
        <v>427</v>
      </c>
      <c r="N729" s="40">
        <v>2.9577488830812499</v>
      </c>
      <c r="O729" s="40">
        <v>1.2100938867934219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G37" sqref="G37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03" t="s">
        <v>46</v>
      </c>
      <c r="C1" s="104" t="s">
        <v>45</v>
      </c>
      <c r="D1" s="105" t="s">
        <v>47</v>
      </c>
      <c r="E1" s="106" t="s">
        <v>50</v>
      </c>
    </row>
    <row r="2" spans="2:5">
      <c r="B2" s="107" t="s">
        <v>52</v>
      </c>
      <c r="C2" s="108" t="s">
        <v>17</v>
      </c>
      <c r="D2" s="109" t="s">
        <v>72</v>
      </c>
      <c r="E2" s="110">
        <f>Report!N10*100</f>
        <v>4.1821179681285399</v>
      </c>
    </row>
    <row r="3" spans="2:5">
      <c r="B3" s="95" t="s">
        <v>52</v>
      </c>
      <c r="C3" s="89" t="s">
        <v>17</v>
      </c>
      <c r="D3" s="90" t="s">
        <v>28</v>
      </c>
      <c r="E3" s="96">
        <f>Report!P10*100</f>
        <v>1.2243690850472895</v>
      </c>
    </row>
    <row r="4" spans="2:5">
      <c r="B4" s="95" t="s">
        <v>52</v>
      </c>
      <c r="C4" s="89" t="s">
        <v>18</v>
      </c>
      <c r="D4" s="90" t="s">
        <v>72</v>
      </c>
      <c r="E4" s="96">
        <f>Report!N11*100</f>
        <v>3.8425411667081901</v>
      </c>
    </row>
    <row r="5" spans="2:5">
      <c r="B5" s="95" t="s">
        <v>52</v>
      </c>
      <c r="C5" s="89" t="s">
        <v>18</v>
      </c>
      <c r="D5" s="90" t="s">
        <v>28</v>
      </c>
      <c r="E5" s="96">
        <f>Report!P11*100</f>
        <v>0.88479228362694018</v>
      </c>
    </row>
    <row r="6" spans="2:5">
      <c r="B6" s="95" t="s">
        <v>52</v>
      </c>
      <c r="C6" s="89" t="s">
        <v>19</v>
      </c>
      <c r="D6" s="90" t="s">
        <v>72</v>
      </c>
      <c r="E6" s="96">
        <f>Report!N12*100</f>
        <v>4.3364393474588088</v>
      </c>
    </row>
    <row r="7" spans="2:5">
      <c r="B7" s="95" t="s">
        <v>52</v>
      </c>
      <c r="C7" s="89" t="s">
        <v>19</v>
      </c>
      <c r="D7" s="90" t="s">
        <v>28</v>
      </c>
      <c r="E7" s="96">
        <f>Report!P12*100</f>
        <v>1.3786904643775584</v>
      </c>
    </row>
    <row r="8" spans="2:5">
      <c r="B8" s="95" t="s">
        <v>52</v>
      </c>
      <c r="C8" s="89" t="s">
        <v>20</v>
      </c>
      <c r="D8" s="90" t="s">
        <v>72</v>
      </c>
      <c r="E8" s="96">
        <f>Report!N13*100</f>
        <v>4.3102725972031495</v>
      </c>
    </row>
    <row r="9" spans="2:5">
      <c r="B9" s="95" t="s">
        <v>52</v>
      </c>
      <c r="C9" s="89" t="s">
        <v>20</v>
      </c>
      <c r="D9" s="90" t="s">
        <v>28</v>
      </c>
      <c r="E9" s="96">
        <f>Report!P13*100</f>
        <v>1.3525237141218998</v>
      </c>
    </row>
    <row r="10" spans="2:5">
      <c r="B10" s="95" t="s">
        <v>53</v>
      </c>
      <c r="C10" s="89" t="s">
        <v>20</v>
      </c>
      <c r="D10" s="90" t="s">
        <v>72</v>
      </c>
      <c r="E10" s="96">
        <f>Report!N20*100</f>
        <v>4.8142499999999995</v>
      </c>
    </row>
    <row r="11" spans="2:5">
      <c r="B11" s="95" t="s">
        <v>53</v>
      </c>
      <c r="C11" s="89" t="s">
        <v>20</v>
      </c>
      <c r="D11" s="90" t="s">
        <v>28</v>
      </c>
      <c r="E11" s="96">
        <f>Report!P20*100</f>
        <v>2.0263022796586294</v>
      </c>
    </row>
    <row r="12" spans="2:5">
      <c r="B12" s="95" t="s">
        <v>54</v>
      </c>
      <c r="C12" s="89" t="s">
        <v>20</v>
      </c>
      <c r="D12" s="90" t="s">
        <v>72</v>
      </c>
      <c r="E12" s="96">
        <f>Report!N16*100</f>
        <v>3.9770901967365671</v>
      </c>
    </row>
    <row r="13" spans="2:5">
      <c r="B13" s="95" t="s">
        <v>54</v>
      </c>
      <c r="C13" s="89" t="s">
        <v>20</v>
      </c>
      <c r="D13" s="90" t="s">
        <v>28</v>
      </c>
      <c r="E13" s="96">
        <f>Report!P16*100</f>
        <v>1.0193413136553171</v>
      </c>
    </row>
    <row r="14" spans="2:5">
      <c r="B14" s="95" t="s">
        <v>55</v>
      </c>
      <c r="C14" s="89" t="s">
        <v>20</v>
      </c>
      <c r="D14" s="90" t="s">
        <v>72</v>
      </c>
      <c r="E14" s="96">
        <f>Report!N18*100</f>
        <v>3.9929555782460247</v>
      </c>
    </row>
    <row r="15" spans="2:5">
      <c r="B15" s="95" t="s">
        <v>55</v>
      </c>
      <c r="C15" s="89" t="s">
        <v>20</v>
      </c>
      <c r="D15" s="90" t="s">
        <v>28</v>
      </c>
      <c r="E15" s="96">
        <f>Report!P18*100</f>
        <v>1.0352066951647747</v>
      </c>
    </row>
    <row r="16" spans="2:5">
      <c r="B16" s="97"/>
      <c r="C16" s="98"/>
      <c r="D16" s="98"/>
      <c r="E16" s="99"/>
    </row>
    <row r="17" spans="2:5">
      <c r="B17" s="97"/>
      <c r="C17" s="98"/>
      <c r="D17" s="98"/>
      <c r="E17" s="99"/>
    </row>
    <row r="18" spans="2:5">
      <c r="B18" s="97"/>
      <c r="C18" s="98"/>
      <c r="D18" s="98"/>
      <c r="E18" s="99"/>
    </row>
    <row r="19" spans="2:5">
      <c r="B19" s="97"/>
      <c r="C19" s="98"/>
      <c r="D19" s="98"/>
      <c r="E19" s="99"/>
    </row>
    <row r="20" spans="2:5">
      <c r="B20" s="97"/>
      <c r="C20" s="98"/>
      <c r="D20" s="98"/>
      <c r="E20" s="99"/>
    </row>
    <row r="21" spans="2:5">
      <c r="B21" s="97"/>
      <c r="C21" s="98"/>
      <c r="D21" s="98"/>
      <c r="E21" s="99"/>
    </row>
    <row r="22" spans="2:5">
      <c r="B22" s="97"/>
      <c r="C22" s="98"/>
      <c r="D22" s="98"/>
      <c r="E22" s="99"/>
    </row>
    <row r="23" spans="2:5">
      <c r="B23" s="97"/>
      <c r="C23" s="98"/>
      <c r="D23" s="98"/>
      <c r="E23" s="99"/>
    </row>
    <row r="24" spans="2:5">
      <c r="B24" s="97"/>
      <c r="C24" s="98"/>
      <c r="D24" s="98"/>
      <c r="E24" s="99"/>
    </row>
    <row r="25" spans="2:5">
      <c r="B25" s="97"/>
      <c r="C25" s="98"/>
      <c r="D25" s="98"/>
      <c r="E25" s="99"/>
    </row>
    <row r="26" spans="2:5">
      <c r="B26" s="97"/>
      <c r="C26" s="98"/>
      <c r="D26" s="98"/>
      <c r="E26" s="99"/>
    </row>
    <row r="27" spans="2:5">
      <c r="B27" s="97"/>
      <c r="C27" s="98"/>
      <c r="D27" s="98"/>
      <c r="E27" s="99"/>
    </row>
    <row r="28" spans="2:5">
      <c r="B28" s="97"/>
      <c r="C28" s="98"/>
      <c r="D28" s="98"/>
      <c r="E28" s="99"/>
    </row>
    <row r="29" spans="2:5">
      <c r="B29" s="97"/>
      <c r="C29" s="98"/>
      <c r="D29" s="98"/>
      <c r="E29" s="99"/>
    </row>
    <row r="30" spans="2:5">
      <c r="B30" s="100"/>
      <c r="C30" s="101"/>
      <c r="D30" s="101"/>
      <c r="E30" s="102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36</v>
      </c>
      <c r="C1" s="1" t="s">
        <v>37</v>
      </c>
      <c r="D1" s="1" t="s">
        <v>38</v>
      </c>
      <c r="E1" s="28" t="s">
        <v>25</v>
      </c>
      <c r="F1" s="28" t="s">
        <v>39</v>
      </c>
      <c r="G1" s="1" t="s">
        <v>0</v>
      </c>
      <c r="H1" s="1" t="s">
        <v>40</v>
      </c>
      <c r="I1" s="1" t="s">
        <v>1</v>
      </c>
      <c r="J1" s="1" t="s">
        <v>41</v>
      </c>
    </row>
    <row r="2" spans="2:16">
      <c r="B2" s="1">
        <v>20150304</v>
      </c>
      <c r="C2" s="1" t="s">
        <v>20</v>
      </c>
      <c r="D2" s="1" t="s">
        <v>53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26</v>
      </c>
      <c r="P2">
        <v>2.8341999400292899</v>
      </c>
    </row>
    <row r="3" spans="2:16">
      <c r="B3" s="1">
        <v>20150304</v>
      </c>
      <c r="C3" s="1" t="s">
        <v>20</v>
      </c>
      <c r="D3" s="1" t="s">
        <v>52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27</v>
      </c>
      <c r="P3">
        <v>2.7074000366412498</v>
      </c>
    </row>
    <row r="4" spans="2:16">
      <c r="B4" s="1">
        <v>20150304</v>
      </c>
      <c r="C4" s="1" t="s">
        <v>20</v>
      </c>
      <c r="D4" s="1" t="s">
        <v>69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55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53</v>
      </c>
      <c r="E6" s="1">
        <v>3.375</v>
      </c>
      <c r="F6" s="1" t="s">
        <v>70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52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52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52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I29" sqref="I29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  <col min="7" max="8" width="12.42578125" customWidth="1"/>
  </cols>
  <sheetData>
    <row r="3" spans="2:8">
      <c r="C3" s="200" t="s">
        <v>43</v>
      </c>
      <c r="D3" s="200"/>
      <c r="E3" s="200" t="s">
        <v>44</v>
      </c>
      <c r="F3" s="200"/>
      <c r="G3" s="200" t="s">
        <v>118</v>
      </c>
      <c r="H3" s="200"/>
    </row>
    <row r="4" spans="2:8">
      <c r="B4" s="111" t="s">
        <v>52</v>
      </c>
      <c r="C4" s="111" t="s">
        <v>72</v>
      </c>
      <c r="D4" s="111" t="s">
        <v>28</v>
      </c>
      <c r="E4" s="111" t="s">
        <v>72</v>
      </c>
      <c r="F4" s="111" t="s">
        <v>28</v>
      </c>
      <c r="G4" s="111" t="s">
        <v>72</v>
      </c>
      <c r="H4" s="111" t="s">
        <v>28</v>
      </c>
    </row>
    <row r="5" spans="2:8">
      <c r="B5" s="112" t="s">
        <v>17</v>
      </c>
      <c r="C5" s="113">
        <f t="array" ref="C5">VLOOKUP($B$4&amp;B5&amp;$C$4,IF({1,0},OneDayMtgRatesDataTable[TickerName]&amp;OneDayMtgRatesDataTable[Source]&amp;OneDayMtgRatesDataTable[SeriesType],OneDayMtgRatesDataTable[SeriesNumValue]),2,0)/100</f>
        <v>4.1408825121982816E-2</v>
      </c>
      <c r="D5" s="113">
        <f t="array" ref="D5">VLOOKUP($B$4&amp;$B5&amp;$D$4,IF({1,0},OneDayMtgRatesDataTable[TickerName]&amp;OneDayMtgRatesDataTable[Source]&amp;OneDayMtgRatesDataTable[SeriesType],OneDayMtgRatesDataTable[SeriesNumValue]),2,0)/100</f>
        <v>1.1876722827307316E-2</v>
      </c>
      <c r="E5" s="113">
        <f t="array" ref="E5">VLOOKUP(B4&amp;B5&amp;E4,IF({1,0},OneWeekMtgRatesDataTable[TickerName]&amp;OneWeekMtgRatesDataTable[Source]&amp;OneWeekMtgRatesDataTable[SeriesType],OneWeekMtgRatesDataTable[SeriesNumValue]),2,0)/100</f>
        <v>4.1379331815548974E-2</v>
      </c>
      <c r="F5" s="113">
        <f t="array" ref="F5">VLOOKUP($B$4&amp;$B5&amp;$F$4,IF({1,0},OneWeekMtgRatesDataTable[TickerName]&amp;OneWeekMtgRatesDataTable[Source]&amp;OneWeekMtgRatesDataTable[SeriesType],OneWeekMtgRatesDataTable[SeriesNumValue]),2,0)/100</f>
        <v>1.253868588468487E-2</v>
      </c>
      <c r="G5" s="113">
        <f t="array" ref="G5">VLOOKUP(B4&amp;B5&amp;E4,IF({1,0},OneWeekMtgRatesDataTable8[TickerName]&amp;OneWeekMtgRatesDataTable8[Source]&amp;OneWeekMtgRatesDataTable8[SeriesType],OneWeekMtgRatesDataTable8[SeriesNumValue]),2,0)/100</f>
        <v>4.0424666256249513E-2</v>
      </c>
      <c r="H5" s="113">
        <f t="array" ref="H5">VLOOKUP(B4&amp;B5&amp;F4,IF({1,0},OneWeekMtgRatesDataTable8[TickerName]&amp;OneWeekMtgRatesDataTable8[Source]&amp;OneWeekMtgRatesDataTable8[SeriesType],OneWeekMtgRatesDataTable8[SeriesNumValue]),2,0)/100</f>
        <v>1.1998350939585112E-2</v>
      </c>
    </row>
    <row r="6" spans="2:8">
      <c r="B6" s="112" t="s">
        <v>18</v>
      </c>
      <c r="C6" s="113">
        <f t="array" ref="C6">VLOOKUP($B$4&amp;B6&amp;$C$4,IF({1,0},OneDayMtgRatesDataTable[TickerName]&amp;OneDayMtgRatesDataTable[Source]&amp;OneDayMtgRatesDataTable[SeriesType],OneDayMtgRatesDataTable[SeriesNumValue]),2,0)/100</f>
        <v>3.8426337494806249E-2</v>
      </c>
      <c r="D6" s="113">
        <f t="array" ref="D6">VLOOKUP($B$4&amp;$B6&amp;$D$4,IF({1,0},OneDayMtgRatesDataTable[TickerName]&amp;OneDayMtgRatesDataTable[Source]&amp;OneDayMtgRatesDataTable[SeriesType],OneDayMtgRatesDataTable[SeriesNumValue]),2,0)/100</f>
        <v>8.8942352001307491E-3</v>
      </c>
      <c r="E6" s="113">
        <f t="array" ref="E6">VLOOKUP($B$4&amp;$B6&amp;$E$4,IF({1,0},OneWeekMtgRatesDataTable[TickerName]&amp;OneWeekMtgRatesDataTable[Source]&amp;OneWeekMtgRatesDataTable[SeriesType],OneWeekMtgRatesDataTable[SeriesNumValue]),2,0)/100</f>
        <v>3.812495034861673E-2</v>
      </c>
      <c r="F6" s="113">
        <f t="array" ref="F6">VLOOKUP($B$4&amp;$B6&amp;$F$4,IF({1,0},OneWeekMtgRatesDataTable[TickerName]&amp;OneWeekMtgRatesDataTable[Source]&amp;OneWeekMtgRatesDataTable[SeriesType],OneWeekMtgRatesDataTable[SeriesNumValue]),2,0)/100</f>
        <v>9.2843044177526278E-3</v>
      </c>
      <c r="G6" s="113">
        <f t="array" ref="G6">VLOOKUP(B4&amp;B6&amp;E4,IF({1,0},OneWeekMtgRatesDataTable8[TickerName]&amp;OneWeekMtgRatesDataTable8[Source]&amp;OneWeekMtgRatesDataTable8[SeriesType],OneWeekMtgRatesDataTable8[SeriesNumValue]),2,0)/100</f>
        <v>3.7493301282064344E-2</v>
      </c>
      <c r="H6" s="113">
        <f t="array" ref="H6">VLOOKUP(B4&amp;B6&amp;F4,IF({1,0},OneWeekMtgRatesDataTable8[TickerName]&amp;OneWeekMtgRatesDataTable8[Source]&amp;OneWeekMtgRatesDataTable8[SeriesType],OneWeekMtgRatesDataTable8[SeriesNumValue]),2,0)/100</f>
        <v>9.0669859653999436E-3</v>
      </c>
    </row>
    <row r="7" spans="2:8">
      <c r="B7" s="112" t="s">
        <v>19</v>
      </c>
      <c r="C7" s="113">
        <f t="array" ref="C7">VLOOKUP($B$4&amp;B7&amp;$C$4,IF({1,0},OneDayMtgRatesDataTable[TickerName]&amp;OneDayMtgRatesDataTable[Source]&amp;OneDayMtgRatesDataTable[SeriesType],OneDayMtgRatesDataTable[SeriesNumValue]),2,0)/100</f>
        <v>4.3364279754872601E-2</v>
      </c>
      <c r="D7" s="113">
        <f t="array" ref="D7">VLOOKUP($B$4&amp;$B7&amp;$D$4,IF({1,0},OneDayMtgRatesDataTable[TickerName]&amp;OneDayMtgRatesDataTable[Source]&amp;OneDayMtgRatesDataTable[SeriesType],OneDayMtgRatesDataTable[SeriesNumValue]),2,0)/100</f>
        <v>1.3832177460197109E-2</v>
      </c>
      <c r="E7" s="113">
        <f t="array" ref="E7">VLOOKUP($B$4&amp;$B7&amp;$E$4,IF({1,0},OneWeekMtgRatesDataTable[TickerName]&amp;OneWeekMtgRatesDataTable[Source]&amp;OneWeekMtgRatesDataTable[SeriesType],OneWeekMtgRatesDataTable[SeriesNumValue]),2,0)/100</f>
        <v>4.3364279754872601E-2</v>
      </c>
      <c r="F7" s="113">
        <f t="array" ref="F7">VLOOKUP($B$4&amp;$B7&amp;$F$4,IF({1,0},OneWeekMtgRatesDataTable[TickerName]&amp;OneWeekMtgRatesDataTable[Source]&amp;OneWeekMtgRatesDataTable[SeriesType],OneWeekMtgRatesDataTable[SeriesNumValue]),2,0)/100</f>
        <v>1.4523633824008503E-2</v>
      </c>
      <c r="G7" s="113">
        <f t="array" ref="G7">VLOOKUP(B4&amp;B7&amp;E4,IF({1,0},OneWeekMtgRatesDataTable8[TickerName]&amp;OneWeekMtgRatesDataTable8[Source]&amp;OneWeekMtgRatesDataTable8[SeriesType],OneWeekMtgRatesDataTable8[SeriesNumValue]),2,0)/100</f>
        <v>4.2488084289060694E-2</v>
      </c>
      <c r="H7" s="113">
        <f t="array" ref="H7">VLOOKUP(B4&amp;B7&amp;F4,IF({1,0},OneWeekMtgRatesDataTable8[TickerName]&amp;OneWeekMtgRatesDataTable8[Source]&amp;OneWeekMtgRatesDataTable8[SeriesType],OneWeekMtgRatesDataTable8[SeriesNumValue]),2,0)/100</f>
        <v>1.4061768972396294E-2</v>
      </c>
    </row>
    <row r="8" spans="2:8">
      <c r="B8" s="112" t="s">
        <v>20</v>
      </c>
      <c r="C8" s="113">
        <f t="array" ref="C8">VLOOKUP($B$4&amp;B8&amp;$C$4,IF({1,0},OneDayMtgRatesDataTable[TickerName]&amp;OneDayMtgRatesDataTable[Source]&amp;OneDayMtgRatesDataTable[SeriesType],OneDayMtgRatesDataTable[SeriesNumValue]),2,0)/100</f>
        <v>4.2030539804499195E-2</v>
      </c>
      <c r="D8" s="113">
        <f t="array" ref="D8">VLOOKUP($B$4&amp;$B8&amp;$D$4,IF({1,0},OneDayMtgRatesDataTable[TickerName]&amp;OneDayMtgRatesDataTable[Source]&amp;OneDayMtgRatesDataTable[SeriesType],OneDayMtgRatesDataTable[SeriesNumValue]),2,0)/100</f>
        <v>1.2498437509823688E-2</v>
      </c>
      <c r="E8" s="113">
        <f t="array" ref="E8">VLOOKUP($B$4&amp;$B8&amp;$E$4,IF({1,0},OneWeekMtgRatesDataTable[TickerName]&amp;OneWeekMtgRatesDataTable[Source]&amp;OneWeekMtgRatesDataTable[SeriesType],OneWeekMtgRatesDataTable[SeriesNumValue]),2,0)/100</f>
        <v>4.2030539804499195E-2</v>
      </c>
      <c r="F8" s="113">
        <f t="array" ref="F8">VLOOKUP($B$4&amp;$B8&amp;$F$4,IF({1,0},OneWeekMtgRatesDataTable[TickerName]&amp;OneWeekMtgRatesDataTable[Source]&amp;OneWeekMtgRatesDataTable[SeriesType],OneWeekMtgRatesDataTable[SeriesNumValue]),2,0)/100</f>
        <v>1.3189893873635086E-2</v>
      </c>
      <c r="G8" s="113">
        <f t="array" ref="G8">VLOOKUP(B4&amp;B8&amp;E4,IF({1,0},OneWeekMtgRatesDataTable8[TickerName]&amp;OneWeekMtgRatesDataTable8[Source]&amp;OneWeekMtgRatesDataTable8[SeriesType],OneWeekMtgRatesDataTable8[SeriesNumValue]),2,0)/100</f>
        <v>4.2492234701408622E-2</v>
      </c>
      <c r="H8" s="113">
        <f t="array" ref="H8">VLOOKUP(B4&amp;B8&amp;F4,IF({1,0},OneWeekMtgRatesDataTable8[TickerName]&amp;OneWeekMtgRatesDataTable8[Source]&amp;OneWeekMtgRatesDataTable8[SeriesType],OneWeekMtgRatesDataTable8[SeriesNumValue]),2,0)/100</f>
        <v>1.4065919384744214E-2</v>
      </c>
    </row>
    <row r="9" spans="2:8">
      <c r="B9" s="111" t="s">
        <v>54</v>
      </c>
      <c r="C9" s="114"/>
      <c r="D9" s="114"/>
      <c r="E9" s="114"/>
      <c r="F9" s="114"/>
      <c r="G9" s="114"/>
      <c r="H9" s="114"/>
    </row>
    <row r="10" spans="2:8">
      <c r="B10" s="112" t="s">
        <v>20</v>
      </c>
      <c r="C10" s="113">
        <f t="array" ref="C10">VLOOKUP($B$9&amp;B10&amp;$C$4,IF({1,0},OneDayMtgRatesDataTable[TickerName]&amp;OneDayMtgRatesDataTable[Source]&amp;OneDayMtgRatesDataTable[SeriesType],OneDayMtgRatesDataTable[SeriesNumValue]),2,0)/100</f>
        <v>4.1548334667180754E-2</v>
      </c>
      <c r="D10" s="113">
        <f t="array" ref="D10">VLOOKUP($B$9&amp;$B10&amp;$D$4,IF({1,0},OneDayMtgRatesDataTable[TickerName]&amp;OneDayMtgRatesDataTable[Source]&amp;OneDayMtgRatesDataTable[SeriesType],OneDayMtgRatesDataTable[SeriesNumValue]),2,0)/100</f>
        <v>1.2016232372505259E-2</v>
      </c>
      <c r="E10" s="113">
        <f t="array" ref="E10">VLOOKUP($B$9&amp;$B10&amp;$E$4,IF({1,0},OneWeekMtgRatesDataTable[TickerName]&amp;OneWeekMtgRatesDataTable[Source]&amp;OneWeekMtgRatesDataTable[SeriesType],OneWeekMtgRatesDataTable[SeriesNumValue]),2,0)/100</f>
        <v>3.9770901967365671E-2</v>
      </c>
      <c r="F10" s="113">
        <f t="array" ref="F10">VLOOKUP($B$9&amp;$B10&amp;$F$4,IF({1,0},OneWeekMtgRatesDataTable[TickerName]&amp;OneWeekMtgRatesDataTable[Source]&amp;OneWeekMtgRatesDataTable[SeriesType],OneWeekMtgRatesDataTable[SeriesNumValue]),2,0)/100</f>
        <v>1.0930256036501568E-2</v>
      </c>
      <c r="G10" s="113">
        <f t="array" ref="G10">VLOOKUP(B9&amp;B10&amp;E4,IF({1,0},OneWeekMtgRatesDataTable8[TickerName]&amp;OneWeekMtgRatesDataTable8[Source]&amp;OneWeekMtgRatesDataTable8[SeriesType],OneWeekMtgRatesDataTable8[SeriesNumValue]),2,0)/100</f>
        <v>4.2701439283478235E-2</v>
      </c>
      <c r="H10" s="113">
        <f t="array" ref="H10">VLOOKUP($B$9&amp;$B10&amp;$F$4,IF({1,0},OneWeekMtgRatesDataTable8[TickerName]&amp;OneWeekMtgRatesDataTable8[Source]&amp;OneWeekMtgRatesDataTable8[SeriesType],OneWeekMtgRatesDataTable8[SeriesNumValue]),2,0)/100</f>
        <v>1.4275123966813835E-2</v>
      </c>
    </row>
    <row r="11" spans="2:8">
      <c r="B11" s="111" t="s">
        <v>55</v>
      </c>
      <c r="C11" s="114"/>
      <c r="D11" s="114"/>
      <c r="E11" s="114"/>
      <c r="F11" s="114"/>
      <c r="G11" s="114"/>
      <c r="H11" s="114"/>
    </row>
    <row r="12" spans="2:8">
      <c r="B12" s="112" t="s">
        <v>20</v>
      </c>
      <c r="C12" s="113">
        <f t="array" ref="C12">VLOOKUP($B$11&amp;B12&amp;$C$4,IF({1,0},OneDayMtgRatesDataTable[TickerName]&amp;OneDayMtgRatesDataTable[Source]&amp;OneDayMtgRatesDataTable[SeriesType],OneDayMtgRatesDataTable[SeriesNumValue]),2,0)/100</f>
        <v>3.9929555782460248E-2</v>
      </c>
      <c r="D12" s="113">
        <f t="array" ref="D12">VLOOKUP($B$11&amp;$B12&amp;$D$4,IF({1,0},OneDayMtgRatesDataTable[TickerName]&amp;OneDayMtgRatesDataTable[Source]&amp;OneDayMtgRatesDataTable[SeriesType],OneDayMtgRatesDataTable[SeriesNumValue]),2,0)/100</f>
        <v>1.0397453487784748E-2</v>
      </c>
      <c r="E12" s="113">
        <f t="array" ref="E12">VLOOKUP($B$11&amp;$B12&amp;$E$4,IF({1,0},OneWeekMtgRatesDataTable[TickerName]&amp;OneWeekMtgRatesDataTable[Source]&amp;OneWeekMtgRatesDataTable[SeriesType],OneWeekMtgRatesDataTable[SeriesNumValue]),2,0)/100</f>
        <v>3.9929555782460248E-2</v>
      </c>
      <c r="F12" s="113">
        <f t="array" ref="F12">VLOOKUP($B$11&amp;$B12&amp;$F$4,IF({1,0},OneWeekMtgRatesDataTable[TickerName]&amp;OneWeekMtgRatesDataTable[Source]&amp;OneWeekMtgRatesDataTable[SeriesType],OneWeekMtgRatesDataTable[SeriesNumValue]),2,0)/100</f>
        <v>1.1088909851596145E-2</v>
      </c>
      <c r="G12" s="113">
        <f t="array" ref="G12">VLOOKUP($B$11&amp;$B12&amp;$E$4,IF({1,0},OneWeekMtgRatesDataTable8[TickerName]&amp;OneWeekMtgRatesDataTable8[Source]&amp;OneWeekMtgRatesDataTable8[SeriesType],OneWeekMtgRatesDataTable8[SeriesNumValue]),2,0)/100</f>
        <v>4.1481752040431988E-2</v>
      </c>
      <c r="H12" s="113">
        <f t="array" ref="H12">VLOOKUP($B$11&amp;$B12&amp;$F$4,IF({1,0},OneWeekMtgRatesDataTable8[TickerName]&amp;OneWeekMtgRatesDataTable8[Source]&amp;OneWeekMtgRatesDataTable8[SeriesType],OneWeekMtgRatesDataTable8[SeriesNumValue]),2,0)/100</f>
        <v>1.3055436723767588E-2</v>
      </c>
    </row>
    <row r="13" spans="2:8">
      <c r="B13" s="111" t="s">
        <v>53</v>
      </c>
      <c r="C13" s="114"/>
      <c r="D13" s="114"/>
      <c r="E13" s="114"/>
      <c r="F13" s="114"/>
      <c r="G13" s="114"/>
      <c r="H13" s="114"/>
    </row>
    <row r="14" spans="2:8">
      <c r="B14" s="112" t="s">
        <v>20</v>
      </c>
      <c r="C14" s="113">
        <f t="array" ref="C14">VLOOKUP($B$13&amp;B14&amp;$C$4,IF({1,0},OneDayMtgRatesDataTable[TickerName]&amp;OneDayMtgRatesDataTable[Source]&amp;OneDayMtgRatesDataTable[SeriesType],OneDayMtgRatesDataTable[SeriesNumValue]),2,0)/100</f>
        <v>4.8142499999999998E-2</v>
      </c>
      <c r="D14" s="113">
        <f t="array" ref="D14">VLOOKUP($B$13&amp;$B14&amp;$D$4,IF({1,0},OneDayMtgRatesDataTable[TickerName]&amp;OneDayMtgRatesDataTable[Source]&amp;OneDayMtgRatesDataTable[SeriesType],OneDayMtgRatesDataTable[SeriesNumValue]),2,0)/100</f>
        <v>2.0174328382577097E-2</v>
      </c>
      <c r="E14" s="113">
        <f t="array" ref="E14">VLOOKUP($B$13&amp;$B14&amp;$E$4,IF({1,0},OneWeekMtgRatesDataTable[TickerName]&amp;OneWeekMtgRatesDataTable[Source]&amp;OneWeekMtgRatesDataTable[SeriesType],OneWeekMtgRatesDataTable[SeriesNumValue]),2,0)/100</f>
        <v>4.8142499999999998E-2</v>
      </c>
      <c r="F14" s="113">
        <f t="array" ref="F14">VLOOKUP($B$13&amp;$B14&amp;$F$4,IF({1,0},OneWeekMtgRatesDataTable[TickerName]&amp;OneWeekMtgRatesDataTable[Source]&amp;OneWeekMtgRatesDataTable[SeriesType],OneWeekMtgRatesDataTable[SeriesNumValue]),2,0)/100</f>
        <v>2.0604933227684995E-2</v>
      </c>
      <c r="G14" s="113">
        <f t="array" ref="G14">VLOOKUP($B$13&amp;$B14&amp;$E$4,IF({1,0},OneWeekMtgRatesDataTable8[TickerName]&amp;OneWeekMtgRatesDataTable8[Source]&amp;OneWeekMtgRatesDataTable8[SeriesType],OneWeekMtgRatesDataTable8[SeriesNumValue]),2,0)/100</f>
        <v>4.7824999999999999E-2</v>
      </c>
      <c r="H14" s="113">
        <f t="array" ref="H14">VLOOKUP($B$13&amp;$B14&amp;$F$4,IF({1,0},OneWeekMtgRatesDataTable8[TickerName]&amp;OneWeekMtgRatesDataTable8[Source]&amp;OneWeekMtgRatesDataTable8[SeriesType],OneWeekMtgRatesDataTable8[SeriesNumValue]),2,0)/100</f>
        <v>2.0827703624712E-2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3">
    <mergeCell ref="C3:D3"/>
    <mergeCell ref="E3:F3"/>
    <mergeCell ref="G3:H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52</v>
      </c>
    </row>
    <row r="2" spans="2:11">
      <c r="B2" s="201" t="s">
        <v>3</v>
      </c>
      <c r="C2" s="201"/>
      <c r="D2" s="4"/>
      <c r="E2" s="201" t="s">
        <v>5</v>
      </c>
      <c r="F2" s="201"/>
      <c r="H2" s="201" t="s">
        <v>12</v>
      </c>
      <c r="I2" s="201"/>
    </row>
    <row r="4" spans="2:11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1.728471872514159E-2</v>
      </c>
      <c r="H4" s="8" t="s">
        <v>11</v>
      </c>
      <c r="I4" s="9">
        <f>C4-(1%-F7)/4</f>
        <v>4.1821179681285396E-2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4.1449999999999994E-2</v>
      </c>
      <c r="D5" s="5"/>
      <c r="E5" s="6" t="s">
        <v>14</v>
      </c>
      <c r="F5" s="17">
        <f>C8</f>
        <v>7.3000000000000001E-3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9.9847187251415892E-3</v>
      </c>
      <c r="H6" s="2" t="s">
        <v>22</v>
      </c>
      <c r="I6" s="13">
        <f>C4-(0.01-(1-((C4/12*(1+C4/12)^360)/((1+C4/12)^360-1)*((1+C5/12)^360-1)/(C5/12*(1+C5/12)^360))))/4</f>
        <v>4.1821179681285396E-2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1.728471872514159E-2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7.3000000000000001E-3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I22" sqref="I2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52</v>
      </c>
    </row>
    <row r="2" spans="2:9">
      <c r="B2" s="201" t="s">
        <v>3</v>
      </c>
      <c r="C2" s="201"/>
      <c r="D2" s="4"/>
      <c r="E2" s="201" t="s">
        <v>5</v>
      </c>
      <c r="F2" s="201"/>
      <c r="H2" s="201" t="s">
        <v>12</v>
      </c>
      <c r="I2" s="20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8.7016466683276228E-3</v>
      </c>
      <c r="H4" s="8" t="s">
        <v>11</v>
      </c>
      <c r="I4" s="9">
        <f>C4-(1%-F7)/4</f>
        <v>3.8425411667081903E-2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3.9469999999999998E-2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-4.8353331672378042E-5</v>
      </c>
      <c r="H6" s="2" t="s">
        <v>22</v>
      </c>
      <c r="I6" s="13">
        <f>C4-(0.01-(1-((C4/12*(1+C4/12)^360)/((1+C4/12)^360-1)*((1+C5/12)^360-1)/(C5/12*(1+C5/12)^360))))/4</f>
        <v>3.8425411667081903E-2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8.7016466683276228E-3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19</v>
      </c>
      <c r="C1" s="90" t="s">
        <v>52</v>
      </c>
    </row>
    <row r="2" spans="2:9">
      <c r="B2" s="201" t="s">
        <v>3</v>
      </c>
      <c r="C2" s="201"/>
      <c r="D2" s="4"/>
      <c r="E2" s="201" t="s">
        <v>5</v>
      </c>
      <c r="F2" s="201"/>
      <c r="H2" s="201" t="s">
        <v>12</v>
      </c>
      <c r="I2" s="20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2.8457573898352351E-2</v>
      </c>
      <c r="H4" s="8" t="s">
        <v>11</v>
      </c>
      <c r="I4" s="124">
        <f>C4-(1%-F7)/4</f>
        <v>4.3364393474588085E-2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4.1139999999999996E-2</v>
      </c>
      <c r="D5" s="5"/>
      <c r="E5" s="6" t="s">
        <v>14</v>
      </c>
      <c r="F5" s="17">
        <f>C8</f>
        <v>1.7500000000000002E-2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1.0957573898352349E-2</v>
      </c>
      <c r="H6" s="2" t="s">
        <v>22</v>
      </c>
      <c r="I6" s="13">
        <f>C4-(0.01-(1-((C4/12*(1+C4/12)^360)/((1+C4/12)^360-1)*((1+C5/12)^360-1)/(C5/12*(1+C5/12)^360))))/4</f>
        <v>4.3364393474588085E-2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2.8457573898352351E-2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1.7500000000000002E-2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52</v>
      </c>
    </row>
    <row r="2" spans="2:9">
      <c r="B2" s="201" t="s">
        <v>3</v>
      </c>
      <c r="C2" s="201"/>
      <c r="D2" s="4"/>
      <c r="E2" s="201" t="s">
        <v>5</v>
      </c>
      <c r="F2" s="201"/>
      <c r="G2" s="2"/>
      <c r="H2" s="201" t="s">
        <v>12</v>
      </c>
      <c r="I2" s="201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199115.81922237479</v>
      </c>
      <c r="G4" s="2"/>
      <c r="H4" s="8" t="s">
        <v>11</v>
      </c>
      <c r="I4" s="124">
        <f>CIR-(1%-F9)/4</f>
        <v>4.3102725972031498E-2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4.1619999999999997E-2</v>
      </c>
      <c r="D5" s="5"/>
      <c r="E5" s="10" t="s">
        <v>8</v>
      </c>
      <c r="F5" s="11">
        <f>1-F4/CP</f>
        <v>4.4209038881261042E-3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4.4209038881259932E-3</v>
      </c>
      <c r="G6" s="2"/>
      <c r="H6" s="2" t="s">
        <v>22</v>
      </c>
      <c r="I6" s="13">
        <f>CIR-(0.01-(1-((CIR/12*(1+CIR/12)^360)/((1+CIR/12)^360-1)*((1+CAPR/12)^360-1)/(CAPR/12*(1+CAPR/12)^360)) + C7/CP))/4</f>
        <v>4.3102725972031498E-2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2598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1.299E-2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1.7410903888125995E-2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F15" sqref="F15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89" t="s">
        <v>20</v>
      </c>
      <c r="C1" s="90" t="s">
        <v>54</v>
      </c>
    </row>
    <row r="2" spans="2:9">
      <c r="B2" s="201" t="s">
        <v>3</v>
      </c>
      <c r="C2" s="201"/>
      <c r="D2" s="20"/>
      <c r="E2" s="201" t="s">
        <v>5</v>
      </c>
      <c r="F2" s="201"/>
      <c r="H2" s="201" t="s">
        <v>12</v>
      </c>
      <c r="I2" s="20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1.4083357869462687E-2</v>
      </c>
      <c r="H4" s="8" t="s">
        <v>11</v>
      </c>
      <c r="I4" s="9">
        <f>C4-(1%-F7)/4</f>
        <v>3.9770901967365671E-2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3.9919999999999997E-2</v>
      </c>
      <c r="D5" s="5"/>
      <c r="E5" s="6" t="s">
        <v>14</v>
      </c>
      <c r="F5" s="17">
        <f>F4</f>
        <v>1.4083357869462687E-2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6" t="s">
        <v>9</v>
      </c>
      <c r="F6" s="11">
        <f>C7/C6</f>
        <v>2.4999999999999999E-7</v>
      </c>
      <c r="H6" s="2" t="s">
        <v>22</v>
      </c>
      <c r="I6" s="13">
        <f>C4-(0.01-(1-((C4/12*(1+C4/12)^360)/((1+C4/12)^360-1)*((1+C5/12)^360-1)/(C5/12*(1+C5/12)^360)) + C7/C6))/4</f>
        <v>3.9770901967365671E-2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0.05</v>
      </c>
      <c r="D7" s="12"/>
      <c r="E7" s="2" t="s">
        <v>10</v>
      </c>
      <c r="F7" s="16">
        <f>F5+F6</f>
        <v>1.4083607869462687E-2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J26" sqref="J26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55</v>
      </c>
    </row>
    <row r="2" spans="2:9">
      <c r="B2" s="201" t="s">
        <v>3</v>
      </c>
      <c r="C2" s="201"/>
      <c r="D2" s="20"/>
      <c r="E2" s="201" t="s">
        <v>5</v>
      </c>
      <c r="F2" s="201"/>
      <c r="H2" s="201" t="s">
        <v>12</v>
      </c>
      <c r="I2" s="20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3.6249999999999998E-2</v>
      </c>
      <c r="D4" s="5"/>
      <c r="E4" s="5" t="s">
        <v>8</v>
      </c>
      <c r="F4" s="13">
        <f>1-((C4/12*(1+C4/12)^360)/((1+C4/12)^360-1)*((1+C5/12)^360-1)/(C5/12*(1+C5/12)^360))</f>
        <v>2.4718156463174323E-2</v>
      </c>
      <c r="H4" s="8" t="s">
        <v>11</v>
      </c>
      <c r="I4" s="9">
        <f>C4-(1%-F7)/4</f>
        <v>3.9929555782460248E-2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3.8290000000000005E-2</v>
      </c>
      <c r="D5" s="5"/>
      <c r="E5" s="6" t="s">
        <v>14</v>
      </c>
      <c r="F5" s="17">
        <f>F4</f>
        <v>2.4718156463174323E-2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6.6666666666666668E-8</v>
      </c>
      <c r="H6" s="2" t="s">
        <v>22</v>
      </c>
      <c r="I6" s="13">
        <f>C4-(0.01-(1-((C4/12*(1+C4/12)^360)/((1+C4/12)^360-1)*((1+C5/12)^360-1)/(C5/12*(1+C5/12)^360)) + C7/C6))/4</f>
        <v>3.9929555782460248E-2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0.05</v>
      </c>
      <c r="D7" s="12"/>
      <c r="E7" s="2" t="s">
        <v>10</v>
      </c>
      <c r="F7" s="16">
        <f>F5+F6</f>
        <v>2.471822312984099E-2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20</v>
      </c>
      <c r="C1" s="90" t="s">
        <v>53</v>
      </c>
    </row>
    <row r="2" spans="2:9">
      <c r="B2" s="201" t="s">
        <v>3</v>
      </c>
      <c r="C2" s="201"/>
      <c r="D2" s="21"/>
      <c r="E2" s="201" t="s">
        <v>5</v>
      </c>
      <c r="F2" s="201"/>
      <c r="H2" s="201" t="s">
        <v>12</v>
      </c>
      <c r="I2" s="20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4.6249999999999999E-2</v>
      </c>
      <c r="D4" s="5"/>
      <c r="E4" s="5" t="s">
        <v>34</v>
      </c>
      <c r="F4" s="13">
        <f>C9/C6</f>
        <v>1.7500000000000002E-2</v>
      </c>
      <c r="H4" s="8" t="s">
        <v>11</v>
      </c>
      <c r="I4" s="9">
        <f>C4-(1%-F7)/4</f>
        <v>4.8142499999999998E-2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5.679E-2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1.7569999999999995E-2</v>
      </c>
      <c r="I6" s="13"/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7014</v>
      </c>
      <c r="D7" s="12"/>
      <c r="E7" s="2" t="s">
        <v>10</v>
      </c>
      <c r="F7" s="16">
        <f>F5+F6</f>
        <v>1.7569999999999995E-2</v>
      </c>
    </row>
    <row r="8" spans="2:9">
      <c r="B8" s="2" t="s">
        <v>7</v>
      </c>
      <c r="C8" s="34">
        <v>0</v>
      </c>
      <c r="D8" s="15"/>
    </row>
    <row r="9" spans="2:9">
      <c r="B9" s="76" t="s">
        <v>41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42</v>
      </c>
      <c r="F9" s="13">
        <f>C7/C6</f>
        <v>3.5069999999999997E-2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24</vt:i4>
      </vt:variant>
    </vt:vector>
  </HeadingPairs>
  <TitlesOfParts>
    <vt:vector size="37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HistoricStartDate</vt:lpstr>
      <vt:lpstr>OneDayBusDate</vt:lpstr>
      <vt:lpstr>OneMonthBusDate</vt:lpstr>
      <vt:lpstr>OneMonthMtgRatesDataTable</vt:lpstr>
      <vt:lpstr>OneMonthMtgRatesDataTable1</vt:lpstr>
      <vt:lpstr>OneWeekBusDate</vt:lpstr>
      <vt:lpstr>PDFReportDir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2017-10-03T14:20:25Z</cp:lastPrinted>
  <dcterms:created xsi:type="dcterms:W3CDTF">2015-02-26T13:52:04Z</dcterms:created>
  <dcterms:modified xsi:type="dcterms:W3CDTF">2017-10-03T14:21:59Z</dcterms:modified>
</cp:coreProperties>
</file>