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365" windowHeight="17040"/>
  </bookViews>
  <sheets>
    <sheet name="Report" sheetId="6" r:id="rId1"/>
    <sheet name="Time Series Query" sheetId="18" r:id="rId2"/>
    <sheet name="Rates Summary" sheetId="19" r:id="rId3"/>
    <sheet name="Upload Result" sheetId="20" r:id="rId4"/>
    <sheet name="Input Data" sheetId="14" state="hidden" r:id="rId5"/>
    <sheet name="Historic Result" sheetId="16" r:id="rId6"/>
    <sheet name="BoA - Conventional" sheetId="3" r:id="rId7"/>
    <sheet name="Chase - Conventional" sheetId="4" r:id="rId8"/>
    <sheet name="Quicken - Conventional" sheetId="5" r:id="rId9"/>
    <sheet name="Wells - Conventional" sheetId="2" r:id="rId10"/>
    <sheet name="Wells - Jumbo conformin" sheetId="13" r:id="rId11"/>
    <sheet name="Wells - Jumbo Non-conforming" sheetId="12" r:id="rId12"/>
    <sheet name="Wells - FHA" sheetId="15" r:id="rId13"/>
  </sheets>
  <functionGroups builtInGroupCount="17"/>
  <externalReferences>
    <externalReference r:id="rId14"/>
  </externalReferences>
  <definedNames>
    <definedName name="AIR" localSheetId="12">#REF!</definedName>
    <definedName name="AIR" localSheetId="10">'Wells - Jumbo conformin'!$AIR$4</definedName>
    <definedName name="AIR" localSheetId="11">'Wells - Jumbo Non-conforming'!$AIR$4</definedName>
    <definedName name="AIR">'BoA - Conventional'!$AIR$4</definedName>
    <definedName name="BOAIR" localSheetId="12">#REF!</definedName>
    <definedName name="BOAIR" localSheetId="10">'Wells - Jumbo conformin'!$AIR$4</definedName>
    <definedName name="BOAIR" localSheetId="11">'Wells - Jumbo Non-conforming'!$AIR$4</definedName>
    <definedName name="BOAIR">'BoA - Conventional'!$AIR$4</definedName>
    <definedName name="CAPR" localSheetId="12">#REF!</definedName>
    <definedName name="CAPR">'Wells - Conventional'!$C$5</definedName>
    <definedName name="CIR" localSheetId="12">#REF!</definedName>
    <definedName name="CIR">'Wells - Conventional'!$C$4</definedName>
    <definedName name="CP" localSheetId="12">#REF!</definedName>
    <definedName name="CP">'Wells - Conventional'!$C$6</definedName>
    <definedName name="CurrentCloseDate">Report!$Y$2</definedName>
    <definedName name="DatabaseEnv">Report!$Y$1</definedName>
    <definedName name="HistoricalMtgRatesDataTable">OneWeekMtgRatesDataTable9[]</definedName>
    <definedName name="IR" localSheetId="12">#REF!</definedName>
    <definedName name="IR" localSheetId="10">#REF!</definedName>
    <definedName name="IR" localSheetId="11">#REF!</definedName>
    <definedName name="IR">#REF!</definedName>
    <definedName name="MmExcelLinker_D5EFE7B8_A5AE_4CC6_B628_05FDC84CBEA4">Early Market [1]Data!$C$44:$C$44</definedName>
    <definedName name="OneDayBusDate">TimeSeriesDataTable34[Column1]</definedName>
    <definedName name="OneMonthBusDate">TimeSeriesDataTable310[Column1]</definedName>
    <definedName name="OneMonthMtgRatesDataTable">OneWeekMtgRatesDataTable8[]</definedName>
    <definedName name="OneMonthMtgRatesDataTable1">OneWeekMtgRatesDataTable8[]</definedName>
    <definedName name="OneWeekBusDate">TimeSeriesDataTable3[Column1]</definedName>
    <definedName name="PDFReportDir">Report!$Y$3</definedName>
    <definedName name="PDFReportName">Report!$Y$4</definedName>
    <definedName name="_xlnm.Print_Area" localSheetId="0">Report!$B$1:$V$55</definedName>
    <definedName name="Query_from_Agency" localSheetId="1" hidden="1">'Time Series Query'!$A$6:$F$53</definedName>
    <definedName name="Query_from_Agency_1" localSheetId="1" hidden="1">'Time Series Query'!$P$1:$P$2</definedName>
    <definedName name="Query_from_Agency_10" localSheetId="1" hidden="1">'Time Series Query'!$AR$6:$AW$53</definedName>
    <definedName name="Query_from_Agency_2" localSheetId="1" hidden="1">'Time Series Query'!$H$1:$H$2</definedName>
    <definedName name="Query_from_Agency_3" localSheetId="1" hidden="1">'Time Series Query'!$I$6:$N$53</definedName>
    <definedName name="Query_from_Agency_4" localSheetId="1" hidden="1">'Time Series Query'!$Q$6:$V$53</definedName>
    <definedName name="Query_from_Agency_5" localSheetId="1" hidden="1">'Time Series Query'!$X$6:$Z$8</definedName>
    <definedName name="Query_from_Agency_6" localSheetId="1" hidden="1">'Time Series Query'!$AC$6:$AH$167</definedName>
    <definedName name="Query_from_Agency_7" localSheetId="1" hidden="1">'Time Series Query'!$AB$1:$AB$2</definedName>
    <definedName name="Query_from_Agency_8" localSheetId="1" hidden="1">'Time Series Query'!#REF!</definedName>
    <definedName name="Query_from_Agency_9" localSheetId="1" hidden="1">'Time Series Query'!$AJ$6:$AO$121</definedName>
    <definedName name="RatesList">'Upload Result'!$B$2:$E$30</definedName>
    <definedName name="SaveRatesToDB">Report!$AA$1</definedName>
    <definedName name="WIR" localSheetId="12">#REF!</definedName>
    <definedName name="WIR">'Wells - Conventional'!$C$4</definedName>
  </definedNames>
  <calcPr calcId="145621"/>
  <pivotCaches>
    <pivotCache cacheId="46" r:id="rId15"/>
    <pivotCache cacheId="52" r:id="rId16"/>
    <pivotCache cacheId="58" r:id="rId17"/>
    <pivotCache cacheId="64" r:id="rId18"/>
    <pivotCache cacheId="68" r:id="rId19"/>
  </pivotCaches>
</workbook>
</file>

<file path=xl/calcChain.xml><?xml version="1.0" encoding="utf-8"?>
<calcChain xmlns="http://schemas.openxmlformats.org/spreadsheetml/2006/main">
  <c r="H14" i="16" l="1" a="1"/>
  <c r="H14" i="16" s="1"/>
  <c r="G14" i="16" a="1"/>
  <c r="G14" i="16" s="1"/>
  <c r="G12" i="16" a="1"/>
  <c r="G12" i="16" s="1"/>
  <c r="H12" i="16" a="1"/>
  <c r="H12" i="16" s="1"/>
  <c r="H10" i="16" a="1"/>
  <c r="H10" i="16" s="1"/>
  <c r="G10" i="16" a="1"/>
  <c r="G10" i="16" s="1"/>
  <c r="H8" i="16" a="1"/>
  <c r="H8" i="16" s="1"/>
  <c r="H7" i="16" a="1"/>
  <c r="H7" i="16" s="1"/>
  <c r="H6" i="16" a="1"/>
  <c r="H6" i="16" s="1"/>
  <c r="G8" i="16" a="1"/>
  <c r="G8" i="16" s="1"/>
  <c r="G7" i="16" a="1"/>
  <c r="G7" i="16" s="1"/>
  <c r="H5" i="16" a="1"/>
  <c r="H5" i="16" s="1"/>
  <c r="G6" i="16" a="1"/>
  <c r="G6" i="16" s="1"/>
  <c r="G5" i="16" a="1"/>
  <c r="G5" i="16" s="1"/>
  <c r="Y4" i="6" l="1"/>
  <c r="C9" i="15" l="1" a="1"/>
  <c r="C9" i="15" s="1"/>
  <c r="E12" i="16" l="1" a="1"/>
  <c r="E12" i="16" s="1"/>
  <c r="E8" i="16" a="1"/>
  <c r="E8" i="16" s="1"/>
  <c r="E7" i="16" a="1"/>
  <c r="E7" i="16" s="1"/>
  <c r="E6" i="16" a="1"/>
  <c r="E6" i="16" s="1"/>
  <c r="E5" i="16" a="1"/>
  <c r="E5" i="16" s="1"/>
  <c r="F5" i="16" a="1"/>
  <c r="F5" i="16" s="1"/>
  <c r="F6" i="16" a="1"/>
  <c r="F6" i="16" s="1"/>
  <c r="F14" i="16" l="1" a="1"/>
  <c r="F14" i="16" s="1"/>
  <c r="F12" i="16" a="1"/>
  <c r="F12" i="16" s="1"/>
  <c r="F10" i="16" a="1"/>
  <c r="F10" i="16" s="1"/>
  <c r="F7" i="16" a="1"/>
  <c r="F7" i="16" s="1"/>
  <c r="F8" i="16" a="1"/>
  <c r="F8" i="16" s="1"/>
  <c r="E14" i="16" a="1"/>
  <c r="E14" i="16" s="1"/>
  <c r="E10" i="16" a="1"/>
  <c r="E10" i="16" s="1"/>
  <c r="D14" i="16" a="1"/>
  <c r="D14" i="16" s="1"/>
  <c r="D12" i="16" a="1"/>
  <c r="D12" i="16" s="1"/>
  <c r="D10" i="16" a="1"/>
  <c r="D10" i="16" s="1"/>
  <c r="C14" i="16" a="1"/>
  <c r="C14" i="16" s="1"/>
  <c r="C12" i="16" a="1"/>
  <c r="C12" i="16" s="1"/>
  <c r="C10" i="16" a="1"/>
  <c r="C10" i="16" s="1"/>
  <c r="D6" i="16" a="1"/>
  <c r="D6" i="16" s="1"/>
  <c r="D7" i="16" a="1"/>
  <c r="D7" i="16" s="1"/>
  <c r="D8" i="16" a="1"/>
  <c r="D8" i="16" s="1"/>
  <c r="D5" i="16" a="1"/>
  <c r="D5" i="16" s="1"/>
  <c r="C6" i="16" a="1"/>
  <c r="C6" i="16" s="1"/>
  <c r="C7" i="16" a="1"/>
  <c r="C7" i="16" s="1"/>
  <c r="C8" i="16" a="1"/>
  <c r="C8" i="16" s="1"/>
  <c r="C5" i="16" a="1"/>
  <c r="C5" i="16" s="1"/>
  <c r="Z13" i="18" l="1"/>
  <c r="D25" i="6" s="1"/>
  <c r="Z12" i="18"/>
  <c r="D24" i="6" s="1"/>
  <c r="C7" i="15" l="1" a="1"/>
  <c r="C7" i="15" s="1"/>
  <c r="C6" i="15" a="1"/>
  <c r="C6" i="15" s="1"/>
  <c r="C5" i="15" a="1"/>
  <c r="C5" i="15" s="1"/>
  <c r="C4" i="15" a="1"/>
  <c r="C4" i="15" s="1"/>
  <c r="D20" i="6" s="1"/>
  <c r="C7" i="12" a="1"/>
  <c r="C7" i="12" s="1"/>
  <c r="C6" i="12" a="1"/>
  <c r="C6" i="12" s="1"/>
  <c r="C5" i="12" a="1"/>
  <c r="C5" i="12" s="1"/>
  <c r="C4" i="12" a="1"/>
  <c r="C4" i="12" s="1"/>
  <c r="C7" i="13" a="1"/>
  <c r="C7" i="13" s="1"/>
  <c r="C6" i="13" a="1"/>
  <c r="C6" i="13" s="1"/>
  <c r="C5" i="13" a="1"/>
  <c r="C5" i="13" s="1"/>
  <c r="C4" i="13" a="1"/>
  <c r="C4" i="13" s="1"/>
  <c r="C7" i="2" a="1"/>
  <c r="C7" i="2" s="1"/>
  <c r="C6" i="2" a="1"/>
  <c r="C6" i="2" s="1"/>
  <c r="C5" i="2" a="1"/>
  <c r="C5" i="2" s="1"/>
  <c r="C4" i="2" a="1"/>
  <c r="C4" i="2" s="1"/>
  <c r="C8" i="5" a="1"/>
  <c r="C8" i="5" s="1"/>
  <c r="C5" i="5" a="1"/>
  <c r="C5" i="5" s="1"/>
  <c r="C4" i="5" a="1"/>
  <c r="C4" i="5" s="1"/>
  <c r="F4" i="15" l="1"/>
  <c r="F6" i="15" s="1"/>
  <c r="K20" i="6" s="1"/>
  <c r="C8" i="4" a="1"/>
  <c r="C8" i="4" s="1"/>
  <c r="C5" i="4" a="1"/>
  <c r="C5" i="4" s="1"/>
  <c r="C4" i="4" a="1"/>
  <c r="C4" i="4" s="1"/>
  <c r="C8" i="3" a="1"/>
  <c r="C8" i="3" s="1"/>
  <c r="C5" i="3" a="1"/>
  <c r="C5" i="3" s="1"/>
  <c r="C4" i="3" a="1"/>
  <c r="C4" i="3" s="1"/>
  <c r="K5" i="3" a="1"/>
  <c r="K5" i="3" s="1"/>
  <c r="K4" i="3" a="1"/>
  <c r="K4" i="3" s="1"/>
  <c r="F20" i="6" l="1"/>
  <c r="F5" i="14"/>
  <c r="F4" i="14"/>
  <c r="F3" i="14"/>
  <c r="F2" i="14"/>
  <c r="F9" i="15" l="1"/>
  <c r="F5" i="15"/>
  <c r="J20" i="6" s="1"/>
  <c r="F7" i="15" l="1"/>
  <c r="G18" i="6"/>
  <c r="D18" i="6"/>
  <c r="G16" i="6"/>
  <c r="D16" i="6"/>
  <c r="I4" i="15" l="1"/>
  <c r="N20" i="6" s="1"/>
  <c r="T20" i="6" s="1"/>
  <c r="L20" i="6"/>
  <c r="I6" i="12"/>
  <c r="I6" i="13"/>
  <c r="O20" i="6" l="1"/>
  <c r="M20" i="6"/>
  <c r="P20" i="6"/>
  <c r="R20" i="6"/>
  <c r="E10" i="20"/>
  <c r="F6" i="13"/>
  <c r="K16" i="6" s="1"/>
  <c r="F4" i="13"/>
  <c r="F5" i="13" s="1"/>
  <c r="F6" i="12"/>
  <c r="K18" i="6" s="1"/>
  <c r="F4" i="12"/>
  <c r="F5" i="12" s="1"/>
  <c r="J18" i="6" s="1"/>
  <c r="S20" i="6" l="1"/>
  <c r="U20" i="6"/>
  <c r="Q20" i="6"/>
  <c r="E11" i="20"/>
  <c r="F7" i="13"/>
  <c r="J16" i="6"/>
  <c r="F7" i="12"/>
  <c r="I4" i="12" l="1"/>
  <c r="N18" i="6" s="1"/>
  <c r="T18" i="6" s="1"/>
  <c r="L18" i="6"/>
  <c r="I4" i="13"/>
  <c r="N16" i="6" s="1"/>
  <c r="T16" i="6" s="1"/>
  <c r="L16" i="6"/>
  <c r="E12" i="20" l="1"/>
  <c r="M16" i="6"/>
  <c r="E14" i="20"/>
  <c r="M18" i="6"/>
  <c r="R16" i="6"/>
  <c r="P16" i="6"/>
  <c r="P18" i="6"/>
  <c r="R18" i="6"/>
  <c r="O16" i="6"/>
  <c r="O18" i="6"/>
  <c r="E15" i="20" l="1"/>
  <c r="U18" i="6"/>
  <c r="E13" i="20"/>
  <c r="U16" i="6"/>
  <c r="Q18" i="6"/>
  <c r="S18" i="6"/>
  <c r="Q16" i="6"/>
  <c r="S16" i="6"/>
  <c r="I6" i="5"/>
  <c r="I6" i="4"/>
  <c r="I6" i="3"/>
  <c r="I6" i="2"/>
  <c r="G13" i="6"/>
  <c r="G12" i="6"/>
  <c r="G11" i="6"/>
  <c r="G10" i="6"/>
  <c r="G14" i="6" l="1"/>
  <c r="D13" i="6"/>
  <c r="D12" i="6"/>
  <c r="D11" i="6"/>
  <c r="D10" i="6"/>
  <c r="F5" i="5"/>
  <c r="J12" i="6" s="1"/>
  <c r="F4" i="5"/>
  <c r="F6" i="5" s="1"/>
  <c r="K12" i="6" s="1"/>
  <c r="F5" i="4"/>
  <c r="F4" i="4"/>
  <c r="F6" i="4" s="1"/>
  <c r="F5" i="3"/>
  <c r="J10" i="6" s="1"/>
  <c r="F4" i="3"/>
  <c r="F6" i="3" s="1"/>
  <c r="K10" i="6" s="1"/>
  <c r="F8" i="2"/>
  <c r="K13" i="6" s="1"/>
  <c r="F6" i="2"/>
  <c r="F4" i="2"/>
  <c r="F5" i="2" s="1"/>
  <c r="K14" i="6" l="1"/>
  <c r="F9" i="2"/>
  <c r="J13" i="6"/>
  <c r="J14" i="6" s="1"/>
  <c r="D14" i="6"/>
  <c r="F7" i="3"/>
  <c r="L10" i="6" s="1"/>
  <c r="F7" i="5"/>
  <c r="I4" i="5" s="1"/>
  <c r="F7" i="4"/>
  <c r="I4" i="4" s="1"/>
  <c r="I4" i="2" l="1"/>
  <c r="N13" i="6" s="1"/>
  <c r="L13" i="6"/>
  <c r="N11" i="6"/>
  <c r="T11" i="6" s="1"/>
  <c r="L11" i="6"/>
  <c r="I4" i="3"/>
  <c r="N10" i="6" s="1"/>
  <c r="T10" i="6" s="1"/>
  <c r="N12" i="6"/>
  <c r="T12" i="6" s="1"/>
  <c r="L12" i="6"/>
  <c r="M13" i="6" l="1"/>
  <c r="T13" i="6"/>
  <c r="T14" i="6" s="1"/>
  <c r="E6" i="20"/>
  <c r="M12" i="6"/>
  <c r="E2" i="20"/>
  <c r="M10" i="6"/>
  <c r="E4" i="20"/>
  <c r="M11" i="6"/>
  <c r="E8" i="20"/>
  <c r="P13" i="6"/>
  <c r="O13" i="6"/>
  <c r="R13" i="6"/>
  <c r="L14" i="6"/>
  <c r="P12" i="6"/>
  <c r="R12" i="6"/>
  <c r="P10" i="6"/>
  <c r="R10" i="6"/>
  <c r="R11" i="6"/>
  <c r="P11" i="6"/>
  <c r="O11" i="6"/>
  <c r="O10" i="6"/>
  <c r="O12" i="6"/>
  <c r="N14" i="6"/>
  <c r="E7" i="20" l="1"/>
  <c r="U12" i="6"/>
  <c r="E9" i="20"/>
  <c r="U13" i="6"/>
  <c r="E5" i="20"/>
  <c r="U11" i="6"/>
  <c r="E3" i="20"/>
  <c r="U10" i="6"/>
  <c r="M14" i="6"/>
  <c r="Q13" i="6"/>
  <c r="S13" i="6"/>
  <c r="P14" i="6"/>
  <c r="R14" i="6"/>
  <c r="Q10" i="6"/>
  <c r="S10" i="6"/>
  <c r="Q12" i="6"/>
  <c r="S12" i="6"/>
  <c r="S11" i="6"/>
  <c r="Q11" i="6"/>
  <c r="O14" i="6"/>
  <c r="U14" i="6" l="1"/>
  <c r="Q14" i="6"/>
  <c r="S14" i="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5-07-31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7-30' order by TickerName,Source,SeriesType,AsOfDate"/>
  </connection>
  <connection id="3" name="1MonthBusDateQuery" type="1" refreshedVersion="4" savePassword="1" saveData="1">
    <dbPr connection="DSN=Cello SQL Server;UID=report;PWD=gm4SJDw4;APP=Microsoft Office 2010;WSID=CELLO-PC4;DATABASE=Cello" command="select dbo.GetNthBusinessDate('2015-07-31',-22)"/>
  </connection>
  <connection id="4" name="1Month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SeriesType='1Point Rate' and Category='MTG' AND AsOfDate &lt;= '2015-07-31' AND AsOfDate &gt;= '2015-06-30' order by TickerName,Source,SeriesType,AsOfDate"/>
  </connection>
  <connection id="5" name="1MonthMtgRatesQuery1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6-30' order by TickerName,Source,SeriesType,AsOfDate"/>
  </connection>
  <connection id="6" name="1MonthSpread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Conventional','FN_CMM_30Yr') and m.timeseriesmetaId = t.timeseriesmetaId and SeriesType in ('Servicing Spread') and Category='MTG' AND AsOfDate &lt;= '2015-07-31' AND AsOfDate &gt;= '2015-06-30' UNION select TickerName,Source,SeriesType,Category,AsOfDate,SeriesNumValue from TimeSeriesMeta m, TimeSeries t where TickerName IN ('30YrConformingConventional','FN_CMM_30Yr') and m.timeseriesmetaId = t.timeseriesmetaId and SeriesType in ('Rate') and Category='MTG' and Source = 'CELLO' AND AsOfDate &lt;= '2015-07-31' AND AsOfDate &gt;= '2015-06-30' order by TickerName,Source,SeriesType,AsOfDate"/>
  </connection>
  <connection id="7" name="1WeekBusDateQuery" type="1" refreshedVersion="4" savePassword="1" saveData="1">
    <dbPr connection="DSN=Cello SQL Server;UID=report;PWD=gm4SJDw4;APP=Microsoft Office 2010;WSID=CELLO-PC4;DATABASE=Cello" command="select dbo.GetNthBusinessDate('2015-07-31',-5)"/>
  </connection>
  <connection id="8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7-24' order by TickerName,Source,SeriesType,AsOfDate"/>
  </connection>
  <connection id="9" name="CurrentCouponQuery" type="1" refreshedVersion="4" savePassword="1" saveData="1">
    <dbPr connection="DSN=Cello SQL Server;UID=report;PWD=gm4SJDw4;APP=Microsoft Office 2010;WSID=CELLO-PC4;DATABASE=Cello" command="select d.AsOfDate, m.TickerName, d.SeriesNumValue from TimeSeriesMeta as m,TimeSeries as d where m.TimeSeriesMetaId = d.TimeSeriesMetaId and m.source = 'CELLO' and m.TickerName like '%N_CMM_30%' and Category='MTG' AND AsOfDate = '07/31/2015' order by AsOfDate"/>
  </connection>
  <connection id="10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7-31' order by TickerName,Source,SeriesType,AsOfDate"/>
  </connection>
</connections>
</file>

<file path=xl/sharedStrings.xml><?xml version="1.0" encoding="utf-8"?>
<sst xmlns="http://schemas.openxmlformats.org/spreadsheetml/2006/main" count="2834" uniqueCount="130">
  <si>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</si>
  <si>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</si>
  <si>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</si>
  <si>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</si>
  <si>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</si>
  <si>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</si>
  <si>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</si>
  <si>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</si>
  <si>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</si>
  <si>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</si>
  <si>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</si>
  <si>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</si>
  <si>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</si>
  <si>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</si>
  <si>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</si>
  <si>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</si>
  <si>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</si>
  <si>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</si>
  <si>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</si>
  <si>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</si>
  <si>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</si>
  <si>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</si>
  <si>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</si>
  <si>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</si>
  <si>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</si>
  <si>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</si>
  <si>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</si>
  <si>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</si>
  <si>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</si>
  <si>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</si>
  <si>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</si>
  <si>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</si>
  <si>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</si>
  <si>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</si>
  <si>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</si>
  <si>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</si>
  <si>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</si>
  <si>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</si>
  <si>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</si>
  <si>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</si>
  <si>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</si>
  <si>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</si>
  <si>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Closing Costs</t>
  </si>
  <si>
    <t>1D</t>
  </si>
  <si>
    <t>1W</t>
  </si>
  <si>
    <t>Source</t>
  </si>
  <si>
    <t>TickerName</t>
  </si>
  <si>
    <t>SeriesType</t>
  </si>
  <si>
    <t>Category</t>
  </si>
  <si>
    <t>AsOfDate</t>
  </si>
  <si>
    <t>SeriesNumValue</t>
  </si>
  <si>
    <t>MTG</t>
  </si>
  <si>
    <t>30YrConformingConventional</t>
  </si>
  <si>
    <t>30YrConformingFHA</t>
  </si>
  <si>
    <t>30YrJumboConforming</t>
  </si>
  <si>
    <t>30YrJumboNonConforming</t>
  </si>
  <si>
    <t>Sum of SeriesNumValue</t>
  </si>
  <si>
    <t>Database Env</t>
  </si>
  <si>
    <t>As of Date</t>
  </si>
  <si>
    <t>Column1</t>
  </si>
  <si>
    <t>1 Day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</si>
  <si>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</si>
  <si>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</si>
  <si>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</si>
  <si>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</si>
  <si>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</si>
  <si>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</si>
  <si>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</si>
  <si>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</si>
  <si>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 xml:space="preserve"> 30YrJumboConforming</t>
  </si>
  <si>
    <t>2.25 </t>
  </si>
  <si>
    <t>Closing cost</t>
  </si>
  <si>
    <t>1Point Rate</t>
  </si>
  <si>
    <t>GN_CMM_30Yr</t>
  </si>
  <si>
    <t>FN_CMM_30Yr</t>
  </si>
  <si>
    <t>Save Data to DB</t>
  </si>
  <si>
    <t>PROD</t>
  </si>
  <si>
    <t>Historical RATES Summary</t>
  </si>
  <si>
    <t>Average of SeriesNumValue</t>
  </si>
  <si>
    <t>30Yr Conforming Conventional</t>
  </si>
  <si>
    <t>30Yr Conforming FHA</t>
  </si>
  <si>
    <t>30Yr Jumbo Conforming</t>
  </si>
  <si>
    <t>30Yr Jumbo Non-Conforming</t>
  </si>
  <si>
    <t>1 Month Date</t>
  </si>
  <si>
    <t>Source:</t>
  </si>
  <si>
    <t>Sources: Bank of Amarica; Chase; Quicken; Wells Fargo</t>
  </si>
  <si>
    <t>1 month historic - 1 point rate</t>
  </si>
  <si>
    <t>1 month historic - Spread</t>
  </si>
  <si>
    <t>CELLO</t>
  </si>
  <si>
    <t>Historical Spread Summary</t>
  </si>
  <si>
    <t>30-Yr Conventional Servicing Spread</t>
  </si>
  <si>
    <t>FNMA 30-yr Current Coupon</t>
  </si>
  <si>
    <t>Yes</t>
  </si>
  <si>
    <t>Report Folder</t>
  </si>
  <si>
    <t>S:\IT\Production\Daily Reports\Primary Market\tmp\</t>
  </si>
  <si>
    <t>Originator Mortgage Rates (refinance)</t>
  </si>
  <si>
    <t>2015-07-01</t>
  </si>
  <si>
    <t>2015-07-02</t>
  </si>
  <si>
    <t>2015-06-30</t>
  </si>
  <si>
    <t>2015-07-22</t>
  </si>
  <si>
    <t>2015-07-16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</si>
  <si>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</si>
  <si>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</si>
  <si>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</si>
  <si>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</si>
  <si>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</si>
  <si>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</si>
  <si>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</si>
  <si>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</si>
  <si>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2015-07-17</t>
  </si>
  <si>
    <t>2015-07-20</t>
  </si>
  <si>
    <t>2015-07-21</t>
  </si>
  <si>
    <t>1D SS 
Chg</t>
  </si>
  <si>
    <t>1M SS 
Chg</t>
  </si>
  <si>
    <t>1wk SS 
Chg</t>
  </si>
  <si>
    <t>2-Point 
Rate</t>
  </si>
  <si>
    <t>1-Point 
Rate</t>
  </si>
  <si>
    <t>Total 
Points</t>
  </si>
  <si>
    <t>1 Month</t>
  </si>
  <si>
    <t>1M</t>
  </si>
  <si>
    <t>1M Rate 
Chg</t>
  </si>
  <si>
    <t>1wk Rate 
Chg</t>
  </si>
  <si>
    <t>1D Rate Chg 
(bps)</t>
  </si>
  <si>
    <t>2015-07-30</t>
  </si>
  <si>
    <t>2015-07-24</t>
  </si>
  <si>
    <t>2015-07-31</t>
  </si>
  <si>
    <t>2015-07-23</t>
  </si>
  <si>
    <t>2015-07-27</t>
  </si>
  <si>
    <t>2015-07-28</t>
  </si>
  <si>
    <t>2015-07-29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</si>
</sst>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0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  <numFmt numFmtId="198" formatCode="m/d;@"/>
    <numFmt numFmtId="199" formatCode="0.0000000000000000%"/>
  </numFmts>
  <fonts count="14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theme="4" tint="-0.49998474074526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29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39" fillId="0" borderId="0" applyNumberFormat="0" applyFill="0" applyBorder="0" applyAlignment="0" applyProtection="0"/>
  </cellStyleXfs>
  <cellXfs count="192">
    <xf numFmtId="0" fontId="0" fillId="0" borderId="0" xfId="0"/>
    <xf numFmtId="0" fontId="0" fillId="0" borderId="0" xfId="0"/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5" fontId="128" fillId="0" borderId="0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165" fontId="5" fillId="0" borderId="0" xfId="1" applyNumberFormat="1" applyFont="1" applyFill="1"/>
    <xf numFmtId="0" fontId="130" fillId="0" borderId="0" xfId="0" applyFont="1"/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39" xfId="1" applyNumberFormat="1" applyFont="1" applyBorder="1" applyAlignment="1">
      <alignment horizontal="center"/>
    </xf>
    <xf numFmtId="167" fontId="5" fillId="0" borderId="41" xfId="1" applyNumberFormat="1" applyFont="1" applyBorder="1" applyAlignment="1">
      <alignment horizontal="center"/>
    </xf>
    <xf numFmtId="167" fontId="5" fillId="0" borderId="42" xfId="1" applyNumberFormat="1" applyFont="1" applyBorder="1" applyAlignment="1">
      <alignment horizontal="center"/>
    </xf>
    <xf numFmtId="167" fontId="5" fillId="0" borderId="43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167" fontId="14" fillId="12" borderId="43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39" xfId="0" applyNumberFormat="1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6" xfId="0" applyFont="1" applyFill="1" applyBorder="1" applyAlignment="1">
      <alignment horizontal="center"/>
    </xf>
    <xf numFmtId="167" fontId="129" fillId="52" borderId="44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6" xfId="0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7" fontId="14" fillId="0" borderId="49" xfId="0" applyNumberFormat="1" applyFont="1" applyBorder="1" applyAlignment="1">
      <alignment horizontal="center"/>
    </xf>
    <xf numFmtId="167" fontId="14" fillId="0" borderId="50" xfId="0" applyNumberFormat="1" applyFont="1" applyBorder="1" applyAlignment="1">
      <alignment horizontal="center"/>
    </xf>
    <xf numFmtId="167" fontId="14" fillId="0" borderId="51" xfId="0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167" fontId="5" fillId="0" borderId="49" xfId="1" applyNumberFormat="1" applyFont="1" applyBorder="1" applyAlignment="1">
      <alignment horizontal="center"/>
    </xf>
    <xf numFmtId="167" fontId="5" fillId="0" borderId="50" xfId="1" applyNumberFormat="1" applyFont="1" applyBorder="1" applyAlignment="1">
      <alignment horizontal="center"/>
    </xf>
    <xf numFmtId="167" fontId="5" fillId="0" borderId="51" xfId="1" applyNumberFormat="1" applyFont="1" applyBorder="1" applyAlignment="1">
      <alignment horizontal="center"/>
    </xf>
    <xf numFmtId="0" fontId="128" fillId="0" borderId="43" xfId="0" applyFont="1" applyFill="1" applyBorder="1" applyAlignment="1">
      <alignment horizontal="left"/>
    </xf>
    <xf numFmtId="0" fontId="128" fillId="0" borderId="45" xfId="0" applyFont="1" applyFill="1" applyBorder="1" applyAlignment="1">
      <alignment horizontal="left"/>
    </xf>
    <xf numFmtId="165" fontId="128" fillId="0" borderId="41" xfId="1" applyNumberFormat="1" applyFont="1" applyFill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49" xfId="0" applyFont="1" applyFill="1" applyBorder="1" applyAlignment="1">
      <alignment horizontal="left"/>
    </xf>
    <xf numFmtId="0" fontId="14" fillId="12" borderId="43" xfId="0" applyFont="1" applyFill="1" applyBorder="1" applyAlignment="1">
      <alignment horizontal="left"/>
    </xf>
    <xf numFmtId="0" fontId="129" fillId="52" borderId="44" xfId="0" applyFont="1" applyFill="1" applyBorder="1" applyAlignment="1">
      <alignment horizontal="left"/>
    </xf>
    <xf numFmtId="0" fontId="5" fillId="0" borderId="43" xfId="0" applyFont="1" applyBorder="1" applyAlignment="1">
      <alignment horizontal="right"/>
    </xf>
    <xf numFmtId="0" fontId="0" fillId="0" borderId="0" xfId="0" applyAlignment="1"/>
    <xf numFmtId="0" fontId="14" fillId="0" borderId="49" xfId="0" applyFont="1" applyFill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128" fillId="0" borderId="45" xfId="0" applyFont="1" applyFill="1" applyBorder="1" applyAlignment="1">
      <alignment horizontal="right"/>
    </xf>
    <xf numFmtId="0" fontId="129" fillId="52" borderId="49" xfId="0" applyFont="1" applyFill="1" applyBorder="1" applyAlignment="1">
      <alignment horizontal="center"/>
    </xf>
    <xf numFmtId="0" fontId="6" fillId="6" borderId="52" xfId="366" applyNumberFormat="1" applyFont="1" applyFill="1" applyBorder="1" applyAlignment="1"/>
    <xf numFmtId="0" fontId="6" fillId="6" borderId="53" xfId="366" applyNumberFormat="1" applyFont="1" applyFill="1" applyBorder="1" applyAlignment="1"/>
    <xf numFmtId="0" fontId="6" fillId="6" borderId="0" xfId="366" applyNumberFormat="1" applyFont="1" applyFill="1" applyBorder="1" applyAlignment="1"/>
    <xf numFmtId="0" fontId="128" fillId="5" borderId="54" xfId="0" applyFont="1" applyFill="1" applyBorder="1" applyAlignment="1">
      <alignment horizontal="left"/>
    </xf>
    <xf numFmtId="0" fontId="6" fillId="5" borderId="54" xfId="366" applyNumberFormat="1" applyFont="1" applyFill="1" applyBorder="1" applyAlignment="1"/>
    <xf numFmtId="0" fontId="6" fillId="5" borderId="55" xfId="366" applyNumberFormat="1" applyFont="1" applyFill="1" applyBorder="1" applyAlignment="1"/>
    <xf numFmtId="0" fontId="6" fillId="6" borderId="60" xfId="366" applyNumberFormat="1" applyFont="1" applyFill="1" applyBorder="1" applyAlignment="1"/>
    <xf numFmtId="0" fontId="6" fillId="6" borderId="61" xfId="366" applyNumberFormat="1" applyFont="1" applyFill="1" applyBorder="1" applyAlignment="1"/>
    <xf numFmtId="0" fontId="0" fillId="0" borderId="62" xfId="0" applyBorder="1"/>
    <xf numFmtId="0" fontId="0" fillId="0" borderId="0" xfId="0" applyBorder="1"/>
    <xf numFmtId="0" fontId="0" fillId="0" borderId="8" xfId="0" applyBorder="1"/>
    <xf numFmtId="0" fontId="0" fillId="0" borderId="63" xfId="0" applyBorder="1"/>
    <xf numFmtId="0" fontId="0" fillId="0" borderId="9" xfId="0" applyBorder="1"/>
    <xf numFmtId="0" fontId="0" fillId="0" borderId="38" xfId="0" applyBorder="1"/>
    <xf numFmtId="0" fontId="137" fillId="12" borderId="56" xfId="366" applyNumberFormat="1" applyFont="1" applyFill="1" applyBorder="1" applyAlignment="1">
      <alignment horizontal="center"/>
    </xf>
    <xf numFmtId="0" fontId="137" fillId="12" borderId="57" xfId="366" applyNumberFormat="1" applyFont="1" applyFill="1" applyBorder="1" applyAlignment="1">
      <alignment horizontal="center"/>
    </xf>
    <xf numFmtId="0" fontId="137" fillId="12" borderId="58" xfId="366" applyNumberFormat="1" applyFont="1" applyFill="1" applyBorder="1" applyAlignment="1">
      <alignment horizontal="center"/>
    </xf>
    <xf numFmtId="0" fontId="137" fillId="12" borderId="59" xfId="366" applyNumberFormat="1" applyFont="1" applyFill="1" applyBorder="1" applyAlignment="1">
      <alignment horizontal="center"/>
    </xf>
    <xf numFmtId="0" fontId="6" fillId="6" borderId="56" xfId="366" applyNumberFormat="1" applyFont="1" applyFill="1" applyBorder="1" applyAlignment="1"/>
    <xf numFmtId="0" fontId="6" fillId="6" borderId="57" xfId="366" applyNumberFormat="1" applyFont="1" applyFill="1" applyBorder="1" applyAlignment="1"/>
    <xf numFmtId="0" fontId="6" fillId="6" borderId="58" xfId="366" applyNumberFormat="1" applyFont="1" applyFill="1" applyBorder="1" applyAlignment="1"/>
    <xf numFmtId="0" fontId="6" fillId="6" borderId="59" xfId="366" applyNumberFormat="1" applyFont="1" applyFill="1" applyBorder="1" applyAlignment="1"/>
    <xf numFmtId="0" fontId="137" fillId="12" borderId="14" xfId="366" applyNumberFormat="1" applyFont="1" applyFill="1" applyBorder="1" applyAlignment="1">
      <alignment horizontal="center"/>
    </xf>
    <xf numFmtId="0" fontId="6" fillId="6" borderId="14" xfId="366" applyNumberFormat="1" applyFont="1" applyFill="1" applyBorder="1" applyAlignment="1"/>
    <xf numFmtId="165" fontId="6" fillId="6" borderId="14" xfId="1" applyNumberFormat="1" applyFont="1" applyFill="1" applyBorder="1" applyAlignment="1"/>
    <xf numFmtId="165" fontId="137" fillId="12" borderId="14" xfId="1" applyNumberFormat="1" applyFont="1" applyFill="1" applyBorder="1" applyAlignment="1">
      <alignment horizontal="center"/>
    </xf>
    <xf numFmtId="0" fontId="138" fillId="6" borderId="0" xfId="366" applyFont="1"/>
    <xf numFmtId="0" fontId="6" fillId="5" borderId="0" xfId="366" applyNumberFormat="1" applyFont="1" applyFill="1" applyBorder="1" applyAlignment="1"/>
    <xf numFmtId="198" fontId="0" fillId="0" borderId="0" xfId="0" applyNumberFormat="1" applyAlignment="1">
      <alignment horizontal="left"/>
    </xf>
    <xf numFmtId="0" fontId="1" fillId="0" borderId="43" xfId="0" applyFont="1" applyBorder="1" applyAlignment="1">
      <alignment horizontal="right"/>
    </xf>
    <xf numFmtId="0" fontId="140" fillId="0" borderId="0" xfId="0" applyFont="1"/>
    <xf numFmtId="0" fontId="141" fillId="0" borderId="0" xfId="528" applyFont="1"/>
    <xf numFmtId="0" fontId="140" fillId="0" borderId="0" xfId="0" applyFont="1" applyAlignment="1">
      <alignment horizontal="right"/>
    </xf>
    <xf numFmtId="0" fontId="141" fillId="0" borderId="0" xfId="528" applyFont="1" applyAlignment="1">
      <alignment vertical="top"/>
    </xf>
    <xf numFmtId="0" fontId="142" fillId="0" borderId="0" xfId="0" applyFont="1"/>
    <xf numFmtId="199" fontId="14" fillId="0" borderId="0" xfId="0" applyNumberFormat="1" applyFont="1"/>
    <xf numFmtId="0" fontId="143" fillId="6" borderId="0" xfId="366" applyFont="1"/>
    <xf numFmtId="0" fontId="7" fillId="7" borderId="14" xfId="5" applyFont="1" applyBorder="1" applyAlignment="1">
      <alignment horizontal="left"/>
    </xf>
    <xf numFmtId="165" fontId="128" fillId="0" borderId="45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165" fontId="5" fillId="0" borderId="43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165" fontId="14" fillId="0" borderId="0" xfId="1" applyNumberFormat="1" applyFont="1" applyBorder="1" applyAlignment="1">
      <alignment horizontal="center"/>
    </xf>
    <xf numFmtId="165" fontId="14" fillId="0" borderId="50" xfId="1" applyNumberFormat="1" applyFont="1" applyBorder="1" applyAlignment="1">
      <alignment horizontal="center"/>
    </xf>
    <xf numFmtId="165" fontId="129" fillId="0" borderId="41" xfId="1" applyNumberFormat="1" applyFont="1" applyFill="1" applyBorder="1" applyAlignment="1">
      <alignment horizontal="center"/>
    </xf>
    <xf numFmtId="0" fontId="144" fillId="6" borderId="0" xfId="366" applyFont="1"/>
    <xf numFmtId="14" fontId="144" fillId="6" borderId="0" xfId="366" applyNumberFormat="1" applyFont="1"/>
    <xf numFmtId="0" fontId="14" fillId="12" borderId="5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0" fontId="14" fillId="12" borderId="49" xfId="0" applyFont="1" applyFill="1" applyBorder="1" applyAlignment="1">
      <alignment horizontal="left" vertical="center" wrapText="1"/>
    </xf>
    <xf numFmtId="0" fontId="14" fillId="12" borderId="50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 wrapText="1"/>
    </xf>
    <xf numFmtId="0" fontId="14" fillId="12" borderId="51" xfId="0" applyFont="1" applyFill="1" applyBorder="1" applyAlignment="1">
      <alignment horizontal="center" vertical="center" wrapText="1"/>
    </xf>
    <xf numFmtId="0" fontId="129" fillId="52" borderId="49" xfId="0" applyFont="1" applyFill="1" applyBorder="1" applyAlignment="1">
      <alignment horizontal="center"/>
    </xf>
    <xf numFmtId="0" fontId="129" fillId="52" borderId="50" xfId="0" applyFont="1" applyFill="1" applyBorder="1" applyAlignment="1">
      <alignment horizontal="center"/>
    </xf>
    <xf numFmtId="0" fontId="129" fillId="52" borderId="51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7" xfId="1" applyNumberFormat="1" applyFont="1" applyFill="1" applyBorder="1" applyAlignment="1">
      <alignment horizontal="center"/>
    </xf>
    <xf numFmtId="165" fontId="128" fillId="0" borderId="40" xfId="1" applyNumberFormat="1" applyFont="1" applyFill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6" xfId="0" quotePrefix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14" fillId="12" borderId="49" xfId="0" applyFont="1" applyFill="1" applyBorder="1" applyAlignment="1">
      <alignment horizontal="center" vertical="center" wrapText="1"/>
    </xf>
    <xf numFmtId="0" fontId="14" fillId="12" borderId="50" xfId="0" applyFont="1" applyFill="1" applyBorder="1" applyAlignment="1">
      <alignment horizontal="center" vertical="center" wrapText="1"/>
    </xf>
    <xf numFmtId="165" fontId="5" fillId="0" borderId="43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14" fillId="12" borderId="51" xfId="0" applyFont="1" applyFill="1" applyBorder="1" applyAlignment="1">
      <alignment horizontal="center" vertical="center" wrapText="1"/>
    </xf>
    <xf numFmtId="165" fontId="5" fillId="0" borderId="39" xfId="1" applyNumberFormat="1" applyFont="1" applyBorder="1" applyAlignment="1">
      <alignment horizontal="center"/>
    </xf>
    <xf numFmtId="0" fontId="133" fillId="53" borderId="0" xfId="0" applyFont="1" applyFill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</cellXfs>
  <cellStyles count="529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" xfId="528" builtinId="8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numFmt numFmtId="198" formatCode="m/d;@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98" formatCode="m/d;@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color rgb="FFC00000"/>
      </font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62"/>
      <tableStyleElement type="headerRow" dxfId="61"/>
      <tableStyleElement type="firstColumn" dxfId="60"/>
      <tableStyleElement type="firstSubtotalRow" dxfId="59"/>
    </tableStyle>
  </tableStyles>
  <colors>
    <mruColors>
      <color rgb="FFC6642E"/>
      <color rgb="FF1B7A76"/>
      <color rgb="FFAD275C"/>
      <color rgb="FF74B629"/>
      <color rgb="FF2E398A"/>
      <color rgb="FFA4E838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[1.Originator Mortgage Rate Master.xlsm]Rates Summary!PivotTable5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1-Point</a:t>
            </a:r>
            <a:r>
              <a:rPr lang="en-US" baseline="0"/>
              <a:t> Rate - One</a:t>
            </a:r>
            <a:r>
              <a:rPr lang="en-US"/>
              <a:t> Month 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spPr>
          <a:ln w="19050">
            <a:solidFill>
              <a:srgbClr val="2E398A"/>
            </a:solidFill>
          </a:ln>
        </c:spPr>
        <c:marker>
          <c:symbol val="circle"/>
          <c:size val="3"/>
          <c:spPr>
            <a:solidFill>
              <a:srgbClr val="2E398A"/>
            </a:solidFill>
            <a:ln w="19050">
              <a:solidFill>
                <a:srgbClr val="2E398A"/>
              </a:solidFill>
            </a:ln>
          </c:spPr>
        </c:marker>
      </c:pivotFmt>
      <c:pivotFmt>
        <c:idx val="16"/>
        <c:spPr>
          <a:ln w="19050">
            <a:solidFill>
              <a:srgbClr val="AD275C"/>
            </a:solidFill>
            <a:prstDash val="dashDot"/>
          </a:ln>
        </c:spPr>
        <c:marker>
          <c:symbol val="circle"/>
          <c:size val="3"/>
          <c:spPr>
            <a:solidFill>
              <a:srgbClr val="AD275C"/>
            </a:solidFill>
          </c:spPr>
        </c:marker>
      </c:pivotFmt>
      <c:pivotFmt>
        <c:idx val="17"/>
        <c:spPr>
          <a:ln w="19050">
            <a:solidFill>
              <a:srgbClr val="1B7A76"/>
            </a:solidFill>
            <a:prstDash val="lgDash"/>
          </a:ln>
        </c:spPr>
        <c:marker>
          <c:symbol val="circle"/>
          <c:size val="3"/>
          <c:spPr>
            <a:solidFill>
              <a:srgbClr val="1B7A76"/>
            </a:solidFill>
            <a:ln>
              <a:solidFill>
                <a:srgbClr val="1B7A76"/>
              </a:solidFill>
            </a:ln>
          </c:spPr>
        </c:marker>
      </c:pivotFmt>
      <c:pivotFmt>
        <c:idx val="18"/>
        <c:spPr>
          <a:ln w="19050">
            <a:solidFill>
              <a:srgbClr val="C6642E"/>
            </a:solidFill>
            <a:prstDash val="sysDash"/>
          </a:ln>
        </c:spPr>
        <c:marker>
          <c:symbol val="circle"/>
          <c:size val="3"/>
          <c:spPr>
            <a:solidFill>
              <a:srgbClr val="C6642E"/>
            </a:solidFill>
            <a:ln>
              <a:solidFill>
                <a:srgbClr val="C6642E"/>
              </a:solidFill>
            </a:ln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'Rates Summary'!$B$78:$B$79</c:f>
              <c:strCache>
                <c:ptCount val="1"/>
                <c:pt idx="0">
                  <c:v>30Yr Conforming Conventional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3"/>
            <c:spPr>
              <a:solidFill>
                <a:srgbClr val="2E398A"/>
              </a:solidFill>
              <a:ln w="19050">
                <a:solidFill>
                  <a:srgbClr val="2E398A"/>
                </a:solidFill>
              </a:ln>
            </c:spPr>
          </c:marker>
          <c:cat>
            <c:strRef>
              <c:f>'Rates Summary'!$A$80:$A$102</c:f>
              <c:strCache>
                <c:ptCount val="23"/>
                <c:pt idx="0">
                  <c:v>2015-06-30</c:v>
                </c:pt>
                <c:pt idx="1">
                  <c:v>2015-07-01</c:v>
                </c:pt>
                <c:pt idx="2">
                  <c:v>2015-07-02</c:v>
                </c:pt>
                <c:pt idx="3">
                  <c:v>2015-07-06</c:v>
                </c:pt>
                <c:pt idx="4">
                  <c:v>2015-07-07</c:v>
                </c:pt>
                <c:pt idx="5">
                  <c:v>2015-07-08</c:v>
                </c:pt>
                <c:pt idx="6">
                  <c:v>2015-07-09</c:v>
                </c:pt>
                <c:pt idx="7">
                  <c:v>2015-07-10</c:v>
                </c:pt>
                <c:pt idx="8">
                  <c:v>2015-07-13</c:v>
                </c:pt>
                <c:pt idx="9">
                  <c:v>2015-07-14</c:v>
                </c:pt>
                <c:pt idx="10">
                  <c:v>2015-07-15</c:v>
                </c:pt>
                <c:pt idx="11">
                  <c:v>2015-07-16</c:v>
                </c:pt>
                <c:pt idx="12">
                  <c:v>2015-07-17</c:v>
                </c:pt>
                <c:pt idx="13">
                  <c:v>2015-07-20</c:v>
                </c:pt>
                <c:pt idx="14">
                  <c:v>2015-07-21</c:v>
                </c:pt>
                <c:pt idx="15">
                  <c:v>2015-07-22</c:v>
                </c:pt>
                <c:pt idx="16">
                  <c:v>2015-07-23</c:v>
                </c:pt>
                <c:pt idx="17">
                  <c:v>2015-07-24</c:v>
                </c:pt>
                <c:pt idx="18">
                  <c:v>2015-07-27</c:v>
                </c:pt>
                <c:pt idx="19">
                  <c:v>2015-07-28</c:v>
                </c:pt>
                <c:pt idx="20">
                  <c:v>2015-07-29</c:v>
                </c:pt>
                <c:pt idx="21">
                  <c:v>2015-07-30</c:v>
                </c:pt>
                <c:pt idx="22">
                  <c:v>2015-07-31</c:v>
                </c:pt>
              </c:strCache>
            </c:strRef>
          </c:cat>
          <c:val>
            <c:numRef>
              <c:f>'Rates Summary'!$B$80:$B$102</c:f>
              <c:numCache>
                <c:formatCode>General</c:formatCode>
                <c:ptCount val="23"/>
                <c:pt idx="0">
                  <c:v>4.4146762877484873</c:v>
                </c:pt>
                <c:pt idx="1">
                  <c:v>4.5207040024477276</c:v>
                </c:pt>
                <c:pt idx="2">
                  <c:v>4.464829651284651</c:v>
                </c:pt>
                <c:pt idx="3">
                  <c:v>4.4440509154403669</c:v>
                </c:pt>
                <c:pt idx="4">
                  <c:v>4.3983780593055251</c:v>
                </c:pt>
                <c:pt idx="5">
                  <c:v>4.425564979941222</c:v>
                </c:pt>
                <c:pt idx="6">
                  <c:v>4.4311762126347389</c:v>
                </c:pt>
                <c:pt idx="7">
                  <c:v>4.5092366228623613</c:v>
                </c:pt>
                <c:pt idx="8">
                  <c:v>4.4900516049545001</c:v>
                </c:pt>
                <c:pt idx="9">
                  <c:v>4.4632421539572196</c:v>
                </c:pt>
                <c:pt idx="10">
                  <c:v>4.4514544365653475</c:v>
                </c:pt>
                <c:pt idx="11">
                  <c:v>4.4290275255907448</c:v>
                </c:pt>
                <c:pt idx="12">
                  <c:v>4.3810187767133026</c:v>
                </c:pt>
                <c:pt idx="13">
                  <c:v>4.4078248196462049</c:v>
                </c:pt>
                <c:pt idx="14">
                  <c:v>4.4364625323187852</c:v>
                </c:pt>
                <c:pt idx="15">
                  <c:v>4.426843113943276</c:v>
                </c:pt>
                <c:pt idx="16">
                  <c:v>4.4426873504270654</c:v>
                </c:pt>
                <c:pt idx="17">
                  <c:v>4.3703983083468625</c:v>
                </c:pt>
                <c:pt idx="18">
                  <c:v>4.3673853128344291</c:v>
                </c:pt>
                <c:pt idx="19">
                  <c:v>4.3769220970021951</c:v>
                </c:pt>
                <c:pt idx="20">
                  <c:v>4.3942897588062166</c:v>
                </c:pt>
                <c:pt idx="21">
                  <c:v>4.4087078229261731</c:v>
                </c:pt>
                <c:pt idx="22">
                  <c:v>4.2901196607965808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'Rates Summary'!$C$78:$C$79</c:f>
              <c:strCache>
                <c:ptCount val="1"/>
                <c:pt idx="0">
                  <c:v>30Yr Conforming FHA</c:v>
                </c:pt>
              </c:strCache>
            </c:strRef>
          </c:tx>
          <c:spPr>
            <a:ln w="19050">
              <a:solidFill>
                <a:srgbClr val="AD275C"/>
              </a:solidFill>
              <a:prstDash val="dashDot"/>
            </a:ln>
          </c:spPr>
          <c:marker>
            <c:symbol val="circle"/>
            <c:size val="3"/>
            <c:spPr>
              <a:solidFill>
                <a:srgbClr val="AD275C"/>
              </a:solidFill>
            </c:spPr>
          </c:marker>
          <c:cat>
            <c:strRef>
              <c:f>'Rates Summary'!$A$80:$A$102</c:f>
              <c:strCache>
                <c:ptCount val="23"/>
                <c:pt idx="0">
                  <c:v>2015-06-30</c:v>
                </c:pt>
                <c:pt idx="1">
                  <c:v>2015-07-01</c:v>
                </c:pt>
                <c:pt idx="2">
                  <c:v>2015-07-02</c:v>
                </c:pt>
                <c:pt idx="3">
                  <c:v>2015-07-06</c:v>
                </c:pt>
                <c:pt idx="4">
                  <c:v>2015-07-07</c:v>
                </c:pt>
                <c:pt idx="5">
                  <c:v>2015-07-08</c:v>
                </c:pt>
                <c:pt idx="6">
                  <c:v>2015-07-09</c:v>
                </c:pt>
                <c:pt idx="7">
                  <c:v>2015-07-10</c:v>
                </c:pt>
                <c:pt idx="8">
                  <c:v>2015-07-13</c:v>
                </c:pt>
                <c:pt idx="9">
                  <c:v>2015-07-14</c:v>
                </c:pt>
                <c:pt idx="10">
                  <c:v>2015-07-15</c:v>
                </c:pt>
                <c:pt idx="11">
                  <c:v>2015-07-16</c:v>
                </c:pt>
                <c:pt idx="12">
                  <c:v>2015-07-17</c:v>
                </c:pt>
                <c:pt idx="13">
                  <c:v>2015-07-20</c:v>
                </c:pt>
                <c:pt idx="14">
                  <c:v>2015-07-21</c:v>
                </c:pt>
                <c:pt idx="15">
                  <c:v>2015-07-22</c:v>
                </c:pt>
                <c:pt idx="16">
                  <c:v>2015-07-23</c:v>
                </c:pt>
                <c:pt idx="17">
                  <c:v>2015-07-24</c:v>
                </c:pt>
                <c:pt idx="18">
                  <c:v>2015-07-27</c:v>
                </c:pt>
                <c:pt idx="19">
                  <c:v>2015-07-28</c:v>
                </c:pt>
                <c:pt idx="20">
                  <c:v>2015-07-29</c:v>
                </c:pt>
                <c:pt idx="21">
                  <c:v>2015-07-30</c:v>
                </c:pt>
                <c:pt idx="22">
                  <c:v>2015-07-31</c:v>
                </c:pt>
              </c:strCache>
            </c:strRef>
          </c:cat>
          <c:val>
            <c:numRef>
              <c:f>'Rates Summary'!$C$80:$C$102</c:f>
              <c:numCache>
                <c:formatCode>General</c:formatCode>
                <c:ptCount val="23"/>
                <c:pt idx="0">
                  <c:v>4.2592500000000006</c:v>
                </c:pt>
                <c:pt idx="1">
                  <c:v>4.3228750000000007</c:v>
                </c:pt>
                <c:pt idx="2">
                  <c:v>4.2910000000000004</c:v>
                </c:pt>
                <c:pt idx="3">
                  <c:v>4.2592500000000006</c:v>
                </c:pt>
                <c:pt idx="4">
                  <c:v>4.2906250000000004</c:v>
                </c:pt>
                <c:pt idx="5">
                  <c:v>4.2910000000000004</c:v>
                </c:pt>
                <c:pt idx="6">
                  <c:v>4.2592500000000006</c:v>
                </c:pt>
                <c:pt idx="7">
                  <c:v>4.3228750000000007</c:v>
                </c:pt>
                <c:pt idx="8">
                  <c:v>4.3864999999999998</c:v>
                </c:pt>
                <c:pt idx="9">
                  <c:v>4.2910000000000004</c:v>
                </c:pt>
                <c:pt idx="10">
                  <c:v>4.2592500000000006</c:v>
                </c:pt>
                <c:pt idx="11">
                  <c:v>4.2592500000000006</c:v>
                </c:pt>
                <c:pt idx="12">
                  <c:v>4.2592500000000006</c:v>
                </c:pt>
                <c:pt idx="13">
                  <c:v>4.2910000000000004</c:v>
                </c:pt>
                <c:pt idx="14">
                  <c:v>4.2906250000000004</c:v>
                </c:pt>
                <c:pt idx="15">
                  <c:v>4.2906250000000004</c:v>
                </c:pt>
                <c:pt idx="16">
                  <c:v>4.2592500000000006</c:v>
                </c:pt>
                <c:pt idx="17">
                  <c:v>4.2588749999999997</c:v>
                </c:pt>
                <c:pt idx="18">
                  <c:v>4.2588749999999997</c:v>
                </c:pt>
                <c:pt idx="19">
                  <c:v>4.2906250000000004</c:v>
                </c:pt>
                <c:pt idx="20">
                  <c:v>4.2906250000000004</c:v>
                </c:pt>
                <c:pt idx="21">
                  <c:v>4.2906250000000004</c:v>
                </c:pt>
                <c:pt idx="22">
                  <c:v>4.1630000000000003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'Rates Summary'!$D$78:$D$79</c:f>
              <c:strCache>
                <c:ptCount val="1"/>
                <c:pt idx="0">
                  <c:v>30Yr Jumbo Conforming</c:v>
                </c:pt>
              </c:strCache>
            </c:strRef>
          </c:tx>
          <c:spPr>
            <a:ln w="19050">
              <a:solidFill>
                <a:srgbClr val="1B7A76"/>
              </a:solidFill>
              <a:prstDash val="lgDash"/>
            </a:ln>
          </c:spPr>
          <c:marker>
            <c:symbol val="circle"/>
            <c:size val="3"/>
            <c:spPr>
              <a:solidFill>
                <a:srgbClr val="1B7A76"/>
              </a:solidFill>
              <a:ln>
                <a:solidFill>
                  <a:srgbClr val="1B7A76"/>
                </a:solidFill>
              </a:ln>
            </c:spPr>
          </c:marker>
          <c:cat>
            <c:strRef>
              <c:f>'Rates Summary'!$A$80:$A$102</c:f>
              <c:strCache>
                <c:ptCount val="23"/>
                <c:pt idx="0">
                  <c:v>2015-06-30</c:v>
                </c:pt>
                <c:pt idx="1">
                  <c:v>2015-07-01</c:v>
                </c:pt>
                <c:pt idx="2">
                  <c:v>2015-07-02</c:v>
                </c:pt>
                <c:pt idx="3">
                  <c:v>2015-07-06</c:v>
                </c:pt>
                <c:pt idx="4">
                  <c:v>2015-07-07</c:v>
                </c:pt>
                <c:pt idx="5">
                  <c:v>2015-07-08</c:v>
                </c:pt>
                <c:pt idx="6">
                  <c:v>2015-07-09</c:v>
                </c:pt>
                <c:pt idx="7">
                  <c:v>2015-07-10</c:v>
                </c:pt>
                <c:pt idx="8">
                  <c:v>2015-07-13</c:v>
                </c:pt>
                <c:pt idx="9">
                  <c:v>2015-07-14</c:v>
                </c:pt>
                <c:pt idx="10">
                  <c:v>2015-07-15</c:v>
                </c:pt>
                <c:pt idx="11">
                  <c:v>2015-07-16</c:v>
                </c:pt>
                <c:pt idx="12">
                  <c:v>2015-07-17</c:v>
                </c:pt>
                <c:pt idx="13">
                  <c:v>2015-07-20</c:v>
                </c:pt>
                <c:pt idx="14">
                  <c:v>2015-07-21</c:v>
                </c:pt>
                <c:pt idx="15">
                  <c:v>2015-07-22</c:v>
                </c:pt>
                <c:pt idx="16">
                  <c:v>2015-07-23</c:v>
                </c:pt>
                <c:pt idx="17">
                  <c:v>2015-07-24</c:v>
                </c:pt>
                <c:pt idx="18">
                  <c:v>2015-07-27</c:v>
                </c:pt>
                <c:pt idx="19">
                  <c:v>2015-07-28</c:v>
                </c:pt>
                <c:pt idx="20">
                  <c:v>2015-07-29</c:v>
                </c:pt>
                <c:pt idx="21">
                  <c:v>2015-07-30</c:v>
                </c:pt>
                <c:pt idx="22">
                  <c:v>2015-07-31</c:v>
                </c:pt>
              </c:strCache>
            </c:strRef>
          </c:cat>
          <c:val>
            <c:numRef>
              <c:f>'Rates Summary'!$D$80:$D$102</c:f>
              <c:numCache>
                <c:formatCode>General</c:formatCode>
                <c:ptCount val="23"/>
                <c:pt idx="0">
                  <c:v>4.2717089165741537</c:v>
                </c:pt>
                <c:pt idx="1">
                  <c:v>4.3773</c:v>
                </c:pt>
                <c:pt idx="2">
                  <c:v>4.375438847121214</c:v>
                </c:pt>
                <c:pt idx="3">
                  <c:v>4.2033105887459152</c:v>
                </c:pt>
                <c:pt idx="4">
                  <c:v>4.1887316643249344</c:v>
                </c:pt>
                <c:pt idx="5">
                  <c:v>4.2496377008409834</c:v>
                </c:pt>
                <c:pt idx="6">
                  <c:v>4.2496377008409834</c:v>
                </c:pt>
                <c:pt idx="7">
                  <c:v>4.4407683440906052</c:v>
                </c:pt>
                <c:pt idx="8">
                  <c:v>4.5041620075276256</c:v>
                </c:pt>
                <c:pt idx="9">
                  <c:v>4.3147493145490214</c:v>
                </c:pt>
                <c:pt idx="10">
                  <c:v>4.2717089165741537</c:v>
                </c:pt>
                <c:pt idx="11">
                  <c:v>4.3147493145490214</c:v>
                </c:pt>
                <c:pt idx="12">
                  <c:v>4.2717089165741537</c:v>
                </c:pt>
                <c:pt idx="13">
                  <c:v>4.2717089165741537</c:v>
                </c:pt>
                <c:pt idx="14">
                  <c:v>4.2033105887459152</c:v>
                </c:pt>
                <c:pt idx="15">
                  <c:v>4.2496377008409834</c:v>
                </c:pt>
                <c:pt idx="16">
                  <c:v>4.2404589165741537</c:v>
                </c:pt>
                <c:pt idx="17">
                  <c:v>4.1887316643249344</c:v>
                </c:pt>
                <c:pt idx="18">
                  <c:v>4.145604497342033</c:v>
                </c:pt>
                <c:pt idx="19">
                  <c:v>4.1887316643249344</c:v>
                </c:pt>
                <c:pt idx="20">
                  <c:v>4.1887316643249344</c:v>
                </c:pt>
                <c:pt idx="21">
                  <c:v>4.2496377008409834</c:v>
                </c:pt>
                <c:pt idx="22">
                  <c:v>4.0771627490827687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'Rates Summary'!$E$78:$E$79</c:f>
              <c:strCache>
                <c:ptCount val="1"/>
                <c:pt idx="0">
                  <c:v>30Yr Jumbo Non-Conforming</c:v>
                </c:pt>
              </c:strCache>
            </c:strRef>
          </c:tx>
          <c:spPr>
            <a:ln w="19050">
              <a:solidFill>
                <a:srgbClr val="C6642E"/>
              </a:solidFill>
              <a:prstDash val="sysDash"/>
            </a:ln>
          </c:spPr>
          <c:marker>
            <c:symbol val="circle"/>
            <c:size val="3"/>
            <c:spPr>
              <a:solidFill>
                <a:srgbClr val="C6642E"/>
              </a:solidFill>
              <a:ln>
                <a:solidFill>
                  <a:srgbClr val="C6642E"/>
                </a:solidFill>
              </a:ln>
            </c:spPr>
          </c:marker>
          <c:cat>
            <c:strRef>
              <c:f>'Rates Summary'!$A$80:$A$102</c:f>
              <c:strCache>
                <c:ptCount val="23"/>
                <c:pt idx="0">
                  <c:v>2015-06-30</c:v>
                </c:pt>
                <c:pt idx="1">
                  <c:v>2015-07-01</c:v>
                </c:pt>
                <c:pt idx="2">
                  <c:v>2015-07-02</c:v>
                </c:pt>
                <c:pt idx="3">
                  <c:v>2015-07-06</c:v>
                </c:pt>
                <c:pt idx="4">
                  <c:v>2015-07-07</c:v>
                </c:pt>
                <c:pt idx="5">
                  <c:v>2015-07-08</c:v>
                </c:pt>
                <c:pt idx="6">
                  <c:v>2015-07-09</c:v>
                </c:pt>
                <c:pt idx="7">
                  <c:v>2015-07-10</c:v>
                </c:pt>
                <c:pt idx="8">
                  <c:v>2015-07-13</c:v>
                </c:pt>
                <c:pt idx="9">
                  <c:v>2015-07-14</c:v>
                </c:pt>
                <c:pt idx="10">
                  <c:v>2015-07-15</c:v>
                </c:pt>
                <c:pt idx="11">
                  <c:v>2015-07-16</c:v>
                </c:pt>
                <c:pt idx="12">
                  <c:v>2015-07-17</c:v>
                </c:pt>
                <c:pt idx="13">
                  <c:v>2015-07-20</c:v>
                </c:pt>
                <c:pt idx="14">
                  <c:v>2015-07-21</c:v>
                </c:pt>
                <c:pt idx="15">
                  <c:v>2015-07-22</c:v>
                </c:pt>
                <c:pt idx="16">
                  <c:v>2015-07-23</c:v>
                </c:pt>
                <c:pt idx="17">
                  <c:v>2015-07-24</c:v>
                </c:pt>
                <c:pt idx="18">
                  <c:v>2015-07-27</c:v>
                </c:pt>
                <c:pt idx="19">
                  <c:v>2015-07-28</c:v>
                </c:pt>
                <c:pt idx="20">
                  <c:v>2015-07-29</c:v>
                </c:pt>
                <c:pt idx="21">
                  <c:v>2015-07-30</c:v>
                </c:pt>
                <c:pt idx="22">
                  <c:v>2015-07-31</c:v>
                </c:pt>
              </c:strCache>
            </c:strRef>
          </c:cat>
          <c:val>
            <c:numRef>
              <c:f>'Rates Summary'!$E$80:$E$102</c:f>
              <c:numCache>
                <c:formatCode>General</c:formatCode>
                <c:ptCount val="23"/>
                <c:pt idx="0">
                  <c:v>4.1873439755716797</c:v>
                </c:pt>
                <c:pt idx="1">
                  <c:v>4.2186106422383469</c:v>
                </c:pt>
                <c:pt idx="2">
                  <c:v>4.2186106422383469</c:v>
                </c:pt>
                <c:pt idx="3">
                  <c:v>4.1237077500397357</c:v>
                </c:pt>
                <c:pt idx="4">
                  <c:v>4.0612077500397348</c:v>
                </c:pt>
                <c:pt idx="5">
                  <c:v>4.092474416706402</c:v>
                </c:pt>
                <c:pt idx="6">
                  <c:v>4.092474416706402</c:v>
                </c:pt>
                <c:pt idx="7">
                  <c:v>4.1873439755716797</c:v>
                </c:pt>
                <c:pt idx="8">
                  <c:v>4.2498439755716797</c:v>
                </c:pt>
                <c:pt idx="9">
                  <c:v>4.1873439755716797</c:v>
                </c:pt>
                <c:pt idx="10">
                  <c:v>4.1237077500397357</c:v>
                </c:pt>
                <c:pt idx="11">
                  <c:v>4.1817004181546098</c:v>
                </c:pt>
                <c:pt idx="12">
                  <c:v>4.1237077500397357</c:v>
                </c:pt>
                <c:pt idx="13">
                  <c:v>4.1817004181546098</c:v>
                </c:pt>
                <c:pt idx="14">
                  <c:v>4.1237077500397357</c:v>
                </c:pt>
                <c:pt idx="15">
                  <c:v>4.1237077500397357</c:v>
                </c:pt>
                <c:pt idx="16">
                  <c:v>4.1237077500397357</c:v>
                </c:pt>
                <c:pt idx="17">
                  <c:v>4.0612077500397348</c:v>
                </c:pt>
                <c:pt idx="18">
                  <c:v>4.0557276764206129</c:v>
                </c:pt>
                <c:pt idx="19">
                  <c:v>4.0557276764206129</c:v>
                </c:pt>
                <c:pt idx="20">
                  <c:v>4.0557276764206129</c:v>
                </c:pt>
                <c:pt idx="21">
                  <c:v>4.0557276764206129</c:v>
                </c:pt>
                <c:pt idx="22">
                  <c:v>3.966305483037543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392896"/>
        <c:axId val="461395072"/>
      </c:lineChart>
      <c:catAx>
        <c:axId val="4613928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61395072"/>
        <c:crosses val="autoZero"/>
        <c:auto val="1"/>
        <c:lblAlgn val="ctr"/>
        <c:lblOffset val="100"/>
        <c:tickLblSkip val="2"/>
        <c:noMultiLvlLbl val="0"/>
      </c:catAx>
      <c:valAx>
        <c:axId val="461395072"/>
        <c:scaling>
          <c:orientation val="minMax"/>
          <c:min val="3.8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1-Point</a:t>
                </a:r>
                <a:r>
                  <a:rPr lang="en-US" baseline="0"/>
                  <a:t> Rate (%)</a:t>
                </a:r>
                <a:endParaRPr lang="en-US"/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461392896"/>
        <c:crosses val="autoZero"/>
        <c:crossBetween val="between"/>
      </c:valAx>
      <c:spPr>
        <a:ln>
          <a:solidFill>
            <a:schemeClr val="tx1"/>
          </a:solidFill>
          <a:prstDash val="sysDash"/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[1.Originator Mortgage Rate Master.xlsm]Rates Summary!PivotTable2</c:name>
    <c:fmtId val="8"/>
  </c:pivotSource>
  <c:chart>
    <c:title>
      <c:tx>
        <c:rich>
          <a:bodyPr/>
          <a:lstStyle/>
          <a:p>
            <a:pPr algn="ctr" rtl="0">
              <a:defRPr lang="en-US" sz="108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8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Servicing Spread &amp; Current Coupon - One Month 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ln w="19050">
            <a:solidFill>
              <a:srgbClr val="AD275C"/>
            </a:solidFill>
          </a:ln>
        </c:spPr>
        <c:marker>
          <c:symbol val="circle"/>
          <c:size val="4"/>
          <c:spPr>
            <a:ln w="19050">
              <a:solidFill>
                <a:srgbClr val="AD275C"/>
              </a:solidFill>
            </a:ln>
          </c:spPr>
        </c:marker>
      </c:pivotFmt>
      <c:pivotFmt>
        <c:idx val="7"/>
        <c:spPr>
          <a:ln w="19050">
            <a:solidFill>
              <a:srgbClr val="2E398A"/>
            </a:solidFill>
            <a:prstDash val="solid"/>
          </a:ln>
        </c:spPr>
        <c:marker>
          <c:symbol val="circle"/>
          <c:size val="4"/>
          <c:spPr>
            <a:solidFill>
              <a:srgbClr val="2E398A"/>
            </a:solidFill>
            <a:ln w="19050">
              <a:solidFill>
                <a:srgbClr val="2E398A"/>
              </a:solidFill>
              <a:prstDash val="solid"/>
            </a:ln>
          </c:spPr>
        </c:marker>
      </c:pivotFmt>
    </c:pivotFmts>
    <c:plotArea>
      <c:layout>
        <c:manualLayout>
          <c:layoutTarget val="inner"/>
          <c:xMode val="edge"/>
          <c:yMode val="edge"/>
          <c:x val="6.3328594342373867E-2"/>
          <c:y val="0.16511686039245094"/>
          <c:w val="0.74771687629955341"/>
          <c:h val="0.71061898512685917"/>
        </c:manualLayout>
      </c:layout>
      <c:lineChart>
        <c:grouping val="standard"/>
        <c:varyColors val="0"/>
        <c:ser>
          <c:idx val="1"/>
          <c:order val="1"/>
          <c:tx>
            <c:strRef>
              <c:f>'Rates Summary'!$O$78:$O$79</c:f>
              <c:strCache>
                <c:ptCount val="1"/>
                <c:pt idx="0">
                  <c:v>30-Yr Conventional Servicing Spread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4"/>
            <c:spPr>
              <a:ln w="19050">
                <a:solidFill>
                  <a:srgbClr val="AD275C"/>
                </a:solidFill>
              </a:ln>
            </c:spPr>
          </c:marker>
          <c:cat>
            <c:strRef>
              <c:f>'Rates Summary'!$M$80:$M$102</c:f>
              <c:strCache>
                <c:ptCount val="23"/>
                <c:pt idx="0">
                  <c:v>2015-06-30</c:v>
                </c:pt>
                <c:pt idx="1">
                  <c:v>2015-07-01</c:v>
                </c:pt>
                <c:pt idx="2">
                  <c:v>2015-07-02</c:v>
                </c:pt>
                <c:pt idx="3">
                  <c:v>2015-07-06</c:v>
                </c:pt>
                <c:pt idx="4">
                  <c:v>2015-07-07</c:v>
                </c:pt>
                <c:pt idx="5">
                  <c:v>2015-07-08</c:v>
                </c:pt>
                <c:pt idx="6">
                  <c:v>2015-07-09</c:v>
                </c:pt>
                <c:pt idx="7">
                  <c:v>2015-07-10</c:v>
                </c:pt>
                <c:pt idx="8">
                  <c:v>2015-07-13</c:v>
                </c:pt>
                <c:pt idx="9">
                  <c:v>2015-07-14</c:v>
                </c:pt>
                <c:pt idx="10">
                  <c:v>2015-07-15</c:v>
                </c:pt>
                <c:pt idx="11">
                  <c:v>2015-07-16</c:v>
                </c:pt>
                <c:pt idx="12">
                  <c:v>2015-07-17</c:v>
                </c:pt>
                <c:pt idx="13">
                  <c:v>2015-07-20</c:v>
                </c:pt>
                <c:pt idx="14">
                  <c:v>2015-07-21</c:v>
                </c:pt>
                <c:pt idx="15">
                  <c:v>2015-07-22</c:v>
                </c:pt>
                <c:pt idx="16">
                  <c:v>2015-07-23</c:v>
                </c:pt>
                <c:pt idx="17">
                  <c:v>2015-07-24</c:v>
                </c:pt>
                <c:pt idx="18">
                  <c:v>2015-07-27</c:v>
                </c:pt>
                <c:pt idx="19">
                  <c:v>2015-07-28</c:v>
                </c:pt>
                <c:pt idx="20">
                  <c:v>2015-07-29</c:v>
                </c:pt>
                <c:pt idx="21">
                  <c:v>2015-07-30</c:v>
                </c:pt>
                <c:pt idx="22">
                  <c:v>2015-07-31</c:v>
                </c:pt>
              </c:strCache>
            </c:strRef>
          </c:cat>
          <c:val>
            <c:numRef>
              <c:f>'Rates Summary'!$O$80:$O$102</c:f>
              <c:numCache>
                <c:formatCode>General</c:formatCode>
                <c:ptCount val="23"/>
                <c:pt idx="0">
                  <c:v>1.341395844456327</c:v>
                </c:pt>
                <c:pt idx="1">
                  <c:v>1.3579387500851681</c:v>
                </c:pt>
                <c:pt idx="2">
                  <c:v>1.3318842535059612</c:v>
                </c:pt>
                <c:pt idx="3">
                  <c:v>1.403088195853847</c:v>
                </c:pt>
                <c:pt idx="4">
                  <c:v>1.3885261473635655</c:v>
                </c:pt>
                <c:pt idx="5">
                  <c:v>1.4464195837012623</c:v>
                </c:pt>
                <c:pt idx="6">
                  <c:v>1.3791834069139486</c:v>
                </c:pt>
                <c:pt idx="7">
                  <c:v>1.3623221262366418</c:v>
                </c:pt>
                <c:pt idx="8">
                  <c:v>1.3459714438214008</c:v>
                </c:pt>
                <c:pt idx="9">
                  <c:v>1.3551356009374995</c:v>
                </c:pt>
                <c:pt idx="10">
                  <c:v>1.3862663110886373</c:v>
                </c:pt>
                <c:pt idx="11">
                  <c:v>1.3647904303378449</c:v>
                </c:pt>
                <c:pt idx="12">
                  <c:v>1.3301538255240535</c:v>
                </c:pt>
                <c:pt idx="13">
                  <c:v>1.337556217179366</c:v>
                </c:pt>
                <c:pt idx="14">
                  <c:v>1.3954639430270657</c:v>
                </c:pt>
                <c:pt idx="15">
                  <c:v>1.3995708395773065</c:v>
                </c:pt>
                <c:pt idx="16">
                  <c:v>1.4411629915795856</c:v>
                </c:pt>
                <c:pt idx="17">
                  <c:v>1.3615908789310525</c:v>
                </c:pt>
                <c:pt idx="18">
                  <c:v>1.3905033314839395</c:v>
                </c:pt>
                <c:pt idx="19">
                  <c:v>1.406894726432065</c:v>
                </c:pt>
                <c:pt idx="20">
                  <c:v>1.3990730709089572</c:v>
                </c:pt>
                <c:pt idx="21">
                  <c:v>1.4142622761226427</c:v>
                </c:pt>
                <c:pt idx="22">
                  <c:v>1.3746115348342114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430784"/>
        <c:axId val="461432704"/>
      </c:lineChart>
      <c:lineChart>
        <c:grouping val="standard"/>
        <c:varyColors val="0"/>
        <c:ser>
          <c:idx val="0"/>
          <c:order val="0"/>
          <c:tx>
            <c:strRef>
              <c:f>'Rates Summary'!$N$78:$N$79</c:f>
              <c:strCache>
                <c:ptCount val="1"/>
                <c:pt idx="0">
                  <c:v>FNMA 30-yr Current Coupon</c:v>
                </c:pt>
              </c:strCache>
            </c:strRef>
          </c:tx>
          <c:spPr>
            <a:ln w="19050">
              <a:solidFill>
                <a:srgbClr val="2E398A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2E398A"/>
              </a:solidFill>
              <a:ln w="19050">
                <a:solidFill>
                  <a:srgbClr val="2E398A"/>
                </a:solidFill>
                <a:prstDash val="solid"/>
              </a:ln>
            </c:spPr>
          </c:marker>
          <c:cat>
            <c:strRef>
              <c:f>'Rates Summary'!$M$80:$M$102</c:f>
              <c:strCache>
                <c:ptCount val="23"/>
                <c:pt idx="0">
                  <c:v>2015-06-30</c:v>
                </c:pt>
                <c:pt idx="1">
                  <c:v>2015-07-01</c:v>
                </c:pt>
                <c:pt idx="2">
                  <c:v>2015-07-02</c:v>
                </c:pt>
                <c:pt idx="3">
                  <c:v>2015-07-06</c:v>
                </c:pt>
                <c:pt idx="4">
                  <c:v>2015-07-07</c:v>
                </c:pt>
                <c:pt idx="5">
                  <c:v>2015-07-08</c:v>
                </c:pt>
                <c:pt idx="6">
                  <c:v>2015-07-09</c:v>
                </c:pt>
                <c:pt idx="7">
                  <c:v>2015-07-10</c:v>
                </c:pt>
                <c:pt idx="8">
                  <c:v>2015-07-13</c:v>
                </c:pt>
                <c:pt idx="9">
                  <c:v>2015-07-14</c:v>
                </c:pt>
                <c:pt idx="10">
                  <c:v>2015-07-15</c:v>
                </c:pt>
                <c:pt idx="11">
                  <c:v>2015-07-16</c:v>
                </c:pt>
                <c:pt idx="12">
                  <c:v>2015-07-17</c:v>
                </c:pt>
                <c:pt idx="13">
                  <c:v>2015-07-20</c:v>
                </c:pt>
                <c:pt idx="14">
                  <c:v>2015-07-21</c:v>
                </c:pt>
                <c:pt idx="15">
                  <c:v>2015-07-22</c:v>
                </c:pt>
                <c:pt idx="16">
                  <c:v>2015-07-23</c:v>
                </c:pt>
                <c:pt idx="17">
                  <c:v>2015-07-24</c:v>
                </c:pt>
                <c:pt idx="18">
                  <c:v>2015-07-27</c:v>
                </c:pt>
                <c:pt idx="19">
                  <c:v>2015-07-28</c:v>
                </c:pt>
                <c:pt idx="20">
                  <c:v>2015-07-29</c:v>
                </c:pt>
                <c:pt idx="21">
                  <c:v>2015-07-30</c:v>
                </c:pt>
                <c:pt idx="22">
                  <c:v>2015-07-31</c:v>
                </c:pt>
              </c:strCache>
            </c:strRef>
          </c:cat>
          <c:val>
            <c:numRef>
              <c:f>'Rates Summary'!$N$80:$N$102</c:f>
              <c:numCache>
                <c:formatCode>General</c:formatCode>
                <c:ptCount val="23"/>
                <c:pt idx="0">
                  <c:v>3.0732804432921599</c:v>
                </c:pt>
                <c:pt idx="1">
                  <c:v>3.16276525236256</c:v>
                </c:pt>
                <c:pt idx="2">
                  <c:v>3.1329453977786899</c:v>
                </c:pt>
                <c:pt idx="3">
                  <c:v>3.0409627195865201</c:v>
                </c:pt>
                <c:pt idx="4">
                  <c:v>3.00985191194196</c:v>
                </c:pt>
                <c:pt idx="5">
                  <c:v>2.9791453962399599</c:v>
                </c:pt>
                <c:pt idx="6">
                  <c:v>3.0519928057207899</c:v>
                </c:pt>
                <c:pt idx="7">
                  <c:v>3.1469144966257199</c:v>
                </c:pt>
                <c:pt idx="8">
                  <c:v>3.1440801611331</c:v>
                </c:pt>
                <c:pt idx="9">
                  <c:v>3.1081065530197201</c:v>
                </c:pt>
                <c:pt idx="10">
                  <c:v>3.0651881254767099</c:v>
                </c:pt>
                <c:pt idx="11">
                  <c:v>3.0642370952529001</c:v>
                </c:pt>
                <c:pt idx="12">
                  <c:v>3.0508649511892498</c:v>
                </c:pt>
                <c:pt idx="13">
                  <c:v>3.07026860246684</c:v>
                </c:pt>
                <c:pt idx="14">
                  <c:v>3.04099858929172</c:v>
                </c:pt>
                <c:pt idx="15">
                  <c:v>3.0272722743659699</c:v>
                </c:pt>
                <c:pt idx="16">
                  <c:v>3.00152435884748</c:v>
                </c:pt>
                <c:pt idx="17">
                  <c:v>3.00880742941581</c:v>
                </c:pt>
                <c:pt idx="18">
                  <c:v>2.9768819813504899</c:v>
                </c:pt>
                <c:pt idx="19">
                  <c:v>2.9700273705701301</c:v>
                </c:pt>
                <c:pt idx="20">
                  <c:v>2.9952166878972601</c:v>
                </c:pt>
                <c:pt idx="21">
                  <c:v>2.9944455468035298</c:v>
                </c:pt>
                <c:pt idx="22">
                  <c:v>2.9155081259623699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436800"/>
        <c:axId val="461434880"/>
      </c:lineChart>
      <c:catAx>
        <c:axId val="4614307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61432704"/>
        <c:crosses val="autoZero"/>
        <c:auto val="1"/>
        <c:lblAlgn val="ctr"/>
        <c:lblOffset val="100"/>
        <c:tickLblSkip val="2"/>
        <c:noMultiLvlLbl val="0"/>
      </c:catAx>
      <c:valAx>
        <c:axId val="461432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Servicing</a:t>
                </a:r>
                <a:r>
                  <a:rPr lang="en-US" baseline="0"/>
                  <a:t> Spread (%)</a:t>
                </a:r>
                <a:endParaRPr lang="en-US"/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461430784"/>
        <c:crosses val="autoZero"/>
        <c:crossBetween val="between"/>
      </c:valAx>
      <c:valAx>
        <c:axId val="46143488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Current Coupon (%)</a:t>
                </a:r>
              </a:p>
            </c:rich>
          </c:tx>
          <c:layout>
            <c:manualLayout>
              <c:xMode val="edge"/>
              <c:yMode val="edge"/>
              <c:x val="0.83956483304170315"/>
              <c:y val="0.30263131171103613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61436800"/>
        <c:crosses val="max"/>
        <c:crossBetween val="between"/>
      </c:valAx>
      <c:catAx>
        <c:axId val="461436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143488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86179288786818309"/>
          <c:y val="0.30659526934133235"/>
          <c:w val="0.13126266768737241"/>
          <c:h val="0.3381241407324084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</xdr:colOff>
      <xdr:row>9</xdr:row>
      <xdr:rowOff>38101</xdr:rowOff>
    </xdr:from>
    <xdr:to>
      <xdr:col>25</xdr:col>
      <xdr:colOff>0</xdr:colOff>
      <xdr:row>10</xdr:row>
      <xdr:rowOff>175261</xdr:rowOff>
    </xdr:to>
    <xdr:sp macro="[0]!RunOriginatorsMortgageRatesDailyReport" textlink="">
      <xdr:nvSpPr>
        <xdr:cNvPr id="2" name="Rounded Rectangle 1"/>
        <xdr:cNvSpPr/>
      </xdr:nvSpPr>
      <xdr:spPr>
        <a:xfrm>
          <a:off x="15106650" y="1790701"/>
          <a:ext cx="1104900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</a:t>
          </a:r>
          <a:endParaRPr lang="en-US" sz="1100" b="1"/>
        </a:p>
      </xdr:txBody>
    </xdr:sp>
    <xdr:clientData/>
  </xdr:twoCellAnchor>
  <xdr:twoCellAnchor>
    <xdr:from>
      <xdr:col>25</xdr:col>
      <xdr:colOff>276226</xdr:colOff>
      <xdr:row>9</xdr:row>
      <xdr:rowOff>38101</xdr:rowOff>
    </xdr:from>
    <xdr:to>
      <xdr:col>27</xdr:col>
      <xdr:colOff>47626</xdr:colOff>
      <xdr:row>10</xdr:row>
      <xdr:rowOff>175261</xdr:rowOff>
    </xdr:to>
    <xdr:sp macro="[0]!CreatePDFReport" textlink="">
      <xdr:nvSpPr>
        <xdr:cNvPr id="3" name="Rounded Rectangle 2"/>
        <xdr:cNvSpPr/>
      </xdr:nvSpPr>
      <xdr:spPr>
        <a:xfrm>
          <a:off x="16487776" y="1790701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600075</xdr:colOff>
      <xdr:row>25</xdr:row>
      <xdr:rowOff>158749</xdr:rowOff>
    </xdr:from>
    <xdr:to>
      <xdr:col>21</xdr:col>
      <xdr:colOff>95250</xdr:colOff>
      <xdr:row>39</xdr:row>
      <xdr:rowOff>97789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603250</xdr:colOff>
      <xdr:row>40</xdr:row>
      <xdr:rowOff>38100</xdr:rowOff>
    </xdr:from>
    <xdr:to>
      <xdr:col>21</xdr:col>
      <xdr:colOff>295275</xdr:colOff>
      <xdr:row>53</xdr:row>
      <xdr:rowOff>121920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219.373763425923" createdVersion="4" refreshedVersion="4" minRefreshableVersion="3" recordCount="115">
  <cacheSource type="worksheet">
    <worksheetSource name="OneWeekMtgRatesDataTable911"/>
  </cacheSource>
  <cacheFields count="6">
    <cacheField name="TickerName" numFmtId="0">
      <sharedItems/>
    </cacheField>
    <cacheField name="Source" numFmtId="0">
      <sharedItems/>
    </cacheField>
    <cacheField name="SeriesType" numFmtId="0">
      <sharedItems count="2">
        <s v="Servicing Spread"/>
        <s v="Rate"/>
      </sharedItems>
    </cacheField>
    <cacheField name="Category" numFmtId="0">
      <sharedItems/>
    </cacheField>
    <cacheField name="AsOfDate" numFmtId="0">
      <sharedItems count="121">
        <s v="2015-06-30"/>
        <s v="2015-07-01"/>
        <s v="2015-07-02"/>
        <s v="2015-07-06"/>
        <s v="2015-07-07"/>
        <s v="2015-07-08"/>
        <s v="2015-07-09"/>
        <s v="2015-07-10"/>
        <s v="2015-07-13"/>
        <s v="2015-07-14"/>
        <s v="2015-07-15"/>
        <s v="2015-07-16"/>
        <s v="2015-07-17"/>
        <s v="2015-07-20"/>
        <s v="2015-07-21"/>
        <s v="2015-07-22"/>
        <s v="2015-07-23"/>
        <s v="2015-07-24"/>
        <s v="2015-07-27"/>
        <s v="2015-07-28"/>
        <s v="2015-07-29"/>
        <s v="2015-07-30"/>
        <s v="2015-07-31"/>
        <s v="2015-02-20" u="1"/>
        <s v="2015-03-04" u="1"/>
        <s v="2015-04-17" u="1"/>
        <s v="2015-06-02" u="1"/>
        <s v="2015-03-18" u="1"/>
        <s v="2015-06-16" u="1"/>
        <s v="2015-03-20" u="1"/>
        <s v="2015-02-19" u="1"/>
        <s v="2015-03-05" u="1"/>
        <s v="2015-06-03" u="1"/>
        <s v="2015-04-20" u="1"/>
        <s v="2015-03-19" u="1"/>
        <s v="2015-05-04" u="1"/>
        <s v="2015-06-17" u="1"/>
        <s v="2015-05-18" u="1"/>
        <s v="2015-05-20" u="1"/>
        <s v="2015-03-06" u="1"/>
        <s v="2015-06-04" u="1"/>
        <s v="2015-04-21" u="1"/>
        <s v="2015-05-05" u="1"/>
        <s v="2015-06-18" u="1"/>
        <s v="2015-04-06" u="1"/>
        <s v="2015-05-19" u="1"/>
        <s v="2015-02-23" u="1"/>
        <s v="2015-05-21" u="1"/>
        <s v="2015-06-05" u="1"/>
        <s v="2015-04-22" u="1"/>
        <s v="2015-05-06" u="1"/>
        <s v="2015-06-19" u="1"/>
        <s v="2015-02-10" u="1"/>
        <s v="2015-03-23" u="1"/>
        <s v="2015-04-07" u="1"/>
        <s v="2015-02-24" u="1"/>
        <s v="2015-05-22" u="1"/>
        <s v="2015-03-10" u="1"/>
        <s v="2015-04-23" u="1"/>
        <s v="2015-05-07" u="1"/>
        <s v="2015-02-11" u="1"/>
        <s v="2015-03-24" u="1"/>
        <s v="2015-06-22" u="1"/>
        <s v="2015-04-08" u="1"/>
        <s v="2015-02-25" u="1"/>
        <s v="2015-04-10" u="1"/>
        <s v="2015-03-09" u="1"/>
        <s v="2015-03-11" u="1"/>
        <s v="2015-04-24" u="1"/>
        <s v="2015-05-08" u="1"/>
        <s v="2015-02-12" u="1"/>
        <s v="2015-03-25" u="1"/>
        <s v="2015-06-23" u="1"/>
        <s v="2015-04-09" u="1"/>
        <s v="2015-02-26" u="1"/>
        <s v="2015-06-08" u="1"/>
        <s v="2015-03-12" u="1"/>
        <s v="2015-06-10" u="1"/>
        <s v="2015-02-13" u="1"/>
        <s v="2015-03-26" u="1"/>
        <s v="2015-05-11" u="1"/>
        <s v="2015-06-24" u="1"/>
        <s v="2015-02-27" u="1"/>
        <s v="2015-06-09" u="1"/>
        <s v="2015-03-13" u="1"/>
        <s v="2015-06-11" u="1"/>
        <s v="2015-03-27" u="1"/>
        <s v="2015-05-12" u="1"/>
        <s v="2015-06-25" u="1"/>
        <s v="2015-04-13" u="1"/>
        <s v="2015-05-26" u="1"/>
        <s v="2015-04-27" u="1"/>
        <s v="2015-06-12" u="1"/>
        <s v="2015-05-13" u="1"/>
        <s v="2015-06-26" u="1"/>
        <s v="2015-03-30" u="1"/>
        <s v="2015-04-14" u="1"/>
        <s v="2015-05-27" u="1"/>
        <s v="2015-04-28" u="1"/>
        <s v="2015-04-30" u="1"/>
        <s v="2015-04-01" u="1"/>
        <s v="2015-05-14" u="1"/>
        <s v="2015-03-31" u="1"/>
        <s v="2015-03-02" u="1"/>
        <s v="2015-04-15" u="1"/>
        <s v="2015-05-28" u="1"/>
        <s v="2015-03-16" u="1"/>
        <s v="2015-04-29" u="1"/>
        <s v="2015-05-01" u="1"/>
        <s v="2015-02-17" u="1"/>
        <s v="2015-04-02" u="1"/>
        <s v="2015-05-15" u="1"/>
        <s v="2015-03-03" u="1"/>
        <s v="2015-04-16" u="1"/>
        <s v="2015-05-29" u="1"/>
        <s v="2015-06-01" u="1"/>
        <s v="2015-03-17" u="1"/>
        <s v="2015-06-15" u="1"/>
        <s v="2015-02-18" u="1"/>
        <s v="2015-04-03" u="1"/>
        <s v="2015-06-29" u="1"/>
      </sharedItems>
    </cacheField>
    <cacheField name="SeriesNumValue" numFmtId="0">
      <sharedItems containsSemiMixedTypes="0" containsString="0" containsNumber="1" minValue="1.010759557780011" maxValue="3.162765252362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219.373763657408" createdVersion="5" refreshedVersion="4" minRefreshableVersion="3" recordCount="4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8">
        <s v="1Point Rate"/>
        <s v="APR"/>
        <s v="Points"/>
        <s v="Rate"/>
        <s v="Servicing Spread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27">
        <s v="2015-07-30"/>
        <s v="2015-03-04" u="1"/>
        <s v="2015-03-18" u="1"/>
        <s v="2015-03-05" u="1"/>
        <s v="2015-03-19" u="1"/>
        <s v="2015-03-06" u="1"/>
        <s v="2015-04-21" u="1"/>
        <s v="2015-04-22" u="1"/>
        <s v="2015-05-06" u="1"/>
        <s v="2015-03-10" u="1"/>
        <s v="2015-07-21" u="1"/>
        <s v="2015-03-24" u="1"/>
        <s v="2015-03-09" u="1"/>
        <s v="2015-03-11" u="1"/>
        <s v="2015-07-22" u="1"/>
        <s v="2015-03-12" u="1"/>
        <s v="2015-03-13" u="1"/>
        <s v="2015-05-26" u="1"/>
        <s v="2015-03-02" u="1"/>
        <s v="2015-03-16" u="1"/>
        <s v="2015-05-01" u="1"/>
        <s v="2015-04-02" u="1"/>
        <s v="2015-03-03" u="1"/>
        <s v="2015-05-29" u="1"/>
        <s v="2015-03-17" u="1"/>
        <s v="2015-04-03" u="1"/>
        <s v="2015-07-01" u="1"/>
      </sharedItems>
    </cacheField>
    <cacheField name="SeriesNumValue" numFmtId="0">
      <sharedItems containsSemiMixedTypes="0" containsString="0" containsNumber="1" minValue="1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ien Chen" refreshedDate="42219.373763773146" createdVersion="5" refreshedVersion="4" minRefreshableVersion="3" recordCount="47">
  <cacheSource type="worksheet">
    <worksheetSource name="CurrentMtgRatesDataTable"/>
  </cacheSource>
  <cacheFields count="6"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14">
      <sharedItems containsBlank="1" count="29">
        <s v="2015-07-31"/>
        <m u="1"/>
        <s v="2015-03-04" u="1"/>
        <s v="2015-03-18" u="1"/>
        <s v="2015-03-20" u="1"/>
        <s v="2015-07-02" u="1"/>
        <s v="2015-03-05" u="1"/>
        <s v="2015-03-19" u="1"/>
        <s v="2015-05-04" u="1"/>
        <s v="2015-03-06" u="1"/>
        <s v="2015-04-06" u="1"/>
        <s v="2015-04-22" u="1"/>
        <s v="2015-03-10" u="1"/>
        <s v="2015-04-23" u="1"/>
        <s v="2015-05-07" u="1"/>
        <s v="2015-03-09" u="1"/>
        <s v="2015-03-11" u="1"/>
        <s v="2015-07-22" u="1"/>
        <s v="2015-03-25" u="1"/>
        <s v="2015-03-12" u="1"/>
        <s v="2015-07-23" u="1"/>
        <s v="2015-03-13" u="1"/>
        <s v="2015-05-27" u="1"/>
        <s v="2015-03-02" u="1"/>
        <s v="2015-03-16" u="1"/>
        <s v="2015-03-03" u="1"/>
        <s v="2015-06-01" u="1"/>
        <s v="2015-03-17" u="1"/>
        <s v="2015-04-03" u="1"/>
      </sharedItems>
    </cacheField>
    <cacheField name="SeriesNumValue" numFmtId="0">
      <sharedItems containsSemiMixedTypes="0" containsString="0" containsNumber="1" minValue="0.84399999999999997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Lien Chen" refreshedDate="42219.373763773146" createdVersion="5" refreshedVersion="4" minRefreshableVersion="3" recordCount="47">
  <cacheSource type="worksheet">
    <worksheetSource name="OneWeekMtgRatesDataTable"/>
  </cacheSource>
  <cacheFields count="6"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0">
      <sharedItems containsBlank="1" count="24">
        <s v="2015-07-24"/>
        <m u="1"/>
        <s v="2015-03-04" u="1"/>
        <s v="2015-07-15" u="1"/>
        <s v="2015-03-18" u="1"/>
        <s v="2015-03-05" u="1"/>
        <s v="2015-07-16" u="1"/>
        <s v="2015-03-06" u="1"/>
        <s v="2015-05-19" u="1"/>
        <s v="2015-05-22" u="1"/>
        <s v="2015-03-10" u="1"/>
        <s v="2015-03-09" u="1"/>
        <s v="2015-03-11" u="1"/>
        <s v="2015-03-12" u="1"/>
        <s v="2015-03-13" u="1"/>
        <s v="2015-03-27" u="1"/>
        <s v="2015-06-25" u="1"/>
        <s v="2015-04-27" u="1"/>
        <s v="2015-03-30" u="1"/>
        <s v="2015-04-30" u="1"/>
        <s v="2015-03-02" u="1"/>
        <s v="2015-04-15" u="1"/>
        <s v="2015-03-03" u="1"/>
        <s v="2015-04-16" u="1"/>
      </sharedItems>
    </cacheField>
    <cacheField name="SeriesNumValue" numFmtId="0">
      <sharedItems containsSemiMixedTypes="0" containsString="0" containsNumber="1" minValue="1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Lien Chen" refreshedDate="42219.373763888892" createdVersion="4" refreshedVersion="4" minRefreshableVersion="3" recordCount="161">
  <cacheSource type="worksheet">
    <worksheetSource name="OneWeekMtgRatesDataTable9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/>
    </cacheField>
    <cacheField name="SeriesType" numFmtId="0">
      <sharedItems/>
    </cacheField>
    <cacheField name="Category" numFmtId="0">
      <sharedItems/>
    </cacheField>
    <cacheField name="AsOfDate" numFmtId="0">
      <sharedItems count="107">
        <s v="2015-06-30"/>
        <s v="2015-07-01"/>
        <s v="2015-07-02"/>
        <s v="2015-07-06"/>
        <s v="2015-07-07"/>
        <s v="2015-07-08"/>
        <s v="2015-07-09"/>
        <s v="2015-07-10"/>
        <s v="2015-07-13"/>
        <s v="2015-07-14"/>
        <s v="2015-07-15"/>
        <s v="2015-07-16"/>
        <s v="2015-07-17"/>
        <s v="2015-07-20"/>
        <s v="2015-07-21"/>
        <s v="2015-07-22"/>
        <s v="2015-07-23"/>
        <s v="2015-07-24"/>
        <s v="2015-07-27"/>
        <s v="2015-07-28"/>
        <s v="2015-07-29"/>
        <s v="2015-07-30"/>
        <s v="2015-07-31"/>
        <s v="2015-03-04" u="1"/>
        <s v="2015-04-17" u="1"/>
        <s v="2015-06-02" u="1"/>
        <s v="2015-03-18" u="1"/>
        <s v="2015-06-16" u="1"/>
        <s v="2015-03-20" u="1"/>
        <s v="2015-03-05" u="1"/>
        <s v="2015-06-03" u="1"/>
        <s v="2015-04-20" u="1"/>
        <s v="2015-03-19" u="1"/>
        <s v="2015-05-04" u="1"/>
        <s v="2015-06-17" u="1"/>
        <s v="2015-05-18" u="1"/>
        <s v="2015-05-20" u="1"/>
        <s v="2015-03-06" u="1"/>
        <s v="2015-06-04" u="1"/>
        <s v="2015-04-21" u="1"/>
        <s v="2015-05-05" u="1"/>
        <s v="2015-06-18" u="1"/>
        <s v="2015-04-06" u="1"/>
        <s v="2015-05-19" u="1"/>
        <s v="2015-05-21" u="1"/>
        <s v="2015-06-05" u="1"/>
        <s v="2015-04-22" u="1"/>
        <s v="2015-05-06" u="1"/>
        <s v="2015-06-19" u="1"/>
        <s v="2015-03-23" u="1"/>
        <s v="2015-04-07" u="1"/>
        <s v="2015-05-22" u="1"/>
        <s v="2015-03-10" u="1"/>
        <s v="2015-04-23" u="1"/>
        <s v="2015-05-07" u="1"/>
        <s v="2015-03-24" u="1"/>
        <s v="2015-06-22" u="1"/>
        <s v="2015-04-08" u="1"/>
        <s v="2015-04-10" u="1"/>
        <s v="2015-03-09" u="1"/>
        <s v="2015-03-11" u="1"/>
        <s v="2015-04-24" u="1"/>
        <s v="2015-05-08" u="1"/>
        <s v="2015-03-25" u="1"/>
        <s v="2015-06-23" u="1"/>
        <s v="2015-04-09" u="1"/>
        <s v="2015-06-08" u="1"/>
        <s v="2015-03-12" u="1"/>
        <s v="2015-06-10" u="1"/>
        <s v="2015-03-26" u="1"/>
        <s v="2015-05-11" u="1"/>
        <s v="2015-06-24" u="1"/>
        <s v="2015-06-09" u="1"/>
        <s v="2015-03-13" u="1"/>
        <s v="2015-06-11" u="1"/>
        <s v="2015-03-27" u="1"/>
        <s v="2015-05-12" u="1"/>
        <s v="2015-06-25" u="1"/>
        <s v="2015-04-13" u="1"/>
        <s v="2015-05-26" u="1"/>
        <s v="2015-04-27" u="1"/>
        <s v="2015-06-12" u="1"/>
        <s v="2015-05-13" u="1"/>
        <s v="2015-06-26" u="1"/>
        <s v="2015-03-30" u="1"/>
        <s v="2015-04-14" u="1"/>
        <s v="2015-05-27" u="1"/>
        <s v="2015-04-28" u="1"/>
        <s v="2015-04-30" u="1"/>
        <s v="2015-04-01" u="1"/>
        <s v="2015-05-14" u="1"/>
        <s v="2015-03-31" u="1"/>
        <s v="2015-04-15" u="1"/>
        <s v="2015-05-28" u="1"/>
        <s v="2015-03-16" u="1"/>
        <s v="2015-04-29" u="1"/>
        <s v="2015-05-01" u="1"/>
        <s v="2015-04-02" u="1"/>
        <s v="2015-05-15" u="1"/>
        <s v="2015-03-03" u="1"/>
        <s v="2015-04-16" u="1"/>
        <s v="2015-05-29" u="1"/>
        <s v="2015-06-01" u="1"/>
        <s v="2015-03-17" u="1"/>
        <s v="2015-06-15" u="1"/>
        <s v="2015-04-03" u="1"/>
        <s v="2015-06-29" u="1"/>
      </sharedItems>
    </cacheField>
    <cacheField name="SeriesNumValue" numFmtId="0">
      <sharedItems containsSemiMixedTypes="0" containsString="0" containsNumber="1" minValue="3.966305483037543" maxValue="4.67821636968986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5">
  <r>
    <s v="30YrConformingConventional"/>
    <s v="Bank of America"/>
    <x v="0"/>
    <s v="MTG"/>
    <x v="0"/>
    <n v="1.4191644462264212"/>
  </r>
  <r>
    <s v="30YrConformingConventional"/>
    <s v="Bank of America"/>
    <x v="0"/>
    <s v="MTG"/>
    <x v="1"/>
    <n v="1.4705739977736068"/>
  </r>
  <r>
    <s v="30YrConformingConventional"/>
    <s v="Bank of America"/>
    <x v="0"/>
    <s v="MTG"/>
    <x v="2"/>
    <n v="1.4344115256412833"/>
  </r>
  <r>
    <s v="30YrConformingConventional"/>
    <s v="Bank of America"/>
    <x v="0"/>
    <s v="MTG"/>
    <x v="3"/>
    <n v="1.4543697678100846"/>
  </r>
  <r>
    <s v="30YrConformingConventional"/>
    <s v="Bank of America"/>
    <x v="0"/>
    <s v="MTG"/>
    <x v="4"/>
    <n v="1.4886674852774087"/>
  </r>
  <r>
    <s v="30YrConformingConventional"/>
    <s v="Bank of America"/>
    <x v="0"/>
    <s v="MTG"/>
    <x v="5"/>
    <n v="1.5654865618600153"/>
  </r>
  <r>
    <s v="30YrConformingConventional"/>
    <s v="Bank of America"/>
    <x v="0"/>
    <s v="MTG"/>
    <x v="6"/>
    <n v="1.4926391523791853"/>
  </r>
  <r>
    <s v="30YrConformingConventional"/>
    <s v="Bank of America"/>
    <x v="0"/>
    <s v="MTG"/>
    <x v="7"/>
    <n v="1.4491633035923392"/>
  </r>
  <r>
    <s v="30YrConformingConventional"/>
    <s v="Bank of America"/>
    <x v="0"/>
    <s v="MTG"/>
    <x v="8"/>
    <n v="1.4984384715417181"/>
  </r>
  <r>
    <s v="30YrConformingConventional"/>
    <s v="Bank of America"/>
    <x v="0"/>
    <s v="MTG"/>
    <x v="9"/>
    <n v="1.4391155694354067"/>
  </r>
  <r>
    <s v="30YrConformingConventional"/>
    <s v="Bank of America"/>
    <x v="0"/>
    <s v="MTG"/>
    <x v="10"/>
    <n v="1.4820339969784169"/>
  </r>
  <r>
    <s v="30YrConformingConventional"/>
    <s v="Bank of America"/>
    <x v="0"/>
    <s v="MTG"/>
    <x v="11"/>
    <n v="1.4137621493606665"/>
  </r>
  <r>
    <s v="30YrConformingConventional"/>
    <s v="Bank of America"/>
    <x v="0"/>
    <s v="MTG"/>
    <x v="12"/>
    <n v="1.3953089089250075"/>
  </r>
  <r>
    <s v="30YrConformingConventional"/>
    <s v="Bank of America"/>
    <x v="0"/>
    <s v="MTG"/>
    <x v="13"/>
    <n v="1.3759052576474176"/>
  </r>
  <r>
    <s v="30YrConformingConventional"/>
    <s v="Bank of America"/>
    <x v="0"/>
    <s v="MTG"/>
    <x v="14"/>
    <n v="1.4286340196471383"/>
  </r>
  <r>
    <s v="30YrConformingConventional"/>
    <s v="Bank of America"/>
    <x v="0"/>
    <s v="MTG"/>
    <x v="15"/>
    <n v="1.4539211920399711"/>
  </r>
  <r>
    <s v="30YrConformingConventional"/>
    <s v="Bank of America"/>
    <x v="0"/>
    <s v="MTG"/>
    <x v="16"/>
    <n v="1.4507515913062277"/>
  </r>
  <r>
    <s v="30YrConformingConventional"/>
    <s v="Bank of America"/>
    <x v="0"/>
    <s v="MTG"/>
    <x v="17"/>
    <n v="1.4115999979508493"/>
  </r>
  <r>
    <s v="30YrConformingConventional"/>
    <s v="Bank of America"/>
    <x v="0"/>
    <s v="MTG"/>
    <x v="18"/>
    <n v="1.4638126045131872"/>
  </r>
  <r>
    <s v="30YrConformingConventional"/>
    <s v="Bank of America"/>
    <x v="0"/>
    <s v="MTG"/>
    <x v="19"/>
    <n v="1.4793540082698529"/>
  </r>
  <r>
    <s v="30YrConformingConventional"/>
    <s v="Bank of America"/>
    <x v="0"/>
    <s v="MTG"/>
    <x v="20"/>
    <n v="1.4657398986657422"/>
  </r>
  <r>
    <s v="30YrConformingConventional"/>
    <s v="Bank of America"/>
    <x v="0"/>
    <s v="MTG"/>
    <x v="21"/>
    <n v="1.4954131871900374"/>
  </r>
  <r>
    <s v="30YrConformingConventional"/>
    <s v="Bank of America"/>
    <x v="0"/>
    <s v="MTG"/>
    <x v="22"/>
    <n v="1.4584339847358858"/>
  </r>
  <r>
    <s v="30YrConformingConventional"/>
    <s v="Chase"/>
    <x v="0"/>
    <s v="MTG"/>
    <x v="0"/>
    <n v="1.0807127136680399"/>
  </r>
  <r>
    <s v="30YrConformingConventional"/>
    <s v="Chase"/>
    <x v="0"/>
    <s v="MTG"/>
    <x v="1"/>
    <n v="1.0236217114382038"/>
  </r>
  <r>
    <s v="30YrConformingConventional"/>
    <s v="Chase"/>
    <x v="0"/>
    <s v="MTG"/>
    <x v="2"/>
    <n v="1.0831985963852633"/>
  </r>
  <r>
    <s v="30YrConformingConventional"/>
    <s v="Chase"/>
    <x v="0"/>
    <s v="MTG"/>
    <x v="3"/>
    <n v="1.1134053714828922"/>
  </r>
  <r>
    <s v="30YrConformingConventional"/>
    <s v="Chase"/>
    <x v="0"/>
    <s v="MTG"/>
    <x v="4"/>
    <n v="1.0825091444054298"/>
  </r>
  <r>
    <s v="30YrConformingConventional"/>
    <s v="Chase"/>
    <x v="0"/>
    <s v="MTG"/>
    <x v="5"/>
    <n v="1.083606967260841"/>
  </r>
  <r>
    <s v="30YrConformingConventional"/>
    <s v="Chase"/>
    <x v="0"/>
    <s v="MTG"/>
    <x v="6"/>
    <n v="1.010759557780011"/>
  </r>
  <r>
    <s v="30YrConformingConventional"/>
    <s v="Chase"/>
    <x v="0"/>
    <s v="MTG"/>
    <x v="7"/>
    <n v="1.0398411621313595"/>
  </r>
  <r>
    <s v="30YrConformingConventional"/>
    <s v="Chase"/>
    <x v="0"/>
    <s v="MTG"/>
    <x v="8"/>
    <n v="1.0423068026676641"/>
  </r>
  <r>
    <s v="30YrConformingConventional"/>
    <s v="Chase"/>
    <x v="0"/>
    <s v="MTG"/>
    <x v="9"/>
    <n v="1.0786491057373591"/>
  </r>
  <r>
    <s v="30YrConformingConventional"/>
    <s v="Chase"/>
    <x v="0"/>
    <s v="MTG"/>
    <x v="10"/>
    <n v="1.0891799655927026"/>
  </r>
  <r>
    <s v="30YrConformingConventional"/>
    <s v="Chase"/>
    <x v="0"/>
    <s v="MTG"/>
    <x v="11"/>
    <n v="1.0606327250559704"/>
  </r>
  <r>
    <s v="30YrConformingConventional"/>
    <s v="Chase"/>
    <x v="0"/>
    <s v="MTG"/>
    <x v="12"/>
    <n v="1.0118874123115511"/>
  </r>
  <r>
    <s v="30YrConformingConventional"/>
    <s v="Chase"/>
    <x v="0"/>
    <s v="MTG"/>
    <x v="13"/>
    <n v="1.02209245388055"/>
  </r>
  <r>
    <s v="30YrConformingConventional"/>
    <s v="Chase"/>
    <x v="0"/>
    <s v="MTG"/>
    <x v="14"/>
    <n v="1.05136246705567"/>
  </r>
  <r>
    <s v="30YrConformingConventional"/>
    <s v="Chase"/>
    <x v="0"/>
    <s v="MTG"/>
    <x v="15"/>
    <n v="1.0959063610201645"/>
  </r>
  <r>
    <s v="30YrConformingConventional"/>
    <s v="Chase"/>
    <x v="0"/>
    <s v="MTG"/>
    <x v="16"/>
    <n v="1.1216542765386541"/>
  </r>
  <r>
    <s v="30YrConformingConventional"/>
    <s v="Chase"/>
    <x v="0"/>
    <s v="MTG"/>
    <x v="17"/>
    <n v="1.0848226045065246"/>
  </r>
  <r>
    <s v="30YrConformingConventional"/>
    <s v="Chase"/>
    <x v="0"/>
    <s v="MTG"/>
    <x v="18"/>
    <n v="1.0841836356510286"/>
  </r>
  <r>
    <s v="30YrConformingConventional"/>
    <s v="Chase"/>
    <x v="0"/>
    <s v="MTG"/>
    <x v="19"/>
    <n v="1.1236026633522043"/>
  </r>
  <r>
    <s v="30YrConformingConventional"/>
    <s v="Chase"/>
    <x v="0"/>
    <s v="MTG"/>
    <x v="20"/>
    <n v="1.0984133460250745"/>
  </r>
  <r>
    <s v="30YrConformingConventional"/>
    <s v="Chase"/>
    <x v="0"/>
    <s v="MTG"/>
    <x v="21"/>
    <n v="1.0991844871188046"/>
  </r>
  <r>
    <s v="30YrConformingConventional"/>
    <s v="Chase"/>
    <x v="0"/>
    <s v="MTG"/>
    <x v="22"/>
    <n v="1.0534402187716043"/>
  </r>
  <r>
    <s v="30YrConformingConventional"/>
    <s v="Quicken"/>
    <x v="0"/>
    <s v="MTG"/>
    <x v="0"/>
    <n v="1.4483115676875973"/>
  </r>
  <r>
    <s v="30YrConformingConventional"/>
    <s v="Quicken"/>
    <x v="0"/>
    <s v="MTG"/>
    <x v="1"/>
    <n v="1.4221081738015604"/>
  </r>
  <r>
    <s v="30YrConformingConventional"/>
    <s v="Quicken"/>
    <x v="0"/>
    <s v="MTG"/>
    <x v="2"/>
    <n v="1.3886466132010673"/>
  </r>
  <r>
    <s v="30YrConformingConventional"/>
    <s v="Quicken"/>
    <x v="0"/>
    <s v="MTG"/>
    <x v="3"/>
    <n v="1.5324256561702054"/>
  </r>
  <r>
    <s v="30YrConformingConventional"/>
    <s v="Quicken"/>
    <x v="0"/>
    <s v="MTG"/>
    <x v="4"/>
    <n v="1.5033319569337917"/>
  </r>
  <r>
    <s v="30YrConformingConventional"/>
    <s v="Quicken"/>
    <x v="0"/>
    <s v="MTG"/>
    <x v="5"/>
    <n v="1.5626154943854269"/>
  </r>
  <r>
    <s v="30YrConformingConventional"/>
    <s v="Quicken"/>
    <x v="0"/>
    <s v="MTG"/>
    <x v="6"/>
    <n v="1.5758798084377967"/>
  </r>
  <r>
    <s v="30YrConformingConventional"/>
    <s v="Quicken"/>
    <x v="0"/>
    <s v="MTG"/>
    <x v="7"/>
    <n v="1.4924131272430072"/>
  </r>
  <r>
    <s v="30YrConformingConventional"/>
    <s v="Quicken"/>
    <x v="0"/>
    <s v="MTG"/>
    <x v="8"/>
    <n v="1.4792233270269517"/>
  </r>
  <r>
    <s v="30YrConformingConventional"/>
    <s v="Quicken"/>
    <x v="0"/>
    <s v="MTG"/>
    <x v="9"/>
    <n v="1.4566586050220325"/>
  </r>
  <r>
    <s v="30YrConformingConventional"/>
    <s v="Quicken"/>
    <x v="0"/>
    <s v="MTG"/>
    <x v="10"/>
    <n v="1.5483643137247298"/>
  </r>
  <r>
    <s v="30YrConformingConventional"/>
    <s v="Quicken"/>
    <x v="0"/>
    <s v="MTG"/>
    <x v="11"/>
    <n v="1.4947782656127222"/>
  </r>
  <r>
    <s v="30YrConformingConventional"/>
    <s v="Quicken"/>
    <x v="0"/>
    <s v="MTG"/>
    <x v="12"/>
    <n v="1.4736088385134953"/>
  </r>
  <r>
    <s v="30YrConformingConventional"/>
    <s v="Quicken"/>
    <x v="0"/>
    <s v="MTG"/>
    <x v="13"/>
    <n v="1.5318206661209262"/>
  </r>
  <r>
    <s v="30YrConformingConventional"/>
    <s v="Quicken"/>
    <x v="0"/>
    <s v="MTG"/>
    <x v="14"/>
    <n v="1.5897431671584479"/>
  </r>
  <r>
    <s v="30YrConformingConventional"/>
    <s v="Quicken"/>
    <x v="0"/>
    <s v="MTG"/>
    <x v="15"/>
    <n v="1.5862801648354699"/>
  </r>
  <r>
    <s v="30YrConformingConventional"/>
    <s v="Quicken"/>
    <x v="0"/>
    <s v="MTG"/>
    <x v="16"/>
    <n v="1.6406557497822147"/>
  </r>
  <r>
    <s v="30YrConformingConventional"/>
    <s v="Quicken"/>
    <x v="0"/>
    <s v="MTG"/>
    <x v="17"/>
    <n v="1.530075174887463"/>
  </r>
  <r>
    <s v="30YrConformingConventional"/>
    <s v="Quicken"/>
    <x v="0"/>
    <s v="MTG"/>
    <x v="18"/>
    <n v="1.5622258993268487"/>
  </r>
  <r>
    <s v="30YrConformingConventional"/>
    <s v="Quicken"/>
    <x v="0"/>
    <s v="MTG"/>
    <x v="19"/>
    <n v="1.5659764368811495"/>
  </r>
  <r>
    <s v="30YrConformingConventional"/>
    <s v="Quicken"/>
    <x v="0"/>
    <s v="MTG"/>
    <x v="20"/>
    <n v="1.5379078120626815"/>
  </r>
  <r>
    <s v="30YrConformingConventional"/>
    <s v="Quicken"/>
    <x v="0"/>
    <s v="MTG"/>
    <x v="21"/>
    <n v="1.5674490622056676"/>
  </r>
  <r>
    <s v="30YrConformingConventional"/>
    <s v="Quicken"/>
    <x v="0"/>
    <s v="MTG"/>
    <x v="22"/>
    <n v="1.5832555958430223"/>
  </r>
  <r>
    <s v="30YrConformingConventional"/>
    <s v="Wells Fargo"/>
    <x v="0"/>
    <s v="MTG"/>
    <x v="0"/>
    <n v="1.4173946502432502"/>
  </r>
  <r>
    <s v="30YrConformingConventional"/>
    <s v="Wells Fargo"/>
    <x v="0"/>
    <s v="MTG"/>
    <x v="1"/>
    <n v="1.5154511173273009"/>
  </r>
  <r>
    <s v="30YrConformingConventional"/>
    <s v="Wells Fargo"/>
    <x v="0"/>
    <s v="MTG"/>
    <x v="2"/>
    <n v="1.4212802787962304"/>
  </r>
  <r>
    <s v="30YrConformingConventional"/>
    <s v="Wells Fargo"/>
    <x v="0"/>
    <s v="MTG"/>
    <x v="3"/>
    <n v="1.5121519879522058"/>
  </r>
  <r>
    <s v="30YrConformingConventional"/>
    <s v="Wells Fargo"/>
    <x v="0"/>
    <s v="MTG"/>
    <x v="4"/>
    <n v="1.4795960028376309"/>
  </r>
  <r>
    <s v="30YrConformingConventional"/>
    <s v="Wells Fargo"/>
    <x v="0"/>
    <s v="MTG"/>
    <x v="5"/>
    <n v="1.573969311298766"/>
  </r>
  <r>
    <s v="30YrConformingConventional"/>
    <s v="Wells Fargo"/>
    <x v="0"/>
    <s v="MTG"/>
    <x v="6"/>
    <n v="1.4374551090588008"/>
  </r>
  <r>
    <s v="30YrConformingConventional"/>
    <s v="Wells Fargo"/>
    <x v="0"/>
    <s v="MTG"/>
    <x v="7"/>
    <n v="1.4678709119798614"/>
  </r>
  <r>
    <s v="30YrConformingConventional"/>
    <s v="Wells Fargo"/>
    <x v="0"/>
    <s v="MTG"/>
    <x v="8"/>
    <n v="1.3639171740492693"/>
  </r>
  <r>
    <s v="30YrConformingConventional"/>
    <s v="Wells Fargo"/>
    <x v="0"/>
    <s v="MTG"/>
    <x v="9"/>
    <n v="1.4461191235552002"/>
  </r>
  <r>
    <s v="30YrConformingConventional"/>
    <s v="Wells Fargo"/>
    <x v="0"/>
    <s v="MTG"/>
    <x v="10"/>
    <n v="1.4254869680587003"/>
  </r>
  <r>
    <s v="30YrConformingConventional"/>
    <s v="Wells Fargo"/>
    <x v="0"/>
    <s v="MTG"/>
    <x v="11"/>
    <n v="1.4899885813220202"/>
  </r>
  <r>
    <s v="30YrConformingConventional"/>
    <s v="Wells Fargo"/>
    <x v="0"/>
    <s v="MTG"/>
    <x v="12"/>
    <n v="1.4398101423461602"/>
  </r>
  <r>
    <s v="30YrConformingConventional"/>
    <s v="Wells Fargo"/>
    <x v="0"/>
    <s v="MTG"/>
    <x v="13"/>
    <n v="1.4204064910685703"/>
  </r>
  <r>
    <s v="30YrConformingConventional"/>
    <s v="Wells Fargo"/>
    <x v="0"/>
    <s v="MTG"/>
    <x v="14"/>
    <n v="1.5121161182470062"/>
  </r>
  <r>
    <s v="30YrConformingConventional"/>
    <s v="Wells Fargo"/>
    <x v="0"/>
    <s v="MTG"/>
    <x v="15"/>
    <n v="1.462175640413621"/>
  </r>
  <r>
    <s v="30YrConformingConventional"/>
    <s v="Wells Fargo"/>
    <x v="0"/>
    <s v="MTG"/>
    <x v="16"/>
    <n v="1.5515903486912459"/>
  </r>
  <r>
    <s v="30YrConformingConventional"/>
    <s v="Wells Fargo"/>
    <x v="0"/>
    <s v="MTG"/>
    <x v="17"/>
    <n v="1.4198657383793729"/>
  </r>
  <r>
    <s v="30YrConformingConventional"/>
    <s v="Wells Fargo"/>
    <x v="0"/>
    <s v="MTG"/>
    <x v="18"/>
    <n v="1.4517911864446933"/>
  </r>
  <r>
    <s v="30YrConformingConventional"/>
    <s v="Wells Fargo"/>
    <x v="0"/>
    <s v="MTG"/>
    <x v="19"/>
    <n v="1.4586457972250528"/>
  </r>
  <r>
    <s v="30YrConformingConventional"/>
    <s v="Wells Fargo"/>
    <x v="0"/>
    <s v="MTG"/>
    <x v="20"/>
    <n v="1.4942312268823306"/>
  </r>
  <r>
    <s v="30YrConformingConventional"/>
    <s v="Wells Fargo"/>
    <x v="0"/>
    <s v="MTG"/>
    <x v="21"/>
    <n v="1.4950023679760609"/>
  </r>
  <r>
    <s v="30YrConformingConventional"/>
    <s v="Wells Fargo"/>
    <x v="0"/>
    <s v="MTG"/>
    <x v="22"/>
    <n v="1.4033163399863324"/>
  </r>
  <r>
    <s v="FN_CMM_30Yr"/>
    <s v="CELLO"/>
    <x v="1"/>
    <s v="MTG"/>
    <x v="0"/>
    <n v="3.0732804432921599"/>
  </r>
  <r>
    <s v="FN_CMM_30Yr"/>
    <s v="CELLO"/>
    <x v="1"/>
    <s v="MTG"/>
    <x v="1"/>
    <n v="3.16276525236256"/>
  </r>
  <r>
    <s v="FN_CMM_30Yr"/>
    <s v="CELLO"/>
    <x v="1"/>
    <s v="MTG"/>
    <x v="2"/>
    <n v="3.1329453977786899"/>
  </r>
  <r>
    <s v="FN_CMM_30Yr"/>
    <s v="CELLO"/>
    <x v="1"/>
    <s v="MTG"/>
    <x v="3"/>
    <n v="3.0409627195865201"/>
  </r>
  <r>
    <s v="FN_CMM_30Yr"/>
    <s v="CELLO"/>
    <x v="1"/>
    <s v="MTG"/>
    <x v="4"/>
    <n v="3.00985191194196"/>
  </r>
  <r>
    <s v="FN_CMM_30Yr"/>
    <s v="CELLO"/>
    <x v="1"/>
    <s v="MTG"/>
    <x v="5"/>
    <n v="2.9791453962399599"/>
  </r>
  <r>
    <s v="FN_CMM_30Yr"/>
    <s v="CELLO"/>
    <x v="1"/>
    <s v="MTG"/>
    <x v="6"/>
    <n v="3.0519928057207899"/>
  </r>
  <r>
    <s v="FN_CMM_30Yr"/>
    <s v="CELLO"/>
    <x v="1"/>
    <s v="MTG"/>
    <x v="7"/>
    <n v="3.1469144966257199"/>
  </r>
  <r>
    <s v="FN_CMM_30Yr"/>
    <s v="CELLO"/>
    <x v="1"/>
    <s v="MTG"/>
    <x v="8"/>
    <n v="3.1440801611331"/>
  </r>
  <r>
    <s v="FN_CMM_30Yr"/>
    <s v="CELLO"/>
    <x v="1"/>
    <s v="MTG"/>
    <x v="9"/>
    <n v="3.1081065530197201"/>
  </r>
  <r>
    <s v="FN_CMM_30Yr"/>
    <s v="CELLO"/>
    <x v="1"/>
    <s v="MTG"/>
    <x v="10"/>
    <n v="3.0651881254767099"/>
  </r>
  <r>
    <s v="FN_CMM_30Yr"/>
    <s v="CELLO"/>
    <x v="1"/>
    <s v="MTG"/>
    <x v="11"/>
    <n v="3.0642370952529001"/>
  </r>
  <r>
    <s v="FN_CMM_30Yr"/>
    <s v="CELLO"/>
    <x v="1"/>
    <s v="MTG"/>
    <x v="12"/>
    <n v="3.0508649511892498"/>
  </r>
  <r>
    <s v="FN_CMM_30Yr"/>
    <s v="CELLO"/>
    <x v="1"/>
    <s v="MTG"/>
    <x v="13"/>
    <n v="3.07026860246684"/>
  </r>
  <r>
    <s v="FN_CMM_30Yr"/>
    <s v="CELLO"/>
    <x v="1"/>
    <s v="MTG"/>
    <x v="14"/>
    <n v="3.04099858929172"/>
  </r>
  <r>
    <s v="FN_CMM_30Yr"/>
    <s v="CELLO"/>
    <x v="1"/>
    <s v="MTG"/>
    <x v="15"/>
    <n v="3.0272722743659699"/>
  </r>
  <r>
    <s v="FN_CMM_30Yr"/>
    <s v="CELLO"/>
    <x v="1"/>
    <s v="MTG"/>
    <x v="16"/>
    <n v="3.00152435884748"/>
  </r>
  <r>
    <s v="FN_CMM_30Yr"/>
    <s v="CELLO"/>
    <x v="1"/>
    <s v="MTG"/>
    <x v="17"/>
    <n v="3.00880742941581"/>
  </r>
  <r>
    <s v="FN_CMM_30Yr"/>
    <s v="CELLO"/>
    <x v="1"/>
    <s v="MTG"/>
    <x v="18"/>
    <n v="2.9768819813504899"/>
  </r>
  <r>
    <s v="FN_CMM_30Yr"/>
    <s v="CELLO"/>
    <x v="1"/>
    <s v="MTG"/>
    <x v="19"/>
    <n v="2.9700273705701301"/>
  </r>
  <r>
    <s v="FN_CMM_30Yr"/>
    <s v="CELLO"/>
    <x v="1"/>
    <s v="MTG"/>
    <x v="20"/>
    <n v="2.9952166878972601"/>
  </r>
  <r>
    <s v="FN_CMM_30Yr"/>
    <s v="CELLO"/>
    <x v="1"/>
    <s v="MTG"/>
    <x v="21"/>
    <n v="2.9944455468035298"/>
  </r>
  <r>
    <s v="FN_CMM_30Yr"/>
    <s v="CELLO"/>
    <x v="1"/>
    <s v="MTG"/>
    <x v="22"/>
    <n v="2.91550812596236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4898587339935672"/>
  </r>
  <r>
    <x v="0"/>
    <x v="0"/>
    <x v="1"/>
    <s v="MTG"/>
    <x v="0"/>
    <n v="4.3339999999999996"/>
  </r>
  <r>
    <x v="0"/>
    <x v="0"/>
    <x v="2"/>
    <s v="MTG"/>
    <x v="0"/>
    <n v="1.3089999999999999"/>
  </r>
  <r>
    <x v="0"/>
    <x v="0"/>
    <x v="3"/>
    <s v="MTG"/>
    <x v="0"/>
    <n v="4.125"/>
  </r>
  <r>
    <x v="0"/>
    <x v="0"/>
    <x v="4"/>
    <s v="MTG"/>
    <x v="0"/>
    <n v="1.4954131871900374"/>
  </r>
  <r>
    <x v="0"/>
    <x v="1"/>
    <x v="0"/>
    <s v="MTG"/>
    <x v="0"/>
    <n v="4.0936300339223344"/>
  </r>
  <r>
    <x v="0"/>
    <x v="1"/>
    <x v="1"/>
    <s v="MTG"/>
    <x v="0"/>
    <n v="4.1150000000000002"/>
  </r>
  <r>
    <x v="0"/>
    <x v="1"/>
    <x v="2"/>
    <s v="MTG"/>
    <x v="0"/>
    <n v="1.375"/>
  </r>
  <r>
    <x v="0"/>
    <x v="1"/>
    <x v="3"/>
    <s v="MTG"/>
    <x v="0"/>
    <n v="4"/>
  </r>
  <r>
    <x v="0"/>
    <x v="1"/>
    <x v="4"/>
    <s v="MTG"/>
    <x v="0"/>
    <n v="1.0991844871188046"/>
  </r>
  <r>
    <x v="0"/>
    <x v="2"/>
    <x v="0"/>
    <s v="MTG"/>
    <x v="0"/>
    <n v="4.5618946090091974"/>
  </r>
  <r>
    <x v="0"/>
    <x v="2"/>
    <x v="1"/>
    <s v="MTG"/>
    <x v="0"/>
    <n v="4.3090000000000002"/>
  </r>
  <r>
    <x v="0"/>
    <x v="2"/>
    <x v="2"/>
    <s v="MTG"/>
    <x v="0"/>
    <n v="2"/>
  </r>
  <r>
    <x v="0"/>
    <x v="2"/>
    <x v="3"/>
    <s v="MTG"/>
    <x v="0"/>
    <n v="4.05"/>
  </r>
  <r>
    <x v="0"/>
    <x v="2"/>
    <x v="4"/>
    <s v="MTG"/>
    <x v="0"/>
    <n v="1.5674490622056676"/>
  </r>
  <r>
    <x v="0"/>
    <x v="3"/>
    <x v="0"/>
    <s v="MTG"/>
    <x v="0"/>
    <n v="4.4894479147795909"/>
  </r>
  <r>
    <x v="0"/>
    <x v="3"/>
    <x v="1"/>
    <s v="MTG"/>
    <x v="0"/>
    <n v="4.298"/>
  </r>
  <r>
    <x v="0"/>
    <x v="3"/>
    <x v="5"/>
    <s v="MTG"/>
    <x v="0"/>
    <n v="277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25"/>
  </r>
  <r>
    <x v="0"/>
    <x v="3"/>
    <x v="4"/>
    <s v="MTG"/>
    <x v="0"/>
    <n v="1.4950023679760609"/>
  </r>
  <r>
    <x v="1"/>
    <x v="2"/>
    <x v="1"/>
    <s v="MTG"/>
    <x v="0"/>
    <n v="4.556"/>
  </r>
  <r>
    <x v="1"/>
    <x v="2"/>
    <x v="2"/>
    <s v="MTG"/>
    <x v="0"/>
    <n v="1.125"/>
  </r>
  <r>
    <x v="1"/>
    <x v="2"/>
    <x v="3"/>
    <s v="MTG"/>
    <x v="0"/>
    <n v="3.75"/>
  </r>
  <r>
    <x v="1"/>
    <x v="3"/>
    <x v="0"/>
    <s v="MTG"/>
    <x v="0"/>
    <n v="4.2906250000000004"/>
  </r>
  <r>
    <x v="1"/>
    <x v="3"/>
    <x v="1"/>
    <s v="MTG"/>
    <x v="0"/>
    <n v="5.17"/>
  </r>
  <r>
    <x v="1"/>
    <x v="3"/>
    <x v="5"/>
    <s v="MTG"/>
    <x v="0"/>
    <n v="6825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4.125"/>
  </r>
  <r>
    <x v="1"/>
    <x v="3"/>
    <x v="4"/>
    <s v="MTG"/>
    <x v="0"/>
    <n v="1.4633944088817499"/>
  </r>
  <r>
    <x v="1"/>
    <x v="3"/>
    <x v="7"/>
    <s v="MTG"/>
    <x v="0"/>
    <n v="3500"/>
  </r>
  <r>
    <x v="2"/>
    <x v="3"/>
    <x v="0"/>
    <s v="MTG"/>
    <x v="0"/>
    <n v="4.2496377008409834"/>
  </r>
  <r>
    <x v="2"/>
    <x v="3"/>
    <x v="1"/>
    <s v="MTG"/>
    <x v="0"/>
    <n v="4.2729999999999997"/>
  </r>
  <r>
    <x v="2"/>
    <x v="3"/>
    <x v="5"/>
    <s v="MTG"/>
    <x v="0"/>
    <n v="3627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25"/>
  </r>
  <r>
    <x v="2"/>
    <x v="3"/>
    <x v="4"/>
    <s v="MTG"/>
    <x v="0"/>
    <n v="1.2551921540374531"/>
  </r>
  <r>
    <x v="3"/>
    <x v="3"/>
    <x v="0"/>
    <s v="MTG"/>
    <x v="0"/>
    <n v="4.0557276764206129"/>
  </r>
  <r>
    <x v="3"/>
    <x v="3"/>
    <x v="1"/>
    <s v="MTG"/>
    <x v="0"/>
    <n v="4.1399999999999997"/>
  </r>
  <r>
    <x v="3"/>
    <x v="3"/>
    <x v="5"/>
    <s v="MTG"/>
    <x v="0"/>
    <n v="4075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061282129617082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3739421106982554"/>
  </r>
  <r>
    <x v="0"/>
    <x v="0"/>
    <x v="1"/>
    <s v="MTG"/>
    <x v="0"/>
    <n v="4.2939999999999996"/>
  </r>
  <r>
    <x v="0"/>
    <x v="0"/>
    <x v="2"/>
    <s v="MTG"/>
    <x v="0"/>
    <n v="0.84399999999999997"/>
  </r>
  <r>
    <x v="0"/>
    <x v="0"/>
    <x v="3"/>
    <s v="MTG"/>
    <x v="0"/>
    <n v="4.125"/>
  </r>
  <r>
    <x v="0"/>
    <x v="0"/>
    <x v="4"/>
    <s v="MTG"/>
    <x v="0"/>
    <n v="1.4584339847358858"/>
  </r>
  <r>
    <x v="1"/>
    <x v="0"/>
    <x v="0"/>
    <s v="MTG"/>
    <x v="0"/>
    <n v="3.968948344733974"/>
  </r>
  <r>
    <x v="1"/>
    <x v="0"/>
    <x v="1"/>
    <s v="MTG"/>
    <x v="0"/>
    <n v="4.0730000000000004"/>
  </r>
  <r>
    <x v="1"/>
    <x v="0"/>
    <x v="2"/>
    <s v="MTG"/>
    <x v="0"/>
    <n v="0.875"/>
  </r>
  <r>
    <x v="1"/>
    <x v="0"/>
    <x v="3"/>
    <s v="MTG"/>
    <x v="0"/>
    <n v="4"/>
  </r>
  <r>
    <x v="1"/>
    <x v="0"/>
    <x v="4"/>
    <s v="MTG"/>
    <x v="0"/>
    <n v="1.0534402187716043"/>
  </r>
  <r>
    <x v="2"/>
    <x v="0"/>
    <x v="0"/>
    <s v="MTG"/>
    <x v="0"/>
    <n v="4.4987637218053917"/>
  </r>
  <r>
    <x v="2"/>
    <x v="0"/>
    <x v="1"/>
    <s v="MTG"/>
    <x v="0"/>
    <n v="4.2469999999999999"/>
  </r>
  <r>
    <x v="2"/>
    <x v="0"/>
    <x v="2"/>
    <s v="MTG"/>
    <x v="0"/>
    <n v="2"/>
  </r>
  <r>
    <x v="2"/>
    <x v="0"/>
    <x v="3"/>
    <s v="MTG"/>
    <x v="0"/>
    <n v="3.99"/>
  </r>
  <r>
    <x v="2"/>
    <x v="0"/>
    <x v="4"/>
    <s v="MTG"/>
    <x v="0"/>
    <n v="1.5832555958430223"/>
  </r>
  <r>
    <x v="3"/>
    <x v="0"/>
    <x v="0"/>
    <s v="MTG"/>
    <x v="0"/>
    <n v="4.3188244659487021"/>
  </r>
  <r>
    <x v="3"/>
    <x v="0"/>
    <x v="1"/>
    <s v="MTG"/>
    <x v="0"/>
    <n v="4.2720000000000002"/>
  </r>
  <r>
    <x v="3"/>
    <x v="0"/>
    <x v="5"/>
    <s v="MTG"/>
    <x v="0"/>
    <n v="2028"/>
  </r>
  <r>
    <x v="3"/>
    <x v="0"/>
    <x v="6"/>
    <s v="MTG"/>
    <x v="0"/>
    <n v="200000"/>
  </r>
  <r>
    <x v="3"/>
    <x v="0"/>
    <x v="2"/>
    <s v="MTG"/>
    <x v="0"/>
    <n v="1"/>
  </r>
  <r>
    <x v="3"/>
    <x v="0"/>
    <x v="3"/>
    <s v="MTG"/>
    <x v="0"/>
    <n v="4.25"/>
  </r>
  <r>
    <x v="3"/>
    <x v="0"/>
    <x v="4"/>
    <s v="MTG"/>
    <x v="0"/>
    <n v="1.4033163399863324"/>
  </r>
  <r>
    <x v="2"/>
    <x v="1"/>
    <x v="1"/>
    <s v="MTG"/>
    <x v="0"/>
    <n v="4.4950000000000001"/>
  </r>
  <r>
    <x v="2"/>
    <x v="1"/>
    <x v="2"/>
    <s v="MTG"/>
    <x v="0"/>
    <n v="1.875"/>
  </r>
  <r>
    <x v="2"/>
    <x v="1"/>
    <x v="3"/>
    <s v="MTG"/>
    <x v="0"/>
    <n v="3.625"/>
  </r>
  <r>
    <x v="3"/>
    <x v="1"/>
    <x v="0"/>
    <s v="MTG"/>
    <x v="0"/>
    <n v="4.1630000000000003"/>
  </r>
  <r>
    <x v="3"/>
    <x v="1"/>
    <x v="1"/>
    <s v="MTG"/>
    <x v="0"/>
    <n v="5.0430000000000001"/>
  </r>
  <r>
    <x v="3"/>
    <x v="1"/>
    <x v="5"/>
    <s v="MTG"/>
    <x v="0"/>
    <n v="6804"/>
  </r>
  <r>
    <x v="3"/>
    <x v="1"/>
    <x v="6"/>
    <s v="MTG"/>
    <x v="0"/>
    <n v="200000"/>
  </r>
  <r>
    <x v="3"/>
    <x v="1"/>
    <x v="2"/>
    <s v="MTG"/>
    <x v="0"/>
    <n v="1"/>
  </r>
  <r>
    <x v="3"/>
    <x v="1"/>
    <x v="3"/>
    <s v="MTG"/>
    <x v="0"/>
    <n v="4"/>
  </r>
  <r>
    <x v="3"/>
    <x v="1"/>
    <x v="4"/>
    <s v="MTG"/>
    <x v="0"/>
    <n v="1.4191504327559101"/>
  </r>
  <r>
    <x v="3"/>
    <x v="1"/>
    <x v="7"/>
    <s v="MTG"/>
    <x v="0"/>
    <n v="3500"/>
  </r>
  <r>
    <x v="3"/>
    <x v="2"/>
    <x v="0"/>
    <s v="MTG"/>
    <x v="0"/>
    <n v="4.0771627490827687"/>
  </r>
  <r>
    <x v="3"/>
    <x v="2"/>
    <x v="1"/>
    <s v="MTG"/>
    <x v="0"/>
    <n v="4.2569999999999997"/>
  </r>
  <r>
    <x v="3"/>
    <x v="2"/>
    <x v="5"/>
    <s v="MTG"/>
    <x v="0"/>
    <n v="1127"/>
  </r>
  <r>
    <x v="3"/>
    <x v="2"/>
    <x v="6"/>
    <s v="MTG"/>
    <x v="0"/>
    <n v="500000"/>
  </r>
  <r>
    <x v="3"/>
    <x v="2"/>
    <x v="2"/>
    <s v="MTG"/>
    <x v="0"/>
    <n v="1"/>
  </r>
  <r>
    <x v="3"/>
    <x v="2"/>
    <x v="3"/>
    <s v="MTG"/>
    <x v="0"/>
    <n v="4.25"/>
  </r>
  <r>
    <x v="3"/>
    <x v="2"/>
    <x v="4"/>
    <s v="MTG"/>
    <x v="0"/>
    <n v="1.1616546231203992"/>
  </r>
  <r>
    <x v="3"/>
    <x v="3"/>
    <x v="0"/>
    <s v="MTG"/>
    <x v="0"/>
    <n v="3.966305483037543"/>
  </r>
  <r>
    <x v="3"/>
    <x v="3"/>
    <x v="1"/>
    <s v="MTG"/>
    <x v="0"/>
    <n v="4.1310000000000002"/>
  </r>
  <r>
    <x v="3"/>
    <x v="3"/>
    <x v="5"/>
    <s v="MTG"/>
    <x v="0"/>
    <n v="2200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050797357075173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4204074273666594"/>
  </r>
  <r>
    <x v="0"/>
    <x v="0"/>
    <x v="1"/>
    <s v="MTG"/>
    <x v="0"/>
    <n v="4.3099999999999996"/>
  </r>
  <r>
    <x v="0"/>
    <x v="0"/>
    <x v="2"/>
    <s v="MTG"/>
    <x v="0"/>
    <n v="1.032"/>
  </r>
  <r>
    <x v="0"/>
    <x v="0"/>
    <x v="3"/>
    <s v="MTG"/>
    <x v="0"/>
    <n v="4.125"/>
  </r>
  <r>
    <x v="0"/>
    <x v="0"/>
    <x v="4"/>
    <s v="MTG"/>
    <x v="0"/>
    <n v="1.4115999979508493"/>
  </r>
  <r>
    <x v="0"/>
    <x v="1"/>
    <x v="0"/>
    <s v="MTG"/>
    <x v="0"/>
    <n v="4.0936300339223344"/>
  </r>
  <r>
    <x v="0"/>
    <x v="1"/>
    <x v="1"/>
    <s v="MTG"/>
    <x v="0"/>
    <n v="4.1150000000000002"/>
  </r>
  <r>
    <x v="0"/>
    <x v="1"/>
    <x v="2"/>
    <s v="MTG"/>
    <x v="0"/>
    <n v="1.375"/>
  </r>
  <r>
    <x v="0"/>
    <x v="1"/>
    <x v="3"/>
    <s v="MTG"/>
    <x v="0"/>
    <n v="4"/>
  </r>
  <r>
    <x v="0"/>
    <x v="1"/>
    <x v="4"/>
    <s v="MTG"/>
    <x v="0"/>
    <n v="1.0848226045065246"/>
  </r>
  <r>
    <x v="0"/>
    <x v="2"/>
    <x v="0"/>
    <s v="MTG"/>
    <x v="0"/>
    <n v="4.5388826043032733"/>
  </r>
  <r>
    <x v="0"/>
    <x v="2"/>
    <x v="1"/>
    <s v="MTG"/>
    <x v="0"/>
    <n v="4.3010000000000002"/>
  </r>
  <r>
    <x v="0"/>
    <x v="2"/>
    <x v="2"/>
    <s v="MTG"/>
    <x v="0"/>
    <n v="1.875"/>
  </r>
  <r>
    <x v="0"/>
    <x v="2"/>
    <x v="3"/>
    <s v="MTG"/>
    <x v="0"/>
    <n v="4.05"/>
  </r>
  <r>
    <x v="0"/>
    <x v="2"/>
    <x v="4"/>
    <s v="MTG"/>
    <x v="0"/>
    <n v="1.530075174887463"/>
  </r>
  <r>
    <x v="0"/>
    <x v="3"/>
    <x v="0"/>
    <s v="MTG"/>
    <x v="0"/>
    <n v="4.4286731677951829"/>
  </r>
  <r>
    <x v="0"/>
    <x v="3"/>
    <x v="1"/>
    <s v="MTG"/>
    <x v="0"/>
    <n v="4.2880000000000003"/>
  </r>
  <r>
    <x v="0"/>
    <x v="3"/>
    <x v="5"/>
    <s v="MTG"/>
    <x v="0"/>
    <n v="252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25"/>
  </r>
  <r>
    <x v="0"/>
    <x v="3"/>
    <x v="4"/>
    <s v="MTG"/>
    <x v="0"/>
    <n v="1.4198657383793729"/>
  </r>
  <r>
    <x v="1"/>
    <x v="2"/>
    <x v="1"/>
    <s v="MTG"/>
    <x v="0"/>
    <n v="4.5449999999999999"/>
  </r>
  <r>
    <x v="1"/>
    <x v="2"/>
    <x v="2"/>
    <s v="MTG"/>
    <x v="0"/>
    <n v="1"/>
  </r>
  <r>
    <x v="1"/>
    <x v="2"/>
    <x v="3"/>
    <s v="MTG"/>
    <x v="0"/>
    <n v="3.75"/>
  </r>
  <r>
    <x v="1"/>
    <x v="3"/>
    <x v="0"/>
    <s v="MTG"/>
    <x v="0"/>
    <n v="4.2588749999999997"/>
  </r>
  <r>
    <x v="1"/>
    <x v="3"/>
    <x v="1"/>
    <s v="MTG"/>
    <x v="0"/>
    <n v="5.1580000000000004"/>
  </r>
  <r>
    <x v="1"/>
    <x v="3"/>
    <x v="5"/>
    <s v="MTG"/>
    <x v="0"/>
    <n v="6571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4.125"/>
  </r>
  <r>
    <x v="1"/>
    <x v="3"/>
    <x v="4"/>
    <s v="MTG"/>
    <x v="0"/>
    <n v="1.4190409974948601"/>
  </r>
  <r>
    <x v="1"/>
    <x v="3"/>
    <x v="7"/>
    <s v="MTG"/>
    <x v="0"/>
    <n v="3500"/>
  </r>
  <r>
    <x v="2"/>
    <x v="3"/>
    <x v="0"/>
    <s v="MTG"/>
    <x v="0"/>
    <n v="4.1887316643249344"/>
  </r>
  <r>
    <x v="2"/>
    <x v="3"/>
    <x v="1"/>
    <s v="MTG"/>
    <x v="0"/>
    <n v="4.2629999999999999"/>
  </r>
  <r>
    <x v="2"/>
    <x v="3"/>
    <x v="5"/>
    <s v="MTG"/>
    <x v="0"/>
    <n v="3002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25"/>
  </r>
  <r>
    <x v="2"/>
    <x v="3"/>
    <x v="4"/>
    <s v="MTG"/>
    <x v="0"/>
    <n v="1.1799242349091243"/>
  </r>
  <r>
    <x v="3"/>
    <x v="3"/>
    <x v="0"/>
    <s v="MTG"/>
    <x v="0"/>
    <n v="4.0612077500397348"/>
  </r>
  <r>
    <x v="3"/>
    <x v="3"/>
    <x v="1"/>
    <s v="MTG"/>
    <x v="0"/>
    <n v="4.2560000000000002"/>
  </r>
  <r>
    <x v="3"/>
    <x v="3"/>
    <x v="5"/>
    <s v="MTG"/>
    <x v="0"/>
    <n v="1301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25"/>
  </r>
  <r>
    <x v="3"/>
    <x v="3"/>
    <x v="4"/>
    <s v="MTG"/>
    <x v="0"/>
    <n v="1.052400320623925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61">
  <r>
    <x v="0"/>
    <s v="Bank of America"/>
    <s v="1Point Rate"/>
    <s v="MTG"/>
    <x v="0"/>
    <n v="4.4924448895185813"/>
  </r>
  <r>
    <x v="0"/>
    <s v="Bank of America"/>
    <s v="1Point Rate"/>
    <s v="MTG"/>
    <x v="1"/>
    <n v="4.6333392501361672"/>
  </r>
  <r>
    <x v="0"/>
    <s v="Bank of America"/>
    <s v="1Point Rate"/>
    <s v="MTG"/>
    <x v="2"/>
    <n v="4.5673569234199736"/>
  </r>
  <r>
    <x v="0"/>
    <s v="Bank of America"/>
    <s v="1Point Rate"/>
    <s v="MTG"/>
    <x v="3"/>
    <n v="4.4953324873966052"/>
  </r>
  <r>
    <x v="0"/>
    <s v="Bank of America"/>
    <s v="1Point Rate"/>
    <s v="MTG"/>
    <x v="4"/>
    <n v="4.4985193972193684"/>
  </r>
  <r>
    <x v="0"/>
    <s v="Bank of America"/>
    <s v="1Point Rate"/>
    <s v="MTG"/>
    <x v="5"/>
    <n v="4.5446319580999752"/>
  </r>
  <r>
    <x v="0"/>
    <s v="Bank of America"/>
    <s v="1Point Rate"/>
    <s v="MTG"/>
    <x v="6"/>
    <n v="4.5446319580999752"/>
  </r>
  <r>
    <x v="0"/>
    <s v="Bank of America"/>
    <s v="1Point Rate"/>
    <s v="MTG"/>
    <x v="7"/>
    <n v="4.5960778002180591"/>
  </r>
  <r>
    <x v="0"/>
    <s v="Bank of America"/>
    <s v="1Point Rate"/>
    <s v="MTG"/>
    <x v="8"/>
    <n v="4.6425186326748173"/>
  </r>
  <r>
    <x v="0"/>
    <s v="Bank of America"/>
    <s v="1Point Rate"/>
    <s v="MTG"/>
    <x v="9"/>
    <n v="4.5472221224551266"/>
  </r>
  <r>
    <x v="0"/>
    <s v="Bank of America"/>
    <s v="1Point Rate"/>
    <s v="MTG"/>
    <x v="10"/>
    <n v="4.5472221224551266"/>
  </r>
  <r>
    <x v="0"/>
    <s v="Bank of America"/>
    <s v="1Point Rate"/>
    <s v="MTG"/>
    <x v="11"/>
    <n v="4.4779992446135664"/>
  </r>
  <r>
    <x v="0"/>
    <s v="Bank of America"/>
    <s v="1Point Rate"/>
    <s v="MTG"/>
    <x v="12"/>
    <n v="4.4461738601142571"/>
  </r>
  <r>
    <x v="0"/>
    <s v="Bank of America"/>
    <s v="1Point Rate"/>
    <s v="MTG"/>
    <x v="13"/>
    <n v="4.4461738601142571"/>
  </r>
  <r>
    <x v="0"/>
    <s v="Bank of America"/>
    <s v="1Point Rate"/>
    <s v="MTG"/>
    <x v="14"/>
    <n v="4.4696326089388583"/>
  </r>
  <r>
    <x v="0"/>
    <s v="Bank of America"/>
    <s v="1Point Rate"/>
    <s v="MTG"/>
    <x v="15"/>
    <n v="4.4811934664059407"/>
  </r>
  <r>
    <x v="0"/>
    <s v="Bank of America"/>
    <s v="1Point Rate"/>
    <s v="MTG"/>
    <x v="16"/>
    <n v="4.4522759501537079"/>
  </r>
  <r>
    <x v="0"/>
    <s v="Bank of America"/>
    <s v="1Point Rate"/>
    <s v="MTG"/>
    <x v="17"/>
    <n v="4.4204074273666594"/>
  </r>
  <r>
    <x v="0"/>
    <s v="Bank of America"/>
    <s v="1Point Rate"/>
    <s v="MTG"/>
    <x v="18"/>
    <n v="4.4406945858636773"/>
  </r>
  <r>
    <x v="0"/>
    <s v="Bank of America"/>
    <s v="1Point Rate"/>
    <s v="MTG"/>
    <x v="19"/>
    <n v="4.4493813788399832"/>
  </r>
  <r>
    <x v="0"/>
    <s v="Bank of America"/>
    <s v="1Point Rate"/>
    <s v="MTG"/>
    <x v="20"/>
    <n v="4.4609565865630021"/>
  </r>
  <r>
    <x v="0"/>
    <s v="Bank of America"/>
    <s v="1Point Rate"/>
    <s v="MTG"/>
    <x v="21"/>
    <n v="4.4898587339935672"/>
  </r>
  <r>
    <x v="0"/>
    <s v="Bank of America"/>
    <s v="1Point Rate"/>
    <s v="MTG"/>
    <x v="22"/>
    <n v="4.3739421106982554"/>
  </r>
  <r>
    <x v="0"/>
    <s v="Chase"/>
    <s v="1Point Rate"/>
    <s v="MTG"/>
    <x v="0"/>
    <n v="4.1539931569602002"/>
  </r>
  <r>
    <x v="0"/>
    <s v="Chase"/>
    <s v="1Point Rate"/>
    <s v="MTG"/>
    <x v="1"/>
    <n v="4.1863869638007634"/>
  </r>
  <r>
    <x v="0"/>
    <s v="Chase"/>
    <s v="1Point Rate"/>
    <s v="MTG"/>
    <x v="2"/>
    <n v="4.2161439941639536"/>
  </r>
  <r>
    <x v="0"/>
    <s v="Chase"/>
    <s v="1Point Rate"/>
    <s v="MTG"/>
    <x v="3"/>
    <n v="4.1543680910694123"/>
  </r>
  <r>
    <x v="0"/>
    <s v="Chase"/>
    <s v="1Point Rate"/>
    <s v="MTG"/>
    <x v="4"/>
    <n v="4.0923610563473902"/>
  </r>
  <r>
    <x v="0"/>
    <s v="Chase"/>
    <s v="1Point Rate"/>
    <s v="MTG"/>
    <x v="5"/>
    <n v="4.0627523635008007"/>
  </r>
  <r>
    <x v="0"/>
    <s v="Chase"/>
    <s v="1Point Rate"/>
    <s v="MTG"/>
    <x v="6"/>
    <n v="4.0627523635008007"/>
  </r>
  <r>
    <x v="0"/>
    <s v="Chase"/>
    <s v="1Point Rate"/>
    <s v="MTG"/>
    <x v="7"/>
    <n v="4.1867556587570789"/>
  </r>
  <r>
    <x v="0"/>
    <s v="Chase"/>
    <s v="1Point Rate"/>
    <s v="MTG"/>
    <x v="8"/>
    <n v="4.1863869638007634"/>
  </r>
  <r>
    <x v="0"/>
    <s v="Chase"/>
    <s v="1Point Rate"/>
    <s v="MTG"/>
    <x v="9"/>
    <n v="4.1867556587570789"/>
  </r>
  <r>
    <x v="0"/>
    <s v="Chase"/>
    <s v="1Point Rate"/>
    <s v="MTG"/>
    <x v="10"/>
    <n v="4.1543680910694123"/>
  </r>
  <r>
    <x v="0"/>
    <s v="Chase"/>
    <s v="1Point Rate"/>
    <s v="MTG"/>
    <x v="11"/>
    <n v="4.1248698203088709"/>
  </r>
  <r>
    <x v="0"/>
    <s v="Chase"/>
    <s v="1Point Rate"/>
    <s v="MTG"/>
    <x v="12"/>
    <n v="4.0627523635008007"/>
  </r>
  <r>
    <x v="0"/>
    <s v="Chase"/>
    <s v="1Point Rate"/>
    <s v="MTG"/>
    <x v="13"/>
    <n v="4.0923610563473902"/>
  </r>
  <r>
    <x v="0"/>
    <s v="Chase"/>
    <s v="1Point Rate"/>
    <s v="MTG"/>
    <x v="14"/>
    <n v="4.0923610563473902"/>
  </r>
  <r>
    <x v="0"/>
    <s v="Chase"/>
    <s v="1Point Rate"/>
    <s v="MTG"/>
    <x v="15"/>
    <n v="4.1231786353861342"/>
  </r>
  <r>
    <x v="0"/>
    <s v="Chase"/>
    <s v="1Point Rate"/>
    <s v="MTG"/>
    <x v="16"/>
    <n v="4.1231786353861342"/>
  </r>
  <r>
    <x v="0"/>
    <s v="Chase"/>
    <s v="1Point Rate"/>
    <s v="MTG"/>
    <x v="17"/>
    <n v="4.0936300339223344"/>
  </r>
  <r>
    <x v="0"/>
    <s v="Chase"/>
    <s v="1Point Rate"/>
    <s v="MTG"/>
    <x v="18"/>
    <n v="4.0610656170015185"/>
  </r>
  <r>
    <x v="0"/>
    <s v="Chase"/>
    <s v="1Point Rate"/>
    <s v="MTG"/>
    <x v="19"/>
    <n v="4.0936300339223344"/>
  </r>
  <r>
    <x v="0"/>
    <s v="Chase"/>
    <s v="1Point Rate"/>
    <s v="MTG"/>
    <x v="20"/>
    <n v="4.0936300339223344"/>
  </r>
  <r>
    <x v="0"/>
    <s v="Chase"/>
    <s v="1Point Rate"/>
    <s v="MTG"/>
    <x v="21"/>
    <n v="4.0936300339223344"/>
  </r>
  <r>
    <x v="0"/>
    <s v="Chase"/>
    <s v="1Point Rate"/>
    <s v="MTG"/>
    <x v="22"/>
    <n v="3.968948344733974"/>
  </r>
  <r>
    <x v="0"/>
    <s v="Quicken"/>
    <s v="1Point Rate"/>
    <s v="MTG"/>
    <x v="0"/>
    <n v="4.5215920109797576"/>
  </r>
  <r>
    <x v="0"/>
    <s v="Quicken"/>
    <s v="1Point Rate"/>
    <s v="MTG"/>
    <x v="1"/>
    <n v="4.58487342616412"/>
  </r>
  <r>
    <x v="0"/>
    <s v="Quicken"/>
    <s v="1Point Rate"/>
    <s v="MTG"/>
    <x v="2"/>
    <n v="4.5215920109797576"/>
  </r>
  <r>
    <x v="0"/>
    <s v="Quicken"/>
    <s v="1Point Rate"/>
    <s v="MTG"/>
    <x v="3"/>
    <n v="4.5733883757567257"/>
  </r>
  <r>
    <x v="0"/>
    <s v="Quicken"/>
    <s v="1Point Rate"/>
    <s v="MTG"/>
    <x v="4"/>
    <n v="4.5131838688757515"/>
  </r>
  <r>
    <x v="0"/>
    <s v="Quicken"/>
    <s v="1Point Rate"/>
    <s v="MTG"/>
    <x v="5"/>
    <n v="4.5417608906253868"/>
  </r>
  <r>
    <x v="0"/>
    <s v="Quicken"/>
    <s v="1Point Rate"/>
    <s v="MTG"/>
    <x v="6"/>
    <n v="4.6278726141585871"/>
  </r>
  <r>
    <x v="0"/>
    <s v="Quicken"/>
    <s v="1Point Rate"/>
    <s v="MTG"/>
    <x v="7"/>
    <n v="4.6393276238687271"/>
  </r>
  <r>
    <x v="0"/>
    <s v="Quicken"/>
    <s v="1Point Rate"/>
    <s v="MTG"/>
    <x v="8"/>
    <n v="4.623303488160051"/>
  </r>
  <r>
    <x v="0"/>
    <s v="Quicken"/>
    <s v="1Point Rate"/>
    <s v="MTG"/>
    <x v="9"/>
    <n v="4.5647651580417525"/>
  </r>
  <r>
    <x v="0"/>
    <s v="Quicken"/>
    <s v="1Point Rate"/>
    <s v="MTG"/>
    <x v="10"/>
    <n v="4.61355243920144"/>
  </r>
  <r>
    <x v="0"/>
    <s v="Quicken"/>
    <s v="1Point Rate"/>
    <s v="MTG"/>
    <x v="11"/>
    <n v="4.5590153608656223"/>
  </r>
  <r>
    <x v="0"/>
    <s v="Quicken"/>
    <s v="1Point Rate"/>
    <s v="MTG"/>
    <x v="12"/>
    <n v="4.5244737897027454"/>
  </r>
  <r>
    <x v="0"/>
    <s v="Quicken"/>
    <s v="1Point Rate"/>
    <s v="MTG"/>
    <x v="13"/>
    <n v="4.6020892685877657"/>
  </r>
  <r>
    <x v="0"/>
    <s v="Quicken"/>
    <s v="1Point Rate"/>
    <s v="MTG"/>
    <x v="14"/>
    <n v="4.6307417564501678"/>
  </r>
  <r>
    <x v="0"/>
    <s v="Quicken"/>
    <s v="1Point Rate"/>
    <s v="MTG"/>
    <x v="15"/>
    <n v="4.61355243920144"/>
  </r>
  <r>
    <x v="0"/>
    <s v="Quicken"/>
    <s v="1Point Rate"/>
    <s v="MTG"/>
    <x v="16"/>
    <n v="4.6421801086296943"/>
  </r>
  <r>
    <x v="0"/>
    <s v="Quicken"/>
    <s v="1Point Rate"/>
    <s v="MTG"/>
    <x v="17"/>
    <n v="4.5388826043032733"/>
  </r>
  <r>
    <x v="0"/>
    <s v="Quicken"/>
    <s v="1Point Rate"/>
    <s v="MTG"/>
    <x v="18"/>
    <n v="4.5391078806773386"/>
  </r>
  <r>
    <x v="0"/>
    <s v="Quicken"/>
    <s v="1Point Rate"/>
    <s v="MTG"/>
    <x v="19"/>
    <n v="4.5360038074512801"/>
  </r>
  <r>
    <x v="0"/>
    <s v="Quicken"/>
    <s v="1Point Rate"/>
    <s v="MTG"/>
    <x v="20"/>
    <n v="4.5331244999599418"/>
  </r>
  <r>
    <x v="0"/>
    <s v="Quicken"/>
    <s v="1Point Rate"/>
    <s v="MTG"/>
    <x v="21"/>
    <n v="4.5618946090091974"/>
  </r>
  <r>
    <x v="0"/>
    <s v="Quicken"/>
    <s v="1Point Rate"/>
    <s v="MTG"/>
    <x v="22"/>
    <n v="4.4987637218053917"/>
  </r>
  <r>
    <x v="0"/>
    <s v="Wells Fargo"/>
    <s v="1Point Rate"/>
    <s v="MTG"/>
    <x v="0"/>
    <n v="4.4906750935354101"/>
  </r>
  <r>
    <x v="0"/>
    <s v="Wells Fargo"/>
    <s v="1Point Rate"/>
    <s v="MTG"/>
    <x v="1"/>
    <n v="4.6782163696898609"/>
  </r>
  <r>
    <x v="0"/>
    <s v="Wells Fargo"/>
    <s v="1Point Rate"/>
    <s v="MTG"/>
    <x v="2"/>
    <n v="4.5542256765749203"/>
  </r>
  <r>
    <x v="0"/>
    <s v="Wells Fargo"/>
    <s v="1Point Rate"/>
    <s v="MTG"/>
    <x v="3"/>
    <n v="4.5531147075387262"/>
  </r>
  <r>
    <x v="0"/>
    <s v="Wells Fargo"/>
    <s v="1Point Rate"/>
    <s v="MTG"/>
    <x v="4"/>
    <n v="4.4894479147795909"/>
  </r>
  <r>
    <x v="0"/>
    <s v="Wells Fargo"/>
    <s v="1Point Rate"/>
    <s v="MTG"/>
    <x v="5"/>
    <n v="4.5531147075387262"/>
  </r>
  <r>
    <x v="0"/>
    <s v="Wells Fargo"/>
    <s v="1Point Rate"/>
    <s v="MTG"/>
    <x v="6"/>
    <n v="4.4894479147795909"/>
  </r>
  <r>
    <x v="0"/>
    <s v="Wells Fargo"/>
    <s v="1Point Rate"/>
    <s v="MTG"/>
    <x v="7"/>
    <n v="4.6147854086055808"/>
  </r>
  <r>
    <x v="0"/>
    <s v="Wells Fargo"/>
    <s v="1Point Rate"/>
    <s v="MTG"/>
    <x v="8"/>
    <n v="4.5079973351823694"/>
  </r>
  <r>
    <x v="0"/>
    <s v="Wells Fargo"/>
    <s v="1Point Rate"/>
    <s v="MTG"/>
    <x v="9"/>
    <n v="4.5542256765749203"/>
  </r>
  <r>
    <x v="0"/>
    <s v="Wells Fargo"/>
    <s v="1Point Rate"/>
    <s v="MTG"/>
    <x v="10"/>
    <n v="4.4906750935354101"/>
  </r>
  <r>
    <x v="0"/>
    <s v="Wells Fargo"/>
    <s v="1Point Rate"/>
    <s v="MTG"/>
    <x v="11"/>
    <n v="4.5542256765749203"/>
  </r>
  <r>
    <x v="0"/>
    <s v="Wells Fargo"/>
    <s v="1Point Rate"/>
    <s v="MTG"/>
    <x v="12"/>
    <n v="4.4906750935354101"/>
  </r>
  <r>
    <x v="0"/>
    <s v="Wells Fargo"/>
    <s v="1Point Rate"/>
    <s v="MTG"/>
    <x v="13"/>
    <n v="4.4906750935354101"/>
  </r>
  <r>
    <x v="0"/>
    <s v="Wells Fargo"/>
    <s v="1Point Rate"/>
    <s v="MTG"/>
    <x v="14"/>
    <n v="4.5531147075387262"/>
  </r>
  <r>
    <x v="0"/>
    <s v="Wells Fargo"/>
    <s v="1Point Rate"/>
    <s v="MTG"/>
    <x v="15"/>
    <n v="4.4894479147795909"/>
  </r>
  <r>
    <x v="0"/>
    <s v="Wells Fargo"/>
    <s v="1Point Rate"/>
    <s v="MTG"/>
    <x v="16"/>
    <n v="4.5531147075387262"/>
  </r>
  <r>
    <x v="0"/>
    <s v="Wells Fargo"/>
    <s v="1Point Rate"/>
    <s v="MTG"/>
    <x v="17"/>
    <n v="4.4286731677951829"/>
  </r>
  <r>
    <x v="0"/>
    <s v="Wells Fargo"/>
    <s v="1Point Rate"/>
    <s v="MTG"/>
    <x v="18"/>
    <n v="4.4286731677951829"/>
  </r>
  <r>
    <x v="0"/>
    <s v="Wells Fargo"/>
    <s v="1Point Rate"/>
    <s v="MTG"/>
    <x v="19"/>
    <n v="4.4286731677951829"/>
  </r>
  <r>
    <x v="0"/>
    <s v="Wells Fargo"/>
    <s v="1Point Rate"/>
    <s v="MTG"/>
    <x v="20"/>
    <n v="4.4894479147795909"/>
  </r>
  <r>
    <x v="0"/>
    <s v="Wells Fargo"/>
    <s v="1Point Rate"/>
    <s v="MTG"/>
    <x v="21"/>
    <n v="4.4894479147795909"/>
  </r>
  <r>
    <x v="0"/>
    <s v="Wells Fargo"/>
    <s v="1Point Rate"/>
    <s v="MTG"/>
    <x v="22"/>
    <n v="4.3188244659487021"/>
  </r>
  <r>
    <x v="1"/>
    <s v="Wells Fargo"/>
    <s v="1Point Rate"/>
    <s v="MTG"/>
    <x v="0"/>
    <n v="4.2592500000000006"/>
  </r>
  <r>
    <x v="1"/>
    <s v="Wells Fargo"/>
    <s v="1Point Rate"/>
    <s v="MTG"/>
    <x v="1"/>
    <n v="4.3228750000000007"/>
  </r>
  <r>
    <x v="1"/>
    <s v="Wells Fargo"/>
    <s v="1Point Rate"/>
    <s v="MTG"/>
    <x v="2"/>
    <n v="4.2910000000000004"/>
  </r>
  <r>
    <x v="1"/>
    <s v="Wells Fargo"/>
    <s v="1Point Rate"/>
    <s v="MTG"/>
    <x v="3"/>
    <n v="4.2592500000000006"/>
  </r>
  <r>
    <x v="1"/>
    <s v="Wells Fargo"/>
    <s v="1Point Rate"/>
    <s v="MTG"/>
    <x v="4"/>
    <n v="4.2906250000000004"/>
  </r>
  <r>
    <x v="1"/>
    <s v="Wells Fargo"/>
    <s v="1Point Rate"/>
    <s v="MTG"/>
    <x v="5"/>
    <n v="4.2910000000000004"/>
  </r>
  <r>
    <x v="1"/>
    <s v="Wells Fargo"/>
    <s v="1Point Rate"/>
    <s v="MTG"/>
    <x v="6"/>
    <n v="4.2592500000000006"/>
  </r>
  <r>
    <x v="1"/>
    <s v="Wells Fargo"/>
    <s v="1Point Rate"/>
    <s v="MTG"/>
    <x v="7"/>
    <n v="4.3228750000000007"/>
  </r>
  <r>
    <x v="1"/>
    <s v="Wells Fargo"/>
    <s v="1Point Rate"/>
    <s v="MTG"/>
    <x v="8"/>
    <n v="4.3864999999999998"/>
  </r>
  <r>
    <x v="1"/>
    <s v="Wells Fargo"/>
    <s v="1Point Rate"/>
    <s v="MTG"/>
    <x v="9"/>
    <n v="4.2910000000000004"/>
  </r>
  <r>
    <x v="1"/>
    <s v="Wells Fargo"/>
    <s v="1Point Rate"/>
    <s v="MTG"/>
    <x v="10"/>
    <n v="4.2592500000000006"/>
  </r>
  <r>
    <x v="1"/>
    <s v="Wells Fargo"/>
    <s v="1Point Rate"/>
    <s v="MTG"/>
    <x v="11"/>
    <n v="4.2592500000000006"/>
  </r>
  <r>
    <x v="1"/>
    <s v="Wells Fargo"/>
    <s v="1Point Rate"/>
    <s v="MTG"/>
    <x v="12"/>
    <n v="4.2592500000000006"/>
  </r>
  <r>
    <x v="1"/>
    <s v="Wells Fargo"/>
    <s v="1Point Rate"/>
    <s v="MTG"/>
    <x v="13"/>
    <n v="4.2910000000000004"/>
  </r>
  <r>
    <x v="1"/>
    <s v="Wells Fargo"/>
    <s v="1Point Rate"/>
    <s v="MTG"/>
    <x v="14"/>
    <n v="4.2906250000000004"/>
  </r>
  <r>
    <x v="1"/>
    <s v="Wells Fargo"/>
    <s v="1Point Rate"/>
    <s v="MTG"/>
    <x v="15"/>
    <n v="4.2906250000000004"/>
  </r>
  <r>
    <x v="1"/>
    <s v="Wells Fargo"/>
    <s v="1Point Rate"/>
    <s v="MTG"/>
    <x v="16"/>
    <n v="4.2592500000000006"/>
  </r>
  <r>
    <x v="1"/>
    <s v="Wells Fargo"/>
    <s v="1Point Rate"/>
    <s v="MTG"/>
    <x v="17"/>
    <n v="4.2588749999999997"/>
  </r>
  <r>
    <x v="1"/>
    <s v="Wells Fargo"/>
    <s v="1Point Rate"/>
    <s v="MTG"/>
    <x v="18"/>
    <n v="4.2588749999999997"/>
  </r>
  <r>
    <x v="1"/>
    <s v="Wells Fargo"/>
    <s v="1Point Rate"/>
    <s v="MTG"/>
    <x v="19"/>
    <n v="4.2906250000000004"/>
  </r>
  <r>
    <x v="1"/>
    <s v="Wells Fargo"/>
    <s v="1Point Rate"/>
    <s v="MTG"/>
    <x v="20"/>
    <n v="4.2906250000000004"/>
  </r>
  <r>
    <x v="1"/>
    <s v="Wells Fargo"/>
    <s v="1Point Rate"/>
    <s v="MTG"/>
    <x v="21"/>
    <n v="4.2906250000000004"/>
  </r>
  <r>
    <x v="1"/>
    <s v="Wells Fargo"/>
    <s v="1Point Rate"/>
    <s v="MTG"/>
    <x v="22"/>
    <n v="4.1630000000000003"/>
  </r>
  <r>
    <x v="2"/>
    <s v="Wells Fargo"/>
    <s v="1Point Rate"/>
    <s v="MTG"/>
    <x v="0"/>
    <n v="4.2717089165741537"/>
  </r>
  <r>
    <x v="2"/>
    <s v="Wells Fargo"/>
    <s v="1Point Rate"/>
    <s v="MTG"/>
    <x v="1"/>
    <n v="4.3773"/>
  </r>
  <r>
    <x v="2"/>
    <s v="Wells Fargo"/>
    <s v="1Point Rate"/>
    <s v="MTG"/>
    <x v="2"/>
    <n v="4.375438847121214"/>
  </r>
  <r>
    <x v="2"/>
    <s v="Wells Fargo"/>
    <s v="1Point Rate"/>
    <s v="MTG"/>
    <x v="3"/>
    <n v="4.2033105887459152"/>
  </r>
  <r>
    <x v="2"/>
    <s v="Wells Fargo"/>
    <s v="1Point Rate"/>
    <s v="MTG"/>
    <x v="4"/>
    <n v="4.1887316643249344"/>
  </r>
  <r>
    <x v="2"/>
    <s v="Wells Fargo"/>
    <s v="1Point Rate"/>
    <s v="MTG"/>
    <x v="5"/>
    <n v="4.2496377008409834"/>
  </r>
  <r>
    <x v="2"/>
    <s v="Wells Fargo"/>
    <s v="1Point Rate"/>
    <s v="MTG"/>
    <x v="6"/>
    <n v="4.2496377008409834"/>
  </r>
  <r>
    <x v="2"/>
    <s v="Wells Fargo"/>
    <s v="1Point Rate"/>
    <s v="MTG"/>
    <x v="7"/>
    <n v="4.4407683440906052"/>
  </r>
  <r>
    <x v="2"/>
    <s v="Wells Fargo"/>
    <s v="1Point Rate"/>
    <s v="MTG"/>
    <x v="8"/>
    <n v="4.5041620075276256"/>
  </r>
  <r>
    <x v="2"/>
    <s v="Wells Fargo"/>
    <s v="1Point Rate"/>
    <s v="MTG"/>
    <x v="9"/>
    <n v="4.3147493145490214"/>
  </r>
  <r>
    <x v="2"/>
    <s v="Wells Fargo"/>
    <s v="1Point Rate"/>
    <s v="MTG"/>
    <x v="10"/>
    <n v="4.2717089165741537"/>
  </r>
  <r>
    <x v="2"/>
    <s v="Wells Fargo"/>
    <s v="1Point Rate"/>
    <s v="MTG"/>
    <x v="11"/>
    <n v="4.3147493145490214"/>
  </r>
  <r>
    <x v="2"/>
    <s v="Wells Fargo"/>
    <s v="1Point Rate"/>
    <s v="MTG"/>
    <x v="12"/>
    <n v="4.2717089165741537"/>
  </r>
  <r>
    <x v="2"/>
    <s v="Wells Fargo"/>
    <s v="1Point Rate"/>
    <s v="MTG"/>
    <x v="13"/>
    <n v="4.2717089165741537"/>
  </r>
  <r>
    <x v="2"/>
    <s v="Wells Fargo"/>
    <s v="1Point Rate"/>
    <s v="MTG"/>
    <x v="14"/>
    <n v="4.2033105887459152"/>
  </r>
  <r>
    <x v="2"/>
    <s v="Wells Fargo"/>
    <s v="1Point Rate"/>
    <s v="MTG"/>
    <x v="15"/>
    <n v="4.2496377008409834"/>
  </r>
  <r>
    <x v="2"/>
    <s v="Wells Fargo"/>
    <s v="1Point Rate"/>
    <s v="MTG"/>
    <x v="16"/>
    <n v="4.2404589165741537"/>
  </r>
  <r>
    <x v="2"/>
    <s v="Wells Fargo"/>
    <s v="1Point Rate"/>
    <s v="MTG"/>
    <x v="17"/>
    <n v="4.1887316643249344"/>
  </r>
  <r>
    <x v="2"/>
    <s v="Wells Fargo"/>
    <s v="1Point Rate"/>
    <s v="MTG"/>
    <x v="18"/>
    <n v="4.145604497342033"/>
  </r>
  <r>
    <x v="2"/>
    <s v="Wells Fargo"/>
    <s v="1Point Rate"/>
    <s v="MTG"/>
    <x v="19"/>
    <n v="4.1887316643249344"/>
  </r>
  <r>
    <x v="2"/>
    <s v="Wells Fargo"/>
    <s v="1Point Rate"/>
    <s v="MTG"/>
    <x v="20"/>
    <n v="4.1887316643249344"/>
  </r>
  <r>
    <x v="2"/>
    <s v="Wells Fargo"/>
    <s v="1Point Rate"/>
    <s v="MTG"/>
    <x v="21"/>
    <n v="4.2496377008409834"/>
  </r>
  <r>
    <x v="2"/>
    <s v="Wells Fargo"/>
    <s v="1Point Rate"/>
    <s v="MTG"/>
    <x v="22"/>
    <n v="4.0771627490827687"/>
  </r>
  <r>
    <x v="3"/>
    <s v="Wells Fargo"/>
    <s v="1Point Rate"/>
    <s v="MTG"/>
    <x v="0"/>
    <n v="4.1873439755716797"/>
  </r>
  <r>
    <x v="3"/>
    <s v="Wells Fargo"/>
    <s v="1Point Rate"/>
    <s v="MTG"/>
    <x v="1"/>
    <n v="4.2186106422383469"/>
  </r>
  <r>
    <x v="3"/>
    <s v="Wells Fargo"/>
    <s v="1Point Rate"/>
    <s v="MTG"/>
    <x v="2"/>
    <n v="4.2186106422383469"/>
  </r>
  <r>
    <x v="3"/>
    <s v="Wells Fargo"/>
    <s v="1Point Rate"/>
    <s v="MTG"/>
    <x v="3"/>
    <n v="4.1237077500397357"/>
  </r>
  <r>
    <x v="3"/>
    <s v="Wells Fargo"/>
    <s v="1Point Rate"/>
    <s v="MTG"/>
    <x v="4"/>
    <n v="4.0612077500397348"/>
  </r>
  <r>
    <x v="3"/>
    <s v="Wells Fargo"/>
    <s v="1Point Rate"/>
    <s v="MTG"/>
    <x v="5"/>
    <n v="4.092474416706402"/>
  </r>
  <r>
    <x v="3"/>
    <s v="Wells Fargo"/>
    <s v="1Point Rate"/>
    <s v="MTG"/>
    <x v="6"/>
    <n v="4.092474416706402"/>
  </r>
  <r>
    <x v="3"/>
    <s v="Wells Fargo"/>
    <s v="1Point Rate"/>
    <s v="MTG"/>
    <x v="7"/>
    <n v="4.1873439755716797"/>
  </r>
  <r>
    <x v="3"/>
    <s v="Wells Fargo"/>
    <s v="1Point Rate"/>
    <s v="MTG"/>
    <x v="8"/>
    <n v="4.2498439755716797"/>
  </r>
  <r>
    <x v="3"/>
    <s v="Wells Fargo"/>
    <s v="1Point Rate"/>
    <s v="MTG"/>
    <x v="9"/>
    <n v="4.1873439755716797"/>
  </r>
  <r>
    <x v="3"/>
    <s v="Wells Fargo"/>
    <s v="1Point Rate"/>
    <s v="MTG"/>
    <x v="10"/>
    <n v="4.1237077500397357"/>
  </r>
  <r>
    <x v="3"/>
    <s v="Wells Fargo"/>
    <s v="1Point Rate"/>
    <s v="MTG"/>
    <x v="11"/>
    <n v="4.1817004181546098"/>
  </r>
  <r>
    <x v="3"/>
    <s v="Wells Fargo"/>
    <s v="1Point Rate"/>
    <s v="MTG"/>
    <x v="12"/>
    <n v="4.1237077500397357"/>
  </r>
  <r>
    <x v="3"/>
    <s v="Wells Fargo"/>
    <s v="1Point Rate"/>
    <s v="MTG"/>
    <x v="13"/>
    <n v="4.1817004181546098"/>
  </r>
  <r>
    <x v="3"/>
    <s v="Wells Fargo"/>
    <s v="1Point Rate"/>
    <s v="MTG"/>
    <x v="14"/>
    <n v="4.1237077500397357"/>
  </r>
  <r>
    <x v="3"/>
    <s v="Wells Fargo"/>
    <s v="1Point Rate"/>
    <s v="MTG"/>
    <x v="15"/>
    <n v="4.1237077500397357"/>
  </r>
  <r>
    <x v="3"/>
    <s v="Wells Fargo"/>
    <s v="1Point Rate"/>
    <s v="MTG"/>
    <x v="16"/>
    <n v="4.1237077500397357"/>
  </r>
  <r>
    <x v="3"/>
    <s v="Wells Fargo"/>
    <s v="1Point Rate"/>
    <s v="MTG"/>
    <x v="17"/>
    <n v="4.0612077500397348"/>
  </r>
  <r>
    <x v="3"/>
    <s v="Wells Fargo"/>
    <s v="1Point Rate"/>
    <s v="MTG"/>
    <x v="18"/>
    <n v="4.0557276764206129"/>
  </r>
  <r>
    <x v="3"/>
    <s v="Wells Fargo"/>
    <s v="1Point Rate"/>
    <s v="MTG"/>
    <x v="19"/>
    <n v="4.0557276764206129"/>
  </r>
  <r>
    <x v="3"/>
    <s v="Wells Fargo"/>
    <s v="1Point Rate"/>
    <s v="MTG"/>
    <x v="20"/>
    <n v="4.0557276764206129"/>
  </r>
  <r>
    <x v="3"/>
    <s v="Wells Fargo"/>
    <s v="1Point Rate"/>
    <s v="MTG"/>
    <x v="21"/>
    <n v="4.0557276764206129"/>
  </r>
  <r>
    <x v="3"/>
    <s v="Wells Fargo"/>
    <s v="1Point Rate"/>
    <s v="MTG"/>
    <x v="22"/>
    <n v="3.9663054830375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able2" cacheId="46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10">
  <location ref="M78:O102" firstHeaderRow="1" firstDataRow="2" firstDataCol="1"/>
  <pivotFields count="6">
    <pivotField showAll="0"/>
    <pivotField showAll="0"/>
    <pivotField axis="axisCol" showAll="0">
      <items count="3">
        <item n="FNMA 30-yr Current Coupon" x="1"/>
        <item n="30-Yr Conventional Servicing Spread" x="0"/>
        <item t="default"/>
      </items>
    </pivotField>
    <pivotField showAll="0"/>
    <pivotField axis="axisRow" showAll="0">
      <items count="122">
        <item m="1" x="112"/>
        <item m="1" x="24"/>
        <item m="1" x="31"/>
        <item m="1" x="39"/>
        <item m="1" x="66"/>
        <item m="1" x="57"/>
        <item m="1" x="67"/>
        <item m="1" x="76"/>
        <item m="1" x="84"/>
        <item m="1" x="52"/>
        <item m="1" x="60"/>
        <item m="1" x="70"/>
        <item m="1" x="78"/>
        <item m="1" x="109"/>
        <item m="1" x="118"/>
        <item m="1" x="30"/>
        <item m="1" x="23"/>
        <item m="1" x="46"/>
        <item m="1" x="55"/>
        <item m="1" x="64"/>
        <item m="1" x="74"/>
        <item m="1" x="82"/>
        <item m="1" x="103"/>
        <item m="1" x="106"/>
        <item m="1" x="116"/>
        <item m="1" x="27"/>
        <item m="1" x="34"/>
        <item m="1" x="29"/>
        <item m="1" x="53"/>
        <item m="1" x="61"/>
        <item m="1" x="71"/>
        <item m="1" x="79"/>
        <item m="1" x="86"/>
        <item m="1" x="95"/>
        <item m="1" x="102"/>
        <item m="1" x="100"/>
        <item m="1" x="110"/>
        <item m="1" x="119"/>
        <item m="1" x="44"/>
        <item m="1" x="54"/>
        <item m="1" x="63"/>
        <item m="1" x="73"/>
        <item m="1" x="65"/>
        <item m="1" x="89"/>
        <item m="1" x="96"/>
        <item m="1" x="104"/>
        <item m="1" x="113"/>
        <item m="1" x="25"/>
        <item m="1" x="33"/>
        <item m="1" x="41"/>
        <item m="1" x="49"/>
        <item m="1" x="58"/>
        <item m="1" x="68"/>
        <item m="1" x="91"/>
        <item m="1" x="98"/>
        <item m="1" x="107"/>
        <item m="1" x="99"/>
        <item m="1" x="108"/>
        <item m="1" x="35"/>
        <item m="1" x="42"/>
        <item m="1" x="50"/>
        <item m="1" x="59"/>
        <item m="1" x="69"/>
        <item m="1" x="80"/>
        <item m="1" x="87"/>
        <item m="1" x="93"/>
        <item m="1" x="101"/>
        <item m="1" x="111"/>
        <item m="1" x="37"/>
        <item m="1" x="45"/>
        <item m="1" x="38"/>
        <item m="1" x="47"/>
        <item m="1" x="56"/>
        <item m="1" x="90"/>
        <item m="1" x="97"/>
        <item m="1" x="105"/>
        <item m="1" x="114"/>
        <item m="1" x="115"/>
        <item m="1" x="26"/>
        <item m="1" x="32"/>
        <item m="1" x="40"/>
        <item m="1" x="48"/>
        <item m="1" x="75"/>
        <item m="1" x="83"/>
        <item m="1" x="77"/>
        <item m="1" x="85"/>
        <item m="1" x="92"/>
        <item m="1" x="117"/>
        <item m="1" x="28"/>
        <item m="1" x="36"/>
        <item m="1" x="43"/>
        <item m="1" x="51"/>
        <item m="1" x="62"/>
        <item m="1" x="72"/>
        <item m="1" x="81"/>
        <item m="1" x="88"/>
        <item m="1" x="94"/>
        <item m="1" x="1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</pivotFields>
  <rowFields count="1">
    <field x="4"/>
  </rowFields>
  <rowItems count="23"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</rowItems>
  <colFields count="1">
    <field x="2"/>
  </colFields>
  <colItems count="2">
    <i>
      <x/>
    </i>
    <i>
      <x v="1"/>
    </i>
  </colItems>
  <dataFields count="1">
    <dataField name="Average of SeriesNumValue" fld="5" subtotal="average" baseField="0" baseItem="0"/>
  </dataFields>
  <formats count="1">
    <format dxfId="39">
      <pivotArea dataOnly="0" labelOnly="1" fieldPosition="0">
        <references count="1">
          <reference field="4" count="0"/>
        </references>
      </pivotArea>
    </format>
  </formats>
  <chartFormats count="2">
    <chartFormat chart="8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52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29:K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">
        <item x="3"/>
        <item x="2"/>
        <item x="1"/>
        <item x="5"/>
        <item x="6"/>
        <item x="7"/>
        <item x="0"/>
        <item x="4"/>
        <item t="default"/>
      </items>
    </pivotField>
    <pivotField compact="0" outline="0" showAll="0"/>
    <pivotField axis="axisRow" compact="0" outline="0" showAll="0" defaultSubtotal="0">
      <items count="27">
        <item m="1" x="22"/>
        <item m="1" x="18"/>
        <item m="1" x="1"/>
        <item m="1" x="3"/>
        <item m="1" x="5"/>
        <item m="1" x="12"/>
        <item m="1" x="9"/>
        <item m="1" x="13"/>
        <item m="1" x="15"/>
        <item m="1" x="16"/>
        <item m="1" x="19"/>
        <item m="1" x="24"/>
        <item m="1" x="2"/>
        <item m="1" x="4"/>
        <item m="1" x="11"/>
        <item m="1" x="21"/>
        <item m="1" x="25"/>
        <item m="1" x="6"/>
        <item m="1" x="7"/>
        <item m="1" x="20"/>
        <item m="1" x="8"/>
        <item m="1" x="23"/>
        <item m="1" x="17"/>
        <item m="1" x="26"/>
        <item m="1" x="14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26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SeriesNumValue" fld="5" baseField="0" baseItem="0"/>
  </dataFields>
  <formats count="1">
    <format dxfId="40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RatesSummaryTable" cacheId="58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3:K12" firstHeaderRow="1" firstDataRow="2" firstDataCol="3"/>
  <pivotFields count="6"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29">
        <item m="1" x="23"/>
        <item m="1" x="25"/>
        <item m="1" x="2"/>
        <item m="1" x="1"/>
        <item m="1" x="6"/>
        <item m="1" x="9"/>
        <item m="1" x="15"/>
        <item m="1" x="12"/>
        <item m="1" x="16"/>
        <item m="1" x="19"/>
        <item m="1" x="21"/>
        <item m="1" x="24"/>
        <item m="1" x="27"/>
        <item m="1" x="3"/>
        <item m="1" x="7"/>
        <item m="1" x="4"/>
        <item m="1" x="18"/>
        <item m="1" x="28"/>
        <item m="1" x="10"/>
        <item m="1" x="11"/>
        <item m="1" x="13"/>
        <item m="1" x="8"/>
        <item m="1" x="14"/>
        <item m="1" x="26"/>
        <item m="1" x="22"/>
        <item m="1" x="5"/>
        <item m="1" x="20"/>
        <item m="1" x="1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8">
    <i>
      <x v="28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41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64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57:K66" firstHeaderRow="1" firstDataRow="2" firstDataCol="3"/>
  <pivotFields count="6"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24">
        <item m="1" x="22"/>
        <item m="1" x="1"/>
        <item m="1" x="20"/>
        <item m="1" x="2"/>
        <item m="1" x="5"/>
        <item m="1" x="7"/>
        <item m="1" x="11"/>
        <item m="1" x="10"/>
        <item m="1" x="12"/>
        <item m="1" x="13"/>
        <item m="1" x="14"/>
        <item m="1" x="4"/>
        <item m="1" x="15"/>
        <item m="1" x="18"/>
        <item m="1" x="21"/>
        <item m="1" x="23"/>
        <item m="1" x="17"/>
        <item m="1" x="19"/>
        <item m="1" x="9"/>
        <item m="1" x="8"/>
        <item m="1" x="16"/>
        <item m="1" x="6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23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42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68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9">
  <location ref="A78:E102" firstHeaderRow="1" firstDataRow="2" firstDataCol="1"/>
  <pivotFields count="6">
    <pivotField axis="axisCol" showAll="0">
      <items count="5">
        <item n="30Yr Conforming Conventional" x="0"/>
        <item n="30Yr Conforming FHA" x="1"/>
        <item n="30Yr Jumbo Conforming" x="2"/>
        <item n="30Yr Jumbo Non-Conforming" x="3"/>
        <item t="default"/>
      </items>
    </pivotField>
    <pivotField showAll="0"/>
    <pivotField showAll="0"/>
    <pivotField showAll="0"/>
    <pivotField axis="axisRow" showAll="0">
      <items count="108">
        <item m="1" x="99"/>
        <item m="1" x="23"/>
        <item m="1" x="29"/>
        <item m="1" x="37"/>
        <item m="1" x="59"/>
        <item m="1" x="52"/>
        <item m="1" x="60"/>
        <item m="1" x="67"/>
        <item m="1" x="73"/>
        <item m="1" x="94"/>
        <item m="1" x="103"/>
        <item m="1" x="26"/>
        <item m="1" x="32"/>
        <item m="1" x="28"/>
        <item m="1" x="49"/>
        <item m="1" x="55"/>
        <item m="1" x="63"/>
        <item m="1" x="69"/>
        <item m="1" x="75"/>
        <item m="1" x="84"/>
        <item m="1" x="91"/>
        <item m="1" x="89"/>
        <item m="1" x="97"/>
        <item m="1" x="105"/>
        <item m="1" x="42"/>
        <item m="1" x="50"/>
        <item m="1" x="57"/>
        <item m="1" x="65"/>
        <item m="1" x="58"/>
        <item m="1" x="78"/>
        <item m="1" x="85"/>
        <item m="1" x="92"/>
        <item m="1" x="100"/>
        <item m="1" x="24"/>
        <item m="1" x="31"/>
        <item m="1" x="39"/>
        <item m="1" x="46"/>
        <item m="1" x="53"/>
        <item m="1" x="61"/>
        <item m="1" x="80"/>
        <item m="1" x="87"/>
        <item m="1" x="95"/>
        <item m="1" x="88"/>
        <item m="1" x="96"/>
        <item m="1" x="33"/>
        <item m="1" x="40"/>
        <item m="1" x="47"/>
        <item m="1" x="54"/>
        <item m="1" x="62"/>
        <item m="1" x="70"/>
        <item m="1" x="76"/>
        <item m="1" x="82"/>
        <item m="1" x="90"/>
        <item m="1" x="98"/>
        <item m="1" x="35"/>
        <item m="1" x="43"/>
        <item m="1" x="36"/>
        <item m="1" x="44"/>
        <item m="1" x="51"/>
        <item m="1" x="79"/>
        <item m="1" x="86"/>
        <item m="1" x="93"/>
        <item m="1" x="101"/>
        <item m="1" x="102"/>
        <item m="1" x="25"/>
        <item m="1" x="30"/>
        <item m="1" x="38"/>
        <item m="1" x="45"/>
        <item m="1" x="66"/>
        <item m="1" x="72"/>
        <item m="1" x="68"/>
        <item m="1" x="74"/>
        <item m="1" x="81"/>
        <item m="1" x="104"/>
        <item m="1" x="27"/>
        <item m="1" x="34"/>
        <item m="1" x="41"/>
        <item m="1" x="48"/>
        <item m="1" x="56"/>
        <item m="1" x="64"/>
        <item m="1" x="71"/>
        <item m="1" x="77"/>
        <item m="1" x="83"/>
        <item m="1" x="10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</pivotFields>
  <rowFields count="1">
    <field x="4"/>
  </rowFields>
  <rowItems count="23"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Average of SeriesNumValue" fld="5" subtotal="average" baseField="0" baseItem="0"/>
  </dataFields>
  <formats count="1">
    <format dxfId="43">
      <pivotArea dataOnly="0" labelOnly="1" fieldPosition="0">
        <references count="1">
          <reference field="4" count="0"/>
        </references>
      </pivotArea>
    </format>
  </formats>
  <chartFormats count="4"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10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7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8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9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queryTables/queryTable7.xml><?xml version="1.0" encoding="utf-8"?>
<queryTable xmlns="http://schemas.openxmlformats.org/spreadsheetml/2006/main" name="Query from Agency_6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8.xml><?xml version="1.0" encoding="utf-8"?>
<queryTable xmlns="http://schemas.openxmlformats.org/spreadsheetml/2006/main" name="Query from Agency_7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9.xml><?xml version="1.0" encoding="utf-8"?>
<queryTable xmlns="http://schemas.openxmlformats.org/spreadsheetml/2006/main" name="Query from Agency_9" backgroundRefresh="0" adjustColumnWidth="0" connectionId="6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10.xml><?xml version="1.0" encoding="utf-8"?>
<queryTable xmlns="http://schemas.openxmlformats.org/spreadsheetml/2006/main" name="Query from Agency_10" backgroundRefresh="0" adjustColumnWidth="0" connectionId="5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1" name="CurrentMtgRatesDataTable" displayName="CurrentMtgRatesDataTable" ref="A6:F53" tableType="queryTable" totalsRowShown="0" headerRowDxfId="57" dataDxfId="56">
  <tableColumns count="6">
    <tableColumn id="3" uniqueName="3" name="Source" queryTableFieldId="44" dataDxfId="38" dataCellStyle="Normal 2 7"/>
    <tableColumn id="4" uniqueName="4" name="TickerName" queryTableFieldId="45" dataDxfId="37" dataCellStyle="Normal 2 7"/>
    <tableColumn id="5" uniqueName="5" name="SeriesType" queryTableFieldId="46" dataDxfId="36" dataCellStyle="Normal 2 7"/>
    <tableColumn id="6" uniqueName="6" name="Category" queryTableFieldId="47" dataDxfId="35" dataCellStyle="Normal 2 7"/>
    <tableColumn id="10" uniqueName="10" name="AsOfDate" queryTableFieldId="51" dataDxfId="34" dataCellStyle="Normal 2 7"/>
    <tableColumn id="11" uniqueName="11" name="SeriesNumValue" queryTableFieldId="52" dataDxfId="33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55" dataDxfId="54">
  <tableColumns count="6">
    <tableColumn id="2" uniqueName="2" name="TickerName" queryTableFieldId="57" dataDxfId="32"/>
    <tableColumn id="3" uniqueName="3" name="Source" queryTableFieldId="58" dataDxfId="31"/>
    <tableColumn id="4" uniqueName="4" name="SeriesType" queryTableFieldId="59" dataDxfId="30"/>
    <tableColumn id="5" uniqueName="5" name="Category" queryTableFieldId="60" dataDxfId="29"/>
    <tableColumn id="6" uniqueName="6" name="AsOfDate" queryTableFieldId="61" dataDxfId="28"/>
    <tableColumn id="7" uniqueName="7" name="SeriesNumValue" queryTableFieldId="62" dataDxfId="2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53" tableType="queryTable" totalsRowShown="0" headerRowDxfId="53" dataDxfId="52">
  <tableColumns count="6">
    <tableColumn id="2" uniqueName="2" name="TickerName" queryTableFieldId="57" dataDxfId="26" dataCellStyle="Normal 2 7"/>
    <tableColumn id="3" uniqueName="3" name="Source" queryTableFieldId="58" dataDxfId="25" dataCellStyle="Normal 2 7"/>
    <tableColumn id="4" uniqueName="4" name="SeriesType" queryTableFieldId="59" dataDxfId="24" dataCellStyle="Normal 2 7"/>
    <tableColumn id="5" uniqueName="5" name="Category" queryTableFieldId="60" dataDxfId="23" dataCellStyle="Normal 2 7"/>
    <tableColumn id="6" uniqueName="6" name="AsOfDate" queryTableFieldId="61" dataDxfId="22" dataCellStyle="Normal 2 7"/>
    <tableColumn id="7" uniqueName="7" name="SeriesNumValue" queryTableFieldId="62" dataDxfId="21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8" tableType="queryTable" totalsRowShown="0" headerRowDxfId="51" dataDxfId="50">
  <tableColumns count="3">
    <tableColumn id="2" uniqueName="2" name="TickerName" queryTableFieldId="57" dataDxfId="14" dataCellStyle="Normal 2 7"/>
    <tableColumn id="6" uniqueName="6" name="AsOfDate" queryTableFieldId="61" dataDxfId="13" dataCellStyle="Normal 2 7"/>
    <tableColumn id="7" uniqueName="7" name="SeriesNumValue" queryTableFieldId="62" dataDxfId="12" dataCellStyle="Normal 2 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8" name="OneWeekMtgRatesDataTable9" displayName="OneWeekMtgRatesDataTable9" ref="AC6:AH167" tableType="queryTable" totalsRowShown="0" headerRowDxfId="49" dataDxfId="48">
  <tableColumns count="6">
    <tableColumn id="2" uniqueName="2" name="TickerName" queryTableFieldId="57" dataDxfId="11" dataCellStyle="Normal 2 7"/>
    <tableColumn id="3" uniqueName="3" name="Source" queryTableFieldId="58" dataDxfId="10" dataCellStyle="Normal 2 7"/>
    <tableColumn id="4" uniqueName="4" name="SeriesType" queryTableFieldId="59" dataDxfId="9" dataCellStyle="Normal 2 7"/>
    <tableColumn id="5" uniqueName="5" name="Category" queryTableFieldId="60" dataDxfId="8" dataCellStyle="Normal 2 7"/>
    <tableColumn id="6" uniqueName="6" name="AsOfDate" queryTableFieldId="61" dataDxfId="7" dataCellStyle="Normal 2 7"/>
    <tableColumn id="7" uniqueName="7" name="SeriesNumValue" queryTableFieldId="62" dataDxfId="6" dataCellStyle="Normal 2 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9" name="TimeSeriesDataTable310" displayName="TimeSeriesDataTable310" ref="AB1:AB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id="10" name="OneWeekMtgRatesDataTable911" displayName="OneWeekMtgRatesDataTable911" ref="AJ6:AO121" tableType="queryTable" totalsRowShown="0" headerRowDxfId="47" dataDxfId="46">
  <tableColumns count="6">
    <tableColumn id="2" uniqueName="2" name="TickerName" queryTableFieldId="57" dataDxfId="5" dataCellStyle="Normal 2 7"/>
    <tableColumn id="3" uniqueName="3" name="Source" queryTableFieldId="58" dataDxfId="4" dataCellStyle="Normal 2 7"/>
    <tableColumn id="4" uniqueName="4" name="SeriesType" queryTableFieldId="59" dataDxfId="3" dataCellStyle="Normal 2 7"/>
    <tableColumn id="5" uniqueName="5" name="Category" queryTableFieldId="60" dataDxfId="2" dataCellStyle="Normal 2 7"/>
    <tableColumn id="6" uniqueName="6" name="AsOfDate" queryTableFieldId="61" dataDxfId="1" dataCellStyle="Normal 2 7"/>
    <tableColumn id="7" uniqueName="7" name="SeriesNumValue" queryTableFieldId="62" dataDxfId="0" dataCellStyle="Normal 2 7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7" name="OneWeekMtgRatesDataTable8" displayName="OneWeekMtgRatesDataTable8" ref="AR6:AW53" tableType="queryTable" totalsRowShown="0" headerRowDxfId="45" dataDxfId="44">
  <tableColumns count="6">
    <tableColumn id="2" uniqueName="2" name="TickerName" queryTableFieldId="57" dataDxfId="20" dataCellStyle="Normal 2 7"/>
    <tableColumn id="3" uniqueName="3" name="Source" queryTableFieldId="58" dataDxfId="19" dataCellStyle="Normal 2 7"/>
    <tableColumn id="4" uniqueName="4" name="SeriesType" queryTableFieldId="59" dataDxfId="18" dataCellStyle="Normal 2 7"/>
    <tableColumn id="5" uniqueName="5" name="Category" queryTableFieldId="60" dataDxfId="17" dataCellStyle="Normal 2 7"/>
    <tableColumn id="6" uniqueName="6" name="AsOfDate" queryTableFieldId="61" dataDxfId="16" dataCellStyle="Normal 2 7"/>
    <tableColumn id="7" uniqueName="7" name="SeriesNumValue" queryTableFieldId="62" dataDxfId="15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quickenloans.com/home-loans/30-year-fixed" TargetMode="External"/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hyperlink" Target="https://www.wellsfargo.com/mortgage/rates/refinance-assumptions/" TargetMode="Externa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hyperlink" Target="https://www.chase.com/mortgage/refinance-rate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://loans.bankofamerica.com/en/tools/todays-rates.html?rateType=refinance&amp;stateCode=CA&amp;update_rates_btn=Update+rates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://www.quickenloans.com/home-loans/30-year-fixed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A75"/>
  <sheetViews>
    <sheetView showGridLines="0" tabSelected="1" zoomScaleNormal="100" workbookViewId="0">
      <selection activeCell="C19" sqref="C19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1" width="10.42578125" style="1" customWidth="1"/>
    <col min="12" max="12" width="10.42578125" customWidth="1"/>
    <col min="13" max="13" width="10.42578125" style="1" customWidth="1"/>
    <col min="14" max="16" width="10.42578125" customWidth="1"/>
    <col min="17" max="17" width="9.5703125" style="1" customWidth="1"/>
    <col min="18" max="21" width="10.42578125" style="1" customWidth="1"/>
    <col min="22" max="22" width="7.7109375" customWidth="1"/>
    <col min="24" max="24" width="14.140625" customWidth="1"/>
    <col min="25" max="25" width="17.42578125" customWidth="1"/>
    <col min="26" max="26" width="14.85546875" bestFit="1" customWidth="1"/>
  </cols>
  <sheetData>
    <row r="1" spans="3:27">
      <c r="X1" s="71" t="s">
        <v>57</v>
      </c>
      <c r="Y1" s="126" t="s">
        <v>76</v>
      </c>
      <c r="Z1" t="s">
        <v>75</v>
      </c>
      <c r="AA1" s="72" t="s">
        <v>92</v>
      </c>
    </row>
    <row r="2" spans="3:27">
      <c r="X2" s="71" t="s">
        <v>58</v>
      </c>
      <c r="Y2" s="73">
        <v>42216</v>
      </c>
    </row>
    <row r="3" spans="3:27" s="1" customFormat="1">
      <c r="X3" s="71" t="s">
        <v>93</v>
      </c>
      <c r="Y3" s="126" t="s">
        <v>94</v>
      </c>
    </row>
    <row r="4" spans="3:27" s="1" customFormat="1">
      <c r="X4" s="71" t="s">
        <v>68</v>
      </c>
      <c r="Y4" s="126" t="str">
        <f>PDFReportDir &amp; "\Daily Originator Mortgage Rate Report " &amp; TEXT(CurrentCloseDate, "yyyy-mm-dd") &amp; ".pdf"</f>
        <v>S:\IT\Production\Daily Reports\Primary Market\tmp\\Daily Originator Mortgage Rate Report 2015-07-31.pdf</v>
      </c>
    </row>
    <row r="5" spans="3:27" s="1" customFormat="1">
      <c r="X5" s="41"/>
    </row>
    <row r="6" spans="3:27" s="1" customFormat="1">
      <c r="X6" s="41"/>
    </row>
    <row r="7" spans="3:27">
      <c r="Y7" s="1"/>
    </row>
    <row r="8" spans="3:27">
      <c r="C8" s="74" t="s">
        <v>95</v>
      </c>
    </row>
    <row r="9" spans="3:27" s="43" customFormat="1" ht="30.75" customHeight="1">
      <c r="C9" s="151" t="s">
        <v>16</v>
      </c>
      <c r="D9" s="183" t="s">
        <v>30</v>
      </c>
      <c r="E9" s="184"/>
      <c r="F9" s="184"/>
      <c r="G9" s="184" t="s">
        <v>0</v>
      </c>
      <c r="H9" s="184"/>
      <c r="I9" s="187"/>
      <c r="J9" s="152" t="s">
        <v>29</v>
      </c>
      <c r="K9" s="152" t="s">
        <v>9</v>
      </c>
      <c r="L9" s="152" t="s">
        <v>117</v>
      </c>
      <c r="M9" s="153" t="s">
        <v>115</v>
      </c>
      <c r="N9" s="152" t="s">
        <v>116</v>
      </c>
      <c r="O9" s="154" t="s">
        <v>28</v>
      </c>
      <c r="P9" s="153" t="s">
        <v>122</v>
      </c>
      <c r="Q9" s="152" t="s">
        <v>112</v>
      </c>
      <c r="R9" s="152" t="s">
        <v>121</v>
      </c>
      <c r="S9" s="152" t="s">
        <v>114</v>
      </c>
      <c r="T9" s="152" t="s">
        <v>120</v>
      </c>
      <c r="U9" s="154" t="s">
        <v>113</v>
      </c>
    </row>
    <row r="10" spans="3:27" s="84" customFormat="1" ht="18" customHeight="1">
      <c r="C10" s="118" t="s">
        <v>17</v>
      </c>
      <c r="D10" s="185">
        <f>'BoA - Conventional'!C4</f>
        <v>4.1250000000000002E-2</v>
      </c>
      <c r="E10" s="186"/>
      <c r="F10" s="186"/>
      <c r="G10" s="186">
        <f>'BoA - Conventional'!C5</f>
        <v>4.2939999999999999E-2</v>
      </c>
      <c r="H10" s="186"/>
      <c r="I10" s="188"/>
      <c r="J10" s="37">
        <f>'BoA - Conventional'!F5</f>
        <v>8.4399999999999996E-3</v>
      </c>
      <c r="K10" s="37">
        <f>'BoA - Conventional'!F6</f>
        <v>1.1517684427930223E-2</v>
      </c>
      <c r="L10" s="37">
        <f>'BoA - Conventional'!F7</f>
        <v>1.9957684427930222E-2</v>
      </c>
      <c r="M10" s="142">
        <f>N10-0.25%</f>
        <v>4.1239421106982553E-2</v>
      </c>
      <c r="N10" s="144">
        <f>'BoA - Conventional'!I4</f>
        <v>4.3739421106982555E-2</v>
      </c>
      <c r="O10" s="143">
        <f>N10-D$24</f>
        <v>1.4584339847358858E-2</v>
      </c>
      <c r="P10" s="47">
        <f>(N10-'Historic Result'!C5)*100*100</f>
        <v>-11.591662329531182</v>
      </c>
      <c r="Q10" s="36">
        <f>(O10-'Historic Result'!D5)*100*100</f>
        <v>-3.6979202454151539</v>
      </c>
      <c r="R10" s="36">
        <f>(N10-'Historic Result'!E5)*100*100</f>
        <v>-4.64653166684037</v>
      </c>
      <c r="S10" s="36">
        <f>(O10-'Historic Result'!F5)*100*100</f>
        <v>4.6833986785036439</v>
      </c>
      <c r="T10" s="36">
        <f>(N10-'Historic Result'!G5)*100*100</f>
        <v>-11.850277882032579</v>
      </c>
      <c r="U10" s="44">
        <f>(O10-'Historic Result'!H5)*100*100</f>
        <v>3.9269538509464561</v>
      </c>
    </row>
    <row r="11" spans="3:27" s="84" customFormat="1" ht="18" customHeight="1">
      <c r="C11" s="118" t="s">
        <v>18</v>
      </c>
      <c r="D11" s="185">
        <f>'Chase - Conventional'!C4</f>
        <v>0.04</v>
      </c>
      <c r="E11" s="186"/>
      <c r="F11" s="186"/>
      <c r="G11" s="186">
        <f>'Chase - Conventional'!C5</f>
        <v>4.0730000000000002E-2</v>
      </c>
      <c r="H11" s="186"/>
      <c r="I11" s="188"/>
      <c r="J11" s="37" t="s">
        <v>2</v>
      </c>
      <c r="K11" s="37" t="s">
        <v>2</v>
      </c>
      <c r="L11" s="37">
        <f>'Chase - Conventional'!F7</f>
        <v>8.7579337893589626E-3</v>
      </c>
      <c r="M11" s="142">
        <f t="shared" ref="M11:M13" si="0">N11-0.25%</f>
        <v>3.7189483447339737E-2</v>
      </c>
      <c r="N11" s="144">
        <f>'Chase - Conventional'!I4</f>
        <v>3.9689483447339739E-2</v>
      </c>
      <c r="O11" s="143">
        <f>N11-D$24</f>
        <v>1.0534402187716042E-2</v>
      </c>
      <c r="P11" s="47">
        <f>(N11-'Historic Result'!C6)*100*100</f>
        <v>-12.468168918836064</v>
      </c>
      <c r="Q11" s="36">
        <f>(O11-'Historic Result'!D6)*100*100</f>
        <v>-4.5744268347200361</v>
      </c>
      <c r="R11" s="36">
        <f>(N11-'Historic Result'!E6)*100*100</f>
        <v>-12.468168918836064</v>
      </c>
      <c r="S11" s="36">
        <f>(O11-'Historic Result'!F6)*100*100</f>
        <v>-3.1382385734920333</v>
      </c>
      <c r="T11" s="36">
        <f>(N11-'Historic Result'!G6)*100*100</f>
        <v>-18.504481222622605</v>
      </c>
      <c r="U11" s="44">
        <f>(O11-'Historic Result'!H6)*100*100</f>
        <v>-2.7272494896435697</v>
      </c>
    </row>
    <row r="12" spans="3:27" s="84" customFormat="1" ht="18" customHeight="1">
      <c r="C12" s="118" t="s">
        <v>19</v>
      </c>
      <c r="D12" s="185">
        <f>'Quicken - Conventional'!C4</f>
        <v>3.9900000000000005E-2</v>
      </c>
      <c r="E12" s="186"/>
      <c r="F12" s="186"/>
      <c r="G12" s="186">
        <f>'Quicken - Conventional'!C5</f>
        <v>4.2470000000000001E-2</v>
      </c>
      <c r="H12" s="186"/>
      <c r="I12" s="188"/>
      <c r="J12" s="37">
        <f>'Quicken - Conventional'!F5</f>
        <v>0.02</v>
      </c>
      <c r="K12" s="37">
        <f>'Quicken - Conventional'!F6</f>
        <v>1.0350548872215665E-2</v>
      </c>
      <c r="L12" s="37">
        <f>'Quicken - Conventional'!F7</f>
        <v>3.0350548872215666E-2</v>
      </c>
      <c r="M12" s="142">
        <f t="shared" si="0"/>
        <v>4.2487637218053917E-2</v>
      </c>
      <c r="N12" s="144">
        <f>'Quicken - Conventional'!I4</f>
        <v>4.4987637218053919E-2</v>
      </c>
      <c r="O12" s="143">
        <f>N12-D$24</f>
        <v>1.5832555958430222E-2</v>
      </c>
      <c r="P12" s="47">
        <f>(N12-'Historic Result'!C7)*100*100</f>
        <v>-6.313088720380569</v>
      </c>
      <c r="Q12" s="36">
        <f>(O12-'Historic Result'!D7)*100*100</f>
        <v>1.5806533637354598</v>
      </c>
      <c r="R12" s="36">
        <f>(N12-'Historic Result'!E7)*100*100</f>
        <v>-4.0118882497881119</v>
      </c>
      <c r="S12" s="36">
        <f>(O12-'Historic Result'!F7)*100*100</f>
        <v>5.3180420955559189</v>
      </c>
      <c r="T12" s="36">
        <f>(N12-'Historic Result'!G7)*100*100</f>
        <v>-2.2828289174365439</v>
      </c>
      <c r="U12" s="44">
        <f>(O12-'Historic Result'!H7)*100*100</f>
        <v>13.49440281554249</v>
      </c>
    </row>
    <row r="13" spans="3:27" s="84" customFormat="1" ht="18" customHeight="1">
      <c r="C13" s="83" t="s">
        <v>20</v>
      </c>
      <c r="D13" s="185">
        <f>CIR</f>
        <v>4.2500000000000003E-2</v>
      </c>
      <c r="E13" s="186"/>
      <c r="F13" s="186"/>
      <c r="G13" s="186">
        <f>CAPR</f>
        <v>4.2720000000000001E-2</v>
      </c>
      <c r="H13" s="186"/>
      <c r="I13" s="188"/>
      <c r="J13" s="37">
        <f>'Wells - Conventional'!F6</f>
        <v>2.6129786379480713E-3</v>
      </c>
      <c r="K13" s="37">
        <f>'Wells - Conventional'!F8</f>
        <v>1.014E-2</v>
      </c>
      <c r="L13" s="37">
        <f>'Wells - Conventional'!F9</f>
        <v>1.2752978637948071E-2</v>
      </c>
      <c r="M13" s="142">
        <f t="shared" si="0"/>
        <v>4.0688244659487019E-2</v>
      </c>
      <c r="N13" s="144">
        <f>'Wells - Conventional'!I4</f>
        <v>4.3188244659487021E-2</v>
      </c>
      <c r="O13" s="143">
        <f>N13-D$24</f>
        <v>1.4033163399863324E-2</v>
      </c>
      <c r="P13" s="47">
        <f>(N13-'Historic Result'!C8)*100*100</f>
        <v>-17.062344883088873</v>
      </c>
      <c r="Q13" s="36">
        <f>(O13-'Historic Result'!D8)*100*100</f>
        <v>-9.1686027989728434</v>
      </c>
      <c r="R13" s="36">
        <f>(N13-'Historic Result'!E8)*100*100</f>
        <v>-10.984870184648083</v>
      </c>
      <c r="S13" s="36">
        <f>(O13-'Historic Result'!F8)*100*100</f>
        <v>-1.6549398393040509</v>
      </c>
      <c r="T13" s="36">
        <f>(N13-'Historic Result'!G8)*100*100</f>
        <v>-17.185062758670806</v>
      </c>
      <c r="U13" s="44">
        <f>(O13-'Historic Result'!H8)*100*100</f>
        <v>-1.4078310256917734</v>
      </c>
    </row>
    <row r="14" spans="3:27" s="84" customFormat="1" ht="18" customHeight="1">
      <c r="C14" s="85" t="s">
        <v>21</v>
      </c>
      <c r="D14" s="173">
        <f>AVERAGE(D10:D13)</f>
        <v>4.0912500000000004E-2</v>
      </c>
      <c r="E14" s="171"/>
      <c r="F14" s="171"/>
      <c r="G14" s="171">
        <f>AVERAGE(G10:I13)</f>
        <v>4.2215000000000003E-2</v>
      </c>
      <c r="H14" s="171"/>
      <c r="I14" s="172"/>
      <c r="J14" s="58">
        <f>AVERAGE(J10,J12:J13)</f>
        <v>1.0350992879316024E-2</v>
      </c>
      <c r="K14" s="58">
        <f>AVERAGE(K10,K12:K13)</f>
        <v>1.0669411100048631E-2</v>
      </c>
      <c r="L14" s="58">
        <f>AVERAGE(L10,L12:L13)</f>
        <v>2.1020403979364652E-2</v>
      </c>
      <c r="M14" s="133">
        <f t="shared" ref="M14:N14" si="1">AVERAGE(M10:M13)</f>
        <v>4.0401196607965803E-2</v>
      </c>
      <c r="N14" s="131">
        <f t="shared" si="1"/>
        <v>4.2901196607965805E-2</v>
      </c>
      <c r="O14" s="132">
        <f>N14-D$24</f>
        <v>1.3746115348342108E-2</v>
      </c>
      <c r="P14" s="59">
        <f>AVERAGE(P10:P13)</f>
        <v>-11.858816212959173</v>
      </c>
      <c r="Q14" s="60">
        <f>AVERAGE(Q10:Q13)</f>
        <v>-3.9650741288431437</v>
      </c>
      <c r="R14" s="60">
        <f t="shared" ref="R14:U14" si="2">AVERAGE(R10:R13)</f>
        <v>-8.0278647550281566</v>
      </c>
      <c r="S14" s="60">
        <f t="shared" si="2"/>
        <v>1.3020655903158698</v>
      </c>
      <c r="T14" s="60">
        <f t="shared" si="2"/>
        <v>-12.455662695190632</v>
      </c>
      <c r="U14" s="61">
        <f t="shared" si="2"/>
        <v>3.3215690377884006</v>
      </c>
    </row>
    <row r="15" spans="3:27" s="84" customFormat="1" ht="18" customHeight="1">
      <c r="C15" s="80" t="s">
        <v>31</v>
      </c>
      <c r="D15" s="174" t="s">
        <v>30</v>
      </c>
      <c r="E15" s="175"/>
      <c r="F15" s="175"/>
      <c r="G15" s="175" t="s">
        <v>0</v>
      </c>
      <c r="H15" s="175"/>
      <c r="I15" s="180"/>
      <c r="J15" s="70"/>
      <c r="K15" s="70"/>
      <c r="L15" s="70"/>
      <c r="M15" s="134"/>
      <c r="N15" s="135"/>
      <c r="O15" s="139"/>
      <c r="P15" s="69"/>
      <c r="Q15" s="70"/>
      <c r="R15" s="149"/>
      <c r="S15" s="149"/>
      <c r="T15" s="149"/>
      <c r="U15" s="150"/>
    </row>
    <row r="16" spans="3:27" s="84" customFormat="1" ht="18" customHeight="1">
      <c r="C16" s="86" t="s">
        <v>20</v>
      </c>
      <c r="D16" s="176">
        <f>'Wells - Jumbo conformin'!C4</f>
        <v>4.2500000000000003E-2</v>
      </c>
      <c r="E16" s="177"/>
      <c r="F16" s="177"/>
      <c r="G16" s="177">
        <f>'Wells - Jumbo conformin'!C5</f>
        <v>4.2569999999999997E-2</v>
      </c>
      <c r="H16" s="177"/>
      <c r="I16" s="181"/>
      <c r="J16" s="62">
        <f>'Wells - Jumbo conformin'!F5</f>
        <v>8.3250996331074578E-4</v>
      </c>
      <c r="K16" s="62">
        <f>'Wells - Jumbo conformin'!F6</f>
        <v>2.2539999999999999E-3</v>
      </c>
      <c r="L16" s="62">
        <f>'Wells - Jumbo conformin'!F7</f>
        <v>3.0865099633107457E-3</v>
      </c>
      <c r="M16" s="136">
        <f t="shared" ref="M16" si="3">N16-0.25%</f>
        <v>3.8271627490827687E-2</v>
      </c>
      <c r="N16" s="145">
        <f>'Wells - Jumbo conformin'!I4</f>
        <v>4.0771627490827689E-2</v>
      </c>
      <c r="O16" s="140">
        <f>N16-D$24</f>
        <v>1.1616546231203992E-2</v>
      </c>
      <c r="P16" s="63">
        <f>(N16-'Historic Result'!C10)*100*100</f>
        <v>-17.247495175821413</v>
      </c>
      <c r="Q16" s="64">
        <f>(O16-'Historic Result'!D10)*100*100</f>
        <v>-9.3537530917053857</v>
      </c>
      <c r="R16" s="64">
        <f>(N16-'Historic Result'!E10)*100*100</f>
        <v>-11.156891524216547</v>
      </c>
      <c r="S16" s="64">
        <f>(O16-'Historic Result'!F10)*100*100</f>
        <v>-1.826961178872516</v>
      </c>
      <c r="T16" s="64">
        <f>(N16-'Historic Result'!G10)*100*100</f>
        <v>-19.454616749138495</v>
      </c>
      <c r="U16" s="65">
        <f>(O16-'Historic Result'!H10)*100*100</f>
        <v>-3.677385016159461</v>
      </c>
    </row>
    <row r="17" spans="3:21" s="84" customFormat="1" ht="18" customHeight="1">
      <c r="C17" s="81" t="s">
        <v>32</v>
      </c>
      <c r="D17" s="178" t="s">
        <v>30</v>
      </c>
      <c r="E17" s="179"/>
      <c r="F17" s="179"/>
      <c r="G17" s="179" t="s">
        <v>0</v>
      </c>
      <c r="H17" s="179"/>
      <c r="I17" s="182"/>
      <c r="J17" s="49"/>
      <c r="K17" s="49"/>
      <c r="L17" s="49"/>
      <c r="M17" s="137"/>
      <c r="N17" s="138"/>
      <c r="O17" s="141"/>
      <c r="P17" s="50"/>
      <c r="Q17" s="51"/>
      <c r="R17" s="51"/>
      <c r="S17" s="51"/>
      <c r="T17" s="51"/>
      <c r="U17" s="52"/>
    </row>
    <row r="18" spans="3:21" s="84" customFormat="1" ht="18" customHeight="1">
      <c r="C18" s="86" t="s">
        <v>20</v>
      </c>
      <c r="D18" s="176">
        <f>'Wells - Jumbo Non-conforming'!C4</f>
        <v>4.1250000000000002E-2</v>
      </c>
      <c r="E18" s="177"/>
      <c r="F18" s="177"/>
      <c r="G18" s="177">
        <f>'Wells - Jumbo Non-conforming'!C5</f>
        <v>4.1309999999999999E-2</v>
      </c>
      <c r="H18" s="177"/>
      <c r="I18" s="181"/>
      <c r="J18" s="62">
        <f>'Wells - Jumbo Non-conforming'!F5</f>
        <v>7.1888598816838289E-4</v>
      </c>
      <c r="K18" s="62">
        <f>'Wells - Jumbo Non-conforming'!F6</f>
        <v>2.9333333333333334E-3</v>
      </c>
      <c r="L18" s="62">
        <f>'Wells - Jumbo Non-conforming'!F7</f>
        <v>3.6522193215017163E-3</v>
      </c>
      <c r="M18" s="136">
        <f t="shared" ref="M18" si="4">N18-0.25%</f>
        <v>3.7163054830375429E-2</v>
      </c>
      <c r="N18" s="145">
        <f>'Wells - Jumbo Non-conforming'!I4</f>
        <v>3.9663054830375431E-2</v>
      </c>
      <c r="O18" s="140">
        <f>N18-D$24</f>
        <v>1.0507973570751734E-2</v>
      </c>
      <c r="P18" s="63">
        <f>(N18-'Historic Result'!C12)*100*100</f>
        <v>-8.9422193383070088</v>
      </c>
      <c r="Q18" s="64">
        <f>(O18-'Historic Result'!D12)*100*100</f>
        <v>-1.0484772541909104</v>
      </c>
      <c r="R18" s="64">
        <f>(N18-'Historic Result'!E12)*100*100</f>
        <v>-9.4902267002191376</v>
      </c>
      <c r="S18" s="64">
        <f>(O18-'Historic Result'!F12)*100*100</f>
        <v>-0.16029635487517513</v>
      </c>
      <c r="T18" s="64">
        <f>(N18-'Historic Result'!G12)*100*100</f>
        <v>-22.103849253413689</v>
      </c>
      <c r="U18" s="65">
        <f>(O18-'Historic Result'!H12)*100*100</f>
        <v>-6.3266175204346533</v>
      </c>
    </row>
    <row r="19" spans="3:21" s="84" customFormat="1" ht="18" customHeight="1">
      <c r="C19" s="82" t="s">
        <v>33</v>
      </c>
      <c r="D19" s="168" t="s">
        <v>30</v>
      </c>
      <c r="E19" s="169"/>
      <c r="F19" s="166" t="s">
        <v>34</v>
      </c>
      <c r="G19" s="166"/>
      <c r="H19" s="166" t="s">
        <v>35</v>
      </c>
      <c r="I19" s="167"/>
      <c r="J19" s="53"/>
      <c r="K19" s="53"/>
      <c r="L19" s="53"/>
      <c r="M19" s="129"/>
      <c r="N19" s="130"/>
      <c r="O19" s="54"/>
      <c r="P19" s="55"/>
      <c r="Q19" s="56"/>
      <c r="R19" s="56"/>
      <c r="S19" s="56"/>
      <c r="T19" s="56"/>
      <c r="U19" s="57"/>
    </row>
    <row r="20" spans="3:21" s="84" customFormat="1" ht="18" customHeight="1">
      <c r="C20" s="87" t="s">
        <v>20</v>
      </c>
      <c r="D20" s="164">
        <f>'Wells - FHA'!C4</f>
        <v>0.04</v>
      </c>
      <c r="E20" s="165"/>
      <c r="F20" s="165">
        <f>'Wells - FHA'!F4</f>
        <v>1.7500000000000002E-2</v>
      </c>
      <c r="G20" s="165"/>
      <c r="H20" s="165">
        <v>8.5000000000000006E-3</v>
      </c>
      <c r="I20" s="170"/>
      <c r="J20" s="68">
        <f>'Wells - FHA'!F5</f>
        <v>0</v>
      </c>
      <c r="K20" s="68">
        <f>'Wells - FHA'!F6</f>
        <v>1.652E-2</v>
      </c>
      <c r="L20" s="68">
        <f>'Wells - FHA'!F7</f>
        <v>1.652E-2</v>
      </c>
      <c r="M20" s="127">
        <f t="shared" ref="M20" si="5">N20-0.25%</f>
        <v>3.9129999999999998E-2</v>
      </c>
      <c r="N20" s="146">
        <f>'Wells - FHA'!I4</f>
        <v>4.163E-2</v>
      </c>
      <c r="O20" s="128">
        <f>N20-D25</f>
        <v>1.4191504327559102E-2</v>
      </c>
      <c r="P20" s="48">
        <f>(N20-'Historic Result'!C14)*100*100</f>
        <v>-12.762500000000065</v>
      </c>
      <c r="Q20" s="45">
        <f>(O20-'Historic Result'!D14)*100*100</f>
        <v>-4.4243976125839595</v>
      </c>
      <c r="R20" s="45">
        <f>(N20-'Historic Result'!E14)*100*100</f>
        <v>-9.5874999999999435</v>
      </c>
      <c r="S20" s="45">
        <f>(O20-'Historic Result'!F14)*100*100</f>
        <v>1.0943526104999213E-2</v>
      </c>
      <c r="T20" s="45">
        <f>(N20-'Historic Result'!G14)*100*100</f>
        <v>-9.6250000000000497</v>
      </c>
      <c r="U20" s="46">
        <f>(O20-'Historic Result'!H14)*100*100</f>
        <v>4.2015312721499498</v>
      </c>
    </row>
    <row r="21" spans="3:21" ht="13.5" customHeight="1">
      <c r="Q21" s="123" t="s">
        <v>85</v>
      </c>
    </row>
    <row r="22" spans="3:21" ht="13.5" customHeight="1">
      <c r="C22" s="74" t="s">
        <v>23</v>
      </c>
      <c r="D22" s="3"/>
      <c r="E22" s="3"/>
      <c r="F22" s="3"/>
      <c r="G22" s="3"/>
      <c r="H22" s="3"/>
      <c r="I22"/>
      <c r="J22"/>
      <c r="K22"/>
      <c r="P22" s="1"/>
    </row>
    <row r="23" spans="3:21" ht="18" customHeight="1">
      <c r="C23" s="88" t="s">
        <v>24</v>
      </c>
      <c r="D23" s="155" t="s">
        <v>25</v>
      </c>
      <c r="E23" s="156"/>
      <c r="F23" s="157"/>
      <c r="G23"/>
      <c r="H23"/>
      <c r="P23" s="1"/>
    </row>
    <row r="24" spans="3:21" ht="18" customHeight="1">
      <c r="C24" s="66" t="s">
        <v>26</v>
      </c>
      <c r="D24" s="158">
        <f>VLOOKUP(C24,'Time Series Query'!X12:Z13,3,0)</f>
        <v>2.9155081259623697E-2</v>
      </c>
      <c r="E24" s="159"/>
      <c r="F24" s="160"/>
      <c r="G24" s="27"/>
      <c r="H24" s="27"/>
      <c r="P24" s="1"/>
    </row>
    <row r="25" spans="3:21" ht="18" customHeight="1">
      <c r="C25" s="67" t="s">
        <v>27</v>
      </c>
      <c r="D25" s="161">
        <f>VLOOKUP(C25,'Time Series Query'!X13:Z14,3,0)</f>
        <v>2.7438495672440898E-2</v>
      </c>
      <c r="E25" s="162"/>
      <c r="F25" s="163"/>
      <c r="G25" s="27"/>
      <c r="H25" s="27"/>
      <c r="P25" s="1"/>
    </row>
    <row r="72" spans="18:21">
      <c r="R72" s="121" t="s">
        <v>84</v>
      </c>
      <c r="S72" s="120" t="s">
        <v>17</v>
      </c>
      <c r="T72" s="121" t="s">
        <v>84</v>
      </c>
      <c r="U72" s="120" t="s">
        <v>17</v>
      </c>
    </row>
    <row r="73" spans="18:21">
      <c r="R73" s="119"/>
      <c r="S73" s="120" t="s">
        <v>18</v>
      </c>
      <c r="T73" s="119"/>
      <c r="U73" s="120" t="s">
        <v>18</v>
      </c>
    </row>
    <row r="74" spans="18:21">
      <c r="R74" s="119"/>
      <c r="S74" s="120" t="s">
        <v>19</v>
      </c>
      <c r="T74" s="119"/>
      <c r="U74" s="120" t="s">
        <v>19</v>
      </c>
    </row>
    <row r="75" spans="18:21">
      <c r="R75" s="119"/>
      <c r="S75" s="122" t="s">
        <v>20</v>
      </c>
      <c r="T75" s="119"/>
      <c r="U75" s="122" t="s">
        <v>20</v>
      </c>
    </row>
  </sheetData>
  <mergeCells count="29">
    <mergeCell ref="G9:I9"/>
    <mergeCell ref="G10:I10"/>
    <mergeCell ref="G11:I11"/>
    <mergeCell ref="G12:I12"/>
    <mergeCell ref="G13:I13"/>
    <mergeCell ref="D9:F9"/>
    <mergeCell ref="D10:F10"/>
    <mergeCell ref="D11:F11"/>
    <mergeCell ref="D12:F12"/>
    <mergeCell ref="D13:F13"/>
    <mergeCell ref="H19:I19"/>
    <mergeCell ref="F19:G19"/>
    <mergeCell ref="D19:E19"/>
    <mergeCell ref="H20:I20"/>
    <mergeCell ref="G14:I14"/>
    <mergeCell ref="D14:F14"/>
    <mergeCell ref="D15:F15"/>
    <mergeCell ref="D16:F16"/>
    <mergeCell ref="D17:F17"/>
    <mergeCell ref="D18:F18"/>
    <mergeCell ref="G15:I15"/>
    <mergeCell ref="G16:I16"/>
    <mergeCell ref="G17:I17"/>
    <mergeCell ref="G18:I18"/>
    <mergeCell ref="D23:F23"/>
    <mergeCell ref="D24:F24"/>
    <mergeCell ref="D25:F25"/>
    <mergeCell ref="D20:E20"/>
    <mergeCell ref="F20:G20"/>
  </mergeCells>
  <conditionalFormatting sqref="P10:U20">
    <cfRule type="cellIs" dxfId="58" priority="1" operator="lessThan">
      <formula>0</formula>
    </cfRule>
  </conditionalFormatting>
  <dataValidations disablePrompts="1" count="2">
    <dataValidation type="list" allowBlank="1" showInputMessage="1" showErrorMessage="1" sqref="Y1">
      <formula1>"PROD, DEV"</formula1>
    </dataValidation>
    <dataValidation type="list" allowBlank="1" showInputMessage="1" showErrorMessage="1" sqref="AA1">
      <formula1>"Yes, No"</formula1>
    </dataValidation>
  </dataValidations>
  <hyperlinks>
    <hyperlink ref="S72" r:id="rId1" location="closeModal"/>
    <hyperlink ref="S73" r:id="rId2"/>
    <hyperlink ref="S75" r:id="rId3"/>
    <hyperlink ref="S74" r:id="rId4" location="key-benefits"/>
    <hyperlink ref="U72" r:id="rId5" location="closeModal"/>
    <hyperlink ref="U73" r:id="rId6"/>
    <hyperlink ref="U75" r:id="rId7"/>
    <hyperlink ref="U74" r:id="rId8" location="key-benefits"/>
  </hyperlinks>
  <pageMargins left="0.25" right="0.25" top="0.255" bottom="0.25" header="0.1" footer="0.1"/>
  <pageSetup scale="67" orientation="landscape" horizontalDpi="1200" verticalDpi="1200" r:id="rId9"/>
  <headerFooter scaleWithDoc="0">
    <oddHeader>&amp;L&amp;G&amp;C&amp;"-,Bold"&amp;10&amp;K2E398A
&amp;15Daily Originator Mortgage Rates&amp;R&amp;"-,Bold"&amp;10&amp;K2E398A
As of 07/31/2015</oddHeader>
    <oddFooter>&amp;L&amp;10&amp;K2E398AReport created on &amp;D &amp;T&amp;C&amp;G
&amp;8&amp;K2E398APage &amp;P of &amp;N</oddFooter>
  </headerFooter>
  <colBreaks count="1" manualBreakCount="1">
    <brk id="22" max="1048575" man="1"/>
  </colBreaks>
  <drawing r:id="rId10"/>
  <legacyDrawingHF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W267"/>
  <sheetViews>
    <sheetView topLeftCell="X1" workbookViewId="0">
      <selection activeCell="AW52" sqref="AW52"/>
    </sheetView>
  </sheetViews>
  <sheetFormatPr defaultRowHeight="12.75"/>
  <cols>
    <col min="1" max="1" width="13.85546875" style="38" customWidth="1"/>
    <col min="2" max="2" width="24.5703125" style="38" bestFit="1" customWidth="1"/>
    <col min="3" max="3" width="12.42578125" style="38" customWidth="1"/>
    <col min="4" max="4" width="8" style="38" customWidth="1"/>
    <col min="5" max="5" width="10.140625" style="38" customWidth="1"/>
    <col min="6" max="6" width="14.140625" style="38" bestFit="1" customWidth="1"/>
    <col min="7" max="7" width="9.7109375" style="38" bestFit="1" customWidth="1"/>
    <col min="8" max="8" width="10.140625" style="38" bestFit="1" customWidth="1"/>
    <col min="9" max="9" width="24.5703125" style="38" customWidth="1"/>
    <col min="10" max="10" width="13.85546875" style="38" customWidth="1"/>
    <col min="11" max="11" width="14.140625" style="38" customWidth="1"/>
    <col min="12" max="12" width="8" style="38" customWidth="1"/>
    <col min="13" max="13" width="10.140625" style="38" customWidth="1"/>
    <col min="14" max="14" width="14.140625" style="38" customWidth="1"/>
    <col min="15" max="15" width="10.140625" style="38" customWidth="1"/>
    <col min="16" max="16" width="10.140625" style="38" bestFit="1" customWidth="1"/>
    <col min="17" max="22" width="13.85546875" style="38" customWidth="1"/>
    <col min="23" max="23" width="13.7109375" style="38" customWidth="1"/>
    <col min="24" max="24" width="16.5703125" style="38" customWidth="1"/>
    <col min="25" max="25" width="12.7109375" style="38" bestFit="1" customWidth="1"/>
    <col min="26" max="27" width="8" style="38" customWidth="1"/>
    <col min="28" max="28" width="10.140625" style="38" customWidth="1"/>
    <col min="29" max="29" width="14.140625" style="38" customWidth="1"/>
    <col min="30" max="30" width="12.28515625" style="38" customWidth="1"/>
    <col min="31" max="31" width="8.42578125" style="38" bestFit="1" customWidth="1"/>
    <col min="32" max="32" width="15.28515625" style="38" bestFit="1" customWidth="1"/>
    <col min="33" max="33" width="9.85546875" style="38" bestFit="1" customWidth="1"/>
    <col min="34" max="34" width="10.28515625" style="38" bestFit="1" customWidth="1"/>
    <col min="35" max="35" width="11.42578125" style="38" bestFit="1" customWidth="1"/>
    <col min="36" max="40" width="12" style="38" bestFit="1" customWidth="1"/>
    <col min="41" max="41" width="8" style="38" bestFit="1" customWidth="1"/>
    <col min="42" max="42" width="12" style="38" bestFit="1" customWidth="1"/>
    <col min="43" max="43" width="5.7109375" style="38" bestFit="1" customWidth="1"/>
    <col min="44" max="49" width="13.85546875" style="38" customWidth="1"/>
    <col min="50" max="50" width="14.7109375" style="38" bestFit="1" customWidth="1"/>
    <col min="51" max="51" width="16" style="38" bestFit="1" customWidth="1"/>
    <col min="52" max="52" width="17.5703125" style="38" bestFit="1" customWidth="1"/>
    <col min="53" max="53" width="12.140625" style="38" bestFit="1" customWidth="1"/>
    <col min="54" max="54" width="8.5703125" style="38" bestFit="1" customWidth="1"/>
    <col min="55" max="55" width="15.28515625" style="38" customWidth="1"/>
    <col min="56" max="56" width="11.7109375" style="38" bestFit="1" customWidth="1"/>
    <col min="57" max="57" width="10.28515625" style="38" bestFit="1" customWidth="1"/>
    <col min="58" max="58" width="12" style="38" bestFit="1" customWidth="1"/>
    <col min="59" max="59" width="14.42578125" style="38" customWidth="1"/>
    <col min="60" max="60" width="18.5703125" style="38" bestFit="1" customWidth="1"/>
    <col min="61" max="61" width="10.7109375" style="38" bestFit="1" customWidth="1"/>
    <col min="62" max="62" width="16.42578125" style="38" bestFit="1" customWidth="1"/>
    <col min="63" max="63" width="16.140625" style="38" bestFit="1" customWidth="1"/>
    <col min="64" max="64" width="14.42578125" style="38" customWidth="1"/>
    <col min="65" max="65" width="12.28515625" style="38" customWidth="1"/>
    <col min="66" max="16384" width="9.140625" style="38"/>
  </cols>
  <sheetData>
    <row r="1" spans="1:49">
      <c r="G1" s="38" t="s">
        <v>62</v>
      </c>
      <c r="H1" s="38" t="s">
        <v>59</v>
      </c>
      <c r="O1" s="38" t="s">
        <v>61</v>
      </c>
      <c r="P1" s="38" t="s">
        <v>59</v>
      </c>
      <c r="AA1" s="38" t="s">
        <v>83</v>
      </c>
      <c r="AB1" s="38" t="s">
        <v>59</v>
      </c>
    </row>
    <row r="2" spans="1:49">
      <c r="H2" s="38" t="s">
        <v>123</v>
      </c>
      <c r="P2" s="38" t="s">
        <v>124</v>
      </c>
      <c r="AB2" s="38" t="s">
        <v>98</v>
      </c>
    </row>
    <row r="5" spans="1:49" ht="23.25">
      <c r="A5" s="75" t="s">
        <v>63</v>
      </c>
      <c r="H5" s="75"/>
      <c r="I5" s="75" t="s">
        <v>60</v>
      </c>
      <c r="P5" s="75"/>
      <c r="Q5" s="75" t="s">
        <v>64</v>
      </c>
      <c r="R5" s="75"/>
      <c r="S5" s="75"/>
      <c r="T5" s="75"/>
      <c r="U5" s="75"/>
      <c r="V5" s="75"/>
      <c r="X5" s="75" t="s">
        <v>23</v>
      </c>
      <c r="AC5" s="75" t="s">
        <v>86</v>
      </c>
      <c r="AF5" s="75"/>
      <c r="AJ5" s="75" t="s">
        <v>87</v>
      </c>
      <c r="AM5" s="75"/>
      <c r="AR5" s="75" t="s">
        <v>118</v>
      </c>
      <c r="AS5" s="75"/>
      <c r="AT5" s="75"/>
      <c r="AU5" s="75"/>
      <c r="AV5" s="75"/>
      <c r="AW5" s="75"/>
    </row>
    <row r="6" spans="1:49" s="78" customFormat="1">
      <c r="A6" s="78" t="s">
        <v>45</v>
      </c>
      <c r="B6" s="78" t="s">
        <v>46</v>
      </c>
      <c r="C6" s="78" t="s">
        <v>47</v>
      </c>
      <c r="D6" s="78" t="s">
        <v>48</v>
      </c>
      <c r="E6" s="78" t="s">
        <v>49</v>
      </c>
      <c r="F6" s="78" t="s">
        <v>50</v>
      </c>
      <c r="I6" s="78" t="s">
        <v>46</v>
      </c>
      <c r="J6" s="78" t="s">
        <v>45</v>
      </c>
      <c r="K6" s="78" t="s">
        <v>47</v>
      </c>
      <c r="L6" s="78" t="s">
        <v>48</v>
      </c>
      <c r="M6" s="78" t="s">
        <v>49</v>
      </c>
      <c r="N6" s="78" t="s">
        <v>50</v>
      </c>
      <c r="Q6" s="78" t="s">
        <v>46</v>
      </c>
      <c r="R6" s="78" t="s">
        <v>45</v>
      </c>
      <c r="S6" s="78" t="s">
        <v>47</v>
      </c>
      <c r="T6" s="78" t="s">
        <v>48</v>
      </c>
      <c r="U6" s="78" t="s">
        <v>49</v>
      </c>
      <c r="V6" s="78" t="s">
        <v>50</v>
      </c>
      <c r="X6" s="78" t="s">
        <v>46</v>
      </c>
      <c r="Y6" s="78" t="s">
        <v>49</v>
      </c>
      <c r="Z6" s="78" t="s">
        <v>50</v>
      </c>
      <c r="AC6" s="78" t="s">
        <v>46</v>
      </c>
      <c r="AD6" s="78" t="s">
        <v>45</v>
      </c>
      <c r="AE6" s="78" t="s">
        <v>47</v>
      </c>
      <c r="AF6" s="78" t="s">
        <v>48</v>
      </c>
      <c r="AG6" s="78" t="s">
        <v>49</v>
      </c>
      <c r="AH6" s="78" t="s">
        <v>50</v>
      </c>
      <c r="AJ6" s="78" t="s">
        <v>46</v>
      </c>
      <c r="AK6" s="78" t="s">
        <v>45</v>
      </c>
      <c r="AL6" s="78" t="s">
        <v>47</v>
      </c>
      <c r="AM6" s="78" t="s">
        <v>48</v>
      </c>
      <c r="AN6" s="78" t="s">
        <v>49</v>
      </c>
      <c r="AO6" s="78" t="s">
        <v>50</v>
      </c>
      <c r="AR6" s="78" t="s">
        <v>46</v>
      </c>
      <c r="AS6" s="78" t="s">
        <v>45</v>
      </c>
      <c r="AT6" s="78" t="s">
        <v>47</v>
      </c>
      <c r="AU6" s="78" t="s">
        <v>48</v>
      </c>
      <c r="AV6" s="78" t="s">
        <v>49</v>
      </c>
      <c r="AW6" s="78" t="s">
        <v>50</v>
      </c>
    </row>
    <row r="7" spans="1:49" s="78" customFormat="1">
      <c r="A7" s="78" t="s">
        <v>17</v>
      </c>
      <c r="B7" s="78" t="s">
        <v>52</v>
      </c>
      <c r="C7" s="78" t="s">
        <v>72</v>
      </c>
      <c r="D7" s="78" t="s">
        <v>51</v>
      </c>
      <c r="E7" s="79" t="s">
        <v>125</v>
      </c>
      <c r="F7" s="78">
        <v>4.3739421106982554</v>
      </c>
      <c r="I7" s="78" t="s">
        <v>52</v>
      </c>
      <c r="J7" s="78" t="s">
        <v>17</v>
      </c>
      <c r="K7" s="78" t="s">
        <v>72</v>
      </c>
      <c r="L7" s="78" t="s">
        <v>51</v>
      </c>
      <c r="M7" s="78" t="s">
        <v>123</v>
      </c>
      <c r="N7" s="78">
        <v>4.4898587339935672</v>
      </c>
      <c r="Q7" s="78" t="s">
        <v>52</v>
      </c>
      <c r="R7" s="78" t="s">
        <v>17</v>
      </c>
      <c r="S7" s="78" t="s">
        <v>72</v>
      </c>
      <c r="T7" s="78" t="s">
        <v>51</v>
      </c>
      <c r="U7" s="78" t="s">
        <v>124</v>
      </c>
      <c r="V7" s="78">
        <v>4.4204074273666594</v>
      </c>
      <c r="X7" s="78" t="s">
        <v>74</v>
      </c>
      <c r="Y7" s="78" t="s">
        <v>125</v>
      </c>
      <c r="Z7" s="78">
        <v>2.9155081259623699</v>
      </c>
      <c r="AC7" s="78" t="s">
        <v>52</v>
      </c>
      <c r="AD7" s="78" t="s">
        <v>17</v>
      </c>
      <c r="AE7" s="78" t="s">
        <v>72</v>
      </c>
      <c r="AF7" s="78" t="s">
        <v>51</v>
      </c>
      <c r="AG7" s="78" t="s">
        <v>98</v>
      </c>
      <c r="AH7" s="78">
        <v>4.4924448895185813</v>
      </c>
      <c r="AJ7" s="78" t="s">
        <v>52</v>
      </c>
      <c r="AK7" s="78" t="s">
        <v>17</v>
      </c>
      <c r="AL7" s="78" t="s">
        <v>28</v>
      </c>
      <c r="AM7" s="78" t="s">
        <v>51</v>
      </c>
      <c r="AN7" s="78" t="s">
        <v>98</v>
      </c>
      <c r="AO7" s="78">
        <v>1.4191644462264212</v>
      </c>
      <c r="AR7" s="78" t="s">
        <v>52</v>
      </c>
      <c r="AS7" s="78" t="s">
        <v>17</v>
      </c>
      <c r="AT7" s="78" t="s">
        <v>72</v>
      </c>
      <c r="AU7" s="78" t="s">
        <v>51</v>
      </c>
      <c r="AV7" s="78" t="s">
        <v>98</v>
      </c>
      <c r="AW7" s="78">
        <v>4.4924448895185813</v>
      </c>
    </row>
    <row r="8" spans="1:49" s="78" customFormat="1">
      <c r="A8" s="147" t="s">
        <v>17</v>
      </c>
      <c r="B8" s="147" t="s">
        <v>52</v>
      </c>
      <c r="C8" s="147" t="s">
        <v>0</v>
      </c>
      <c r="D8" s="147" t="s">
        <v>51</v>
      </c>
      <c r="E8" s="148" t="s">
        <v>125</v>
      </c>
      <c r="F8" s="147">
        <v>4.2939999999999996</v>
      </c>
      <c r="I8" s="76" t="s">
        <v>52</v>
      </c>
      <c r="J8" s="76" t="s">
        <v>17</v>
      </c>
      <c r="K8" s="76" t="s">
        <v>0</v>
      </c>
      <c r="L8" s="76" t="s">
        <v>51</v>
      </c>
      <c r="M8" s="76" t="s">
        <v>123</v>
      </c>
      <c r="N8" s="76">
        <v>4.3339999999999996</v>
      </c>
      <c r="Q8" s="78" t="s">
        <v>52</v>
      </c>
      <c r="R8" s="78" t="s">
        <v>17</v>
      </c>
      <c r="S8" s="78" t="s">
        <v>0</v>
      </c>
      <c r="T8" s="78" t="s">
        <v>51</v>
      </c>
      <c r="U8" s="78" t="s">
        <v>124</v>
      </c>
      <c r="V8" s="78">
        <v>4.3099999999999996</v>
      </c>
      <c r="X8" s="78" t="s">
        <v>73</v>
      </c>
      <c r="Y8" s="78" t="s">
        <v>125</v>
      </c>
      <c r="Z8" s="78">
        <v>2.7438495672440899</v>
      </c>
      <c r="AA8" s="115"/>
      <c r="AC8" s="78" t="s">
        <v>52</v>
      </c>
      <c r="AD8" s="78" t="s">
        <v>17</v>
      </c>
      <c r="AE8" s="78" t="s">
        <v>72</v>
      </c>
      <c r="AF8" s="78" t="s">
        <v>51</v>
      </c>
      <c r="AG8" s="78" t="s">
        <v>96</v>
      </c>
      <c r="AH8" s="78">
        <v>4.6333392501361672</v>
      </c>
      <c r="AJ8" s="78" t="s">
        <v>52</v>
      </c>
      <c r="AK8" s="78" t="s">
        <v>17</v>
      </c>
      <c r="AL8" s="78" t="s">
        <v>28</v>
      </c>
      <c r="AM8" s="78" t="s">
        <v>51</v>
      </c>
      <c r="AN8" s="78" t="s">
        <v>96</v>
      </c>
      <c r="AO8" s="78">
        <v>1.4705739977736068</v>
      </c>
      <c r="AR8" s="78" t="s">
        <v>52</v>
      </c>
      <c r="AS8" s="78" t="s">
        <v>17</v>
      </c>
      <c r="AT8" s="78" t="s">
        <v>0</v>
      </c>
      <c r="AU8" s="78" t="s">
        <v>51</v>
      </c>
      <c r="AV8" s="78" t="s">
        <v>98</v>
      </c>
      <c r="AW8" s="78">
        <v>4.4180000000000001</v>
      </c>
    </row>
    <row r="9" spans="1:49" s="78" customFormat="1">
      <c r="A9" s="147" t="s">
        <v>17</v>
      </c>
      <c r="B9" s="147" t="s">
        <v>52</v>
      </c>
      <c r="C9" s="147" t="s">
        <v>7</v>
      </c>
      <c r="D9" s="147" t="s">
        <v>51</v>
      </c>
      <c r="E9" s="148" t="s">
        <v>125</v>
      </c>
      <c r="F9" s="147">
        <v>0.84399999999999997</v>
      </c>
      <c r="I9" s="76" t="s">
        <v>52</v>
      </c>
      <c r="J9" s="76" t="s">
        <v>17</v>
      </c>
      <c r="K9" s="76" t="s">
        <v>7</v>
      </c>
      <c r="L9" s="76" t="s">
        <v>51</v>
      </c>
      <c r="M9" s="76" t="s">
        <v>123</v>
      </c>
      <c r="N9" s="76">
        <v>1.3089999999999999</v>
      </c>
      <c r="Q9" s="78" t="s">
        <v>52</v>
      </c>
      <c r="R9" s="78" t="s">
        <v>17</v>
      </c>
      <c r="S9" s="78" t="s">
        <v>7</v>
      </c>
      <c r="T9" s="78" t="s">
        <v>51</v>
      </c>
      <c r="U9" s="78" t="s">
        <v>124</v>
      </c>
      <c r="V9" s="78">
        <v>1.032</v>
      </c>
      <c r="AC9" s="78" t="s">
        <v>52</v>
      </c>
      <c r="AD9" s="78" t="s">
        <v>17</v>
      </c>
      <c r="AE9" s="78" t="s">
        <v>72</v>
      </c>
      <c r="AF9" s="78" t="s">
        <v>51</v>
      </c>
      <c r="AG9" s="78" t="s">
        <v>97</v>
      </c>
      <c r="AH9" s="78">
        <v>4.5673569234199736</v>
      </c>
      <c r="AJ9" s="78" t="s">
        <v>52</v>
      </c>
      <c r="AK9" s="78" t="s">
        <v>17</v>
      </c>
      <c r="AL9" s="78" t="s">
        <v>28</v>
      </c>
      <c r="AM9" s="78" t="s">
        <v>51</v>
      </c>
      <c r="AN9" s="78" t="s">
        <v>97</v>
      </c>
      <c r="AO9" s="78">
        <v>1.4344115256412833</v>
      </c>
      <c r="AR9" s="78" t="s">
        <v>52</v>
      </c>
      <c r="AS9" s="78" t="s">
        <v>17</v>
      </c>
      <c r="AT9" s="78" t="s">
        <v>7</v>
      </c>
      <c r="AU9" s="78" t="s">
        <v>51</v>
      </c>
      <c r="AV9" s="78" t="s">
        <v>98</v>
      </c>
      <c r="AW9" s="78">
        <v>0.81499999999999995</v>
      </c>
    </row>
    <row r="10" spans="1:49" s="78" customFormat="1">
      <c r="A10" s="147" t="s">
        <v>17</v>
      </c>
      <c r="B10" s="147" t="s">
        <v>52</v>
      </c>
      <c r="C10" s="147" t="s">
        <v>25</v>
      </c>
      <c r="D10" s="147" t="s">
        <v>51</v>
      </c>
      <c r="E10" s="148" t="s">
        <v>125</v>
      </c>
      <c r="F10" s="147">
        <v>4.125</v>
      </c>
      <c r="I10" s="76" t="s">
        <v>52</v>
      </c>
      <c r="J10" s="76" t="s">
        <v>17</v>
      </c>
      <c r="K10" s="76" t="s">
        <v>25</v>
      </c>
      <c r="L10" s="76" t="s">
        <v>51</v>
      </c>
      <c r="M10" s="76" t="s">
        <v>123</v>
      </c>
      <c r="N10" s="76">
        <v>4.125</v>
      </c>
      <c r="Q10" s="78" t="s">
        <v>52</v>
      </c>
      <c r="R10" s="78" t="s">
        <v>17</v>
      </c>
      <c r="S10" s="78" t="s">
        <v>25</v>
      </c>
      <c r="T10" s="78" t="s">
        <v>51</v>
      </c>
      <c r="U10" s="78" t="s">
        <v>124</v>
      </c>
      <c r="V10" s="78">
        <v>4.125</v>
      </c>
      <c r="AC10" s="78" t="s">
        <v>52</v>
      </c>
      <c r="AD10" s="78" t="s">
        <v>17</v>
      </c>
      <c r="AE10" s="78" t="s">
        <v>72</v>
      </c>
      <c r="AF10" s="78" t="s">
        <v>51</v>
      </c>
      <c r="AG10" s="78" t="s">
        <v>101</v>
      </c>
      <c r="AH10" s="78">
        <v>4.4953324873966052</v>
      </c>
      <c r="AJ10" s="78" t="s">
        <v>52</v>
      </c>
      <c r="AK10" s="78" t="s">
        <v>17</v>
      </c>
      <c r="AL10" s="78" t="s">
        <v>28</v>
      </c>
      <c r="AM10" s="78" t="s">
        <v>51</v>
      </c>
      <c r="AN10" s="78" t="s">
        <v>101</v>
      </c>
      <c r="AO10" s="78">
        <v>1.4543697678100846</v>
      </c>
      <c r="AR10" s="78" t="s">
        <v>52</v>
      </c>
      <c r="AS10" s="78" t="s">
        <v>17</v>
      </c>
      <c r="AT10" s="78" t="s">
        <v>25</v>
      </c>
      <c r="AU10" s="78" t="s">
        <v>51</v>
      </c>
      <c r="AV10" s="78" t="s">
        <v>98</v>
      </c>
      <c r="AW10" s="78">
        <v>4.25</v>
      </c>
    </row>
    <row r="11" spans="1:49" s="78" customFormat="1">
      <c r="A11" s="147" t="s">
        <v>17</v>
      </c>
      <c r="B11" s="147" t="s">
        <v>52</v>
      </c>
      <c r="C11" s="147" t="s">
        <v>28</v>
      </c>
      <c r="D11" s="147" t="s">
        <v>51</v>
      </c>
      <c r="E11" s="148" t="s">
        <v>125</v>
      </c>
      <c r="F11" s="147">
        <v>1.4584339847358858</v>
      </c>
      <c r="I11" s="76" t="s">
        <v>52</v>
      </c>
      <c r="J11" s="76" t="s">
        <v>17</v>
      </c>
      <c r="K11" s="76" t="s">
        <v>28</v>
      </c>
      <c r="L11" s="76" t="s">
        <v>51</v>
      </c>
      <c r="M11" s="76" t="s">
        <v>123</v>
      </c>
      <c r="N11" s="76">
        <v>1.4954131871900374</v>
      </c>
      <c r="Q11" s="78" t="s">
        <v>52</v>
      </c>
      <c r="R11" s="78" t="s">
        <v>17</v>
      </c>
      <c r="S11" s="78" t="s">
        <v>28</v>
      </c>
      <c r="T11" s="78" t="s">
        <v>51</v>
      </c>
      <c r="U11" s="78" t="s">
        <v>124</v>
      </c>
      <c r="V11" s="78">
        <v>1.4115999979508493</v>
      </c>
      <c r="AC11" s="78" t="s">
        <v>52</v>
      </c>
      <c r="AD11" s="78" t="s">
        <v>17</v>
      </c>
      <c r="AE11" s="78" t="s">
        <v>72</v>
      </c>
      <c r="AF11" s="78" t="s">
        <v>51</v>
      </c>
      <c r="AG11" s="78" t="s">
        <v>102</v>
      </c>
      <c r="AH11" s="78">
        <v>4.4985193972193684</v>
      </c>
      <c r="AJ11" s="78" t="s">
        <v>52</v>
      </c>
      <c r="AK11" s="78" t="s">
        <v>17</v>
      </c>
      <c r="AL11" s="78" t="s">
        <v>28</v>
      </c>
      <c r="AM11" s="78" t="s">
        <v>51</v>
      </c>
      <c r="AN11" s="78" t="s">
        <v>102</v>
      </c>
      <c r="AO11" s="78">
        <v>1.4886674852774087</v>
      </c>
      <c r="AR11" s="78" t="s">
        <v>52</v>
      </c>
      <c r="AS11" s="78" t="s">
        <v>17</v>
      </c>
      <c r="AT11" s="78" t="s">
        <v>28</v>
      </c>
      <c r="AU11" s="78" t="s">
        <v>51</v>
      </c>
      <c r="AV11" s="78" t="s">
        <v>98</v>
      </c>
      <c r="AW11" s="78">
        <v>1.4191644462264212</v>
      </c>
    </row>
    <row r="12" spans="1:49" s="78" customFormat="1">
      <c r="A12" s="147" t="s">
        <v>18</v>
      </c>
      <c r="B12" s="147" t="s">
        <v>52</v>
      </c>
      <c r="C12" s="147" t="s">
        <v>72</v>
      </c>
      <c r="D12" s="147" t="s">
        <v>51</v>
      </c>
      <c r="E12" s="148" t="s">
        <v>125</v>
      </c>
      <c r="F12" s="147">
        <v>3.968948344733974</v>
      </c>
      <c r="I12" s="76" t="s">
        <v>52</v>
      </c>
      <c r="J12" s="76" t="s">
        <v>18</v>
      </c>
      <c r="K12" s="76" t="s">
        <v>72</v>
      </c>
      <c r="L12" s="76" t="s">
        <v>51</v>
      </c>
      <c r="M12" s="76" t="s">
        <v>123</v>
      </c>
      <c r="N12" s="76">
        <v>4.0936300339223344</v>
      </c>
      <c r="Q12" s="78" t="s">
        <v>52</v>
      </c>
      <c r="R12" s="78" t="s">
        <v>18</v>
      </c>
      <c r="S12" s="78" t="s">
        <v>72</v>
      </c>
      <c r="T12" s="78" t="s">
        <v>51</v>
      </c>
      <c r="U12" s="78" t="s">
        <v>124</v>
      </c>
      <c r="V12" s="78">
        <v>4.0936300339223344</v>
      </c>
      <c r="X12" s="92" t="s">
        <v>26</v>
      </c>
      <c r="Y12" s="93" t="s">
        <v>74</v>
      </c>
      <c r="Z12" s="93">
        <f>VLOOKUP(Y12,OneWeekMtgRatesDataTable7[],3,0)/100</f>
        <v>2.9155081259623697E-2</v>
      </c>
      <c r="AA12" s="116"/>
      <c r="AB12" s="91"/>
      <c r="AC12" s="78" t="s">
        <v>52</v>
      </c>
      <c r="AD12" s="78" t="s">
        <v>17</v>
      </c>
      <c r="AE12" s="78" t="s">
        <v>72</v>
      </c>
      <c r="AF12" s="78" t="s">
        <v>51</v>
      </c>
      <c r="AG12" s="78" t="s">
        <v>103</v>
      </c>
      <c r="AH12" s="78">
        <v>4.5446319580999752</v>
      </c>
      <c r="AJ12" s="78" t="s">
        <v>52</v>
      </c>
      <c r="AK12" s="78" t="s">
        <v>17</v>
      </c>
      <c r="AL12" s="78" t="s">
        <v>28</v>
      </c>
      <c r="AM12" s="78" t="s">
        <v>51</v>
      </c>
      <c r="AN12" s="78" t="s">
        <v>103</v>
      </c>
      <c r="AO12" s="78">
        <v>1.5654865618600153</v>
      </c>
      <c r="AR12" s="78" t="s">
        <v>52</v>
      </c>
      <c r="AS12" s="78" t="s">
        <v>18</v>
      </c>
      <c r="AT12" s="78" t="s">
        <v>72</v>
      </c>
      <c r="AU12" s="78" t="s">
        <v>51</v>
      </c>
      <c r="AV12" s="78" t="s">
        <v>98</v>
      </c>
      <c r="AW12" s="78">
        <v>4.1539931569602002</v>
      </c>
    </row>
    <row r="13" spans="1:49" s="78" customFormat="1">
      <c r="A13" s="147" t="s">
        <v>18</v>
      </c>
      <c r="B13" s="147" t="s">
        <v>52</v>
      </c>
      <c r="C13" s="147" t="s">
        <v>0</v>
      </c>
      <c r="D13" s="147" t="s">
        <v>51</v>
      </c>
      <c r="E13" s="148" t="s">
        <v>125</v>
      </c>
      <c r="F13" s="147">
        <v>4.0730000000000004</v>
      </c>
      <c r="I13" s="76" t="s">
        <v>52</v>
      </c>
      <c r="J13" s="76" t="s">
        <v>18</v>
      </c>
      <c r="K13" s="76" t="s">
        <v>0</v>
      </c>
      <c r="L13" s="76" t="s">
        <v>51</v>
      </c>
      <c r="M13" s="76" t="s">
        <v>123</v>
      </c>
      <c r="N13" s="76">
        <v>4.1150000000000002</v>
      </c>
      <c r="Q13" s="78" t="s">
        <v>52</v>
      </c>
      <c r="R13" s="78" t="s">
        <v>18</v>
      </c>
      <c r="S13" s="78" t="s">
        <v>0</v>
      </c>
      <c r="T13" s="78" t="s">
        <v>51</v>
      </c>
      <c r="U13" s="78" t="s">
        <v>124</v>
      </c>
      <c r="V13" s="78">
        <v>4.1150000000000002</v>
      </c>
      <c r="X13" s="92" t="s">
        <v>27</v>
      </c>
      <c r="Y13" s="94" t="s">
        <v>73</v>
      </c>
      <c r="Z13" s="93">
        <f>VLOOKUP(Y13,OneWeekMtgRatesDataTable7[],3,0)/100</f>
        <v>2.7438495672440898E-2</v>
      </c>
      <c r="AA13" s="116"/>
      <c r="AB13" s="91"/>
      <c r="AC13" s="78" t="s">
        <v>52</v>
      </c>
      <c r="AD13" s="78" t="s">
        <v>17</v>
      </c>
      <c r="AE13" s="78" t="s">
        <v>72</v>
      </c>
      <c r="AF13" s="78" t="s">
        <v>51</v>
      </c>
      <c r="AG13" s="78" t="s">
        <v>104</v>
      </c>
      <c r="AH13" s="78">
        <v>4.5446319580999752</v>
      </c>
      <c r="AJ13" s="78" t="s">
        <v>52</v>
      </c>
      <c r="AK13" s="78" t="s">
        <v>17</v>
      </c>
      <c r="AL13" s="78" t="s">
        <v>28</v>
      </c>
      <c r="AM13" s="78" t="s">
        <v>51</v>
      </c>
      <c r="AN13" s="78" t="s">
        <v>104</v>
      </c>
      <c r="AO13" s="78">
        <v>1.4926391523791853</v>
      </c>
      <c r="AR13" s="78" t="s">
        <v>52</v>
      </c>
      <c r="AS13" s="78" t="s">
        <v>18</v>
      </c>
      <c r="AT13" s="78" t="s">
        <v>0</v>
      </c>
      <c r="AU13" s="78" t="s">
        <v>51</v>
      </c>
      <c r="AV13" s="78" t="s">
        <v>98</v>
      </c>
      <c r="AW13" s="78">
        <v>4.3019999999999996</v>
      </c>
    </row>
    <row r="14" spans="1:49" s="78" customFormat="1">
      <c r="A14" s="147" t="s">
        <v>18</v>
      </c>
      <c r="B14" s="147" t="s">
        <v>52</v>
      </c>
      <c r="C14" s="147" t="s">
        <v>7</v>
      </c>
      <c r="D14" s="147" t="s">
        <v>51</v>
      </c>
      <c r="E14" s="148" t="s">
        <v>125</v>
      </c>
      <c r="F14" s="147">
        <v>0.875</v>
      </c>
      <c r="I14" s="76" t="s">
        <v>52</v>
      </c>
      <c r="J14" s="76" t="s">
        <v>18</v>
      </c>
      <c r="K14" s="76" t="s">
        <v>7</v>
      </c>
      <c r="L14" s="76" t="s">
        <v>51</v>
      </c>
      <c r="M14" s="76" t="s">
        <v>123</v>
      </c>
      <c r="N14" s="76">
        <v>1.375</v>
      </c>
      <c r="Q14" s="78" t="s">
        <v>52</v>
      </c>
      <c r="R14" s="78" t="s">
        <v>18</v>
      </c>
      <c r="S14" s="78" t="s">
        <v>7</v>
      </c>
      <c r="T14" s="78" t="s">
        <v>51</v>
      </c>
      <c r="U14" s="78" t="s">
        <v>124</v>
      </c>
      <c r="V14" s="78">
        <v>1.375</v>
      </c>
      <c r="AC14" s="78" t="s">
        <v>52</v>
      </c>
      <c r="AD14" s="78" t="s">
        <v>17</v>
      </c>
      <c r="AE14" s="78" t="s">
        <v>72</v>
      </c>
      <c r="AF14" s="78" t="s">
        <v>51</v>
      </c>
      <c r="AG14" s="78" t="s">
        <v>105</v>
      </c>
      <c r="AH14" s="78">
        <v>4.5960778002180591</v>
      </c>
      <c r="AJ14" s="78" t="s">
        <v>52</v>
      </c>
      <c r="AK14" s="78" t="s">
        <v>17</v>
      </c>
      <c r="AL14" s="78" t="s">
        <v>28</v>
      </c>
      <c r="AM14" s="78" t="s">
        <v>51</v>
      </c>
      <c r="AN14" s="78" t="s">
        <v>105</v>
      </c>
      <c r="AO14" s="78">
        <v>1.4491633035923392</v>
      </c>
      <c r="AR14" s="78" t="s">
        <v>52</v>
      </c>
      <c r="AS14" s="78" t="s">
        <v>18</v>
      </c>
      <c r="AT14" s="78" t="s">
        <v>7</v>
      </c>
      <c r="AU14" s="78" t="s">
        <v>51</v>
      </c>
      <c r="AV14" s="78" t="s">
        <v>98</v>
      </c>
      <c r="AW14" s="78">
        <v>0.625</v>
      </c>
    </row>
    <row r="15" spans="1:49" s="78" customFormat="1">
      <c r="A15" s="147" t="s">
        <v>18</v>
      </c>
      <c r="B15" s="147" t="s">
        <v>52</v>
      </c>
      <c r="C15" s="147" t="s">
        <v>25</v>
      </c>
      <c r="D15" s="147" t="s">
        <v>51</v>
      </c>
      <c r="E15" s="148" t="s">
        <v>125</v>
      </c>
      <c r="F15" s="147">
        <v>4</v>
      </c>
      <c r="I15" s="76" t="s">
        <v>52</v>
      </c>
      <c r="J15" s="76" t="s">
        <v>18</v>
      </c>
      <c r="K15" s="76" t="s">
        <v>25</v>
      </c>
      <c r="L15" s="76" t="s">
        <v>51</v>
      </c>
      <c r="M15" s="76" t="s">
        <v>123</v>
      </c>
      <c r="N15" s="76">
        <v>4</v>
      </c>
      <c r="Q15" s="78" t="s">
        <v>52</v>
      </c>
      <c r="R15" s="78" t="s">
        <v>18</v>
      </c>
      <c r="S15" s="78" t="s">
        <v>25</v>
      </c>
      <c r="T15" s="78" t="s">
        <v>51</v>
      </c>
      <c r="U15" s="78" t="s">
        <v>124</v>
      </c>
      <c r="V15" s="78">
        <v>4</v>
      </c>
      <c r="AC15" s="78" t="s">
        <v>52</v>
      </c>
      <c r="AD15" s="78" t="s">
        <v>17</v>
      </c>
      <c r="AE15" s="78" t="s">
        <v>72</v>
      </c>
      <c r="AF15" s="78" t="s">
        <v>51</v>
      </c>
      <c r="AG15" s="78" t="s">
        <v>106</v>
      </c>
      <c r="AH15" s="78">
        <v>4.6425186326748173</v>
      </c>
      <c r="AJ15" s="78" t="s">
        <v>52</v>
      </c>
      <c r="AK15" s="78" t="s">
        <v>17</v>
      </c>
      <c r="AL15" s="78" t="s">
        <v>28</v>
      </c>
      <c r="AM15" s="78" t="s">
        <v>51</v>
      </c>
      <c r="AN15" s="78" t="s">
        <v>106</v>
      </c>
      <c r="AO15" s="78">
        <v>1.4984384715417181</v>
      </c>
      <c r="AR15" s="78" t="s">
        <v>52</v>
      </c>
      <c r="AS15" s="78" t="s">
        <v>18</v>
      </c>
      <c r="AT15" s="78" t="s">
        <v>25</v>
      </c>
      <c r="AU15" s="78" t="s">
        <v>51</v>
      </c>
      <c r="AV15" s="78" t="s">
        <v>98</v>
      </c>
      <c r="AW15" s="78">
        <v>4.25</v>
      </c>
    </row>
    <row r="16" spans="1:49" s="78" customFormat="1">
      <c r="A16" s="147" t="s">
        <v>18</v>
      </c>
      <c r="B16" s="147" t="s">
        <v>52</v>
      </c>
      <c r="C16" s="147" t="s">
        <v>28</v>
      </c>
      <c r="D16" s="147" t="s">
        <v>51</v>
      </c>
      <c r="E16" s="148" t="s">
        <v>125</v>
      </c>
      <c r="F16" s="147">
        <v>1.0534402187716043</v>
      </c>
      <c r="I16" s="76" t="s">
        <v>52</v>
      </c>
      <c r="J16" s="76" t="s">
        <v>18</v>
      </c>
      <c r="K16" s="76" t="s">
        <v>28</v>
      </c>
      <c r="L16" s="76" t="s">
        <v>51</v>
      </c>
      <c r="M16" s="76" t="s">
        <v>123</v>
      </c>
      <c r="N16" s="76">
        <v>1.0991844871188046</v>
      </c>
      <c r="Q16" s="78" t="s">
        <v>52</v>
      </c>
      <c r="R16" s="78" t="s">
        <v>18</v>
      </c>
      <c r="S16" s="78" t="s">
        <v>28</v>
      </c>
      <c r="T16" s="78" t="s">
        <v>51</v>
      </c>
      <c r="U16" s="78" t="s">
        <v>124</v>
      </c>
      <c r="V16" s="78">
        <v>1.0848226045065246</v>
      </c>
      <c r="AC16" s="78" t="s">
        <v>52</v>
      </c>
      <c r="AD16" s="78" t="s">
        <v>17</v>
      </c>
      <c r="AE16" s="78" t="s">
        <v>72</v>
      </c>
      <c r="AF16" s="78" t="s">
        <v>51</v>
      </c>
      <c r="AG16" s="78" t="s">
        <v>107</v>
      </c>
      <c r="AH16" s="78">
        <v>4.5472221224551266</v>
      </c>
      <c r="AJ16" s="78" t="s">
        <v>52</v>
      </c>
      <c r="AK16" s="78" t="s">
        <v>17</v>
      </c>
      <c r="AL16" s="78" t="s">
        <v>28</v>
      </c>
      <c r="AM16" s="78" t="s">
        <v>51</v>
      </c>
      <c r="AN16" s="78" t="s">
        <v>107</v>
      </c>
      <c r="AO16" s="78">
        <v>1.4391155694354067</v>
      </c>
      <c r="AR16" s="78" t="s">
        <v>52</v>
      </c>
      <c r="AS16" s="78" t="s">
        <v>18</v>
      </c>
      <c r="AT16" s="78" t="s">
        <v>28</v>
      </c>
      <c r="AU16" s="78" t="s">
        <v>51</v>
      </c>
      <c r="AV16" s="78" t="s">
        <v>98</v>
      </c>
      <c r="AW16" s="78">
        <v>1.0807127136680399</v>
      </c>
    </row>
    <row r="17" spans="1:49" s="78" customFormat="1">
      <c r="A17" s="147" t="s">
        <v>19</v>
      </c>
      <c r="B17" s="147" t="s">
        <v>52</v>
      </c>
      <c r="C17" s="147" t="s">
        <v>72</v>
      </c>
      <c r="D17" s="147" t="s">
        <v>51</v>
      </c>
      <c r="E17" s="148" t="s">
        <v>125</v>
      </c>
      <c r="F17" s="147">
        <v>4.4987637218053917</v>
      </c>
      <c r="I17" s="76" t="s">
        <v>52</v>
      </c>
      <c r="J17" s="76" t="s">
        <v>19</v>
      </c>
      <c r="K17" s="76" t="s">
        <v>72</v>
      </c>
      <c r="L17" s="76" t="s">
        <v>51</v>
      </c>
      <c r="M17" s="76" t="s">
        <v>123</v>
      </c>
      <c r="N17" s="76">
        <v>4.5618946090091974</v>
      </c>
      <c r="Q17" s="78" t="s">
        <v>52</v>
      </c>
      <c r="R17" s="78" t="s">
        <v>19</v>
      </c>
      <c r="S17" s="78" t="s">
        <v>72</v>
      </c>
      <c r="T17" s="78" t="s">
        <v>51</v>
      </c>
      <c r="U17" s="78" t="s">
        <v>124</v>
      </c>
      <c r="V17" s="78">
        <v>4.5388826043032733</v>
      </c>
      <c r="AC17" s="78" t="s">
        <v>52</v>
      </c>
      <c r="AD17" s="78" t="s">
        <v>17</v>
      </c>
      <c r="AE17" s="78" t="s">
        <v>72</v>
      </c>
      <c r="AF17" s="78" t="s">
        <v>51</v>
      </c>
      <c r="AG17" s="78" t="s">
        <v>108</v>
      </c>
      <c r="AH17" s="78">
        <v>4.5472221224551266</v>
      </c>
      <c r="AJ17" s="78" t="s">
        <v>52</v>
      </c>
      <c r="AK17" s="78" t="s">
        <v>17</v>
      </c>
      <c r="AL17" s="78" t="s">
        <v>28</v>
      </c>
      <c r="AM17" s="78" t="s">
        <v>51</v>
      </c>
      <c r="AN17" s="78" t="s">
        <v>108</v>
      </c>
      <c r="AO17" s="78">
        <v>1.4820339969784169</v>
      </c>
      <c r="AR17" s="78" t="s">
        <v>52</v>
      </c>
      <c r="AS17" s="78" t="s">
        <v>19</v>
      </c>
      <c r="AT17" s="78" t="s">
        <v>72</v>
      </c>
      <c r="AU17" s="78" t="s">
        <v>51</v>
      </c>
      <c r="AV17" s="78" t="s">
        <v>98</v>
      </c>
      <c r="AW17" s="78">
        <v>4.5215920109797576</v>
      </c>
    </row>
    <row r="18" spans="1:49" s="78" customFormat="1">
      <c r="A18" s="147" t="s">
        <v>19</v>
      </c>
      <c r="B18" s="147" t="s">
        <v>52</v>
      </c>
      <c r="C18" s="147" t="s">
        <v>0</v>
      </c>
      <c r="D18" s="147" t="s">
        <v>51</v>
      </c>
      <c r="E18" s="148" t="s">
        <v>125</v>
      </c>
      <c r="F18" s="147">
        <v>4.2469999999999999</v>
      </c>
      <c r="I18" s="76" t="s">
        <v>52</v>
      </c>
      <c r="J18" s="76" t="s">
        <v>19</v>
      </c>
      <c r="K18" s="76" t="s">
        <v>0</v>
      </c>
      <c r="L18" s="76" t="s">
        <v>51</v>
      </c>
      <c r="M18" s="76" t="s">
        <v>123</v>
      </c>
      <c r="N18" s="76">
        <v>4.3090000000000002</v>
      </c>
      <c r="Q18" s="78" t="s">
        <v>52</v>
      </c>
      <c r="R18" s="78" t="s">
        <v>19</v>
      </c>
      <c r="S18" s="78" t="s">
        <v>0</v>
      </c>
      <c r="T18" s="78" t="s">
        <v>51</v>
      </c>
      <c r="U18" s="78" t="s">
        <v>124</v>
      </c>
      <c r="V18" s="78">
        <v>4.3010000000000002</v>
      </c>
      <c r="AC18" s="78" t="s">
        <v>52</v>
      </c>
      <c r="AD18" s="78" t="s">
        <v>17</v>
      </c>
      <c r="AE18" s="78" t="s">
        <v>72</v>
      </c>
      <c r="AF18" s="78" t="s">
        <v>51</v>
      </c>
      <c r="AG18" s="78" t="s">
        <v>100</v>
      </c>
      <c r="AH18" s="78">
        <v>4.4779992446135664</v>
      </c>
      <c r="AJ18" s="78" t="s">
        <v>52</v>
      </c>
      <c r="AK18" s="78" t="s">
        <v>17</v>
      </c>
      <c r="AL18" s="78" t="s">
        <v>28</v>
      </c>
      <c r="AM18" s="78" t="s">
        <v>51</v>
      </c>
      <c r="AN18" s="78" t="s">
        <v>100</v>
      </c>
      <c r="AO18" s="78">
        <v>1.4137621493606665</v>
      </c>
      <c r="AR18" s="78" t="s">
        <v>52</v>
      </c>
      <c r="AS18" s="78" t="s">
        <v>19</v>
      </c>
      <c r="AT18" s="78" t="s">
        <v>0</v>
      </c>
      <c r="AU18" s="78" t="s">
        <v>51</v>
      </c>
      <c r="AV18" s="78" t="s">
        <v>98</v>
      </c>
      <c r="AW18" s="78">
        <v>4.3449999999999998</v>
      </c>
    </row>
    <row r="19" spans="1:49" s="78" customFormat="1">
      <c r="A19" s="147" t="s">
        <v>19</v>
      </c>
      <c r="B19" s="147" t="s">
        <v>52</v>
      </c>
      <c r="C19" s="147" t="s">
        <v>7</v>
      </c>
      <c r="D19" s="147" t="s">
        <v>51</v>
      </c>
      <c r="E19" s="148" t="s">
        <v>125</v>
      </c>
      <c r="F19" s="147">
        <v>2</v>
      </c>
      <c r="I19" s="76" t="s">
        <v>52</v>
      </c>
      <c r="J19" s="76" t="s">
        <v>19</v>
      </c>
      <c r="K19" s="76" t="s">
        <v>7</v>
      </c>
      <c r="L19" s="76" t="s">
        <v>51</v>
      </c>
      <c r="M19" s="76" t="s">
        <v>123</v>
      </c>
      <c r="N19" s="76">
        <v>2</v>
      </c>
      <c r="Q19" s="78" t="s">
        <v>52</v>
      </c>
      <c r="R19" s="78" t="s">
        <v>19</v>
      </c>
      <c r="S19" s="78" t="s">
        <v>7</v>
      </c>
      <c r="T19" s="78" t="s">
        <v>51</v>
      </c>
      <c r="U19" s="78" t="s">
        <v>124</v>
      </c>
      <c r="V19" s="78">
        <v>1.875</v>
      </c>
      <c r="AC19" s="78" t="s">
        <v>52</v>
      </c>
      <c r="AD19" s="78" t="s">
        <v>17</v>
      </c>
      <c r="AE19" s="78" t="s">
        <v>72</v>
      </c>
      <c r="AF19" s="78" t="s">
        <v>51</v>
      </c>
      <c r="AG19" s="78" t="s">
        <v>109</v>
      </c>
      <c r="AH19" s="78">
        <v>4.4461738601142571</v>
      </c>
      <c r="AJ19" s="78" t="s">
        <v>52</v>
      </c>
      <c r="AK19" s="78" t="s">
        <v>17</v>
      </c>
      <c r="AL19" s="78" t="s">
        <v>28</v>
      </c>
      <c r="AM19" s="78" t="s">
        <v>51</v>
      </c>
      <c r="AN19" s="78" t="s">
        <v>109</v>
      </c>
      <c r="AO19" s="78">
        <v>1.3953089089250075</v>
      </c>
      <c r="AR19" s="78" t="s">
        <v>52</v>
      </c>
      <c r="AS19" s="78" t="s">
        <v>19</v>
      </c>
      <c r="AT19" s="78" t="s">
        <v>7</v>
      </c>
      <c r="AU19" s="78" t="s">
        <v>51</v>
      </c>
      <c r="AV19" s="78" t="s">
        <v>98</v>
      </c>
      <c r="AW19" s="78">
        <v>1.75</v>
      </c>
    </row>
    <row r="20" spans="1:49" s="78" customFormat="1">
      <c r="A20" s="147" t="s">
        <v>19</v>
      </c>
      <c r="B20" s="147" t="s">
        <v>52</v>
      </c>
      <c r="C20" s="147" t="s">
        <v>25</v>
      </c>
      <c r="D20" s="147" t="s">
        <v>51</v>
      </c>
      <c r="E20" s="148" t="s">
        <v>125</v>
      </c>
      <c r="F20" s="147">
        <v>3.99</v>
      </c>
      <c r="I20" s="76" t="s">
        <v>52</v>
      </c>
      <c r="J20" s="76" t="s">
        <v>19</v>
      </c>
      <c r="K20" s="76" t="s">
        <v>25</v>
      </c>
      <c r="L20" s="76" t="s">
        <v>51</v>
      </c>
      <c r="M20" s="76" t="s">
        <v>123</v>
      </c>
      <c r="N20" s="76">
        <v>4.05</v>
      </c>
      <c r="Q20" s="78" t="s">
        <v>52</v>
      </c>
      <c r="R20" s="78" t="s">
        <v>19</v>
      </c>
      <c r="S20" s="78" t="s">
        <v>25</v>
      </c>
      <c r="T20" s="78" t="s">
        <v>51</v>
      </c>
      <c r="U20" s="78" t="s">
        <v>124</v>
      </c>
      <c r="V20" s="78">
        <v>4.05</v>
      </c>
      <c r="AC20" s="78" t="s">
        <v>52</v>
      </c>
      <c r="AD20" s="78" t="s">
        <v>17</v>
      </c>
      <c r="AE20" s="78" t="s">
        <v>72</v>
      </c>
      <c r="AF20" s="78" t="s">
        <v>51</v>
      </c>
      <c r="AG20" s="78" t="s">
        <v>110</v>
      </c>
      <c r="AH20" s="78">
        <v>4.4461738601142571</v>
      </c>
      <c r="AJ20" s="78" t="s">
        <v>52</v>
      </c>
      <c r="AK20" s="78" t="s">
        <v>17</v>
      </c>
      <c r="AL20" s="78" t="s">
        <v>28</v>
      </c>
      <c r="AM20" s="78" t="s">
        <v>51</v>
      </c>
      <c r="AN20" s="78" t="s">
        <v>110</v>
      </c>
      <c r="AO20" s="78">
        <v>1.3759052576474176</v>
      </c>
      <c r="AR20" s="78" t="s">
        <v>52</v>
      </c>
      <c r="AS20" s="78" t="s">
        <v>19</v>
      </c>
      <c r="AT20" s="78" t="s">
        <v>25</v>
      </c>
      <c r="AU20" s="78" t="s">
        <v>51</v>
      </c>
      <c r="AV20" s="78" t="s">
        <v>98</v>
      </c>
      <c r="AW20" s="78">
        <v>4.125</v>
      </c>
    </row>
    <row r="21" spans="1:49" s="78" customFormat="1">
      <c r="A21" s="147" t="s">
        <v>19</v>
      </c>
      <c r="B21" s="147" t="s">
        <v>52</v>
      </c>
      <c r="C21" s="147" t="s">
        <v>28</v>
      </c>
      <c r="D21" s="147" t="s">
        <v>51</v>
      </c>
      <c r="E21" s="148" t="s">
        <v>125</v>
      </c>
      <c r="F21" s="147">
        <v>1.5832555958430223</v>
      </c>
      <c r="I21" s="76" t="s">
        <v>52</v>
      </c>
      <c r="J21" s="76" t="s">
        <v>19</v>
      </c>
      <c r="K21" s="76" t="s">
        <v>28</v>
      </c>
      <c r="L21" s="76" t="s">
        <v>51</v>
      </c>
      <c r="M21" s="76" t="s">
        <v>123</v>
      </c>
      <c r="N21" s="76">
        <v>1.5674490622056676</v>
      </c>
      <c r="Q21" s="78" t="s">
        <v>52</v>
      </c>
      <c r="R21" s="78" t="s">
        <v>19</v>
      </c>
      <c r="S21" s="78" t="s">
        <v>28</v>
      </c>
      <c r="T21" s="78" t="s">
        <v>51</v>
      </c>
      <c r="U21" s="78" t="s">
        <v>124</v>
      </c>
      <c r="V21" s="78">
        <v>1.530075174887463</v>
      </c>
      <c r="AC21" s="78" t="s">
        <v>52</v>
      </c>
      <c r="AD21" s="78" t="s">
        <v>17</v>
      </c>
      <c r="AE21" s="78" t="s">
        <v>72</v>
      </c>
      <c r="AF21" s="78" t="s">
        <v>51</v>
      </c>
      <c r="AG21" s="78" t="s">
        <v>111</v>
      </c>
      <c r="AH21" s="78">
        <v>4.4696326089388583</v>
      </c>
      <c r="AJ21" s="78" t="s">
        <v>52</v>
      </c>
      <c r="AK21" s="78" t="s">
        <v>17</v>
      </c>
      <c r="AL21" s="78" t="s">
        <v>28</v>
      </c>
      <c r="AM21" s="78" t="s">
        <v>51</v>
      </c>
      <c r="AN21" s="78" t="s">
        <v>111</v>
      </c>
      <c r="AO21" s="78">
        <v>1.4286340196471383</v>
      </c>
      <c r="AR21" s="78" t="s">
        <v>52</v>
      </c>
      <c r="AS21" s="78" t="s">
        <v>19</v>
      </c>
      <c r="AT21" s="78" t="s">
        <v>28</v>
      </c>
      <c r="AU21" s="78" t="s">
        <v>51</v>
      </c>
      <c r="AV21" s="78" t="s">
        <v>98</v>
      </c>
      <c r="AW21" s="78">
        <v>1.4483115676875973</v>
      </c>
    </row>
    <row r="22" spans="1:49" s="78" customFormat="1">
      <c r="A22" s="147" t="s">
        <v>20</v>
      </c>
      <c r="B22" s="147" t="s">
        <v>52</v>
      </c>
      <c r="C22" s="147" t="s">
        <v>72</v>
      </c>
      <c r="D22" s="147" t="s">
        <v>51</v>
      </c>
      <c r="E22" s="148" t="s">
        <v>125</v>
      </c>
      <c r="F22" s="147">
        <v>4.3188244659487021</v>
      </c>
      <c r="I22" s="76" t="s">
        <v>52</v>
      </c>
      <c r="J22" s="76" t="s">
        <v>20</v>
      </c>
      <c r="K22" s="76" t="s">
        <v>72</v>
      </c>
      <c r="L22" s="76" t="s">
        <v>51</v>
      </c>
      <c r="M22" s="76" t="s">
        <v>123</v>
      </c>
      <c r="N22" s="76">
        <v>4.4894479147795909</v>
      </c>
      <c r="Q22" s="78" t="s">
        <v>52</v>
      </c>
      <c r="R22" s="78" t="s">
        <v>20</v>
      </c>
      <c r="S22" s="78" t="s">
        <v>72</v>
      </c>
      <c r="T22" s="78" t="s">
        <v>51</v>
      </c>
      <c r="U22" s="78" t="s">
        <v>124</v>
      </c>
      <c r="V22" s="78">
        <v>4.4286731677951829</v>
      </c>
      <c r="AC22" s="78" t="s">
        <v>52</v>
      </c>
      <c r="AD22" s="78" t="s">
        <v>17</v>
      </c>
      <c r="AE22" s="78" t="s">
        <v>72</v>
      </c>
      <c r="AF22" s="78" t="s">
        <v>51</v>
      </c>
      <c r="AG22" s="78" t="s">
        <v>99</v>
      </c>
      <c r="AH22" s="78">
        <v>4.4811934664059407</v>
      </c>
      <c r="AJ22" s="78" t="s">
        <v>52</v>
      </c>
      <c r="AK22" s="78" t="s">
        <v>17</v>
      </c>
      <c r="AL22" s="78" t="s">
        <v>28</v>
      </c>
      <c r="AM22" s="78" t="s">
        <v>51</v>
      </c>
      <c r="AN22" s="78" t="s">
        <v>99</v>
      </c>
      <c r="AO22" s="78">
        <v>1.4539211920399711</v>
      </c>
      <c r="AR22" s="78" t="s">
        <v>52</v>
      </c>
      <c r="AS22" s="78" t="s">
        <v>20</v>
      </c>
      <c r="AT22" s="78" t="s">
        <v>72</v>
      </c>
      <c r="AU22" s="78" t="s">
        <v>51</v>
      </c>
      <c r="AV22" s="78" t="s">
        <v>98</v>
      </c>
      <c r="AW22" s="78">
        <v>4.4906750935354101</v>
      </c>
    </row>
    <row r="23" spans="1:49" s="78" customFormat="1">
      <c r="A23" s="147" t="s">
        <v>20</v>
      </c>
      <c r="B23" s="147" t="s">
        <v>52</v>
      </c>
      <c r="C23" s="147" t="s">
        <v>0</v>
      </c>
      <c r="D23" s="147" t="s">
        <v>51</v>
      </c>
      <c r="E23" s="148" t="s">
        <v>125</v>
      </c>
      <c r="F23" s="147">
        <v>4.2720000000000002</v>
      </c>
      <c r="I23" s="76" t="s">
        <v>52</v>
      </c>
      <c r="J23" s="76" t="s">
        <v>20</v>
      </c>
      <c r="K23" s="76" t="s">
        <v>0</v>
      </c>
      <c r="L23" s="76" t="s">
        <v>51</v>
      </c>
      <c r="M23" s="76" t="s">
        <v>123</v>
      </c>
      <c r="N23" s="76">
        <v>4.298</v>
      </c>
      <c r="Q23" s="78" t="s">
        <v>52</v>
      </c>
      <c r="R23" s="78" t="s">
        <v>20</v>
      </c>
      <c r="S23" s="78" t="s">
        <v>0</v>
      </c>
      <c r="T23" s="78" t="s">
        <v>51</v>
      </c>
      <c r="U23" s="78" t="s">
        <v>124</v>
      </c>
      <c r="V23" s="78">
        <v>4.2880000000000003</v>
      </c>
      <c r="AC23" s="78" t="s">
        <v>52</v>
      </c>
      <c r="AD23" s="78" t="s">
        <v>17</v>
      </c>
      <c r="AE23" s="78" t="s">
        <v>72</v>
      </c>
      <c r="AF23" s="78" t="s">
        <v>51</v>
      </c>
      <c r="AG23" s="78" t="s">
        <v>126</v>
      </c>
      <c r="AH23" s="78">
        <v>4.4522759501537079</v>
      </c>
      <c r="AJ23" s="78" t="s">
        <v>52</v>
      </c>
      <c r="AK23" s="78" t="s">
        <v>17</v>
      </c>
      <c r="AL23" s="78" t="s">
        <v>28</v>
      </c>
      <c r="AM23" s="78" t="s">
        <v>51</v>
      </c>
      <c r="AN23" s="78" t="s">
        <v>126</v>
      </c>
      <c r="AO23" s="78">
        <v>1.4507515913062277</v>
      </c>
      <c r="AR23" s="78" t="s">
        <v>52</v>
      </c>
      <c r="AS23" s="78" t="s">
        <v>20</v>
      </c>
      <c r="AT23" s="78" t="s">
        <v>0</v>
      </c>
      <c r="AU23" s="78" t="s">
        <v>51</v>
      </c>
      <c r="AV23" s="78" t="s">
        <v>98</v>
      </c>
      <c r="AW23" s="78">
        <v>4.4020000000000001</v>
      </c>
    </row>
    <row r="24" spans="1:49" s="78" customFormat="1">
      <c r="A24" s="147" t="s">
        <v>20</v>
      </c>
      <c r="B24" s="147" t="s">
        <v>52</v>
      </c>
      <c r="C24" s="147" t="s">
        <v>40</v>
      </c>
      <c r="D24" s="147" t="s">
        <v>51</v>
      </c>
      <c r="E24" s="148" t="s">
        <v>125</v>
      </c>
      <c r="F24" s="147">
        <v>2028</v>
      </c>
      <c r="I24" s="76" t="s">
        <v>52</v>
      </c>
      <c r="J24" s="76" t="s">
        <v>20</v>
      </c>
      <c r="K24" s="76" t="s">
        <v>40</v>
      </c>
      <c r="L24" s="76" t="s">
        <v>51</v>
      </c>
      <c r="M24" s="76" t="s">
        <v>123</v>
      </c>
      <c r="N24" s="76">
        <v>2778</v>
      </c>
      <c r="Q24" s="78" t="s">
        <v>52</v>
      </c>
      <c r="R24" s="78" t="s">
        <v>20</v>
      </c>
      <c r="S24" s="78" t="s">
        <v>40</v>
      </c>
      <c r="T24" s="78" t="s">
        <v>51</v>
      </c>
      <c r="U24" s="78" t="s">
        <v>124</v>
      </c>
      <c r="V24" s="78">
        <v>2528</v>
      </c>
      <c r="AC24" s="78" t="s">
        <v>52</v>
      </c>
      <c r="AD24" s="78" t="s">
        <v>17</v>
      </c>
      <c r="AE24" s="78" t="s">
        <v>72</v>
      </c>
      <c r="AF24" s="78" t="s">
        <v>51</v>
      </c>
      <c r="AG24" s="78" t="s">
        <v>124</v>
      </c>
      <c r="AH24" s="78">
        <v>4.4204074273666594</v>
      </c>
      <c r="AJ24" s="78" t="s">
        <v>52</v>
      </c>
      <c r="AK24" s="78" t="s">
        <v>17</v>
      </c>
      <c r="AL24" s="78" t="s">
        <v>28</v>
      </c>
      <c r="AM24" s="78" t="s">
        <v>51</v>
      </c>
      <c r="AN24" s="78" t="s">
        <v>124</v>
      </c>
      <c r="AO24" s="78">
        <v>1.4115999979508493</v>
      </c>
      <c r="AR24" s="78" t="s">
        <v>52</v>
      </c>
      <c r="AS24" s="78" t="s">
        <v>20</v>
      </c>
      <c r="AT24" s="78" t="s">
        <v>40</v>
      </c>
      <c r="AU24" s="78" t="s">
        <v>51</v>
      </c>
      <c r="AV24" s="78" t="s">
        <v>98</v>
      </c>
      <c r="AW24" s="78">
        <v>2289</v>
      </c>
    </row>
    <row r="25" spans="1:49" s="78" customFormat="1">
      <c r="A25" s="147" t="s">
        <v>20</v>
      </c>
      <c r="B25" s="147" t="s">
        <v>52</v>
      </c>
      <c r="C25" s="147" t="s">
        <v>1</v>
      </c>
      <c r="D25" s="147" t="s">
        <v>51</v>
      </c>
      <c r="E25" s="148" t="s">
        <v>125</v>
      </c>
      <c r="F25" s="147">
        <v>200000</v>
      </c>
      <c r="I25" s="76" t="s">
        <v>52</v>
      </c>
      <c r="J25" s="76" t="s">
        <v>20</v>
      </c>
      <c r="K25" s="76" t="s">
        <v>1</v>
      </c>
      <c r="L25" s="76" t="s">
        <v>51</v>
      </c>
      <c r="M25" s="76" t="s">
        <v>123</v>
      </c>
      <c r="N25" s="76">
        <v>200000</v>
      </c>
      <c r="Q25" s="78" t="s">
        <v>52</v>
      </c>
      <c r="R25" s="78" t="s">
        <v>20</v>
      </c>
      <c r="S25" s="78" t="s">
        <v>1</v>
      </c>
      <c r="T25" s="78" t="s">
        <v>51</v>
      </c>
      <c r="U25" s="78" t="s">
        <v>124</v>
      </c>
      <c r="V25" s="78">
        <v>200000</v>
      </c>
      <c r="AC25" s="78" t="s">
        <v>52</v>
      </c>
      <c r="AD25" s="78" t="s">
        <v>17</v>
      </c>
      <c r="AE25" s="78" t="s">
        <v>72</v>
      </c>
      <c r="AF25" s="78" t="s">
        <v>51</v>
      </c>
      <c r="AG25" s="78" t="s">
        <v>127</v>
      </c>
      <c r="AH25" s="78">
        <v>4.4406945858636773</v>
      </c>
      <c r="AJ25" s="78" t="s">
        <v>52</v>
      </c>
      <c r="AK25" s="78" t="s">
        <v>17</v>
      </c>
      <c r="AL25" s="78" t="s">
        <v>28</v>
      </c>
      <c r="AM25" s="78" t="s">
        <v>51</v>
      </c>
      <c r="AN25" s="78" t="s">
        <v>127</v>
      </c>
      <c r="AO25" s="78">
        <v>1.4638126045131872</v>
      </c>
      <c r="AR25" s="78" t="s">
        <v>52</v>
      </c>
      <c r="AS25" s="78" t="s">
        <v>20</v>
      </c>
      <c r="AT25" s="78" t="s">
        <v>1</v>
      </c>
      <c r="AU25" s="78" t="s">
        <v>51</v>
      </c>
      <c r="AV25" s="78" t="s">
        <v>98</v>
      </c>
      <c r="AW25" s="78">
        <v>200000</v>
      </c>
    </row>
    <row r="26" spans="1:49" s="78" customFormat="1">
      <c r="A26" s="147" t="s">
        <v>20</v>
      </c>
      <c r="B26" s="147" t="s">
        <v>52</v>
      </c>
      <c r="C26" s="147" t="s">
        <v>7</v>
      </c>
      <c r="D26" s="147" t="s">
        <v>51</v>
      </c>
      <c r="E26" s="148" t="s">
        <v>125</v>
      </c>
      <c r="F26" s="147">
        <v>1</v>
      </c>
      <c r="I26" s="76" t="s">
        <v>52</v>
      </c>
      <c r="J26" s="76" t="s">
        <v>20</v>
      </c>
      <c r="K26" s="76" t="s">
        <v>7</v>
      </c>
      <c r="L26" s="76" t="s">
        <v>51</v>
      </c>
      <c r="M26" s="76" t="s">
        <v>123</v>
      </c>
      <c r="N26" s="76">
        <v>1</v>
      </c>
      <c r="Q26" s="78" t="s">
        <v>52</v>
      </c>
      <c r="R26" s="78" t="s">
        <v>20</v>
      </c>
      <c r="S26" s="78" t="s">
        <v>7</v>
      </c>
      <c r="T26" s="78" t="s">
        <v>51</v>
      </c>
      <c r="U26" s="78" t="s">
        <v>124</v>
      </c>
      <c r="V26" s="78">
        <v>1</v>
      </c>
      <c r="AC26" s="78" t="s">
        <v>52</v>
      </c>
      <c r="AD26" s="78" t="s">
        <v>17</v>
      </c>
      <c r="AE26" s="78" t="s">
        <v>72</v>
      </c>
      <c r="AF26" s="78" t="s">
        <v>51</v>
      </c>
      <c r="AG26" s="78" t="s">
        <v>128</v>
      </c>
      <c r="AH26" s="78">
        <v>4.4493813788399832</v>
      </c>
      <c r="AJ26" s="78" t="s">
        <v>52</v>
      </c>
      <c r="AK26" s="78" t="s">
        <v>17</v>
      </c>
      <c r="AL26" s="78" t="s">
        <v>28</v>
      </c>
      <c r="AM26" s="78" t="s">
        <v>51</v>
      </c>
      <c r="AN26" s="78" t="s">
        <v>128</v>
      </c>
      <c r="AO26" s="78">
        <v>1.4793540082698529</v>
      </c>
      <c r="AR26" s="78" t="s">
        <v>52</v>
      </c>
      <c r="AS26" s="78" t="s">
        <v>20</v>
      </c>
      <c r="AT26" s="78" t="s">
        <v>7</v>
      </c>
      <c r="AU26" s="78" t="s">
        <v>51</v>
      </c>
      <c r="AV26" s="78" t="s">
        <v>98</v>
      </c>
      <c r="AW26" s="78">
        <v>1</v>
      </c>
    </row>
    <row r="27" spans="1:49" s="78" customFormat="1">
      <c r="A27" s="147" t="s">
        <v>20</v>
      </c>
      <c r="B27" s="147" t="s">
        <v>52</v>
      </c>
      <c r="C27" s="147" t="s">
        <v>25</v>
      </c>
      <c r="D27" s="147" t="s">
        <v>51</v>
      </c>
      <c r="E27" s="148" t="s">
        <v>125</v>
      </c>
      <c r="F27" s="147">
        <v>4.25</v>
      </c>
      <c r="I27" s="76" t="s">
        <v>52</v>
      </c>
      <c r="J27" s="76" t="s">
        <v>20</v>
      </c>
      <c r="K27" s="76" t="s">
        <v>25</v>
      </c>
      <c r="L27" s="76" t="s">
        <v>51</v>
      </c>
      <c r="M27" s="76" t="s">
        <v>123</v>
      </c>
      <c r="N27" s="76">
        <v>4.25</v>
      </c>
      <c r="Q27" s="78" t="s">
        <v>52</v>
      </c>
      <c r="R27" s="78" t="s">
        <v>20</v>
      </c>
      <c r="S27" s="78" t="s">
        <v>25</v>
      </c>
      <c r="T27" s="78" t="s">
        <v>51</v>
      </c>
      <c r="U27" s="78" t="s">
        <v>124</v>
      </c>
      <c r="V27" s="78">
        <v>4.25</v>
      </c>
      <c r="AC27" s="78" t="s">
        <v>52</v>
      </c>
      <c r="AD27" s="78" t="s">
        <v>17</v>
      </c>
      <c r="AE27" s="78" t="s">
        <v>72</v>
      </c>
      <c r="AF27" s="78" t="s">
        <v>51</v>
      </c>
      <c r="AG27" s="78" t="s">
        <v>129</v>
      </c>
      <c r="AH27" s="78">
        <v>4.4609565865630021</v>
      </c>
      <c r="AJ27" s="78" t="s">
        <v>52</v>
      </c>
      <c r="AK27" s="78" t="s">
        <v>17</v>
      </c>
      <c r="AL27" s="78" t="s">
        <v>28</v>
      </c>
      <c r="AM27" s="78" t="s">
        <v>51</v>
      </c>
      <c r="AN27" s="78" t="s">
        <v>129</v>
      </c>
      <c r="AO27" s="78">
        <v>1.4657398986657422</v>
      </c>
      <c r="AR27" s="78" t="s">
        <v>52</v>
      </c>
      <c r="AS27" s="78" t="s">
        <v>20</v>
      </c>
      <c r="AT27" s="78" t="s">
        <v>25</v>
      </c>
      <c r="AU27" s="78" t="s">
        <v>51</v>
      </c>
      <c r="AV27" s="78" t="s">
        <v>98</v>
      </c>
      <c r="AW27" s="78">
        <v>4.375</v>
      </c>
    </row>
    <row r="28" spans="1:49" s="78" customFormat="1">
      <c r="A28" s="147" t="s">
        <v>20</v>
      </c>
      <c r="B28" s="147" t="s">
        <v>52</v>
      </c>
      <c r="C28" s="147" t="s">
        <v>28</v>
      </c>
      <c r="D28" s="147" t="s">
        <v>51</v>
      </c>
      <c r="E28" s="148" t="s">
        <v>125</v>
      </c>
      <c r="F28" s="147">
        <v>1.4033163399863324</v>
      </c>
      <c r="I28" s="76" t="s">
        <v>52</v>
      </c>
      <c r="J28" s="76" t="s">
        <v>20</v>
      </c>
      <c r="K28" s="76" t="s">
        <v>28</v>
      </c>
      <c r="L28" s="76" t="s">
        <v>51</v>
      </c>
      <c r="M28" s="76" t="s">
        <v>123</v>
      </c>
      <c r="N28" s="76">
        <v>1.4950023679760609</v>
      </c>
      <c r="Q28" s="78" t="s">
        <v>52</v>
      </c>
      <c r="R28" s="78" t="s">
        <v>20</v>
      </c>
      <c r="S28" s="78" t="s">
        <v>28</v>
      </c>
      <c r="T28" s="78" t="s">
        <v>51</v>
      </c>
      <c r="U28" s="78" t="s">
        <v>124</v>
      </c>
      <c r="V28" s="78">
        <v>1.4198657383793729</v>
      </c>
      <c r="AC28" s="78" t="s">
        <v>52</v>
      </c>
      <c r="AD28" s="78" t="s">
        <v>17</v>
      </c>
      <c r="AE28" s="78" t="s">
        <v>72</v>
      </c>
      <c r="AF28" s="78" t="s">
        <v>51</v>
      </c>
      <c r="AG28" s="78" t="s">
        <v>123</v>
      </c>
      <c r="AH28" s="78">
        <v>4.4898587339935672</v>
      </c>
      <c r="AJ28" s="78" t="s">
        <v>52</v>
      </c>
      <c r="AK28" s="78" t="s">
        <v>17</v>
      </c>
      <c r="AL28" s="78" t="s">
        <v>28</v>
      </c>
      <c r="AM28" s="78" t="s">
        <v>51</v>
      </c>
      <c r="AN28" s="78" t="s">
        <v>123</v>
      </c>
      <c r="AO28" s="78">
        <v>1.4954131871900374</v>
      </c>
      <c r="AR28" s="78" t="s">
        <v>52</v>
      </c>
      <c r="AS28" s="78" t="s">
        <v>20</v>
      </c>
      <c r="AT28" s="78" t="s">
        <v>28</v>
      </c>
      <c r="AU28" s="78" t="s">
        <v>51</v>
      </c>
      <c r="AV28" s="78" t="s">
        <v>98</v>
      </c>
      <c r="AW28" s="78">
        <v>1.4173946502432502</v>
      </c>
    </row>
    <row r="29" spans="1:49" s="78" customFormat="1">
      <c r="A29" s="147" t="s">
        <v>19</v>
      </c>
      <c r="B29" s="147" t="s">
        <v>53</v>
      </c>
      <c r="C29" s="147" t="s">
        <v>0</v>
      </c>
      <c r="D29" s="147" t="s">
        <v>51</v>
      </c>
      <c r="E29" s="148" t="s">
        <v>125</v>
      </c>
      <c r="F29" s="147">
        <v>4.4950000000000001</v>
      </c>
      <c r="I29" s="76" t="s">
        <v>53</v>
      </c>
      <c r="J29" s="76" t="s">
        <v>19</v>
      </c>
      <c r="K29" s="76" t="s">
        <v>0</v>
      </c>
      <c r="L29" s="76" t="s">
        <v>51</v>
      </c>
      <c r="M29" s="76" t="s">
        <v>123</v>
      </c>
      <c r="N29" s="76">
        <v>4.556</v>
      </c>
      <c r="Q29" s="78" t="s">
        <v>53</v>
      </c>
      <c r="R29" s="78" t="s">
        <v>19</v>
      </c>
      <c r="S29" s="78" t="s">
        <v>0</v>
      </c>
      <c r="T29" s="78" t="s">
        <v>51</v>
      </c>
      <c r="U29" s="78" t="s">
        <v>124</v>
      </c>
      <c r="V29" s="78">
        <v>4.5449999999999999</v>
      </c>
      <c r="AC29" s="78" t="s">
        <v>52</v>
      </c>
      <c r="AD29" s="78" t="s">
        <v>17</v>
      </c>
      <c r="AE29" s="78" t="s">
        <v>72</v>
      </c>
      <c r="AF29" s="78" t="s">
        <v>51</v>
      </c>
      <c r="AG29" s="78" t="s">
        <v>125</v>
      </c>
      <c r="AH29" s="78">
        <v>4.3739421106982554</v>
      </c>
      <c r="AJ29" s="78" t="s">
        <v>52</v>
      </c>
      <c r="AK29" s="78" t="s">
        <v>17</v>
      </c>
      <c r="AL29" s="78" t="s">
        <v>28</v>
      </c>
      <c r="AM29" s="78" t="s">
        <v>51</v>
      </c>
      <c r="AN29" s="78" t="s">
        <v>125</v>
      </c>
      <c r="AO29" s="78">
        <v>1.4584339847358858</v>
      </c>
      <c r="AR29" s="78" t="s">
        <v>53</v>
      </c>
      <c r="AS29" s="78" t="s">
        <v>19</v>
      </c>
      <c r="AT29" s="78" t="s">
        <v>0</v>
      </c>
      <c r="AU29" s="78" t="s">
        <v>51</v>
      </c>
      <c r="AV29" s="78" t="s">
        <v>98</v>
      </c>
      <c r="AW29" s="78">
        <v>4.6130000000000004</v>
      </c>
    </row>
    <row r="30" spans="1:49" s="78" customFormat="1">
      <c r="A30" s="147" t="s">
        <v>19</v>
      </c>
      <c r="B30" s="147" t="s">
        <v>53</v>
      </c>
      <c r="C30" s="147" t="s">
        <v>7</v>
      </c>
      <c r="D30" s="147" t="s">
        <v>51</v>
      </c>
      <c r="E30" s="148" t="s">
        <v>125</v>
      </c>
      <c r="F30" s="147">
        <v>1.875</v>
      </c>
      <c r="I30" s="76" t="s">
        <v>53</v>
      </c>
      <c r="J30" s="76" t="s">
        <v>19</v>
      </c>
      <c r="K30" s="76" t="s">
        <v>7</v>
      </c>
      <c r="L30" s="76" t="s">
        <v>51</v>
      </c>
      <c r="M30" s="76" t="s">
        <v>123</v>
      </c>
      <c r="N30" s="76">
        <v>1.125</v>
      </c>
      <c r="Q30" s="78" t="s">
        <v>53</v>
      </c>
      <c r="R30" s="78" t="s">
        <v>19</v>
      </c>
      <c r="S30" s="78" t="s">
        <v>7</v>
      </c>
      <c r="T30" s="78" t="s">
        <v>51</v>
      </c>
      <c r="U30" s="78" t="s">
        <v>124</v>
      </c>
      <c r="V30" s="78">
        <v>1</v>
      </c>
      <c r="AC30" s="78" t="s">
        <v>52</v>
      </c>
      <c r="AD30" s="78" t="s">
        <v>18</v>
      </c>
      <c r="AE30" s="78" t="s">
        <v>72</v>
      </c>
      <c r="AF30" s="78" t="s">
        <v>51</v>
      </c>
      <c r="AG30" s="78" t="s">
        <v>98</v>
      </c>
      <c r="AH30" s="78">
        <v>4.1539931569602002</v>
      </c>
      <c r="AJ30" s="78" t="s">
        <v>52</v>
      </c>
      <c r="AK30" s="78" t="s">
        <v>18</v>
      </c>
      <c r="AL30" s="78" t="s">
        <v>28</v>
      </c>
      <c r="AM30" s="78" t="s">
        <v>51</v>
      </c>
      <c r="AN30" s="78" t="s">
        <v>98</v>
      </c>
      <c r="AO30" s="78">
        <v>1.0807127136680399</v>
      </c>
      <c r="AR30" s="78" t="s">
        <v>53</v>
      </c>
      <c r="AS30" s="78" t="s">
        <v>19</v>
      </c>
      <c r="AT30" s="78" t="s">
        <v>7</v>
      </c>
      <c r="AU30" s="78" t="s">
        <v>51</v>
      </c>
      <c r="AV30" s="78" t="s">
        <v>98</v>
      </c>
      <c r="AW30" s="78">
        <v>1.75</v>
      </c>
    </row>
    <row r="31" spans="1:49" s="78" customFormat="1">
      <c r="A31" s="147" t="s">
        <v>19</v>
      </c>
      <c r="B31" s="147" t="s">
        <v>53</v>
      </c>
      <c r="C31" s="147" t="s">
        <v>25</v>
      </c>
      <c r="D31" s="147" t="s">
        <v>51</v>
      </c>
      <c r="E31" s="148" t="s">
        <v>125</v>
      </c>
      <c r="F31" s="147">
        <v>3.625</v>
      </c>
      <c r="I31" s="76" t="s">
        <v>53</v>
      </c>
      <c r="J31" s="76" t="s">
        <v>19</v>
      </c>
      <c r="K31" s="76" t="s">
        <v>25</v>
      </c>
      <c r="L31" s="76" t="s">
        <v>51</v>
      </c>
      <c r="M31" s="76" t="s">
        <v>123</v>
      </c>
      <c r="N31" s="76">
        <v>3.75</v>
      </c>
      <c r="Q31" s="78" t="s">
        <v>53</v>
      </c>
      <c r="R31" s="78" t="s">
        <v>19</v>
      </c>
      <c r="S31" s="78" t="s">
        <v>25</v>
      </c>
      <c r="T31" s="78" t="s">
        <v>51</v>
      </c>
      <c r="U31" s="78" t="s">
        <v>124</v>
      </c>
      <c r="V31" s="78">
        <v>3.75</v>
      </c>
      <c r="AC31" s="78" t="s">
        <v>52</v>
      </c>
      <c r="AD31" s="78" t="s">
        <v>18</v>
      </c>
      <c r="AE31" s="78" t="s">
        <v>72</v>
      </c>
      <c r="AF31" s="78" t="s">
        <v>51</v>
      </c>
      <c r="AG31" s="78" t="s">
        <v>96</v>
      </c>
      <c r="AH31" s="78">
        <v>4.1863869638007634</v>
      </c>
      <c r="AJ31" s="78" t="s">
        <v>52</v>
      </c>
      <c r="AK31" s="78" t="s">
        <v>18</v>
      </c>
      <c r="AL31" s="78" t="s">
        <v>28</v>
      </c>
      <c r="AM31" s="78" t="s">
        <v>51</v>
      </c>
      <c r="AN31" s="78" t="s">
        <v>96</v>
      </c>
      <c r="AO31" s="78">
        <v>1.0236217114382038</v>
      </c>
      <c r="AR31" s="78" t="s">
        <v>53</v>
      </c>
      <c r="AS31" s="78" t="s">
        <v>19</v>
      </c>
      <c r="AT31" s="78" t="s">
        <v>25</v>
      </c>
      <c r="AU31" s="78" t="s">
        <v>51</v>
      </c>
      <c r="AV31" s="78" t="s">
        <v>98</v>
      </c>
      <c r="AW31" s="78">
        <v>3.75</v>
      </c>
    </row>
    <row r="32" spans="1:49" s="78" customFormat="1">
      <c r="A32" s="147" t="s">
        <v>20</v>
      </c>
      <c r="B32" s="147" t="s">
        <v>53</v>
      </c>
      <c r="C32" s="147" t="s">
        <v>72</v>
      </c>
      <c r="D32" s="147" t="s">
        <v>51</v>
      </c>
      <c r="E32" s="148" t="s">
        <v>125</v>
      </c>
      <c r="F32" s="147">
        <v>4.1630000000000003</v>
      </c>
      <c r="I32" s="76" t="s">
        <v>53</v>
      </c>
      <c r="J32" s="76" t="s">
        <v>20</v>
      </c>
      <c r="K32" s="76" t="s">
        <v>72</v>
      </c>
      <c r="L32" s="76" t="s">
        <v>51</v>
      </c>
      <c r="M32" s="76" t="s">
        <v>123</v>
      </c>
      <c r="N32" s="76">
        <v>4.2906250000000004</v>
      </c>
      <c r="Q32" s="78" t="s">
        <v>53</v>
      </c>
      <c r="R32" s="78" t="s">
        <v>20</v>
      </c>
      <c r="S32" s="78" t="s">
        <v>72</v>
      </c>
      <c r="T32" s="78" t="s">
        <v>51</v>
      </c>
      <c r="U32" s="78" t="s">
        <v>124</v>
      </c>
      <c r="V32" s="78">
        <v>4.2588749999999997</v>
      </c>
      <c r="AC32" s="78" t="s">
        <v>52</v>
      </c>
      <c r="AD32" s="78" t="s">
        <v>18</v>
      </c>
      <c r="AE32" s="78" t="s">
        <v>72</v>
      </c>
      <c r="AF32" s="78" t="s">
        <v>51</v>
      </c>
      <c r="AG32" s="78" t="s">
        <v>97</v>
      </c>
      <c r="AH32" s="78">
        <v>4.2161439941639536</v>
      </c>
      <c r="AJ32" s="78" t="s">
        <v>52</v>
      </c>
      <c r="AK32" s="78" t="s">
        <v>18</v>
      </c>
      <c r="AL32" s="78" t="s">
        <v>28</v>
      </c>
      <c r="AM32" s="78" t="s">
        <v>51</v>
      </c>
      <c r="AN32" s="78" t="s">
        <v>97</v>
      </c>
      <c r="AO32" s="78">
        <v>1.0831985963852633</v>
      </c>
      <c r="AR32" s="78" t="s">
        <v>53</v>
      </c>
      <c r="AS32" s="78" t="s">
        <v>20</v>
      </c>
      <c r="AT32" s="78" t="s">
        <v>72</v>
      </c>
      <c r="AU32" s="78" t="s">
        <v>51</v>
      </c>
      <c r="AV32" s="78" t="s">
        <v>98</v>
      </c>
      <c r="AW32" s="78">
        <v>4.2592500000000006</v>
      </c>
    </row>
    <row r="33" spans="1:49" s="78" customFormat="1">
      <c r="A33" s="147" t="s">
        <v>20</v>
      </c>
      <c r="B33" s="147" t="s">
        <v>53</v>
      </c>
      <c r="C33" s="147" t="s">
        <v>0</v>
      </c>
      <c r="D33" s="147" t="s">
        <v>51</v>
      </c>
      <c r="E33" s="148" t="s">
        <v>125</v>
      </c>
      <c r="F33" s="147">
        <v>5.0430000000000001</v>
      </c>
      <c r="I33" s="76" t="s">
        <v>53</v>
      </c>
      <c r="J33" s="76" t="s">
        <v>20</v>
      </c>
      <c r="K33" s="76" t="s">
        <v>0</v>
      </c>
      <c r="L33" s="76" t="s">
        <v>51</v>
      </c>
      <c r="M33" s="76" t="s">
        <v>123</v>
      </c>
      <c r="N33" s="76">
        <v>5.17</v>
      </c>
      <c r="Q33" s="78" t="s">
        <v>53</v>
      </c>
      <c r="R33" s="78" t="s">
        <v>20</v>
      </c>
      <c r="S33" s="78" t="s">
        <v>0</v>
      </c>
      <c r="T33" s="78" t="s">
        <v>51</v>
      </c>
      <c r="U33" s="78" t="s">
        <v>124</v>
      </c>
      <c r="V33" s="78">
        <v>5.1580000000000004</v>
      </c>
      <c r="AC33" s="78" t="s">
        <v>52</v>
      </c>
      <c r="AD33" s="78" t="s">
        <v>18</v>
      </c>
      <c r="AE33" s="78" t="s">
        <v>72</v>
      </c>
      <c r="AF33" s="78" t="s">
        <v>51</v>
      </c>
      <c r="AG33" s="78" t="s">
        <v>101</v>
      </c>
      <c r="AH33" s="78">
        <v>4.1543680910694123</v>
      </c>
      <c r="AJ33" s="78" t="s">
        <v>52</v>
      </c>
      <c r="AK33" s="78" t="s">
        <v>18</v>
      </c>
      <c r="AL33" s="78" t="s">
        <v>28</v>
      </c>
      <c r="AM33" s="78" t="s">
        <v>51</v>
      </c>
      <c r="AN33" s="78" t="s">
        <v>101</v>
      </c>
      <c r="AO33" s="78">
        <v>1.1134053714828922</v>
      </c>
      <c r="AR33" s="78" t="s">
        <v>53</v>
      </c>
      <c r="AS33" s="78" t="s">
        <v>20</v>
      </c>
      <c r="AT33" s="78" t="s">
        <v>0</v>
      </c>
      <c r="AU33" s="78" t="s">
        <v>51</v>
      </c>
      <c r="AV33" s="78" t="s">
        <v>98</v>
      </c>
      <c r="AW33" s="78">
        <v>5.26</v>
      </c>
    </row>
    <row r="34" spans="1:49" s="78" customFormat="1">
      <c r="A34" s="147" t="s">
        <v>20</v>
      </c>
      <c r="B34" s="147" t="s">
        <v>53</v>
      </c>
      <c r="C34" s="147" t="s">
        <v>40</v>
      </c>
      <c r="D34" s="147" t="s">
        <v>51</v>
      </c>
      <c r="E34" s="148" t="s">
        <v>125</v>
      </c>
      <c r="F34" s="147">
        <v>6804</v>
      </c>
      <c r="I34" s="76" t="s">
        <v>53</v>
      </c>
      <c r="J34" s="76" t="s">
        <v>20</v>
      </c>
      <c r="K34" s="76" t="s">
        <v>40</v>
      </c>
      <c r="L34" s="76" t="s">
        <v>51</v>
      </c>
      <c r="M34" s="76" t="s">
        <v>123</v>
      </c>
      <c r="N34" s="76">
        <v>6825</v>
      </c>
      <c r="Q34" s="78" t="s">
        <v>53</v>
      </c>
      <c r="R34" s="78" t="s">
        <v>20</v>
      </c>
      <c r="S34" s="78" t="s">
        <v>40</v>
      </c>
      <c r="T34" s="78" t="s">
        <v>51</v>
      </c>
      <c r="U34" s="78" t="s">
        <v>124</v>
      </c>
      <c r="V34" s="78">
        <v>6571</v>
      </c>
      <c r="AC34" s="78" t="s">
        <v>52</v>
      </c>
      <c r="AD34" s="78" t="s">
        <v>18</v>
      </c>
      <c r="AE34" s="78" t="s">
        <v>72</v>
      </c>
      <c r="AF34" s="78" t="s">
        <v>51</v>
      </c>
      <c r="AG34" s="78" t="s">
        <v>102</v>
      </c>
      <c r="AH34" s="78">
        <v>4.0923610563473902</v>
      </c>
      <c r="AJ34" s="78" t="s">
        <v>52</v>
      </c>
      <c r="AK34" s="78" t="s">
        <v>18</v>
      </c>
      <c r="AL34" s="78" t="s">
        <v>28</v>
      </c>
      <c r="AM34" s="78" t="s">
        <v>51</v>
      </c>
      <c r="AN34" s="78" t="s">
        <v>102</v>
      </c>
      <c r="AO34" s="78">
        <v>1.0825091444054298</v>
      </c>
      <c r="AR34" s="78" t="s">
        <v>53</v>
      </c>
      <c r="AS34" s="78" t="s">
        <v>20</v>
      </c>
      <c r="AT34" s="78" t="s">
        <v>40</v>
      </c>
      <c r="AU34" s="78" t="s">
        <v>51</v>
      </c>
      <c r="AV34" s="78" t="s">
        <v>98</v>
      </c>
      <c r="AW34" s="78">
        <v>5574</v>
      </c>
    </row>
    <row r="35" spans="1:49" s="78" customFormat="1">
      <c r="A35" s="147" t="s">
        <v>20</v>
      </c>
      <c r="B35" s="147" t="s">
        <v>53</v>
      </c>
      <c r="C35" s="147" t="s">
        <v>1</v>
      </c>
      <c r="D35" s="147" t="s">
        <v>51</v>
      </c>
      <c r="E35" s="148" t="s">
        <v>125</v>
      </c>
      <c r="F35" s="147">
        <v>200000</v>
      </c>
      <c r="I35" s="76" t="s">
        <v>53</v>
      </c>
      <c r="J35" s="76" t="s">
        <v>20</v>
      </c>
      <c r="K35" s="76" t="s">
        <v>1</v>
      </c>
      <c r="L35" s="76" t="s">
        <v>51</v>
      </c>
      <c r="M35" s="76" t="s">
        <v>123</v>
      </c>
      <c r="N35" s="76">
        <v>200000</v>
      </c>
      <c r="Q35" s="78" t="s">
        <v>53</v>
      </c>
      <c r="R35" s="78" t="s">
        <v>20</v>
      </c>
      <c r="S35" s="78" t="s">
        <v>1</v>
      </c>
      <c r="T35" s="78" t="s">
        <v>51</v>
      </c>
      <c r="U35" s="78" t="s">
        <v>124</v>
      </c>
      <c r="V35" s="78">
        <v>200000</v>
      </c>
      <c r="AC35" s="78" t="s">
        <v>52</v>
      </c>
      <c r="AD35" s="78" t="s">
        <v>18</v>
      </c>
      <c r="AE35" s="78" t="s">
        <v>72</v>
      </c>
      <c r="AF35" s="78" t="s">
        <v>51</v>
      </c>
      <c r="AG35" s="78" t="s">
        <v>103</v>
      </c>
      <c r="AH35" s="78">
        <v>4.0627523635008007</v>
      </c>
      <c r="AJ35" s="78" t="s">
        <v>52</v>
      </c>
      <c r="AK35" s="78" t="s">
        <v>18</v>
      </c>
      <c r="AL35" s="78" t="s">
        <v>28</v>
      </c>
      <c r="AM35" s="78" t="s">
        <v>51</v>
      </c>
      <c r="AN35" s="78" t="s">
        <v>103</v>
      </c>
      <c r="AO35" s="78">
        <v>1.083606967260841</v>
      </c>
      <c r="AR35" s="78" t="s">
        <v>53</v>
      </c>
      <c r="AS35" s="78" t="s">
        <v>20</v>
      </c>
      <c r="AT35" s="78" t="s">
        <v>1</v>
      </c>
      <c r="AU35" s="78" t="s">
        <v>51</v>
      </c>
      <c r="AV35" s="78" t="s">
        <v>98</v>
      </c>
      <c r="AW35" s="78">
        <v>200000</v>
      </c>
    </row>
    <row r="36" spans="1:49" s="78" customFormat="1">
      <c r="A36" s="147" t="s">
        <v>20</v>
      </c>
      <c r="B36" s="147" t="s">
        <v>53</v>
      </c>
      <c r="C36" s="147" t="s">
        <v>7</v>
      </c>
      <c r="D36" s="147" t="s">
        <v>51</v>
      </c>
      <c r="E36" s="148" t="s">
        <v>125</v>
      </c>
      <c r="F36" s="147">
        <v>1</v>
      </c>
      <c r="I36" s="76" t="s">
        <v>53</v>
      </c>
      <c r="J36" s="76" t="s">
        <v>20</v>
      </c>
      <c r="K36" s="76" t="s">
        <v>7</v>
      </c>
      <c r="L36" s="76" t="s">
        <v>51</v>
      </c>
      <c r="M36" s="76" t="s">
        <v>123</v>
      </c>
      <c r="N36" s="76">
        <v>1</v>
      </c>
      <c r="Q36" s="78" t="s">
        <v>53</v>
      </c>
      <c r="R36" s="78" t="s">
        <v>20</v>
      </c>
      <c r="S36" s="78" t="s">
        <v>7</v>
      </c>
      <c r="T36" s="78" t="s">
        <v>51</v>
      </c>
      <c r="U36" s="78" t="s">
        <v>124</v>
      </c>
      <c r="V36" s="78">
        <v>1</v>
      </c>
      <c r="AC36" s="78" t="s">
        <v>52</v>
      </c>
      <c r="AD36" s="78" t="s">
        <v>18</v>
      </c>
      <c r="AE36" s="78" t="s">
        <v>72</v>
      </c>
      <c r="AF36" s="78" t="s">
        <v>51</v>
      </c>
      <c r="AG36" s="78" t="s">
        <v>104</v>
      </c>
      <c r="AH36" s="78">
        <v>4.0627523635008007</v>
      </c>
      <c r="AJ36" s="78" t="s">
        <v>52</v>
      </c>
      <c r="AK36" s="78" t="s">
        <v>18</v>
      </c>
      <c r="AL36" s="78" t="s">
        <v>28</v>
      </c>
      <c r="AM36" s="78" t="s">
        <v>51</v>
      </c>
      <c r="AN36" s="78" t="s">
        <v>104</v>
      </c>
      <c r="AO36" s="78">
        <v>1.010759557780011</v>
      </c>
      <c r="AR36" s="78" t="s">
        <v>53</v>
      </c>
      <c r="AS36" s="78" t="s">
        <v>20</v>
      </c>
      <c r="AT36" s="78" t="s">
        <v>7</v>
      </c>
      <c r="AU36" s="78" t="s">
        <v>51</v>
      </c>
      <c r="AV36" s="78" t="s">
        <v>98</v>
      </c>
      <c r="AW36" s="78">
        <v>1</v>
      </c>
    </row>
    <row r="37" spans="1:49" s="78" customFormat="1">
      <c r="A37" s="147" t="s">
        <v>20</v>
      </c>
      <c r="B37" s="147" t="s">
        <v>53</v>
      </c>
      <c r="C37" s="147" t="s">
        <v>25</v>
      </c>
      <c r="D37" s="147" t="s">
        <v>51</v>
      </c>
      <c r="E37" s="148" t="s">
        <v>125</v>
      </c>
      <c r="F37" s="147">
        <v>4</v>
      </c>
      <c r="I37" s="76" t="s">
        <v>53</v>
      </c>
      <c r="J37" s="76" t="s">
        <v>20</v>
      </c>
      <c r="K37" s="76" t="s">
        <v>25</v>
      </c>
      <c r="L37" s="76" t="s">
        <v>51</v>
      </c>
      <c r="M37" s="76" t="s">
        <v>123</v>
      </c>
      <c r="N37" s="76">
        <v>4.125</v>
      </c>
      <c r="Q37" s="78" t="s">
        <v>53</v>
      </c>
      <c r="R37" s="78" t="s">
        <v>20</v>
      </c>
      <c r="S37" s="78" t="s">
        <v>25</v>
      </c>
      <c r="T37" s="78" t="s">
        <v>51</v>
      </c>
      <c r="U37" s="78" t="s">
        <v>124</v>
      </c>
      <c r="V37" s="78">
        <v>4.125</v>
      </c>
      <c r="AC37" s="78" t="s">
        <v>52</v>
      </c>
      <c r="AD37" s="78" t="s">
        <v>18</v>
      </c>
      <c r="AE37" s="78" t="s">
        <v>72</v>
      </c>
      <c r="AF37" s="78" t="s">
        <v>51</v>
      </c>
      <c r="AG37" s="78" t="s">
        <v>105</v>
      </c>
      <c r="AH37" s="78">
        <v>4.1867556587570789</v>
      </c>
      <c r="AJ37" s="78" t="s">
        <v>52</v>
      </c>
      <c r="AK37" s="78" t="s">
        <v>18</v>
      </c>
      <c r="AL37" s="78" t="s">
        <v>28</v>
      </c>
      <c r="AM37" s="78" t="s">
        <v>51</v>
      </c>
      <c r="AN37" s="78" t="s">
        <v>105</v>
      </c>
      <c r="AO37" s="78">
        <v>1.0398411621313595</v>
      </c>
      <c r="AR37" s="78" t="s">
        <v>53</v>
      </c>
      <c r="AS37" s="78" t="s">
        <v>20</v>
      </c>
      <c r="AT37" s="78" t="s">
        <v>25</v>
      </c>
      <c r="AU37" s="78" t="s">
        <v>51</v>
      </c>
      <c r="AV37" s="78" t="s">
        <v>98</v>
      </c>
      <c r="AW37" s="78">
        <v>4.25</v>
      </c>
    </row>
    <row r="38" spans="1:49" s="78" customFormat="1">
      <c r="A38" s="147" t="s">
        <v>20</v>
      </c>
      <c r="B38" s="147" t="s">
        <v>53</v>
      </c>
      <c r="C38" s="147" t="s">
        <v>28</v>
      </c>
      <c r="D38" s="147" t="s">
        <v>51</v>
      </c>
      <c r="E38" s="148" t="s">
        <v>125</v>
      </c>
      <c r="F38" s="147">
        <v>1.4191504327559101</v>
      </c>
      <c r="I38" s="76" t="s">
        <v>53</v>
      </c>
      <c r="J38" s="76" t="s">
        <v>20</v>
      </c>
      <c r="K38" s="76" t="s">
        <v>28</v>
      </c>
      <c r="L38" s="76" t="s">
        <v>51</v>
      </c>
      <c r="M38" s="76" t="s">
        <v>123</v>
      </c>
      <c r="N38" s="76">
        <v>1.4633944088817499</v>
      </c>
      <c r="Q38" s="78" t="s">
        <v>53</v>
      </c>
      <c r="R38" s="78" t="s">
        <v>20</v>
      </c>
      <c r="S38" s="78" t="s">
        <v>28</v>
      </c>
      <c r="T38" s="78" t="s">
        <v>51</v>
      </c>
      <c r="U38" s="78" t="s">
        <v>124</v>
      </c>
      <c r="V38" s="78">
        <v>1.4190409974948601</v>
      </c>
      <c r="AC38" s="78" t="s">
        <v>52</v>
      </c>
      <c r="AD38" s="78" t="s">
        <v>18</v>
      </c>
      <c r="AE38" s="78" t="s">
        <v>72</v>
      </c>
      <c r="AF38" s="78" t="s">
        <v>51</v>
      </c>
      <c r="AG38" s="78" t="s">
        <v>106</v>
      </c>
      <c r="AH38" s="78">
        <v>4.1863869638007634</v>
      </c>
      <c r="AJ38" s="78" t="s">
        <v>52</v>
      </c>
      <c r="AK38" s="78" t="s">
        <v>18</v>
      </c>
      <c r="AL38" s="78" t="s">
        <v>28</v>
      </c>
      <c r="AM38" s="78" t="s">
        <v>51</v>
      </c>
      <c r="AN38" s="78" t="s">
        <v>106</v>
      </c>
      <c r="AO38" s="78">
        <v>1.0423068026676641</v>
      </c>
      <c r="AR38" s="78" t="s">
        <v>53</v>
      </c>
      <c r="AS38" s="78" t="s">
        <v>20</v>
      </c>
      <c r="AT38" s="78" t="s">
        <v>28</v>
      </c>
      <c r="AU38" s="78" t="s">
        <v>51</v>
      </c>
      <c r="AV38" s="78" t="s">
        <v>98</v>
      </c>
      <c r="AW38" s="78">
        <v>1.3771351200344106</v>
      </c>
    </row>
    <row r="39" spans="1:49" s="78" customFormat="1">
      <c r="A39" s="147" t="s">
        <v>20</v>
      </c>
      <c r="B39" s="147" t="s">
        <v>53</v>
      </c>
      <c r="C39" s="147" t="s">
        <v>41</v>
      </c>
      <c r="D39" s="147" t="s">
        <v>51</v>
      </c>
      <c r="E39" s="148" t="s">
        <v>125</v>
      </c>
      <c r="F39" s="147">
        <v>3500</v>
      </c>
      <c r="I39" s="76" t="s">
        <v>53</v>
      </c>
      <c r="J39" s="76" t="s">
        <v>20</v>
      </c>
      <c r="K39" s="76" t="s">
        <v>41</v>
      </c>
      <c r="L39" s="76" t="s">
        <v>51</v>
      </c>
      <c r="M39" s="76" t="s">
        <v>123</v>
      </c>
      <c r="N39" s="76">
        <v>3500</v>
      </c>
      <c r="Q39" s="78" t="s">
        <v>53</v>
      </c>
      <c r="R39" s="78" t="s">
        <v>20</v>
      </c>
      <c r="S39" s="78" t="s">
        <v>41</v>
      </c>
      <c r="T39" s="78" t="s">
        <v>51</v>
      </c>
      <c r="U39" s="78" t="s">
        <v>124</v>
      </c>
      <c r="V39" s="78">
        <v>3500</v>
      </c>
      <c r="AC39" s="78" t="s">
        <v>52</v>
      </c>
      <c r="AD39" s="78" t="s">
        <v>18</v>
      </c>
      <c r="AE39" s="78" t="s">
        <v>72</v>
      </c>
      <c r="AF39" s="78" t="s">
        <v>51</v>
      </c>
      <c r="AG39" s="78" t="s">
        <v>107</v>
      </c>
      <c r="AH39" s="78">
        <v>4.1867556587570789</v>
      </c>
      <c r="AJ39" s="78" t="s">
        <v>52</v>
      </c>
      <c r="AK39" s="78" t="s">
        <v>18</v>
      </c>
      <c r="AL39" s="78" t="s">
        <v>28</v>
      </c>
      <c r="AM39" s="78" t="s">
        <v>51</v>
      </c>
      <c r="AN39" s="78" t="s">
        <v>107</v>
      </c>
      <c r="AO39" s="78">
        <v>1.0786491057373591</v>
      </c>
      <c r="AR39" s="78" t="s">
        <v>53</v>
      </c>
      <c r="AS39" s="78" t="s">
        <v>20</v>
      </c>
      <c r="AT39" s="78" t="s">
        <v>41</v>
      </c>
      <c r="AU39" s="78" t="s">
        <v>51</v>
      </c>
      <c r="AV39" s="78" t="s">
        <v>98</v>
      </c>
      <c r="AW39" s="78">
        <v>3500</v>
      </c>
    </row>
    <row r="40" spans="1:49" s="78" customFormat="1">
      <c r="A40" s="78" t="s">
        <v>20</v>
      </c>
      <c r="B40" s="78" t="s">
        <v>54</v>
      </c>
      <c r="C40" s="78" t="s">
        <v>72</v>
      </c>
      <c r="D40" s="78" t="s">
        <v>51</v>
      </c>
      <c r="E40" s="79" t="s">
        <v>125</v>
      </c>
      <c r="F40" s="78">
        <v>4.0771627490827687</v>
      </c>
      <c r="I40" s="76" t="s">
        <v>54</v>
      </c>
      <c r="J40" s="76" t="s">
        <v>20</v>
      </c>
      <c r="K40" s="76" t="s">
        <v>72</v>
      </c>
      <c r="L40" s="76" t="s">
        <v>51</v>
      </c>
      <c r="M40" s="76" t="s">
        <v>123</v>
      </c>
      <c r="N40" s="76">
        <v>4.2496377008409834</v>
      </c>
      <c r="Q40" s="78" t="s">
        <v>54</v>
      </c>
      <c r="R40" s="78" t="s">
        <v>20</v>
      </c>
      <c r="S40" s="78" t="s">
        <v>72</v>
      </c>
      <c r="T40" s="78" t="s">
        <v>51</v>
      </c>
      <c r="U40" s="78" t="s">
        <v>124</v>
      </c>
      <c r="V40" s="78">
        <v>4.1887316643249344</v>
      </c>
      <c r="AC40" s="78" t="s">
        <v>52</v>
      </c>
      <c r="AD40" s="78" t="s">
        <v>18</v>
      </c>
      <c r="AE40" s="78" t="s">
        <v>72</v>
      </c>
      <c r="AF40" s="78" t="s">
        <v>51</v>
      </c>
      <c r="AG40" s="78" t="s">
        <v>108</v>
      </c>
      <c r="AH40" s="78">
        <v>4.1543680910694123</v>
      </c>
      <c r="AJ40" s="78" t="s">
        <v>52</v>
      </c>
      <c r="AK40" s="78" t="s">
        <v>18</v>
      </c>
      <c r="AL40" s="78" t="s">
        <v>28</v>
      </c>
      <c r="AM40" s="78" t="s">
        <v>51</v>
      </c>
      <c r="AN40" s="78" t="s">
        <v>108</v>
      </c>
      <c r="AO40" s="78">
        <v>1.0891799655927026</v>
      </c>
      <c r="AR40" s="78" t="s">
        <v>54</v>
      </c>
      <c r="AS40" s="78" t="s">
        <v>20</v>
      </c>
      <c r="AT40" s="78" t="s">
        <v>72</v>
      </c>
      <c r="AU40" s="78" t="s">
        <v>51</v>
      </c>
      <c r="AV40" s="78" t="s">
        <v>98</v>
      </c>
      <c r="AW40" s="78">
        <v>4.2717089165741537</v>
      </c>
    </row>
    <row r="41" spans="1:49" s="78" customFormat="1">
      <c r="A41" s="78" t="s">
        <v>20</v>
      </c>
      <c r="B41" s="78" t="s">
        <v>54</v>
      </c>
      <c r="C41" s="78" t="s">
        <v>0</v>
      </c>
      <c r="D41" s="78" t="s">
        <v>51</v>
      </c>
      <c r="E41" s="79" t="s">
        <v>125</v>
      </c>
      <c r="F41" s="78">
        <v>4.2569999999999997</v>
      </c>
      <c r="I41" s="76" t="s">
        <v>54</v>
      </c>
      <c r="J41" s="76" t="s">
        <v>20</v>
      </c>
      <c r="K41" s="76" t="s">
        <v>0</v>
      </c>
      <c r="L41" s="76" t="s">
        <v>51</v>
      </c>
      <c r="M41" s="76" t="s">
        <v>123</v>
      </c>
      <c r="N41" s="76">
        <v>4.2729999999999997</v>
      </c>
      <c r="Q41" s="78" t="s">
        <v>54</v>
      </c>
      <c r="R41" s="78" t="s">
        <v>20</v>
      </c>
      <c r="S41" s="78" t="s">
        <v>0</v>
      </c>
      <c r="T41" s="78" t="s">
        <v>51</v>
      </c>
      <c r="U41" s="78" t="s">
        <v>124</v>
      </c>
      <c r="V41" s="78">
        <v>4.2629999999999999</v>
      </c>
      <c r="AC41" s="78" t="s">
        <v>52</v>
      </c>
      <c r="AD41" s="78" t="s">
        <v>18</v>
      </c>
      <c r="AE41" s="78" t="s">
        <v>72</v>
      </c>
      <c r="AF41" s="78" t="s">
        <v>51</v>
      </c>
      <c r="AG41" s="78" t="s">
        <v>100</v>
      </c>
      <c r="AH41" s="78">
        <v>4.1248698203088709</v>
      </c>
      <c r="AJ41" s="78" t="s">
        <v>52</v>
      </c>
      <c r="AK41" s="78" t="s">
        <v>18</v>
      </c>
      <c r="AL41" s="78" t="s">
        <v>28</v>
      </c>
      <c r="AM41" s="78" t="s">
        <v>51</v>
      </c>
      <c r="AN41" s="78" t="s">
        <v>100</v>
      </c>
      <c r="AO41" s="78">
        <v>1.0606327250559704</v>
      </c>
      <c r="AR41" s="78" t="s">
        <v>54</v>
      </c>
      <c r="AS41" s="78" t="s">
        <v>20</v>
      </c>
      <c r="AT41" s="78" t="s">
        <v>0</v>
      </c>
      <c r="AU41" s="78" t="s">
        <v>51</v>
      </c>
      <c r="AV41" s="78" t="s">
        <v>98</v>
      </c>
      <c r="AW41" s="78">
        <v>4.3840000000000003</v>
      </c>
    </row>
    <row r="42" spans="1:49" s="78" customFormat="1">
      <c r="A42" s="78" t="s">
        <v>20</v>
      </c>
      <c r="B42" s="78" t="s">
        <v>54</v>
      </c>
      <c r="C42" s="78" t="s">
        <v>40</v>
      </c>
      <c r="D42" s="78" t="s">
        <v>51</v>
      </c>
      <c r="E42" s="79" t="s">
        <v>125</v>
      </c>
      <c r="F42" s="78">
        <v>1127</v>
      </c>
      <c r="I42" s="76" t="s">
        <v>54</v>
      </c>
      <c r="J42" s="76" t="s">
        <v>20</v>
      </c>
      <c r="K42" s="76" t="s">
        <v>40</v>
      </c>
      <c r="L42" s="76" t="s">
        <v>51</v>
      </c>
      <c r="M42" s="76" t="s">
        <v>123</v>
      </c>
      <c r="N42" s="76">
        <v>3627</v>
      </c>
      <c r="Q42" s="78" t="s">
        <v>54</v>
      </c>
      <c r="R42" s="78" t="s">
        <v>20</v>
      </c>
      <c r="S42" s="78" t="s">
        <v>40</v>
      </c>
      <c r="T42" s="78" t="s">
        <v>51</v>
      </c>
      <c r="U42" s="78" t="s">
        <v>124</v>
      </c>
      <c r="V42" s="78">
        <v>3002</v>
      </c>
      <c r="AC42" s="78" t="s">
        <v>52</v>
      </c>
      <c r="AD42" s="78" t="s">
        <v>18</v>
      </c>
      <c r="AE42" s="78" t="s">
        <v>72</v>
      </c>
      <c r="AF42" s="78" t="s">
        <v>51</v>
      </c>
      <c r="AG42" s="78" t="s">
        <v>109</v>
      </c>
      <c r="AH42" s="78">
        <v>4.0627523635008007</v>
      </c>
      <c r="AJ42" s="78" t="s">
        <v>52</v>
      </c>
      <c r="AK42" s="78" t="s">
        <v>18</v>
      </c>
      <c r="AL42" s="78" t="s">
        <v>28</v>
      </c>
      <c r="AM42" s="78" t="s">
        <v>51</v>
      </c>
      <c r="AN42" s="78" t="s">
        <v>109</v>
      </c>
      <c r="AO42" s="78">
        <v>1.0118874123115511</v>
      </c>
      <c r="AR42" s="78" t="s">
        <v>54</v>
      </c>
      <c r="AS42" s="78" t="s">
        <v>20</v>
      </c>
      <c r="AT42" s="78" t="s">
        <v>40</v>
      </c>
      <c r="AU42" s="78" t="s">
        <v>51</v>
      </c>
      <c r="AV42" s="78" t="s">
        <v>98</v>
      </c>
      <c r="AW42" s="78">
        <v>2403</v>
      </c>
    </row>
    <row r="43" spans="1:49" s="78" customFormat="1">
      <c r="A43" s="78" t="s">
        <v>20</v>
      </c>
      <c r="B43" s="78" t="s">
        <v>54</v>
      </c>
      <c r="C43" s="78" t="s">
        <v>1</v>
      </c>
      <c r="D43" s="78" t="s">
        <v>51</v>
      </c>
      <c r="E43" s="79" t="s">
        <v>125</v>
      </c>
      <c r="F43" s="78">
        <v>500000</v>
      </c>
      <c r="I43" s="76" t="s">
        <v>54</v>
      </c>
      <c r="J43" s="76" t="s">
        <v>20</v>
      </c>
      <c r="K43" s="76" t="s">
        <v>1</v>
      </c>
      <c r="L43" s="76" t="s">
        <v>51</v>
      </c>
      <c r="M43" s="76" t="s">
        <v>123</v>
      </c>
      <c r="N43" s="76">
        <v>500000</v>
      </c>
      <c r="Q43" s="78" t="s">
        <v>54</v>
      </c>
      <c r="R43" s="78" t="s">
        <v>20</v>
      </c>
      <c r="S43" s="78" t="s">
        <v>1</v>
      </c>
      <c r="T43" s="78" t="s">
        <v>51</v>
      </c>
      <c r="U43" s="78" t="s">
        <v>124</v>
      </c>
      <c r="V43" s="78">
        <v>500000</v>
      </c>
      <c r="AC43" s="78" t="s">
        <v>52</v>
      </c>
      <c r="AD43" s="78" t="s">
        <v>18</v>
      </c>
      <c r="AE43" s="78" t="s">
        <v>72</v>
      </c>
      <c r="AF43" s="78" t="s">
        <v>51</v>
      </c>
      <c r="AG43" s="78" t="s">
        <v>110</v>
      </c>
      <c r="AH43" s="78">
        <v>4.0923610563473902</v>
      </c>
      <c r="AJ43" s="78" t="s">
        <v>52</v>
      </c>
      <c r="AK43" s="78" t="s">
        <v>18</v>
      </c>
      <c r="AL43" s="78" t="s">
        <v>28</v>
      </c>
      <c r="AM43" s="78" t="s">
        <v>51</v>
      </c>
      <c r="AN43" s="78" t="s">
        <v>110</v>
      </c>
      <c r="AO43" s="78">
        <v>1.02209245388055</v>
      </c>
      <c r="AR43" s="78" t="s">
        <v>54</v>
      </c>
      <c r="AS43" s="78" t="s">
        <v>20</v>
      </c>
      <c r="AT43" s="78" t="s">
        <v>1</v>
      </c>
      <c r="AU43" s="78" t="s">
        <v>51</v>
      </c>
      <c r="AV43" s="78" t="s">
        <v>98</v>
      </c>
      <c r="AW43" s="78">
        <v>500000</v>
      </c>
    </row>
    <row r="44" spans="1:49" s="78" customFormat="1">
      <c r="A44" s="78" t="s">
        <v>20</v>
      </c>
      <c r="B44" s="78" t="s">
        <v>54</v>
      </c>
      <c r="C44" s="78" t="s">
        <v>7</v>
      </c>
      <c r="D44" s="78" t="s">
        <v>51</v>
      </c>
      <c r="E44" s="79" t="s">
        <v>125</v>
      </c>
      <c r="F44" s="78">
        <v>1</v>
      </c>
      <c r="I44" s="76" t="s">
        <v>54</v>
      </c>
      <c r="J44" s="76" t="s">
        <v>20</v>
      </c>
      <c r="K44" s="76" t="s">
        <v>7</v>
      </c>
      <c r="L44" s="76" t="s">
        <v>51</v>
      </c>
      <c r="M44" s="76" t="s">
        <v>123</v>
      </c>
      <c r="N44" s="76">
        <v>1</v>
      </c>
      <c r="Q44" s="78" t="s">
        <v>54</v>
      </c>
      <c r="R44" s="78" t="s">
        <v>20</v>
      </c>
      <c r="S44" s="78" t="s">
        <v>7</v>
      </c>
      <c r="T44" s="78" t="s">
        <v>51</v>
      </c>
      <c r="U44" s="78" t="s">
        <v>124</v>
      </c>
      <c r="V44" s="78">
        <v>1</v>
      </c>
      <c r="AC44" s="78" t="s">
        <v>52</v>
      </c>
      <c r="AD44" s="78" t="s">
        <v>18</v>
      </c>
      <c r="AE44" s="78" t="s">
        <v>72</v>
      </c>
      <c r="AF44" s="78" t="s">
        <v>51</v>
      </c>
      <c r="AG44" s="78" t="s">
        <v>111</v>
      </c>
      <c r="AH44" s="78">
        <v>4.0923610563473902</v>
      </c>
      <c r="AJ44" s="78" t="s">
        <v>52</v>
      </c>
      <c r="AK44" s="78" t="s">
        <v>18</v>
      </c>
      <c r="AL44" s="78" t="s">
        <v>28</v>
      </c>
      <c r="AM44" s="78" t="s">
        <v>51</v>
      </c>
      <c r="AN44" s="78" t="s">
        <v>111</v>
      </c>
      <c r="AO44" s="78">
        <v>1.05136246705567</v>
      </c>
      <c r="AR44" s="78" t="s">
        <v>54</v>
      </c>
      <c r="AS44" s="78" t="s">
        <v>20</v>
      </c>
      <c r="AT44" s="78" t="s">
        <v>7</v>
      </c>
      <c r="AU44" s="78" t="s">
        <v>51</v>
      </c>
      <c r="AV44" s="78" t="s">
        <v>98</v>
      </c>
      <c r="AW44" s="78">
        <v>1</v>
      </c>
    </row>
    <row r="45" spans="1:49" s="78" customFormat="1">
      <c r="A45" s="78" t="s">
        <v>20</v>
      </c>
      <c r="B45" s="78" t="s">
        <v>54</v>
      </c>
      <c r="C45" s="78" t="s">
        <v>25</v>
      </c>
      <c r="D45" s="78" t="s">
        <v>51</v>
      </c>
      <c r="E45" s="79" t="s">
        <v>125</v>
      </c>
      <c r="F45" s="78">
        <v>4.25</v>
      </c>
      <c r="I45" s="76" t="s">
        <v>54</v>
      </c>
      <c r="J45" s="76" t="s">
        <v>20</v>
      </c>
      <c r="K45" s="76" t="s">
        <v>25</v>
      </c>
      <c r="L45" s="76" t="s">
        <v>51</v>
      </c>
      <c r="M45" s="76" t="s">
        <v>123</v>
      </c>
      <c r="N45" s="76">
        <v>4.25</v>
      </c>
      <c r="Q45" s="78" t="s">
        <v>54</v>
      </c>
      <c r="R45" s="78" t="s">
        <v>20</v>
      </c>
      <c r="S45" s="78" t="s">
        <v>25</v>
      </c>
      <c r="T45" s="78" t="s">
        <v>51</v>
      </c>
      <c r="U45" s="78" t="s">
        <v>124</v>
      </c>
      <c r="V45" s="78">
        <v>4.25</v>
      </c>
      <c r="AC45" s="78" t="s">
        <v>52</v>
      </c>
      <c r="AD45" s="78" t="s">
        <v>18</v>
      </c>
      <c r="AE45" s="78" t="s">
        <v>72</v>
      </c>
      <c r="AF45" s="78" t="s">
        <v>51</v>
      </c>
      <c r="AG45" s="78" t="s">
        <v>99</v>
      </c>
      <c r="AH45" s="78">
        <v>4.1231786353861342</v>
      </c>
      <c r="AJ45" s="78" t="s">
        <v>52</v>
      </c>
      <c r="AK45" s="78" t="s">
        <v>18</v>
      </c>
      <c r="AL45" s="78" t="s">
        <v>28</v>
      </c>
      <c r="AM45" s="78" t="s">
        <v>51</v>
      </c>
      <c r="AN45" s="78" t="s">
        <v>99</v>
      </c>
      <c r="AO45" s="78">
        <v>1.0959063610201645</v>
      </c>
      <c r="AR45" s="78" t="s">
        <v>54</v>
      </c>
      <c r="AS45" s="78" t="s">
        <v>20</v>
      </c>
      <c r="AT45" s="78" t="s">
        <v>25</v>
      </c>
      <c r="AU45" s="78" t="s">
        <v>51</v>
      </c>
      <c r="AV45" s="78" t="s">
        <v>98</v>
      </c>
      <c r="AW45" s="78">
        <v>4.375</v>
      </c>
    </row>
    <row r="46" spans="1:49" s="78" customFormat="1">
      <c r="A46" s="78" t="s">
        <v>20</v>
      </c>
      <c r="B46" s="78" t="s">
        <v>54</v>
      </c>
      <c r="C46" s="78" t="s">
        <v>28</v>
      </c>
      <c r="D46" s="78" t="s">
        <v>51</v>
      </c>
      <c r="E46" s="79" t="s">
        <v>125</v>
      </c>
      <c r="F46" s="78">
        <v>1.1616546231203992</v>
      </c>
      <c r="I46" s="76" t="s">
        <v>54</v>
      </c>
      <c r="J46" s="76" t="s">
        <v>20</v>
      </c>
      <c r="K46" s="76" t="s">
        <v>28</v>
      </c>
      <c r="L46" s="76" t="s">
        <v>51</v>
      </c>
      <c r="M46" s="76" t="s">
        <v>123</v>
      </c>
      <c r="N46" s="76">
        <v>1.2551921540374531</v>
      </c>
      <c r="Q46" s="78" t="s">
        <v>54</v>
      </c>
      <c r="R46" s="78" t="s">
        <v>20</v>
      </c>
      <c r="S46" s="78" t="s">
        <v>28</v>
      </c>
      <c r="T46" s="78" t="s">
        <v>51</v>
      </c>
      <c r="U46" s="78" t="s">
        <v>124</v>
      </c>
      <c r="V46" s="78">
        <v>1.1799242349091243</v>
      </c>
      <c r="AC46" s="78" t="s">
        <v>52</v>
      </c>
      <c r="AD46" s="78" t="s">
        <v>18</v>
      </c>
      <c r="AE46" s="78" t="s">
        <v>72</v>
      </c>
      <c r="AF46" s="78" t="s">
        <v>51</v>
      </c>
      <c r="AG46" s="78" t="s">
        <v>126</v>
      </c>
      <c r="AH46" s="78">
        <v>4.1231786353861342</v>
      </c>
      <c r="AJ46" s="78" t="s">
        <v>52</v>
      </c>
      <c r="AK46" s="78" t="s">
        <v>18</v>
      </c>
      <c r="AL46" s="78" t="s">
        <v>28</v>
      </c>
      <c r="AM46" s="78" t="s">
        <v>51</v>
      </c>
      <c r="AN46" s="78" t="s">
        <v>126</v>
      </c>
      <c r="AO46" s="78">
        <v>1.1216542765386541</v>
      </c>
      <c r="AR46" s="78" t="s">
        <v>54</v>
      </c>
      <c r="AS46" s="78" t="s">
        <v>20</v>
      </c>
      <c r="AT46" s="78" t="s">
        <v>28</v>
      </c>
      <c r="AU46" s="78" t="s">
        <v>51</v>
      </c>
      <c r="AV46" s="78" t="s">
        <v>98</v>
      </c>
      <c r="AW46" s="78">
        <v>1.1984284732819939</v>
      </c>
    </row>
    <row r="47" spans="1:49" s="78" customFormat="1">
      <c r="A47" s="78" t="s">
        <v>20</v>
      </c>
      <c r="B47" s="78" t="s">
        <v>55</v>
      </c>
      <c r="C47" s="78" t="s">
        <v>72</v>
      </c>
      <c r="D47" s="78" t="s">
        <v>51</v>
      </c>
      <c r="E47" s="79" t="s">
        <v>125</v>
      </c>
      <c r="F47" s="78">
        <v>3.966305483037543</v>
      </c>
      <c r="I47" s="76" t="s">
        <v>55</v>
      </c>
      <c r="J47" s="76" t="s">
        <v>20</v>
      </c>
      <c r="K47" s="76" t="s">
        <v>72</v>
      </c>
      <c r="L47" s="76" t="s">
        <v>51</v>
      </c>
      <c r="M47" s="76" t="s">
        <v>123</v>
      </c>
      <c r="N47" s="76">
        <v>4.0557276764206129</v>
      </c>
      <c r="Q47" s="78" t="s">
        <v>55</v>
      </c>
      <c r="R47" s="78" t="s">
        <v>20</v>
      </c>
      <c r="S47" s="78" t="s">
        <v>72</v>
      </c>
      <c r="T47" s="78" t="s">
        <v>51</v>
      </c>
      <c r="U47" s="78" t="s">
        <v>124</v>
      </c>
      <c r="V47" s="78">
        <v>4.0612077500397348</v>
      </c>
      <c r="AC47" s="78" t="s">
        <v>52</v>
      </c>
      <c r="AD47" s="78" t="s">
        <v>18</v>
      </c>
      <c r="AE47" s="78" t="s">
        <v>72</v>
      </c>
      <c r="AF47" s="78" t="s">
        <v>51</v>
      </c>
      <c r="AG47" s="78" t="s">
        <v>124</v>
      </c>
      <c r="AH47" s="78">
        <v>4.0936300339223344</v>
      </c>
      <c r="AJ47" s="78" t="s">
        <v>52</v>
      </c>
      <c r="AK47" s="78" t="s">
        <v>18</v>
      </c>
      <c r="AL47" s="78" t="s">
        <v>28</v>
      </c>
      <c r="AM47" s="78" t="s">
        <v>51</v>
      </c>
      <c r="AN47" s="78" t="s">
        <v>124</v>
      </c>
      <c r="AO47" s="78">
        <v>1.0848226045065246</v>
      </c>
      <c r="AR47" s="78" t="s">
        <v>55</v>
      </c>
      <c r="AS47" s="78" t="s">
        <v>20</v>
      </c>
      <c r="AT47" s="78" t="s">
        <v>72</v>
      </c>
      <c r="AU47" s="78" t="s">
        <v>51</v>
      </c>
      <c r="AV47" s="78" t="s">
        <v>98</v>
      </c>
      <c r="AW47" s="78">
        <v>4.1873439755716797</v>
      </c>
    </row>
    <row r="48" spans="1:49" s="78" customFormat="1">
      <c r="A48" s="78" t="s">
        <v>20</v>
      </c>
      <c r="B48" s="78" t="s">
        <v>55</v>
      </c>
      <c r="C48" s="78" t="s">
        <v>0</v>
      </c>
      <c r="D48" s="78" t="s">
        <v>51</v>
      </c>
      <c r="E48" s="79" t="s">
        <v>125</v>
      </c>
      <c r="F48" s="78">
        <v>4.1310000000000002</v>
      </c>
      <c r="I48" s="76" t="s">
        <v>55</v>
      </c>
      <c r="J48" s="76" t="s">
        <v>20</v>
      </c>
      <c r="K48" s="76" t="s">
        <v>0</v>
      </c>
      <c r="L48" s="76" t="s">
        <v>51</v>
      </c>
      <c r="M48" s="76" t="s">
        <v>123</v>
      </c>
      <c r="N48" s="76">
        <v>4.1399999999999997</v>
      </c>
      <c r="Q48" s="78" t="s">
        <v>55</v>
      </c>
      <c r="R48" s="78" t="s">
        <v>20</v>
      </c>
      <c r="S48" s="78" t="s">
        <v>0</v>
      </c>
      <c r="T48" s="78" t="s">
        <v>51</v>
      </c>
      <c r="U48" s="78" t="s">
        <v>124</v>
      </c>
      <c r="V48" s="78">
        <v>4.2560000000000002</v>
      </c>
      <c r="AC48" s="78" t="s">
        <v>52</v>
      </c>
      <c r="AD48" s="78" t="s">
        <v>18</v>
      </c>
      <c r="AE48" s="78" t="s">
        <v>72</v>
      </c>
      <c r="AF48" s="78" t="s">
        <v>51</v>
      </c>
      <c r="AG48" s="78" t="s">
        <v>127</v>
      </c>
      <c r="AH48" s="78">
        <v>4.0610656170015185</v>
      </c>
      <c r="AJ48" s="78" t="s">
        <v>52</v>
      </c>
      <c r="AK48" s="78" t="s">
        <v>18</v>
      </c>
      <c r="AL48" s="78" t="s">
        <v>28</v>
      </c>
      <c r="AM48" s="78" t="s">
        <v>51</v>
      </c>
      <c r="AN48" s="78" t="s">
        <v>127</v>
      </c>
      <c r="AO48" s="78">
        <v>1.0841836356510286</v>
      </c>
      <c r="AR48" s="78" t="s">
        <v>55</v>
      </c>
      <c r="AS48" s="78" t="s">
        <v>20</v>
      </c>
      <c r="AT48" s="78" t="s">
        <v>0</v>
      </c>
      <c r="AU48" s="78" t="s">
        <v>51</v>
      </c>
      <c r="AV48" s="78" t="s">
        <v>98</v>
      </c>
      <c r="AW48" s="78">
        <v>4.3810000000000002</v>
      </c>
    </row>
    <row r="49" spans="1:49" s="78" customFormat="1">
      <c r="A49" s="78" t="s">
        <v>20</v>
      </c>
      <c r="B49" s="78" t="s">
        <v>55</v>
      </c>
      <c r="C49" s="78" t="s">
        <v>40</v>
      </c>
      <c r="D49" s="78" t="s">
        <v>51</v>
      </c>
      <c r="E49" s="79" t="s">
        <v>125</v>
      </c>
      <c r="F49" s="78">
        <v>2200</v>
      </c>
      <c r="I49" s="76" t="s">
        <v>55</v>
      </c>
      <c r="J49" s="76" t="s">
        <v>20</v>
      </c>
      <c r="K49" s="76" t="s">
        <v>40</v>
      </c>
      <c r="L49" s="76" t="s">
        <v>51</v>
      </c>
      <c r="M49" s="76" t="s">
        <v>123</v>
      </c>
      <c r="N49" s="76">
        <v>4075</v>
      </c>
      <c r="Q49" s="78" t="s">
        <v>55</v>
      </c>
      <c r="R49" s="78" t="s">
        <v>20</v>
      </c>
      <c r="S49" s="78" t="s">
        <v>40</v>
      </c>
      <c r="T49" s="78" t="s">
        <v>51</v>
      </c>
      <c r="U49" s="78" t="s">
        <v>124</v>
      </c>
      <c r="V49" s="78">
        <v>1301</v>
      </c>
      <c r="AC49" s="78" t="s">
        <v>52</v>
      </c>
      <c r="AD49" s="78" t="s">
        <v>18</v>
      </c>
      <c r="AE49" s="78" t="s">
        <v>72</v>
      </c>
      <c r="AF49" s="78" t="s">
        <v>51</v>
      </c>
      <c r="AG49" s="78" t="s">
        <v>128</v>
      </c>
      <c r="AH49" s="78">
        <v>4.0936300339223344</v>
      </c>
      <c r="AJ49" s="78" t="s">
        <v>52</v>
      </c>
      <c r="AK49" s="78" t="s">
        <v>18</v>
      </c>
      <c r="AL49" s="78" t="s">
        <v>28</v>
      </c>
      <c r="AM49" s="78" t="s">
        <v>51</v>
      </c>
      <c r="AN49" s="78" t="s">
        <v>128</v>
      </c>
      <c r="AO49" s="78">
        <v>1.1236026633522043</v>
      </c>
      <c r="AR49" s="78" t="s">
        <v>55</v>
      </c>
      <c r="AS49" s="78" t="s">
        <v>20</v>
      </c>
      <c r="AT49" s="78" t="s">
        <v>40</v>
      </c>
      <c r="AU49" s="78" t="s">
        <v>51</v>
      </c>
      <c r="AV49" s="78" t="s">
        <v>98</v>
      </c>
      <c r="AW49" s="78">
        <v>1339</v>
      </c>
    </row>
    <row r="50" spans="1:49" s="78" customFormat="1">
      <c r="A50" s="78" t="s">
        <v>20</v>
      </c>
      <c r="B50" s="78" t="s">
        <v>55</v>
      </c>
      <c r="C50" s="78" t="s">
        <v>1</v>
      </c>
      <c r="D50" s="78" t="s">
        <v>51</v>
      </c>
      <c r="E50" s="79" t="s">
        <v>125</v>
      </c>
      <c r="F50" s="78">
        <v>750000</v>
      </c>
      <c r="I50" s="76" t="s">
        <v>55</v>
      </c>
      <c r="J50" s="76" t="s">
        <v>20</v>
      </c>
      <c r="K50" s="76" t="s">
        <v>1</v>
      </c>
      <c r="L50" s="76" t="s">
        <v>51</v>
      </c>
      <c r="M50" s="76" t="s">
        <v>123</v>
      </c>
      <c r="N50" s="76">
        <v>750000</v>
      </c>
      <c r="Q50" s="78" t="s">
        <v>55</v>
      </c>
      <c r="R50" s="78" t="s">
        <v>20</v>
      </c>
      <c r="S50" s="78" t="s">
        <v>1</v>
      </c>
      <c r="T50" s="78" t="s">
        <v>51</v>
      </c>
      <c r="U50" s="78" t="s">
        <v>124</v>
      </c>
      <c r="V50" s="78">
        <v>750000</v>
      </c>
      <c r="AC50" s="78" t="s">
        <v>52</v>
      </c>
      <c r="AD50" s="78" t="s">
        <v>18</v>
      </c>
      <c r="AE50" s="78" t="s">
        <v>72</v>
      </c>
      <c r="AF50" s="78" t="s">
        <v>51</v>
      </c>
      <c r="AG50" s="78" t="s">
        <v>129</v>
      </c>
      <c r="AH50" s="78">
        <v>4.0936300339223344</v>
      </c>
      <c r="AJ50" s="78" t="s">
        <v>52</v>
      </c>
      <c r="AK50" s="78" t="s">
        <v>18</v>
      </c>
      <c r="AL50" s="78" t="s">
        <v>28</v>
      </c>
      <c r="AM50" s="78" t="s">
        <v>51</v>
      </c>
      <c r="AN50" s="78" t="s">
        <v>129</v>
      </c>
      <c r="AO50" s="78">
        <v>1.0984133460250745</v>
      </c>
      <c r="AR50" s="78" t="s">
        <v>55</v>
      </c>
      <c r="AS50" s="78" t="s">
        <v>20</v>
      </c>
      <c r="AT50" s="78" t="s">
        <v>1</v>
      </c>
      <c r="AU50" s="78" t="s">
        <v>51</v>
      </c>
      <c r="AV50" s="78" t="s">
        <v>98</v>
      </c>
      <c r="AW50" s="78">
        <v>750000</v>
      </c>
    </row>
    <row r="51" spans="1:49" s="78" customFormat="1">
      <c r="A51" s="78" t="s">
        <v>20</v>
      </c>
      <c r="B51" s="78" t="s">
        <v>55</v>
      </c>
      <c r="C51" s="78" t="s">
        <v>7</v>
      </c>
      <c r="D51" s="78" t="s">
        <v>51</v>
      </c>
      <c r="E51" s="79" t="s">
        <v>125</v>
      </c>
      <c r="F51" s="78">
        <v>1</v>
      </c>
      <c r="I51" s="76" t="s">
        <v>55</v>
      </c>
      <c r="J51" s="76" t="s">
        <v>20</v>
      </c>
      <c r="K51" s="76" t="s">
        <v>7</v>
      </c>
      <c r="L51" s="76" t="s">
        <v>51</v>
      </c>
      <c r="M51" s="76" t="s">
        <v>123</v>
      </c>
      <c r="N51" s="76">
        <v>1</v>
      </c>
      <c r="Q51" s="78" t="s">
        <v>55</v>
      </c>
      <c r="R51" s="78" t="s">
        <v>20</v>
      </c>
      <c r="S51" s="78" t="s">
        <v>7</v>
      </c>
      <c r="T51" s="78" t="s">
        <v>51</v>
      </c>
      <c r="U51" s="78" t="s">
        <v>124</v>
      </c>
      <c r="V51" s="78">
        <v>1</v>
      </c>
      <c r="AC51" s="78" t="s">
        <v>52</v>
      </c>
      <c r="AD51" s="78" t="s">
        <v>18</v>
      </c>
      <c r="AE51" s="78" t="s">
        <v>72</v>
      </c>
      <c r="AF51" s="78" t="s">
        <v>51</v>
      </c>
      <c r="AG51" s="78" t="s">
        <v>123</v>
      </c>
      <c r="AH51" s="78">
        <v>4.0936300339223344</v>
      </c>
      <c r="AJ51" s="78" t="s">
        <v>52</v>
      </c>
      <c r="AK51" s="78" t="s">
        <v>18</v>
      </c>
      <c r="AL51" s="78" t="s">
        <v>28</v>
      </c>
      <c r="AM51" s="78" t="s">
        <v>51</v>
      </c>
      <c r="AN51" s="78" t="s">
        <v>123</v>
      </c>
      <c r="AO51" s="78">
        <v>1.0991844871188046</v>
      </c>
      <c r="AR51" s="78" t="s">
        <v>55</v>
      </c>
      <c r="AS51" s="78" t="s">
        <v>20</v>
      </c>
      <c r="AT51" s="78" t="s">
        <v>7</v>
      </c>
      <c r="AU51" s="78" t="s">
        <v>51</v>
      </c>
      <c r="AV51" s="78" t="s">
        <v>98</v>
      </c>
      <c r="AW51" s="78">
        <v>1</v>
      </c>
    </row>
    <row r="52" spans="1:49" s="78" customFormat="1">
      <c r="A52" s="78" t="s">
        <v>20</v>
      </c>
      <c r="B52" s="78" t="s">
        <v>55</v>
      </c>
      <c r="C52" s="78" t="s">
        <v>25</v>
      </c>
      <c r="D52" s="78" t="s">
        <v>51</v>
      </c>
      <c r="E52" s="79" t="s">
        <v>125</v>
      </c>
      <c r="F52" s="78">
        <v>4.125</v>
      </c>
      <c r="I52" s="76" t="s">
        <v>55</v>
      </c>
      <c r="J52" s="76" t="s">
        <v>20</v>
      </c>
      <c r="K52" s="76" t="s">
        <v>25</v>
      </c>
      <c r="L52" s="76" t="s">
        <v>51</v>
      </c>
      <c r="M52" s="76" t="s">
        <v>123</v>
      </c>
      <c r="N52" s="76">
        <v>4.125</v>
      </c>
      <c r="Q52" s="78" t="s">
        <v>55</v>
      </c>
      <c r="R52" s="78" t="s">
        <v>20</v>
      </c>
      <c r="S52" s="78" t="s">
        <v>25</v>
      </c>
      <c r="T52" s="78" t="s">
        <v>51</v>
      </c>
      <c r="U52" s="78" t="s">
        <v>124</v>
      </c>
      <c r="V52" s="78">
        <v>4.25</v>
      </c>
      <c r="AC52" s="78" t="s">
        <v>52</v>
      </c>
      <c r="AD52" s="78" t="s">
        <v>18</v>
      </c>
      <c r="AE52" s="78" t="s">
        <v>72</v>
      </c>
      <c r="AF52" s="78" t="s">
        <v>51</v>
      </c>
      <c r="AG52" s="78" t="s">
        <v>125</v>
      </c>
      <c r="AH52" s="78">
        <v>3.968948344733974</v>
      </c>
      <c r="AJ52" s="78" t="s">
        <v>52</v>
      </c>
      <c r="AK52" s="78" t="s">
        <v>18</v>
      </c>
      <c r="AL52" s="78" t="s">
        <v>28</v>
      </c>
      <c r="AM52" s="78" t="s">
        <v>51</v>
      </c>
      <c r="AN52" s="78" t="s">
        <v>125</v>
      </c>
      <c r="AO52" s="78">
        <v>1.0534402187716043</v>
      </c>
      <c r="AR52" s="78" t="s">
        <v>55</v>
      </c>
      <c r="AS52" s="78" t="s">
        <v>20</v>
      </c>
      <c r="AT52" s="78" t="s">
        <v>25</v>
      </c>
      <c r="AU52" s="78" t="s">
        <v>51</v>
      </c>
      <c r="AV52" s="78" t="s">
        <v>98</v>
      </c>
      <c r="AW52" s="78">
        <v>4.375</v>
      </c>
    </row>
    <row r="53" spans="1:49" s="78" customFormat="1">
      <c r="A53" s="78" t="s">
        <v>20</v>
      </c>
      <c r="B53" s="78" t="s">
        <v>55</v>
      </c>
      <c r="C53" s="78" t="s">
        <v>28</v>
      </c>
      <c r="D53" s="78" t="s">
        <v>51</v>
      </c>
      <c r="E53" s="79" t="s">
        <v>125</v>
      </c>
      <c r="F53" s="78">
        <v>1.0507973570751734</v>
      </c>
      <c r="I53" s="76" t="s">
        <v>55</v>
      </c>
      <c r="J53" s="76" t="s">
        <v>20</v>
      </c>
      <c r="K53" s="76" t="s">
        <v>28</v>
      </c>
      <c r="L53" s="76" t="s">
        <v>51</v>
      </c>
      <c r="M53" s="76" t="s">
        <v>123</v>
      </c>
      <c r="N53" s="76">
        <v>1.0612821296170825</v>
      </c>
      <c r="Q53" s="78" t="s">
        <v>55</v>
      </c>
      <c r="R53" s="78" t="s">
        <v>20</v>
      </c>
      <c r="S53" s="78" t="s">
        <v>28</v>
      </c>
      <c r="T53" s="78" t="s">
        <v>51</v>
      </c>
      <c r="U53" s="78" t="s">
        <v>124</v>
      </c>
      <c r="V53" s="78">
        <v>1.0524003206239252</v>
      </c>
      <c r="AC53" s="78" t="s">
        <v>52</v>
      </c>
      <c r="AD53" s="78" t="s">
        <v>19</v>
      </c>
      <c r="AE53" s="78" t="s">
        <v>72</v>
      </c>
      <c r="AF53" s="78" t="s">
        <v>51</v>
      </c>
      <c r="AG53" s="78" t="s">
        <v>98</v>
      </c>
      <c r="AH53" s="78">
        <v>4.5215920109797576</v>
      </c>
      <c r="AJ53" s="78" t="s">
        <v>52</v>
      </c>
      <c r="AK53" s="78" t="s">
        <v>19</v>
      </c>
      <c r="AL53" s="78" t="s">
        <v>28</v>
      </c>
      <c r="AM53" s="78" t="s">
        <v>51</v>
      </c>
      <c r="AN53" s="78" t="s">
        <v>98</v>
      </c>
      <c r="AO53" s="78">
        <v>1.4483115676875973</v>
      </c>
      <c r="AR53" s="78" t="s">
        <v>55</v>
      </c>
      <c r="AS53" s="78" t="s">
        <v>20</v>
      </c>
      <c r="AT53" s="78" t="s">
        <v>28</v>
      </c>
      <c r="AU53" s="78" t="s">
        <v>51</v>
      </c>
      <c r="AV53" s="78" t="s">
        <v>98</v>
      </c>
      <c r="AW53" s="78">
        <v>1.11406353227952</v>
      </c>
    </row>
    <row r="54" spans="1:49" s="78" customFormat="1">
      <c r="AC54" s="78" t="s">
        <v>52</v>
      </c>
      <c r="AD54" s="78" t="s">
        <v>19</v>
      </c>
      <c r="AE54" s="78" t="s">
        <v>72</v>
      </c>
      <c r="AF54" s="78" t="s">
        <v>51</v>
      </c>
      <c r="AG54" s="78" t="s">
        <v>96</v>
      </c>
      <c r="AH54" s="78">
        <v>4.58487342616412</v>
      </c>
      <c r="AJ54" s="78" t="s">
        <v>52</v>
      </c>
      <c r="AK54" s="78" t="s">
        <v>19</v>
      </c>
      <c r="AL54" s="78" t="s">
        <v>28</v>
      </c>
      <c r="AM54" s="78" t="s">
        <v>51</v>
      </c>
      <c r="AN54" s="78" t="s">
        <v>96</v>
      </c>
      <c r="AO54" s="78">
        <v>1.4221081738015604</v>
      </c>
    </row>
    <row r="55" spans="1:49" s="78" customFormat="1">
      <c r="AC55" s="78" t="s">
        <v>52</v>
      </c>
      <c r="AD55" s="78" t="s">
        <v>19</v>
      </c>
      <c r="AE55" s="78" t="s">
        <v>72</v>
      </c>
      <c r="AF55" s="78" t="s">
        <v>51</v>
      </c>
      <c r="AG55" s="78" t="s">
        <v>97</v>
      </c>
      <c r="AH55" s="78">
        <v>4.5215920109797576</v>
      </c>
      <c r="AJ55" s="78" t="s">
        <v>52</v>
      </c>
      <c r="AK55" s="78" t="s">
        <v>19</v>
      </c>
      <c r="AL55" s="78" t="s">
        <v>28</v>
      </c>
      <c r="AM55" s="78" t="s">
        <v>51</v>
      </c>
      <c r="AN55" s="78" t="s">
        <v>97</v>
      </c>
      <c r="AO55" s="78">
        <v>1.3886466132010673</v>
      </c>
    </row>
    <row r="56" spans="1:49" s="78" customFormat="1">
      <c r="AC56" s="78" t="s">
        <v>52</v>
      </c>
      <c r="AD56" s="78" t="s">
        <v>19</v>
      </c>
      <c r="AE56" s="78" t="s">
        <v>72</v>
      </c>
      <c r="AF56" s="78" t="s">
        <v>51</v>
      </c>
      <c r="AG56" s="78" t="s">
        <v>101</v>
      </c>
      <c r="AH56" s="78">
        <v>4.5733883757567257</v>
      </c>
      <c r="AJ56" s="78" t="s">
        <v>52</v>
      </c>
      <c r="AK56" s="78" t="s">
        <v>19</v>
      </c>
      <c r="AL56" s="78" t="s">
        <v>28</v>
      </c>
      <c r="AM56" s="78" t="s">
        <v>51</v>
      </c>
      <c r="AN56" s="78" t="s">
        <v>101</v>
      </c>
      <c r="AO56" s="78">
        <v>1.5324256561702054</v>
      </c>
    </row>
    <row r="57" spans="1:49" s="78" customFormat="1">
      <c r="AC57" s="78" t="s">
        <v>52</v>
      </c>
      <c r="AD57" s="78" t="s">
        <v>19</v>
      </c>
      <c r="AE57" s="78" t="s">
        <v>72</v>
      </c>
      <c r="AF57" s="78" t="s">
        <v>51</v>
      </c>
      <c r="AG57" s="78" t="s">
        <v>102</v>
      </c>
      <c r="AH57" s="78">
        <v>4.5131838688757515</v>
      </c>
      <c r="AJ57" s="78" t="s">
        <v>52</v>
      </c>
      <c r="AK57" s="78" t="s">
        <v>19</v>
      </c>
      <c r="AL57" s="78" t="s">
        <v>28</v>
      </c>
      <c r="AM57" s="78" t="s">
        <v>51</v>
      </c>
      <c r="AN57" s="78" t="s">
        <v>102</v>
      </c>
      <c r="AO57" s="78">
        <v>1.5033319569337917</v>
      </c>
    </row>
    <row r="58" spans="1:49" s="78" customFormat="1">
      <c r="AC58" s="78" t="s">
        <v>52</v>
      </c>
      <c r="AD58" s="78" t="s">
        <v>19</v>
      </c>
      <c r="AE58" s="78" t="s">
        <v>72</v>
      </c>
      <c r="AF58" s="78" t="s">
        <v>51</v>
      </c>
      <c r="AG58" s="78" t="s">
        <v>103</v>
      </c>
      <c r="AH58" s="78">
        <v>4.5417608906253868</v>
      </c>
      <c r="AJ58" s="78" t="s">
        <v>52</v>
      </c>
      <c r="AK58" s="78" t="s">
        <v>19</v>
      </c>
      <c r="AL58" s="78" t="s">
        <v>28</v>
      </c>
      <c r="AM58" s="78" t="s">
        <v>51</v>
      </c>
      <c r="AN58" s="78" t="s">
        <v>103</v>
      </c>
      <c r="AO58" s="78">
        <v>1.5626154943854269</v>
      </c>
    </row>
    <row r="59" spans="1:49" s="78" customFormat="1">
      <c r="AC59" s="78" t="s">
        <v>52</v>
      </c>
      <c r="AD59" s="78" t="s">
        <v>19</v>
      </c>
      <c r="AE59" s="78" t="s">
        <v>72</v>
      </c>
      <c r="AF59" s="78" t="s">
        <v>51</v>
      </c>
      <c r="AG59" s="78" t="s">
        <v>104</v>
      </c>
      <c r="AH59" s="78">
        <v>4.6278726141585871</v>
      </c>
      <c r="AJ59" s="78" t="s">
        <v>52</v>
      </c>
      <c r="AK59" s="78" t="s">
        <v>19</v>
      </c>
      <c r="AL59" s="78" t="s">
        <v>28</v>
      </c>
      <c r="AM59" s="78" t="s">
        <v>51</v>
      </c>
      <c r="AN59" s="78" t="s">
        <v>104</v>
      </c>
      <c r="AO59" s="78">
        <v>1.5758798084377967</v>
      </c>
    </row>
    <row r="60" spans="1:49" s="78" customFormat="1">
      <c r="AC60" s="78" t="s">
        <v>52</v>
      </c>
      <c r="AD60" s="78" t="s">
        <v>19</v>
      </c>
      <c r="AE60" s="78" t="s">
        <v>72</v>
      </c>
      <c r="AF60" s="78" t="s">
        <v>51</v>
      </c>
      <c r="AG60" s="78" t="s">
        <v>105</v>
      </c>
      <c r="AH60" s="78">
        <v>4.6393276238687271</v>
      </c>
      <c r="AJ60" s="78" t="s">
        <v>52</v>
      </c>
      <c r="AK60" s="78" t="s">
        <v>19</v>
      </c>
      <c r="AL60" s="78" t="s">
        <v>28</v>
      </c>
      <c r="AM60" s="78" t="s">
        <v>51</v>
      </c>
      <c r="AN60" s="78" t="s">
        <v>105</v>
      </c>
      <c r="AO60" s="78">
        <v>1.4924131272430072</v>
      </c>
    </row>
    <row r="61" spans="1:49" s="78" customFormat="1">
      <c r="AC61" s="78" t="s">
        <v>52</v>
      </c>
      <c r="AD61" s="78" t="s">
        <v>19</v>
      </c>
      <c r="AE61" s="78" t="s">
        <v>72</v>
      </c>
      <c r="AF61" s="78" t="s">
        <v>51</v>
      </c>
      <c r="AG61" s="78" t="s">
        <v>106</v>
      </c>
      <c r="AH61" s="78">
        <v>4.623303488160051</v>
      </c>
      <c r="AJ61" s="78" t="s">
        <v>52</v>
      </c>
      <c r="AK61" s="78" t="s">
        <v>19</v>
      </c>
      <c r="AL61" s="78" t="s">
        <v>28</v>
      </c>
      <c r="AM61" s="78" t="s">
        <v>51</v>
      </c>
      <c r="AN61" s="78" t="s">
        <v>106</v>
      </c>
      <c r="AO61" s="78">
        <v>1.4792233270269517</v>
      </c>
    </row>
    <row r="62" spans="1:49" s="78" customFormat="1">
      <c r="AC62" s="78" t="s">
        <v>52</v>
      </c>
      <c r="AD62" s="78" t="s">
        <v>19</v>
      </c>
      <c r="AE62" s="78" t="s">
        <v>72</v>
      </c>
      <c r="AF62" s="78" t="s">
        <v>51</v>
      </c>
      <c r="AG62" s="78" t="s">
        <v>107</v>
      </c>
      <c r="AH62" s="78">
        <v>4.5647651580417525</v>
      </c>
      <c r="AJ62" s="125" t="s">
        <v>52</v>
      </c>
      <c r="AK62" s="125" t="s">
        <v>19</v>
      </c>
      <c r="AL62" s="125" t="s">
        <v>28</v>
      </c>
      <c r="AM62" s="125" t="s">
        <v>51</v>
      </c>
      <c r="AN62" s="125" t="s">
        <v>107</v>
      </c>
      <c r="AO62" s="125">
        <v>1.4566586050220325</v>
      </c>
    </row>
    <row r="63" spans="1:49" s="78" customFormat="1">
      <c r="AC63" s="78" t="s">
        <v>52</v>
      </c>
      <c r="AD63" s="78" t="s">
        <v>19</v>
      </c>
      <c r="AE63" s="78" t="s">
        <v>72</v>
      </c>
      <c r="AF63" s="78" t="s">
        <v>51</v>
      </c>
      <c r="AG63" s="78" t="s">
        <v>108</v>
      </c>
      <c r="AH63" s="78">
        <v>4.61355243920144</v>
      </c>
      <c r="AJ63" s="125" t="s">
        <v>52</v>
      </c>
      <c r="AK63" s="125" t="s">
        <v>19</v>
      </c>
      <c r="AL63" s="125" t="s">
        <v>28</v>
      </c>
      <c r="AM63" s="125" t="s">
        <v>51</v>
      </c>
      <c r="AN63" s="125" t="s">
        <v>108</v>
      </c>
      <c r="AO63" s="125">
        <v>1.5483643137247298</v>
      </c>
    </row>
    <row r="64" spans="1:49" s="78" customFormat="1">
      <c r="AC64" s="78" t="s">
        <v>52</v>
      </c>
      <c r="AD64" s="78" t="s">
        <v>19</v>
      </c>
      <c r="AE64" s="78" t="s">
        <v>72</v>
      </c>
      <c r="AF64" s="78" t="s">
        <v>51</v>
      </c>
      <c r="AG64" s="78" t="s">
        <v>100</v>
      </c>
      <c r="AH64" s="78">
        <v>4.5590153608656223</v>
      </c>
      <c r="AJ64" s="125" t="s">
        <v>52</v>
      </c>
      <c r="AK64" s="125" t="s">
        <v>19</v>
      </c>
      <c r="AL64" s="125" t="s">
        <v>28</v>
      </c>
      <c r="AM64" s="125" t="s">
        <v>51</v>
      </c>
      <c r="AN64" s="125" t="s">
        <v>100</v>
      </c>
      <c r="AO64" s="125">
        <v>1.4947782656127222</v>
      </c>
    </row>
    <row r="65" spans="29:41" s="78" customFormat="1">
      <c r="AC65" s="78" t="s">
        <v>52</v>
      </c>
      <c r="AD65" s="78" t="s">
        <v>19</v>
      </c>
      <c r="AE65" s="78" t="s">
        <v>72</v>
      </c>
      <c r="AF65" s="78" t="s">
        <v>51</v>
      </c>
      <c r="AG65" s="78" t="s">
        <v>109</v>
      </c>
      <c r="AH65" s="78">
        <v>4.5244737897027454</v>
      </c>
      <c r="AJ65" s="125" t="s">
        <v>52</v>
      </c>
      <c r="AK65" s="125" t="s">
        <v>19</v>
      </c>
      <c r="AL65" s="125" t="s">
        <v>28</v>
      </c>
      <c r="AM65" s="125" t="s">
        <v>51</v>
      </c>
      <c r="AN65" s="125" t="s">
        <v>109</v>
      </c>
      <c r="AO65" s="125">
        <v>1.4736088385134953</v>
      </c>
    </row>
    <row r="66" spans="29:41" s="78" customFormat="1">
      <c r="AC66" s="78" t="s">
        <v>52</v>
      </c>
      <c r="AD66" s="78" t="s">
        <v>19</v>
      </c>
      <c r="AE66" s="78" t="s">
        <v>72</v>
      </c>
      <c r="AF66" s="78" t="s">
        <v>51</v>
      </c>
      <c r="AG66" s="78" t="s">
        <v>110</v>
      </c>
      <c r="AH66" s="78">
        <v>4.6020892685877657</v>
      </c>
      <c r="AJ66" s="125" t="s">
        <v>52</v>
      </c>
      <c r="AK66" s="125" t="s">
        <v>19</v>
      </c>
      <c r="AL66" s="125" t="s">
        <v>28</v>
      </c>
      <c r="AM66" s="125" t="s">
        <v>51</v>
      </c>
      <c r="AN66" s="125" t="s">
        <v>110</v>
      </c>
      <c r="AO66" s="125">
        <v>1.5318206661209262</v>
      </c>
    </row>
    <row r="67" spans="29:41" s="78" customFormat="1">
      <c r="AC67" s="78" t="s">
        <v>52</v>
      </c>
      <c r="AD67" s="78" t="s">
        <v>19</v>
      </c>
      <c r="AE67" s="78" t="s">
        <v>72</v>
      </c>
      <c r="AF67" s="78" t="s">
        <v>51</v>
      </c>
      <c r="AG67" s="78" t="s">
        <v>111</v>
      </c>
      <c r="AH67" s="78">
        <v>4.6307417564501678</v>
      </c>
      <c r="AJ67" s="78" t="s">
        <v>52</v>
      </c>
      <c r="AK67" s="78" t="s">
        <v>19</v>
      </c>
      <c r="AL67" s="78" t="s">
        <v>28</v>
      </c>
      <c r="AM67" s="78" t="s">
        <v>51</v>
      </c>
      <c r="AN67" s="78" t="s">
        <v>111</v>
      </c>
      <c r="AO67" s="78">
        <v>1.5897431671584479</v>
      </c>
    </row>
    <row r="68" spans="29:41" s="78" customFormat="1">
      <c r="AC68" s="78" t="s">
        <v>52</v>
      </c>
      <c r="AD68" s="78" t="s">
        <v>19</v>
      </c>
      <c r="AE68" s="78" t="s">
        <v>72</v>
      </c>
      <c r="AF68" s="78" t="s">
        <v>51</v>
      </c>
      <c r="AG68" s="78" t="s">
        <v>99</v>
      </c>
      <c r="AH68" s="78">
        <v>4.61355243920144</v>
      </c>
      <c r="AJ68" s="78" t="s">
        <v>52</v>
      </c>
      <c r="AK68" s="78" t="s">
        <v>19</v>
      </c>
      <c r="AL68" s="78" t="s">
        <v>28</v>
      </c>
      <c r="AM68" s="78" t="s">
        <v>51</v>
      </c>
      <c r="AN68" s="78" t="s">
        <v>99</v>
      </c>
      <c r="AO68" s="78">
        <v>1.5862801648354699</v>
      </c>
    </row>
    <row r="69" spans="29:41" s="78" customFormat="1">
      <c r="AC69" s="78" t="s">
        <v>52</v>
      </c>
      <c r="AD69" s="78" t="s">
        <v>19</v>
      </c>
      <c r="AE69" s="78" t="s">
        <v>72</v>
      </c>
      <c r="AF69" s="78" t="s">
        <v>51</v>
      </c>
      <c r="AG69" s="78" t="s">
        <v>126</v>
      </c>
      <c r="AH69" s="78">
        <v>4.6421801086296943</v>
      </c>
      <c r="AJ69" s="78" t="s">
        <v>52</v>
      </c>
      <c r="AK69" s="78" t="s">
        <v>19</v>
      </c>
      <c r="AL69" s="78" t="s">
        <v>28</v>
      </c>
      <c r="AM69" s="78" t="s">
        <v>51</v>
      </c>
      <c r="AN69" s="78" t="s">
        <v>126</v>
      </c>
      <c r="AO69" s="78">
        <v>1.6406557497822147</v>
      </c>
    </row>
    <row r="70" spans="29:41" s="78" customFormat="1">
      <c r="AC70" s="78" t="s">
        <v>52</v>
      </c>
      <c r="AD70" s="78" t="s">
        <v>19</v>
      </c>
      <c r="AE70" s="78" t="s">
        <v>72</v>
      </c>
      <c r="AF70" s="78" t="s">
        <v>51</v>
      </c>
      <c r="AG70" s="78" t="s">
        <v>124</v>
      </c>
      <c r="AH70" s="78">
        <v>4.5388826043032733</v>
      </c>
      <c r="AJ70" s="78" t="s">
        <v>52</v>
      </c>
      <c r="AK70" s="78" t="s">
        <v>19</v>
      </c>
      <c r="AL70" s="78" t="s">
        <v>28</v>
      </c>
      <c r="AM70" s="78" t="s">
        <v>51</v>
      </c>
      <c r="AN70" s="78" t="s">
        <v>124</v>
      </c>
      <c r="AO70" s="78">
        <v>1.530075174887463</v>
      </c>
    </row>
    <row r="71" spans="29:41" s="78" customFormat="1">
      <c r="AC71" s="78" t="s">
        <v>52</v>
      </c>
      <c r="AD71" s="78" t="s">
        <v>19</v>
      </c>
      <c r="AE71" s="78" t="s">
        <v>72</v>
      </c>
      <c r="AF71" s="78" t="s">
        <v>51</v>
      </c>
      <c r="AG71" s="78" t="s">
        <v>127</v>
      </c>
      <c r="AH71" s="78">
        <v>4.5391078806773386</v>
      </c>
      <c r="AJ71" s="78" t="s">
        <v>52</v>
      </c>
      <c r="AK71" s="78" t="s">
        <v>19</v>
      </c>
      <c r="AL71" s="78" t="s">
        <v>28</v>
      </c>
      <c r="AM71" s="78" t="s">
        <v>51</v>
      </c>
      <c r="AN71" s="78" t="s">
        <v>127</v>
      </c>
      <c r="AO71" s="78">
        <v>1.5622258993268487</v>
      </c>
    </row>
    <row r="72" spans="29:41" s="78" customFormat="1">
      <c r="AC72" s="78" t="s">
        <v>52</v>
      </c>
      <c r="AD72" s="78" t="s">
        <v>19</v>
      </c>
      <c r="AE72" s="78" t="s">
        <v>72</v>
      </c>
      <c r="AF72" s="78" t="s">
        <v>51</v>
      </c>
      <c r="AG72" s="78" t="s">
        <v>128</v>
      </c>
      <c r="AH72" s="78">
        <v>4.5360038074512801</v>
      </c>
      <c r="AJ72" s="78" t="s">
        <v>52</v>
      </c>
      <c r="AK72" s="78" t="s">
        <v>19</v>
      </c>
      <c r="AL72" s="78" t="s">
        <v>28</v>
      </c>
      <c r="AM72" s="78" t="s">
        <v>51</v>
      </c>
      <c r="AN72" s="78" t="s">
        <v>128</v>
      </c>
      <c r="AO72" s="78">
        <v>1.5659764368811495</v>
      </c>
    </row>
    <row r="73" spans="29:41" s="78" customFormat="1">
      <c r="AC73" s="78" t="s">
        <v>52</v>
      </c>
      <c r="AD73" s="78" t="s">
        <v>19</v>
      </c>
      <c r="AE73" s="78" t="s">
        <v>72</v>
      </c>
      <c r="AF73" s="78" t="s">
        <v>51</v>
      </c>
      <c r="AG73" s="78" t="s">
        <v>129</v>
      </c>
      <c r="AH73" s="78">
        <v>4.5331244999599418</v>
      </c>
      <c r="AJ73" s="78" t="s">
        <v>52</v>
      </c>
      <c r="AK73" s="78" t="s">
        <v>19</v>
      </c>
      <c r="AL73" s="78" t="s">
        <v>28</v>
      </c>
      <c r="AM73" s="78" t="s">
        <v>51</v>
      </c>
      <c r="AN73" s="78" t="s">
        <v>129</v>
      </c>
      <c r="AO73" s="78">
        <v>1.5379078120626815</v>
      </c>
    </row>
    <row r="74" spans="29:41" s="78" customFormat="1">
      <c r="AC74" s="78" t="s">
        <v>52</v>
      </c>
      <c r="AD74" s="78" t="s">
        <v>19</v>
      </c>
      <c r="AE74" s="78" t="s">
        <v>72</v>
      </c>
      <c r="AF74" s="78" t="s">
        <v>51</v>
      </c>
      <c r="AG74" s="78" t="s">
        <v>123</v>
      </c>
      <c r="AH74" s="78">
        <v>4.5618946090091974</v>
      </c>
      <c r="AJ74" s="78" t="s">
        <v>52</v>
      </c>
      <c r="AK74" s="78" t="s">
        <v>19</v>
      </c>
      <c r="AL74" s="78" t="s">
        <v>28</v>
      </c>
      <c r="AM74" s="78" t="s">
        <v>51</v>
      </c>
      <c r="AN74" s="78" t="s">
        <v>123</v>
      </c>
      <c r="AO74" s="78">
        <v>1.5674490622056676</v>
      </c>
    </row>
    <row r="75" spans="29:41" s="78" customFormat="1">
      <c r="AC75" s="78" t="s">
        <v>52</v>
      </c>
      <c r="AD75" s="78" t="s">
        <v>19</v>
      </c>
      <c r="AE75" s="78" t="s">
        <v>72</v>
      </c>
      <c r="AF75" s="78" t="s">
        <v>51</v>
      </c>
      <c r="AG75" s="78" t="s">
        <v>125</v>
      </c>
      <c r="AH75" s="78">
        <v>4.4987637218053917</v>
      </c>
      <c r="AJ75" s="78" t="s">
        <v>52</v>
      </c>
      <c r="AK75" s="78" t="s">
        <v>19</v>
      </c>
      <c r="AL75" s="78" t="s">
        <v>28</v>
      </c>
      <c r="AM75" s="78" t="s">
        <v>51</v>
      </c>
      <c r="AN75" s="78" t="s">
        <v>125</v>
      </c>
      <c r="AO75" s="78">
        <v>1.5832555958430223</v>
      </c>
    </row>
    <row r="76" spans="29:41" s="78" customFormat="1">
      <c r="AC76" s="78" t="s">
        <v>52</v>
      </c>
      <c r="AD76" s="78" t="s">
        <v>20</v>
      </c>
      <c r="AE76" s="78" t="s">
        <v>72</v>
      </c>
      <c r="AF76" s="78" t="s">
        <v>51</v>
      </c>
      <c r="AG76" s="78" t="s">
        <v>98</v>
      </c>
      <c r="AH76" s="78">
        <v>4.4906750935354101</v>
      </c>
      <c r="AJ76" s="78" t="s">
        <v>52</v>
      </c>
      <c r="AK76" s="78" t="s">
        <v>20</v>
      </c>
      <c r="AL76" s="78" t="s">
        <v>28</v>
      </c>
      <c r="AM76" s="78" t="s">
        <v>51</v>
      </c>
      <c r="AN76" s="78" t="s">
        <v>98</v>
      </c>
      <c r="AO76" s="78">
        <v>1.4173946502432502</v>
      </c>
    </row>
    <row r="77" spans="29:41" s="78" customFormat="1">
      <c r="AC77" s="78" t="s">
        <v>52</v>
      </c>
      <c r="AD77" s="78" t="s">
        <v>20</v>
      </c>
      <c r="AE77" s="78" t="s">
        <v>72</v>
      </c>
      <c r="AF77" s="78" t="s">
        <v>51</v>
      </c>
      <c r="AG77" s="78" t="s">
        <v>96</v>
      </c>
      <c r="AH77" s="78">
        <v>4.6782163696898609</v>
      </c>
      <c r="AJ77" s="78" t="s">
        <v>52</v>
      </c>
      <c r="AK77" s="78" t="s">
        <v>20</v>
      </c>
      <c r="AL77" s="78" t="s">
        <v>28</v>
      </c>
      <c r="AM77" s="78" t="s">
        <v>51</v>
      </c>
      <c r="AN77" s="78" t="s">
        <v>96</v>
      </c>
      <c r="AO77" s="78">
        <v>1.5154511173273009</v>
      </c>
    </row>
    <row r="78" spans="29:41" s="78" customFormat="1">
      <c r="AC78" s="78" t="s">
        <v>52</v>
      </c>
      <c r="AD78" s="78" t="s">
        <v>20</v>
      </c>
      <c r="AE78" s="78" t="s">
        <v>72</v>
      </c>
      <c r="AF78" s="78" t="s">
        <v>51</v>
      </c>
      <c r="AG78" s="78" t="s">
        <v>97</v>
      </c>
      <c r="AH78" s="78">
        <v>4.5542256765749203</v>
      </c>
      <c r="AJ78" s="78" t="s">
        <v>52</v>
      </c>
      <c r="AK78" s="78" t="s">
        <v>20</v>
      </c>
      <c r="AL78" s="78" t="s">
        <v>28</v>
      </c>
      <c r="AM78" s="78" t="s">
        <v>51</v>
      </c>
      <c r="AN78" s="78" t="s">
        <v>97</v>
      </c>
      <c r="AO78" s="78">
        <v>1.4212802787962304</v>
      </c>
    </row>
    <row r="79" spans="29:41" s="78" customFormat="1">
      <c r="AC79" s="78" t="s">
        <v>52</v>
      </c>
      <c r="AD79" s="78" t="s">
        <v>20</v>
      </c>
      <c r="AE79" s="78" t="s">
        <v>72</v>
      </c>
      <c r="AF79" s="78" t="s">
        <v>51</v>
      </c>
      <c r="AG79" s="78" t="s">
        <v>101</v>
      </c>
      <c r="AH79" s="78">
        <v>4.5531147075387262</v>
      </c>
      <c r="AJ79" s="78" t="s">
        <v>52</v>
      </c>
      <c r="AK79" s="78" t="s">
        <v>20</v>
      </c>
      <c r="AL79" s="78" t="s">
        <v>28</v>
      </c>
      <c r="AM79" s="78" t="s">
        <v>51</v>
      </c>
      <c r="AN79" s="78" t="s">
        <v>101</v>
      </c>
      <c r="AO79" s="78">
        <v>1.5121519879522058</v>
      </c>
    </row>
    <row r="80" spans="29:41" s="78" customFormat="1">
      <c r="AC80" s="78" t="s">
        <v>52</v>
      </c>
      <c r="AD80" s="78" t="s">
        <v>20</v>
      </c>
      <c r="AE80" s="78" t="s">
        <v>72</v>
      </c>
      <c r="AF80" s="78" t="s">
        <v>51</v>
      </c>
      <c r="AG80" s="78" t="s">
        <v>102</v>
      </c>
      <c r="AH80" s="78">
        <v>4.4894479147795909</v>
      </c>
      <c r="AJ80" s="78" t="s">
        <v>52</v>
      </c>
      <c r="AK80" s="78" t="s">
        <v>20</v>
      </c>
      <c r="AL80" s="78" t="s">
        <v>28</v>
      </c>
      <c r="AM80" s="78" t="s">
        <v>51</v>
      </c>
      <c r="AN80" s="78" t="s">
        <v>102</v>
      </c>
      <c r="AO80" s="78">
        <v>1.4795960028376309</v>
      </c>
    </row>
    <row r="81" spans="1:49" s="77" customFormat="1">
      <c r="A81" s="78"/>
      <c r="B81" s="78"/>
      <c r="C81" s="78"/>
      <c r="D81" s="78"/>
      <c r="E81" s="78"/>
      <c r="F81" s="78"/>
      <c r="I81" s="78"/>
      <c r="J81" s="78"/>
      <c r="K81" s="78"/>
      <c r="L81" s="78"/>
      <c r="M81" s="78"/>
      <c r="N81" s="78"/>
      <c r="Q81" s="78"/>
      <c r="R81" s="78"/>
      <c r="S81" s="78"/>
      <c r="T81" s="78"/>
      <c r="U81" s="78"/>
      <c r="V81" s="78"/>
      <c r="X81" s="78"/>
      <c r="Y81" s="78"/>
      <c r="Z81" s="78"/>
      <c r="AA81" s="78"/>
      <c r="AC81" s="78" t="s">
        <v>52</v>
      </c>
      <c r="AD81" s="78" t="s">
        <v>20</v>
      </c>
      <c r="AE81" s="78" t="s">
        <v>72</v>
      </c>
      <c r="AF81" s="78" t="s">
        <v>51</v>
      </c>
      <c r="AG81" s="78" t="s">
        <v>103</v>
      </c>
      <c r="AH81" s="78">
        <v>4.5531147075387262</v>
      </c>
      <c r="AJ81" s="78" t="s">
        <v>52</v>
      </c>
      <c r="AK81" s="78" t="s">
        <v>20</v>
      </c>
      <c r="AL81" s="78" t="s">
        <v>28</v>
      </c>
      <c r="AM81" s="78" t="s">
        <v>51</v>
      </c>
      <c r="AN81" s="78" t="s">
        <v>103</v>
      </c>
      <c r="AO81" s="78">
        <v>1.573969311298766</v>
      </c>
      <c r="AR81" s="78"/>
      <c r="AS81" s="78"/>
      <c r="AT81" s="78"/>
      <c r="AU81" s="78"/>
      <c r="AV81" s="78"/>
      <c r="AW81" s="78"/>
    </row>
    <row r="82" spans="1:49" s="77" customFormat="1">
      <c r="A82" s="78"/>
      <c r="B82" s="78"/>
      <c r="C82" s="78"/>
      <c r="D82" s="78"/>
      <c r="E82" s="78"/>
      <c r="F82" s="78"/>
      <c r="I82" s="78"/>
      <c r="J82" s="78"/>
      <c r="K82" s="78"/>
      <c r="L82" s="78"/>
      <c r="M82" s="78"/>
      <c r="N82" s="78"/>
      <c r="Q82" s="78"/>
      <c r="R82" s="78"/>
      <c r="S82" s="78"/>
      <c r="T82" s="78"/>
      <c r="U82" s="78"/>
      <c r="V82" s="78"/>
      <c r="AC82" s="78" t="s">
        <v>52</v>
      </c>
      <c r="AD82" s="78" t="s">
        <v>20</v>
      </c>
      <c r="AE82" s="78" t="s">
        <v>72</v>
      </c>
      <c r="AF82" s="78" t="s">
        <v>51</v>
      </c>
      <c r="AG82" s="78" t="s">
        <v>104</v>
      </c>
      <c r="AH82" s="78">
        <v>4.4894479147795909</v>
      </c>
      <c r="AJ82" s="78" t="s">
        <v>52</v>
      </c>
      <c r="AK82" s="78" t="s">
        <v>20</v>
      </c>
      <c r="AL82" s="78" t="s">
        <v>28</v>
      </c>
      <c r="AM82" s="78" t="s">
        <v>51</v>
      </c>
      <c r="AN82" s="78" t="s">
        <v>104</v>
      </c>
      <c r="AO82" s="78">
        <v>1.4374551090588008</v>
      </c>
      <c r="AR82" s="78"/>
      <c r="AS82" s="78"/>
      <c r="AT82" s="78"/>
      <c r="AU82" s="78"/>
      <c r="AV82" s="78"/>
      <c r="AW82" s="78"/>
    </row>
    <row r="83" spans="1:49" s="77" customFormat="1">
      <c r="A83" s="78"/>
      <c r="B83" s="78"/>
      <c r="C83" s="78"/>
      <c r="D83" s="78"/>
      <c r="E83" s="78"/>
      <c r="F83" s="78"/>
      <c r="I83" s="78"/>
      <c r="J83" s="78"/>
      <c r="K83" s="78"/>
      <c r="L83" s="78"/>
      <c r="M83" s="78"/>
      <c r="N83" s="78"/>
      <c r="Q83" s="78"/>
      <c r="R83" s="78"/>
      <c r="S83" s="78"/>
      <c r="T83" s="78"/>
      <c r="U83" s="78"/>
      <c r="V83" s="78"/>
      <c r="AC83" s="78" t="s">
        <v>52</v>
      </c>
      <c r="AD83" s="78" t="s">
        <v>20</v>
      </c>
      <c r="AE83" s="78" t="s">
        <v>72</v>
      </c>
      <c r="AF83" s="78" t="s">
        <v>51</v>
      </c>
      <c r="AG83" s="78" t="s">
        <v>105</v>
      </c>
      <c r="AH83" s="78">
        <v>4.6147854086055808</v>
      </c>
      <c r="AJ83" s="78" t="s">
        <v>52</v>
      </c>
      <c r="AK83" s="78" t="s">
        <v>20</v>
      </c>
      <c r="AL83" s="78" t="s">
        <v>28</v>
      </c>
      <c r="AM83" s="78" t="s">
        <v>51</v>
      </c>
      <c r="AN83" s="78" t="s">
        <v>105</v>
      </c>
      <c r="AO83" s="78">
        <v>1.4678709119798614</v>
      </c>
      <c r="AR83" s="78"/>
      <c r="AS83" s="78"/>
      <c r="AT83" s="78"/>
      <c r="AU83" s="78"/>
      <c r="AV83" s="78"/>
      <c r="AW83" s="78"/>
    </row>
    <row r="84" spans="1:49" s="77" customFormat="1">
      <c r="A84" s="78"/>
      <c r="B84" s="78"/>
      <c r="C84" s="78"/>
      <c r="D84" s="78"/>
      <c r="E84" s="78"/>
      <c r="F84" s="78"/>
      <c r="I84" s="78"/>
      <c r="J84" s="78"/>
      <c r="K84" s="78"/>
      <c r="L84" s="78"/>
      <c r="M84" s="78"/>
      <c r="N84" s="78"/>
      <c r="Q84" s="78"/>
      <c r="R84" s="78"/>
      <c r="S84" s="78"/>
      <c r="T84" s="78"/>
      <c r="U84" s="78"/>
      <c r="V84" s="78"/>
      <c r="AC84" s="125" t="s">
        <v>52</v>
      </c>
      <c r="AD84" s="125" t="s">
        <v>20</v>
      </c>
      <c r="AE84" s="125" t="s">
        <v>72</v>
      </c>
      <c r="AF84" s="125" t="s">
        <v>51</v>
      </c>
      <c r="AG84" s="125" t="s">
        <v>106</v>
      </c>
      <c r="AH84" s="125">
        <v>4.5079973351823694</v>
      </c>
      <c r="AJ84" s="78" t="s">
        <v>52</v>
      </c>
      <c r="AK84" s="78" t="s">
        <v>20</v>
      </c>
      <c r="AL84" s="78" t="s">
        <v>28</v>
      </c>
      <c r="AM84" s="78" t="s">
        <v>51</v>
      </c>
      <c r="AN84" s="78" t="s">
        <v>106</v>
      </c>
      <c r="AO84" s="78">
        <v>1.3639171740492693</v>
      </c>
      <c r="AR84" s="78"/>
      <c r="AS84" s="78"/>
      <c r="AT84" s="78"/>
      <c r="AU84" s="78"/>
      <c r="AV84" s="78"/>
      <c r="AW84" s="78"/>
    </row>
    <row r="85" spans="1:49" s="77" customFormat="1">
      <c r="A85" s="78"/>
      <c r="B85" s="78"/>
      <c r="C85" s="78"/>
      <c r="D85" s="78"/>
      <c r="E85" s="78"/>
      <c r="F85" s="78"/>
      <c r="I85" s="78"/>
      <c r="J85" s="78"/>
      <c r="K85" s="78"/>
      <c r="L85" s="78"/>
      <c r="M85" s="78"/>
      <c r="N85" s="78"/>
      <c r="Q85" s="78"/>
      <c r="R85" s="78"/>
      <c r="S85" s="78"/>
      <c r="T85" s="78"/>
      <c r="U85" s="78"/>
      <c r="V85" s="78"/>
      <c r="AC85" s="125" t="s">
        <v>52</v>
      </c>
      <c r="AD85" s="125" t="s">
        <v>20</v>
      </c>
      <c r="AE85" s="125" t="s">
        <v>72</v>
      </c>
      <c r="AF85" s="125" t="s">
        <v>51</v>
      </c>
      <c r="AG85" s="125" t="s">
        <v>107</v>
      </c>
      <c r="AH85" s="125">
        <v>4.5542256765749203</v>
      </c>
      <c r="AJ85" s="78" t="s">
        <v>52</v>
      </c>
      <c r="AK85" s="78" t="s">
        <v>20</v>
      </c>
      <c r="AL85" s="78" t="s">
        <v>28</v>
      </c>
      <c r="AM85" s="78" t="s">
        <v>51</v>
      </c>
      <c r="AN85" s="78" t="s">
        <v>107</v>
      </c>
      <c r="AO85" s="78">
        <v>1.4461191235552002</v>
      </c>
      <c r="AR85" s="78"/>
      <c r="AS85" s="78"/>
      <c r="AT85" s="78"/>
      <c r="AU85" s="78"/>
      <c r="AV85" s="78"/>
      <c r="AW85" s="78"/>
    </row>
    <row r="86" spans="1:49" s="77" customFormat="1">
      <c r="A86" s="78"/>
      <c r="B86" s="78"/>
      <c r="C86" s="78"/>
      <c r="D86" s="78"/>
      <c r="E86" s="78"/>
      <c r="F86" s="78"/>
      <c r="I86" s="78"/>
      <c r="J86" s="78"/>
      <c r="K86" s="78"/>
      <c r="L86" s="78"/>
      <c r="M86" s="78"/>
      <c r="N86" s="78"/>
      <c r="Q86" s="78"/>
      <c r="R86" s="78"/>
      <c r="S86" s="78"/>
      <c r="T86" s="78"/>
      <c r="U86" s="78"/>
      <c r="V86" s="78"/>
      <c r="AC86" s="125" t="s">
        <v>52</v>
      </c>
      <c r="AD86" s="125" t="s">
        <v>20</v>
      </c>
      <c r="AE86" s="125" t="s">
        <v>72</v>
      </c>
      <c r="AF86" s="125" t="s">
        <v>51</v>
      </c>
      <c r="AG86" s="125" t="s">
        <v>108</v>
      </c>
      <c r="AH86" s="125">
        <v>4.4906750935354101</v>
      </c>
      <c r="AJ86" s="78" t="s">
        <v>52</v>
      </c>
      <c r="AK86" s="78" t="s">
        <v>20</v>
      </c>
      <c r="AL86" s="78" t="s">
        <v>28</v>
      </c>
      <c r="AM86" s="78" t="s">
        <v>51</v>
      </c>
      <c r="AN86" s="78" t="s">
        <v>108</v>
      </c>
      <c r="AO86" s="78">
        <v>1.4254869680587003</v>
      </c>
      <c r="AR86" s="78"/>
      <c r="AS86" s="78"/>
      <c r="AT86" s="78"/>
      <c r="AU86" s="78"/>
      <c r="AV86" s="78"/>
      <c r="AW86" s="78"/>
    </row>
    <row r="87" spans="1:49" s="77" customFormat="1">
      <c r="A87" s="78"/>
      <c r="B87" s="78"/>
      <c r="C87" s="78"/>
      <c r="D87" s="78"/>
      <c r="E87" s="78"/>
      <c r="F87" s="78"/>
      <c r="I87" s="78"/>
      <c r="J87" s="78"/>
      <c r="K87" s="78"/>
      <c r="L87" s="78"/>
      <c r="M87" s="78"/>
      <c r="N87" s="78"/>
      <c r="Q87" s="78"/>
      <c r="R87" s="78"/>
      <c r="S87" s="78"/>
      <c r="T87" s="78"/>
      <c r="U87" s="78"/>
      <c r="V87" s="78"/>
      <c r="AC87" s="125" t="s">
        <v>52</v>
      </c>
      <c r="AD87" s="125" t="s">
        <v>20</v>
      </c>
      <c r="AE87" s="125" t="s">
        <v>72</v>
      </c>
      <c r="AF87" s="125" t="s">
        <v>51</v>
      </c>
      <c r="AG87" s="125" t="s">
        <v>100</v>
      </c>
      <c r="AH87" s="125">
        <v>4.5542256765749203</v>
      </c>
      <c r="AJ87" s="78" t="s">
        <v>52</v>
      </c>
      <c r="AK87" s="78" t="s">
        <v>20</v>
      </c>
      <c r="AL87" s="78" t="s">
        <v>28</v>
      </c>
      <c r="AM87" s="78" t="s">
        <v>51</v>
      </c>
      <c r="AN87" s="78" t="s">
        <v>100</v>
      </c>
      <c r="AO87" s="78">
        <v>1.4899885813220202</v>
      </c>
      <c r="AR87" s="78"/>
      <c r="AS87" s="78"/>
      <c r="AT87" s="78"/>
      <c r="AU87" s="78"/>
      <c r="AV87" s="78"/>
      <c r="AW87" s="78"/>
    </row>
    <row r="88" spans="1:49" s="77" customFormat="1">
      <c r="A88" s="78"/>
      <c r="B88" s="78"/>
      <c r="C88" s="78"/>
      <c r="D88" s="78"/>
      <c r="E88" s="78"/>
      <c r="F88" s="78"/>
      <c r="I88" s="78"/>
      <c r="J88" s="78"/>
      <c r="K88" s="78"/>
      <c r="L88" s="78"/>
      <c r="M88" s="78"/>
      <c r="N88" s="78"/>
      <c r="Q88" s="78"/>
      <c r="R88" s="78"/>
      <c r="S88" s="78"/>
      <c r="T88" s="78"/>
      <c r="U88" s="78"/>
      <c r="V88" s="78"/>
      <c r="AC88" s="125" t="s">
        <v>52</v>
      </c>
      <c r="AD88" s="125" t="s">
        <v>20</v>
      </c>
      <c r="AE88" s="125" t="s">
        <v>72</v>
      </c>
      <c r="AF88" s="125" t="s">
        <v>51</v>
      </c>
      <c r="AG88" s="125" t="s">
        <v>109</v>
      </c>
      <c r="AH88" s="125">
        <v>4.4906750935354101</v>
      </c>
      <c r="AJ88" s="78" t="s">
        <v>52</v>
      </c>
      <c r="AK88" s="78" t="s">
        <v>20</v>
      </c>
      <c r="AL88" s="78" t="s">
        <v>28</v>
      </c>
      <c r="AM88" s="78" t="s">
        <v>51</v>
      </c>
      <c r="AN88" s="78" t="s">
        <v>109</v>
      </c>
      <c r="AO88" s="78">
        <v>1.4398101423461602</v>
      </c>
      <c r="AR88" s="78"/>
      <c r="AS88" s="78"/>
      <c r="AT88" s="78"/>
      <c r="AU88" s="78"/>
      <c r="AV88" s="78"/>
      <c r="AW88" s="78"/>
    </row>
    <row r="89" spans="1:49" s="77" customFormat="1">
      <c r="A89" s="78"/>
      <c r="B89" s="78"/>
      <c r="C89" s="78"/>
      <c r="D89" s="78"/>
      <c r="E89" s="78"/>
      <c r="F89" s="78"/>
      <c r="I89" s="78"/>
      <c r="J89" s="78"/>
      <c r="K89" s="78"/>
      <c r="L89" s="78"/>
      <c r="M89" s="78"/>
      <c r="N89" s="78"/>
      <c r="Q89" s="78"/>
      <c r="R89" s="78"/>
      <c r="S89" s="78"/>
      <c r="T89" s="78"/>
      <c r="U89" s="78"/>
      <c r="V89" s="78"/>
      <c r="AC89" s="125" t="s">
        <v>52</v>
      </c>
      <c r="AD89" s="125" t="s">
        <v>20</v>
      </c>
      <c r="AE89" s="125" t="s">
        <v>72</v>
      </c>
      <c r="AF89" s="125" t="s">
        <v>51</v>
      </c>
      <c r="AG89" s="125" t="s">
        <v>110</v>
      </c>
      <c r="AH89" s="125">
        <v>4.4906750935354101</v>
      </c>
      <c r="AJ89" s="78" t="s">
        <v>52</v>
      </c>
      <c r="AK89" s="78" t="s">
        <v>20</v>
      </c>
      <c r="AL89" s="78" t="s">
        <v>28</v>
      </c>
      <c r="AM89" s="78" t="s">
        <v>51</v>
      </c>
      <c r="AN89" s="78" t="s">
        <v>110</v>
      </c>
      <c r="AO89" s="78">
        <v>1.4204064910685703</v>
      </c>
      <c r="AR89" s="78"/>
      <c r="AS89" s="78"/>
      <c r="AT89" s="78"/>
      <c r="AU89" s="78"/>
      <c r="AV89" s="78"/>
      <c r="AW89" s="78"/>
    </row>
    <row r="90" spans="1:49" s="77" customFormat="1">
      <c r="A90" s="78"/>
      <c r="B90" s="78"/>
      <c r="C90" s="78"/>
      <c r="D90" s="78"/>
      <c r="E90" s="78"/>
      <c r="F90" s="78"/>
      <c r="I90" s="78"/>
      <c r="J90" s="78"/>
      <c r="K90" s="78"/>
      <c r="L90" s="78"/>
      <c r="M90" s="78"/>
      <c r="N90" s="78"/>
      <c r="Q90" s="78"/>
      <c r="R90" s="78"/>
      <c r="S90" s="78"/>
      <c r="T90" s="78"/>
      <c r="U90" s="78"/>
      <c r="V90" s="78"/>
      <c r="AC90" s="125" t="s">
        <v>52</v>
      </c>
      <c r="AD90" s="125" t="s">
        <v>20</v>
      </c>
      <c r="AE90" s="125" t="s">
        <v>72</v>
      </c>
      <c r="AF90" s="125" t="s">
        <v>51</v>
      </c>
      <c r="AG90" s="125" t="s">
        <v>111</v>
      </c>
      <c r="AH90" s="125">
        <v>4.5531147075387262</v>
      </c>
      <c r="AJ90" s="78" t="s">
        <v>52</v>
      </c>
      <c r="AK90" s="78" t="s">
        <v>20</v>
      </c>
      <c r="AL90" s="78" t="s">
        <v>28</v>
      </c>
      <c r="AM90" s="78" t="s">
        <v>51</v>
      </c>
      <c r="AN90" s="78" t="s">
        <v>111</v>
      </c>
      <c r="AO90" s="78">
        <v>1.5121161182470062</v>
      </c>
      <c r="AR90" s="78"/>
      <c r="AS90" s="78"/>
      <c r="AT90" s="78"/>
      <c r="AU90" s="78"/>
      <c r="AV90" s="78"/>
      <c r="AW90" s="78"/>
    </row>
    <row r="91" spans="1:49" s="77" customFormat="1">
      <c r="A91" s="78"/>
      <c r="B91" s="78"/>
      <c r="C91" s="78"/>
      <c r="D91" s="78"/>
      <c r="E91" s="78"/>
      <c r="F91" s="78"/>
      <c r="I91" s="78"/>
      <c r="J91" s="78"/>
      <c r="K91" s="78"/>
      <c r="L91" s="78"/>
      <c r="M91" s="78"/>
      <c r="N91" s="78"/>
      <c r="Q91" s="78"/>
      <c r="R91" s="78"/>
      <c r="S91" s="78"/>
      <c r="T91" s="78"/>
      <c r="U91" s="78"/>
      <c r="V91" s="78"/>
      <c r="AC91" s="78" t="s">
        <v>52</v>
      </c>
      <c r="AD91" s="78" t="s">
        <v>20</v>
      </c>
      <c r="AE91" s="78" t="s">
        <v>72</v>
      </c>
      <c r="AF91" s="78" t="s">
        <v>51</v>
      </c>
      <c r="AG91" s="78" t="s">
        <v>99</v>
      </c>
      <c r="AH91" s="78">
        <v>4.4894479147795909</v>
      </c>
      <c r="AJ91" s="78" t="s">
        <v>52</v>
      </c>
      <c r="AK91" s="78" t="s">
        <v>20</v>
      </c>
      <c r="AL91" s="78" t="s">
        <v>28</v>
      </c>
      <c r="AM91" s="78" t="s">
        <v>51</v>
      </c>
      <c r="AN91" s="78" t="s">
        <v>99</v>
      </c>
      <c r="AO91" s="78">
        <v>1.462175640413621</v>
      </c>
      <c r="AR91" s="78"/>
      <c r="AS91" s="78"/>
      <c r="AT91" s="78"/>
      <c r="AU91" s="78"/>
      <c r="AV91" s="78"/>
      <c r="AW91" s="78"/>
    </row>
    <row r="92" spans="1:49" s="77" customFormat="1">
      <c r="A92" s="78"/>
      <c r="B92" s="78"/>
      <c r="C92" s="78"/>
      <c r="D92" s="78"/>
      <c r="E92" s="78"/>
      <c r="F92" s="78"/>
      <c r="I92" s="78"/>
      <c r="J92" s="78"/>
      <c r="K92" s="78"/>
      <c r="L92" s="78"/>
      <c r="M92" s="78"/>
      <c r="N92" s="78"/>
      <c r="Q92" s="78"/>
      <c r="R92" s="78"/>
      <c r="S92" s="78"/>
      <c r="T92" s="78"/>
      <c r="U92" s="78"/>
      <c r="V92" s="78"/>
      <c r="AC92" s="78" t="s">
        <v>52</v>
      </c>
      <c r="AD92" s="78" t="s">
        <v>20</v>
      </c>
      <c r="AE92" s="78" t="s">
        <v>72</v>
      </c>
      <c r="AF92" s="78" t="s">
        <v>51</v>
      </c>
      <c r="AG92" s="78" t="s">
        <v>126</v>
      </c>
      <c r="AH92" s="78">
        <v>4.5531147075387262</v>
      </c>
      <c r="AJ92" s="78" t="s">
        <v>52</v>
      </c>
      <c r="AK92" s="78" t="s">
        <v>20</v>
      </c>
      <c r="AL92" s="78" t="s">
        <v>28</v>
      </c>
      <c r="AM92" s="78" t="s">
        <v>51</v>
      </c>
      <c r="AN92" s="78" t="s">
        <v>126</v>
      </c>
      <c r="AO92" s="78">
        <v>1.5515903486912459</v>
      </c>
      <c r="AR92" s="78"/>
      <c r="AS92" s="78"/>
      <c r="AT92" s="78"/>
      <c r="AU92" s="78"/>
      <c r="AV92" s="78"/>
      <c r="AW92" s="78"/>
    </row>
    <row r="93" spans="1:49" s="77" customFormat="1">
      <c r="A93" s="78"/>
      <c r="B93" s="78"/>
      <c r="C93" s="78"/>
      <c r="D93" s="78"/>
      <c r="E93" s="78"/>
      <c r="F93" s="78"/>
      <c r="I93" s="78"/>
      <c r="J93" s="78"/>
      <c r="K93" s="78"/>
      <c r="L93" s="78"/>
      <c r="M93" s="78"/>
      <c r="N93" s="78"/>
      <c r="Q93" s="78"/>
      <c r="R93" s="78"/>
      <c r="S93" s="78"/>
      <c r="T93" s="78"/>
      <c r="U93" s="78"/>
      <c r="V93" s="78"/>
      <c r="AC93" s="78" t="s">
        <v>52</v>
      </c>
      <c r="AD93" s="78" t="s">
        <v>20</v>
      </c>
      <c r="AE93" s="78" t="s">
        <v>72</v>
      </c>
      <c r="AF93" s="78" t="s">
        <v>51</v>
      </c>
      <c r="AG93" s="78" t="s">
        <v>124</v>
      </c>
      <c r="AH93" s="78">
        <v>4.4286731677951829</v>
      </c>
      <c r="AJ93" s="78" t="s">
        <v>52</v>
      </c>
      <c r="AK93" s="78" t="s">
        <v>20</v>
      </c>
      <c r="AL93" s="78" t="s">
        <v>28</v>
      </c>
      <c r="AM93" s="78" t="s">
        <v>51</v>
      </c>
      <c r="AN93" s="78" t="s">
        <v>124</v>
      </c>
      <c r="AO93" s="78">
        <v>1.4198657383793729</v>
      </c>
      <c r="AR93" s="78"/>
      <c r="AS93" s="78"/>
      <c r="AT93" s="78"/>
      <c r="AU93" s="78"/>
      <c r="AV93" s="78"/>
      <c r="AW93" s="78"/>
    </row>
    <row r="94" spans="1:49" s="77" customFormat="1">
      <c r="A94" s="78"/>
      <c r="B94" s="78"/>
      <c r="C94" s="78"/>
      <c r="D94" s="78"/>
      <c r="E94" s="78"/>
      <c r="F94" s="78"/>
      <c r="I94" s="78"/>
      <c r="J94" s="78"/>
      <c r="K94" s="78"/>
      <c r="L94" s="78"/>
      <c r="M94" s="78"/>
      <c r="N94" s="78"/>
      <c r="Q94" s="78"/>
      <c r="R94" s="78"/>
      <c r="S94" s="78"/>
      <c r="T94" s="78"/>
      <c r="U94" s="78"/>
      <c r="V94" s="78"/>
      <c r="AC94" s="78" t="s">
        <v>52</v>
      </c>
      <c r="AD94" s="78" t="s">
        <v>20</v>
      </c>
      <c r="AE94" s="78" t="s">
        <v>72</v>
      </c>
      <c r="AF94" s="78" t="s">
        <v>51</v>
      </c>
      <c r="AG94" s="78" t="s">
        <v>127</v>
      </c>
      <c r="AH94" s="78">
        <v>4.4286731677951829</v>
      </c>
      <c r="AJ94" s="78" t="s">
        <v>52</v>
      </c>
      <c r="AK94" s="78" t="s">
        <v>20</v>
      </c>
      <c r="AL94" s="78" t="s">
        <v>28</v>
      </c>
      <c r="AM94" s="78" t="s">
        <v>51</v>
      </c>
      <c r="AN94" s="78" t="s">
        <v>127</v>
      </c>
      <c r="AO94" s="78">
        <v>1.4517911864446933</v>
      </c>
      <c r="AR94" s="78"/>
      <c r="AS94" s="78"/>
      <c r="AT94" s="78"/>
      <c r="AU94" s="78"/>
      <c r="AV94" s="78"/>
      <c r="AW94" s="78"/>
    </row>
    <row r="95" spans="1:49" s="77" customFormat="1">
      <c r="I95" s="78"/>
      <c r="J95" s="78"/>
      <c r="K95" s="78"/>
      <c r="L95" s="78"/>
      <c r="M95" s="78"/>
      <c r="N95" s="78"/>
      <c r="Q95" s="78"/>
      <c r="R95" s="78"/>
      <c r="S95" s="78"/>
      <c r="T95" s="78"/>
      <c r="U95" s="78"/>
      <c r="V95" s="78"/>
      <c r="AC95" s="78" t="s">
        <v>52</v>
      </c>
      <c r="AD95" s="78" t="s">
        <v>20</v>
      </c>
      <c r="AE95" s="78" t="s">
        <v>72</v>
      </c>
      <c r="AF95" s="78" t="s">
        <v>51</v>
      </c>
      <c r="AG95" s="78" t="s">
        <v>128</v>
      </c>
      <c r="AH95" s="78">
        <v>4.4286731677951829</v>
      </c>
      <c r="AJ95" s="78" t="s">
        <v>52</v>
      </c>
      <c r="AK95" s="78" t="s">
        <v>20</v>
      </c>
      <c r="AL95" s="78" t="s">
        <v>28</v>
      </c>
      <c r="AM95" s="78" t="s">
        <v>51</v>
      </c>
      <c r="AN95" s="78" t="s">
        <v>128</v>
      </c>
      <c r="AO95" s="78">
        <v>1.4586457972250528</v>
      </c>
      <c r="AR95" s="78"/>
      <c r="AS95" s="78"/>
      <c r="AT95" s="78"/>
      <c r="AU95" s="78"/>
      <c r="AV95" s="78"/>
      <c r="AW95" s="78"/>
    </row>
    <row r="96" spans="1:49" s="77" customFormat="1">
      <c r="I96" s="78"/>
      <c r="J96" s="78"/>
      <c r="K96" s="78"/>
      <c r="L96" s="78"/>
      <c r="M96" s="78"/>
      <c r="N96" s="78"/>
      <c r="Q96" s="78"/>
      <c r="R96" s="78"/>
      <c r="S96" s="78"/>
      <c r="T96" s="78"/>
      <c r="U96" s="78"/>
      <c r="V96" s="78"/>
      <c r="AC96" s="78" t="s">
        <v>52</v>
      </c>
      <c r="AD96" s="78" t="s">
        <v>20</v>
      </c>
      <c r="AE96" s="78" t="s">
        <v>72</v>
      </c>
      <c r="AF96" s="78" t="s">
        <v>51</v>
      </c>
      <c r="AG96" s="78" t="s">
        <v>129</v>
      </c>
      <c r="AH96" s="78">
        <v>4.4894479147795909</v>
      </c>
      <c r="AJ96" s="78" t="s">
        <v>52</v>
      </c>
      <c r="AK96" s="78" t="s">
        <v>20</v>
      </c>
      <c r="AL96" s="78" t="s">
        <v>28</v>
      </c>
      <c r="AM96" s="78" t="s">
        <v>51</v>
      </c>
      <c r="AN96" s="78" t="s">
        <v>129</v>
      </c>
      <c r="AO96" s="78">
        <v>1.4942312268823306</v>
      </c>
      <c r="AR96" s="78"/>
      <c r="AS96" s="78"/>
      <c r="AT96" s="78"/>
      <c r="AU96" s="78"/>
      <c r="AV96" s="78"/>
      <c r="AW96" s="78"/>
    </row>
    <row r="97" spans="9:49" s="77" customFormat="1">
      <c r="I97" s="78"/>
      <c r="J97" s="78"/>
      <c r="K97" s="78"/>
      <c r="L97" s="78"/>
      <c r="M97" s="78"/>
      <c r="N97" s="78"/>
      <c r="Q97" s="78"/>
      <c r="R97" s="78"/>
      <c r="S97" s="78"/>
      <c r="T97" s="78"/>
      <c r="U97" s="78"/>
      <c r="V97" s="78"/>
      <c r="AC97" s="78" t="s">
        <v>52</v>
      </c>
      <c r="AD97" s="78" t="s">
        <v>20</v>
      </c>
      <c r="AE97" s="78" t="s">
        <v>72</v>
      </c>
      <c r="AF97" s="78" t="s">
        <v>51</v>
      </c>
      <c r="AG97" s="78" t="s">
        <v>123</v>
      </c>
      <c r="AH97" s="78">
        <v>4.4894479147795909</v>
      </c>
      <c r="AJ97" s="78" t="s">
        <v>52</v>
      </c>
      <c r="AK97" s="78" t="s">
        <v>20</v>
      </c>
      <c r="AL97" s="78" t="s">
        <v>28</v>
      </c>
      <c r="AM97" s="78" t="s">
        <v>51</v>
      </c>
      <c r="AN97" s="78" t="s">
        <v>123</v>
      </c>
      <c r="AO97" s="78">
        <v>1.4950023679760609</v>
      </c>
      <c r="AR97" s="78"/>
      <c r="AS97" s="78"/>
      <c r="AT97" s="78"/>
      <c r="AU97" s="78"/>
      <c r="AV97" s="78"/>
      <c r="AW97" s="78"/>
    </row>
    <row r="98" spans="9:49" s="77" customFormat="1">
      <c r="I98" s="78"/>
      <c r="J98" s="78"/>
      <c r="K98" s="78"/>
      <c r="L98" s="78"/>
      <c r="M98" s="78"/>
      <c r="N98" s="78"/>
      <c r="Q98" s="78"/>
      <c r="R98" s="78"/>
      <c r="S98" s="78"/>
      <c r="T98" s="78"/>
      <c r="U98" s="78"/>
      <c r="V98" s="78"/>
      <c r="AC98" s="78" t="s">
        <v>52</v>
      </c>
      <c r="AD98" s="78" t="s">
        <v>20</v>
      </c>
      <c r="AE98" s="78" t="s">
        <v>72</v>
      </c>
      <c r="AF98" s="78" t="s">
        <v>51</v>
      </c>
      <c r="AG98" s="78" t="s">
        <v>125</v>
      </c>
      <c r="AH98" s="78">
        <v>4.3188244659487021</v>
      </c>
      <c r="AJ98" s="78" t="s">
        <v>52</v>
      </c>
      <c r="AK98" s="78" t="s">
        <v>20</v>
      </c>
      <c r="AL98" s="78" t="s">
        <v>28</v>
      </c>
      <c r="AM98" s="78" t="s">
        <v>51</v>
      </c>
      <c r="AN98" s="78" t="s">
        <v>125</v>
      </c>
      <c r="AO98" s="78">
        <v>1.4033163399863324</v>
      </c>
      <c r="AR98" s="78"/>
      <c r="AS98" s="78"/>
      <c r="AT98" s="78"/>
      <c r="AU98" s="78"/>
      <c r="AV98" s="78"/>
      <c r="AW98" s="78"/>
    </row>
    <row r="99" spans="9:49" s="77" customFormat="1">
      <c r="I99" s="78"/>
      <c r="J99" s="78"/>
      <c r="K99" s="78"/>
      <c r="L99" s="78"/>
      <c r="M99" s="78"/>
      <c r="N99" s="78"/>
      <c r="Q99" s="78"/>
      <c r="R99" s="78"/>
      <c r="S99" s="78"/>
      <c r="T99" s="78"/>
      <c r="U99" s="78"/>
      <c r="V99" s="78"/>
      <c r="AC99" s="78" t="s">
        <v>53</v>
      </c>
      <c r="AD99" s="78" t="s">
        <v>20</v>
      </c>
      <c r="AE99" s="78" t="s">
        <v>72</v>
      </c>
      <c r="AF99" s="78" t="s">
        <v>51</v>
      </c>
      <c r="AG99" s="78" t="s">
        <v>98</v>
      </c>
      <c r="AH99" s="78">
        <v>4.2592500000000006</v>
      </c>
      <c r="AJ99" s="78" t="s">
        <v>74</v>
      </c>
      <c r="AK99" s="78" t="s">
        <v>88</v>
      </c>
      <c r="AL99" s="78" t="s">
        <v>25</v>
      </c>
      <c r="AM99" s="78" t="s">
        <v>51</v>
      </c>
      <c r="AN99" s="78" t="s">
        <v>98</v>
      </c>
      <c r="AO99" s="78">
        <v>3.0732804432921599</v>
      </c>
      <c r="AR99" s="78"/>
      <c r="AS99" s="78"/>
      <c r="AT99" s="78"/>
      <c r="AU99" s="78"/>
      <c r="AV99" s="78"/>
      <c r="AW99" s="78"/>
    </row>
    <row r="100" spans="9:49" s="77" customFormat="1">
      <c r="I100" s="78"/>
      <c r="J100" s="78"/>
      <c r="K100" s="78"/>
      <c r="L100" s="78"/>
      <c r="M100" s="78"/>
      <c r="N100" s="78"/>
      <c r="Q100" s="78"/>
      <c r="R100" s="78"/>
      <c r="S100" s="78"/>
      <c r="T100" s="78"/>
      <c r="U100" s="78"/>
      <c r="V100" s="78"/>
      <c r="AC100" s="78" t="s">
        <v>53</v>
      </c>
      <c r="AD100" s="78" t="s">
        <v>20</v>
      </c>
      <c r="AE100" s="78" t="s">
        <v>72</v>
      </c>
      <c r="AF100" s="78" t="s">
        <v>51</v>
      </c>
      <c r="AG100" s="78" t="s">
        <v>96</v>
      </c>
      <c r="AH100" s="78">
        <v>4.3228750000000007</v>
      </c>
      <c r="AJ100" s="78" t="s">
        <v>74</v>
      </c>
      <c r="AK100" s="78" t="s">
        <v>88</v>
      </c>
      <c r="AL100" s="78" t="s">
        <v>25</v>
      </c>
      <c r="AM100" s="78" t="s">
        <v>51</v>
      </c>
      <c r="AN100" s="78" t="s">
        <v>96</v>
      </c>
      <c r="AO100" s="78">
        <v>3.16276525236256</v>
      </c>
      <c r="AR100" s="78"/>
      <c r="AS100" s="78"/>
      <c r="AT100" s="78"/>
      <c r="AU100" s="78"/>
      <c r="AV100" s="78"/>
      <c r="AW100" s="78"/>
    </row>
    <row r="101" spans="9:49" s="77" customFormat="1">
      <c r="Q101" s="78"/>
      <c r="R101" s="78"/>
      <c r="S101" s="78"/>
      <c r="T101" s="78"/>
      <c r="U101" s="78"/>
      <c r="V101" s="78"/>
      <c r="AC101" s="78" t="s">
        <v>53</v>
      </c>
      <c r="AD101" s="78" t="s">
        <v>20</v>
      </c>
      <c r="AE101" s="78" t="s">
        <v>72</v>
      </c>
      <c r="AF101" s="78" t="s">
        <v>51</v>
      </c>
      <c r="AG101" s="78" t="s">
        <v>97</v>
      </c>
      <c r="AH101" s="78">
        <v>4.2910000000000004</v>
      </c>
      <c r="AJ101" s="78" t="s">
        <v>74</v>
      </c>
      <c r="AK101" s="78" t="s">
        <v>88</v>
      </c>
      <c r="AL101" s="78" t="s">
        <v>25</v>
      </c>
      <c r="AM101" s="78" t="s">
        <v>51</v>
      </c>
      <c r="AN101" s="78" t="s">
        <v>97</v>
      </c>
      <c r="AO101" s="78">
        <v>3.1329453977786899</v>
      </c>
      <c r="AR101" s="78"/>
      <c r="AS101" s="78"/>
      <c r="AT101" s="78"/>
      <c r="AU101" s="78"/>
      <c r="AV101" s="78"/>
      <c r="AW101" s="78"/>
    </row>
    <row r="102" spans="9:49" s="77" customFormat="1">
      <c r="Q102" s="78"/>
      <c r="R102" s="78"/>
      <c r="S102" s="78"/>
      <c r="T102" s="78"/>
      <c r="U102" s="78"/>
      <c r="V102" s="78"/>
      <c r="AC102" s="78" t="s">
        <v>53</v>
      </c>
      <c r="AD102" s="78" t="s">
        <v>20</v>
      </c>
      <c r="AE102" s="78" t="s">
        <v>72</v>
      </c>
      <c r="AF102" s="78" t="s">
        <v>51</v>
      </c>
      <c r="AG102" s="78" t="s">
        <v>101</v>
      </c>
      <c r="AH102" s="78">
        <v>4.2592500000000006</v>
      </c>
      <c r="AJ102" s="78" t="s">
        <v>74</v>
      </c>
      <c r="AK102" s="78" t="s">
        <v>88</v>
      </c>
      <c r="AL102" s="78" t="s">
        <v>25</v>
      </c>
      <c r="AM102" s="78" t="s">
        <v>51</v>
      </c>
      <c r="AN102" s="78" t="s">
        <v>101</v>
      </c>
      <c r="AO102" s="78">
        <v>3.0409627195865201</v>
      </c>
      <c r="AR102" s="78"/>
      <c r="AS102" s="78"/>
      <c r="AT102" s="78"/>
      <c r="AU102" s="78"/>
      <c r="AV102" s="78"/>
      <c r="AW102" s="78"/>
    </row>
    <row r="103" spans="9:49" s="77" customFormat="1">
      <c r="Q103" s="78"/>
      <c r="R103" s="78"/>
      <c r="S103" s="78"/>
      <c r="T103" s="78"/>
      <c r="U103" s="78"/>
      <c r="V103" s="78"/>
      <c r="AC103" s="78" t="s">
        <v>53</v>
      </c>
      <c r="AD103" s="78" t="s">
        <v>20</v>
      </c>
      <c r="AE103" s="78" t="s">
        <v>72</v>
      </c>
      <c r="AF103" s="78" t="s">
        <v>51</v>
      </c>
      <c r="AG103" s="78" t="s">
        <v>102</v>
      </c>
      <c r="AH103" s="78">
        <v>4.2906250000000004</v>
      </c>
      <c r="AJ103" s="78" t="s">
        <v>74</v>
      </c>
      <c r="AK103" s="78" t="s">
        <v>88</v>
      </c>
      <c r="AL103" s="78" t="s">
        <v>25</v>
      </c>
      <c r="AM103" s="78" t="s">
        <v>51</v>
      </c>
      <c r="AN103" s="78" t="s">
        <v>102</v>
      </c>
      <c r="AO103" s="78">
        <v>3.00985191194196</v>
      </c>
      <c r="AR103" s="78"/>
      <c r="AS103" s="78"/>
      <c r="AT103" s="78"/>
      <c r="AU103" s="78"/>
      <c r="AV103" s="78"/>
      <c r="AW103" s="78"/>
    </row>
    <row r="104" spans="9:49" s="77" customFormat="1">
      <c r="Q104" s="78"/>
      <c r="R104" s="78"/>
      <c r="S104" s="78"/>
      <c r="T104" s="78"/>
      <c r="U104" s="78"/>
      <c r="V104" s="78"/>
      <c r="AC104" s="78" t="s">
        <v>53</v>
      </c>
      <c r="AD104" s="78" t="s">
        <v>20</v>
      </c>
      <c r="AE104" s="78" t="s">
        <v>72</v>
      </c>
      <c r="AF104" s="78" t="s">
        <v>51</v>
      </c>
      <c r="AG104" s="78" t="s">
        <v>103</v>
      </c>
      <c r="AH104" s="78">
        <v>4.2910000000000004</v>
      </c>
      <c r="AJ104" s="78" t="s">
        <v>74</v>
      </c>
      <c r="AK104" s="78" t="s">
        <v>88</v>
      </c>
      <c r="AL104" s="78" t="s">
        <v>25</v>
      </c>
      <c r="AM104" s="78" t="s">
        <v>51</v>
      </c>
      <c r="AN104" s="78" t="s">
        <v>103</v>
      </c>
      <c r="AO104" s="78">
        <v>2.9791453962399599</v>
      </c>
      <c r="AR104" s="78"/>
      <c r="AS104" s="78"/>
      <c r="AT104" s="78"/>
      <c r="AU104" s="78"/>
      <c r="AV104" s="78"/>
      <c r="AW104" s="78"/>
    </row>
    <row r="105" spans="9:49" s="77" customFormat="1">
      <c r="Q105" s="78"/>
      <c r="R105" s="78"/>
      <c r="S105" s="78"/>
      <c r="T105" s="78"/>
      <c r="U105" s="78"/>
      <c r="V105" s="78"/>
      <c r="AC105" s="78" t="s">
        <v>53</v>
      </c>
      <c r="AD105" s="78" t="s">
        <v>20</v>
      </c>
      <c r="AE105" s="78" t="s">
        <v>72</v>
      </c>
      <c r="AF105" s="78" t="s">
        <v>51</v>
      </c>
      <c r="AG105" s="78" t="s">
        <v>104</v>
      </c>
      <c r="AH105" s="78">
        <v>4.2592500000000006</v>
      </c>
      <c r="AJ105" s="78" t="s">
        <v>74</v>
      </c>
      <c r="AK105" s="78" t="s">
        <v>88</v>
      </c>
      <c r="AL105" s="78" t="s">
        <v>25</v>
      </c>
      <c r="AM105" s="78" t="s">
        <v>51</v>
      </c>
      <c r="AN105" s="78" t="s">
        <v>104</v>
      </c>
      <c r="AO105" s="78">
        <v>3.0519928057207899</v>
      </c>
      <c r="AR105" s="78"/>
      <c r="AS105" s="78"/>
      <c r="AT105" s="78"/>
      <c r="AU105" s="78"/>
      <c r="AV105" s="78"/>
      <c r="AW105" s="78"/>
    </row>
    <row r="106" spans="9:49" s="77" customFormat="1">
      <c r="Q106" s="78"/>
      <c r="R106" s="78"/>
      <c r="S106" s="78"/>
      <c r="T106" s="78"/>
      <c r="U106" s="78"/>
      <c r="V106" s="78"/>
      <c r="AC106" s="78" t="s">
        <v>53</v>
      </c>
      <c r="AD106" s="78" t="s">
        <v>20</v>
      </c>
      <c r="AE106" s="78" t="s">
        <v>72</v>
      </c>
      <c r="AF106" s="78" t="s">
        <v>51</v>
      </c>
      <c r="AG106" s="78" t="s">
        <v>105</v>
      </c>
      <c r="AH106" s="78">
        <v>4.3228750000000007</v>
      </c>
      <c r="AJ106" s="78" t="s">
        <v>74</v>
      </c>
      <c r="AK106" s="78" t="s">
        <v>88</v>
      </c>
      <c r="AL106" s="78" t="s">
        <v>25</v>
      </c>
      <c r="AM106" s="78" t="s">
        <v>51</v>
      </c>
      <c r="AN106" s="78" t="s">
        <v>105</v>
      </c>
      <c r="AO106" s="78">
        <v>3.1469144966257199</v>
      </c>
      <c r="AR106" s="78"/>
      <c r="AS106" s="78"/>
      <c r="AT106" s="78"/>
      <c r="AU106" s="78"/>
      <c r="AV106" s="78"/>
      <c r="AW106" s="78"/>
    </row>
    <row r="107" spans="9:49" s="77" customFormat="1">
      <c r="Q107" s="78"/>
      <c r="R107" s="78"/>
      <c r="S107" s="78"/>
      <c r="T107" s="78"/>
      <c r="U107" s="78"/>
      <c r="V107" s="78"/>
      <c r="AC107" s="78" t="s">
        <v>53</v>
      </c>
      <c r="AD107" s="78" t="s">
        <v>20</v>
      </c>
      <c r="AE107" s="78" t="s">
        <v>72</v>
      </c>
      <c r="AF107" s="78" t="s">
        <v>51</v>
      </c>
      <c r="AG107" s="78" t="s">
        <v>106</v>
      </c>
      <c r="AH107" s="78">
        <v>4.3864999999999998</v>
      </c>
      <c r="AJ107" s="78" t="s">
        <v>74</v>
      </c>
      <c r="AK107" s="78" t="s">
        <v>88</v>
      </c>
      <c r="AL107" s="78" t="s">
        <v>25</v>
      </c>
      <c r="AM107" s="78" t="s">
        <v>51</v>
      </c>
      <c r="AN107" s="78" t="s">
        <v>106</v>
      </c>
      <c r="AO107" s="78">
        <v>3.1440801611331</v>
      </c>
      <c r="AR107" s="78"/>
      <c r="AS107" s="78"/>
      <c r="AT107" s="78"/>
      <c r="AU107" s="78"/>
      <c r="AV107" s="78"/>
      <c r="AW107" s="78"/>
    </row>
    <row r="108" spans="9:49" s="77" customFormat="1">
      <c r="Q108" s="78"/>
      <c r="R108" s="78"/>
      <c r="S108" s="78"/>
      <c r="T108" s="78"/>
      <c r="U108" s="78"/>
      <c r="V108" s="78"/>
      <c r="AC108" s="78" t="s">
        <v>53</v>
      </c>
      <c r="AD108" s="78" t="s">
        <v>20</v>
      </c>
      <c r="AE108" s="78" t="s">
        <v>72</v>
      </c>
      <c r="AF108" s="78" t="s">
        <v>51</v>
      </c>
      <c r="AG108" s="78" t="s">
        <v>107</v>
      </c>
      <c r="AH108" s="78">
        <v>4.2910000000000004</v>
      </c>
      <c r="AJ108" s="78" t="s">
        <v>74</v>
      </c>
      <c r="AK108" s="78" t="s">
        <v>88</v>
      </c>
      <c r="AL108" s="78" t="s">
        <v>25</v>
      </c>
      <c r="AM108" s="78" t="s">
        <v>51</v>
      </c>
      <c r="AN108" s="78" t="s">
        <v>107</v>
      </c>
      <c r="AO108" s="78">
        <v>3.1081065530197201</v>
      </c>
      <c r="AR108" s="78"/>
      <c r="AS108" s="78"/>
      <c r="AT108" s="78"/>
      <c r="AU108" s="78"/>
      <c r="AV108" s="78"/>
      <c r="AW108" s="78"/>
    </row>
    <row r="109" spans="9:49" s="77" customFormat="1">
      <c r="Q109" s="78"/>
      <c r="R109" s="78"/>
      <c r="S109" s="78"/>
      <c r="T109" s="78"/>
      <c r="U109" s="78"/>
      <c r="V109" s="78"/>
      <c r="AC109" s="78" t="s">
        <v>53</v>
      </c>
      <c r="AD109" s="78" t="s">
        <v>20</v>
      </c>
      <c r="AE109" s="78" t="s">
        <v>72</v>
      </c>
      <c r="AF109" s="78" t="s">
        <v>51</v>
      </c>
      <c r="AG109" s="78" t="s">
        <v>108</v>
      </c>
      <c r="AH109" s="78">
        <v>4.2592500000000006</v>
      </c>
      <c r="AJ109" s="78" t="s">
        <v>74</v>
      </c>
      <c r="AK109" s="78" t="s">
        <v>88</v>
      </c>
      <c r="AL109" s="78" t="s">
        <v>25</v>
      </c>
      <c r="AM109" s="78" t="s">
        <v>51</v>
      </c>
      <c r="AN109" s="78" t="s">
        <v>108</v>
      </c>
      <c r="AO109" s="78">
        <v>3.0651881254767099</v>
      </c>
      <c r="AR109" s="78"/>
      <c r="AS109" s="78"/>
      <c r="AT109" s="78"/>
      <c r="AU109" s="78"/>
      <c r="AV109" s="78"/>
      <c r="AW109" s="78"/>
    </row>
    <row r="110" spans="9:49" s="77" customFormat="1">
      <c r="Q110" s="78"/>
      <c r="R110" s="78"/>
      <c r="S110" s="78"/>
      <c r="T110" s="78"/>
      <c r="U110" s="78"/>
      <c r="V110" s="78"/>
      <c r="AC110" s="78" t="s">
        <v>53</v>
      </c>
      <c r="AD110" s="78" t="s">
        <v>20</v>
      </c>
      <c r="AE110" s="78" t="s">
        <v>72</v>
      </c>
      <c r="AF110" s="78" t="s">
        <v>51</v>
      </c>
      <c r="AG110" s="78" t="s">
        <v>100</v>
      </c>
      <c r="AH110" s="78">
        <v>4.2592500000000006</v>
      </c>
      <c r="AJ110" s="78" t="s">
        <v>74</v>
      </c>
      <c r="AK110" s="78" t="s">
        <v>88</v>
      </c>
      <c r="AL110" s="78" t="s">
        <v>25</v>
      </c>
      <c r="AM110" s="78" t="s">
        <v>51</v>
      </c>
      <c r="AN110" s="78" t="s">
        <v>100</v>
      </c>
      <c r="AO110" s="78">
        <v>3.0642370952529001</v>
      </c>
      <c r="AR110" s="78"/>
      <c r="AS110" s="78"/>
      <c r="AT110" s="78"/>
      <c r="AU110" s="78"/>
      <c r="AV110" s="78"/>
      <c r="AW110" s="78"/>
    </row>
    <row r="111" spans="9:49" s="77" customFormat="1">
      <c r="Q111" s="78"/>
      <c r="R111" s="78"/>
      <c r="S111" s="78"/>
      <c r="T111" s="78"/>
      <c r="U111" s="78"/>
      <c r="V111" s="78"/>
      <c r="AC111" s="78" t="s">
        <v>53</v>
      </c>
      <c r="AD111" s="78" t="s">
        <v>20</v>
      </c>
      <c r="AE111" s="78" t="s">
        <v>72</v>
      </c>
      <c r="AF111" s="78" t="s">
        <v>51</v>
      </c>
      <c r="AG111" s="78" t="s">
        <v>109</v>
      </c>
      <c r="AH111" s="78">
        <v>4.2592500000000006</v>
      </c>
      <c r="AJ111" s="78" t="s">
        <v>74</v>
      </c>
      <c r="AK111" s="78" t="s">
        <v>88</v>
      </c>
      <c r="AL111" s="78" t="s">
        <v>25</v>
      </c>
      <c r="AM111" s="78" t="s">
        <v>51</v>
      </c>
      <c r="AN111" s="78" t="s">
        <v>109</v>
      </c>
      <c r="AO111" s="78">
        <v>3.0508649511892498</v>
      </c>
      <c r="AR111" s="78"/>
      <c r="AS111" s="78"/>
      <c r="AT111" s="78"/>
      <c r="AU111" s="78"/>
      <c r="AV111" s="78"/>
      <c r="AW111" s="78"/>
    </row>
    <row r="112" spans="9:49" s="77" customFormat="1">
      <c r="Q112" s="78"/>
      <c r="R112" s="78"/>
      <c r="S112" s="78"/>
      <c r="T112" s="78"/>
      <c r="U112" s="78"/>
      <c r="V112" s="78"/>
      <c r="AC112" s="78" t="s">
        <v>53</v>
      </c>
      <c r="AD112" s="78" t="s">
        <v>20</v>
      </c>
      <c r="AE112" s="78" t="s">
        <v>72</v>
      </c>
      <c r="AF112" s="78" t="s">
        <v>51</v>
      </c>
      <c r="AG112" s="78" t="s">
        <v>110</v>
      </c>
      <c r="AH112" s="78">
        <v>4.2910000000000004</v>
      </c>
      <c r="AJ112" s="78" t="s">
        <v>74</v>
      </c>
      <c r="AK112" s="78" t="s">
        <v>88</v>
      </c>
      <c r="AL112" s="78" t="s">
        <v>25</v>
      </c>
      <c r="AM112" s="78" t="s">
        <v>51</v>
      </c>
      <c r="AN112" s="78" t="s">
        <v>110</v>
      </c>
      <c r="AO112" s="78">
        <v>3.07026860246684</v>
      </c>
      <c r="AR112" s="78"/>
      <c r="AS112" s="78"/>
      <c r="AT112" s="78"/>
      <c r="AU112" s="78"/>
      <c r="AV112" s="78"/>
      <c r="AW112" s="78"/>
    </row>
    <row r="113" spans="17:49" s="77" customFormat="1">
      <c r="Q113" s="78"/>
      <c r="R113" s="78"/>
      <c r="S113" s="78"/>
      <c r="T113" s="78"/>
      <c r="U113" s="78"/>
      <c r="V113" s="78"/>
      <c r="AC113" s="78" t="s">
        <v>53</v>
      </c>
      <c r="AD113" s="78" t="s">
        <v>20</v>
      </c>
      <c r="AE113" s="78" t="s">
        <v>72</v>
      </c>
      <c r="AF113" s="78" t="s">
        <v>51</v>
      </c>
      <c r="AG113" s="78" t="s">
        <v>111</v>
      </c>
      <c r="AH113" s="78">
        <v>4.2906250000000004</v>
      </c>
      <c r="AJ113" s="78" t="s">
        <v>74</v>
      </c>
      <c r="AK113" s="78" t="s">
        <v>88</v>
      </c>
      <c r="AL113" s="78" t="s">
        <v>25</v>
      </c>
      <c r="AM113" s="78" t="s">
        <v>51</v>
      </c>
      <c r="AN113" s="78" t="s">
        <v>111</v>
      </c>
      <c r="AO113" s="78">
        <v>3.04099858929172</v>
      </c>
      <c r="AR113" s="78"/>
      <c r="AS113" s="78"/>
      <c r="AT113" s="78"/>
      <c r="AU113" s="78"/>
      <c r="AV113" s="78"/>
      <c r="AW113" s="78"/>
    </row>
    <row r="114" spans="17:49" s="77" customFormat="1">
      <c r="Q114" s="78"/>
      <c r="R114" s="78"/>
      <c r="S114" s="78"/>
      <c r="T114" s="78"/>
      <c r="U114" s="78"/>
      <c r="V114" s="78"/>
      <c r="AC114" s="78" t="s">
        <v>53</v>
      </c>
      <c r="AD114" s="78" t="s">
        <v>20</v>
      </c>
      <c r="AE114" s="78" t="s">
        <v>72</v>
      </c>
      <c r="AF114" s="78" t="s">
        <v>51</v>
      </c>
      <c r="AG114" s="78" t="s">
        <v>99</v>
      </c>
      <c r="AH114" s="78">
        <v>4.2906250000000004</v>
      </c>
      <c r="AJ114" s="78" t="s">
        <v>74</v>
      </c>
      <c r="AK114" s="78" t="s">
        <v>88</v>
      </c>
      <c r="AL114" s="78" t="s">
        <v>25</v>
      </c>
      <c r="AM114" s="78" t="s">
        <v>51</v>
      </c>
      <c r="AN114" s="78" t="s">
        <v>99</v>
      </c>
      <c r="AO114" s="78">
        <v>3.0272722743659699</v>
      </c>
      <c r="AR114" s="78"/>
      <c r="AS114" s="78"/>
      <c r="AT114" s="78"/>
      <c r="AU114" s="78"/>
      <c r="AV114" s="78"/>
      <c r="AW114" s="78"/>
    </row>
    <row r="115" spans="17:49" s="77" customFormat="1">
      <c r="Q115" s="78"/>
      <c r="R115" s="78"/>
      <c r="S115" s="78"/>
      <c r="T115" s="78"/>
      <c r="U115" s="78"/>
      <c r="V115" s="78"/>
      <c r="AC115" s="78" t="s">
        <v>53</v>
      </c>
      <c r="AD115" s="78" t="s">
        <v>20</v>
      </c>
      <c r="AE115" s="78" t="s">
        <v>72</v>
      </c>
      <c r="AF115" s="78" t="s">
        <v>51</v>
      </c>
      <c r="AG115" s="78" t="s">
        <v>126</v>
      </c>
      <c r="AH115" s="78">
        <v>4.2592500000000006</v>
      </c>
      <c r="AJ115" s="78" t="s">
        <v>74</v>
      </c>
      <c r="AK115" s="78" t="s">
        <v>88</v>
      </c>
      <c r="AL115" s="78" t="s">
        <v>25</v>
      </c>
      <c r="AM115" s="78" t="s">
        <v>51</v>
      </c>
      <c r="AN115" s="78" t="s">
        <v>126</v>
      </c>
      <c r="AO115" s="78">
        <v>3.00152435884748</v>
      </c>
      <c r="AR115" s="78"/>
      <c r="AS115" s="78"/>
      <c r="AT115" s="78"/>
      <c r="AU115" s="78"/>
      <c r="AV115" s="78"/>
      <c r="AW115" s="78"/>
    </row>
    <row r="116" spans="17:49" s="77" customFormat="1">
      <c r="Q116" s="78"/>
      <c r="R116" s="78"/>
      <c r="S116" s="78"/>
      <c r="T116" s="78"/>
      <c r="U116" s="78"/>
      <c r="V116" s="78"/>
      <c r="AC116" s="78" t="s">
        <v>53</v>
      </c>
      <c r="AD116" s="78" t="s">
        <v>20</v>
      </c>
      <c r="AE116" s="78" t="s">
        <v>72</v>
      </c>
      <c r="AF116" s="78" t="s">
        <v>51</v>
      </c>
      <c r="AG116" s="78" t="s">
        <v>124</v>
      </c>
      <c r="AH116" s="78">
        <v>4.2588749999999997</v>
      </c>
      <c r="AJ116" s="78" t="s">
        <v>74</v>
      </c>
      <c r="AK116" s="78" t="s">
        <v>88</v>
      </c>
      <c r="AL116" s="78" t="s">
        <v>25</v>
      </c>
      <c r="AM116" s="78" t="s">
        <v>51</v>
      </c>
      <c r="AN116" s="78" t="s">
        <v>124</v>
      </c>
      <c r="AO116" s="78">
        <v>3.00880742941581</v>
      </c>
      <c r="AR116" s="78"/>
      <c r="AS116" s="78"/>
      <c r="AT116" s="78"/>
      <c r="AU116" s="78"/>
      <c r="AV116" s="78"/>
      <c r="AW116" s="78"/>
    </row>
    <row r="117" spans="17:49" s="77" customFormat="1">
      <c r="Q117" s="78"/>
      <c r="R117" s="78"/>
      <c r="S117" s="78"/>
      <c r="T117" s="78"/>
      <c r="U117" s="78"/>
      <c r="V117" s="78"/>
      <c r="AC117" s="78" t="s">
        <v>53</v>
      </c>
      <c r="AD117" s="78" t="s">
        <v>20</v>
      </c>
      <c r="AE117" s="78" t="s">
        <v>72</v>
      </c>
      <c r="AF117" s="78" t="s">
        <v>51</v>
      </c>
      <c r="AG117" s="78" t="s">
        <v>127</v>
      </c>
      <c r="AH117" s="78">
        <v>4.2588749999999997</v>
      </c>
      <c r="AJ117" s="78" t="s">
        <v>74</v>
      </c>
      <c r="AK117" s="78" t="s">
        <v>88</v>
      </c>
      <c r="AL117" s="78" t="s">
        <v>25</v>
      </c>
      <c r="AM117" s="78" t="s">
        <v>51</v>
      </c>
      <c r="AN117" s="78" t="s">
        <v>127</v>
      </c>
      <c r="AO117" s="78">
        <v>2.9768819813504899</v>
      </c>
      <c r="AR117" s="78"/>
      <c r="AS117" s="78"/>
      <c r="AT117" s="78"/>
      <c r="AU117" s="78"/>
      <c r="AV117" s="78"/>
      <c r="AW117" s="78"/>
    </row>
    <row r="118" spans="17:49" s="77" customFormat="1">
      <c r="Q118" s="78"/>
      <c r="R118" s="78"/>
      <c r="S118" s="78"/>
      <c r="T118" s="78"/>
      <c r="U118" s="78"/>
      <c r="V118" s="78"/>
      <c r="AC118" s="78" t="s">
        <v>53</v>
      </c>
      <c r="AD118" s="78" t="s">
        <v>20</v>
      </c>
      <c r="AE118" s="78" t="s">
        <v>72</v>
      </c>
      <c r="AF118" s="78" t="s">
        <v>51</v>
      </c>
      <c r="AG118" s="78" t="s">
        <v>128</v>
      </c>
      <c r="AH118" s="78">
        <v>4.2906250000000004</v>
      </c>
      <c r="AJ118" s="78" t="s">
        <v>74</v>
      </c>
      <c r="AK118" s="78" t="s">
        <v>88</v>
      </c>
      <c r="AL118" s="78" t="s">
        <v>25</v>
      </c>
      <c r="AM118" s="78" t="s">
        <v>51</v>
      </c>
      <c r="AN118" s="78" t="s">
        <v>128</v>
      </c>
      <c r="AO118" s="78">
        <v>2.9700273705701301</v>
      </c>
      <c r="AR118" s="78"/>
      <c r="AS118" s="78"/>
      <c r="AT118" s="78"/>
      <c r="AU118" s="78"/>
      <c r="AV118" s="78"/>
      <c r="AW118" s="78"/>
    </row>
    <row r="119" spans="17:49" s="77" customFormat="1">
      <c r="Q119" s="78"/>
      <c r="R119" s="78"/>
      <c r="S119" s="78"/>
      <c r="T119" s="78"/>
      <c r="U119" s="78"/>
      <c r="V119" s="78"/>
      <c r="AC119" s="78" t="s">
        <v>53</v>
      </c>
      <c r="AD119" s="78" t="s">
        <v>20</v>
      </c>
      <c r="AE119" s="78" t="s">
        <v>72</v>
      </c>
      <c r="AF119" s="78" t="s">
        <v>51</v>
      </c>
      <c r="AG119" s="78" t="s">
        <v>129</v>
      </c>
      <c r="AH119" s="78">
        <v>4.2906250000000004</v>
      </c>
      <c r="AJ119" s="78" t="s">
        <v>74</v>
      </c>
      <c r="AK119" s="78" t="s">
        <v>88</v>
      </c>
      <c r="AL119" s="78" t="s">
        <v>25</v>
      </c>
      <c r="AM119" s="78" t="s">
        <v>51</v>
      </c>
      <c r="AN119" s="78" t="s">
        <v>129</v>
      </c>
      <c r="AO119" s="78">
        <v>2.9952166878972601</v>
      </c>
      <c r="AR119" s="78"/>
      <c r="AS119" s="78"/>
      <c r="AT119" s="78"/>
      <c r="AU119" s="78"/>
      <c r="AV119" s="78"/>
      <c r="AW119" s="78"/>
    </row>
    <row r="120" spans="17:49" s="77" customFormat="1">
      <c r="Q120" s="78"/>
      <c r="R120" s="78"/>
      <c r="S120" s="78"/>
      <c r="T120" s="78"/>
      <c r="U120" s="78"/>
      <c r="V120" s="78"/>
      <c r="AC120" s="78" t="s">
        <v>53</v>
      </c>
      <c r="AD120" s="78" t="s">
        <v>20</v>
      </c>
      <c r="AE120" s="78" t="s">
        <v>72</v>
      </c>
      <c r="AF120" s="78" t="s">
        <v>51</v>
      </c>
      <c r="AG120" s="78" t="s">
        <v>123</v>
      </c>
      <c r="AH120" s="78">
        <v>4.2906250000000004</v>
      </c>
      <c r="AJ120" s="78" t="s">
        <v>74</v>
      </c>
      <c r="AK120" s="78" t="s">
        <v>88</v>
      </c>
      <c r="AL120" s="78" t="s">
        <v>25</v>
      </c>
      <c r="AM120" s="78" t="s">
        <v>51</v>
      </c>
      <c r="AN120" s="78" t="s">
        <v>123</v>
      </c>
      <c r="AO120" s="78">
        <v>2.9944455468035298</v>
      </c>
      <c r="AR120" s="78"/>
      <c r="AS120" s="78"/>
      <c r="AT120" s="78"/>
      <c r="AU120" s="78"/>
      <c r="AV120" s="78"/>
      <c r="AW120" s="78"/>
    </row>
    <row r="121" spans="17:49" s="77" customFormat="1">
      <c r="Q121" s="78"/>
      <c r="R121" s="78"/>
      <c r="S121" s="78"/>
      <c r="T121" s="78"/>
      <c r="U121" s="78"/>
      <c r="V121" s="78"/>
      <c r="AC121" s="78" t="s">
        <v>53</v>
      </c>
      <c r="AD121" s="78" t="s">
        <v>20</v>
      </c>
      <c r="AE121" s="78" t="s">
        <v>72</v>
      </c>
      <c r="AF121" s="78" t="s">
        <v>51</v>
      </c>
      <c r="AG121" s="78" t="s">
        <v>125</v>
      </c>
      <c r="AH121" s="78">
        <v>4.1630000000000003</v>
      </c>
      <c r="AJ121" s="78" t="s">
        <v>74</v>
      </c>
      <c r="AK121" s="78" t="s">
        <v>88</v>
      </c>
      <c r="AL121" s="78" t="s">
        <v>25</v>
      </c>
      <c r="AM121" s="78" t="s">
        <v>51</v>
      </c>
      <c r="AN121" s="78" t="s">
        <v>125</v>
      </c>
      <c r="AO121" s="78">
        <v>2.9155081259623699</v>
      </c>
      <c r="AR121" s="78"/>
      <c r="AS121" s="78"/>
      <c r="AT121" s="78"/>
      <c r="AU121" s="78"/>
      <c r="AV121" s="78"/>
      <c r="AW121" s="78"/>
    </row>
    <row r="122" spans="17:49" s="77" customFormat="1">
      <c r="Q122" s="78"/>
      <c r="R122" s="78"/>
      <c r="S122" s="78"/>
      <c r="T122" s="78"/>
      <c r="U122" s="78"/>
      <c r="V122" s="78"/>
      <c r="AC122" s="78" t="s">
        <v>54</v>
      </c>
      <c r="AD122" s="78" t="s">
        <v>20</v>
      </c>
      <c r="AE122" s="78" t="s">
        <v>72</v>
      </c>
      <c r="AF122" s="78" t="s">
        <v>51</v>
      </c>
      <c r="AG122" s="78" t="s">
        <v>98</v>
      </c>
      <c r="AH122" s="78">
        <v>4.2717089165741537</v>
      </c>
      <c r="AJ122" s="78"/>
      <c r="AK122" s="78"/>
      <c r="AL122" s="78"/>
      <c r="AM122" s="78"/>
      <c r="AN122" s="78"/>
      <c r="AO122" s="78"/>
      <c r="AR122" s="78"/>
      <c r="AS122" s="78"/>
      <c r="AT122" s="78"/>
      <c r="AU122" s="78"/>
      <c r="AV122" s="78"/>
      <c r="AW122" s="78"/>
    </row>
    <row r="123" spans="17:49" s="77" customFormat="1">
      <c r="Q123" s="78"/>
      <c r="R123" s="78"/>
      <c r="S123" s="78"/>
      <c r="T123" s="78"/>
      <c r="U123" s="78"/>
      <c r="V123" s="78"/>
      <c r="AC123" s="78" t="s">
        <v>54</v>
      </c>
      <c r="AD123" s="78" t="s">
        <v>20</v>
      </c>
      <c r="AE123" s="78" t="s">
        <v>72</v>
      </c>
      <c r="AF123" s="78" t="s">
        <v>51</v>
      </c>
      <c r="AG123" s="78" t="s">
        <v>96</v>
      </c>
      <c r="AH123" s="78">
        <v>4.3773</v>
      </c>
      <c r="AJ123" s="78"/>
      <c r="AK123" s="78"/>
      <c r="AL123" s="78"/>
      <c r="AM123" s="78"/>
      <c r="AN123" s="78"/>
      <c r="AO123" s="78"/>
      <c r="AR123" s="78"/>
      <c r="AS123" s="78"/>
      <c r="AT123" s="78"/>
      <c r="AU123" s="78"/>
      <c r="AV123" s="78"/>
      <c r="AW123" s="78"/>
    </row>
    <row r="124" spans="17:49" s="77" customFormat="1">
      <c r="Q124" s="78"/>
      <c r="R124" s="78"/>
      <c r="S124" s="78"/>
      <c r="T124" s="78"/>
      <c r="U124" s="78"/>
      <c r="V124" s="78"/>
      <c r="AC124" s="78" t="s">
        <v>54</v>
      </c>
      <c r="AD124" s="78" t="s">
        <v>20</v>
      </c>
      <c r="AE124" s="78" t="s">
        <v>72</v>
      </c>
      <c r="AF124" s="78" t="s">
        <v>51</v>
      </c>
      <c r="AG124" s="78" t="s">
        <v>97</v>
      </c>
      <c r="AH124" s="78">
        <v>4.375438847121214</v>
      </c>
      <c r="AJ124" s="78"/>
      <c r="AK124" s="78"/>
      <c r="AL124" s="78"/>
      <c r="AM124" s="78"/>
      <c r="AN124" s="78"/>
      <c r="AO124" s="78"/>
      <c r="AR124" s="78"/>
      <c r="AS124" s="78"/>
      <c r="AT124" s="78"/>
      <c r="AU124" s="78"/>
      <c r="AV124" s="78"/>
      <c r="AW124" s="78"/>
    </row>
    <row r="125" spans="17:49" s="77" customFormat="1">
      <c r="Q125" s="78"/>
      <c r="R125" s="78"/>
      <c r="S125" s="78"/>
      <c r="T125" s="78"/>
      <c r="U125" s="78"/>
      <c r="V125" s="78"/>
      <c r="AC125" s="78" t="s">
        <v>54</v>
      </c>
      <c r="AD125" s="78" t="s">
        <v>20</v>
      </c>
      <c r="AE125" s="78" t="s">
        <v>72</v>
      </c>
      <c r="AF125" s="78" t="s">
        <v>51</v>
      </c>
      <c r="AG125" s="78" t="s">
        <v>101</v>
      </c>
      <c r="AH125" s="78">
        <v>4.2033105887459152</v>
      </c>
      <c r="AJ125" s="78"/>
      <c r="AK125" s="78"/>
      <c r="AL125" s="78"/>
      <c r="AM125" s="78"/>
      <c r="AN125" s="78"/>
      <c r="AO125" s="78"/>
      <c r="AR125" s="78"/>
      <c r="AS125" s="78"/>
      <c r="AT125" s="78"/>
      <c r="AU125" s="78"/>
      <c r="AV125" s="78"/>
      <c r="AW125" s="78"/>
    </row>
    <row r="126" spans="17:49" s="77" customFormat="1">
      <c r="Q126" s="78"/>
      <c r="R126" s="78"/>
      <c r="S126" s="78"/>
      <c r="T126" s="78"/>
      <c r="U126" s="78"/>
      <c r="V126" s="78"/>
      <c r="AC126" s="78" t="s">
        <v>54</v>
      </c>
      <c r="AD126" s="78" t="s">
        <v>20</v>
      </c>
      <c r="AE126" s="78" t="s">
        <v>72</v>
      </c>
      <c r="AF126" s="78" t="s">
        <v>51</v>
      </c>
      <c r="AG126" s="78" t="s">
        <v>102</v>
      </c>
      <c r="AH126" s="78">
        <v>4.1887316643249344</v>
      </c>
      <c r="AJ126" s="78"/>
      <c r="AK126" s="78"/>
      <c r="AL126" s="78"/>
      <c r="AM126" s="78"/>
      <c r="AN126" s="78"/>
      <c r="AO126" s="78"/>
      <c r="AR126" s="78"/>
      <c r="AS126" s="78"/>
      <c r="AT126" s="78"/>
      <c r="AU126" s="78"/>
      <c r="AV126" s="78"/>
      <c r="AW126" s="78"/>
    </row>
    <row r="127" spans="17:49" s="77" customFormat="1">
      <c r="AC127" s="78" t="s">
        <v>54</v>
      </c>
      <c r="AD127" s="78" t="s">
        <v>20</v>
      </c>
      <c r="AE127" s="78" t="s">
        <v>72</v>
      </c>
      <c r="AF127" s="78" t="s">
        <v>51</v>
      </c>
      <c r="AG127" s="78" t="s">
        <v>103</v>
      </c>
      <c r="AH127" s="78">
        <v>4.2496377008409834</v>
      </c>
      <c r="AJ127" s="78"/>
      <c r="AK127" s="78"/>
      <c r="AL127" s="78"/>
      <c r="AM127" s="78"/>
      <c r="AN127" s="78"/>
      <c r="AO127" s="78"/>
    </row>
    <row r="128" spans="17:49" s="77" customFormat="1">
      <c r="AC128" s="78" t="s">
        <v>54</v>
      </c>
      <c r="AD128" s="78" t="s">
        <v>20</v>
      </c>
      <c r="AE128" s="78" t="s">
        <v>72</v>
      </c>
      <c r="AF128" s="78" t="s">
        <v>51</v>
      </c>
      <c r="AG128" s="78" t="s">
        <v>104</v>
      </c>
      <c r="AH128" s="78">
        <v>4.2496377008409834</v>
      </c>
      <c r="AJ128" s="78"/>
      <c r="AK128" s="78"/>
      <c r="AL128" s="78"/>
      <c r="AM128" s="78"/>
      <c r="AN128" s="78"/>
      <c r="AO128" s="78"/>
    </row>
    <row r="129" spans="29:41" s="77" customFormat="1">
      <c r="AC129" s="78" t="s">
        <v>54</v>
      </c>
      <c r="AD129" s="78" t="s">
        <v>20</v>
      </c>
      <c r="AE129" s="78" t="s">
        <v>72</v>
      </c>
      <c r="AF129" s="78" t="s">
        <v>51</v>
      </c>
      <c r="AG129" s="78" t="s">
        <v>105</v>
      </c>
      <c r="AH129" s="78">
        <v>4.4407683440906052</v>
      </c>
      <c r="AJ129" s="78"/>
      <c r="AK129" s="78"/>
      <c r="AL129" s="78"/>
      <c r="AM129" s="78"/>
      <c r="AN129" s="78"/>
      <c r="AO129" s="78"/>
    </row>
    <row r="130" spans="29:41" s="77" customFormat="1">
      <c r="AC130" s="78" t="s">
        <v>54</v>
      </c>
      <c r="AD130" s="78" t="s">
        <v>20</v>
      </c>
      <c r="AE130" s="78" t="s">
        <v>72</v>
      </c>
      <c r="AF130" s="78" t="s">
        <v>51</v>
      </c>
      <c r="AG130" s="78" t="s">
        <v>106</v>
      </c>
      <c r="AH130" s="78">
        <v>4.5041620075276256</v>
      </c>
      <c r="AJ130" s="78"/>
      <c r="AK130" s="78"/>
      <c r="AL130" s="78"/>
      <c r="AM130" s="78"/>
      <c r="AN130" s="78"/>
      <c r="AO130" s="78"/>
    </row>
    <row r="131" spans="29:41" s="77" customFormat="1">
      <c r="AC131" s="78" t="s">
        <v>54</v>
      </c>
      <c r="AD131" s="78" t="s">
        <v>20</v>
      </c>
      <c r="AE131" s="78" t="s">
        <v>72</v>
      </c>
      <c r="AF131" s="78" t="s">
        <v>51</v>
      </c>
      <c r="AG131" s="78" t="s">
        <v>107</v>
      </c>
      <c r="AH131" s="78">
        <v>4.3147493145490214</v>
      </c>
      <c r="AJ131" s="78"/>
      <c r="AK131" s="78"/>
      <c r="AL131" s="78"/>
      <c r="AM131" s="78"/>
      <c r="AN131" s="78"/>
      <c r="AO131" s="78"/>
    </row>
    <row r="132" spans="29:41" s="77" customFormat="1">
      <c r="AC132" s="78" t="s">
        <v>54</v>
      </c>
      <c r="AD132" s="78" t="s">
        <v>20</v>
      </c>
      <c r="AE132" s="78" t="s">
        <v>72</v>
      </c>
      <c r="AF132" s="78" t="s">
        <v>51</v>
      </c>
      <c r="AG132" s="78" t="s">
        <v>108</v>
      </c>
      <c r="AH132" s="78">
        <v>4.2717089165741537</v>
      </c>
      <c r="AJ132" s="78"/>
      <c r="AK132" s="78"/>
      <c r="AL132" s="78"/>
      <c r="AM132" s="78"/>
      <c r="AN132" s="78"/>
      <c r="AO132" s="78"/>
    </row>
    <row r="133" spans="29:41" s="77" customFormat="1">
      <c r="AC133" s="78" t="s">
        <v>54</v>
      </c>
      <c r="AD133" s="78" t="s">
        <v>20</v>
      </c>
      <c r="AE133" s="78" t="s">
        <v>72</v>
      </c>
      <c r="AF133" s="78" t="s">
        <v>51</v>
      </c>
      <c r="AG133" s="78" t="s">
        <v>100</v>
      </c>
      <c r="AH133" s="78">
        <v>4.3147493145490214</v>
      </c>
    </row>
    <row r="134" spans="29:41" s="77" customFormat="1">
      <c r="AC134" s="78" t="s">
        <v>54</v>
      </c>
      <c r="AD134" s="78" t="s">
        <v>20</v>
      </c>
      <c r="AE134" s="78" t="s">
        <v>72</v>
      </c>
      <c r="AF134" s="78" t="s">
        <v>51</v>
      </c>
      <c r="AG134" s="78" t="s">
        <v>109</v>
      </c>
      <c r="AH134" s="78">
        <v>4.2717089165741537</v>
      </c>
    </row>
    <row r="135" spans="29:41" s="77" customFormat="1">
      <c r="AC135" s="78" t="s">
        <v>54</v>
      </c>
      <c r="AD135" s="78" t="s">
        <v>20</v>
      </c>
      <c r="AE135" s="78" t="s">
        <v>72</v>
      </c>
      <c r="AF135" s="78" t="s">
        <v>51</v>
      </c>
      <c r="AG135" s="78" t="s">
        <v>110</v>
      </c>
      <c r="AH135" s="78">
        <v>4.2717089165741537</v>
      </c>
    </row>
    <row r="136" spans="29:41" s="77" customFormat="1">
      <c r="AC136" s="78" t="s">
        <v>54</v>
      </c>
      <c r="AD136" s="78" t="s">
        <v>20</v>
      </c>
      <c r="AE136" s="78" t="s">
        <v>72</v>
      </c>
      <c r="AF136" s="78" t="s">
        <v>51</v>
      </c>
      <c r="AG136" s="78" t="s">
        <v>111</v>
      </c>
      <c r="AH136" s="78">
        <v>4.2033105887459152</v>
      </c>
    </row>
    <row r="137" spans="29:41" s="77" customFormat="1">
      <c r="AC137" s="78" t="s">
        <v>54</v>
      </c>
      <c r="AD137" s="78" t="s">
        <v>20</v>
      </c>
      <c r="AE137" s="78" t="s">
        <v>72</v>
      </c>
      <c r="AF137" s="78" t="s">
        <v>51</v>
      </c>
      <c r="AG137" s="78" t="s">
        <v>99</v>
      </c>
      <c r="AH137" s="78">
        <v>4.2496377008409834</v>
      </c>
    </row>
    <row r="138" spans="29:41" s="77" customFormat="1">
      <c r="AC138" s="78" t="s">
        <v>54</v>
      </c>
      <c r="AD138" s="78" t="s">
        <v>20</v>
      </c>
      <c r="AE138" s="78" t="s">
        <v>72</v>
      </c>
      <c r="AF138" s="78" t="s">
        <v>51</v>
      </c>
      <c r="AG138" s="78" t="s">
        <v>126</v>
      </c>
      <c r="AH138" s="78">
        <v>4.2404589165741537</v>
      </c>
    </row>
    <row r="139" spans="29:41" s="77" customFormat="1">
      <c r="AC139" s="78" t="s">
        <v>54</v>
      </c>
      <c r="AD139" s="78" t="s">
        <v>20</v>
      </c>
      <c r="AE139" s="78" t="s">
        <v>72</v>
      </c>
      <c r="AF139" s="78" t="s">
        <v>51</v>
      </c>
      <c r="AG139" s="78" t="s">
        <v>124</v>
      </c>
      <c r="AH139" s="78">
        <v>4.1887316643249344</v>
      </c>
    </row>
    <row r="140" spans="29:41" s="77" customFormat="1">
      <c r="AC140" s="78" t="s">
        <v>54</v>
      </c>
      <c r="AD140" s="78" t="s">
        <v>20</v>
      </c>
      <c r="AE140" s="78" t="s">
        <v>72</v>
      </c>
      <c r="AF140" s="78" t="s">
        <v>51</v>
      </c>
      <c r="AG140" s="78" t="s">
        <v>127</v>
      </c>
      <c r="AH140" s="78">
        <v>4.145604497342033</v>
      </c>
    </row>
    <row r="141" spans="29:41" s="77" customFormat="1">
      <c r="AC141" s="78" t="s">
        <v>54</v>
      </c>
      <c r="AD141" s="78" t="s">
        <v>20</v>
      </c>
      <c r="AE141" s="78" t="s">
        <v>72</v>
      </c>
      <c r="AF141" s="78" t="s">
        <v>51</v>
      </c>
      <c r="AG141" s="78" t="s">
        <v>128</v>
      </c>
      <c r="AH141" s="78">
        <v>4.1887316643249344</v>
      </c>
    </row>
    <row r="142" spans="29:41" s="77" customFormat="1">
      <c r="AC142" s="78" t="s">
        <v>54</v>
      </c>
      <c r="AD142" s="78" t="s">
        <v>20</v>
      </c>
      <c r="AE142" s="78" t="s">
        <v>72</v>
      </c>
      <c r="AF142" s="78" t="s">
        <v>51</v>
      </c>
      <c r="AG142" s="78" t="s">
        <v>129</v>
      </c>
      <c r="AH142" s="78">
        <v>4.1887316643249344</v>
      </c>
    </row>
    <row r="143" spans="29:41" s="77" customFormat="1">
      <c r="AC143" s="78" t="s">
        <v>54</v>
      </c>
      <c r="AD143" s="78" t="s">
        <v>20</v>
      </c>
      <c r="AE143" s="78" t="s">
        <v>72</v>
      </c>
      <c r="AF143" s="78" t="s">
        <v>51</v>
      </c>
      <c r="AG143" s="78" t="s">
        <v>123</v>
      </c>
      <c r="AH143" s="78">
        <v>4.2496377008409834</v>
      </c>
    </row>
    <row r="144" spans="29:41" s="77" customFormat="1">
      <c r="AC144" s="78" t="s">
        <v>54</v>
      </c>
      <c r="AD144" s="78" t="s">
        <v>20</v>
      </c>
      <c r="AE144" s="78" t="s">
        <v>72</v>
      </c>
      <c r="AF144" s="78" t="s">
        <v>51</v>
      </c>
      <c r="AG144" s="78" t="s">
        <v>125</v>
      </c>
      <c r="AH144" s="78">
        <v>4.0771627490827687</v>
      </c>
    </row>
    <row r="145" spans="1:49" s="77" customFormat="1">
      <c r="AC145" s="78" t="s">
        <v>55</v>
      </c>
      <c r="AD145" s="78" t="s">
        <v>20</v>
      </c>
      <c r="AE145" s="78" t="s">
        <v>72</v>
      </c>
      <c r="AF145" s="78" t="s">
        <v>51</v>
      </c>
      <c r="AG145" s="78" t="s">
        <v>98</v>
      </c>
      <c r="AH145" s="78">
        <v>4.1873439755716797</v>
      </c>
    </row>
    <row r="146" spans="1:49" s="77" customFormat="1">
      <c r="AC146" s="78" t="s">
        <v>55</v>
      </c>
      <c r="AD146" s="78" t="s">
        <v>20</v>
      </c>
      <c r="AE146" s="78" t="s">
        <v>72</v>
      </c>
      <c r="AF146" s="78" t="s">
        <v>51</v>
      </c>
      <c r="AG146" s="78" t="s">
        <v>96</v>
      </c>
      <c r="AH146" s="78">
        <v>4.2186106422383469</v>
      </c>
    </row>
    <row r="147" spans="1:49" s="77" customFormat="1">
      <c r="AC147" s="78" t="s">
        <v>55</v>
      </c>
      <c r="AD147" s="78" t="s">
        <v>20</v>
      </c>
      <c r="AE147" s="78" t="s">
        <v>72</v>
      </c>
      <c r="AF147" s="78" t="s">
        <v>51</v>
      </c>
      <c r="AG147" s="78" t="s">
        <v>97</v>
      </c>
      <c r="AH147" s="78">
        <v>4.2186106422383469</v>
      </c>
    </row>
    <row r="148" spans="1:49" s="77" customFormat="1">
      <c r="AC148" s="78" t="s">
        <v>55</v>
      </c>
      <c r="AD148" s="78" t="s">
        <v>20</v>
      </c>
      <c r="AE148" s="78" t="s">
        <v>72</v>
      </c>
      <c r="AF148" s="78" t="s">
        <v>51</v>
      </c>
      <c r="AG148" s="78" t="s">
        <v>101</v>
      </c>
      <c r="AH148" s="78">
        <v>4.1237077500397357</v>
      </c>
    </row>
    <row r="149" spans="1:49" s="77" customFormat="1">
      <c r="AC149" s="78" t="s">
        <v>55</v>
      </c>
      <c r="AD149" s="78" t="s">
        <v>20</v>
      </c>
      <c r="AE149" s="78" t="s">
        <v>72</v>
      </c>
      <c r="AF149" s="78" t="s">
        <v>51</v>
      </c>
      <c r="AG149" s="78" t="s">
        <v>102</v>
      </c>
      <c r="AH149" s="78">
        <v>4.0612077500397348</v>
      </c>
    </row>
    <row r="150" spans="1:49" s="77" customFormat="1">
      <c r="AC150" s="78" t="s">
        <v>55</v>
      </c>
      <c r="AD150" s="78" t="s">
        <v>20</v>
      </c>
      <c r="AE150" s="78" t="s">
        <v>72</v>
      </c>
      <c r="AF150" s="78" t="s">
        <v>51</v>
      </c>
      <c r="AG150" s="78" t="s">
        <v>103</v>
      </c>
      <c r="AH150" s="78">
        <v>4.092474416706402</v>
      </c>
    </row>
    <row r="151" spans="1:49" s="77" customFormat="1">
      <c r="AC151" s="78" t="s">
        <v>55</v>
      </c>
      <c r="AD151" s="78" t="s">
        <v>20</v>
      </c>
      <c r="AE151" s="78" t="s">
        <v>72</v>
      </c>
      <c r="AF151" s="78" t="s">
        <v>51</v>
      </c>
      <c r="AG151" s="78" t="s">
        <v>104</v>
      </c>
      <c r="AH151" s="78">
        <v>4.092474416706402</v>
      </c>
    </row>
    <row r="152" spans="1:49" s="77" customFormat="1">
      <c r="AC152" s="78" t="s">
        <v>55</v>
      </c>
      <c r="AD152" s="78" t="s">
        <v>20</v>
      </c>
      <c r="AE152" s="78" t="s">
        <v>72</v>
      </c>
      <c r="AF152" s="78" t="s">
        <v>51</v>
      </c>
      <c r="AG152" s="78" t="s">
        <v>105</v>
      </c>
      <c r="AH152" s="78">
        <v>4.1873439755716797</v>
      </c>
    </row>
    <row r="153" spans="1:49" s="77" customFormat="1">
      <c r="AC153" s="78" t="s">
        <v>55</v>
      </c>
      <c r="AD153" s="78" t="s">
        <v>20</v>
      </c>
      <c r="AE153" s="78" t="s">
        <v>72</v>
      </c>
      <c r="AF153" s="78" t="s">
        <v>51</v>
      </c>
      <c r="AG153" s="78" t="s">
        <v>106</v>
      </c>
      <c r="AH153" s="78">
        <v>4.2498439755716797</v>
      </c>
    </row>
    <row r="154" spans="1:49">
      <c r="A154" s="77"/>
      <c r="B154" s="77"/>
      <c r="C154" s="77"/>
      <c r="D154" s="77"/>
      <c r="E154" s="77"/>
      <c r="F154" s="77"/>
      <c r="I154" s="77"/>
      <c r="J154" s="77"/>
      <c r="K154" s="77"/>
      <c r="L154" s="77"/>
      <c r="M154" s="77"/>
      <c r="N154" s="77"/>
      <c r="Q154" s="77"/>
      <c r="R154" s="77"/>
      <c r="S154" s="77"/>
      <c r="T154" s="77"/>
      <c r="U154" s="77"/>
      <c r="V154" s="77"/>
      <c r="X154" s="77"/>
      <c r="Y154" s="77"/>
      <c r="Z154" s="77"/>
      <c r="AA154" s="77"/>
      <c r="AC154" s="78" t="s">
        <v>55</v>
      </c>
      <c r="AD154" s="78" t="s">
        <v>20</v>
      </c>
      <c r="AE154" s="78" t="s">
        <v>72</v>
      </c>
      <c r="AF154" s="78" t="s">
        <v>51</v>
      </c>
      <c r="AG154" s="78" t="s">
        <v>107</v>
      </c>
      <c r="AH154" s="78">
        <v>4.1873439755716797</v>
      </c>
      <c r="AJ154" s="77"/>
      <c r="AK154" s="77"/>
      <c r="AL154" s="77"/>
      <c r="AM154" s="77"/>
      <c r="AN154" s="77"/>
      <c r="AO154" s="77"/>
      <c r="AR154" s="77"/>
      <c r="AS154" s="77"/>
      <c r="AT154" s="77"/>
      <c r="AU154" s="77"/>
      <c r="AV154" s="77"/>
      <c r="AW154" s="77"/>
    </row>
    <row r="155" spans="1:49">
      <c r="A155" s="77"/>
      <c r="B155" s="77"/>
      <c r="C155" s="77"/>
      <c r="D155" s="77"/>
      <c r="E155" s="77"/>
      <c r="F155" s="77"/>
      <c r="I155" s="77"/>
      <c r="J155" s="77"/>
      <c r="K155" s="77"/>
      <c r="L155" s="77"/>
      <c r="M155" s="77"/>
      <c r="N155" s="77"/>
      <c r="Q155" s="77"/>
      <c r="R155" s="77"/>
      <c r="S155" s="77"/>
      <c r="T155" s="77"/>
      <c r="U155" s="77"/>
      <c r="V155" s="77"/>
      <c r="AC155" s="78" t="s">
        <v>55</v>
      </c>
      <c r="AD155" s="78" t="s">
        <v>20</v>
      </c>
      <c r="AE155" s="78" t="s">
        <v>72</v>
      </c>
      <c r="AF155" s="78" t="s">
        <v>51</v>
      </c>
      <c r="AG155" s="78" t="s">
        <v>108</v>
      </c>
      <c r="AH155" s="78">
        <v>4.1237077500397357</v>
      </c>
      <c r="AJ155" s="77"/>
      <c r="AK155" s="77"/>
      <c r="AL155" s="77"/>
      <c r="AM155" s="77"/>
      <c r="AN155" s="77"/>
      <c r="AO155" s="77"/>
      <c r="AR155" s="77"/>
      <c r="AS155" s="77"/>
      <c r="AT155" s="77"/>
      <c r="AU155" s="77"/>
      <c r="AV155" s="77"/>
      <c r="AW155" s="77"/>
    </row>
    <row r="156" spans="1:49">
      <c r="A156" s="77"/>
      <c r="B156" s="77"/>
      <c r="C156" s="77"/>
      <c r="D156" s="77"/>
      <c r="E156" s="77"/>
      <c r="F156" s="77"/>
      <c r="I156" s="77"/>
      <c r="J156" s="77"/>
      <c r="K156" s="77"/>
      <c r="L156" s="77"/>
      <c r="M156" s="77"/>
      <c r="N156" s="77"/>
      <c r="Q156" s="77"/>
      <c r="R156" s="77"/>
      <c r="S156" s="77"/>
      <c r="T156" s="77"/>
      <c r="U156" s="77"/>
      <c r="V156" s="77"/>
      <c r="AC156" s="78" t="s">
        <v>55</v>
      </c>
      <c r="AD156" s="78" t="s">
        <v>20</v>
      </c>
      <c r="AE156" s="78" t="s">
        <v>72</v>
      </c>
      <c r="AF156" s="78" t="s">
        <v>51</v>
      </c>
      <c r="AG156" s="78" t="s">
        <v>100</v>
      </c>
      <c r="AH156" s="78">
        <v>4.1817004181546098</v>
      </c>
      <c r="AJ156" s="77"/>
      <c r="AK156" s="77"/>
      <c r="AL156" s="77"/>
      <c r="AM156" s="77"/>
      <c r="AN156" s="77"/>
      <c r="AO156" s="77"/>
      <c r="AR156" s="77"/>
      <c r="AS156" s="77"/>
      <c r="AT156" s="77"/>
      <c r="AU156" s="77"/>
      <c r="AV156" s="77"/>
      <c r="AW156" s="77"/>
    </row>
    <row r="157" spans="1:49">
      <c r="A157" s="77"/>
      <c r="B157" s="77"/>
      <c r="C157" s="77"/>
      <c r="D157" s="77"/>
      <c r="E157" s="77"/>
      <c r="F157" s="77"/>
      <c r="I157" s="77"/>
      <c r="J157" s="77"/>
      <c r="K157" s="77"/>
      <c r="L157" s="77"/>
      <c r="M157" s="77"/>
      <c r="N157" s="77"/>
      <c r="Q157" s="77"/>
      <c r="R157" s="77"/>
      <c r="S157" s="77"/>
      <c r="T157" s="77"/>
      <c r="U157" s="77"/>
      <c r="V157" s="77"/>
      <c r="AC157" s="78" t="s">
        <v>55</v>
      </c>
      <c r="AD157" s="78" t="s">
        <v>20</v>
      </c>
      <c r="AE157" s="78" t="s">
        <v>72</v>
      </c>
      <c r="AF157" s="78" t="s">
        <v>51</v>
      </c>
      <c r="AG157" s="78" t="s">
        <v>109</v>
      </c>
      <c r="AH157" s="78">
        <v>4.1237077500397357</v>
      </c>
      <c r="AJ157" s="77"/>
      <c r="AK157" s="77"/>
      <c r="AL157" s="77"/>
      <c r="AM157" s="77"/>
      <c r="AN157" s="77"/>
      <c r="AO157" s="77"/>
      <c r="AR157" s="77"/>
      <c r="AS157" s="77"/>
      <c r="AT157" s="77"/>
      <c r="AU157" s="77"/>
      <c r="AV157" s="77"/>
      <c r="AW157" s="77"/>
    </row>
    <row r="158" spans="1:49">
      <c r="A158" s="77"/>
      <c r="B158" s="77"/>
      <c r="C158" s="77"/>
      <c r="D158" s="77"/>
      <c r="E158" s="77"/>
      <c r="F158" s="77"/>
      <c r="I158" s="77"/>
      <c r="J158" s="77"/>
      <c r="K158" s="77"/>
      <c r="L158" s="77"/>
      <c r="M158" s="77"/>
      <c r="N158" s="77"/>
      <c r="Q158" s="77"/>
      <c r="R158" s="77"/>
      <c r="S158" s="77"/>
      <c r="T158" s="77"/>
      <c r="U158" s="77"/>
      <c r="V158" s="77"/>
      <c r="AC158" s="78" t="s">
        <v>55</v>
      </c>
      <c r="AD158" s="78" t="s">
        <v>20</v>
      </c>
      <c r="AE158" s="78" t="s">
        <v>72</v>
      </c>
      <c r="AF158" s="78" t="s">
        <v>51</v>
      </c>
      <c r="AG158" s="78" t="s">
        <v>110</v>
      </c>
      <c r="AH158" s="78">
        <v>4.1817004181546098</v>
      </c>
      <c r="AJ158" s="77"/>
      <c r="AK158" s="77"/>
      <c r="AL158" s="77"/>
      <c r="AM158" s="77"/>
      <c r="AN158" s="77"/>
      <c r="AO158" s="77"/>
      <c r="AR158" s="77"/>
      <c r="AS158" s="77"/>
      <c r="AT158" s="77"/>
      <c r="AU158" s="77"/>
      <c r="AV158" s="77"/>
      <c r="AW158" s="77"/>
    </row>
    <row r="159" spans="1:49">
      <c r="A159" s="77"/>
      <c r="B159" s="77"/>
      <c r="C159" s="77"/>
      <c r="D159" s="77"/>
      <c r="E159" s="77"/>
      <c r="F159" s="77"/>
      <c r="I159" s="77"/>
      <c r="J159" s="77"/>
      <c r="K159" s="77"/>
      <c r="L159" s="77"/>
      <c r="M159" s="77"/>
      <c r="N159" s="77"/>
      <c r="Q159" s="77"/>
      <c r="R159" s="77"/>
      <c r="S159" s="77"/>
      <c r="T159" s="77"/>
      <c r="U159" s="77"/>
      <c r="V159" s="77"/>
      <c r="AC159" s="78" t="s">
        <v>55</v>
      </c>
      <c r="AD159" s="78" t="s">
        <v>20</v>
      </c>
      <c r="AE159" s="78" t="s">
        <v>72</v>
      </c>
      <c r="AF159" s="78" t="s">
        <v>51</v>
      </c>
      <c r="AG159" s="78" t="s">
        <v>111</v>
      </c>
      <c r="AH159" s="78">
        <v>4.1237077500397357</v>
      </c>
      <c r="AJ159" s="77"/>
      <c r="AK159" s="77"/>
      <c r="AL159" s="77"/>
      <c r="AM159" s="77"/>
      <c r="AN159" s="77"/>
      <c r="AO159" s="77"/>
      <c r="AR159" s="77"/>
      <c r="AS159" s="77"/>
      <c r="AT159" s="77"/>
      <c r="AU159" s="77"/>
      <c r="AV159" s="77"/>
      <c r="AW159" s="77"/>
    </row>
    <row r="160" spans="1:49">
      <c r="A160" s="77"/>
      <c r="B160" s="77"/>
      <c r="C160" s="77"/>
      <c r="D160" s="77"/>
      <c r="E160" s="77"/>
      <c r="F160" s="77"/>
      <c r="I160" s="77"/>
      <c r="J160" s="77"/>
      <c r="K160" s="77"/>
      <c r="L160" s="77"/>
      <c r="M160" s="77"/>
      <c r="N160" s="77"/>
      <c r="Q160" s="77"/>
      <c r="R160" s="77"/>
      <c r="S160" s="77"/>
      <c r="T160" s="77"/>
      <c r="U160" s="77"/>
      <c r="V160" s="77"/>
      <c r="AC160" s="78" t="s">
        <v>55</v>
      </c>
      <c r="AD160" s="78" t="s">
        <v>20</v>
      </c>
      <c r="AE160" s="78" t="s">
        <v>72</v>
      </c>
      <c r="AF160" s="78" t="s">
        <v>51</v>
      </c>
      <c r="AG160" s="78" t="s">
        <v>99</v>
      </c>
      <c r="AH160" s="78">
        <v>4.1237077500397357</v>
      </c>
      <c r="AJ160" s="77"/>
      <c r="AK160" s="77"/>
      <c r="AL160" s="77"/>
      <c r="AM160" s="77"/>
      <c r="AN160" s="77"/>
      <c r="AO160" s="77"/>
      <c r="AR160" s="77"/>
      <c r="AS160" s="77"/>
      <c r="AT160" s="77"/>
      <c r="AU160" s="77"/>
      <c r="AV160" s="77"/>
      <c r="AW160" s="77"/>
    </row>
    <row r="161" spans="1:49">
      <c r="A161" s="77"/>
      <c r="B161" s="77"/>
      <c r="C161" s="77"/>
      <c r="D161" s="77"/>
      <c r="E161" s="77"/>
      <c r="F161" s="77"/>
      <c r="I161" s="77"/>
      <c r="J161" s="77"/>
      <c r="K161" s="77"/>
      <c r="L161" s="77"/>
      <c r="M161" s="77"/>
      <c r="N161" s="77"/>
      <c r="Q161" s="77"/>
      <c r="R161" s="77"/>
      <c r="S161" s="77"/>
      <c r="T161" s="77"/>
      <c r="U161" s="77"/>
      <c r="V161" s="77"/>
      <c r="AC161" s="78" t="s">
        <v>55</v>
      </c>
      <c r="AD161" s="78" t="s">
        <v>20</v>
      </c>
      <c r="AE161" s="78" t="s">
        <v>72</v>
      </c>
      <c r="AF161" s="78" t="s">
        <v>51</v>
      </c>
      <c r="AG161" s="78" t="s">
        <v>126</v>
      </c>
      <c r="AH161" s="78">
        <v>4.1237077500397357</v>
      </c>
      <c r="AJ161" s="77"/>
      <c r="AK161" s="77"/>
      <c r="AL161" s="77"/>
      <c r="AM161" s="77"/>
      <c r="AN161" s="77"/>
      <c r="AO161" s="77"/>
      <c r="AR161" s="77"/>
      <c r="AS161" s="77"/>
      <c r="AT161" s="77"/>
      <c r="AU161" s="77"/>
      <c r="AV161" s="77"/>
      <c r="AW161" s="77"/>
    </row>
    <row r="162" spans="1:49">
      <c r="A162" s="77"/>
      <c r="B162" s="77"/>
      <c r="C162" s="77"/>
      <c r="D162" s="77"/>
      <c r="E162" s="77"/>
      <c r="F162" s="77"/>
      <c r="I162" s="77"/>
      <c r="J162" s="77"/>
      <c r="K162" s="77"/>
      <c r="L162" s="77"/>
      <c r="M162" s="77"/>
      <c r="N162" s="77"/>
      <c r="Q162" s="77"/>
      <c r="R162" s="77"/>
      <c r="S162" s="77"/>
      <c r="T162" s="77"/>
      <c r="U162" s="77"/>
      <c r="V162" s="77"/>
      <c r="AC162" s="78" t="s">
        <v>55</v>
      </c>
      <c r="AD162" s="78" t="s">
        <v>20</v>
      </c>
      <c r="AE162" s="78" t="s">
        <v>72</v>
      </c>
      <c r="AF162" s="78" t="s">
        <v>51</v>
      </c>
      <c r="AG162" s="78" t="s">
        <v>124</v>
      </c>
      <c r="AH162" s="78">
        <v>4.0612077500397348</v>
      </c>
      <c r="AJ162" s="77"/>
      <c r="AK162" s="77"/>
      <c r="AL162" s="77"/>
      <c r="AM162" s="77"/>
      <c r="AN162" s="77"/>
      <c r="AO162" s="77"/>
      <c r="AR162" s="77"/>
      <c r="AS162" s="77"/>
      <c r="AT162" s="77"/>
      <c r="AU162" s="77"/>
      <c r="AV162" s="77"/>
      <c r="AW162" s="77"/>
    </row>
    <row r="163" spans="1:49">
      <c r="A163" s="77"/>
      <c r="B163" s="77"/>
      <c r="C163" s="77"/>
      <c r="D163" s="77"/>
      <c r="E163" s="77"/>
      <c r="F163" s="77"/>
      <c r="I163" s="77"/>
      <c r="J163" s="77"/>
      <c r="K163" s="77"/>
      <c r="L163" s="77"/>
      <c r="M163" s="77"/>
      <c r="N163" s="77"/>
      <c r="Q163" s="77"/>
      <c r="R163" s="77"/>
      <c r="S163" s="77"/>
      <c r="T163" s="77"/>
      <c r="U163" s="77"/>
      <c r="V163" s="77"/>
      <c r="AC163" s="78" t="s">
        <v>55</v>
      </c>
      <c r="AD163" s="78" t="s">
        <v>20</v>
      </c>
      <c r="AE163" s="78" t="s">
        <v>72</v>
      </c>
      <c r="AF163" s="78" t="s">
        <v>51</v>
      </c>
      <c r="AG163" s="78" t="s">
        <v>127</v>
      </c>
      <c r="AH163" s="78">
        <v>4.0557276764206129</v>
      </c>
      <c r="AJ163" s="77"/>
      <c r="AK163" s="77"/>
      <c r="AL163" s="77"/>
      <c r="AM163" s="77"/>
      <c r="AN163" s="77"/>
      <c r="AO163" s="77"/>
      <c r="AR163" s="77"/>
      <c r="AS163" s="77"/>
      <c r="AT163" s="77"/>
      <c r="AU163" s="77"/>
      <c r="AV163" s="77"/>
      <c r="AW163" s="77"/>
    </row>
    <row r="164" spans="1:49">
      <c r="A164" s="77"/>
      <c r="B164" s="77"/>
      <c r="C164" s="77"/>
      <c r="D164" s="77"/>
      <c r="E164" s="77"/>
      <c r="F164" s="77"/>
      <c r="I164" s="77"/>
      <c r="J164" s="77"/>
      <c r="K164" s="77"/>
      <c r="L164" s="77"/>
      <c r="M164" s="77"/>
      <c r="N164" s="77"/>
      <c r="Q164" s="77"/>
      <c r="R164" s="77"/>
      <c r="S164" s="77"/>
      <c r="T164" s="77"/>
      <c r="U164" s="77"/>
      <c r="V164" s="77"/>
      <c r="AC164" s="78" t="s">
        <v>55</v>
      </c>
      <c r="AD164" s="78" t="s">
        <v>20</v>
      </c>
      <c r="AE164" s="78" t="s">
        <v>72</v>
      </c>
      <c r="AF164" s="78" t="s">
        <v>51</v>
      </c>
      <c r="AG164" s="78" t="s">
        <v>128</v>
      </c>
      <c r="AH164" s="78">
        <v>4.0557276764206129</v>
      </c>
      <c r="AJ164" s="77"/>
      <c r="AK164" s="77"/>
      <c r="AL164" s="77"/>
      <c r="AM164" s="77"/>
      <c r="AN164" s="77"/>
      <c r="AO164" s="77"/>
      <c r="AR164" s="77"/>
      <c r="AS164" s="77"/>
      <c r="AT164" s="77"/>
      <c r="AU164" s="77"/>
      <c r="AV164" s="77"/>
      <c r="AW164" s="77"/>
    </row>
    <row r="165" spans="1:49">
      <c r="A165" s="77"/>
      <c r="B165" s="77"/>
      <c r="C165" s="77"/>
      <c r="D165" s="77"/>
      <c r="E165" s="77"/>
      <c r="F165" s="77"/>
      <c r="I165" s="77"/>
      <c r="J165" s="77"/>
      <c r="K165" s="77"/>
      <c r="L165" s="77"/>
      <c r="M165" s="77"/>
      <c r="N165" s="77"/>
      <c r="Q165" s="77"/>
      <c r="R165" s="77"/>
      <c r="S165" s="77"/>
      <c r="T165" s="77"/>
      <c r="U165" s="77"/>
      <c r="V165" s="77"/>
      <c r="AC165" s="78" t="s">
        <v>55</v>
      </c>
      <c r="AD165" s="78" t="s">
        <v>20</v>
      </c>
      <c r="AE165" s="78" t="s">
        <v>72</v>
      </c>
      <c r="AF165" s="78" t="s">
        <v>51</v>
      </c>
      <c r="AG165" s="78" t="s">
        <v>129</v>
      </c>
      <c r="AH165" s="78">
        <v>4.0557276764206129</v>
      </c>
      <c r="AJ165" s="77"/>
      <c r="AK165" s="77"/>
      <c r="AL165" s="77"/>
      <c r="AM165" s="77"/>
      <c r="AN165" s="77"/>
      <c r="AO165" s="77"/>
      <c r="AR165" s="77"/>
      <c r="AS165" s="77"/>
      <c r="AT165" s="77"/>
      <c r="AU165" s="77"/>
      <c r="AV165" s="77"/>
      <c r="AW165" s="77"/>
    </row>
    <row r="166" spans="1:49">
      <c r="A166" s="77"/>
      <c r="B166" s="77"/>
      <c r="C166" s="77"/>
      <c r="D166" s="77"/>
      <c r="E166" s="77"/>
      <c r="F166" s="77"/>
      <c r="I166" s="77"/>
      <c r="J166" s="77"/>
      <c r="K166" s="77"/>
      <c r="L166" s="77"/>
      <c r="M166" s="77"/>
      <c r="N166" s="77"/>
      <c r="Q166" s="77"/>
      <c r="R166" s="77"/>
      <c r="S166" s="77"/>
      <c r="T166" s="77"/>
      <c r="U166" s="77"/>
      <c r="V166" s="77"/>
      <c r="AC166" s="78" t="s">
        <v>55</v>
      </c>
      <c r="AD166" s="78" t="s">
        <v>20</v>
      </c>
      <c r="AE166" s="78" t="s">
        <v>72</v>
      </c>
      <c r="AF166" s="78" t="s">
        <v>51</v>
      </c>
      <c r="AG166" s="78" t="s">
        <v>123</v>
      </c>
      <c r="AH166" s="78">
        <v>4.0557276764206129</v>
      </c>
      <c r="AJ166" s="77"/>
      <c r="AK166" s="77"/>
      <c r="AL166" s="77"/>
      <c r="AM166" s="77"/>
      <c r="AN166" s="77"/>
      <c r="AO166" s="77"/>
      <c r="AR166" s="77"/>
      <c r="AS166" s="77"/>
      <c r="AT166" s="77"/>
      <c r="AU166" s="77"/>
      <c r="AV166" s="77"/>
      <c r="AW166" s="77"/>
    </row>
    <row r="167" spans="1:49">
      <c r="A167" s="77"/>
      <c r="B167" s="77"/>
      <c r="C167" s="77"/>
      <c r="D167" s="77"/>
      <c r="E167" s="77"/>
      <c r="F167" s="77"/>
      <c r="I167" s="77"/>
      <c r="J167" s="77"/>
      <c r="K167" s="77"/>
      <c r="L167" s="77"/>
      <c r="M167" s="77"/>
      <c r="N167" s="77"/>
      <c r="Q167" s="77"/>
      <c r="R167" s="77"/>
      <c r="S167" s="77"/>
      <c r="T167" s="77"/>
      <c r="U167" s="77"/>
      <c r="V167" s="77"/>
      <c r="AC167" s="78" t="s">
        <v>55</v>
      </c>
      <c r="AD167" s="78" t="s">
        <v>20</v>
      </c>
      <c r="AE167" s="78" t="s">
        <v>72</v>
      </c>
      <c r="AF167" s="78" t="s">
        <v>51</v>
      </c>
      <c r="AG167" s="78" t="s">
        <v>125</v>
      </c>
      <c r="AH167" s="78">
        <v>3.966305483037543</v>
      </c>
      <c r="AJ167" s="77"/>
      <c r="AK167" s="77"/>
      <c r="AL167" s="77"/>
      <c r="AM167" s="77"/>
      <c r="AN167" s="77"/>
      <c r="AO167" s="77"/>
      <c r="AR167" s="77"/>
      <c r="AS167" s="77"/>
      <c r="AT167" s="77"/>
      <c r="AU167" s="77"/>
      <c r="AV167" s="77"/>
      <c r="AW167" s="77"/>
    </row>
    <row r="168" spans="1:49">
      <c r="I168" s="77"/>
      <c r="J168" s="77"/>
      <c r="K168" s="77"/>
      <c r="L168" s="77"/>
      <c r="M168" s="77"/>
      <c r="N168" s="77"/>
      <c r="Q168" s="77"/>
      <c r="R168" s="77"/>
      <c r="S168" s="77"/>
      <c r="T168" s="77"/>
      <c r="U168" s="77"/>
      <c r="V168" s="77"/>
      <c r="AC168" s="78"/>
      <c r="AD168" s="78"/>
      <c r="AE168" s="78"/>
      <c r="AF168" s="78"/>
      <c r="AG168" s="78"/>
      <c r="AH168" s="78"/>
      <c r="AJ168" s="77"/>
      <c r="AK168" s="77"/>
      <c r="AL168" s="77"/>
      <c r="AM168" s="77"/>
      <c r="AN168" s="77"/>
      <c r="AO168" s="77"/>
      <c r="AR168" s="77"/>
      <c r="AS168" s="77"/>
      <c r="AT168" s="77"/>
      <c r="AU168" s="77"/>
      <c r="AV168" s="77"/>
      <c r="AW168" s="77"/>
    </row>
    <row r="169" spans="1:49">
      <c r="I169" s="77"/>
      <c r="J169" s="77"/>
      <c r="K169" s="77"/>
      <c r="L169" s="77"/>
      <c r="M169" s="77"/>
      <c r="N169" s="77"/>
      <c r="Q169" s="77"/>
      <c r="R169" s="77"/>
      <c r="S169" s="77"/>
      <c r="T169" s="77"/>
      <c r="U169" s="77"/>
      <c r="V169" s="77"/>
      <c r="AC169" s="78"/>
      <c r="AD169" s="78"/>
      <c r="AE169" s="78"/>
      <c r="AF169" s="78"/>
      <c r="AG169" s="78"/>
      <c r="AH169" s="78"/>
      <c r="AJ169" s="77"/>
      <c r="AK169" s="77"/>
      <c r="AL169" s="77"/>
      <c r="AM169" s="77"/>
      <c r="AN169" s="77"/>
      <c r="AO169" s="77"/>
      <c r="AR169" s="77"/>
      <c r="AS169" s="77"/>
      <c r="AT169" s="77"/>
      <c r="AU169" s="77"/>
      <c r="AV169" s="77"/>
      <c r="AW169" s="77"/>
    </row>
    <row r="170" spans="1:49">
      <c r="I170" s="77"/>
      <c r="J170" s="77"/>
      <c r="K170" s="77"/>
      <c r="L170" s="77"/>
      <c r="M170" s="77"/>
      <c r="N170" s="77"/>
      <c r="Q170" s="77"/>
      <c r="R170" s="77"/>
      <c r="S170" s="77"/>
      <c r="T170" s="77"/>
      <c r="U170" s="77"/>
      <c r="V170" s="77"/>
      <c r="AC170" s="78"/>
      <c r="AD170" s="78"/>
      <c r="AE170" s="78"/>
      <c r="AF170" s="78"/>
      <c r="AG170" s="78"/>
      <c r="AH170" s="78"/>
      <c r="AJ170" s="77"/>
      <c r="AK170" s="77"/>
      <c r="AL170" s="77"/>
      <c r="AM170" s="77"/>
      <c r="AN170" s="77"/>
      <c r="AO170" s="77"/>
      <c r="AR170" s="77"/>
      <c r="AS170" s="77"/>
      <c r="AT170" s="77"/>
      <c r="AU170" s="77"/>
      <c r="AV170" s="77"/>
      <c r="AW170" s="77"/>
    </row>
    <row r="171" spans="1:49">
      <c r="I171" s="77"/>
      <c r="J171" s="77"/>
      <c r="K171" s="77"/>
      <c r="L171" s="77"/>
      <c r="M171" s="77"/>
      <c r="N171" s="77"/>
      <c r="Q171" s="77"/>
      <c r="R171" s="77"/>
      <c r="S171" s="77"/>
      <c r="T171" s="77"/>
      <c r="U171" s="77"/>
      <c r="V171" s="77"/>
      <c r="AC171" s="78"/>
      <c r="AD171" s="78"/>
      <c r="AE171" s="78"/>
      <c r="AF171" s="78"/>
      <c r="AG171" s="78"/>
      <c r="AH171" s="78"/>
      <c r="AJ171" s="77"/>
      <c r="AK171" s="77"/>
      <c r="AL171" s="77"/>
      <c r="AM171" s="77"/>
      <c r="AN171" s="77"/>
      <c r="AO171" s="77"/>
      <c r="AR171" s="77"/>
      <c r="AS171" s="77"/>
      <c r="AT171" s="77"/>
      <c r="AU171" s="77"/>
      <c r="AV171" s="77"/>
      <c r="AW171" s="77"/>
    </row>
    <row r="172" spans="1:49">
      <c r="I172" s="77"/>
      <c r="J172" s="77"/>
      <c r="K172" s="77"/>
      <c r="L172" s="77"/>
      <c r="M172" s="77"/>
      <c r="N172" s="77"/>
      <c r="Q172" s="77"/>
      <c r="R172" s="77"/>
      <c r="S172" s="77"/>
      <c r="T172" s="77"/>
      <c r="U172" s="77"/>
      <c r="V172" s="77"/>
      <c r="AC172" s="78"/>
      <c r="AD172" s="78"/>
      <c r="AE172" s="78"/>
      <c r="AF172" s="78"/>
      <c r="AG172" s="78"/>
      <c r="AH172" s="78"/>
      <c r="AJ172" s="77"/>
      <c r="AK172" s="77"/>
      <c r="AL172" s="77"/>
      <c r="AM172" s="77"/>
      <c r="AN172" s="77"/>
      <c r="AO172" s="77"/>
      <c r="AR172" s="77"/>
      <c r="AS172" s="77"/>
      <c r="AT172" s="77"/>
      <c r="AU172" s="77"/>
      <c r="AV172" s="77"/>
      <c r="AW172" s="77"/>
    </row>
    <row r="173" spans="1:49">
      <c r="I173" s="77"/>
      <c r="J173" s="77"/>
      <c r="K173" s="77"/>
      <c r="L173" s="77"/>
      <c r="M173" s="77"/>
      <c r="N173" s="77"/>
      <c r="Q173" s="77"/>
      <c r="R173" s="77"/>
      <c r="S173" s="77"/>
      <c r="T173" s="77"/>
      <c r="U173" s="77"/>
      <c r="V173" s="77"/>
      <c r="AC173" s="78"/>
      <c r="AD173" s="78"/>
      <c r="AE173" s="78"/>
      <c r="AF173" s="78"/>
      <c r="AG173" s="78"/>
      <c r="AH173" s="78"/>
      <c r="AJ173" s="77"/>
      <c r="AK173" s="77"/>
      <c r="AL173" s="77"/>
      <c r="AM173" s="77"/>
      <c r="AN173" s="77"/>
      <c r="AO173" s="77"/>
      <c r="AR173" s="77"/>
      <c r="AS173" s="77"/>
      <c r="AT173" s="77"/>
      <c r="AU173" s="77"/>
      <c r="AV173" s="77"/>
      <c r="AW173" s="77"/>
    </row>
    <row r="174" spans="1:49">
      <c r="Q174" s="77"/>
      <c r="R174" s="77"/>
      <c r="S174" s="77"/>
      <c r="T174" s="77"/>
      <c r="U174" s="77"/>
      <c r="V174" s="77"/>
      <c r="AC174" s="78"/>
      <c r="AD174" s="78"/>
      <c r="AE174" s="78"/>
      <c r="AF174" s="78"/>
      <c r="AG174" s="78"/>
      <c r="AH174" s="78"/>
      <c r="AJ174" s="77"/>
      <c r="AK174" s="77"/>
      <c r="AL174" s="77"/>
      <c r="AM174" s="77"/>
      <c r="AN174" s="77"/>
      <c r="AO174" s="77"/>
      <c r="AR174" s="77"/>
      <c r="AS174" s="77"/>
      <c r="AT174" s="77"/>
      <c r="AU174" s="77"/>
      <c r="AV174" s="77"/>
      <c r="AW174" s="77"/>
    </row>
    <row r="175" spans="1:49">
      <c r="Q175" s="77"/>
      <c r="R175" s="77"/>
      <c r="S175" s="77"/>
      <c r="T175" s="77"/>
      <c r="U175" s="77"/>
      <c r="V175" s="77"/>
      <c r="AC175" s="78"/>
      <c r="AD175" s="78"/>
      <c r="AE175" s="78"/>
      <c r="AF175" s="78"/>
      <c r="AG175" s="78"/>
      <c r="AH175" s="78"/>
      <c r="AJ175" s="77"/>
      <c r="AK175" s="77"/>
      <c r="AL175" s="77"/>
      <c r="AM175" s="77"/>
      <c r="AN175" s="77"/>
      <c r="AO175" s="77"/>
      <c r="AR175" s="77"/>
      <c r="AS175" s="77"/>
      <c r="AT175" s="77"/>
      <c r="AU175" s="77"/>
      <c r="AV175" s="77"/>
      <c r="AW175" s="77"/>
    </row>
    <row r="176" spans="1:49">
      <c r="Q176" s="77"/>
      <c r="R176" s="77"/>
      <c r="S176" s="77"/>
      <c r="T176" s="77"/>
      <c r="U176" s="77"/>
      <c r="V176" s="77"/>
      <c r="AC176" s="78"/>
      <c r="AD176" s="78"/>
      <c r="AE176" s="78"/>
      <c r="AF176" s="78"/>
      <c r="AG176" s="78"/>
      <c r="AH176" s="78"/>
      <c r="AJ176" s="77"/>
      <c r="AK176" s="77"/>
      <c r="AL176" s="77"/>
      <c r="AM176" s="77"/>
      <c r="AN176" s="77"/>
      <c r="AO176" s="77"/>
      <c r="AR176" s="77"/>
      <c r="AS176" s="77"/>
      <c r="AT176" s="77"/>
      <c r="AU176" s="77"/>
      <c r="AV176" s="77"/>
      <c r="AW176" s="77"/>
    </row>
    <row r="177" spans="17:49">
      <c r="Q177" s="77"/>
      <c r="R177" s="77"/>
      <c r="S177" s="77"/>
      <c r="T177" s="77"/>
      <c r="U177" s="77"/>
      <c r="V177" s="77"/>
      <c r="AC177" s="78"/>
      <c r="AD177" s="78"/>
      <c r="AE177" s="78"/>
      <c r="AF177" s="78"/>
      <c r="AG177" s="78"/>
      <c r="AH177" s="78"/>
      <c r="AJ177" s="77"/>
      <c r="AK177" s="77"/>
      <c r="AL177" s="77"/>
      <c r="AM177" s="77"/>
      <c r="AN177" s="77"/>
      <c r="AO177" s="77"/>
      <c r="AR177" s="77"/>
      <c r="AS177" s="77"/>
      <c r="AT177" s="77"/>
      <c r="AU177" s="77"/>
      <c r="AV177" s="77"/>
      <c r="AW177" s="77"/>
    </row>
    <row r="178" spans="17:49">
      <c r="Q178" s="77"/>
      <c r="R178" s="77"/>
      <c r="S178" s="77"/>
      <c r="T178" s="77"/>
      <c r="U178" s="77"/>
      <c r="V178" s="77"/>
      <c r="AC178" s="78"/>
      <c r="AD178" s="78"/>
      <c r="AE178" s="78"/>
      <c r="AF178" s="78"/>
      <c r="AG178" s="78"/>
      <c r="AH178" s="78"/>
      <c r="AJ178" s="77"/>
      <c r="AK178" s="77"/>
      <c r="AL178" s="77"/>
      <c r="AM178" s="77"/>
      <c r="AN178" s="77"/>
      <c r="AO178" s="77"/>
      <c r="AR178" s="77"/>
      <c r="AS178" s="77"/>
      <c r="AT178" s="77"/>
      <c r="AU178" s="77"/>
      <c r="AV178" s="77"/>
      <c r="AW178" s="77"/>
    </row>
    <row r="179" spans="17:49">
      <c r="Q179" s="77"/>
      <c r="R179" s="77"/>
      <c r="S179" s="77"/>
      <c r="T179" s="77"/>
      <c r="U179" s="77"/>
      <c r="V179" s="77"/>
      <c r="AC179" s="78"/>
      <c r="AD179" s="78"/>
      <c r="AE179" s="78"/>
      <c r="AF179" s="78"/>
      <c r="AG179" s="78"/>
      <c r="AH179" s="78"/>
      <c r="AJ179" s="77"/>
      <c r="AK179" s="77"/>
      <c r="AL179" s="77"/>
      <c r="AM179" s="77"/>
      <c r="AN179" s="77"/>
      <c r="AO179" s="77"/>
      <c r="AR179" s="77"/>
      <c r="AS179" s="77"/>
      <c r="AT179" s="77"/>
      <c r="AU179" s="77"/>
      <c r="AV179" s="77"/>
      <c r="AW179" s="77"/>
    </row>
    <row r="180" spans="17:49">
      <c r="Q180" s="77"/>
      <c r="R180" s="77"/>
      <c r="S180" s="77"/>
      <c r="T180" s="77"/>
      <c r="U180" s="77"/>
      <c r="V180" s="77"/>
      <c r="AC180" s="78"/>
      <c r="AD180" s="78"/>
      <c r="AE180" s="78"/>
      <c r="AF180" s="78"/>
      <c r="AG180" s="78"/>
      <c r="AH180" s="78"/>
      <c r="AJ180" s="77"/>
      <c r="AK180" s="77"/>
      <c r="AL180" s="77"/>
      <c r="AM180" s="77"/>
      <c r="AN180" s="77"/>
      <c r="AO180" s="77"/>
      <c r="AR180" s="77"/>
      <c r="AS180" s="77"/>
      <c r="AT180" s="77"/>
      <c r="AU180" s="77"/>
      <c r="AV180" s="77"/>
      <c r="AW180" s="77"/>
    </row>
    <row r="181" spans="17:49">
      <c r="Q181" s="77"/>
      <c r="R181" s="77"/>
      <c r="S181" s="77"/>
      <c r="T181" s="77"/>
      <c r="U181" s="77"/>
      <c r="V181" s="77"/>
      <c r="AC181" s="78"/>
      <c r="AD181" s="78"/>
      <c r="AE181" s="78"/>
      <c r="AF181" s="78"/>
      <c r="AG181" s="78"/>
      <c r="AH181" s="78"/>
      <c r="AJ181" s="77"/>
      <c r="AK181" s="77"/>
      <c r="AL181" s="77"/>
      <c r="AM181" s="77"/>
      <c r="AN181" s="77"/>
      <c r="AO181" s="77"/>
      <c r="AR181" s="77"/>
      <c r="AS181" s="77"/>
      <c r="AT181" s="77"/>
      <c r="AU181" s="77"/>
      <c r="AV181" s="77"/>
      <c r="AW181" s="77"/>
    </row>
    <row r="182" spans="17:49">
      <c r="Q182" s="77"/>
      <c r="R182" s="77"/>
      <c r="S182" s="77"/>
      <c r="T182" s="77"/>
      <c r="U182" s="77"/>
      <c r="V182" s="77"/>
      <c r="AC182" s="78"/>
      <c r="AD182" s="78"/>
      <c r="AE182" s="78"/>
      <c r="AF182" s="78"/>
      <c r="AG182" s="78"/>
      <c r="AH182" s="78"/>
      <c r="AJ182" s="77"/>
      <c r="AK182" s="77"/>
      <c r="AL182" s="77"/>
      <c r="AM182" s="77"/>
      <c r="AN182" s="77"/>
      <c r="AO182" s="77"/>
      <c r="AR182" s="77"/>
      <c r="AS182" s="77"/>
      <c r="AT182" s="77"/>
      <c r="AU182" s="77"/>
      <c r="AV182" s="77"/>
      <c r="AW182" s="77"/>
    </row>
    <row r="183" spans="17:49">
      <c r="Q183" s="77"/>
      <c r="R183" s="77"/>
      <c r="S183" s="77"/>
      <c r="T183" s="77"/>
      <c r="U183" s="77"/>
      <c r="V183" s="77"/>
      <c r="AC183" s="78"/>
      <c r="AD183" s="78"/>
      <c r="AE183" s="78"/>
      <c r="AF183" s="78"/>
      <c r="AG183" s="78"/>
      <c r="AH183" s="78"/>
      <c r="AJ183" s="77"/>
      <c r="AK183" s="77"/>
      <c r="AL183" s="77"/>
      <c r="AM183" s="77"/>
      <c r="AN183" s="77"/>
      <c r="AO183" s="77"/>
      <c r="AR183" s="77"/>
      <c r="AS183" s="77"/>
      <c r="AT183" s="77"/>
      <c r="AU183" s="77"/>
      <c r="AV183" s="77"/>
      <c r="AW183" s="77"/>
    </row>
    <row r="184" spans="17:49">
      <c r="Q184" s="77"/>
      <c r="R184" s="77"/>
      <c r="S184" s="77"/>
      <c r="T184" s="77"/>
      <c r="U184" s="77"/>
      <c r="V184" s="77"/>
      <c r="AC184" s="78"/>
      <c r="AD184" s="78"/>
      <c r="AE184" s="78"/>
      <c r="AF184" s="78"/>
      <c r="AG184" s="78"/>
      <c r="AH184" s="78"/>
      <c r="AJ184" s="77"/>
      <c r="AK184" s="77"/>
      <c r="AL184" s="77"/>
      <c r="AM184" s="77"/>
      <c r="AN184" s="77"/>
      <c r="AO184" s="77"/>
      <c r="AR184" s="77"/>
      <c r="AS184" s="77"/>
      <c r="AT184" s="77"/>
      <c r="AU184" s="77"/>
      <c r="AV184" s="77"/>
      <c r="AW184" s="77"/>
    </row>
    <row r="185" spans="17:49">
      <c r="Q185" s="77"/>
      <c r="R185" s="77"/>
      <c r="S185" s="77"/>
      <c r="T185" s="77"/>
      <c r="U185" s="77"/>
      <c r="V185" s="77"/>
      <c r="AC185" s="78"/>
      <c r="AD185" s="78"/>
      <c r="AE185" s="78"/>
      <c r="AF185" s="78"/>
      <c r="AG185" s="78"/>
      <c r="AH185" s="78"/>
      <c r="AJ185" s="77"/>
      <c r="AK185" s="77"/>
      <c r="AL185" s="77"/>
      <c r="AM185" s="77"/>
      <c r="AN185" s="77"/>
      <c r="AO185" s="77"/>
      <c r="AR185" s="77"/>
      <c r="AS185" s="77"/>
      <c r="AT185" s="77"/>
      <c r="AU185" s="77"/>
      <c r="AV185" s="77"/>
      <c r="AW185" s="77"/>
    </row>
    <row r="186" spans="17:49">
      <c r="Q186" s="77"/>
      <c r="R186" s="77"/>
      <c r="S186" s="77"/>
      <c r="T186" s="77"/>
      <c r="U186" s="77"/>
      <c r="V186" s="77"/>
      <c r="AC186" s="78"/>
      <c r="AD186" s="78"/>
      <c r="AE186" s="78"/>
      <c r="AF186" s="78"/>
      <c r="AG186" s="78"/>
      <c r="AH186" s="78"/>
      <c r="AJ186" s="77"/>
      <c r="AK186" s="77"/>
      <c r="AL186" s="77"/>
      <c r="AM186" s="77"/>
      <c r="AN186" s="77"/>
      <c r="AO186" s="77"/>
      <c r="AR186" s="77"/>
      <c r="AS186" s="77"/>
      <c r="AT186" s="77"/>
      <c r="AU186" s="77"/>
      <c r="AV186" s="77"/>
      <c r="AW186" s="77"/>
    </row>
    <row r="187" spans="17:49">
      <c r="Q187" s="77"/>
      <c r="R187" s="77"/>
      <c r="S187" s="77"/>
      <c r="T187" s="77"/>
      <c r="U187" s="77"/>
      <c r="V187" s="77"/>
      <c r="AC187" s="78"/>
      <c r="AD187" s="78"/>
      <c r="AE187" s="78"/>
      <c r="AF187" s="78"/>
      <c r="AG187" s="78"/>
      <c r="AH187" s="78"/>
      <c r="AJ187" s="77"/>
      <c r="AK187" s="77"/>
      <c r="AL187" s="77"/>
      <c r="AM187" s="77"/>
      <c r="AN187" s="77"/>
      <c r="AO187" s="77"/>
      <c r="AR187" s="77"/>
      <c r="AS187" s="77"/>
      <c r="AT187" s="77"/>
      <c r="AU187" s="77"/>
      <c r="AV187" s="77"/>
      <c r="AW187" s="77"/>
    </row>
    <row r="188" spans="17:49">
      <c r="Q188" s="77"/>
      <c r="R188" s="77"/>
      <c r="S188" s="77"/>
      <c r="T188" s="77"/>
      <c r="U188" s="77"/>
      <c r="V188" s="77"/>
      <c r="AC188" s="78"/>
      <c r="AD188" s="78"/>
      <c r="AE188" s="78"/>
      <c r="AF188" s="78"/>
      <c r="AG188" s="78"/>
      <c r="AH188" s="78"/>
      <c r="AJ188" s="77"/>
      <c r="AK188" s="77"/>
      <c r="AL188" s="77"/>
      <c r="AM188" s="77"/>
      <c r="AN188" s="77"/>
      <c r="AO188" s="77"/>
      <c r="AR188" s="77"/>
      <c r="AS188" s="77"/>
      <c r="AT188" s="77"/>
      <c r="AU188" s="77"/>
      <c r="AV188" s="77"/>
      <c r="AW188" s="77"/>
    </row>
    <row r="189" spans="17:49">
      <c r="Q189" s="77"/>
      <c r="R189" s="77"/>
      <c r="S189" s="77"/>
      <c r="T189" s="77"/>
      <c r="U189" s="77"/>
      <c r="V189" s="77"/>
      <c r="AC189" s="78"/>
      <c r="AD189" s="78"/>
      <c r="AE189" s="78"/>
      <c r="AF189" s="78"/>
      <c r="AG189" s="78"/>
      <c r="AH189" s="78"/>
      <c r="AJ189" s="77"/>
      <c r="AK189" s="77"/>
      <c r="AL189" s="77"/>
      <c r="AM189" s="77"/>
      <c r="AN189" s="77"/>
      <c r="AO189" s="77"/>
      <c r="AR189" s="77"/>
      <c r="AS189" s="77"/>
      <c r="AT189" s="77"/>
      <c r="AU189" s="77"/>
      <c r="AV189" s="77"/>
      <c r="AW189" s="77"/>
    </row>
    <row r="190" spans="17:49">
      <c r="Q190" s="77"/>
      <c r="R190" s="77"/>
      <c r="S190" s="77"/>
      <c r="T190" s="77"/>
      <c r="U190" s="77"/>
      <c r="V190" s="77"/>
      <c r="AC190" s="78"/>
      <c r="AD190" s="78"/>
      <c r="AE190" s="78"/>
      <c r="AF190" s="78"/>
      <c r="AG190" s="78"/>
      <c r="AH190" s="78"/>
      <c r="AJ190" s="77"/>
      <c r="AK190" s="77"/>
      <c r="AL190" s="77"/>
      <c r="AM190" s="77"/>
      <c r="AN190" s="77"/>
      <c r="AO190" s="77"/>
      <c r="AR190" s="77"/>
      <c r="AS190" s="77"/>
      <c r="AT190" s="77"/>
      <c r="AU190" s="77"/>
      <c r="AV190" s="77"/>
      <c r="AW190" s="77"/>
    </row>
    <row r="191" spans="17:49">
      <c r="Q191" s="77"/>
      <c r="R191" s="77"/>
      <c r="S191" s="77"/>
      <c r="T191" s="77"/>
      <c r="U191" s="77"/>
      <c r="V191" s="77"/>
      <c r="AC191" s="78"/>
      <c r="AD191" s="78"/>
      <c r="AE191" s="78"/>
      <c r="AF191" s="78"/>
      <c r="AG191" s="78"/>
      <c r="AH191" s="78"/>
      <c r="AJ191" s="77"/>
      <c r="AK191" s="77"/>
      <c r="AL191" s="77"/>
      <c r="AM191" s="77"/>
      <c r="AN191" s="77"/>
      <c r="AO191" s="77"/>
      <c r="AR191" s="77"/>
      <c r="AS191" s="77"/>
      <c r="AT191" s="77"/>
      <c r="AU191" s="77"/>
      <c r="AV191" s="77"/>
      <c r="AW191" s="77"/>
    </row>
    <row r="192" spans="17:49">
      <c r="Q192" s="77"/>
      <c r="R192" s="77"/>
      <c r="S192" s="77"/>
      <c r="T192" s="77"/>
      <c r="U192" s="77"/>
      <c r="V192" s="77"/>
      <c r="AC192" s="78"/>
      <c r="AD192" s="78"/>
      <c r="AE192" s="78"/>
      <c r="AF192" s="78"/>
      <c r="AG192" s="78"/>
      <c r="AH192" s="78"/>
      <c r="AJ192" s="77"/>
      <c r="AK192" s="77"/>
      <c r="AL192" s="77"/>
      <c r="AM192" s="77"/>
      <c r="AN192" s="77"/>
      <c r="AO192" s="77"/>
      <c r="AR192" s="77"/>
      <c r="AS192" s="77"/>
      <c r="AT192" s="77"/>
      <c r="AU192" s="77"/>
      <c r="AV192" s="77"/>
      <c r="AW192" s="77"/>
    </row>
    <row r="193" spans="17:49">
      <c r="Q193" s="77"/>
      <c r="R193" s="77"/>
      <c r="S193" s="77"/>
      <c r="T193" s="77"/>
      <c r="U193" s="77"/>
      <c r="V193" s="77"/>
      <c r="AC193" s="78"/>
      <c r="AD193" s="78"/>
      <c r="AE193" s="78"/>
      <c r="AF193" s="78"/>
      <c r="AG193" s="78"/>
      <c r="AH193" s="78"/>
      <c r="AJ193" s="77"/>
      <c r="AK193" s="77"/>
      <c r="AL193" s="77"/>
      <c r="AM193" s="77"/>
      <c r="AN193" s="77"/>
      <c r="AO193" s="77"/>
      <c r="AR193" s="77"/>
      <c r="AS193" s="77"/>
      <c r="AT193" s="77"/>
      <c r="AU193" s="77"/>
      <c r="AV193" s="77"/>
      <c r="AW193" s="77"/>
    </row>
    <row r="194" spans="17:49">
      <c r="Q194" s="77"/>
      <c r="R194" s="77"/>
      <c r="S194" s="77"/>
      <c r="T194" s="77"/>
      <c r="U194" s="77"/>
      <c r="V194" s="77"/>
      <c r="AC194" s="78"/>
      <c r="AD194" s="78"/>
      <c r="AE194" s="78"/>
      <c r="AF194" s="78"/>
      <c r="AG194" s="78"/>
      <c r="AH194" s="78"/>
      <c r="AJ194" s="77"/>
      <c r="AK194" s="77"/>
      <c r="AL194" s="77"/>
      <c r="AM194" s="77"/>
      <c r="AN194" s="77"/>
      <c r="AO194" s="77"/>
      <c r="AR194" s="77"/>
      <c r="AS194" s="77"/>
      <c r="AT194" s="77"/>
      <c r="AU194" s="77"/>
      <c r="AV194" s="77"/>
      <c r="AW194" s="77"/>
    </row>
    <row r="195" spans="17:49">
      <c r="Q195" s="77"/>
      <c r="R195" s="77"/>
      <c r="S195" s="77"/>
      <c r="T195" s="77"/>
      <c r="U195" s="77"/>
      <c r="V195" s="77"/>
      <c r="AC195" s="77"/>
      <c r="AD195" s="77"/>
      <c r="AE195" s="77"/>
      <c r="AF195" s="77"/>
      <c r="AG195" s="77"/>
      <c r="AH195" s="77"/>
      <c r="AJ195" s="77"/>
      <c r="AK195" s="77"/>
      <c r="AL195" s="77"/>
      <c r="AM195" s="77"/>
      <c r="AN195" s="77"/>
      <c r="AO195" s="77"/>
      <c r="AR195" s="77"/>
      <c r="AS195" s="77"/>
      <c r="AT195" s="77"/>
      <c r="AU195" s="77"/>
      <c r="AV195" s="77"/>
      <c r="AW195" s="77"/>
    </row>
    <row r="196" spans="17:49">
      <c r="Q196" s="77"/>
      <c r="R196" s="77"/>
      <c r="S196" s="77"/>
      <c r="T196" s="77"/>
      <c r="U196" s="77"/>
      <c r="V196" s="77"/>
      <c r="AC196" s="77"/>
      <c r="AD196" s="77"/>
      <c r="AE196" s="77"/>
      <c r="AF196" s="77"/>
      <c r="AG196" s="77"/>
      <c r="AH196" s="77"/>
      <c r="AJ196" s="77"/>
      <c r="AK196" s="77"/>
      <c r="AL196" s="77"/>
      <c r="AM196" s="77"/>
      <c r="AN196" s="77"/>
      <c r="AO196" s="77"/>
      <c r="AR196" s="77"/>
      <c r="AS196" s="77"/>
      <c r="AT196" s="77"/>
      <c r="AU196" s="77"/>
      <c r="AV196" s="77"/>
      <c r="AW196" s="77"/>
    </row>
    <row r="197" spans="17:49">
      <c r="Q197" s="77"/>
      <c r="R197" s="77"/>
      <c r="S197" s="77"/>
      <c r="T197" s="77"/>
      <c r="U197" s="77"/>
      <c r="V197" s="77"/>
      <c r="AC197" s="77"/>
      <c r="AD197" s="77"/>
      <c r="AE197" s="77"/>
      <c r="AF197" s="77"/>
      <c r="AG197" s="77"/>
      <c r="AH197" s="77"/>
      <c r="AJ197" s="77"/>
      <c r="AK197" s="77"/>
      <c r="AL197" s="77"/>
      <c r="AM197" s="77"/>
      <c r="AN197" s="77"/>
      <c r="AO197" s="77"/>
      <c r="AR197" s="77"/>
      <c r="AS197" s="77"/>
      <c r="AT197" s="77"/>
      <c r="AU197" s="77"/>
      <c r="AV197" s="77"/>
      <c r="AW197" s="77"/>
    </row>
    <row r="198" spans="17:49">
      <c r="Q198" s="77"/>
      <c r="R198" s="77"/>
      <c r="S198" s="77"/>
      <c r="T198" s="77"/>
      <c r="U198" s="77"/>
      <c r="V198" s="77"/>
      <c r="AC198" s="77"/>
      <c r="AD198" s="77"/>
      <c r="AE198" s="77"/>
      <c r="AF198" s="77"/>
      <c r="AG198" s="77"/>
      <c r="AH198" s="77"/>
      <c r="AJ198" s="77"/>
      <c r="AK198" s="77"/>
      <c r="AL198" s="77"/>
      <c r="AM198" s="77"/>
      <c r="AN198" s="77"/>
      <c r="AO198" s="77"/>
      <c r="AR198" s="77"/>
      <c r="AS198" s="77"/>
      <c r="AT198" s="77"/>
      <c r="AU198" s="77"/>
      <c r="AV198" s="77"/>
      <c r="AW198" s="77"/>
    </row>
    <row r="199" spans="17:49">
      <c r="Q199" s="77"/>
      <c r="R199" s="77"/>
      <c r="S199" s="77"/>
      <c r="T199" s="77"/>
      <c r="U199" s="77"/>
      <c r="V199" s="77"/>
      <c r="AC199" s="77"/>
      <c r="AD199" s="77"/>
      <c r="AE199" s="77"/>
      <c r="AF199" s="77"/>
      <c r="AG199" s="77"/>
      <c r="AH199" s="77"/>
      <c r="AJ199" s="77"/>
      <c r="AK199" s="77"/>
      <c r="AL199" s="77"/>
      <c r="AM199" s="77"/>
      <c r="AN199" s="77"/>
      <c r="AO199" s="77"/>
      <c r="AR199" s="77"/>
      <c r="AS199" s="77"/>
      <c r="AT199" s="77"/>
      <c r="AU199" s="77"/>
      <c r="AV199" s="77"/>
      <c r="AW199" s="77"/>
    </row>
    <row r="200" spans="17:49">
      <c r="AC200" s="77"/>
      <c r="AD200" s="77"/>
      <c r="AE200" s="77"/>
      <c r="AF200" s="77"/>
      <c r="AG200" s="77"/>
      <c r="AH200" s="77"/>
      <c r="AJ200" s="77"/>
      <c r="AK200" s="77"/>
      <c r="AL200" s="77"/>
      <c r="AM200" s="77"/>
      <c r="AN200" s="77"/>
      <c r="AO200" s="77"/>
    </row>
    <row r="201" spans="17:49">
      <c r="AC201" s="77"/>
      <c r="AD201" s="77"/>
      <c r="AE201" s="77"/>
      <c r="AF201" s="77"/>
      <c r="AG201" s="77"/>
      <c r="AH201" s="77"/>
      <c r="AJ201" s="77"/>
      <c r="AK201" s="77"/>
      <c r="AL201" s="77"/>
      <c r="AM201" s="77"/>
      <c r="AN201" s="77"/>
      <c r="AO201" s="77"/>
    </row>
    <row r="202" spans="17:49">
      <c r="AC202" s="77"/>
      <c r="AD202" s="77"/>
      <c r="AE202" s="77"/>
      <c r="AF202" s="77"/>
      <c r="AG202" s="77"/>
      <c r="AH202" s="77"/>
      <c r="AJ202" s="77"/>
      <c r="AK202" s="77"/>
      <c r="AL202" s="77"/>
      <c r="AM202" s="77"/>
      <c r="AN202" s="77"/>
      <c r="AO202" s="77"/>
    </row>
    <row r="203" spans="17:49">
      <c r="AC203" s="77"/>
      <c r="AD203" s="77"/>
      <c r="AE203" s="77"/>
      <c r="AF203" s="77"/>
      <c r="AG203" s="77"/>
      <c r="AH203" s="77"/>
      <c r="AJ203" s="77"/>
      <c r="AK203" s="77"/>
      <c r="AL203" s="77"/>
      <c r="AM203" s="77"/>
      <c r="AN203" s="77"/>
      <c r="AO203" s="77"/>
    </row>
    <row r="204" spans="17:49">
      <c r="AC204" s="77"/>
      <c r="AD204" s="77"/>
      <c r="AE204" s="77"/>
      <c r="AF204" s="77"/>
      <c r="AG204" s="77"/>
      <c r="AH204" s="77"/>
      <c r="AJ204" s="77"/>
      <c r="AK204" s="77"/>
      <c r="AL204" s="77"/>
      <c r="AM204" s="77"/>
      <c r="AN204" s="77"/>
      <c r="AO204" s="77"/>
    </row>
    <row r="205" spans="17:49">
      <c r="AC205" s="77"/>
      <c r="AD205" s="77"/>
      <c r="AE205" s="77"/>
      <c r="AF205" s="77"/>
      <c r="AG205" s="77"/>
      <c r="AH205" s="77"/>
      <c r="AJ205" s="77"/>
      <c r="AK205" s="77"/>
      <c r="AL205" s="77"/>
      <c r="AM205" s="77"/>
      <c r="AN205" s="77"/>
      <c r="AO205" s="77"/>
    </row>
    <row r="206" spans="17:49">
      <c r="AC206" s="77"/>
      <c r="AD206" s="77"/>
      <c r="AE206" s="77"/>
      <c r="AF206" s="77"/>
      <c r="AG206" s="77"/>
      <c r="AH206" s="77"/>
    </row>
    <row r="207" spans="17:49">
      <c r="AC207" s="77"/>
      <c r="AD207" s="77"/>
      <c r="AE207" s="77"/>
      <c r="AF207" s="77"/>
      <c r="AG207" s="77"/>
      <c r="AH207" s="77"/>
    </row>
    <row r="208" spans="17:49">
      <c r="AC208" s="77"/>
      <c r="AD208" s="77"/>
      <c r="AE208" s="77"/>
      <c r="AF208" s="77"/>
      <c r="AG208" s="77"/>
      <c r="AH208" s="77"/>
    </row>
    <row r="209" spans="29:34">
      <c r="AC209" s="77"/>
      <c r="AD209" s="77"/>
      <c r="AE209" s="77"/>
      <c r="AF209" s="77"/>
      <c r="AG209" s="77"/>
      <c r="AH209" s="77"/>
    </row>
    <row r="210" spans="29:34">
      <c r="AC210" s="77"/>
      <c r="AD210" s="77"/>
      <c r="AE210" s="77"/>
      <c r="AF210" s="77"/>
      <c r="AG210" s="77"/>
      <c r="AH210" s="77"/>
    </row>
    <row r="211" spans="29:34">
      <c r="AC211" s="77"/>
      <c r="AD211" s="77"/>
      <c r="AE211" s="77"/>
      <c r="AF211" s="77"/>
      <c r="AG211" s="77"/>
      <c r="AH211" s="77"/>
    </row>
    <row r="212" spans="29:34">
      <c r="AC212" s="77"/>
      <c r="AD212" s="77"/>
      <c r="AE212" s="77"/>
      <c r="AF212" s="77"/>
      <c r="AG212" s="77"/>
      <c r="AH212" s="77"/>
    </row>
    <row r="213" spans="29:34">
      <c r="AC213" s="77"/>
      <c r="AD213" s="77"/>
      <c r="AE213" s="77"/>
      <c r="AF213" s="77"/>
      <c r="AG213" s="77"/>
      <c r="AH213" s="77"/>
    </row>
    <row r="214" spans="29:34">
      <c r="AC214" s="77"/>
      <c r="AD214" s="77"/>
      <c r="AE214" s="77"/>
      <c r="AF214" s="77"/>
      <c r="AG214" s="77"/>
      <c r="AH214" s="77"/>
    </row>
    <row r="215" spans="29:34">
      <c r="AC215" s="77"/>
      <c r="AD215" s="77"/>
      <c r="AE215" s="77"/>
      <c r="AF215" s="77"/>
      <c r="AG215" s="77"/>
      <c r="AH215" s="77"/>
    </row>
    <row r="216" spans="29:34">
      <c r="AC216" s="77"/>
      <c r="AD216" s="77"/>
      <c r="AE216" s="77"/>
      <c r="AF216" s="77"/>
      <c r="AG216" s="77"/>
      <c r="AH216" s="77"/>
    </row>
    <row r="217" spans="29:34">
      <c r="AC217" s="77"/>
      <c r="AD217" s="77"/>
      <c r="AE217" s="77"/>
      <c r="AF217" s="77"/>
      <c r="AG217" s="77"/>
      <c r="AH217" s="77"/>
    </row>
    <row r="218" spans="29:34">
      <c r="AC218" s="77"/>
      <c r="AD218" s="77"/>
      <c r="AE218" s="77"/>
      <c r="AF218" s="77"/>
      <c r="AG218" s="77"/>
      <c r="AH218" s="77"/>
    </row>
    <row r="219" spans="29:34">
      <c r="AC219" s="77"/>
      <c r="AD219" s="77"/>
      <c r="AE219" s="77"/>
      <c r="AF219" s="77"/>
      <c r="AG219" s="77"/>
      <c r="AH219" s="77"/>
    </row>
    <row r="220" spans="29:34">
      <c r="AC220" s="77"/>
      <c r="AD220" s="77"/>
      <c r="AE220" s="77"/>
      <c r="AF220" s="77"/>
      <c r="AG220" s="77"/>
      <c r="AH220" s="77"/>
    </row>
    <row r="221" spans="29:34">
      <c r="AC221" s="77"/>
      <c r="AD221" s="77"/>
      <c r="AE221" s="77"/>
      <c r="AF221" s="77"/>
      <c r="AG221" s="77"/>
      <c r="AH221" s="77"/>
    </row>
    <row r="222" spans="29:34">
      <c r="AC222" s="77"/>
      <c r="AD222" s="77"/>
      <c r="AE222" s="77"/>
      <c r="AF222" s="77"/>
      <c r="AG222" s="77"/>
      <c r="AH222" s="77"/>
    </row>
    <row r="223" spans="29:34">
      <c r="AC223" s="77"/>
      <c r="AD223" s="77"/>
      <c r="AE223" s="77"/>
      <c r="AF223" s="77"/>
      <c r="AG223" s="77"/>
      <c r="AH223" s="77"/>
    </row>
    <row r="224" spans="29:34">
      <c r="AC224" s="77"/>
      <c r="AD224" s="77"/>
      <c r="AE224" s="77"/>
      <c r="AF224" s="77"/>
      <c r="AG224" s="77"/>
      <c r="AH224" s="77"/>
    </row>
    <row r="225" spans="29:34">
      <c r="AC225" s="77"/>
      <c r="AD225" s="77"/>
      <c r="AE225" s="77"/>
      <c r="AF225" s="77"/>
      <c r="AG225" s="77"/>
      <c r="AH225" s="77"/>
    </row>
    <row r="226" spans="29:34">
      <c r="AC226" s="77"/>
      <c r="AD226" s="77"/>
      <c r="AE226" s="77"/>
      <c r="AF226" s="77"/>
      <c r="AG226" s="77"/>
      <c r="AH226" s="77"/>
    </row>
    <row r="227" spans="29:34">
      <c r="AC227" s="77"/>
      <c r="AD227" s="77"/>
      <c r="AE227" s="77"/>
      <c r="AF227" s="77"/>
      <c r="AG227" s="77"/>
      <c r="AH227" s="77"/>
    </row>
    <row r="228" spans="29:34">
      <c r="AC228" s="77"/>
      <c r="AD228" s="77"/>
      <c r="AE228" s="77"/>
      <c r="AF228" s="77"/>
      <c r="AG228" s="77"/>
      <c r="AH228" s="77"/>
    </row>
    <row r="229" spans="29:34">
      <c r="AC229" s="77"/>
      <c r="AD229" s="77"/>
      <c r="AE229" s="77"/>
      <c r="AF229" s="77"/>
      <c r="AG229" s="77"/>
      <c r="AH229" s="77"/>
    </row>
    <row r="230" spans="29:34">
      <c r="AC230" s="77"/>
      <c r="AD230" s="77"/>
      <c r="AE230" s="77"/>
      <c r="AF230" s="77"/>
      <c r="AG230" s="77"/>
      <c r="AH230" s="77"/>
    </row>
    <row r="231" spans="29:34">
      <c r="AC231" s="77"/>
      <c r="AD231" s="77"/>
      <c r="AE231" s="77"/>
      <c r="AF231" s="77"/>
      <c r="AG231" s="77"/>
      <c r="AH231" s="77"/>
    </row>
    <row r="232" spans="29:34">
      <c r="AC232" s="77"/>
      <c r="AD232" s="77"/>
      <c r="AE232" s="77"/>
      <c r="AF232" s="77"/>
      <c r="AG232" s="77"/>
      <c r="AH232" s="77"/>
    </row>
    <row r="233" spans="29:34">
      <c r="AC233" s="77"/>
      <c r="AD233" s="77"/>
      <c r="AE233" s="77"/>
      <c r="AF233" s="77"/>
      <c r="AG233" s="77"/>
      <c r="AH233" s="77"/>
    </row>
    <row r="234" spans="29:34">
      <c r="AC234" s="77"/>
      <c r="AD234" s="77"/>
      <c r="AE234" s="77"/>
      <c r="AF234" s="77"/>
      <c r="AG234" s="77"/>
      <c r="AH234" s="77"/>
    </row>
    <row r="235" spans="29:34">
      <c r="AC235" s="77"/>
      <c r="AD235" s="77"/>
      <c r="AE235" s="77"/>
      <c r="AF235" s="77"/>
      <c r="AG235" s="77"/>
      <c r="AH235" s="77"/>
    </row>
    <row r="236" spans="29:34">
      <c r="AC236" s="77"/>
      <c r="AD236" s="77"/>
      <c r="AE236" s="77"/>
      <c r="AF236" s="77"/>
      <c r="AG236" s="77"/>
      <c r="AH236" s="77"/>
    </row>
    <row r="237" spans="29:34">
      <c r="AC237" s="77"/>
      <c r="AD237" s="77"/>
      <c r="AE237" s="77"/>
      <c r="AF237" s="77"/>
      <c r="AG237" s="77"/>
      <c r="AH237" s="77"/>
    </row>
    <row r="238" spans="29:34">
      <c r="AC238" s="77"/>
      <c r="AD238" s="77"/>
      <c r="AE238" s="77"/>
      <c r="AF238" s="77"/>
      <c r="AG238" s="77"/>
      <c r="AH238" s="77"/>
    </row>
    <row r="239" spans="29:34">
      <c r="AC239" s="77"/>
      <c r="AD239" s="77"/>
      <c r="AE239" s="77"/>
      <c r="AF239" s="77"/>
      <c r="AG239" s="77"/>
      <c r="AH239" s="77"/>
    </row>
    <row r="240" spans="29:34">
      <c r="AC240" s="77"/>
      <c r="AD240" s="77"/>
      <c r="AE240" s="77"/>
      <c r="AF240" s="77"/>
      <c r="AG240" s="77"/>
      <c r="AH240" s="77"/>
    </row>
    <row r="241" spans="29:34">
      <c r="AC241" s="77"/>
      <c r="AD241" s="77"/>
      <c r="AE241" s="77"/>
      <c r="AF241" s="77"/>
      <c r="AG241" s="77"/>
      <c r="AH241" s="77"/>
    </row>
    <row r="242" spans="29:34">
      <c r="AC242" s="77"/>
      <c r="AD242" s="77"/>
      <c r="AE242" s="77"/>
      <c r="AF242" s="77"/>
      <c r="AG242" s="77"/>
      <c r="AH242" s="77"/>
    </row>
    <row r="243" spans="29:34">
      <c r="AC243" s="77"/>
      <c r="AD243" s="77"/>
      <c r="AE243" s="77"/>
      <c r="AF243" s="77"/>
      <c r="AG243" s="77"/>
      <c r="AH243" s="77"/>
    </row>
    <row r="244" spans="29:34">
      <c r="AC244" s="77"/>
      <c r="AD244" s="77"/>
      <c r="AE244" s="77"/>
      <c r="AF244" s="77"/>
      <c r="AG244" s="77"/>
      <c r="AH244" s="77"/>
    </row>
    <row r="245" spans="29:34">
      <c r="AC245" s="77"/>
      <c r="AD245" s="77"/>
      <c r="AE245" s="77"/>
      <c r="AF245" s="77"/>
      <c r="AG245" s="77"/>
      <c r="AH245" s="77"/>
    </row>
    <row r="246" spans="29:34">
      <c r="AC246" s="77"/>
      <c r="AD246" s="77"/>
      <c r="AE246" s="77"/>
      <c r="AF246" s="77"/>
      <c r="AG246" s="77"/>
      <c r="AH246" s="77"/>
    </row>
    <row r="247" spans="29:34">
      <c r="AC247" s="77"/>
      <c r="AD247" s="77"/>
      <c r="AE247" s="77"/>
      <c r="AF247" s="77"/>
      <c r="AG247" s="77"/>
      <c r="AH247" s="77"/>
    </row>
    <row r="248" spans="29:34">
      <c r="AC248" s="77"/>
      <c r="AD248" s="77"/>
      <c r="AE248" s="77"/>
      <c r="AF248" s="77"/>
      <c r="AG248" s="77"/>
      <c r="AH248" s="77"/>
    </row>
    <row r="249" spans="29:34">
      <c r="AC249" s="77"/>
      <c r="AD249" s="77"/>
      <c r="AE249" s="77"/>
      <c r="AF249" s="77"/>
      <c r="AG249" s="77"/>
      <c r="AH249" s="77"/>
    </row>
    <row r="250" spans="29:34">
      <c r="AC250" s="77"/>
      <c r="AD250" s="77"/>
      <c r="AE250" s="77"/>
      <c r="AF250" s="77"/>
      <c r="AG250" s="77"/>
      <c r="AH250" s="77"/>
    </row>
    <row r="251" spans="29:34">
      <c r="AC251" s="77"/>
      <c r="AD251" s="77"/>
      <c r="AE251" s="77"/>
      <c r="AF251" s="77"/>
      <c r="AG251" s="77"/>
      <c r="AH251" s="77"/>
    </row>
    <row r="252" spans="29:34">
      <c r="AC252" s="77"/>
      <c r="AD252" s="77"/>
      <c r="AE252" s="77"/>
      <c r="AF252" s="77"/>
      <c r="AG252" s="77"/>
      <c r="AH252" s="77"/>
    </row>
    <row r="253" spans="29:34">
      <c r="AC253" s="77"/>
      <c r="AD253" s="77"/>
      <c r="AE253" s="77"/>
      <c r="AF253" s="77"/>
      <c r="AG253" s="77"/>
      <c r="AH253" s="77"/>
    </row>
    <row r="254" spans="29:34">
      <c r="AC254" s="77"/>
      <c r="AD254" s="77"/>
      <c r="AE254" s="77"/>
      <c r="AF254" s="77"/>
      <c r="AG254" s="77"/>
      <c r="AH254" s="77"/>
    </row>
    <row r="255" spans="29:34">
      <c r="AC255" s="77"/>
      <c r="AD255" s="77"/>
      <c r="AE255" s="77"/>
      <c r="AF255" s="77"/>
      <c r="AG255" s="77"/>
      <c r="AH255" s="77"/>
    </row>
    <row r="256" spans="29:34">
      <c r="AC256" s="77"/>
      <c r="AD256" s="77"/>
      <c r="AE256" s="77"/>
      <c r="AF256" s="77"/>
      <c r="AG256" s="77"/>
      <c r="AH256" s="77"/>
    </row>
    <row r="257" spans="29:34">
      <c r="AC257" s="77"/>
      <c r="AD257" s="77"/>
      <c r="AE257" s="77"/>
      <c r="AF257" s="77"/>
      <c r="AG257" s="77"/>
      <c r="AH257" s="77"/>
    </row>
    <row r="258" spans="29:34">
      <c r="AC258" s="77"/>
      <c r="AD258" s="77"/>
      <c r="AE258" s="77"/>
      <c r="AF258" s="77"/>
      <c r="AG258" s="77"/>
      <c r="AH258" s="77"/>
    </row>
    <row r="259" spans="29:34">
      <c r="AC259" s="77"/>
      <c r="AD259" s="77"/>
      <c r="AE259" s="77"/>
      <c r="AF259" s="77"/>
      <c r="AG259" s="77"/>
      <c r="AH259" s="77"/>
    </row>
    <row r="260" spans="29:34">
      <c r="AC260" s="77"/>
      <c r="AD260" s="77"/>
      <c r="AE260" s="77"/>
      <c r="AF260" s="77"/>
      <c r="AG260" s="77"/>
      <c r="AH260" s="77"/>
    </row>
    <row r="261" spans="29:34">
      <c r="AC261" s="77"/>
      <c r="AD261" s="77"/>
      <c r="AE261" s="77"/>
      <c r="AF261" s="77"/>
      <c r="AG261" s="77"/>
      <c r="AH261" s="77"/>
    </row>
    <row r="262" spans="29:34">
      <c r="AC262" s="77"/>
      <c r="AD262" s="77"/>
      <c r="AE262" s="77"/>
      <c r="AF262" s="77"/>
      <c r="AG262" s="77"/>
      <c r="AH262" s="77"/>
    </row>
    <row r="263" spans="29:34">
      <c r="AC263" s="77"/>
      <c r="AD263" s="77"/>
      <c r="AE263" s="77"/>
      <c r="AF263" s="77"/>
      <c r="AG263" s="77"/>
      <c r="AH263" s="77"/>
    </row>
    <row r="264" spans="29:34">
      <c r="AC264" s="77"/>
      <c r="AD264" s="77"/>
      <c r="AE264" s="77"/>
      <c r="AF264" s="77"/>
      <c r="AG264" s="77"/>
      <c r="AH264" s="77"/>
    </row>
    <row r="265" spans="29:34">
      <c r="AC265" s="77"/>
      <c r="AD265" s="77"/>
      <c r="AE265" s="77"/>
      <c r="AF265" s="77"/>
      <c r="AG265" s="77"/>
      <c r="AH265" s="77"/>
    </row>
    <row r="266" spans="29:34">
      <c r="AC266" s="77"/>
      <c r="AD266" s="77"/>
      <c r="AE266" s="77"/>
      <c r="AF266" s="77"/>
      <c r="AG266" s="77"/>
      <c r="AH266" s="77"/>
    </row>
    <row r="267" spans="29:34">
      <c r="AC267" s="77"/>
      <c r="AD267" s="77"/>
      <c r="AE267" s="77"/>
      <c r="AF267" s="77"/>
      <c r="AG267" s="77"/>
      <c r="AH267" s="77"/>
    </row>
  </sheetData>
  <pageMargins left="0.7" right="0.7" top="0.75" bottom="0.75" header="0.3" footer="0.3"/>
  <pageSetup orientation="portrait" horizontalDpi="300" verticalDpi="300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O102"/>
  <sheetViews>
    <sheetView topLeftCell="A43" workbookViewId="0">
      <selection activeCell="A66" sqref="A66"/>
    </sheetView>
  </sheetViews>
  <sheetFormatPr defaultRowHeight="15"/>
  <cols>
    <col min="1" max="1" width="26.42578125" customWidth="1"/>
    <col min="2" max="2" width="28.5703125" customWidth="1"/>
    <col min="3" max="3" width="20" customWidth="1"/>
    <col min="4" max="4" width="22.42578125" customWidth="1"/>
    <col min="5" max="5" width="27" customWidth="1"/>
    <col min="6" max="6" width="15.7109375" customWidth="1"/>
    <col min="7" max="7" width="8.28515625" customWidth="1"/>
    <col min="8" max="8" width="15.7109375" customWidth="1"/>
    <col min="9" max="9" width="11.42578125" customWidth="1"/>
    <col min="10" max="11" width="15.7109375" customWidth="1"/>
    <col min="12" max="12" width="13.28515625" customWidth="1"/>
    <col min="13" max="14" width="26.42578125" customWidth="1"/>
    <col min="15" max="15" width="33.5703125" customWidth="1"/>
    <col min="16" max="16" width="14.28515625" bestFit="1" customWidth="1"/>
    <col min="17" max="17" width="19.28515625" customWidth="1"/>
    <col min="18" max="18" width="15.7109375" bestFit="1" customWidth="1"/>
    <col min="19" max="19" width="33.5703125" bestFit="1" customWidth="1"/>
    <col min="20" max="20" width="16.42578125" bestFit="1" customWidth="1"/>
  </cols>
  <sheetData>
    <row r="1" spans="1:11" ht="19.5">
      <c r="A1" s="189" t="s">
        <v>65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</row>
    <row r="3" spans="1:11" hidden="1">
      <c r="A3" s="39" t="s">
        <v>56</v>
      </c>
      <c r="D3" s="39" t="s">
        <v>47</v>
      </c>
    </row>
    <row r="4" spans="1:11" s="42" customFormat="1">
      <c r="A4" s="39" t="s">
        <v>49</v>
      </c>
      <c r="B4" s="39" t="s">
        <v>45</v>
      </c>
      <c r="C4" s="39" t="s">
        <v>46</v>
      </c>
      <c r="D4" s="42" t="s">
        <v>25</v>
      </c>
      <c r="E4" s="42" t="s">
        <v>7</v>
      </c>
      <c r="F4" s="42" t="s">
        <v>0</v>
      </c>
      <c r="G4" s="42" t="s">
        <v>40</v>
      </c>
      <c r="H4" s="42" t="s">
        <v>1</v>
      </c>
      <c r="I4" s="42" t="s">
        <v>41</v>
      </c>
      <c r="J4" s="42" t="s">
        <v>72</v>
      </c>
      <c r="K4" s="42" t="s">
        <v>28</v>
      </c>
    </row>
    <row r="5" spans="1:11">
      <c r="A5" s="1" t="s">
        <v>125</v>
      </c>
      <c r="B5" s="1" t="s">
        <v>20</v>
      </c>
      <c r="C5" s="1" t="s">
        <v>52</v>
      </c>
      <c r="D5" s="40">
        <v>4.25</v>
      </c>
      <c r="E5" s="40">
        <v>1</v>
      </c>
      <c r="F5" s="40">
        <v>4.2720000000000002</v>
      </c>
      <c r="G5" s="40">
        <v>2028</v>
      </c>
      <c r="H5" s="40">
        <v>200000</v>
      </c>
      <c r="I5" s="40"/>
      <c r="J5" s="40">
        <v>4.3188244659487021</v>
      </c>
      <c r="K5" s="40">
        <v>1.4033163399863324</v>
      </c>
    </row>
    <row r="6" spans="1:11">
      <c r="A6" s="1" t="s">
        <v>125</v>
      </c>
      <c r="B6" s="1" t="s">
        <v>20</v>
      </c>
      <c r="C6" s="1" t="s">
        <v>53</v>
      </c>
      <c r="D6" s="40">
        <v>4</v>
      </c>
      <c r="E6" s="40">
        <v>1</v>
      </c>
      <c r="F6" s="40">
        <v>5.0430000000000001</v>
      </c>
      <c r="G6" s="40">
        <v>6804</v>
      </c>
      <c r="H6" s="40">
        <v>200000</v>
      </c>
      <c r="I6" s="40">
        <v>3500</v>
      </c>
      <c r="J6" s="40">
        <v>4.1630000000000003</v>
      </c>
      <c r="K6" s="40">
        <v>1.4191504327559101</v>
      </c>
    </row>
    <row r="7" spans="1:11">
      <c r="A7" s="1" t="s">
        <v>125</v>
      </c>
      <c r="B7" s="1" t="s">
        <v>20</v>
      </c>
      <c r="C7" s="1" t="s">
        <v>54</v>
      </c>
      <c r="D7" s="40">
        <v>4.25</v>
      </c>
      <c r="E7" s="40">
        <v>1</v>
      </c>
      <c r="F7" s="40">
        <v>4.2569999999999997</v>
      </c>
      <c r="G7" s="40">
        <v>1127</v>
      </c>
      <c r="H7" s="40">
        <v>500000</v>
      </c>
      <c r="I7" s="40"/>
      <c r="J7" s="40">
        <v>4.0771627490827687</v>
      </c>
      <c r="K7" s="40">
        <v>1.1616546231203992</v>
      </c>
    </row>
    <row r="8" spans="1:11">
      <c r="A8" s="1" t="s">
        <v>125</v>
      </c>
      <c r="B8" s="1" t="s">
        <v>20</v>
      </c>
      <c r="C8" s="1" t="s">
        <v>55</v>
      </c>
      <c r="D8" s="40">
        <v>4.125</v>
      </c>
      <c r="E8" s="40">
        <v>1</v>
      </c>
      <c r="F8" s="40">
        <v>4.1310000000000002</v>
      </c>
      <c r="G8" s="40">
        <v>2200</v>
      </c>
      <c r="H8" s="40">
        <v>750000</v>
      </c>
      <c r="I8" s="40"/>
      <c r="J8" s="40">
        <v>3.966305483037543</v>
      </c>
      <c r="K8" s="40">
        <v>1.0507973570751734</v>
      </c>
    </row>
    <row r="9" spans="1:11">
      <c r="A9" s="1" t="s">
        <v>125</v>
      </c>
      <c r="B9" s="1" t="s">
        <v>19</v>
      </c>
      <c r="C9" s="1" t="s">
        <v>52</v>
      </c>
      <c r="D9" s="40">
        <v>3.99</v>
      </c>
      <c r="E9" s="40">
        <v>2</v>
      </c>
      <c r="F9" s="40">
        <v>4.2469999999999999</v>
      </c>
      <c r="G9" s="40"/>
      <c r="H9" s="40"/>
      <c r="I9" s="40"/>
      <c r="J9" s="40">
        <v>4.4987637218053917</v>
      </c>
      <c r="K9" s="40">
        <v>1.5832555958430223</v>
      </c>
    </row>
    <row r="10" spans="1:11">
      <c r="A10" s="1" t="s">
        <v>125</v>
      </c>
      <c r="B10" s="1" t="s">
        <v>19</v>
      </c>
      <c r="C10" s="1" t="s">
        <v>53</v>
      </c>
      <c r="D10" s="40">
        <v>3.625</v>
      </c>
      <c r="E10" s="40">
        <v>1.875</v>
      </c>
      <c r="F10" s="40">
        <v>4.4950000000000001</v>
      </c>
      <c r="G10" s="40"/>
      <c r="H10" s="40"/>
      <c r="I10" s="40"/>
      <c r="J10" s="40"/>
      <c r="K10" s="40"/>
    </row>
    <row r="11" spans="1:11">
      <c r="A11" s="1" t="s">
        <v>125</v>
      </c>
      <c r="B11" s="1" t="s">
        <v>17</v>
      </c>
      <c r="C11" s="1" t="s">
        <v>52</v>
      </c>
      <c r="D11" s="40">
        <v>4.125</v>
      </c>
      <c r="E11" s="40">
        <v>0.84399999999999997</v>
      </c>
      <c r="F11" s="40">
        <v>4.2939999999999996</v>
      </c>
      <c r="G11" s="40"/>
      <c r="H11" s="40"/>
      <c r="I11" s="40"/>
      <c r="J11" s="40">
        <v>4.3739421106982554</v>
      </c>
      <c r="K11" s="40">
        <v>1.4584339847358858</v>
      </c>
    </row>
    <row r="12" spans="1:11">
      <c r="A12" s="1" t="s">
        <v>125</v>
      </c>
      <c r="B12" s="1" t="s">
        <v>18</v>
      </c>
      <c r="C12" s="1" t="s">
        <v>52</v>
      </c>
      <c r="D12" s="40">
        <v>4</v>
      </c>
      <c r="E12" s="40">
        <v>0.875</v>
      </c>
      <c r="F12" s="40">
        <v>4.0730000000000004</v>
      </c>
      <c r="G12" s="40"/>
      <c r="H12" s="40"/>
      <c r="I12" s="40"/>
      <c r="J12" s="40">
        <v>3.968948344733974</v>
      </c>
      <c r="K12" s="40">
        <v>1.0534402187716043</v>
      </c>
    </row>
    <row r="28" spans="1:11" ht="19.5">
      <c r="A28" s="189" t="s">
        <v>66</v>
      </c>
      <c r="B28" s="189"/>
      <c r="C28" s="189"/>
      <c r="D28" s="189"/>
      <c r="E28" s="189"/>
      <c r="F28" s="189"/>
      <c r="G28" s="189"/>
      <c r="H28" s="189"/>
      <c r="I28" s="189"/>
      <c r="J28" s="189"/>
      <c r="K28" s="189"/>
    </row>
    <row r="29" spans="1:11">
      <c r="A29" s="39" t="s">
        <v>56</v>
      </c>
      <c r="D29" s="39" t="s">
        <v>47</v>
      </c>
    </row>
    <row r="30" spans="1:11">
      <c r="A30" s="39" t="s">
        <v>49</v>
      </c>
      <c r="B30" s="39" t="s">
        <v>45</v>
      </c>
      <c r="C30" s="39" t="s">
        <v>46</v>
      </c>
      <c r="D30" s="42" t="s">
        <v>25</v>
      </c>
      <c r="E30" s="42" t="s">
        <v>7</v>
      </c>
      <c r="F30" s="42" t="s">
        <v>0</v>
      </c>
      <c r="G30" s="42" t="s">
        <v>40</v>
      </c>
      <c r="H30" s="42" t="s">
        <v>1</v>
      </c>
      <c r="I30" s="42" t="s">
        <v>41</v>
      </c>
      <c r="J30" s="42" t="s">
        <v>72</v>
      </c>
      <c r="K30" s="42" t="s">
        <v>28</v>
      </c>
    </row>
    <row r="31" spans="1:11">
      <c r="A31" s="1" t="s">
        <v>123</v>
      </c>
      <c r="B31" s="1" t="s">
        <v>20</v>
      </c>
      <c r="C31" s="1" t="s">
        <v>52</v>
      </c>
      <c r="D31" s="40">
        <v>4.25</v>
      </c>
      <c r="E31" s="40">
        <v>1</v>
      </c>
      <c r="F31" s="40">
        <v>4.298</v>
      </c>
      <c r="G31" s="40">
        <v>2778</v>
      </c>
      <c r="H31" s="40">
        <v>200000</v>
      </c>
      <c r="I31" s="40"/>
      <c r="J31" s="40">
        <v>4.4894479147795909</v>
      </c>
      <c r="K31" s="40">
        <v>1.4950023679760609</v>
      </c>
    </row>
    <row r="32" spans="1:11">
      <c r="A32" s="1" t="s">
        <v>123</v>
      </c>
      <c r="B32" s="1" t="s">
        <v>20</v>
      </c>
      <c r="C32" s="1" t="s">
        <v>53</v>
      </c>
      <c r="D32" s="40">
        <v>4.125</v>
      </c>
      <c r="E32" s="40">
        <v>1</v>
      </c>
      <c r="F32" s="40">
        <v>5.17</v>
      </c>
      <c r="G32" s="40">
        <v>6825</v>
      </c>
      <c r="H32" s="40">
        <v>200000</v>
      </c>
      <c r="I32" s="40">
        <v>3500</v>
      </c>
      <c r="J32" s="40">
        <v>4.2906250000000004</v>
      </c>
      <c r="K32" s="40">
        <v>1.4633944088817499</v>
      </c>
    </row>
    <row r="33" spans="1:11">
      <c r="A33" s="1" t="s">
        <v>123</v>
      </c>
      <c r="B33" s="1" t="s">
        <v>20</v>
      </c>
      <c r="C33" s="1" t="s">
        <v>54</v>
      </c>
      <c r="D33" s="40">
        <v>4.25</v>
      </c>
      <c r="E33" s="40">
        <v>1</v>
      </c>
      <c r="F33" s="40">
        <v>4.2729999999999997</v>
      </c>
      <c r="G33" s="40">
        <v>3627</v>
      </c>
      <c r="H33" s="40">
        <v>500000</v>
      </c>
      <c r="I33" s="40"/>
      <c r="J33" s="40">
        <v>4.2496377008409834</v>
      </c>
      <c r="K33" s="40">
        <v>1.2551921540374531</v>
      </c>
    </row>
    <row r="34" spans="1:11">
      <c r="A34" s="1" t="s">
        <v>123</v>
      </c>
      <c r="B34" s="1" t="s">
        <v>20</v>
      </c>
      <c r="C34" s="1" t="s">
        <v>55</v>
      </c>
      <c r="D34" s="40">
        <v>4.125</v>
      </c>
      <c r="E34" s="40">
        <v>1</v>
      </c>
      <c r="F34" s="40">
        <v>4.1399999999999997</v>
      </c>
      <c r="G34" s="40">
        <v>4075</v>
      </c>
      <c r="H34" s="40">
        <v>750000</v>
      </c>
      <c r="I34" s="40"/>
      <c r="J34" s="40">
        <v>4.0557276764206129</v>
      </c>
      <c r="K34" s="40">
        <v>1.0612821296170825</v>
      </c>
    </row>
    <row r="35" spans="1:11">
      <c r="A35" s="1" t="s">
        <v>123</v>
      </c>
      <c r="B35" s="1" t="s">
        <v>19</v>
      </c>
      <c r="C35" s="1" t="s">
        <v>52</v>
      </c>
      <c r="D35" s="40">
        <v>4.05</v>
      </c>
      <c r="E35" s="40">
        <v>2</v>
      </c>
      <c r="F35" s="40">
        <v>4.3090000000000002</v>
      </c>
      <c r="G35" s="40"/>
      <c r="H35" s="40"/>
      <c r="I35" s="40"/>
      <c r="J35" s="40">
        <v>4.5618946090091974</v>
      </c>
      <c r="K35" s="40">
        <v>1.5674490622056676</v>
      </c>
    </row>
    <row r="36" spans="1:11">
      <c r="A36" s="1" t="s">
        <v>123</v>
      </c>
      <c r="B36" s="1" t="s">
        <v>19</v>
      </c>
      <c r="C36" s="1" t="s">
        <v>53</v>
      </c>
      <c r="D36" s="40">
        <v>3.75</v>
      </c>
      <c r="E36" s="40">
        <v>1.125</v>
      </c>
      <c r="F36" s="40">
        <v>4.556</v>
      </c>
      <c r="G36" s="40"/>
      <c r="H36" s="40"/>
      <c r="I36" s="40"/>
      <c r="J36" s="40"/>
      <c r="K36" s="40"/>
    </row>
    <row r="37" spans="1:11">
      <c r="A37" s="1" t="s">
        <v>123</v>
      </c>
      <c r="B37" s="1" t="s">
        <v>17</v>
      </c>
      <c r="C37" s="1" t="s">
        <v>52</v>
      </c>
      <c r="D37" s="40">
        <v>4.125</v>
      </c>
      <c r="E37" s="40">
        <v>1.3089999999999999</v>
      </c>
      <c r="F37" s="40">
        <v>4.3339999999999996</v>
      </c>
      <c r="G37" s="40"/>
      <c r="H37" s="40"/>
      <c r="I37" s="40"/>
      <c r="J37" s="40">
        <v>4.4898587339935672</v>
      </c>
      <c r="K37" s="40">
        <v>1.4954131871900374</v>
      </c>
    </row>
    <row r="38" spans="1:11">
      <c r="A38" s="1" t="s">
        <v>123</v>
      </c>
      <c r="B38" s="1" t="s">
        <v>18</v>
      </c>
      <c r="C38" s="1" t="s">
        <v>52</v>
      </c>
      <c r="D38" s="40">
        <v>4</v>
      </c>
      <c r="E38" s="40">
        <v>1.375</v>
      </c>
      <c r="F38" s="40">
        <v>4.1150000000000002</v>
      </c>
      <c r="G38" s="40"/>
      <c r="H38" s="40"/>
      <c r="I38" s="40"/>
      <c r="J38" s="40">
        <v>4.0936300339223344</v>
      </c>
      <c r="K38" s="40">
        <v>1.0991844871188046</v>
      </c>
    </row>
    <row r="56" spans="1:11" ht="19.5">
      <c r="A56" s="189" t="s">
        <v>67</v>
      </c>
      <c r="B56" s="189"/>
      <c r="C56" s="189"/>
      <c r="D56" s="189"/>
      <c r="E56" s="189"/>
      <c r="F56" s="189"/>
      <c r="G56" s="189"/>
      <c r="H56" s="189"/>
      <c r="I56" s="189"/>
      <c r="J56" s="189"/>
      <c r="K56" s="189"/>
    </row>
    <row r="57" spans="1:11">
      <c r="A57" s="39" t="s">
        <v>56</v>
      </c>
      <c r="D57" s="39" t="s">
        <v>47</v>
      </c>
    </row>
    <row r="58" spans="1:11">
      <c r="A58" s="39" t="s">
        <v>49</v>
      </c>
      <c r="B58" s="39" t="s">
        <v>45</v>
      </c>
      <c r="C58" s="39" t="s">
        <v>46</v>
      </c>
      <c r="D58" s="42" t="s">
        <v>25</v>
      </c>
      <c r="E58" s="42" t="s">
        <v>7</v>
      </c>
      <c r="F58" s="42" t="s">
        <v>0</v>
      </c>
      <c r="G58" s="42" t="s">
        <v>40</v>
      </c>
      <c r="H58" s="42" t="s">
        <v>1</v>
      </c>
      <c r="I58" s="42" t="s">
        <v>41</v>
      </c>
      <c r="J58" s="42" t="s">
        <v>72</v>
      </c>
      <c r="K58" s="42" t="s">
        <v>28</v>
      </c>
    </row>
    <row r="59" spans="1:11">
      <c r="A59" s="1" t="s">
        <v>124</v>
      </c>
      <c r="B59" s="1" t="s">
        <v>20</v>
      </c>
      <c r="C59" s="1" t="s">
        <v>52</v>
      </c>
      <c r="D59" s="40">
        <v>4.25</v>
      </c>
      <c r="E59" s="40">
        <v>1</v>
      </c>
      <c r="F59" s="40">
        <v>4.2880000000000003</v>
      </c>
      <c r="G59" s="40">
        <v>2528</v>
      </c>
      <c r="H59" s="40">
        <v>200000</v>
      </c>
      <c r="I59" s="40"/>
      <c r="J59" s="40">
        <v>4.4286731677951829</v>
      </c>
      <c r="K59" s="40">
        <v>1.4198657383793729</v>
      </c>
    </row>
    <row r="60" spans="1:11">
      <c r="A60" s="1" t="s">
        <v>124</v>
      </c>
      <c r="B60" s="1" t="s">
        <v>20</v>
      </c>
      <c r="C60" s="1" t="s">
        <v>53</v>
      </c>
      <c r="D60" s="40">
        <v>4.125</v>
      </c>
      <c r="E60" s="40">
        <v>1</v>
      </c>
      <c r="F60" s="40">
        <v>5.1580000000000004</v>
      </c>
      <c r="G60" s="40">
        <v>6571</v>
      </c>
      <c r="H60" s="40">
        <v>200000</v>
      </c>
      <c r="I60" s="40">
        <v>3500</v>
      </c>
      <c r="J60" s="40">
        <v>4.2588749999999997</v>
      </c>
      <c r="K60" s="40">
        <v>1.4190409974948601</v>
      </c>
    </row>
    <row r="61" spans="1:11">
      <c r="A61" s="1" t="s">
        <v>124</v>
      </c>
      <c r="B61" s="1" t="s">
        <v>20</v>
      </c>
      <c r="C61" s="1" t="s">
        <v>54</v>
      </c>
      <c r="D61" s="40">
        <v>4.25</v>
      </c>
      <c r="E61" s="40">
        <v>1</v>
      </c>
      <c r="F61" s="40">
        <v>4.2629999999999999</v>
      </c>
      <c r="G61" s="40">
        <v>3002</v>
      </c>
      <c r="H61" s="40">
        <v>500000</v>
      </c>
      <c r="I61" s="40"/>
      <c r="J61" s="40">
        <v>4.1887316643249344</v>
      </c>
      <c r="K61" s="40">
        <v>1.1799242349091243</v>
      </c>
    </row>
    <row r="62" spans="1:11">
      <c r="A62" s="1" t="s">
        <v>124</v>
      </c>
      <c r="B62" s="1" t="s">
        <v>20</v>
      </c>
      <c r="C62" s="1" t="s">
        <v>55</v>
      </c>
      <c r="D62" s="40">
        <v>4.25</v>
      </c>
      <c r="E62" s="40">
        <v>1</v>
      </c>
      <c r="F62" s="40">
        <v>4.2560000000000002</v>
      </c>
      <c r="G62" s="40">
        <v>1301</v>
      </c>
      <c r="H62" s="40">
        <v>750000</v>
      </c>
      <c r="I62" s="40"/>
      <c r="J62" s="40">
        <v>4.0612077500397348</v>
      </c>
      <c r="K62" s="40">
        <v>1.0524003206239252</v>
      </c>
    </row>
    <row r="63" spans="1:11">
      <c r="A63" s="1" t="s">
        <v>124</v>
      </c>
      <c r="B63" s="1" t="s">
        <v>19</v>
      </c>
      <c r="C63" s="1" t="s">
        <v>52</v>
      </c>
      <c r="D63" s="40">
        <v>4.05</v>
      </c>
      <c r="E63" s="40">
        <v>1.875</v>
      </c>
      <c r="F63" s="40">
        <v>4.3010000000000002</v>
      </c>
      <c r="G63" s="40"/>
      <c r="H63" s="40"/>
      <c r="I63" s="40"/>
      <c r="J63" s="40">
        <v>4.5388826043032733</v>
      </c>
      <c r="K63" s="40">
        <v>1.530075174887463</v>
      </c>
    </row>
    <row r="64" spans="1:11">
      <c r="A64" s="1" t="s">
        <v>124</v>
      </c>
      <c r="B64" s="1" t="s">
        <v>19</v>
      </c>
      <c r="C64" s="1" t="s">
        <v>53</v>
      </c>
      <c r="D64" s="40">
        <v>3.75</v>
      </c>
      <c r="E64" s="40">
        <v>1</v>
      </c>
      <c r="F64" s="40">
        <v>4.5449999999999999</v>
      </c>
      <c r="G64" s="40"/>
      <c r="H64" s="40"/>
      <c r="I64" s="40"/>
      <c r="J64" s="40"/>
      <c r="K64" s="40"/>
    </row>
    <row r="65" spans="1:15">
      <c r="A65" s="1" t="s">
        <v>124</v>
      </c>
      <c r="B65" s="1" t="s">
        <v>17</v>
      </c>
      <c r="C65" s="1" t="s">
        <v>52</v>
      </c>
      <c r="D65" s="40">
        <v>4.125</v>
      </c>
      <c r="E65" s="40">
        <v>1.032</v>
      </c>
      <c r="F65" s="40">
        <v>4.3099999999999996</v>
      </c>
      <c r="G65" s="40"/>
      <c r="H65" s="40"/>
      <c r="I65" s="40"/>
      <c r="J65" s="40">
        <v>4.4204074273666594</v>
      </c>
      <c r="K65" s="40">
        <v>1.4115999979508493</v>
      </c>
    </row>
    <row r="66" spans="1:15">
      <c r="A66" s="1" t="s">
        <v>124</v>
      </c>
      <c r="B66" s="1" t="s">
        <v>18</v>
      </c>
      <c r="C66" s="1" t="s">
        <v>52</v>
      </c>
      <c r="D66" s="40">
        <v>4</v>
      </c>
      <c r="E66" s="40">
        <v>1.375</v>
      </c>
      <c r="F66" s="40">
        <v>4.1150000000000002</v>
      </c>
      <c r="G66" s="40"/>
      <c r="H66" s="40"/>
      <c r="I66" s="40"/>
      <c r="J66" s="40">
        <v>4.0936300339223344</v>
      </c>
      <c r="K66" s="40">
        <v>1.0848226045065246</v>
      </c>
    </row>
    <row r="77" spans="1:15" ht="19.5">
      <c r="A77" s="189" t="s">
        <v>77</v>
      </c>
      <c r="B77" s="189"/>
      <c r="C77" s="189"/>
      <c r="D77" s="189"/>
      <c r="E77" s="189"/>
      <c r="M77" s="189" t="s">
        <v>89</v>
      </c>
      <c r="N77" s="189"/>
      <c r="O77" s="189"/>
    </row>
    <row r="78" spans="1:15">
      <c r="A78" s="39" t="s">
        <v>78</v>
      </c>
      <c r="M78" s="39" t="s">
        <v>78</v>
      </c>
    </row>
    <row r="79" spans="1:15">
      <c r="B79" s="1" t="s">
        <v>79</v>
      </c>
      <c r="C79" s="1" t="s">
        <v>80</v>
      </c>
      <c r="D79" s="1" t="s">
        <v>81</v>
      </c>
      <c r="E79" s="1" t="s">
        <v>82</v>
      </c>
      <c r="N79" s="1" t="s">
        <v>91</v>
      </c>
      <c r="O79" s="1" t="s">
        <v>90</v>
      </c>
    </row>
    <row r="80" spans="1:15">
      <c r="A80" s="117" t="s">
        <v>98</v>
      </c>
      <c r="B80" s="40">
        <v>4.4146762877484873</v>
      </c>
      <c r="C80" s="40">
        <v>4.2592500000000006</v>
      </c>
      <c r="D80" s="40">
        <v>4.2717089165741537</v>
      </c>
      <c r="E80" s="40">
        <v>4.1873439755716797</v>
      </c>
      <c r="M80" s="117" t="s">
        <v>98</v>
      </c>
      <c r="N80" s="40">
        <v>3.0732804432921599</v>
      </c>
      <c r="O80" s="40">
        <v>1.341395844456327</v>
      </c>
    </row>
    <row r="81" spans="1:15">
      <c r="A81" s="117" t="s">
        <v>96</v>
      </c>
      <c r="B81" s="40">
        <v>4.5207040024477276</v>
      </c>
      <c r="C81" s="40">
        <v>4.3228750000000007</v>
      </c>
      <c r="D81" s="40">
        <v>4.3773</v>
      </c>
      <c r="E81" s="40">
        <v>4.2186106422383469</v>
      </c>
      <c r="M81" s="117" t="s">
        <v>96</v>
      </c>
      <c r="N81" s="40">
        <v>3.16276525236256</v>
      </c>
      <c r="O81" s="40">
        <v>1.3579387500851681</v>
      </c>
    </row>
    <row r="82" spans="1:15">
      <c r="A82" s="117" t="s">
        <v>97</v>
      </c>
      <c r="B82" s="40">
        <v>4.464829651284651</v>
      </c>
      <c r="C82" s="40">
        <v>4.2910000000000004</v>
      </c>
      <c r="D82" s="40">
        <v>4.375438847121214</v>
      </c>
      <c r="E82" s="40">
        <v>4.2186106422383469</v>
      </c>
      <c r="M82" s="117" t="s">
        <v>97</v>
      </c>
      <c r="N82" s="40">
        <v>3.1329453977786899</v>
      </c>
      <c r="O82" s="40">
        <v>1.3318842535059612</v>
      </c>
    </row>
    <row r="83" spans="1:15">
      <c r="A83" s="117" t="s">
        <v>101</v>
      </c>
      <c r="B83" s="40">
        <v>4.4440509154403669</v>
      </c>
      <c r="C83" s="40">
        <v>4.2592500000000006</v>
      </c>
      <c r="D83" s="40">
        <v>4.2033105887459152</v>
      </c>
      <c r="E83" s="40">
        <v>4.1237077500397357</v>
      </c>
      <c r="M83" s="117" t="s">
        <v>101</v>
      </c>
      <c r="N83" s="40">
        <v>3.0409627195865201</v>
      </c>
      <c r="O83" s="40">
        <v>1.403088195853847</v>
      </c>
    </row>
    <row r="84" spans="1:15">
      <c r="A84" s="117" t="s">
        <v>102</v>
      </c>
      <c r="B84" s="40">
        <v>4.3983780593055251</v>
      </c>
      <c r="C84" s="40">
        <v>4.2906250000000004</v>
      </c>
      <c r="D84" s="40">
        <v>4.1887316643249344</v>
      </c>
      <c r="E84" s="40">
        <v>4.0612077500397348</v>
      </c>
      <c r="M84" s="117" t="s">
        <v>102</v>
      </c>
      <c r="N84" s="40">
        <v>3.00985191194196</v>
      </c>
      <c r="O84" s="40">
        <v>1.3885261473635655</v>
      </c>
    </row>
    <row r="85" spans="1:15">
      <c r="A85" s="117" t="s">
        <v>103</v>
      </c>
      <c r="B85" s="40">
        <v>4.425564979941222</v>
      </c>
      <c r="C85" s="40">
        <v>4.2910000000000004</v>
      </c>
      <c r="D85" s="40">
        <v>4.2496377008409834</v>
      </c>
      <c r="E85" s="40">
        <v>4.092474416706402</v>
      </c>
      <c r="M85" s="117" t="s">
        <v>103</v>
      </c>
      <c r="N85" s="40">
        <v>2.9791453962399599</v>
      </c>
      <c r="O85" s="40">
        <v>1.4464195837012623</v>
      </c>
    </row>
    <row r="86" spans="1:15">
      <c r="A86" s="117" t="s">
        <v>104</v>
      </c>
      <c r="B86" s="40">
        <v>4.4311762126347389</v>
      </c>
      <c r="C86" s="40">
        <v>4.2592500000000006</v>
      </c>
      <c r="D86" s="40">
        <v>4.2496377008409834</v>
      </c>
      <c r="E86" s="40">
        <v>4.092474416706402</v>
      </c>
      <c r="M86" s="117" t="s">
        <v>104</v>
      </c>
      <c r="N86" s="40">
        <v>3.0519928057207899</v>
      </c>
      <c r="O86" s="40">
        <v>1.3791834069139486</v>
      </c>
    </row>
    <row r="87" spans="1:15">
      <c r="A87" s="117" t="s">
        <v>105</v>
      </c>
      <c r="B87" s="40">
        <v>4.5092366228623613</v>
      </c>
      <c r="C87" s="40">
        <v>4.3228750000000007</v>
      </c>
      <c r="D87" s="40">
        <v>4.4407683440906052</v>
      </c>
      <c r="E87" s="40">
        <v>4.1873439755716797</v>
      </c>
      <c r="M87" s="117" t="s">
        <v>105</v>
      </c>
      <c r="N87" s="40">
        <v>3.1469144966257199</v>
      </c>
      <c r="O87" s="40">
        <v>1.3623221262366418</v>
      </c>
    </row>
    <row r="88" spans="1:15">
      <c r="A88" s="117" t="s">
        <v>106</v>
      </c>
      <c r="B88" s="40">
        <v>4.4900516049545001</v>
      </c>
      <c r="C88" s="40">
        <v>4.3864999999999998</v>
      </c>
      <c r="D88" s="40">
        <v>4.5041620075276256</v>
      </c>
      <c r="E88" s="40">
        <v>4.2498439755716797</v>
      </c>
      <c r="M88" s="117" t="s">
        <v>106</v>
      </c>
      <c r="N88" s="40">
        <v>3.1440801611331</v>
      </c>
      <c r="O88" s="40">
        <v>1.3459714438214008</v>
      </c>
    </row>
    <row r="89" spans="1:15" ht="15.75" customHeight="1">
      <c r="A89" s="117" t="s">
        <v>107</v>
      </c>
      <c r="B89" s="40">
        <v>4.4632421539572196</v>
      </c>
      <c r="C89" s="40">
        <v>4.2910000000000004</v>
      </c>
      <c r="D89" s="40">
        <v>4.3147493145490214</v>
      </c>
      <c r="E89" s="40">
        <v>4.1873439755716797</v>
      </c>
      <c r="M89" s="117" t="s">
        <v>107</v>
      </c>
      <c r="N89" s="40">
        <v>3.1081065530197201</v>
      </c>
      <c r="O89" s="40">
        <v>1.3551356009374995</v>
      </c>
    </row>
    <row r="90" spans="1:15">
      <c r="A90" s="117" t="s">
        <v>108</v>
      </c>
      <c r="B90" s="40">
        <v>4.4514544365653475</v>
      </c>
      <c r="C90" s="40">
        <v>4.2592500000000006</v>
      </c>
      <c r="D90" s="40">
        <v>4.2717089165741537</v>
      </c>
      <c r="E90" s="40">
        <v>4.1237077500397357</v>
      </c>
      <c r="M90" s="117" t="s">
        <v>108</v>
      </c>
      <c r="N90" s="40">
        <v>3.0651881254767099</v>
      </c>
      <c r="O90" s="40">
        <v>1.3862663110886373</v>
      </c>
    </row>
    <row r="91" spans="1:15">
      <c r="A91" s="117" t="s">
        <v>100</v>
      </c>
      <c r="B91" s="40">
        <v>4.4290275255907448</v>
      </c>
      <c r="C91" s="40">
        <v>4.2592500000000006</v>
      </c>
      <c r="D91" s="40">
        <v>4.3147493145490214</v>
      </c>
      <c r="E91" s="40">
        <v>4.1817004181546098</v>
      </c>
      <c r="M91" s="117" t="s">
        <v>100</v>
      </c>
      <c r="N91" s="40">
        <v>3.0642370952529001</v>
      </c>
      <c r="O91" s="40">
        <v>1.3647904303378449</v>
      </c>
    </row>
    <row r="92" spans="1:15">
      <c r="A92" s="117" t="s">
        <v>109</v>
      </c>
      <c r="B92" s="40">
        <v>4.3810187767133026</v>
      </c>
      <c r="C92" s="40">
        <v>4.2592500000000006</v>
      </c>
      <c r="D92" s="40">
        <v>4.2717089165741537</v>
      </c>
      <c r="E92" s="40">
        <v>4.1237077500397357</v>
      </c>
      <c r="M92" s="117" t="s">
        <v>109</v>
      </c>
      <c r="N92" s="40">
        <v>3.0508649511892498</v>
      </c>
      <c r="O92" s="40">
        <v>1.3301538255240535</v>
      </c>
    </row>
    <row r="93" spans="1:15">
      <c r="A93" s="117" t="s">
        <v>110</v>
      </c>
      <c r="B93" s="40">
        <v>4.4078248196462049</v>
      </c>
      <c r="C93" s="40">
        <v>4.2910000000000004</v>
      </c>
      <c r="D93" s="40">
        <v>4.2717089165741537</v>
      </c>
      <c r="E93" s="40">
        <v>4.1817004181546098</v>
      </c>
      <c r="M93" s="117" t="s">
        <v>110</v>
      </c>
      <c r="N93" s="40">
        <v>3.07026860246684</v>
      </c>
      <c r="O93" s="40">
        <v>1.337556217179366</v>
      </c>
    </row>
    <row r="94" spans="1:15">
      <c r="A94" s="117" t="s">
        <v>111</v>
      </c>
      <c r="B94" s="40">
        <v>4.4364625323187852</v>
      </c>
      <c r="C94" s="40">
        <v>4.2906250000000004</v>
      </c>
      <c r="D94" s="40">
        <v>4.2033105887459152</v>
      </c>
      <c r="E94" s="40">
        <v>4.1237077500397357</v>
      </c>
      <c r="M94" s="117" t="s">
        <v>111</v>
      </c>
      <c r="N94" s="40">
        <v>3.04099858929172</v>
      </c>
      <c r="O94" s="40">
        <v>1.3954639430270657</v>
      </c>
    </row>
    <row r="95" spans="1:15">
      <c r="A95" s="117" t="s">
        <v>99</v>
      </c>
      <c r="B95" s="40">
        <v>4.426843113943276</v>
      </c>
      <c r="C95" s="40">
        <v>4.2906250000000004</v>
      </c>
      <c r="D95" s="40">
        <v>4.2496377008409834</v>
      </c>
      <c r="E95" s="40">
        <v>4.1237077500397357</v>
      </c>
      <c r="M95" s="117" t="s">
        <v>99</v>
      </c>
      <c r="N95" s="40">
        <v>3.0272722743659699</v>
      </c>
      <c r="O95" s="40">
        <v>1.3995708395773065</v>
      </c>
    </row>
    <row r="96" spans="1:15">
      <c r="A96" s="117" t="s">
        <v>126</v>
      </c>
      <c r="B96" s="40">
        <v>4.4426873504270654</v>
      </c>
      <c r="C96" s="40">
        <v>4.2592500000000006</v>
      </c>
      <c r="D96" s="40">
        <v>4.2404589165741537</v>
      </c>
      <c r="E96" s="40">
        <v>4.1237077500397357</v>
      </c>
      <c r="M96" s="117" t="s">
        <v>126</v>
      </c>
      <c r="N96" s="40">
        <v>3.00152435884748</v>
      </c>
      <c r="O96" s="40">
        <v>1.4411629915795856</v>
      </c>
    </row>
    <row r="97" spans="1:15">
      <c r="A97" s="117" t="s">
        <v>124</v>
      </c>
      <c r="B97" s="40">
        <v>4.3703983083468625</v>
      </c>
      <c r="C97" s="40">
        <v>4.2588749999999997</v>
      </c>
      <c r="D97" s="40">
        <v>4.1887316643249344</v>
      </c>
      <c r="E97" s="40">
        <v>4.0612077500397348</v>
      </c>
      <c r="M97" s="117" t="s">
        <v>124</v>
      </c>
      <c r="N97" s="40">
        <v>3.00880742941581</v>
      </c>
      <c r="O97" s="40">
        <v>1.3615908789310525</v>
      </c>
    </row>
    <row r="98" spans="1:15">
      <c r="A98" s="117" t="s">
        <v>127</v>
      </c>
      <c r="B98" s="40">
        <v>4.3673853128344291</v>
      </c>
      <c r="C98" s="40">
        <v>4.2588749999999997</v>
      </c>
      <c r="D98" s="40">
        <v>4.145604497342033</v>
      </c>
      <c r="E98" s="40">
        <v>4.0557276764206129</v>
      </c>
      <c r="M98" s="117" t="s">
        <v>127</v>
      </c>
      <c r="N98" s="40">
        <v>2.9768819813504899</v>
      </c>
      <c r="O98" s="40">
        <v>1.3905033314839395</v>
      </c>
    </row>
    <row r="99" spans="1:15">
      <c r="A99" s="117" t="s">
        <v>128</v>
      </c>
      <c r="B99" s="40">
        <v>4.3769220970021951</v>
      </c>
      <c r="C99" s="40">
        <v>4.2906250000000004</v>
      </c>
      <c r="D99" s="40">
        <v>4.1887316643249344</v>
      </c>
      <c r="E99" s="40">
        <v>4.0557276764206129</v>
      </c>
      <c r="M99" s="117" t="s">
        <v>128</v>
      </c>
      <c r="N99" s="40">
        <v>2.9700273705701301</v>
      </c>
      <c r="O99" s="40">
        <v>1.406894726432065</v>
      </c>
    </row>
    <row r="100" spans="1:15">
      <c r="A100" s="117" t="s">
        <v>129</v>
      </c>
      <c r="B100" s="40">
        <v>4.3942897588062166</v>
      </c>
      <c r="C100" s="40">
        <v>4.2906250000000004</v>
      </c>
      <c r="D100" s="40">
        <v>4.1887316643249344</v>
      </c>
      <c r="E100" s="40">
        <v>4.0557276764206129</v>
      </c>
      <c r="M100" s="117" t="s">
        <v>129</v>
      </c>
      <c r="N100" s="40">
        <v>2.9952166878972601</v>
      </c>
      <c r="O100" s="40">
        <v>1.3990730709089572</v>
      </c>
    </row>
    <row r="101" spans="1:15">
      <c r="A101" s="117" t="s">
        <v>123</v>
      </c>
      <c r="B101" s="40">
        <v>4.4087078229261731</v>
      </c>
      <c r="C101" s="40">
        <v>4.2906250000000004</v>
      </c>
      <c r="D101" s="40">
        <v>4.2496377008409834</v>
      </c>
      <c r="E101" s="40">
        <v>4.0557276764206129</v>
      </c>
      <c r="M101" s="117" t="s">
        <v>123</v>
      </c>
      <c r="N101" s="40">
        <v>2.9944455468035298</v>
      </c>
      <c r="O101" s="40">
        <v>1.4142622761226427</v>
      </c>
    </row>
    <row r="102" spans="1:15">
      <c r="A102" s="117" t="s">
        <v>125</v>
      </c>
      <c r="B102" s="40">
        <v>4.2901196607965808</v>
      </c>
      <c r="C102" s="40">
        <v>4.1630000000000003</v>
      </c>
      <c r="D102" s="40">
        <v>4.0771627490827687</v>
      </c>
      <c r="E102" s="40">
        <v>3.966305483037543</v>
      </c>
      <c r="M102" s="117" t="s">
        <v>125</v>
      </c>
      <c r="N102" s="40">
        <v>2.9155081259623699</v>
      </c>
      <c r="O102" s="40">
        <v>1.3746115348342114</v>
      </c>
    </row>
  </sheetData>
  <mergeCells count="5">
    <mergeCell ref="A28:K28"/>
    <mergeCell ref="A1:K1"/>
    <mergeCell ref="A56:K56"/>
    <mergeCell ref="A77:E77"/>
    <mergeCell ref="M77:O77"/>
  </mergeCells>
  <pageMargins left="0.7" right="0.7" top="0.75" bottom="0.75" header="0.3" footer="0.3"/>
  <pageSetup orientation="portrait" horizontalDpi="300" verticalDpi="300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E30"/>
  <sheetViews>
    <sheetView workbookViewId="0">
      <selection activeCell="J22" sqref="J22"/>
    </sheetView>
  </sheetViews>
  <sheetFormatPr defaultRowHeight="15"/>
  <cols>
    <col min="2" max="2" width="24.5703125" bestFit="1" customWidth="1"/>
    <col min="3" max="3" width="13.85546875" bestFit="1" customWidth="1"/>
    <col min="4" max="4" width="14.140625" bestFit="1" customWidth="1"/>
    <col min="5" max="5" width="16.5703125" customWidth="1"/>
    <col min="7" max="7" width="14.140625" bestFit="1" customWidth="1"/>
  </cols>
  <sheetData>
    <row r="1" spans="2:5">
      <c r="B1" s="103" t="s">
        <v>46</v>
      </c>
      <c r="C1" s="104" t="s">
        <v>45</v>
      </c>
      <c r="D1" s="105" t="s">
        <v>47</v>
      </c>
      <c r="E1" s="106" t="s">
        <v>50</v>
      </c>
    </row>
    <row r="2" spans="2:5">
      <c r="B2" s="107" t="s">
        <v>52</v>
      </c>
      <c r="C2" s="108" t="s">
        <v>17</v>
      </c>
      <c r="D2" s="109" t="s">
        <v>72</v>
      </c>
      <c r="E2" s="110">
        <f>Report!N10*100</f>
        <v>4.3739421106982554</v>
      </c>
    </row>
    <row r="3" spans="2:5">
      <c r="B3" s="95" t="s">
        <v>52</v>
      </c>
      <c r="C3" s="89" t="s">
        <v>17</v>
      </c>
      <c r="D3" s="90" t="s">
        <v>28</v>
      </c>
      <c r="E3" s="96">
        <f>Report!O10*100</f>
        <v>1.4584339847358858</v>
      </c>
    </row>
    <row r="4" spans="2:5">
      <c r="B4" s="95" t="s">
        <v>52</v>
      </c>
      <c r="C4" s="89" t="s">
        <v>18</v>
      </c>
      <c r="D4" s="90" t="s">
        <v>72</v>
      </c>
      <c r="E4" s="96">
        <f>Report!N11*100</f>
        <v>3.968948344733974</v>
      </c>
    </row>
    <row r="5" spans="2:5">
      <c r="B5" s="95" t="s">
        <v>52</v>
      </c>
      <c r="C5" s="89" t="s">
        <v>18</v>
      </c>
      <c r="D5" s="90" t="s">
        <v>28</v>
      </c>
      <c r="E5" s="96">
        <f>Report!O11*100</f>
        <v>1.0534402187716043</v>
      </c>
    </row>
    <row r="6" spans="2:5">
      <c r="B6" s="95" t="s">
        <v>52</v>
      </c>
      <c r="C6" s="89" t="s">
        <v>19</v>
      </c>
      <c r="D6" s="90" t="s">
        <v>72</v>
      </c>
      <c r="E6" s="96">
        <f>Report!N12*100</f>
        <v>4.4987637218053917</v>
      </c>
    </row>
    <row r="7" spans="2:5">
      <c r="B7" s="95" t="s">
        <v>52</v>
      </c>
      <c r="C7" s="89" t="s">
        <v>19</v>
      </c>
      <c r="D7" s="90" t="s">
        <v>28</v>
      </c>
      <c r="E7" s="96">
        <f>Report!O12*100</f>
        <v>1.5832555958430223</v>
      </c>
    </row>
    <row r="8" spans="2:5">
      <c r="B8" s="95" t="s">
        <v>52</v>
      </c>
      <c r="C8" s="89" t="s">
        <v>20</v>
      </c>
      <c r="D8" s="90" t="s">
        <v>72</v>
      </c>
      <c r="E8" s="96">
        <f>Report!N13*100</f>
        <v>4.3188244659487021</v>
      </c>
    </row>
    <row r="9" spans="2:5">
      <c r="B9" s="95" t="s">
        <v>52</v>
      </c>
      <c r="C9" s="89" t="s">
        <v>20</v>
      </c>
      <c r="D9" s="90" t="s">
        <v>28</v>
      </c>
      <c r="E9" s="96">
        <f>Report!O13*100</f>
        <v>1.4033163399863324</v>
      </c>
    </row>
    <row r="10" spans="2:5">
      <c r="B10" s="95" t="s">
        <v>53</v>
      </c>
      <c r="C10" s="89" t="s">
        <v>20</v>
      </c>
      <c r="D10" s="90" t="s">
        <v>72</v>
      </c>
      <c r="E10" s="96">
        <f>Report!N20*100</f>
        <v>4.1630000000000003</v>
      </c>
    </row>
    <row r="11" spans="2:5">
      <c r="B11" s="95" t="s">
        <v>53</v>
      </c>
      <c r="C11" s="89" t="s">
        <v>20</v>
      </c>
      <c r="D11" s="90" t="s">
        <v>28</v>
      </c>
      <c r="E11" s="96">
        <f>Report!O20*100</f>
        <v>1.4191504327559101</v>
      </c>
    </row>
    <row r="12" spans="2:5">
      <c r="B12" s="95" t="s">
        <v>54</v>
      </c>
      <c r="C12" s="89" t="s">
        <v>20</v>
      </c>
      <c r="D12" s="90" t="s">
        <v>72</v>
      </c>
      <c r="E12" s="96">
        <f>Report!N16*100</f>
        <v>4.0771627490827687</v>
      </c>
    </row>
    <row r="13" spans="2:5">
      <c r="B13" s="95" t="s">
        <v>54</v>
      </c>
      <c r="C13" s="89" t="s">
        <v>20</v>
      </c>
      <c r="D13" s="90" t="s">
        <v>28</v>
      </c>
      <c r="E13" s="96">
        <f>Report!O16*100</f>
        <v>1.1616546231203992</v>
      </c>
    </row>
    <row r="14" spans="2:5">
      <c r="B14" s="95" t="s">
        <v>55</v>
      </c>
      <c r="C14" s="89" t="s">
        <v>20</v>
      </c>
      <c r="D14" s="90" t="s">
        <v>72</v>
      </c>
      <c r="E14" s="96">
        <f>Report!N18*100</f>
        <v>3.966305483037543</v>
      </c>
    </row>
    <row r="15" spans="2:5">
      <c r="B15" s="95" t="s">
        <v>55</v>
      </c>
      <c r="C15" s="89" t="s">
        <v>20</v>
      </c>
      <c r="D15" s="90" t="s">
        <v>28</v>
      </c>
      <c r="E15" s="96">
        <f>Report!O18*100</f>
        <v>1.0507973570751734</v>
      </c>
    </row>
    <row r="16" spans="2:5">
      <c r="B16" s="97"/>
      <c r="C16" s="98"/>
      <c r="D16" s="98"/>
      <c r="E16" s="99"/>
    </row>
    <row r="17" spans="2:5">
      <c r="B17" s="97"/>
      <c r="C17" s="98"/>
      <c r="D17" s="98"/>
      <c r="E17" s="99"/>
    </row>
    <row r="18" spans="2:5">
      <c r="B18" s="97"/>
      <c r="C18" s="98"/>
      <c r="D18" s="98"/>
      <c r="E18" s="99"/>
    </row>
    <row r="19" spans="2:5">
      <c r="B19" s="97"/>
      <c r="C19" s="98"/>
      <c r="D19" s="98"/>
      <c r="E19" s="99"/>
    </row>
    <row r="20" spans="2:5">
      <c r="B20" s="97"/>
      <c r="C20" s="98"/>
      <c r="D20" s="98"/>
      <c r="E20" s="99"/>
    </row>
    <row r="21" spans="2:5">
      <c r="B21" s="97"/>
      <c r="C21" s="98"/>
      <c r="D21" s="98"/>
      <c r="E21" s="99"/>
    </row>
    <row r="22" spans="2:5">
      <c r="B22" s="97"/>
      <c r="C22" s="98"/>
      <c r="D22" s="98"/>
      <c r="E22" s="99"/>
    </row>
    <row r="23" spans="2:5">
      <c r="B23" s="97"/>
      <c r="C23" s="98"/>
      <c r="D23" s="98"/>
      <c r="E23" s="99"/>
    </row>
    <row r="24" spans="2:5">
      <c r="B24" s="97"/>
      <c r="C24" s="98"/>
      <c r="D24" s="98"/>
      <c r="E24" s="99"/>
    </row>
    <row r="25" spans="2:5">
      <c r="B25" s="97"/>
      <c r="C25" s="98"/>
      <c r="D25" s="98"/>
      <c r="E25" s="99"/>
    </row>
    <row r="26" spans="2:5">
      <c r="B26" s="97"/>
      <c r="C26" s="98"/>
      <c r="D26" s="98"/>
      <c r="E26" s="99"/>
    </row>
    <row r="27" spans="2:5">
      <c r="B27" s="97"/>
      <c r="C27" s="98"/>
      <c r="D27" s="98"/>
      <c r="E27" s="99"/>
    </row>
    <row r="28" spans="2:5">
      <c r="B28" s="97"/>
      <c r="C28" s="98"/>
      <c r="D28" s="98"/>
      <c r="E28" s="99"/>
    </row>
    <row r="29" spans="2:5">
      <c r="B29" s="97"/>
      <c r="C29" s="98"/>
      <c r="D29" s="98"/>
      <c r="E29" s="99"/>
    </row>
    <row r="30" spans="2:5">
      <c r="B30" s="100"/>
      <c r="C30" s="101"/>
      <c r="D30" s="101"/>
      <c r="E30" s="102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K41" sqref="K41:L41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36</v>
      </c>
      <c r="C1" s="1" t="s">
        <v>37</v>
      </c>
      <c r="D1" s="1" t="s">
        <v>38</v>
      </c>
      <c r="E1" s="28" t="s">
        <v>25</v>
      </c>
      <c r="F1" s="28" t="s">
        <v>39</v>
      </c>
      <c r="G1" s="1" t="s">
        <v>0</v>
      </c>
      <c r="H1" s="1" t="s">
        <v>40</v>
      </c>
      <c r="I1" s="1" t="s">
        <v>1</v>
      </c>
      <c r="J1" s="1" t="s">
        <v>41</v>
      </c>
    </row>
    <row r="2" spans="2:16">
      <c r="B2" s="1">
        <v>20150304</v>
      </c>
      <c r="C2" s="1" t="s">
        <v>20</v>
      </c>
      <c r="D2" s="1" t="s">
        <v>53</v>
      </c>
      <c r="E2" s="1">
        <v>3.875</v>
      </c>
      <c r="F2" s="1">
        <f>1</f>
        <v>1</v>
      </c>
      <c r="G2" s="1">
        <v>4.9050000000000002</v>
      </c>
      <c r="H2" s="29">
        <v>6529</v>
      </c>
      <c r="I2" s="29">
        <v>200000</v>
      </c>
      <c r="J2" s="30">
        <v>3500</v>
      </c>
      <c r="O2" t="s">
        <v>26</v>
      </c>
      <c r="P2">
        <v>2.8341999400292899</v>
      </c>
    </row>
    <row r="3" spans="2:16">
      <c r="B3" s="1">
        <v>20150304</v>
      </c>
      <c r="C3" s="1" t="s">
        <v>20</v>
      </c>
      <c r="D3" s="1" t="s">
        <v>52</v>
      </c>
      <c r="E3" s="1">
        <v>4.125</v>
      </c>
      <c r="F3" s="1">
        <f>1</f>
        <v>1</v>
      </c>
      <c r="G3" s="1">
        <v>4.1470000000000002</v>
      </c>
      <c r="H3" s="29">
        <v>1768</v>
      </c>
      <c r="I3" s="29">
        <v>200000</v>
      </c>
      <c r="J3" s="1"/>
      <c r="O3" t="s">
        <v>27</v>
      </c>
      <c r="P3">
        <v>2.7074000366412498</v>
      </c>
    </row>
    <row r="4" spans="2:16">
      <c r="B4" s="1">
        <v>20150304</v>
      </c>
      <c r="C4" s="1" t="s">
        <v>20</v>
      </c>
      <c r="D4" s="1" t="s">
        <v>69</v>
      </c>
      <c r="E4" s="1">
        <v>4.125</v>
      </c>
      <c r="F4" s="1">
        <f>1</f>
        <v>1</v>
      </c>
      <c r="G4" s="1">
        <v>4.1479999999999997</v>
      </c>
      <c r="H4" s="29">
        <v>3602</v>
      </c>
      <c r="I4" s="29">
        <v>500000</v>
      </c>
      <c r="J4" s="1"/>
    </row>
    <row r="5" spans="2:16">
      <c r="B5" s="1">
        <v>20150304</v>
      </c>
      <c r="C5" s="1" t="s">
        <v>20</v>
      </c>
      <c r="D5" s="1" t="s">
        <v>55</v>
      </c>
      <c r="E5" s="1">
        <v>4.125</v>
      </c>
      <c r="F5" s="1">
        <f>1</f>
        <v>1</v>
      </c>
      <c r="G5" s="1">
        <v>4.125</v>
      </c>
      <c r="H5" s="29">
        <v>1262</v>
      </c>
      <c r="I5" s="29">
        <v>750000</v>
      </c>
      <c r="J5" s="1"/>
    </row>
    <row r="6" spans="2:16">
      <c r="B6" s="1">
        <v>20150304</v>
      </c>
      <c r="C6" s="1" t="s">
        <v>19</v>
      </c>
      <c r="D6" s="1" t="s">
        <v>53</v>
      </c>
      <c r="E6" s="1">
        <v>3.375</v>
      </c>
      <c r="F6" s="1" t="s">
        <v>70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19</v>
      </c>
      <c r="D7" s="1" t="s">
        <v>52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17</v>
      </c>
      <c r="D8" s="1" t="s">
        <v>52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18</v>
      </c>
      <c r="D9" s="1" t="s">
        <v>52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L32"/>
  <sheetViews>
    <sheetView workbookViewId="0">
      <selection activeCell="M26" sqref="M26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  <col min="7" max="8" width="12.42578125" customWidth="1"/>
  </cols>
  <sheetData>
    <row r="3" spans="2:8">
      <c r="C3" s="190" t="s">
        <v>43</v>
      </c>
      <c r="D3" s="190"/>
      <c r="E3" s="190" t="s">
        <v>44</v>
      </c>
      <c r="F3" s="190"/>
      <c r="G3" s="190" t="s">
        <v>119</v>
      </c>
      <c r="H3" s="190"/>
    </row>
    <row r="4" spans="2:8">
      <c r="B4" s="111" t="s">
        <v>52</v>
      </c>
      <c r="C4" s="111" t="s">
        <v>72</v>
      </c>
      <c r="D4" s="111" t="s">
        <v>28</v>
      </c>
      <c r="E4" s="111" t="s">
        <v>72</v>
      </c>
      <c r="F4" s="111" t="s">
        <v>28</v>
      </c>
      <c r="G4" s="111" t="s">
        <v>72</v>
      </c>
      <c r="H4" s="111" t="s">
        <v>28</v>
      </c>
    </row>
    <row r="5" spans="2:8">
      <c r="B5" s="112" t="s">
        <v>17</v>
      </c>
      <c r="C5" s="113">
        <f t="array" ref="C5">VLOOKUP($B$4&amp;B5&amp;$C$4,IF({1,0},OneDayMtgRatesDataTable[TickerName]&amp;OneDayMtgRatesDataTable[Source]&amp;OneDayMtgRatesDataTable[SeriesType],OneDayMtgRatesDataTable[SeriesNumValue]),2,0)/100</f>
        <v>4.4898587339935674E-2</v>
      </c>
      <c r="D5" s="113">
        <f t="array" ref="D5">VLOOKUP($B$4&amp;$B5&amp;$D$4,IF({1,0},OneDayMtgRatesDataTable[TickerName]&amp;OneDayMtgRatesDataTable[Source]&amp;OneDayMtgRatesDataTable[SeriesType],OneDayMtgRatesDataTable[SeriesNumValue]),2,0)/100</f>
        <v>1.4954131871900374E-2</v>
      </c>
      <c r="E5" s="113">
        <f t="array" ref="E5">VLOOKUP(B4&amp;B5&amp;E4,IF({1,0},OneWeekMtgRatesDataTable[TickerName]&amp;OneWeekMtgRatesDataTable[Source]&amp;OneWeekMtgRatesDataTable[SeriesType],OneWeekMtgRatesDataTable[SeriesNumValue]),2,0)/100</f>
        <v>4.4204074273666592E-2</v>
      </c>
      <c r="F5" s="113">
        <f t="array" ref="F5">VLOOKUP($B$4&amp;$B5&amp;$F$4,IF({1,0},OneWeekMtgRatesDataTable[TickerName]&amp;OneWeekMtgRatesDataTable[Source]&amp;OneWeekMtgRatesDataTable[SeriesType],OneWeekMtgRatesDataTable[SeriesNumValue]),2,0)/100</f>
        <v>1.4115999979508494E-2</v>
      </c>
      <c r="G5" s="113">
        <f t="array" ref="G5">VLOOKUP(B4&amp;B5&amp;E4,IF({1,0},OneWeekMtgRatesDataTable8[TickerName]&amp;OneWeekMtgRatesDataTable8[Source]&amp;OneWeekMtgRatesDataTable8[SeriesType],OneWeekMtgRatesDataTable8[SeriesNumValue]),2,0)/100</f>
        <v>4.4924448895185813E-2</v>
      </c>
      <c r="H5" s="113">
        <f t="array" ref="H5">VLOOKUP(B4&amp;B5&amp;F4,IF({1,0},OneWeekMtgRatesDataTable8[TickerName]&amp;OneWeekMtgRatesDataTable8[Source]&amp;OneWeekMtgRatesDataTable8[SeriesType],OneWeekMtgRatesDataTable8[SeriesNumValue]),2,0)/100</f>
        <v>1.4191644462264213E-2</v>
      </c>
    </row>
    <row r="6" spans="2:8">
      <c r="B6" s="112" t="s">
        <v>18</v>
      </c>
      <c r="C6" s="113">
        <f t="array" ref="C6">VLOOKUP($B$4&amp;B6&amp;$C$4,IF({1,0},OneDayMtgRatesDataTable[TickerName]&amp;OneDayMtgRatesDataTable[Source]&amp;OneDayMtgRatesDataTable[SeriesType],OneDayMtgRatesDataTable[SeriesNumValue]),2,0)/100</f>
        <v>4.0936300339223346E-2</v>
      </c>
      <c r="D6" s="113">
        <f t="array" ref="D6">VLOOKUP($B$4&amp;$B6&amp;$D$4,IF({1,0},OneDayMtgRatesDataTable[TickerName]&amp;OneDayMtgRatesDataTable[Source]&amp;OneDayMtgRatesDataTable[SeriesType],OneDayMtgRatesDataTable[SeriesNumValue]),2,0)/100</f>
        <v>1.0991844871188046E-2</v>
      </c>
      <c r="E6" s="113">
        <f t="array" ref="E6">VLOOKUP($B$4&amp;$B6&amp;$E$4,IF({1,0},OneWeekMtgRatesDataTable[TickerName]&amp;OneWeekMtgRatesDataTable[Source]&amp;OneWeekMtgRatesDataTable[SeriesType],OneWeekMtgRatesDataTable[SeriesNumValue]),2,0)/100</f>
        <v>4.0936300339223346E-2</v>
      </c>
      <c r="F6" s="113">
        <f t="array" ref="F6">VLOOKUP($B$4&amp;$B6&amp;$F$4,IF({1,0},OneWeekMtgRatesDataTable[TickerName]&amp;OneWeekMtgRatesDataTable[Source]&amp;OneWeekMtgRatesDataTable[SeriesType],OneWeekMtgRatesDataTable[SeriesNumValue]),2,0)/100</f>
        <v>1.0848226045065246E-2</v>
      </c>
      <c r="G6" s="113">
        <f t="array" ref="G6">VLOOKUP(B4&amp;B6&amp;E4,IF({1,0},OneWeekMtgRatesDataTable8[TickerName]&amp;OneWeekMtgRatesDataTable8[Source]&amp;OneWeekMtgRatesDataTable8[SeriesType],OneWeekMtgRatesDataTable8[SeriesNumValue]),2,0)/100</f>
        <v>4.1539931569602E-2</v>
      </c>
      <c r="H6" s="113">
        <f t="array" ref="H6">VLOOKUP(B4&amp;B6&amp;F4,IF({1,0},OneWeekMtgRatesDataTable8[TickerName]&amp;OneWeekMtgRatesDataTable8[Source]&amp;OneWeekMtgRatesDataTable8[SeriesType],OneWeekMtgRatesDataTable8[SeriesNumValue]),2,0)/100</f>
        <v>1.0807127136680399E-2</v>
      </c>
    </row>
    <row r="7" spans="2:8">
      <c r="B7" s="112" t="s">
        <v>19</v>
      </c>
      <c r="C7" s="113">
        <f t="array" ref="C7">VLOOKUP($B$4&amp;B7&amp;$C$4,IF({1,0},OneDayMtgRatesDataTable[TickerName]&amp;OneDayMtgRatesDataTable[Source]&amp;OneDayMtgRatesDataTable[SeriesType],OneDayMtgRatesDataTable[SeriesNumValue]),2,0)/100</f>
        <v>4.5618946090091976E-2</v>
      </c>
      <c r="D7" s="113">
        <f t="array" ref="D7">VLOOKUP($B$4&amp;$B7&amp;$D$4,IF({1,0},OneDayMtgRatesDataTable[TickerName]&amp;OneDayMtgRatesDataTable[Source]&amp;OneDayMtgRatesDataTable[SeriesType],OneDayMtgRatesDataTable[SeriesNumValue]),2,0)/100</f>
        <v>1.5674490622056676E-2</v>
      </c>
      <c r="E7" s="113">
        <f t="array" ref="E7">VLOOKUP($B$4&amp;$B7&amp;$E$4,IF({1,0},OneWeekMtgRatesDataTable[TickerName]&amp;OneWeekMtgRatesDataTable[Source]&amp;OneWeekMtgRatesDataTable[SeriesType],OneWeekMtgRatesDataTable[SeriesNumValue]),2,0)/100</f>
        <v>4.538882604303273E-2</v>
      </c>
      <c r="F7" s="113">
        <f t="array" ref="F7">VLOOKUP($B$4&amp;$B7&amp;$F$4,IF({1,0},OneWeekMtgRatesDataTable[TickerName]&amp;OneWeekMtgRatesDataTable[Source]&amp;OneWeekMtgRatesDataTable[SeriesType],OneWeekMtgRatesDataTable[SeriesNumValue]),2,0)/100</f>
        <v>1.530075174887463E-2</v>
      </c>
      <c r="G7" s="113">
        <f t="array" ref="G7">VLOOKUP(B4&amp;B7&amp;E4,IF({1,0},OneWeekMtgRatesDataTable8[TickerName]&amp;OneWeekMtgRatesDataTable8[Source]&amp;OneWeekMtgRatesDataTable8[SeriesType],OneWeekMtgRatesDataTable8[SeriesNumValue]),2,0)/100</f>
        <v>4.5215920109797574E-2</v>
      </c>
      <c r="H7" s="113">
        <f t="array" ref="H7">VLOOKUP(B4&amp;B7&amp;F4,IF({1,0},OneWeekMtgRatesDataTable8[TickerName]&amp;OneWeekMtgRatesDataTable8[Source]&amp;OneWeekMtgRatesDataTable8[SeriesType],OneWeekMtgRatesDataTable8[SeriesNumValue]),2,0)/100</f>
        <v>1.4483115676875973E-2</v>
      </c>
    </row>
    <row r="8" spans="2:8">
      <c r="B8" s="112" t="s">
        <v>20</v>
      </c>
      <c r="C8" s="113">
        <f t="array" ref="C8">VLOOKUP($B$4&amp;B8&amp;$C$4,IF({1,0},OneDayMtgRatesDataTable[TickerName]&amp;OneDayMtgRatesDataTable[Source]&amp;OneDayMtgRatesDataTable[SeriesType],OneDayMtgRatesDataTable[SeriesNumValue]),2,0)/100</f>
        <v>4.4894479147795908E-2</v>
      </c>
      <c r="D8" s="113">
        <f t="array" ref="D8">VLOOKUP($B$4&amp;$B8&amp;$D$4,IF({1,0},OneDayMtgRatesDataTable[TickerName]&amp;OneDayMtgRatesDataTable[Source]&amp;OneDayMtgRatesDataTable[SeriesType],OneDayMtgRatesDataTable[SeriesNumValue]),2,0)/100</f>
        <v>1.4950023679760609E-2</v>
      </c>
      <c r="E8" s="113">
        <f t="array" ref="E8">VLOOKUP($B$4&amp;$B8&amp;$E$4,IF({1,0},OneWeekMtgRatesDataTable[TickerName]&amp;OneWeekMtgRatesDataTable[Source]&amp;OneWeekMtgRatesDataTable[SeriesType],OneWeekMtgRatesDataTable[SeriesNumValue]),2,0)/100</f>
        <v>4.4286731677951829E-2</v>
      </c>
      <c r="F8" s="113">
        <f t="array" ref="F8">VLOOKUP($B$4&amp;$B8&amp;$F$4,IF({1,0},OneWeekMtgRatesDataTable[TickerName]&amp;OneWeekMtgRatesDataTable[Source]&amp;OneWeekMtgRatesDataTable[SeriesType],OneWeekMtgRatesDataTable[SeriesNumValue]),2,0)/100</f>
        <v>1.4198657383793729E-2</v>
      </c>
      <c r="G8" s="113">
        <f t="array" ref="G8">VLOOKUP(B4&amp;B8&amp;E4,IF({1,0},OneWeekMtgRatesDataTable8[TickerName]&amp;OneWeekMtgRatesDataTable8[Source]&amp;OneWeekMtgRatesDataTable8[SeriesType],OneWeekMtgRatesDataTable8[SeriesNumValue]),2,0)/100</f>
        <v>4.4906750935354102E-2</v>
      </c>
      <c r="H8" s="113">
        <f t="array" ref="H8">VLOOKUP(B4&amp;B8&amp;F4,IF({1,0},OneWeekMtgRatesDataTable8[TickerName]&amp;OneWeekMtgRatesDataTable8[Source]&amp;OneWeekMtgRatesDataTable8[SeriesType],OneWeekMtgRatesDataTable8[SeriesNumValue]),2,0)/100</f>
        <v>1.4173946502432502E-2</v>
      </c>
    </row>
    <row r="9" spans="2:8">
      <c r="B9" s="111" t="s">
        <v>54</v>
      </c>
      <c r="C9" s="114"/>
      <c r="D9" s="114"/>
      <c r="E9" s="114"/>
      <c r="F9" s="114"/>
      <c r="G9" s="114"/>
      <c r="H9" s="114"/>
    </row>
    <row r="10" spans="2:8">
      <c r="B10" s="112" t="s">
        <v>20</v>
      </c>
      <c r="C10" s="113">
        <f t="array" ref="C10">VLOOKUP($B$9&amp;B10&amp;$C$4,IF({1,0},OneDayMtgRatesDataTable[TickerName]&amp;OneDayMtgRatesDataTable[Source]&amp;OneDayMtgRatesDataTable[SeriesType],OneDayMtgRatesDataTable[SeriesNumValue]),2,0)/100</f>
        <v>4.249637700840983E-2</v>
      </c>
      <c r="D10" s="113">
        <f t="array" ref="D10">VLOOKUP($B$9&amp;$B10&amp;$D$4,IF({1,0},OneDayMtgRatesDataTable[TickerName]&amp;OneDayMtgRatesDataTable[Source]&amp;OneDayMtgRatesDataTable[SeriesType],OneDayMtgRatesDataTable[SeriesNumValue]),2,0)/100</f>
        <v>1.255192154037453E-2</v>
      </c>
      <c r="E10" s="113">
        <f t="array" ref="E10">VLOOKUP($B$9&amp;$B10&amp;$E$4,IF({1,0},OneWeekMtgRatesDataTable[TickerName]&amp;OneWeekMtgRatesDataTable[Source]&amp;OneWeekMtgRatesDataTable[SeriesType],OneWeekMtgRatesDataTable[SeriesNumValue]),2,0)/100</f>
        <v>4.1887316643249344E-2</v>
      </c>
      <c r="F10" s="113">
        <f t="array" ref="F10">VLOOKUP($B$9&amp;$B10&amp;$F$4,IF({1,0},OneWeekMtgRatesDataTable[TickerName]&amp;OneWeekMtgRatesDataTable[Source]&amp;OneWeekMtgRatesDataTable[SeriesType],OneWeekMtgRatesDataTable[SeriesNumValue]),2,0)/100</f>
        <v>1.1799242349091243E-2</v>
      </c>
      <c r="G10" s="113">
        <f t="array" ref="G10">VLOOKUP(B9&amp;B10&amp;E4,IF({1,0},OneWeekMtgRatesDataTable8[TickerName]&amp;OneWeekMtgRatesDataTable8[Source]&amp;OneWeekMtgRatesDataTable8[SeriesType],OneWeekMtgRatesDataTable8[SeriesNumValue]),2,0)/100</f>
        <v>4.2717089165741538E-2</v>
      </c>
      <c r="H10" s="113">
        <f t="array" ref="H10">VLOOKUP($B$9&amp;$B10&amp;$F$4,IF({1,0},OneWeekMtgRatesDataTable8[TickerName]&amp;OneWeekMtgRatesDataTable8[Source]&amp;OneWeekMtgRatesDataTable8[SeriesType],OneWeekMtgRatesDataTable8[SeriesNumValue]),2,0)/100</f>
        <v>1.1984284732819938E-2</v>
      </c>
    </row>
    <row r="11" spans="2:8">
      <c r="B11" s="111" t="s">
        <v>55</v>
      </c>
      <c r="C11" s="114"/>
      <c r="D11" s="114"/>
      <c r="E11" s="114"/>
      <c r="F11" s="114"/>
      <c r="G11" s="114"/>
      <c r="H11" s="114"/>
    </row>
    <row r="12" spans="2:8">
      <c r="B12" s="112" t="s">
        <v>20</v>
      </c>
      <c r="C12" s="113">
        <f t="array" ref="C12">VLOOKUP($B$11&amp;B12&amp;$C$4,IF({1,0},OneDayMtgRatesDataTable[TickerName]&amp;OneDayMtgRatesDataTable[Source]&amp;OneDayMtgRatesDataTable[SeriesType],OneDayMtgRatesDataTable[SeriesNumValue]),2,0)/100</f>
        <v>4.0557276764206132E-2</v>
      </c>
      <c r="D12" s="113">
        <f t="array" ref="D12">VLOOKUP($B$11&amp;$B12&amp;$D$4,IF({1,0},OneDayMtgRatesDataTable[TickerName]&amp;OneDayMtgRatesDataTable[Source]&amp;OneDayMtgRatesDataTable[SeriesType],OneDayMtgRatesDataTable[SeriesNumValue]),2,0)/100</f>
        <v>1.0612821296170825E-2</v>
      </c>
      <c r="E12" s="113">
        <f t="array" ref="E12">VLOOKUP($B$11&amp;$B12&amp;$E$4,IF({1,0},OneWeekMtgRatesDataTable[TickerName]&amp;OneWeekMtgRatesDataTable[Source]&amp;OneWeekMtgRatesDataTable[SeriesType],OneWeekMtgRatesDataTable[SeriesNumValue]),2,0)/100</f>
        <v>4.0612077500397345E-2</v>
      </c>
      <c r="F12" s="113">
        <f t="array" ref="F12">VLOOKUP($B$11&amp;$B12&amp;$F$4,IF({1,0},OneWeekMtgRatesDataTable[TickerName]&amp;OneWeekMtgRatesDataTable[Source]&amp;OneWeekMtgRatesDataTable[SeriesType],OneWeekMtgRatesDataTable[SeriesNumValue]),2,0)/100</f>
        <v>1.0524003206239252E-2</v>
      </c>
      <c r="G12" s="113">
        <f t="array" ref="G12">VLOOKUP($B$11&amp;$B12&amp;$E$4,IF({1,0},OneWeekMtgRatesDataTable8[TickerName]&amp;OneWeekMtgRatesDataTable8[Source]&amp;OneWeekMtgRatesDataTable8[SeriesType],OneWeekMtgRatesDataTable8[SeriesNumValue]),2,0)/100</f>
        <v>4.18734397557168E-2</v>
      </c>
      <c r="H12" s="113">
        <f t="array" ref="H12">VLOOKUP($B$11&amp;$B12&amp;$F$4,IF({1,0},OneWeekMtgRatesDataTable8[TickerName]&amp;OneWeekMtgRatesDataTable8[Source]&amp;OneWeekMtgRatesDataTable8[SeriesType],OneWeekMtgRatesDataTable8[SeriesNumValue]),2,0)/100</f>
        <v>1.11406353227952E-2</v>
      </c>
    </row>
    <row r="13" spans="2:8">
      <c r="B13" s="111" t="s">
        <v>53</v>
      </c>
      <c r="C13" s="114"/>
      <c r="D13" s="114"/>
      <c r="E13" s="114"/>
      <c r="F13" s="114"/>
      <c r="G13" s="114"/>
      <c r="H13" s="114"/>
    </row>
    <row r="14" spans="2:8">
      <c r="B14" s="112" t="s">
        <v>20</v>
      </c>
      <c r="C14" s="113">
        <f t="array" ref="C14">VLOOKUP($B$13&amp;B14&amp;$C$4,IF({1,0},OneDayMtgRatesDataTable[TickerName]&amp;OneDayMtgRatesDataTable[Source]&amp;OneDayMtgRatesDataTable[SeriesType],OneDayMtgRatesDataTable[SeriesNumValue]),2,0)/100</f>
        <v>4.2906250000000007E-2</v>
      </c>
      <c r="D14" s="113">
        <f t="array" ref="D14">VLOOKUP($B$13&amp;$B14&amp;$D$4,IF({1,0},OneDayMtgRatesDataTable[TickerName]&amp;OneDayMtgRatesDataTable[Source]&amp;OneDayMtgRatesDataTable[SeriesType],OneDayMtgRatesDataTable[SeriesNumValue]),2,0)/100</f>
        <v>1.4633944088817498E-2</v>
      </c>
      <c r="E14" s="113">
        <f t="array" ref="E14">VLOOKUP($B$13&amp;$B14&amp;$E$4,IF({1,0},OneWeekMtgRatesDataTable[TickerName]&amp;OneWeekMtgRatesDataTable[Source]&amp;OneWeekMtgRatesDataTable[SeriesType],OneWeekMtgRatesDataTable[SeriesNumValue]),2,0)/100</f>
        <v>4.2588749999999995E-2</v>
      </c>
      <c r="F14" s="113">
        <f t="array" ref="F14">VLOOKUP($B$13&amp;$B14&amp;$F$4,IF({1,0},OneWeekMtgRatesDataTable[TickerName]&amp;OneWeekMtgRatesDataTable[Source]&amp;OneWeekMtgRatesDataTable[SeriesType],OneWeekMtgRatesDataTable[SeriesNumValue]),2,0)/100</f>
        <v>1.4190409974948602E-2</v>
      </c>
      <c r="G14" s="113">
        <f t="array" ref="G14">VLOOKUP($B$13&amp;$B14&amp;$E$4,IF({1,0},OneWeekMtgRatesDataTable8[TickerName]&amp;OneWeekMtgRatesDataTable8[Source]&amp;OneWeekMtgRatesDataTable8[SeriesType],OneWeekMtgRatesDataTable8[SeriesNumValue]),2,0)/100</f>
        <v>4.2592500000000005E-2</v>
      </c>
      <c r="H14" s="113">
        <f t="array" ref="H14">VLOOKUP($B$13&amp;$B14&amp;$F$4,IF({1,0},OneWeekMtgRatesDataTable8[TickerName]&amp;OneWeekMtgRatesDataTable8[Source]&amp;OneWeekMtgRatesDataTable8[SeriesType],OneWeekMtgRatesDataTable8[SeriesNumValue]),2,0)/100</f>
        <v>1.3771351200344107E-2</v>
      </c>
    </row>
    <row r="23" spans="2:12">
      <c r="B23" s="1"/>
      <c r="C23" s="1"/>
      <c r="F23" s="1"/>
      <c r="G23" s="1"/>
      <c r="H23" s="1"/>
      <c r="I23" s="1"/>
      <c r="J23" s="1"/>
      <c r="K23" s="1"/>
      <c r="L23" s="1"/>
    </row>
    <row r="24" spans="2:12">
      <c r="B24" s="1"/>
      <c r="C24" s="1"/>
      <c r="E24" s="42"/>
      <c r="F24" s="42"/>
      <c r="G24" s="42"/>
      <c r="H24" s="42"/>
      <c r="I24" s="42"/>
      <c r="J24" s="42"/>
      <c r="K24" s="42"/>
      <c r="L24" s="42"/>
    </row>
    <row r="25" spans="2:12">
      <c r="B25" s="1"/>
      <c r="C25" s="1"/>
      <c r="E25" s="40"/>
      <c r="F25" s="40"/>
      <c r="G25" s="40"/>
      <c r="H25" s="40"/>
      <c r="I25" s="40"/>
      <c r="J25" s="40"/>
      <c r="K25" s="40"/>
      <c r="L25" s="40"/>
    </row>
    <row r="26" spans="2:12">
      <c r="B26" s="1"/>
      <c r="C26" s="1"/>
      <c r="E26" s="40"/>
      <c r="F26" s="40"/>
      <c r="G26" s="40"/>
      <c r="H26" s="40"/>
      <c r="I26" s="40"/>
      <c r="J26" s="40"/>
      <c r="K26" s="40"/>
      <c r="L26" s="40"/>
    </row>
    <row r="27" spans="2:12">
      <c r="B27" s="1"/>
      <c r="C27" s="1"/>
      <c r="E27" s="40"/>
      <c r="F27" s="40"/>
      <c r="G27" s="40"/>
      <c r="H27" s="40"/>
      <c r="I27" s="40"/>
      <c r="J27" s="40"/>
      <c r="K27" s="40"/>
      <c r="L27" s="40"/>
    </row>
    <row r="28" spans="2:12">
      <c r="B28" s="1"/>
      <c r="C28" s="1"/>
      <c r="E28" s="40"/>
      <c r="F28" s="40"/>
      <c r="G28" s="40"/>
      <c r="H28" s="40"/>
      <c r="I28" s="40"/>
      <c r="J28" s="40"/>
      <c r="K28" s="40"/>
      <c r="L28" s="40"/>
    </row>
    <row r="29" spans="2:12">
      <c r="B29" s="1"/>
      <c r="C29" s="1"/>
      <c r="E29" s="40"/>
      <c r="F29" s="40"/>
      <c r="G29" s="40"/>
      <c r="H29" s="40"/>
      <c r="I29" s="40"/>
      <c r="J29" s="40"/>
      <c r="K29" s="40"/>
      <c r="L29" s="40"/>
    </row>
    <row r="30" spans="2:12">
      <c r="B30" s="1"/>
      <c r="C30" s="1"/>
      <c r="E30" s="40"/>
      <c r="F30" s="40"/>
      <c r="G30" s="40"/>
      <c r="H30" s="40"/>
      <c r="I30" s="40"/>
      <c r="J30" s="40"/>
      <c r="K30" s="40"/>
      <c r="L30" s="40"/>
    </row>
    <row r="31" spans="2:12">
      <c r="B31" s="1"/>
      <c r="C31" s="1"/>
      <c r="E31" s="40"/>
      <c r="F31" s="40"/>
      <c r="G31" s="40"/>
      <c r="H31" s="40"/>
      <c r="I31" s="40"/>
      <c r="J31" s="40"/>
      <c r="K31" s="40"/>
      <c r="L31" s="40"/>
    </row>
    <row r="32" spans="2:12">
      <c r="B32" s="1"/>
      <c r="C32" s="1"/>
      <c r="E32" s="40"/>
      <c r="F32" s="40"/>
      <c r="G32" s="40"/>
      <c r="H32" s="40"/>
      <c r="I32" s="40"/>
      <c r="J32" s="40"/>
      <c r="K32" s="40"/>
      <c r="L32" s="40"/>
    </row>
  </sheetData>
  <mergeCells count="3">
    <mergeCell ref="C3:D3"/>
    <mergeCell ref="E3:F3"/>
    <mergeCell ref="G3:H3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3"/>
  <sheetViews>
    <sheetView workbookViewId="0">
      <selection activeCell="M32" sqref="M32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11" ht="15">
      <c r="B1" s="1" t="s">
        <v>17</v>
      </c>
      <c r="C1" s="2" t="s">
        <v>52</v>
      </c>
    </row>
    <row r="2" spans="2:11">
      <c r="B2" s="191" t="s">
        <v>3</v>
      </c>
      <c r="C2" s="191"/>
      <c r="D2" s="4"/>
      <c r="E2" s="191" t="s">
        <v>5</v>
      </c>
      <c r="F2" s="191"/>
      <c r="H2" s="191" t="s">
        <v>12</v>
      </c>
      <c r="I2" s="191"/>
    </row>
    <row r="4" spans="2:11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1.9957684427930222E-2</v>
      </c>
      <c r="H4" s="8" t="s">
        <v>11</v>
      </c>
      <c r="I4" s="9">
        <f>C4-(1%-F7)/4</f>
        <v>4.3739421106982555E-2</v>
      </c>
      <c r="K4" s="2" t="str">
        <f t="array" ref="K4">IF({1,0},CurrentMtgRatesDataTable[Source]&amp;CurrentMtgRatesDataTable[TickerName]&amp;CurrentMtgRatesDataTable[SeriesType],CurrentMtgRatesDataTable[SeriesNumValue])</f>
        <v>Bank of America30YrConformingConventional1Point Rate</v>
      </c>
    </row>
    <row r="5" spans="2:11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4.2939999999999999E-2</v>
      </c>
      <c r="D5" s="5"/>
      <c r="E5" s="6" t="s">
        <v>14</v>
      </c>
      <c r="F5" s="17">
        <f>C8</f>
        <v>8.4399999999999996E-3</v>
      </c>
      <c r="K5" s="2">
        <f t="array" ref="K5">VLOOKUP(B1&amp;C1&amp;B4, IF({1,0},CurrentMtgRatesDataTable[Source]&amp;CurrentMtgRatesDataTable[TickerName]&amp;CurrentMtgRatesDataTable[SeriesType],CurrentMtgRatesDataTable[SeriesNumValue]),2,0)</f>
        <v>4.125</v>
      </c>
    </row>
    <row r="6" spans="2:11">
      <c r="B6" s="2" t="s">
        <v>1</v>
      </c>
      <c r="C6" s="7">
        <v>200000</v>
      </c>
      <c r="E6" s="6" t="s">
        <v>9</v>
      </c>
      <c r="F6" s="11">
        <f>F4-C8</f>
        <v>1.1517684427930223E-2</v>
      </c>
      <c r="H6" s="2" t="s">
        <v>22</v>
      </c>
      <c r="I6" s="13">
        <f>C4-(0.01-(1-((C4/12*(1+C4/12)^360)/((1+C4/12)^360-1)*((1+C5/12)^360-1)/(C5/12*(1+C5/12)^360))))/4</f>
        <v>4.3739421106982555E-2</v>
      </c>
    </row>
    <row r="7" spans="2:11">
      <c r="B7" s="2" t="s">
        <v>4</v>
      </c>
      <c r="C7" s="18" t="s">
        <v>2</v>
      </c>
      <c r="D7" s="12"/>
      <c r="E7" s="2" t="s">
        <v>10</v>
      </c>
      <c r="F7" s="16">
        <f>F5+F6</f>
        <v>1.9957684427930222E-2</v>
      </c>
    </row>
    <row r="8" spans="2:11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8.4399999999999996E-3</v>
      </c>
      <c r="D8" s="15"/>
    </row>
    <row r="13" spans="2:11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3"/>
  <sheetViews>
    <sheetView workbookViewId="0">
      <selection activeCell="I22" sqref="I22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18</v>
      </c>
      <c r="C1" s="2" t="s">
        <v>52</v>
      </c>
    </row>
    <row r="2" spans="2:9">
      <c r="B2" s="191" t="s">
        <v>3</v>
      </c>
      <c r="C2" s="191"/>
      <c r="D2" s="4"/>
      <c r="E2" s="191" t="s">
        <v>5</v>
      </c>
      <c r="F2" s="191"/>
      <c r="H2" s="191" t="s">
        <v>12</v>
      </c>
      <c r="I2" s="191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8.7579337893589626E-3</v>
      </c>
      <c r="H4" s="8" t="s">
        <v>11</v>
      </c>
      <c r="I4" s="9">
        <f>C4-(1%-F7)/4</f>
        <v>3.9689483447339739E-2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4.0730000000000002E-2</v>
      </c>
      <c r="D5" s="5"/>
      <c r="E5" s="6" t="s">
        <v>14</v>
      </c>
      <c r="F5" s="17">
        <f>C8</f>
        <v>8.7500000000000008E-3</v>
      </c>
    </row>
    <row r="6" spans="2:9">
      <c r="B6" s="2" t="s">
        <v>1</v>
      </c>
      <c r="C6" s="7">
        <v>215000</v>
      </c>
      <c r="E6" s="6" t="s">
        <v>9</v>
      </c>
      <c r="F6" s="11">
        <f>F4-C8</f>
        <v>7.9337893589617736E-6</v>
      </c>
      <c r="H6" s="2" t="s">
        <v>22</v>
      </c>
      <c r="I6" s="13">
        <f>C4-(0.01-(1-((C4/12*(1+C4/12)^360)/((1+C4/12)^360-1)*((1+C5/12)^360-1)/(C5/12*(1+C5/12)^360))))/4</f>
        <v>3.9689483447339739E-2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8.7579337893589626E-3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8.7500000000000008E-3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workbookViewId="0">
      <selection activeCell="I4" sqref="I4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89" t="s">
        <v>19</v>
      </c>
      <c r="C1" s="90" t="s">
        <v>52</v>
      </c>
    </row>
    <row r="2" spans="2:9">
      <c r="B2" s="191" t="s">
        <v>3</v>
      </c>
      <c r="C2" s="191"/>
      <c r="D2" s="4"/>
      <c r="E2" s="191" t="s">
        <v>5</v>
      </c>
      <c r="F2" s="191"/>
      <c r="H2" s="191" t="s">
        <v>12</v>
      </c>
      <c r="I2" s="191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3.9900000000000005E-2</v>
      </c>
      <c r="D4" s="5"/>
      <c r="E4" s="5" t="s">
        <v>8</v>
      </c>
      <c r="F4" s="13">
        <f>1-((C4/12*(1+C4/12)^360)/((1+C4/12)^360-1)*((1+C5/12)^360-1)/(C5/12*(1+C5/12)^360))</f>
        <v>3.0350548872215666E-2</v>
      </c>
      <c r="H4" s="8" t="s">
        <v>11</v>
      </c>
      <c r="I4" s="124">
        <f>C4-(1%-F7)/4</f>
        <v>4.4987637218053919E-2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4.2470000000000001E-2</v>
      </c>
      <c r="D5" s="5"/>
      <c r="E5" s="6" t="s">
        <v>14</v>
      </c>
      <c r="F5" s="17">
        <f>C8</f>
        <v>0.02</v>
      </c>
    </row>
    <row r="6" spans="2:9">
      <c r="B6" s="2" t="s">
        <v>1</v>
      </c>
      <c r="C6" s="7">
        <v>200000</v>
      </c>
      <c r="E6" s="6" t="s">
        <v>9</v>
      </c>
      <c r="F6" s="11">
        <f>F4-C8</f>
        <v>1.0350548872215665E-2</v>
      </c>
      <c r="H6" s="2" t="s">
        <v>22</v>
      </c>
      <c r="I6" s="13">
        <f>C4-(0.01-(1-((C4/12*(1+C4/12)^360)/((1+C4/12)^360-1)*((1+C5/12)^360-1)/(C5/12*(1+C5/12)^360))))/4</f>
        <v>4.4987637218053919E-2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3.0350548872215666E-2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0.02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3"/>
  <sheetViews>
    <sheetView workbookViewId="0">
      <selection activeCell="I4" sqref="I4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1" spans="2:9">
      <c r="B1" s="1" t="s">
        <v>20</v>
      </c>
      <c r="C1" s="1" t="s">
        <v>52</v>
      </c>
    </row>
    <row r="2" spans="2:9">
      <c r="B2" s="191" t="s">
        <v>3</v>
      </c>
      <c r="C2" s="191"/>
      <c r="D2" s="4"/>
      <c r="E2" s="191" t="s">
        <v>5</v>
      </c>
      <c r="F2" s="191"/>
      <c r="G2" s="2"/>
      <c r="H2" s="191" t="s">
        <v>12</v>
      </c>
      <c r="I2" s="191"/>
    </row>
    <row r="3" spans="2:9">
      <c r="B3" s="2"/>
      <c r="C3" s="2"/>
      <c r="D3" s="2"/>
      <c r="E3" s="2"/>
      <c r="F3" s="2"/>
      <c r="G3" s="2"/>
      <c r="H3" s="2"/>
      <c r="I3" s="2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4.2500000000000003E-2</v>
      </c>
      <c r="D4" s="5"/>
      <c r="E4" s="6" t="s">
        <v>6</v>
      </c>
      <c r="F4" s="7">
        <f>((CIR/12*(1+CIR/12)^360)/((1+CIR/12)^360-1)*((1+CAPR/12)^360-1)/(CAPR/12*(1+CAPR/12)^360))*CP</f>
        <v>199477.40427241038</v>
      </c>
      <c r="G4" s="2"/>
      <c r="H4" s="8" t="s">
        <v>11</v>
      </c>
      <c r="I4" s="124">
        <f>CIR-(1%-F9)/4</f>
        <v>4.3188244659487021E-2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4.2720000000000001E-2</v>
      </c>
      <c r="D5" s="5"/>
      <c r="E5" s="10" t="s">
        <v>8</v>
      </c>
      <c r="F5" s="11">
        <f>1-F4/CP</f>
        <v>2.6129786379480713E-3</v>
      </c>
      <c r="G5" s="2"/>
      <c r="H5" s="2"/>
      <c r="I5" s="2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D6" s="2"/>
      <c r="E6" s="5" t="s">
        <v>15</v>
      </c>
      <c r="F6" s="13">
        <f>1-((CIR/12*(1+CIR/12)^360)/((1+CIR/12)^360-1)*((1+CAPR/12)^360-1)/(CAPR/12*(1+CAPR/12)^360))</f>
        <v>2.6129786379480713E-3</v>
      </c>
      <c r="G6" s="2"/>
      <c r="H6" s="2" t="s">
        <v>22</v>
      </c>
      <c r="I6" s="13">
        <f>CIR-(0.01-(1-((CIR/12*(1+CIR/12)^360)/((1+CIR/12)^360-1)*((1+CAPR/12)^360-1)/(CAPR/12*(1+CAPR/12)^360)) + C7/CP))/4</f>
        <v>4.3188244659487021E-2</v>
      </c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2028</v>
      </c>
      <c r="D7" s="12"/>
      <c r="E7" s="2"/>
      <c r="F7" s="2"/>
      <c r="G7" s="2"/>
      <c r="H7" s="2"/>
      <c r="I7" s="2"/>
    </row>
    <row r="8" spans="2:9">
      <c r="B8" s="6" t="s">
        <v>7</v>
      </c>
      <c r="C8" s="14" t="s">
        <v>2</v>
      </c>
      <c r="D8" s="15"/>
      <c r="E8" s="2" t="s">
        <v>9</v>
      </c>
      <c r="F8" s="13">
        <f>C7/CP</f>
        <v>1.014E-2</v>
      </c>
      <c r="G8" s="2"/>
      <c r="H8" s="2"/>
      <c r="I8" s="2"/>
    </row>
    <row r="9" spans="2:9">
      <c r="B9" s="2"/>
      <c r="C9" s="2"/>
      <c r="D9" s="2"/>
      <c r="E9" s="2" t="s">
        <v>10</v>
      </c>
      <c r="F9" s="16">
        <f>F6+F8</f>
        <v>1.2752978637948071E-2</v>
      </c>
      <c r="G9" s="2"/>
      <c r="H9" s="2"/>
      <c r="I9" s="2"/>
    </row>
    <row r="10" spans="2:9">
      <c r="B10" s="2"/>
      <c r="C10" s="2"/>
      <c r="D10" s="2"/>
      <c r="E10" s="2"/>
      <c r="F10" s="2"/>
      <c r="G10" s="2"/>
      <c r="H10" s="2"/>
      <c r="I10" s="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2"/>
      <c r="E12" s="2"/>
      <c r="F12" s="2"/>
      <c r="G12" s="2"/>
      <c r="H12" s="2"/>
      <c r="I12" s="2"/>
    </row>
    <row r="13" spans="2:9">
      <c r="B13" s="2" t="s">
        <v>13</v>
      </c>
      <c r="C13" s="2"/>
      <c r="D13" s="2"/>
      <c r="E13" s="2"/>
      <c r="F13" s="2"/>
      <c r="G13" s="2"/>
      <c r="H13" s="2"/>
      <c r="I13" s="2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42"/>
  <sheetViews>
    <sheetView workbookViewId="0">
      <selection activeCell="F15" sqref="F15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89" t="s">
        <v>20</v>
      </c>
      <c r="C1" s="90" t="s">
        <v>54</v>
      </c>
    </row>
    <row r="2" spans="2:9">
      <c r="B2" s="191" t="s">
        <v>3</v>
      </c>
      <c r="C2" s="191"/>
      <c r="D2" s="20"/>
      <c r="E2" s="191" t="s">
        <v>5</v>
      </c>
      <c r="F2" s="191"/>
      <c r="H2" s="191" t="s">
        <v>12</v>
      </c>
      <c r="I2" s="191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4.2500000000000003E-2</v>
      </c>
      <c r="D4" s="5"/>
      <c r="E4" s="5" t="s">
        <v>8</v>
      </c>
      <c r="F4" s="13">
        <f>1-((C4/12*(1+C4/12)^360)/((1+C4/12)^360-1)*((1+C5/12)^360-1)/(C5/12*(1+C5/12)^360))</f>
        <v>8.3250996331074578E-4</v>
      </c>
      <c r="H4" s="8" t="s">
        <v>11</v>
      </c>
      <c r="I4" s="9">
        <f>C4-(1%-F7)/4</f>
        <v>4.0771627490827689E-2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4.2569999999999997E-2</v>
      </c>
      <c r="D5" s="5"/>
      <c r="E5" s="6" t="s">
        <v>14</v>
      </c>
      <c r="F5" s="17">
        <f>F4</f>
        <v>8.3250996331074578E-4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500000</v>
      </c>
      <c r="E6" s="6" t="s">
        <v>9</v>
      </c>
      <c r="F6" s="11">
        <f>C7/C6</f>
        <v>2.2539999999999999E-3</v>
      </c>
      <c r="H6" s="2" t="s">
        <v>22</v>
      </c>
      <c r="I6" s="13">
        <f>C4-(0.01-(1-((C4/12*(1+C4/12)^360)/((1+C4/12)^360-1)*((1+C5/12)^360-1)/(C5/12*(1+C5/12)^360)) + C7/C6))/4</f>
        <v>4.0771627490827689E-2</v>
      </c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1127</v>
      </c>
      <c r="D7" s="12"/>
      <c r="E7" s="2" t="s">
        <v>10</v>
      </c>
      <c r="F7" s="16">
        <f>F5+F6</f>
        <v>3.0865099633107457E-3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17" spans="2:6" ht="15">
      <c r="B17" s="1"/>
      <c r="C17" s="22"/>
      <c r="D17" s="1"/>
      <c r="E17" s="1"/>
      <c r="F17" s="22"/>
    </row>
    <row r="18" spans="2:6" ht="15">
      <c r="B18" s="1"/>
      <c r="C18" s="23"/>
      <c r="D18" s="1"/>
      <c r="E18" s="1"/>
      <c r="F18" s="23"/>
    </row>
    <row r="19" spans="2:6" ht="15">
      <c r="B19" s="1"/>
      <c r="C19" s="24"/>
      <c r="D19" s="1"/>
      <c r="E19" s="1"/>
      <c r="F19" s="24"/>
    </row>
    <row r="20" spans="2:6" ht="15">
      <c r="B20" s="1"/>
      <c r="C20" s="25"/>
      <c r="D20" s="1"/>
      <c r="E20" s="1"/>
      <c r="F20" s="23"/>
    </row>
    <row r="21" spans="2:6" ht="15">
      <c r="B21" s="1"/>
      <c r="C21" s="1"/>
      <c r="D21" s="1"/>
      <c r="E21" s="1"/>
      <c r="F21" s="1"/>
    </row>
    <row r="22" spans="2:6" ht="15">
      <c r="B22" s="1"/>
      <c r="C22" s="26"/>
      <c r="D22" s="1"/>
      <c r="E22" s="1"/>
      <c r="F22" s="19"/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42"/>
  <sheetViews>
    <sheetView workbookViewId="0">
      <selection activeCell="M43" sqref="M43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2" t="s">
        <v>20</v>
      </c>
      <c r="C1" s="2" t="s">
        <v>55</v>
      </c>
    </row>
    <row r="2" spans="2:9">
      <c r="B2" s="191" t="s">
        <v>3</v>
      </c>
      <c r="C2" s="191"/>
      <c r="D2" s="20"/>
      <c r="E2" s="191" t="s">
        <v>5</v>
      </c>
      <c r="F2" s="191"/>
      <c r="H2" s="191" t="s">
        <v>12</v>
      </c>
      <c r="I2" s="191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7.1888598816838289E-4</v>
      </c>
      <c r="H4" s="8" t="s">
        <v>11</v>
      </c>
      <c r="I4" s="9">
        <f>C4-(1%-F7)/4</f>
        <v>3.9663054830375431E-2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4.1309999999999999E-2</v>
      </c>
      <c r="D5" s="5"/>
      <c r="E5" s="6" t="s">
        <v>14</v>
      </c>
      <c r="F5" s="17">
        <f>F4</f>
        <v>7.1888598816838289E-4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750000</v>
      </c>
      <c r="E6" s="6" t="s">
        <v>9</v>
      </c>
      <c r="F6" s="11">
        <f>C7/C6</f>
        <v>2.9333333333333334E-3</v>
      </c>
      <c r="H6" s="2" t="s">
        <v>22</v>
      </c>
      <c r="I6" s="13">
        <f>C4-(0.01-(1-((C4/12*(1+C4/12)^360)/((1+C4/12)^360-1)*((1+C5/12)^360-1)/(C5/12*(1+C5/12)^360)) + C7/C6))/4</f>
        <v>3.9663054830375431E-2</v>
      </c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2200</v>
      </c>
      <c r="D7" s="12"/>
      <c r="E7" s="2" t="s">
        <v>10</v>
      </c>
      <c r="F7" s="16">
        <f>F5+F6</f>
        <v>3.6522193215017163E-3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3"/>
  <sheetViews>
    <sheetView workbookViewId="0">
      <selection activeCell="I10" sqref="I10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89" t="s">
        <v>20</v>
      </c>
      <c r="C1" s="90" t="s">
        <v>53</v>
      </c>
    </row>
    <row r="2" spans="2:9">
      <c r="B2" s="191" t="s">
        <v>3</v>
      </c>
      <c r="C2" s="191"/>
      <c r="D2" s="21"/>
      <c r="E2" s="191" t="s">
        <v>5</v>
      </c>
      <c r="F2" s="191"/>
      <c r="H2" s="191" t="s">
        <v>12</v>
      </c>
      <c r="I2" s="191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34</v>
      </c>
      <c r="F4" s="13">
        <f>C9/C6</f>
        <v>1.7500000000000002E-2</v>
      </c>
      <c r="H4" s="8" t="s">
        <v>11</v>
      </c>
      <c r="I4" s="9">
        <f>C4-(1%-F7)/4</f>
        <v>4.163E-2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5.0430000000000003E-2</v>
      </c>
      <c r="D5" s="5"/>
      <c r="E5" s="32" t="s">
        <v>14</v>
      </c>
      <c r="F5" s="33">
        <f>C8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 t="s">
        <v>9</v>
      </c>
      <c r="F6" s="34">
        <f>C7/C6-F4</f>
        <v>1.652E-2</v>
      </c>
      <c r="I6" s="13"/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6804</v>
      </c>
      <c r="D7" s="12"/>
      <c r="E7" s="2" t="s">
        <v>10</v>
      </c>
      <c r="F7" s="16">
        <f>F5+F6</f>
        <v>1.652E-2</v>
      </c>
    </row>
    <row r="8" spans="2:9">
      <c r="B8" s="2" t="s">
        <v>7</v>
      </c>
      <c r="C8" s="34">
        <v>0</v>
      </c>
      <c r="D8" s="15"/>
    </row>
    <row r="9" spans="2:9">
      <c r="B9" s="76" t="s">
        <v>41</v>
      </c>
      <c r="C9" s="31">
        <f t="array" ref="C9">VLOOKUP($B$1&amp;$C$1&amp;B9,IF({1,0},CurrentMtgRatesDataTable[Source]&amp;CurrentMtgRatesDataTable[TickerName]&amp;CurrentMtgRatesDataTable[SeriesType],CurrentMtgRatesDataTable[SeriesNumValue]),2,0)</f>
        <v>3500</v>
      </c>
      <c r="E9" s="35" t="s">
        <v>42</v>
      </c>
      <c r="F9" s="13">
        <f>C7/C6</f>
        <v>3.4020000000000002E-2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23</vt:i4>
      </vt:variant>
    </vt:vector>
  </HeadingPairs>
  <TitlesOfParts>
    <vt:vector size="36" baseType="lpstr">
      <vt:lpstr>Report</vt:lpstr>
      <vt:lpstr>Time Series Query</vt:lpstr>
      <vt:lpstr>Rates Summary</vt:lpstr>
      <vt:lpstr>Upload Result</vt:lpstr>
      <vt:lpstr>Input Data</vt:lpstr>
      <vt:lpstr>Historic Result</vt:lpstr>
      <vt:lpstr>BoA - Conventional</vt:lpstr>
      <vt:lpstr>Chase - Conventional</vt:lpstr>
      <vt:lpstr>Quicken - Conventional</vt:lpstr>
      <vt:lpstr>Wells - Conventional</vt:lpstr>
      <vt:lpstr>Wells - Jumbo conformin</vt:lpstr>
      <vt:lpstr>Wells - Jumbo Non-conforming</vt:lpstr>
      <vt:lpstr>Wells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HistoricalMtgRatesDataTable</vt:lpstr>
      <vt:lpstr>OneDayBusDate</vt:lpstr>
      <vt:lpstr>OneMonthBusDate</vt:lpstr>
      <vt:lpstr>OneMonthMtgRatesDataTable</vt:lpstr>
      <vt:lpstr>OneMonthMtgRatesDataTable1</vt:lpstr>
      <vt:lpstr>OneWeekBusDate</vt:lpstr>
      <vt:lpstr>PDFReportDir</vt:lpstr>
      <vt:lpstr>PDFReportName</vt:lpstr>
      <vt:lpstr>Report!Print_Area</vt:lpstr>
      <vt:lpstr>RatesList</vt:lpstr>
      <vt:lpstr>SaveRatesToDB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2015-08-03T12:58:14Z</cp:lastPrinted>
  <dcterms:created xsi:type="dcterms:W3CDTF">2015-02-26T13:52:04Z</dcterms:created>
  <dcterms:modified xsi:type="dcterms:W3CDTF">2015-08-03T13:04:03Z</dcterms:modified>
</cp:coreProperties>
</file>