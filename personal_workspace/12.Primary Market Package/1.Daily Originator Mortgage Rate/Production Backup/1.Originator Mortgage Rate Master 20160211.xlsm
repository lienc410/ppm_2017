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440" windowHeight="1560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Report!$Y$2</definedName>
    <definedName name="DatabaseEnv">Report!$Y$1</definedName>
    <definedName name="HistoricalMtgRatesDataTable">OneWeekMtgRatesDataTable9[]</definedName>
    <definedName name="HistoricStartDate">'Time Series Query'!$AD$2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MonthMtgRatesDataTable">OneWeekMtgRatesDataTable8[]</definedName>
    <definedName name="OneMonthMtgRatesDataTable1">OneWeekMtgRatesDataTable8[]</definedName>
    <definedName name="OneWeekBusDate">TimeSeriesDataTable3[Column1]</definedName>
    <definedName name="PDFReportDir">Report!$Y$3</definedName>
    <definedName name="PDFReportName">Report!$Y$4</definedName>
    <definedName name="_xlnm.Print_Area" localSheetId="0">Report!$B$1:$V$56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10" localSheetId="1" hidden="1">'Time Series Query'!$AR$6:$AW$39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Query'!$X$6:$Z$8</definedName>
    <definedName name="Query_from_Agency_6" localSheetId="1" hidden="1">'Time Series Query'!$AC$6:$AH$1623</definedName>
    <definedName name="Query_from_Agency_7" localSheetId="1" hidden="1">'Time Series Query'!$AB$1:$AB$2</definedName>
    <definedName name="Query_from_Agency_8" localSheetId="1" hidden="1">'Time Series Query'!#REF!</definedName>
    <definedName name="Query_from_Agency_9" localSheetId="1" hidden="1">'Time Series Query'!$AJ$6:$AO$1162</definedName>
    <definedName name="RatesList">'Upload Result'!$B$2:$E$30</definedName>
    <definedName name="SaveRatesToDB">Report!$AA$1</definedName>
    <definedName name="WIR" localSheetId="12">#REF!</definedName>
    <definedName name="WIR">'Wells - Conventional'!$C$4</definedName>
  </definedNames>
  <calcPr calcId="145621"/>
  <pivotCaches>
    <pivotCache cacheId="104" r:id="rId15"/>
    <pivotCache cacheId="108" r:id="rId16"/>
    <pivotCache cacheId="112" r:id="rId17"/>
    <pivotCache cacheId="118" r:id="rId18"/>
    <pivotCache cacheId="124" r:id="rId19"/>
  </pivotCaches>
</workbook>
</file>

<file path=xl/calcChain.xml><?xml version="1.0" encoding="utf-8"?>
<calcChain xmlns="http://schemas.openxmlformats.org/spreadsheetml/2006/main">
  <c r="H14" i="16" l="1" a="1"/>
  <c r="H14" i="16" s="1"/>
  <c r="G14" i="16" a="1"/>
  <c r="G14" i="16" s="1"/>
  <c r="G12" i="16" a="1"/>
  <c r="G12" i="16" s="1"/>
  <c r="H12" i="16" a="1"/>
  <c r="H12" i="16" s="1"/>
  <c r="H10" i="16" a="1"/>
  <c r="H10" i="16" s="1"/>
  <c r="G10" i="16" a="1"/>
  <c r="G10" i="16" s="1"/>
  <c r="H8" i="16" a="1"/>
  <c r="H8" i="16" s="1"/>
  <c r="H7" i="16" a="1"/>
  <c r="H7" i="16" s="1"/>
  <c r="H6" i="16" a="1"/>
  <c r="H6" i="16" s="1"/>
  <c r="G8" i="16" a="1"/>
  <c r="G8" i="16" s="1"/>
  <c r="G7" i="16" a="1"/>
  <c r="G7" i="16" s="1"/>
  <c r="H5" i="16" a="1"/>
  <c r="H5" i="16" s="1"/>
  <c r="G6" i="16" a="1"/>
  <c r="G6" i="16" s="1"/>
  <c r="G5" i="16" a="1"/>
  <c r="G5" i="16" s="1"/>
  <c r="Y4" i="6" l="1"/>
  <c r="C9" i="15" l="1" a="1"/>
  <c r="C9" i="15" s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5" i="6" s="1"/>
  <c r="Z12" i="18"/>
  <c r="D24" i="6" s="1"/>
  <c r="C7" i="15" l="1" a="1"/>
  <c r="C7" i="15" s="1"/>
  <c r="C6" i="15" a="1"/>
  <c r="C6" i="15" s="1"/>
  <c r="C5" i="15" a="1"/>
  <c r="C5" i="15" s="1"/>
  <c r="C4" i="15" a="1"/>
  <c r="C4" i="15" s="1"/>
  <c r="D20" i="6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F4" i="15" l="1"/>
  <c r="F6" i="15" s="1"/>
  <c r="K20" i="6" s="1"/>
  <c r="C8" i="4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20" i="6" l="1"/>
  <c r="F5" i="14"/>
  <c r="F4" i="14"/>
  <c r="F3" i="14"/>
  <c r="F2" i="14"/>
  <c r="F9" i="15" l="1"/>
  <c r="F5" i="15"/>
  <c r="J20" i="6" s="1"/>
  <c r="F7" i="15" l="1"/>
  <c r="G18" i="6"/>
  <c r="D18" i="6"/>
  <c r="G16" i="6"/>
  <c r="D16" i="6"/>
  <c r="I4" i="15" l="1"/>
  <c r="N20" i="6" s="1"/>
  <c r="T20" i="6" s="1"/>
  <c r="L20" i="6"/>
  <c r="I6" i="12"/>
  <c r="I6" i="13"/>
  <c r="O20" i="6" l="1"/>
  <c r="M20" i="6"/>
  <c r="P20" i="6"/>
  <c r="R20" i="6"/>
  <c r="E10" i="20"/>
  <c r="F6" i="13"/>
  <c r="K16" i="6" s="1"/>
  <c r="F4" i="13"/>
  <c r="F5" i="13" s="1"/>
  <c r="F6" i="12"/>
  <c r="K18" i="6" s="1"/>
  <c r="F4" i="12"/>
  <c r="F5" i="12" s="1"/>
  <c r="J18" i="6" s="1"/>
  <c r="S20" i="6" l="1"/>
  <c r="U20" i="6"/>
  <c r="Q20" i="6"/>
  <c r="E11" i="20"/>
  <c r="F7" i="13"/>
  <c r="J16" i="6"/>
  <c r="F7" i="12"/>
  <c r="I4" i="12" l="1"/>
  <c r="N18" i="6" s="1"/>
  <c r="T18" i="6" s="1"/>
  <c r="L18" i="6"/>
  <c r="I4" i="13"/>
  <c r="N16" i="6" s="1"/>
  <c r="T16" i="6" s="1"/>
  <c r="L16" i="6"/>
  <c r="E12" i="20" l="1"/>
  <c r="M16" i="6"/>
  <c r="E14" i="20"/>
  <c r="M18" i="6"/>
  <c r="R16" i="6"/>
  <c r="P16" i="6"/>
  <c r="P18" i="6"/>
  <c r="R18" i="6"/>
  <c r="O16" i="6"/>
  <c r="O18" i="6"/>
  <c r="E15" i="20" l="1"/>
  <c r="U18" i="6"/>
  <c r="E13" i="20"/>
  <c r="U16" i="6"/>
  <c r="Q18" i="6"/>
  <c r="S18" i="6"/>
  <c r="Q16" i="6"/>
  <c r="S16" i="6"/>
  <c r="I6" i="5"/>
  <c r="I6" i="4"/>
  <c r="I6" i="3"/>
  <c r="I6" i="2"/>
  <c r="G13" i="6"/>
  <c r="G12" i="6"/>
  <c r="G11" i="6"/>
  <c r="G10" i="6"/>
  <c r="G14" i="6" l="1"/>
  <c r="D13" i="6"/>
  <c r="D12" i="6"/>
  <c r="D11" i="6"/>
  <c r="D10" i="6"/>
  <c r="F5" i="5"/>
  <c r="J12" i="6" s="1"/>
  <c r="F4" i="5"/>
  <c r="F6" i="5" s="1"/>
  <c r="K12" i="6" s="1"/>
  <c r="F5" i="4"/>
  <c r="F4" i="4"/>
  <c r="F6" i="4" s="1"/>
  <c r="F5" i="3"/>
  <c r="J10" i="6" s="1"/>
  <c r="F4" i="3"/>
  <c r="F6" i="3" s="1"/>
  <c r="K10" i="6" s="1"/>
  <c r="F8" i="2"/>
  <c r="K13" i="6" s="1"/>
  <c r="F6" i="2"/>
  <c r="F4" i="2"/>
  <c r="F5" i="2" s="1"/>
  <c r="K14" i="6" l="1"/>
  <c r="F9" i="2"/>
  <c r="J13" i="6"/>
  <c r="J14" i="6" s="1"/>
  <c r="D14" i="6"/>
  <c r="F7" i="3"/>
  <c r="L10" i="6" s="1"/>
  <c r="F7" i="5"/>
  <c r="I4" i="5" s="1"/>
  <c r="F7" i="4"/>
  <c r="I4" i="4" s="1"/>
  <c r="I4" i="2" l="1"/>
  <c r="N13" i="6" s="1"/>
  <c r="L13" i="6"/>
  <c r="N11" i="6"/>
  <c r="T11" i="6" s="1"/>
  <c r="L11" i="6"/>
  <c r="I4" i="3"/>
  <c r="N10" i="6" s="1"/>
  <c r="T10" i="6" s="1"/>
  <c r="N12" i="6"/>
  <c r="T12" i="6" s="1"/>
  <c r="L12" i="6"/>
  <c r="M13" i="6" l="1"/>
  <c r="T13" i="6"/>
  <c r="T14" i="6" s="1"/>
  <c r="E6" i="20"/>
  <c r="M12" i="6"/>
  <c r="E2" i="20"/>
  <c r="M10" i="6"/>
  <c r="E4" i="20"/>
  <c r="M11" i="6"/>
  <c r="E8" i="20"/>
  <c r="P13" i="6"/>
  <c r="O13" i="6"/>
  <c r="R13" i="6"/>
  <c r="L14" i="6"/>
  <c r="P12" i="6"/>
  <c r="R12" i="6"/>
  <c r="P10" i="6"/>
  <c r="R10" i="6"/>
  <c r="R11" i="6"/>
  <c r="P11" i="6"/>
  <c r="O11" i="6"/>
  <c r="O10" i="6"/>
  <c r="O12" i="6"/>
  <c r="N14" i="6"/>
  <c r="E7" i="20" l="1"/>
  <c r="U12" i="6"/>
  <c r="E9" i="20"/>
  <c r="U13" i="6"/>
  <c r="E5" i="20"/>
  <c r="U11" i="6"/>
  <c r="E3" i="20"/>
  <c r="U10" i="6"/>
  <c r="M14" i="6"/>
  <c r="Q13" i="6"/>
  <c r="S13" i="6"/>
  <c r="P14" i="6"/>
  <c r="R14" i="6"/>
  <c r="Q10" i="6"/>
  <c r="S10" i="6"/>
  <c r="Q12" i="6"/>
  <c r="S12" i="6"/>
  <c r="S11" i="6"/>
  <c r="Q11" i="6"/>
  <c r="O14" i="6"/>
  <c r="U14" i="6" l="1"/>
  <c r="Q14" i="6"/>
  <c r="S14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6-02-02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6-02-01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6-02-02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6-02-02' AND AsOfDate &gt;= '2015-03-03' order by TickerName,Source,SeriesType,AsOfDate"/>
  </connection>
  <connection id="5" name="1MonthMtgRatesQuery1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12-30' order by TickerName,Source,SeriesType,AsOfDate"/>
  </connection>
  <connection id="6" name="1MonthSpread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Conventional','FN_CMM_30Yr') and m.timeseriesmetaId = t.timeseriesmetaId and SeriesType in ('Servicing Spread') and Category='MTG' AND AsOfDate &lt;= '2016-02-02' AND AsOfDate &gt;= '2015-03-03' UNION select TickerName,Source,SeriesType,Category,AsOfDate,SeriesNumValue from TimeSeriesMeta m, TimeSeries t where TickerName IN ('30YrConformingConventional','FN_CMM_30Yr') and m.timeseriesmetaId = t.timeseriesmetaId and SeriesType in ('Rate') and Category='MTG' and Source = 'CELLO' AND AsOfDate &lt;= '2016-02-02' AND AsOfDate &gt;= '2015-03-03' order by TickerName,Source,SeriesType,AsOfDate"/>
  </connection>
  <connection id="7" name="1WeekBusDateQuery" type="1" refreshedVersion="4" savePassword="1" saveData="1">
    <dbPr connection="DSN=Cello SQL Server;UID=report;PWD=gm4SJDw4;APP=Microsoft Office 2010;WSID=CELLO-PC4;DATABASE=Cello" command="select dbo.GetNthBusinessDate('2016-02-02',-5)"/>
  </connection>
  <connection id="8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6-01-26' order by TickerName,Source,SeriesType,AsOfDate"/>
  </connection>
  <connection id="9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02/02/2016' order by AsOfDate"/>
  </connection>
  <connection id="10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6-02-02' order by TickerName,Source,SeriesType,AsOfDate"/>
  </connection>
</connections>
</file>

<file path=xl/sharedStrings.xml><?xml version="1.0" encoding="utf-8"?>
<sst xmlns="http://schemas.openxmlformats.org/spreadsheetml/2006/main" count="15666" uniqueCount="340">
  <si>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</si>
  <si>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</si>
  <si>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</si>
  <si>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</si>
  <si>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</si>
  <si>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</si>
  <si>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</si>
  <si>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</si>
  <si>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</si>
  <si>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</si>
  <si>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</si>
  <si>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</si>
  <si>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</si>
  <si>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</si>
  <si>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</si>
  <si>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</si>
  <si>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</si>
  <si>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</si>
  <si>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</si>
  <si>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</si>
  <si>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</si>
  <si>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</si>
  <si>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</si>
  <si>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</si>
  <si>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</si>
  <si>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</si>
  <si>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</si>
  <si>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</si>
  <si>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</si>
  <si>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</si>
  <si>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</si>
  <si>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</si>
  <si>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</si>
  <si>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</si>
  <si>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</si>
  <si>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</si>
  <si>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</si>
  <si>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</si>
  <si>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</si>
  <si>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</si>
  <si>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</si>
  <si>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</si>
  <si>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</si>
  <si>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</si>
  <si>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</si>
  <si>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</si>
  <si>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</si>
  <si>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</si>
  <si>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</si>
  <si>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</si>
  <si>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</si>
  <si>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</si>
  <si>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</si>
  <si>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</si>
  <si>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</si>
  <si>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</si>
  <si>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</si>
  <si>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</si>
  <si>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</si>
  <si>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</si>
  <si>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</si>
  <si>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</si>
  <si>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</si>
  <si>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</si>
  <si>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</si>
  <si>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</si>
  <si>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</si>
  <si>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</si>
  <si>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</si>
  <si>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</si>
  <si>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</si>
  <si>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</si>
  <si>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</si>
  <si>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</si>
  <si>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</si>
  <si>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</si>
  <si>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</si>
  <si>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</si>
  <si>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</si>
  <si>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</si>
  <si>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</si>
  <si>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</si>
  <si>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</si>
  <si>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</si>
  <si>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Source:</t>
  </si>
  <si>
    <t>Sources: Bank of Amarica; Chase; Quicken; Wells Fargo</t>
  </si>
  <si>
    <t>1 month historic - 1 point rate</t>
  </si>
  <si>
    <t>1 month historic - Spread</t>
  </si>
  <si>
    <t>CELLO</t>
  </si>
  <si>
    <t>Historical Spread Summary</t>
  </si>
  <si>
    <t>30-Yr Conventional Servicing Spread</t>
  </si>
  <si>
    <t>FNMA 30-yr Current Coupon</t>
  </si>
  <si>
    <t>Yes</t>
  </si>
  <si>
    <t>Report Folder</t>
  </si>
  <si>
    <t>S:\IT\Production\Daily Reports\Primary Market\tmp\</t>
  </si>
  <si>
    <t>Originator Mortgage Rates (refinance)</t>
  </si>
  <si>
    <t>2015-07-01</t>
  </si>
  <si>
    <t>2015-07-02</t>
  </si>
  <si>
    <t>2015-06-30</t>
  </si>
  <si>
    <t>2015-07-22</t>
  </si>
  <si>
    <t>2015-07-16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</si>
  <si>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</si>
  <si>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</si>
  <si>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</si>
  <si>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</si>
  <si>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</si>
  <si>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</si>
  <si>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</si>
  <si>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</si>
  <si>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2015-07-17</t>
  </si>
  <si>
    <t>2015-07-20</t>
  </si>
  <si>
    <t>2015-07-21</t>
  </si>
  <si>
    <t>1D SS 
Chg</t>
  </si>
  <si>
    <t>1M SS 
Chg</t>
  </si>
  <si>
    <t>1wk SS 
Chg</t>
  </si>
  <si>
    <t>2-Point 
Rate</t>
  </si>
  <si>
    <t>1-Point 
Rate</t>
  </si>
  <si>
    <t>Total 
Points</t>
  </si>
  <si>
    <t>1 Month</t>
  </si>
  <si>
    <t>1M</t>
  </si>
  <si>
    <t>1M Rate 
Chg</t>
  </si>
  <si>
    <t>1wk Rate 
Chg</t>
  </si>
  <si>
    <t>1D Rate Chg 
(bps)</t>
  </si>
  <si>
    <t>2015-07-30</t>
  </si>
  <si>
    <t>2015-07-24</t>
  </si>
  <si>
    <t>2015-07-31</t>
  </si>
  <si>
    <t>2015-07-23</t>
  </si>
  <si>
    <t>2015-07-27</t>
  </si>
  <si>
    <t>2015-07-28</t>
  </si>
  <si>
    <t>2015-07-29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</si>
  <si>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</si>
  <si>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</si>
  <si>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</si>
  <si>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</si>
  <si>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</si>
  <si>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</si>
  <si>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</si>
  <si>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</si>
  <si>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</si>
  <si>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</si>
  <si>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</si>
  <si>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</si>
  <si>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</si>
  <si>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</si>
  <si>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</si>
  <si>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</si>
  <si>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</si>
  <si>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</si>
  <si>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</si>
  <si>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</si>
  <si>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</si>
  <si>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</si>
  <si>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</si>
  <si>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2015-04-03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</si>
  <si>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</si>
  <si>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</si>
  <si>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</si>
  <si>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</si>
  <si>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</si>
  <si>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</si>
  <si>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</si>
  <si>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</si>
  <si>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</si>
  <si>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</si>
  <si>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</si>
  <si>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</si>
  <si>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</si>
  <si>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</si>
  <si>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</si>
  <si>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</si>
  <si>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</si>
  <si>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</si>
  <si>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</si>
  <si>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</si>
  <si>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</si>
  <si>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</si>
  <si>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</si>
  <si>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</si>
  <si>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</si>
  <si>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</si>
  <si>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</si>
  <si>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</si>
  <si>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</si>
  <si>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</si>
  <si>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</si>
  <si>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</si>
  <si>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</si>
  <si>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</si>
  <si>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</si>
  <si>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</si>
  <si>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</si>
  <si>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</si>
  <si>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</si>
  <si>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</si>
  <si>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</si>
  <si>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</si>
  <si>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</si>
  <si>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</si>
  <si>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</si>
  <si>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</si>
  <si>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</si>
  <si>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</si>
  <si>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</si>
  <si>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</si>
  <si>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</si>
  <si>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</si>
  <si>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</si>
  <si>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</si>
  <si>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</si>
  <si>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</si>
  <si>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</si>
  <si>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</si>
  <si>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</si>
  <si>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</si>
  <si>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Historic Start Date</t>
  </si>
  <si>
    <t>2015-08-03</t>
  </si>
  <si>
    <t>2015-08-26</t>
  </si>
  <si>
    <t>2015-08-20</t>
  </si>
  <si>
    <t>2015-08-27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</si>
  <si>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</si>
  <si>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</si>
  <si>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</si>
  <si>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</si>
  <si>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</si>
  <si>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</si>
  <si>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</si>
  <si>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</si>
  <si>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</si>
  <si>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</si>
  <si>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</si>
  <si>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</si>
  <si>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2015-08-21</t>
  </si>
  <si>
    <t>2015-08-24</t>
  </si>
  <si>
    <t>2015-08-25</t>
  </si>
  <si>
    <t>2015-12-23</t>
  </si>
  <si>
    <t>2015-12-17</t>
  </si>
  <si>
    <t>2015-11-23</t>
  </si>
  <si>
    <t>2015-12-24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</si>
  <si>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</si>
  <si>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</si>
  <si>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</si>
  <si>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</si>
  <si>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</si>
  <si>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</si>
  <si>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</si>
  <si>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</si>
  <si>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</si>
  <si>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</si>
  <si>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</si>
  <si>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</si>
  <si>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</si>
  <si>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</si>
  <si>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</si>
  <si>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</si>
  <si>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</si>
  <si>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</si>
  <si>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</si>
  <si>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</si>
  <si>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</si>
  <si>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</si>
  <si>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</si>
  <si>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</si>
  <si>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</si>
  <si>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</si>
  <si>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</si>
  <si>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</si>
  <si>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</si>
  <si>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</si>
  <si>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</si>
  <si>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</si>
  <si>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</si>
  <si>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</si>
  <si>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</si>
  <si>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</si>
  <si>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</si>
  <si>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</si>
  <si>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</si>
  <si>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</si>
  <si>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</si>
  <si>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</si>
  <si>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</si>
  <si>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</si>
  <si>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</si>
  <si>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</si>
  <si>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</si>
  <si>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</si>
  <si>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</si>
  <si>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</si>
  <si>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</si>
  <si>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</si>
  <si>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</si>
  <si>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</si>
  <si>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</si>
  <si>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</si>
  <si>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</si>
  <si>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</si>
  <si>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</si>
  <si>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</si>
  <si>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</si>
  <si>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</si>
  <si>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</si>
  <si>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</si>
  <si>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</si>
  <si>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</si>
  <si>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</si>
  <si>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</si>
  <si>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</si>
  <si>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</si>
  <si>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</si>
  <si>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</si>
  <si>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</si>
  <si>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</si>
  <si>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2015-12-18</t>
  </si>
  <si>
    <t>2015-12-21</t>
  </si>
  <si>
    <t>2015-12-22</t>
  </si>
  <si>
    <t>2016-02-01</t>
  </si>
  <si>
    <t>2016-01-26</t>
  </si>
  <si>
    <t>2015-12-30</t>
  </si>
  <si>
    <t>2016-02-02</t>
  </si>
  <si>
    <t>2015-12-28</t>
  </si>
  <si>
    <t>2015-12-29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</si>
  <si>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</si>
  <si>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</si>
  <si>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</si>
  <si>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</si>
  <si>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</si>
  <si>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</si>
  <si>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</si>
  <si>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</si>
  <si>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</si>
  <si>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</si>
  <si>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</si>
  <si>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</si>
  <si>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</si>
  <si>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</si>
  <si>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</si>
  <si>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</si>
  <si>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2016-01-27</t>
  </si>
  <si>
    <t>2016-01-28</t>
  </si>
  <si>
    <t>2016-01-29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</si>
</sst>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  <numFmt numFmtId="199" formatCode="0.0000000000000000%"/>
  </numFmts>
  <fonts count="14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39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" fillId="0" borderId="43" xfId="0" applyFont="1" applyBorder="1" applyAlignment="1">
      <alignment horizontal="right"/>
    </xf>
    <xf numFmtId="0" fontId="140" fillId="0" borderId="0" xfId="0" applyFont="1"/>
    <xf numFmtId="0" fontId="141" fillId="0" borderId="0" xfId="528" applyFont="1"/>
    <xf numFmtId="0" fontId="140" fillId="0" borderId="0" xfId="0" applyFont="1" applyAlignment="1">
      <alignment horizontal="right"/>
    </xf>
    <xf numFmtId="0" fontId="141" fillId="0" borderId="0" xfId="528" applyFont="1" applyAlignment="1">
      <alignment vertical="top"/>
    </xf>
    <xf numFmtId="0" fontId="142" fillId="0" borderId="0" xfId="0" applyFont="1"/>
    <xf numFmtId="199" fontId="14" fillId="0" borderId="0" xfId="0" applyNumberFormat="1" applyFont="1"/>
    <xf numFmtId="0" fontId="143" fillId="6" borderId="0" xfId="366" applyFont="1"/>
    <xf numFmtId="0" fontId="7" fillId="7" borderId="14" xfId="5" applyFont="1" applyBorder="1" applyAlignment="1">
      <alignment horizontal="left"/>
    </xf>
    <xf numFmtId="165" fontId="128" fillId="0" borderId="45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5" fontId="5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4" fillId="0" borderId="0" xfId="1" applyNumberFormat="1" applyFont="1" applyBorder="1" applyAlignment="1">
      <alignment horizontal="center"/>
    </xf>
    <xf numFmtId="165" fontId="14" fillId="0" borderId="50" xfId="1" applyNumberFormat="1" applyFont="1" applyBorder="1" applyAlignment="1">
      <alignment horizontal="center"/>
    </xf>
    <xf numFmtId="165" fontId="129" fillId="0" borderId="41" xfId="1" applyNumberFormat="1" applyFont="1" applyFill="1" applyBorder="1" applyAlignment="1">
      <alignment horizontal="center"/>
    </xf>
    <xf numFmtId="0" fontId="144" fillId="6" borderId="0" xfId="366" applyFont="1"/>
    <xf numFmtId="14" fontId="144" fillId="6" borderId="0" xfId="366" applyNumberFormat="1" applyFont="1"/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left" vertical="center" wrapText="1"/>
    </xf>
    <xf numFmtId="0" fontId="14" fillId="12" borderId="50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 wrapText="1"/>
    </xf>
    <xf numFmtId="0" fontId="14" fillId="12" borderId="51" xfId="0" applyFont="1" applyFill="1" applyBorder="1" applyAlignment="1">
      <alignment horizontal="center" vertical="center" wrapText="1"/>
    </xf>
    <xf numFmtId="0" fontId="145" fillId="6" borderId="0" xfId="366" applyFont="1"/>
    <xf numFmtId="14" fontId="6" fillId="6" borderId="0" xfId="366" applyNumberFormat="1"/>
    <xf numFmtId="14" fontId="145" fillId="6" borderId="0" xfId="366" applyNumberFormat="1" applyFont="1"/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 vertical="center" wrapText="1"/>
    </xf>
    <xf numFmtId="0" fontId="14" fillId="12" borderId="50" xfId="0" applyFont="1" applyFill="1" applyBorder="1" applyAlignment="1">
      <alignment horizontal="center" vertical="center" wrapText="1"/>
    </xf>
    <xf numFmtId="165" fontId="5" fillId="0" borderId="43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14" fillId="12" borderId="51" xfId="0" applyFont="1" applyFill="1" applyBorder="1" applyAlignment="1">
      <alignment horizontal="center" vertical="center" wrapText="1"/>
    </xf>
    <xf numFmtId="165" fontId="5" fillId="0" borderId="39" xfId="1" applyNumberFormat="1" applyFont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64">
    <dxf>
      <numFmt numFmtId="198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alignment horizontal="center" readingOrder="0"/>
    </dxf>
    <dxf>
      <numFmt numFmtId="198" formatCode="m/d;@"/>
    </dxf>
    <dxf>
      <numFmt numFmtId="198" formatCode="m/d;@"/>
    </dxf>
    <dxf>
      <alignment horizontal="center" readingOrder="0"/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63"/>
      <tableStyleElement type="headerRow" dxfId="62"/>
      <tableStyleElement type="firstColumn" dxfId="61"/>
      <tableStyleElement type="firstSubtotalRow" dxfId="60"/>
    </tableStyle>
  </tableStyles>
  <colors>
    <mruColors>
      <color rgb="FFC6642E"/>
      <color rgb="FF1B7A76"/>
      <color rgb="FFAD275C"/>
      <color rgb="FF74B629"/>
      <color rgb="FF2E398A"/>
      <color rgb="FFA4E838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1-Point</a:t>
            </a:r>
            <a:r>
              <a:rPr lang="en-US" baseline="0"/>
              <a:t> Rate - </a:t>
            </a:r>
            <a:r>
              <a:rPr lang="en-US"/>
              <a:t>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spPr>
          <a:ln w="19050">
            <a:solidFill>
              <a:srgbClr val="2E398A"/>
            </a:solidFill>
          </a:ln>
        </c:spPr>
        <c:marker>
          <c:symbol val="circle"/>
          <c:size val="2"/>
          <c:spPr>
            <a:solidFill>
              <a:srgbClr val="2E398A"/>
            </a:solidFill>
            <a:ln w="19050">
              <a:solidFill>
                <a:srgbClr val="2E398A"/>
              </a:solidFill>
            </a:ln>
          </c:spPr>
        </c:marker>
      </c:pivotFmt>
      <c:pivotFmt>
        <c:idx val="16"/>
        <c:spPr>
          <a:ln w="19050">
            <a:solidFill>
              <a:srgbClr val="AD275C"/>
            </a:solidFill>
            <a:prstDash val="dashDot"/>
          </a:ln>
        </c:spPr>
        <c:marker>
          <c:symbol val="circle"/>
          <c:size val="2"/>
          <c:spPr>
            <a:solidFill>
              <a:srgbClr val="AD275C"/>
            </a:solidFill>
          </c:spPr>
        </c:marker>
      </c:pivotFmt>
      <c:pivotFmt>
        <c:idx val="17"/>
        <c:spPr>
          <a:ln w="19050">
            <a:solidFill>
              <a:srgbClr val="1B7A76"/>
            </a:solidFill>
            <a:prstDash val="lgDash"/>
          </a:ln>
        </c:spPr>
        <c:marker>
          <c:symbol val="circle"/>
          <c:size val="2"/>
          <c:spPr>
            <a:solidFill>
              <a:srgbClr val="1B7A76"/>
            </a:solidFill>
            <a:ln>
              <a:solidFill>
                <a:srgbClr val="1B7A76"/>
              </a:solidFill>
            </a:ln>
          </c:spPr>
        </c:marker>
      </c:pivotFmt>
      <c:pivotFmt>
        <c:idx val="18"/>
        <c:spPr>
          <a:ln w="19050">
            <a:solidFill>
              <a:srgbClr val="C6642E"/>
            </a:solidFill>
            <a:prstDash val="sysDash"/>
          </a:ln>
        </c:spPr>
        <c:marker>
          <c:symbol val="circle"/>
          <c:size val="2"/>
          <c:spPr>
            <a:solidFill>
              <a:srgbClr val="C6642E"/>
            </a:solidFill>
            <a:ln>
              <a:solidFill>
                <a:srgbClr val="C6642E"/>
              </a:solidFill>
            </a:ln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2"/>
            <c:spPr>
              <a:solidFill>
                <a:srgbClr val="2E398A"/>
              </a:solidFill>
              <a:ln w="19050">
                <a:solidFill>
                  <a:srgbClr val="2E398A"/>
                </a:solidFill>
              </a:ln>
            </c:spPr>
          </c:marker>
          <c:cat>
            <c:strRef>
              <c:f>'Rates Summary'!$A$80:$A$310</c:f>
              <c:strCache>
                <c:ptCount val="231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</c:strCache>
            </c:strRef>
          </c:cat>
          <c:val>
            <c:numRef>
              <c:f>'Rates Summary'!$B$80:$B$310</c:f>
              <c:numCache>
                <c:formatCode>General</c:formatCode>
                <c:ptCount val="231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  <c:pt idx="6">
                  <c:v>4.183912785416835</c:v>
                </c:pt>
                <c:pt idx="7">
                  <c:v>4.1580287281176718</c:v>
                </c:pt>
                <c:pt idx="8">
                  <c:v>4.1711206525116253</c:v>
                </c:pt>
                <c:pt idx="9">
                  <c:v>4.1349192739455276</c:v>
                </c:pt>
                <c:pt idx="10">
                  <c:v>4.1195438104816251</c:v>
                </c:pt>
                <c:pt idx="11">
                  <c:v>4.0625796613669598</c:v>
                </c:pt>
                <c:pt idx="12">
                  <c:v>4.0272197213430534</c:v>
                </c:pt>
                <c:pt idx="13">
                  <c:v>4.0522074267600177</c:v>
                </c:pt>
                <c:pt idx="14">
                  <c:v>4.0183878599642231</c:v>
                </c:pt>
                <c:pt idx="15">
                  <c:v>3.9852298964584785</c:v>
                </c:pt>
                <c:pt idx="16">
                  <c:v>4.0086704188015165</c:v>
                </c:pt>
                <c:pt idx="17">
                  <c:v>4.133340061547397</c:v>
                </c:pt>
                <c:pt idx="18">
                  <c:v>4.1023271797597225</c:v>
                </c:pt>
                <c:pt idx="19">
                  <c:v>4.0736179989078529</c:v>
                </c:pt>
                <c:pt idx="20">
                  <c:v>4.0714417710088808</c:v>
                </c:pt>
                <c:pt idx="21">
                  <c:v>4.0407390738732358</c:v>
                </c:pt>
                <c:pt idx="22">
                  <c:v>4.0497476246961881</c:v>
                </c:pt>
                <c:pt idx="23">
                  <c:v>4.0184302716039797</c:v>
                </c:pt>
                <c:pt idx="24">
                  <c:v>4.0686879947021506</c:v>
                </c:pt>
                <c:pt idx="25">
                  <c:v>4.0832773999934098</c:v>
                </c:pt>
                <c:pt idx="26">
                  <c:v>4.0487453173162224</c:v>
                </c:pt>
                <c:pt idx="27">
                  <c:v>4.081627655506578</c:v>
                </c:pt>
                <c:pt idx="28">
                  <c:v>4.0659316584268881</c:v>
                </c:pt>
                <c:pt idx="29">
                  <c:v>4.0555237007239207</c:v>
                </c:pt>
                <c:pt idx="30">
                  <c:v>4.0368826735599121</c:v>
                </c:pt>
                <c:pt idx="31">
                  <c:v>4.0612395217521149</c:v>
                </c:pt>
                <c:pt idx="32">
                  <c:v>4.0575599907953466</c:v>
                </c:pt>
                <c:pt idx="33">
                  <c:v>4.0225179325894045</c:v>
                </c:pt>
                <c:pt idx="34">
                  <c:v>4.047073769815273</c:v>
                </c:pt>
                <c:pt idx="35">
                  <c:v>4.0415040358882131</c:v>
                </c:pt>
                <c:pt idx="36">
                  <c:v>4.0709250025615749</c:v>
                </c:pt>
                <c:pt idx="37">
                  <c:v>4.0590200464742132</c:v>
                </c:pt>
                <c:pt idx="38">
                  <c:v>4.0582853232102964</c:v>
                </c:pt>
                <c:pt idx="39">
                  <c:v>4.0433720320738056</c:v>
                </c:pt>
                <c:pt idx="40">
                  <c:v>4.095665958992865</c:v>
                </c:pt>
                <c:pt idx="41">
                  <c:v>4.1518717849292841</c:v>
                </c:pt>
                <c:pt idx="42">
                  <c:v>4.1403416826452109</c:v>
                </c:pt>
                <c:pt idx="43">
                  <c:v>4.1440136116171136</c:v>
                </c:pt>
                <c:pt idx="44">
                  <c:v>4.1799628612746957</c:v>
                </c:pt>
                <c:pt idx="45">
                  <c:v>4.2347543125726199</c:v>
                </c:pt>
                <c:pt idx="46">
                  <c:v>4.2681737145446403</c:v>
                </c:pt>
                <c:pt idx="47">
                  <c:v>4.2810922266017739</c:v>
                </c:pt>
                <c:pt idx="48">
                  <c:v>4.1649795879680038</c:v>
                </c:pt>
                <c:pt idx="49">
                  <c:v>4.2379897525498276</c:v>
                </c:pt>
                <c:pt idx="50">
                  <c:v>4.2264521189694744</c:v>
                </c:pt>
                <c:pt idx="51">
                  <c:v>4.2344098452321184</c:v>
                </c:pt>
                <c:pt idx="52">
                  <c:v>4.2346857860149951</c:v>
                </c:pt>
                <c:pt idx="53">
                  <c:v>4.2323574962017467</c:v>
                </c:pt>
                <c:pt idx="54">
                  <c:v>4.2147472340123695</c:v>
                </c:pt>
                <c:pt idx="55">
                  <c:v>4.3068583158312457</c:v>
                </c:pt>
                <c:pt idx="56">
                  <c:v>4.295933915293987</c:v>
                </c:pt>
                <c:pt idx="57">
                  <c:v>4.2663749732293477</c:v>
                </c:pt>
                <c:pt idx="58">
                  <c:v>4.294547379243582</c:v>
                </c:pt>
                <c:pt idx="59">
                  <c:v>4.2920571022905696</c:v>
                </c:pt>
                <c:pt idx="60">
                  <c:v>4.2379068843211822</c:v>
                </c:pt>
                <c:pt idx="61">
                  <c:v>4.2233209218479928</c:v>
                </c:pt>
                <c:pt idx="62">
                  <c:v>4.172073309877991</c:v>
                </c:pt>
                <c:pt idx="63">
                  <c:v>4.2772299202203019</c:v>
                </c:pt>
                <c:pt idx="64">
                  <c:v>4.2772299202203019</c:v>
                </c:pt>
                <c:pt idx="65">
                  <c:v>4.3923720218044648</c:v>
                </c:pt>
                <c:pt idx="66">
                  <c:v>4.4021158998488241</c:v>
                </c:pt>
                <c:pt idx="67">
                  <c:v>4.4471212470221824</c:v>
                </c:pt>
                <c:pt idx="68">
                  <c:v>4.4217882161894426</c:v>
                </c:pt>
                <c:pt idx="69">
                  <c:v>4.4633281546176118</c:v>
                </c:pt>
                <c:pt idx="70">
                  <c:v>4.5405932501440986</c:v>
                </c:pt>
                <c:pt idx="71">
                  <c:v>4.4488627715372981</c:v>
                </c:pt>
                <c:pt idx="72">
                  <c:v>4.4439837591100426</c:v>
                </c:pt>
                <c:pt idx="73">
                  <c:v>4.4098494468306768</c:v>
                </c:pt>
                <c:pt idx="74">
                  <c:v>4.4083993376568298</c:v>
                </c:pt>
                <c:pt idx="75">
                  <c:v>4.4105641199278889</c:v>
                </c:pt>
                <c:pt idx="76">
                  <c:v>4.4094136727874513</c:v>
                </c:pt>
                <c:pt idx="77">
                  <c:v>4.3215201199074498</c:v>
                </c:pt>
                <c:pt idx="78">
                  <c:v>4.4009763614890982</c:v>
                </c:pt>
                <c:pt idx="79">
                  <c:v>4.4392183160681951</c:v>
                </c:pt>
                <c:pt idx="80">
                  <c:v>4.4453796157833887</c:v>
                </c:pt>
                <c:pt idx="81">
                  <c:v>4.4482669586560188</c:v>
                </c:pt>
                <c:pt idx="82">
                  <c:v>4.4711318074263238</c:v>
                </c:pt>
                <c:pt idx="83">
                  <c:v>4.4665872716104538</c:v>
                </c:pt>
                <c:pt idx="84">
                  <c:v>4.4146762877484873</c:v>
                </c:pt>
                <c:pt idx="85">
                  <c:v>4.5207040024477276</c:v>
                </c:pt>
                <c:pt idx="86">
                  <c:v>4.464829651284651</c:v>
                </c:pt>
                <c:pt idx="87">
                  <c:v>4.4440509154403669</c:v>
                </c:pt>
                <c:pt idx="88">
                  <c:v>4.3983780593055251</c:v>
                </c:pt>
                <c:pt idx="89">
                  <c:v>4.425564979941222</c:v>
                </c:pt>
                <c:pt idx="90">
                  <c:v>4.4311762126347389</c:v>
                </c:pt>
                <c:pt idx="91">
                  <c:v>4.5092366228623613</c:v>
                </c:pt>
                <c:pt idx="92">
                  <c:v>4.4900516049545001</c:v>
                </c:pt>
                <c:pt idx="93">
                  <c:v>4.4632421539572196</c:v>
                </c:pt>
                <c:pt idx="94">
                  <c:v>4.4514544365653475</c:v>
                </c:pt>
                <c:pt idx="95">
                  <c:v>4.4290275255907448</c:v>
                </c:pt>
                <c:pt idx="96">
                  <c:v>4.3810187767133026</c:v>
                </c:pt>
                <c:pt idx="97">
                  <c:v>4.4078248196462049</c:v>
                </c:pt>
                <c:pt idx="98">
                  <c:v>4.4364625323187852</c:v>
                </c:pt>
                <c:pt idx="99">
                  <c:v>4.426843113943276</c:v>
                </c:pt>
                <c:pt idx="100">
                  <c:v>4.4426873504270654</c:v>
                </c:pt>
                <c:pt idx="101">
                  <c:v>4.3703983083468625</c:v>
                </c:pt>
                <c:pt idx="102">
                  <c:v>4.3673853128344291</c:v>
                </c:pt>
                <c:pt idx="103">
                  <c:v>4.3769220970021951</c:v>
                </c:pt>
                <c:pt idx="104">
                  <c:v>4.3942897588062166</c:v>
                </c:pt>
                <c:pt idx="105">
                  <c:v>4.4087078229261731</c:v>
                </c:pt>
                <c:pt idx="106">
                  <c:v>4.2901196607965808</c:v>
                </c:pt>
                <c:pt idx="107">
                  <c:v>4.2743799866887233</c:v>
                </c:pt>
                <c:pt idx="108">
                  <c:v>4.3009666321134858</c:v>
                </c:pt>
                <c:pt idx="109">
                  <c:v>4.398638713788694</c:v>
                </c:pt>
                <c:pt idx="110">
                  <c:v>4.3781885102162965</c:v>
                </c:pt>
                <c:pt idx="111">
                  <c:v>4.3054132350660215</c:v>
                </c:pt>
                <c:pt idx="112">
                  <c:v>4.328119640526455</c:v>
                </c:pt>
                <c:pt idx="113">
                  <c:v>4.256251670682226</c:v>
                </c:pt>
                <c:pt idx="114">
                  <c:v>4.2798698058308915</c:v>
                </c:pt>
                <c:pt idx="115">
                  <c:v>4.2615155143787584</c:v>
                </c:pt>
                <c:pt idx="116">
                  <c:v>4.3093959807899367</c:v>
                </c:pt>
                <c:pt idx="117">
                  <c:v>4.2927085290160356</c:v>
                </c:pt>
                <c:pt idx="118">
                  <c:v>4.3383116630778407</c:v>
                </c:pt>
                <c:pt idx="119">
                  <c:v>4.2741047638281264</c:v>
                </c:pt>
                <c:pt idx="120">
                  <c:v>4.2783479721846032</c:v>
                </c:pt>
                <c:pt idx="121">
                  <c:v>4.2585314708060427</c:v>
                </c:pt>
                <c:pt idx="122">
                  <c:v>4.1362210691810724</c:v>
                </c:pt>
                <c:pt idx="123">
                  <c:v>4.2843012936801426</c:v>
                </c:pt>
                <c:pt idx="124">
                  <c:v>4.2820818935349738</c:v>
                </c:pt>
                <c:pt idx="125">
                  <c:v>4.2801658704684504</c:v>
                </c:pt>
                <c:pt idx="126">
                  <c:v>4.2489956925125085</c:v>
                </c:pt>
                <c:pt idx="127">
                  <c:v>4.2743108149537381</c:v>
                </c:pt>
                <c:pt idx="128">
                  <c:v>4.2759151287191974</c:v>
                </c:pt>
                <c:pt idx="129">
                  <c:v>4.2693599909218944</c:v>
                </c:pt>
                <c:pt idx="130">
                  <c:v>4.2597906227196534</c:v>
                </c:pt>
                <c:pt idx="131">
                  <c:v>4.2247089731681386</c:v>
                </c:pt>
                <c:pt idx="132">
                  <c:v>4.2607544043214585</c:v>
                </c:pt>
                <c:pt idx="133">
                  <c:v>4.2828998142079913</c:v>
                </c:pt>
                <c:pt idx="134">
                  <c:v>4.2467122577530523</c:v>
                </c:pt>
                <c:pt idx="135">
                  <c:v>4.2248646767380205</c:v>
                </c:pt>
                <c:pt idx="136">
                  <c:v>4.2286816979480868</c:v>
                </c:pt>
                <c:pt idx="137">
                  <c:v>4.2753252212751045</c:v>
                </c:pt>
                <c:pt idx="138">
                  <c:v>4.3079955529072969</c:v>
                </c:pt>
                <c:pt idx="139">
                  <c:v>4.2555514882447678</c:v>
                </c:pt>
                <c:pt idx="140">
                  <c:v>4.1796506024391906</c:v>
                </c:pt>
                <c:pt idx="141">
                  <c:v>4.1859939582552013</c:v>
                </c:pt>
                <c:pt idx="142">
                  <c:v>4.1998208363295628</c:v>
                </c:pt>
                <c:pt idx="143">
                  <c:v>4.1822142987835784</c:v>
                </c:pt>
                <c:pt idx="144">
                  <c:v>4.1812861602079927</c:v>
                </c:pt>
                <c:pt idx="145">
                  <c:v>4.2380105386356348</c:v>
                </c:pt>
                <c:pt idx="146">
                  <c:v>4.2563048986174703</c:v>
                </c:pt>
                <c:pt idx="147">
                  <c:v>4.1820212108377133</c:v>
                </c:pt>
                <c:pt idx="148">
                  <c:v>4.1625060290770577</c:v>
                </c:pt>
                <c:pt idx="149">
                  <c:v>4.1392619751477389</c:v>
                </c:pt>
                <c:pt idx="150">
                  <c:v>4.0649189932097878</c:v>
                </c:pt>
                <c:pt idx="151">
                  <c:v>4.1318788734843528</c:v>
                </c:pt>
                <c:pt idx="152">
                  <c:v>4.1669826827441652</c:v>
                </c:pt>
                <c:pt idx="153">
                  <c:v>4.1669874279537762</c:v>
                </c:pt>
                <c:pt idx="154">
                  <c:v>4.1606993820056015</c:v>
                </c:pt>
                <c:pt idx="155">
                  <c:v>4.1783542218482514</c:v>
                </c:pt>
                <c:pt idx="156">
                  <c:v>4.1776026769725565</c:v>
                </c:pt>
                <c:pt idx="157">
                  <c:v>4.1238187866684619</c:v>
                </c:pt>
                <c:pt idx="158">
                  <c:v>4.1041106316567983</c:v>
                </c:pt>
                <c:pt idx="159">
                  <c:v>4.1282390424577491</c:v>
                </c:pt>
                <c:pt idx="160">
                  <c:v>4.1495985584263186</c:v>
                </c:pt>
                <c:pt idx="161">
                  <c:v>4.1743826382394378</c:v>
                </c:pt>
                <c:pt idx="162">
                  <c:v>4.1459211077381877</c:v>
                </c:pt>
                <c:pt idx="163">
                  <c:v>4.1385342073194886</c:v>
                </c:pt>
                <c:pt idx="164">
                  <c:v>4.1385342073194886</c:v>
                </c:pt>
                <c:pt idx="165">
                  <c:v>4.1510417760607154</c:v>
                </c:pt>
                <c:pt idx="166">
                  <c:v>4.1062481929392582</c:v>
                </c:pt>
                <c:pt idx="167">
                  <c:v>4.1364060307916874</c:v>
                </c:pt>
                <c:pt idx="168">
                  <c:v>4.1923855028192927</c:v>
                </c:pt>
                <c:pt idx="169">
                  <c:v>4.2270213818520324</c:v>
                </c:pt>
                <c:pt idx="170">
                  <c:v>4.1985621936498552</c:v>
                </c:pt>
                <c:pt idx="171">
                  <c:v>4.2123473678777321</c:v>
                </c:pt>
                <c:pt idx="172">
                  <c:v>4.2346419297223825</c:v>
                </c:pt>
                <c:pt idx="173">
                  <c:v>4.285094245651238</c:v>
                </c:pt>
                <c:pt idx="174">
                  <c:v>4.329991724476109</c:v>
                </c:pt>
                <c:pt idx="175">
                  <c:v>4.3562584611930539</c:v>
                </c:pt>
                <c:pt idx="176">
                  <c:v>4.3751039547622605</c:v>
                </c:pt>
                <c:pt idx="177">
                  <c:v>4.3533627128040342</c:v>
                </c:pt>
                <c:pt idx="178">
                  <c:v>4.3441636403463884</c:v>
                </c:pt>
                <c:pt idx="179">
                  <c:v>4.3055819043234527</c:v>
                </c:pt>
                <c:pt idx="180">
                  <c:v>4.3488950768631245</c:v>
                </c:pt>
                <c:pt idx="181">
                  <c:v>4.3213983472497244</c:v>
                </c:pt>
                <c:pt idx="182">
                  <c:v>4.2843052534227679</c:v>
                </c:pt>
                <c:pt idx="183">
                  <c:v>4.3239170564645804</c:v>
                </c:pt>
                <c:pt idx="184">
                  <c:v>4.3281334460035037</c:v>
                </c:pt>
                <c:pt idx="185">
                  <c:v>4.2851738715603451</c:v>
                </c:pt>
                <c:pt idx="186">
                  <c:v>4.3028322612441263</c:v>
                </c:pt>
                <c:pt idx="187">
                  <c:v>4.3417083972590067</c:v>
                </c:pt>
                <c:pt idx="188">
                  <c:v>4.3344780097436102</c:v>
                </c:pt>
                <c:pt idx="189">
                  <c:v>4.2667796172403714</c:v>
                </c:pt>
                <c:pt idx="190">
                  <c:v>4.2677991674350624</c:v>
                </c:pt>
                <c:pt idx="191">
                  <c:v>4.38017479925937</c:v>
                </c:pt>
                <c:pt idx="192">
                  <c:v>4.3489654663193029</c:v>
                </c:pt>
                <c:pt idx="193">
                  <c:v>4.3599853464153728</c:v>
                </c:pt>
                <c:pt idx="194">
                  <c:v>4.3056741522365538</c:v>
                </c:pt>
                <c:pt idx="195">
                  <c:v>4.3406635094447017</c:v>
                </c:pt>
                <c:pt idx="196">
                  <c:v>4.3010601394721419</c:v>
                </c:pt>
                <c:pt idx="197">
                  <c:v>4.2924844985640558</c:v>
                </c:pt>
                <c:pt idx="198">
                  <c:v>4.3294657649727935</c:v>
                </c:pt>
                <c:pt idx="199">
                  <c:v>4.422578091400803</c:v>
                </c:pt>
                <c:pt idx="200">
                  <c:v>4.4110563488184518</c:v>
                </c:pt>
                <c:pt idx="201">
                  <c:v>4.3449709393154823</c:v>
                </c:pt>
                <c:pt idx="202">
                  <c:v>4.3272893529022571</c:v>
                </c:pt>
                <c:pt idx="203">
                  <c:v>4.3091130026065949</c:v>
                </c:pt>
                <c:pt idx="204">
                  <c:v>4.3432456541281885</c:v>
                </c:pt>
                <c:pt idx="205">
                  <c:v>4.4059671900560815</c:v>
                </c:pt>
                <c:pt idx="206">
                  <c:v>4.4133668437379638</c:v>
                </c:pt>
                <c:pt idx="207">
                  <c:v>4.4009593596309298</c:v>
                </c:pt>
                <c:pt idx="208">
                  <c:v>4.3965952938816981</c:v>
                </c:pt>
                <c:pt idx="209">
                  <c:v>4.380525451363888</c:v>
                </c:pt>
                <c:pt idx="210">
                  <c:v>4.3210059259788007</c:v>
                </c:pt>
                <c:pt idx="211">
                  <c:v>4.3455378353786811</c:v>
                </c:pt>
                <c:pt idx="212">
                  <c:v>4.3041739955411167</c:v>
                </c:pt>
                <c:pt idx="213">
                  <c:v>4.3173267663028305</c:v>
                </c:pt>
                <c:pt idx="214">
                  <c:v>4.3217185985309348</c:v>
                </c:pt>
                <c:pt idx="215">
                  <c:v>4.3099775325285856</c:v>
                </c:pt>
                <c:pt idx="216">
                  <c:v>4.232728245736336</c:v>
                </c:pt>
                <c:pt idx="217">
                  <c:v>4.2561914116256432</c:v>
                </c:pt>
                <c:pt idx="218">
                  <c:v>4.2423825574580913</c:v>
                </c:pt>
                <c:pt idx="219">
                  <c:v>4.1692908446472829</c:v>
                </c:pt>
                <c:pt idx="220">
                  <c:v>4.1873076907920197</c:v>
                </c:pt>
                <c:pt idx="221">
                  <c:v>4.1931919743411967</c:v>
                </c:pt>
                <c:pt idx="222">
                  <c:v>4.1773392517801362</c:v>
                </c:pt>
                <c:pt idx="223">
                  <c:v>4.1912504516498013</c:v>
                </c:pt>
                <c:pt idx="224">
                  <c:v>4.2156916471790833</c:v>
                </c:pt>
                <c:pt idx="225">
                  <c:v>4.2019720060395578</c:v>
                </c:pt>
                <c:pt idx="226">
                  <c:v>4.2019720060395578</c:v>
                </c:pt>
                <c:pt idx="227">
                  <c:v>4.1471971909725784</c:v>
                </c:pt>
                <c:pt idx="228">
                  <c:v>4.0969334301691225</c:v>
                </c:pt>
                <c:pt idx="229">
                  <c:v>4.1072795194525717</c:v>
                </c:pt>
                <c:pt idx="230">
                  <c:v>4.1012205308195053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 w="19050">
              <a:solidFill>
                <a:srgbClr val="AD275C"/>
              </a:solidFill>
              <a:prstDash val="dashDot"/>
            </a:ln>
          </c:spPr>
          <c:marker>
            <c:symbol val="circle"/>
            <c:size val="2"/>
            <c:spPr>
              <a:solidFill>
                <a:srgbClr val="AD275C"/>
              </a:solidFill>
            </c:spPr>
          </c:marker>
          <c:cat>
            <c:strRef>
              <c:f>'Rates Summary'!$A$80:$A$310</c:f>
              <c:strCache>
                <c:ptCount val="231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</c:strCache>
            </c:strRef>
          </c:cat>
          <c:val>
            <c:numRef>
              <c:f>'Rates Summary'!$C$80:$C$310</c:f>
              <c:numCache>
                <c:formatCode>General</c:formatCode>
                <c:ptCount val="231"/>
                <c:pt idx="0">
                  <c:v>4.0036250000000004</c:v>
                </c:pt>
                <c:pt idx="1">
                  <c:v>4.0036250000000004</c:v>
                </c:pt>
                <c:pt idx="2">
                  <c:v>3.9717500000000001</c:v>
                </c:pt>
                <c:pt idx="3">
                  <c:v>4.0676249999999996</c:v>
                </c:pt>
                <c:pt idx="4">
                  <c:v>4.0353750000000002</c:v>
                </c:pt>
                <c:pt idx="5">
                  <c:v>4.0353750000000002</c:v>
                </c:pt>
                <c:pt idx="6">
                  <c:v>4.0036250000000004</c:v>
                </c:pt>
                <c:pt idx="7">
                  <c:v>3.9717500000000001</c:v>
                </c:pt>
                <c:pt idx="8">
                  <c:v>4.0036250000000004</c:v>
                </c:pt>
                <c:pt idx="9">
                  <c:v>3.9717500000000001</c:v>
                </c:pt>
                <c:pt idx="10">
                  <c:v>3.9717500000000001</c:v>
                </c:pt>
                <c:pt idx="11">
                  <c:v>3.8759999999999994</c:v>
                </c:pt>
                <c:pt idx="12">
                  <c:v>3.8441249999999996</c:v>
                </c:pt>
                <c:pt idx="13">
                  <c:v>3.9077500000000001</c:v>
                </c:pt>
                <c:pt idx="14">
                  <c:v>3.8759999999999994</c:v>
                </c:pt>
                <c:pt idx="15">
                  <c:v>3.8441249999999996</c:v>
                </c:pt>
                <c:pt idx="16">
                  <c:v>3.8441249999999996</c:v>
                </c:pt>
                <c:pt idx="17">
                  <c:v>3.9077500000000001</c:v>
                </c:pt>
                <c:pt idx="18">
                  <c:v>3.9077500000000001</c:v>
                </c:pt>
                <c:pt idx="19">
                  <c:v>3.9077500000000001</c:v>
                </c:pt>
                <c:pt idx="20">
                  <c:v>3.8759999999999994</c:v>
                </c:pt>
                <c:pt idx="21">
                  <c:v>3.8123749999999998</c:v>
                </c:pt>
                <c:pt idx="22">
                  <c:v>3.7805</c:v>
                </c:pt>
                <c:pt idx="23">
                  <c:v>3.7805</c:v>
                </c:pt>
                <c:pt idx="24">
                  <c:v>3.964</c:v>
                </c:pt>
                <c:pt idx="25">
                  <c:v>3.964</c:v>
                </c:pt>
                <c:pt idx="26">
                  <c:v>4.0271249999999998</c:v>
                </c:pt>
                <c:pt idx="27">
                  <c:v>3.9634999999999998</c:v>
                </c:pt>
                <c:pt idx="28">
                  <c:v>4.0271249999999998</c:v>
                </c:pt>
                <c:pt idx="29">
                  <c:v>4.0271249999999998</c:v>
                </c:pt>
                <c:pt idx="30">
                  <c:v>3.8995000000000002</c:v>
                </c:pt>
                <c:pt idx="31">
                  <c:v>3.8995000000000002</c:v>
                </c:pt>
                <c:pt idx="32">
                  <c:v>3.9634999999999998</c:v>
                </c:pt>
                <c:pt idx="33">
                  <c:v>3.9634999999999998</c:v>
                </c:pt>
                <c:pt idx="34">
                  <c:v>3.8995000000000002</c:v>
                </c:pt>
                <c:pt idx="35">
                  <c:v>3.9634999999999998</c:v>
                </c:pt>
                <c:pt idx="36">
                  <c:v>4.0271249999999998</c:v>
                </c:pt>
                <c:pt idx="37">
                  <c:v>4.0271249999999998</c:v>
                </c:pt>
                <c:pt idx="38">
                  <c:v>3.9953749999999997</c:v>
                </c:pt>
                <c:pt idx="39">
                  <c:v>4.0271249999999998</c:v>
                </c:pt>
                <c:pt idx="40">
                  <c:v>3.9321250000000001</c:v>
                </c:pt>
                <c:pt idx="41">
                  <c:v>4.0274999999999999</c:v>
                </c:pt>
                <c:pt idx="42">
                  <c:v>3.9957500000000001</c:v>
                </c:pt>
                <c:pt idx="43">
                  <c:v>3.9957500000000001</c:v>
                </c:pt>
                <c:pt idx="44">
                  <c:v>4.0593750000000002</c:v>
                </c:pt>
                <c:pt idx="45">
                  <c:v>4.0911249999999999</c:v>
                </c:pt>
                <c:pt idx="46">
                  <c:v>4.1547499999999999</c:v>
                </c:pt>
                <c:pt idx="47">
                  <c:v>4.1547499999999999</c:v>
                </c:pt>
                <c:pt idx="48">
                  <c:v>4.0274999999999999</c:v>
                </c:pt>
                <c:pt idx="49">
                  <c:v>4.1229999999999993</c:v>
                </c:pt>
                <c:pt idx="50">
                  <c:v>4.1229999999999993</c:v>
                </c:pt>
                <c:pt idx="51">
                  <c:v>4.1547499999999999</c:v>
                </c:pt>
                <c:pt idx="52">
                  <c:v>4.1547499999999999</c:v>
                </c:pt>
                <c:pt idx="53">
                  <c:v>4.0593750000000002</c:v>
                </c:pt>
                <c:pt idx="54">
                  <c:v>4.0911249999999999</c:v>
                </c:pt>
                <c:pt idx="55">
                  <c:v>4.1547499999999999</c:v>
                </c:pt>
                <c:pt idx="56">
                  <c:v>4.1547499999999999</c:v>
                </c:pt>
                <c:pt idx="57">
                  <c:v>4.1547499999999999</c:v>
                </c:pt>
                <c:pt idx="58">
                  <c:v>4.1547499999999999</c:v>
                </c:pt>
                <c:pt idx="59">
                  <c:v>4.155125</c:v>
                </c:pt>
                <c:pt idx="60">
                  <c:v>4.1547499999999999</c:v>
                </c:pt>
                <c:pt idx="61">
                  <c:v>4.1229999999999993</c:v>
                </c:pt>
                <c:pt idx="62">
                  <c:v>4.0911249999999999</c:v>
                </c:pt>
                <c:pt idx="63">
                  <c:v>4.0993750000000002</c:v>
                </c:pt>
                <c:pt idx="64">
                  <c:v>4.0993750000000002</c:v>
                </c:pt>
                <c:pt idx="65">
                  <c:v>4.2910000000000004</c:v>
                </c:pt>
                <c:pt idx="66">
                  <c:v>4.2588749999999997</c:v>
                </c:pt>
                <c:pt idx="67">
                  <c:v>4.2592500000000006</c:v>
                </c:pt>
                <c:pt idx="68">
                  <c:v>4.2275</c:v>
                </c:pt>
                <c:pt idx="69">
                  <c:v>4.1956249999999997</c:v>
                </c:pt>
                <c:pt idx="70">
                  <c:v>4.2275</c:v>
                </c:pt>
                <c:pt idx="71">
                  <c:v>4.1956249999999997</c:v>
                </c:pt>
                <c:pt idx="72">
                  <c:v>4.2906250000000004</c:v>
                </c:pt>
                <c:pt idx="73">
                  <c:v>4.2906250000000004</c:v>
                </c:pt>
                <c:pt idx="74">
                  <c:v>4.2275</c:v>
                </c:pt>
                <c:pt idx="75">
                  <c:v>4.2275</c:v>
                </c:pt>
                <c:pt idx="76">
                  <c:v>4.2588749999999997</c:v>
                </c:pt>
                <c:pt idx="77">
                  <c:v>4.2270000000000003</c:v>
                </c:pt>
                <c:pt idx="78">
                  <c:v>4.2906250000000004</c:v>
                </c:pt>
                <c:pt idx="79">
                  <c:v>4.3228750000000007</c:v>
                </c:pt>
                <c:pt idx="80">
                  <c:v>4.2910000000000004</c:v>
                </c:pt>
                <c:pt idx="81">
                  <c:v>4.2910000000000004</c:v>
                </c:pt>
                <c:pt idx="82">
                  <c:v>4.3546250000000004</c:v>
                </c:pt>
                <c:pt idx="83">
                  <c:v>4.2910000000000004</c:v>
                </c:pt>
                <c:pt idx="84">
                  <c:v>4.2592500000000006</c:v>
                </c:pt>
                <c:pt idx="85">
                  <c:v>4.3228750000000007</c:v>
                </c:pt>
                <c:pt idx="86">
                  <c:v>4.2910000000000004</c:v>
                </c:pt>
                <c:pt idx="87">
                  <c:v>4.2592500000000006</c:v>
                </c:pt>
                <c:pt idx="88">
                  <c:v>4.2906250000000004</c:v>
                </c:pt>
                <c:pt idx="89">
                  <c:v>4.2910000000000004</c:v>
                </c:pt>
                <c:pt idx="90">
                  <c:v>4.2592500000000006</c:v>
                </c:pt>
                <c:pt idx="91">
                  <c:v>4.3228750000000007</c:v>
                </c:pt>
                <c:pt idx="92">
                  <c:v>4.3864999999999998</c:v>
                </c:pt>
                <c:pt idx="93">
                  <c:v>4.2910000000000004</c:v>
                </c:pt>
                <c:pt idx="94">
                  <c:v>4.2592500000000006</c:v>
                </c:pt>
                <c:pt idx="95">
                  <c:v>4.2592500000000006</c:v>
                </c:pt>
                <c:pt idx="96">
                  <c:v>4.2592500000000006</c:v>
                </c:pt>
                <c:pt idx="97">
                  <c:v>4.2910000000000004</c:v>
                </c:pt>
                <c:pt idx="98">
                  <c:v>4.2906250000000004</c:v>
                </c:pt>
                <c:pt idx="99">
                  <c:v>4.2906250000000004</c:v>
                </c:pt>
                <c:pt idx="100">
                  <c:v>4.2592500000000006</c:v>
                </c:pt>
                <c:pt idx="101">
                  <c:v>4.2588749999999997</c:v>
                </c:pt>
                <c:pt idx="102">
                  <c:v>4.2588749999999997</c:v>
                </c:pt>
                <c:pt idx="103">
                  <c:v>4.2906250000000004</c:v>
                </c:pt>
                <c:pt idx="104">
                  <c:v>4.2906250000000004</c:v>
                </c:pt>
                <c:pt idx="105">
                  <c:v>4.2906250000000004</c:v>
                </c:pt>
                <c:pt idx="106">
                  <c:v>4.1630000000000003</c:v>
                </c:pt>
                <c:pt idx="107">
                  <c:v>4.1312500000000005</c:v>
                </c:pt>
                <c:pt idx="108">
                  <c:v>4.2588749999999997</c:v>
                </c:pt>
                <c:pt idx="109">
                  <c:v>4.2906250000000004</c:v>
                </c:pt>
                <c:pt idx="110">
                  <c:v>4.2588749999999997</c:v>
                </c:pt>
                <c:pt idx="111">
                  <c:v>4.2270000000000003</c:v>
                </c:pt>
                <c:pt idx="112">
                  <c:v>4.2588749999999997</c:v>
                </c:pt>
                <c:pt idx="113">
                  <c:v>4.1312500000000005</c:v>
                </c:pt>
                <c:pt idx="114">
                  <c:v>4.0993750000000002</c:v>
                </c:pt>
                <c:pt idx="115">
                  <c:v>4.0993750000000002</c:v>
                </c:pt>
                <c:pt idx="116">
                  <c:v>4.1630000000000003</c:v>
                </c:pt>
                <c:pt idx="117">
                  <c:v>4.2270000000000003</c:v>
                </c:pt>
                <c:pt idx="118">
                  <c:v>4.2588749999999997</c:v>
                </c:pt>
                <c:pt idx="119">
                  <c:v>4.1630000000000003</c:v>
                </c:pt>
                <c:pt idx="120">
                  <c:v>4.1312500000000005</c:v>
                </c:pt>
                <c:pt idx="121">
                  <c:v>4.0993750000000002</c:v>
                </c:pt>
                <c:pt idx="122">
                  <c:v>4.0353750000000002</c:v>
                </c:pt>
                <c:pt idx="123">
                  <c:v>4.1630000000000003</c:v>
                </c:pt>
                <c:pt idx="124">
                  <c:v>4.2270000000000003</c:v>
                </c:pt>
                <c:pt idx="125">
                  <c:v>4.2270000000000003</c:v>
                </c:pt>
                <c:pt idx="126">
                  <c:v>4.1312500000000005</c:v>
                </c:pt>
                <c:pt idx="127">
                  <c:v>4.1312500000000005</c:v>
                </c:pt>
                <c:pt idx="128">
                  <c:v>4.1312500000000005</c:v>
                </c:pt>
                <c:pt idx="129">
                  <c:v>4.2270000000000003</c:v>
                </c:pt>
                <c:pt idx="130">
                  <c:v>4.1630000000000003</c:v>
                </c:pt>
                <c:pt idx="131">
                  <c:v>4.1312500000000005</c:v>
                </c:pt>
                <c:pt idx="132">
                  <c:v>4.1630000000000003</c:v>
                </c:pt>
                <c:pt idx="133">
                  <c:v>4.1312500000000005</c:v>
                </c:pt>
                <c:pt idx="134">
                  <c:v>4.0993750000000002</c:v>
                </c:pt>
                <c:pt idx="135">
                  <c:v>4.0676249999999996</c:v>
                </c:pt>
                <c:pt idx="136">
                  <c:v>4.0763750000000005</c:v>
                </c:pt>
                <c:pt idx="137">
                  <c:v>4.2357500000000003</c:v>
                </c:pt>
                <c:pt idx="138">
                  <c:v>4.2676249999999998</c:v>
                </c:pt>
                <c:pt idx="139">
                  <c:v>4.1717499999999994</c:v>
                </c:pt>
                <c:pt idx="140">
                  <c:v>4.0123749999999996</c:v>
                </c:pt>
                <c:pt idx="141">
                  <c:v>4.0441250000000002</c:v>
                </c:pt>
                <c:pt idx="142">
                  <c:v>4.0441250000000002</c:v>
                </c:pt>
                <c:pt idx="143">
                  <c:v>4.0123749999999996</c:v>
                </c:pt>
                <c:pt idx="144">
                  <c:v>4.0123749999999996</c:v>
                </c:pt>
                <c:pt idx="145">
                  <c:v>4.0763750000000005</c:v>
                </c:pt>
                <c:pt idx="146">
                  <c:v>4.1901250000000001</c:v>
                </c:pt>
                <c:pt idx="147">
                  <c:v>4.1583750000000004</c:v>
                </c:pt>
                <c:pt idx="148">
                  <c:v>4.126125</c:v>
                </c:pt>
                <c:pt idx="149">
                  <c:v>4.0625</c:v>
                </c:pt>
                <c:pt idx="150">
                  <c:v>3.9348750000000003</c:v>
                </c:pt>
                <c:pt idx="151">
                  <c:v>4.0307500000000003</c:v>
                </c:pt>
                <c:pt idx="152">
                  <c:v>4.0625</c:v>
                </c:pt>
                <c:pt idx="153">
                  <c:v>4.0625</c:v>
                </c:pt>
                <c:pt idx="154">
                  <c:v>4.0307500000000003</c:v>
                </c:pt>
                <c:pt idx="155">
                  <c:v>4.0943750000000003</c:v>
                </c:pt>
                <c:pt idx="156">
                  <c:v>4.0307500000000003</c:v>
                </c:pt>
                <c:pt idx="157">
                  <c:v>3.9984999999999999</c:v>
                </c:pt>
                <c:pt idx="158">
                  <c:v>3.9984999999999999</c:v>
                </c:pt>
                <c:pt idx="159">
                  <c:v>3.9667500000000002</c:v>
                </c:pt>
                <c:pt idx="160">
                  <c:v>3.9984999999999999</c:v>
                </c:pt>
                <c:pt idx="161">
                  <c:v>4.0307500000000003</c:v>
                </c:pt>
                <c:pt idx="162">
                  <c:v>4.0307500000000003</c:v>
                </c:pt>
                <c:pt idx="163">
                  <c:v>3.9984999999999999</c:v>
                </c:pt>
                <c:pt idx="164">
                  <c:v>3.9984999999999999</c:v>
                </c:pt>
                <c:pt idx="165">
                  <c:v>3.9988749999999995</c:v>
                </c:pt>
                <c:pt idx="166">
                  <c:v>3.9984999999999999</c:v>
                </c:pt>
                <c:pt idx="167">
                  <c:v>3.9984999999999999</c:v>
                </c:pt>
                <c:pt idx="168">
                  <c:v>4.0943750000000003</c:v>
                </c:pt>
                <c:pt idx="169">
                  <c:v>4.126125</c:v>
                </c:pt>
                <c:pt idx="170">
                  <c:v>4.0943750000000003</c:v>
                </c:pt>
                <c:pt idx="171">
                  <c:v>4.0943750000000003</c:v>
                </c:pt>
                <c:pt idx="172">
                  <c:v>4.126125</c:v>
                </c:pt>
                <c:pt idx="173">
                  <c:v>4.1583750000000004</c:v>
                </c:pt>
                <c:pt idx="174">
                  <c:v>4.2537500000000001</c:v>
                </c:pt>
                <c:pt idx="175">
                  <c:v>4.2537500000000001</c:v>
                </c:pt>
                <c:pt idx="176">
                  <c:v>4.3496249999999996</c:v>
                </c:pt>
                <c:pt idx="177">
                  <c:v>4.3496249999999996</c:v>
                </c:pt>
                <c:pt idx="178">
                  <c:v>4.2537500000000001</c:v>
                </c:pt>
                <c:pt idx="179">
                  <c:v>4.2220000000000004</c:v>
                </c:pt>
                <c:pt idx="180">
                  <c:v>4.2537500000000001</c:v>
                </c:pt>
                <c:pt idx="181">
                  <c:v>4.2537500000000001</c:v>
                </c:pt>
                <c:pt idx="182">
                  <c:v>4.2220000000000004</c:v>
                </c:pt>
                <c:pt idx="183">
                  <c:v>4.2537500000000001</c:v>
                </c:pt>
                <c:pt idx="184">
                  <c:v>4.3177500000000002</c:v>
                </c:pt>
                <c:pt idx="185">
                  <c:v>4.3177500000000002</c:v>
                </c:pt>
                <c:pt idx="186">
                  <c:v>4.3177500000000002</c:v>
                </c:pt>
                <c:pt idx="187">
                  <c:v>4.2537500000000001</c:v>
                </c:pt>
                <c:pt idx="188">
                  <c:v>4.2220000000000004</c:v>
                </c:pt>
                <c:pt idx="189">
                  <c:v>4.1583750000000004</c:v>
                </c:pt>
                <c:pt idx="190">
                  <c:v>4.1901250000000001</c:v>
                </c:pt>
                <c:pt idx="191">
                  <c:v>4.3813750000000002</c:v>
                </c:pt>
                <c:pt idx="192">
                  <c:v>4.3177500000000002</c:v>
                </c:pt>
                <c:pt idx="193">
                  <c:v>4.1901250000000001</c:v>
                </c:pt>
                <c:pt idx="194">
                  <c:v>4.1583750000000004</c:v>
                </c:pt>
                <c:pt idx="195">
                  <c:v>4.1901250000000001</c:v>
                </c:pt>
                <c:pt idx="196">
                  <c:v>4.1901250000000001</c:v>
                </c:pt>
                <c:pt idx="197">
                  <c:v>4.1901250000000001</c:v>
                </c:pt>
                <c:pt idx="198">
                  <c:v>4.2220000000000004</c:v>
                </c:pt>
                <c:pt idx="199">
                  <c:v>4.3496249999999996</c:v>
                </c:pt>
                <c:pt idx="200">
                  <c:v>4.3496249999999996</c:v>
                </c:pt>
                <c:pt idx="201">
                  <c:v>4.2537500000000001</c:v>
                </c:pt>
                <c:pt idx="202">
                  <c:v>4.2220000000000004</c:v>
                </c:pt>
                <c:pt idx="203">
                  <c:v>4.1901250000000001</c:v>
                </c:pt>
                <c:pt idx="204">
                  <c:v>4.2220000000000004</c:v>
                </c:pt>
                <c:pt idx="205">
                  <c:v>4.3496249999999996</c:v>
                </c:pt>
                <c:pt idx="206">
                  <c:v>4.3177500000000002</c:v>
                </c:pt>
                <c:pt idx="207">
                  <c:v>4.3496249999999996</c:v>
                </c:pt>
                <c:pt idx="208">
                  <c:v>4.3177500000000002</c:v>
                </c:pt>
                <c:pt idx="209">
                  <c:v>4.3177500000000002</c:v>
                </c:pt>
                <c:pt idx="210">
                  <c:v>4.2220000000000004</c:v>
                </c:pt>
                <c:pt idx="211">
                  <c:v>4.2220000000000004</c:v>
                </c:pt>
                <c:pt idx="212">
                  <c:v>4.2537500000000001</c:v>
                </c:pt>
                <c:pt idx="213">
                  <c:v>4.1901250000000001</c:v>
                </c:pt>
                <c:pt idx="214">
                  <c:v>4.1583750000000004</c:v>
                </c:pt>
                <c:pt idx="215">
                  <c:v>4.1901250000000001</c:v>
                </c:pt>
                <c:pt idx="216">
                  <c:v>4.126125</c:v>
                </c:pt>
                <c:pt idx="217">
                  <c:v>4.1901250000000001</c:v>
                </c:pt>
                <c:pt idx="218">
                  <c:v>4.1901250000000001</c:v>
                </c:pt>
                <c:pt idx="219">
                  <c:v>4.0943750000000003</c:v>
                </c:pt>
                <c:pt idx="220">
                  <c:v>4.1583750000000004</c:v>
                </c:pt>
                <c:pt idx="221">
                  <c:v>4.0943750000000003</c:v>
                </c:pt>
                <c:pt idx="222">
                  <c:v>4.126125</c:v>
                </c:pt>
                <c:pt idx="223">
                  <c:v>4.1901250000000001</c:v>
                </c:pt>
                <c:pt idx="224">
                  <c:v>4.1583750000000004</c:v>
                </c:pt>
                <c:pt idx="225">
                  <c:v>4.126125</c:v>
                </c:pt>
                <c:pt idx="226">
                  <c:v>4.1583750000000004</c:v>
                </c:pt>
                <c:pt idx="227">
                  <c:v>4.126125</c:v>
                </c:pt>
                <c:pt idx="228">
                  <c:v>4.0625</c:v>
                </c:pt>
                <c:pt idx="229">
                  <c:v>4.0943750000000003</c:v>
                </c:pt>
                <c:pt idx="230">
                  <c:v>4.0943750000000003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 w="19050">
              <a:solidFill>
                <a:srgbClr val="1B7A76"/>
              </a:solidFill>
              <a:prstDash val="lgDash"/>
            </a:ln>
          </c:spPr>
          <c:marker>
            <c:symbol val="circle"/>
            <c:size val="2"/>
            <c:spPr>
              <a:solidFill>
                <a:srgbClr val="1B7A76"/>
              </a:solidFill>
              <a:ln>
                <a:solidFill>
                  <a:srgbClr val="1B7A76"/>
                </a:solidFill>
              </a:ln>
            </c:spPr>
          </c:marker>
          <c:cat>
            <c:strRef>
              <c:f>'Rates Summary'!$A$80:$A$310</c:f>
              <c:strCache>
                <c:ptCount val="231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</c:strCache>
            </c:strRef>
          </c:cat>
          <c:val>
            <c:numRef>
              <c:f>'Rates Summary'!$D$80:$D$310</c:f>
              <c:numCache>
                <c:formatCode>General</c:formatCode>
                <c:ptCount val="231"/>
                <c:pt idx="0">
                  <c:v>4.123888942161555</c:v>
                </c:pt>
                <c:pt idx="1">
                  <c:v>4.123888942161555</c:v>
                </c:pt>
                <c:pt idx="2">
                  <c:v>4.123888942161555</c:v>
                </c:pt>
                <c:pt idx="3">
                  <c:v>4.145604497342033</c:v>
                </c:pt>
                <c:pt idx="4">
                  <c:v>4.0563500000000001</c:v>
                </c:pt>
                <c:pt idx="5">
                  <c:v>4.0251000000000001</c:v>
                </c:pt>
                <c:pt idx="6">
                  <c:v>4.123888942161555</c:v>
                </c:pt>
                <c:pt idx="7">
                  <c:v>4.0195510152855149</c:v>
                </c:pt>
                <c:pt idx="8">
                  <c:v>4.123888942161555</c:v>
                </c:pt>
                <c:pt idx="9">
                  <c:v>3.9301000000000004</c:v>
                </c:pt>
                <c:pt idx="10">
                  <c:v>3.8988500000000004</c:v>
                </c:pt>
                <c:pt idx="11">
                  <c:v>3.9367503938171491</c:v>
                </c:pt>
                <c:pt idx="12">
                  <c:v>3.872298391426404</c:v>
                </c:pt>
                <c:pt idx="13">
                  <c:v>3.9367503938171491</c:v>
                </c:pt>
                <c:pt idx="14">
                  <c:v>3.872298391426404</c:v>
                </c:pt>
                <c:pt idx="15">
                  <c:v>3.8107367176633482</c:v>
                </c:pt>
                <c:pt idx="16">
                  <c:v>3.872298391426404</c:v>
                </c:pt>
                <c:pt idx="17">
                  <c:v>3.9367503938171491</c:v>
                </c:pt>
                <c:pt idx="18">
                  <c:v>3.9980925223663326</c:v>
                </c:pt>
                <c:pt idx="19">
                  <c:v>3.9367503938171491</c:v>
                </c:pt>
                <c:pt idx="20">
                  <c:v>3.872298391426404</c:v>
                </c:pt>
                <c:pt idx="21">
                  <c:v>3.7673467858228435</c:v>
                </c:pt>
                <c:pt idx="22">
                  <c:v>3.7673467858228435</c:v>
                </c:pt>
                <c:pt idx="23">
                  <c:v>3.7178705124641254</c:v>
                </c:pt>
                <c:pt idx="24">
                  <c:v>3.8662066882918835</c:v>
                </c:pt>
                <c:pt idx="25">
                  <c:v>3.8662066882918835</c:v>
                </c:pt>
                <c:pt idx="26">
                  <c:v>3.804430007719005</c:v>
                </c:pt>
                <c:pt idx="27">
                  <c:v>3.7609539039308504</c:v>
                </c:pt>
                <c:pt idx="28">
                  <c:v>3.8662066882918835</c:v>
                </c:pt>
                <c:pt idx="29">
                  <c:v>3.8662066882918835</c:v>
                </c:pt>
                <c:pt idx="30">
                  <c:v>3.7113481910264978</c:v>
                </c:pt>
                <c:pt idx="31">
                  <c:v>3.804430007719005</c:v>
                </c:pt>
                <c:pt idx="32">
                  <c:v>3.804430007719005</c:v>
                </c:pt>
                <c:pt idx="33">
                  <c:v>3.8662066882918835</c:v>
                </c:pt>
                <c:pt idx="34">
                  <c:v>3.804430007719005</c:v>
                </c:pt>
                <c:pt idx="35">
                  <c:v>3.8662066882918835</c:v>
                </c:pt>
                <c:pt idx="36">
                  <c:v>3.8375095901912939</c:v>
                </c:pt>
                <c:pt idx="37">
                  <c:v>3.8869825871584012</c:v>
                </c:pt>
                <c:pt idx="38">
                  <c:v>3.8375095901912939</c:v>
                </c:pt>
                <c:pt idx="39">
                  <c:v>3.8375095901912939</c:v>
                </c:pt>
                <c:pt idx="40">
                  <c:v>3.9303703370483709</c:v>
                </c:pt>
                <c:pt idx="41">
                  <c:v>4.117698774030444</c:v>
                </c:pt>
                <c:pt idx="42">
                  <c:v>4.0563620311709938</c:v>
                </c:pt>
                <c:pt idx="43">
                  <c:v>4.0563620311709938</c:v>
                </c:pt>
                <c:pt idx="44">
                  <c:v>4.117698774030444</c:v>
                </c:pt>
                <c:pt idx="45">
                  <c:v>4.0154500000000004</c:v>
                </c:pt>
                <c:pt idx="46">
                  <c:v>4.0899335699667727</c:v>
                </c:pt>
                <c:pt idx="47">
                  <c:v>4.1391429031887403</c:v>
                </c:pt>
                <c:pt idx="48">
                  <c:v>4.117698774030444</c:v>
                </c:pt>
                <c:pt idx="49">
                  <c:v>4.0899335699667727</c:v>
                </c:pt>
                <c:pt idx="50">
                  <c:v>4.1823551213488175</c:v>
                </c:pt>
                <c:pt idx="51">
                  <c:v>4.1823551213488175</c:v>
                </c:pt>
                <c:pt idx="52">
                  <c:v>4.1823551213488175</c:v>
                </c:pt>
                <c:pt idx="53">
                  <c:v>4.0154500000000004</c:v>
                </c:pt>
                <c:pt idx="54">
                  <c:v>4.0154500000000004</c:v>
                </c:pt>
                <c:pt idx="55">
                  <c:v>4.1391429031887403</c:v>
                </c:pt>
                <c:pt idx="56">
                  <c:v>4.1078929031887403</c:v>
                </c:pt>
                <c:pt idx="57">
                  <c:v>4.1078929031887403</c:v>
                </c:pt>
                <c:pt idx="58">
                  <c:v>3.9529500000000004</c:v>
                </c:pt>
                <c:pt idx="59">
                  <c:v>3.9842000000000004</c:v>
                </c:pt>
                <c:pt idx="60">
                  <c:v>3.9529500000000004</c:v>
                </c:pt>
                <c:pt idx="61">
                  <c:v>4.117698774030444</c:v>
                </c:pt>
                <c:pt idx="62">
                  <c:v>4.0563620311709938</c:v>
                </c:pt>
                <c:pt idx="63">
                  <c:v>4.114354497342033</c:v>
                </c:pt>
                <c:pt idx="64">
                  <c:v>4.114354497342033</c:v>
                </c:pt>
                <c:pt idx="65">
                  <c:v>4.2717089165741537</c:v>
                </c:pt>
                <c:pt idx="66">
                  <c:v>4.2404589165741537</c:v>
                </c:pt>
                <c:pt idx="67">
                  <c:v>4.3147493145490214</c:v>
                </c:pt>
                <c:pt idx="68">
                  <c:v>4.2717089165741537</c:v>
                </c:pt>
                <c:pt idx="69">
                  <c:v>4.2717089165741537</c:v>
                </c:pt>
                <c:pt idx="70">
                  <c:v>4.5041620075276256</c:v>
                </c:pt>
                <c:pt idx="71">
                  <c:v>4.2717089165741537</c:v>
                </c:pt>
                <c:pt idx="72">
                  <c:v>4.2404589165741537</c:v>
                </c:pt>
                <c:pt idx="73">
                  <c:v>4.2033105887459152</c:v>
                </c:pt>
                <c:pt idx="74">
                  <c:v>4.2033105887459152</c:v>
                </c:pt>
                <c:pt idx="75">
                  <c:v>4.2033105887459152</c:v>
                </c:pt>
                <c:pt idx="76">
                  <c:v>4.2496377008409834</c:v>
                </c:pt>
                <c:pt idx="77">
                  <c:v>4.114354497342033</c:v>
                </c:pt>
                <c:pt idx="78">
                  <c:v>4.1887316643249344</c:v>
                </c:pt>
                <c:pt idx="79">
                  <c:v>4.2717089165741537</c:v>
                </c:pt>
                <c:pt idx="80">
                  <c:v>4.2717089165741537</c:v>
                </c:pt>
                <c:pt idx="81">
                  <c:v>4.375438847121214</c:v>
                </c:pt>
                <c:pt idx="82">
                  <c:v>4.3773</c:v>
                </c:pt>
                <c:pt idx="83">
                  <c:v>4.5041620075276256</c:v>
                </c:pt>
                <c:pt idx="84">
                  <c:v>4.2717089165741537</c:v>
                </c:pt>
                <c:pt idx="85">
                  <c:v>4.3773</c:v>
                </c:pt>
                <c:pt idx="86">
                  <c:v>4.375438847121214</c:v>
                </c:pt>
                <c:pt idx="87">
                  <c:v>4.2033105887459152</c:v>
                </c:pt>
                <c:pt idx="88">
                  <c:v>4.1887316643249344</c:v>
                </c:pt>
                <c:pt idx="89">
                  <c:v>4.2496377008409834</c:v>
                </c:pt>
                <c:pt idx="90">
                  <c:v>4.2496377008409834</c:v>
                </c:pt>
                <c:pt idx="91">
                  <c:v>4.4407683440906052</c:v>
                </c:pt>
                <c:pt idx="92">
                  <c:v>4.5041620075276256</c:v>
                </c:pt>
                <c:pt idx="93">
                  <c:v>4.3147493145490214</c:v>
                </c:pt>
                <c:pt idx="94">
                  <c:v>4.2717089165741537</c:v>
                </c:pt>
                <c:pt idx="95">
                  <c:v>4.3147493145490214</c:v>
                </c:pt>
                <c:pt idx="96">
                  <c:v>4.2717089165741537</c:v>
                </c:pt>
                <c:pt idx="97">
                  <c:v>4.2717089165741537</c:v>
                </c:pt>
                <c:pt idx="98">
                  <c:v>4.2033105887459152</c:v>
                </c:pt>
                <c:pt idx="99">
                  <c:v>4.2496377008409834</c:v>
                </c:pt>
                <c:pt idx="100">
                  <c:v>4.2404589165741537</c:v>
                </c:pt>
                <c:pt idx="101">
                  <c:v>4.1887316643249344</c:v>
                </c:pt>
                <c:pt idx="102">
                  <c:v>4.145604497342033</c:v>
                </c:pt>
                <c:pt idx="103">
                  <c:v>4.1887316643249344</c:v>
                </c:pt>
                <c:pt idx="104">
                  <c:v>4.1887316643249344</c:v>
                </c:pt>
                <c:pt idx="105">
                  <c:v>4.2496377008409834</c:v>
                </c:pt>
                <c:pt idx="106">
                  <c:v>4.0771627490827687</c:v>
                </c:pt>
                <c:pt idx="107">
                  <c:v>4.0771627490827687</c:v>
                </c:pt>
                <c:pt idx="108">
                  <c:v>4.145604497342033</c:v>
                </c:pt>
                <c:pt idx="109">
                  <c:v>4.1887316643249344</c:v>
                </c:pt>
                <c:pt idx="110">
                  <c:v>4.1887316643249344</c:v>
                </c:pt>
                <c:pt idx="111">
                  <c:v>4.114354497342033</c:v>
                </c:pt>
                <c:pt idx="112">
                  <c:v>4.145604497342033</c:v>
                </c:pt>
                <c:pt idx="113">
                  <c:v>4.0251000000000001</c:v>
                </c:pt>
                <c:pt idx="114">
                  <c:v>4.0627653666023935</c:v>
                </c:pt>
                <c:pt idx="115">
                  <c:v>4.0251000000000001</c:v>
                </c:pt>
                <c:pt idx="116">
                  <c:v>4.114354497342033</c:v>
                </c:pt>
                <c:pt idx="117">
                  <c:v>4.0771627490827687</c:v>
                </c:pt>
                <c:pt idx="118">
                  <c:v>4.145604497342033</c:v>
                </c:pt>
                <c:pt idx="119">
                  <c:v>4.0251000000000001</c:v>
                </c:pt>
                <c:pt idx="120">
                  <c:v>4.123888942161555</c:v>
                </c:pt>
                <c:pt idx="121">
                  <c:v>4.0627653666023935</c:v>
                </c:pt>
                <c:pt idx="122">
                  <c:v>3.9480721497042097</c:v>
                </c:pt>
                <c:pt idx="123">
                  <c:v>4.0251000000000001</c:v>
                </c:pt>
                <c:pt idx="124">
                  <c:v>4.0251000000000001</c:v>
                </c:pt>
                <c:pt idx="125">
                  <c:v>4.0771627490827687</c:v>
                </c:pt>
                <c:pt idx="126">
                  <c:v>4.123888942161555</c:v>
                </c:pt>
                <c:pt idx="127">
                  <c:v>4.123888942161555</c:v>
                </c:pt>
                <c:pt idx="128">
                  <c:v>4.123888942161555</c:v>
                </c:pt>
                <c:pt idx="129">
                  <c:v>4.0771627490827687</c:v>
                </c:pt>
                <c:pt idx="130">
                  <c:v>4.123888942161555</c:v>
                </c:pt>
                <c:pt idx="131">
                  <c:v>4.123888942161555</c:v>
                </c:pt>
                <c:pt idx="132">
                  <c:v>4.0771627490827687</c:v>
                </c:pt>
                <c:pt idx="133">
                  <c:v>4.123888942161555</c:v>
                </c:pt>
                <c:pt idx="134">
                  <c:v>4.0627653666023935</c:v>
                </c:pt>
                <c:pt idx="135">
                  <c:v>4.0195510152855149</c:v>
                </c:pt>
                <c:pt idx="136">
                  <c:v>4.0627653666023935</c:v>
                </c:pt>
                <c:pt idx="137">
                  <c:v>4.0771627490827687</c:v>
                </c:pt>
                <c:pt idx="138">
                  <c:v>4.114354497342033</c:v>
                </c:pt>
                <c:pt idx="139">
                  <c:v>4.0771627490827687</c:v>
                </c:pt>
                <c:pt idx="140">
                  <c:v>3.9480721497042097</c:v>
                </c:pt>
                <c:pt idx="141">
                  <c:v>3.9883010152855149</c:v>
                </c:pt>
                <c:pt idx="142">
                  <c:v>3.9883010152855149</c:v>
                </c:pt>
                <c:pt idx="143">
                  <c:v>3.9883010152855149</c:v>
                </c:pt>
                <c:pt idx="144">
                  <c:v>3.9480721497042097</c:v>
                </c:pt>
                <c:pt idx="145">
                  <c:v>4.0627653666023935</c:v>
                </c:pt>
                <c:pt idx="146">
                  <c:v>4.1096088113743745</c:v>
                </c:pt>
                <c:pt idx="147">
                  <c:v>4.0261842576350091</c:v>
                </c:pt>
                <c:pt idx="148">
                  <c:v>3.9859585938118238</c:v>
                </c:pt>
                <c:pt idx="149">
                  <c:v>4.0450184023842457</c:v>
                </c:pt>
                <c:pt idx="150">
                  <c:v>3.8577993637589048</c:v>
                </c:pt>
                <c:pt idx="151">
                  <c:v>4.0450184023842457</c:v>
                </c:pt>
                <c:pt idx="152">
                  <c:v>3.8995000000000002</c:v>
                </c:pt>
                <c:pt idx="153">
                  <c:v>3.8995000000000002</c:v>
                </c:pt>
                <c:pt idx="154">
                  <c:v>4.0450184023842457</c:v>
                </c:pt>
                <c:pt idx="155">
                  <c:v>3.9859585938118238</c:v>
                </c:pt>
                <c:pt idx="156">
                  <c:v>3.9307500000000002</c:v>
                </c:pt>
                <c:pt idx="157">
                  <c:v>4.0450184023842457</c:v>
                </c:pt>
                <c:pt idx="158">
                  <c:v>3.9837031909148659</c:v>
                </c:pt>
                <c:pt idx="159">
                  <c:v>4.0450184023842457</c:v>
                </c:pt>
                <c:pt idx="160">
                  <c:v>4.0450184023842457</c:v>
                </c:pt>
                <c:pt idx="161">
                  <c:v>3.8995000000000002</c:v>
                </c:pt>
                <c:pt idx="162">
                  <c:v>4.0450184023842457</c:v>
                </c:pt>
                <c:pt idx="163">
                  <c:v>4.0450184023842457</c:v>
                </c:pt>
                <c:pt idx="164">
                  <c:v>4.0450184023842457</c:v>
                </c:pt>
                <c:pt idx="165">
                  <c:v>3.8995000000000002</c:v>
                </c:pt>
                <c:pt idx="166">
                  <c:v>4.0450184023842457</c:v>
                </c:pt>
                <c:pt idx="167">
                  <c:v>4.0450184023842457</c:v>
                </c:pt>
                <c:pt idx="168">
                  <c:v>4.0574342576350091</c:v>
                </c:pt>
                <c:pt idx="169">
                  <c:v>4.1096088113743745</c:v>
                </c:pt>
                <c:pt idx="170">
                  <c:v>4.0574342576350091</c:v>
                </c:pt>
                <c:pt idx="171">
                  <c:v>4.1096088113743745</c:v>
                </c:pt>
                <c:pt idx="172">
                  <c:v>4.1736875443783283</c:v>
                </c:pt>
                <c:pt idx="173">
                  <c:v>4.1150044973420323</c:v>
                </c:pt>
                <c:pt idx="174">
                  <c:v>4.2993060683645599</c:v>
                </c:pt>
                <c:pt idx="175">
                  <c:v>4.2993060683645599</c:v>
                </c:pt>
                <c:pt idx="176">
                  <c:v>4.2782551582169841</c:v>
                </c:pt>
                <c:pt idx="177">
                  <c:v>4.2993060683645599</c:v>
                </c:pt>
                <c:pt idx="178">
                  <c:v>4.235466264314165</c:v>
                </c:pt>
                <c:pt idx="179">
                  <c:v>4.1834441354607952</c:v>
                </c:pt>
                <c:pt idx="180">
                  <c:v>4.235466264314165</c:v>
                </c:pt>
                <c:pt idx="181">
                  <c:v>4.1834441354607952</c:v>
                </c:pt>
                <c:pt idx="182">
                  <c:v>4.1521941354607952</c:v>
                </c:pt>
                <c:pt idx="183">
                  <c:v>4.1521941354607952</c:v>
                </c:pt>
                <c:pt idx="184">
                  <c:v>4.1946941354607956</c:v>
                </c:pt>
                <c:pt idx="185">
                  <c:v>4.1634441354607956</c:v>
                </c:pt>
                <c:pt idx="186">
                  <c:v>4.1634441354607956</c:v>
                </c:pt>
                <c:pt idx="187">
                  <c:v>4.1634441354607956</c:v>
                </c:pt>
                <c:pt idx="188">
                  <c:v>4.1634441354607956</c:v>
                </c:pt>
                <c:pt idx="189">
                  <c:v>4.1208588113743749</c:v>
                </c:pt>
                <c:pt idx="190">
                  <c:v>4.1849375443783279</c:v>
                </c:pt>
                <c:pt idx="191">
                  <c:v>4.3105560683645603</c:v>
                </c:pt>
                <c:pt idx="192">
                  <c:v>4.2467162643141645</c:v>
                </c:pt>
                <c:pt idx="193">
                  <c:v>4.1321941354607956</c:v>
                </c:pt>
                <c:pt idx="194">
                  <c:v>4.1321941354607956</c:v>
                </c:pt>
                <c:pt idx="195">
                  <c:v>4.1321941354607956</c:v>
                </c:pt>
                <c:pt idx="196">
                  <c:v>4.1634441354607956</c:v>
                </c:pt>
                <c:pt idx="197">
                  <c:v>4.1634441354607956</c:v>
                </c:pt>
                <c:pt idx="198">
                  <c:v>4.1321941354607956</c:v>
                </c:pt>
                <c:pt idx="199">
                  <c:v>4.3105560683645603</c:v>
                </c:pt>
                <c:pt idx="200">
                  <c:v>4.3105560683645603</c:v>
                </c:pt>
                <c:pt idx="201">
                  <c:v>4.2467162643141645</c:v>
                </c:pt>
                <c:pt idx="202">
                  <c:v>4.1634441354607956</c:v>
                </c:pt>
                <c:pt idx="203">
                  <c:v>4.1634441354607956</c:v>
                </c:pt>
                <c:pt idx="204">
                  <c:v>4.1946941354607956</c:v>
                </c:pt>
                <c:pt idx="205">
                  <c:v>4.2582551582169845</c:v>
                </c:pt>
                <c:pt idx="206">
                  <c:v>4.3105560683645603</c:v>
                </c:pt>
                <c:pt idx="207">
                  <c:v>4.3105560683645603</c:v>
                </c:pt>
                <c:pt idx="208">
                  <c:v>4.3105560683645603</c:v>
                </c:pt>
                <c:pt idx="209">
                  <c:v>4.2467162643141645</c:v>
                </c:pt>
                <c:pt idx="210">
                  <c:v>4.1634441354607956</c:v>
                </c:pt>
                <c:pt idx="211">
                  <c:v>4.1946941354607956</c:v>
                </c:pt>
                <c:pt idx="212">
                  <c:v>4.1634441354607956</c:v>
                </c:pt>
                <c:pt idx="213">
                  <c:v>4.0741991407434552</c:v>
                </c:pt>
                <c:pt idx="214">
                  <c:v>4.0741991407434552</c:v>
                </c:pt>
                <c:pt idx="215">
                  <c:v>4.0741991407434552</c:v>
                </c:pt>
                <c:pt idx="216">
                  <c:v>4.1208588113743749</c:v>
                </c:pt>
                <c:pt idx="217">
                  <c:v>4.1849375443783279</c:v>
                </c:pt>
                <c:pt idx="218">
                  <c:v>4.1208588113743749</c:v>
                </c:pt>
                <c:pt idx="219">
                  <c:v>4.0061842576350095</c:v>
                </c:pt>
                <c:pt idx="220">
                  <c:v>4.0686842576350095</c:v>
                </c:pt>
                <c:pt idx="221">
                  <c:v>4.0061842576350095</c:v>
                </c:pt>
                <c:pt idx="222">
                  <c:v>4.0061842576350095</c:v>
                </c:pt>
                <c:pt idx="223">
                  <c:v>4.0374342576350095</c:v>
                </c:pt>
                <c:pt idx="224">
                  <c:v>4.0061842576350095</c:v>
                </c:pt>
                <c:pt idx="225">
                  <c:v>4.0061842576350095</c:v>
                </c:pt>
                <c:pt idx="226">
                  <c:v>4.0061842576350095</c:v>
                </c:pt>
                <c:pt idx="227">
                  <c:v>4.0562684023842452</c:v>
                </c:pt>
                <c:pt idx="228">
                  <c:v>3.942625501411162</c:v>
                </c:pt>
                <c:pt idx="229">
                  <c:v>3.9949531909148654</c:v>
                </c:pt>
                <c:pt idx="230">
                  <c:v>3.9949531909148654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 w="19050">
              <a:solidFill>
                <a:srgbClr val="C6642E"/>
              </a:solidFill>
              <a:prstDash val="sysDash"/>
            </a:ln>
          </c:spPr>
          <c:marker>
            <c:symbol val="circle"/>
            <c:size val="2"/>
            <c:spPr>
              <a:solidFill>
                <a:srgbClr val="C6642E"/>
              </a:solidFill>
              <a:ln>
                <a:solidFill>
                  <a:srgbClr val="C6642E"/>
                </a:solidFill>
              </a:ln>
            </c:spPr>
          </c:marker>
          <c:cat>
            <c:strRef>
              <c:f>'Rates Summary'!$A$80:$A$310</c:f>
              <c:strCache>
                <c:ptCount val="231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</c:strCache>
            </c:strRef>
          </c:cat>
          <c:val>
            <c:numRef>
              <c:f>'Rates Summary'!$E$80:$E$310</c:f>
              <c:numCache>
                <c:formatCode>General</c:formatCode>
                <c:ptCount val="231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  <c:pt idx="6">
                  <c:v>3.929789796110164</c:v>
                </c:pt>
                <c:pt idx="7">
                  <c:v>3.8281034376602534</c:v>
                </c:pt>
                <c:pt idx="8">
                  <c:v>3.8714038285041039</c:v>
                </c:pt>
                <c:pt idx="9">
                  <c:v>3.8281034376602534</c:v>
                </c:pt>
                <c:pt idx="10">
                  <c:v>3.7907999999999999</c:v>
                </c:pt>
                <c:pt idx="11">
                  <c:v>3.7452361066975079</c:v>
                </c:pt>
                <c:pt idx="12">
                  <c:v>3.701847554934004</c:v>
                </c:pt>
                <c:pt idx="13">
                  <c:v>3.7452361066975079</c:v>
                </c:pt>
                <c:pt idx="14">
                  <c:v>3.7452361066975079</c:v>
                </c:pt>
                <c:pt idx="15">
                  <c:v>3.7907999999999999</c:v>
                </c:pt>
                <c:pt idx="16">
                  <c:v>3.8281034376602534</c:v>
                </c:pt>
                <c:pt idx="17">
                  <c:v>3.8714038285041039</c:v>
                </c:pt>
                <c:pt idx="18">
                  <c:v>3.8714038285041039</c:v>
                </c:pt>
                <c:pt idx="19">
                  <c:v>3.8714038285041039</c:v>
                </c:pt>
                <c:pt idx="20">
                  <c:v>3.8714038285041039</c:v>
                </c:pt>
                <c:pt idx="21">
                  <c:v>3.7907999999999999</c:v>
                </c:pt>
                <c:pt idx="22">
                  <c:v>3.7907999999999999</c:v>
                </c:pt>
                <c:pt idx="23">
                  <c:v>3.8038200779030156</c:v>
                </c:pt>
                <c:pt idx="24">
                  <c:v>3.6708585343811904</c:v>
                </c:pt>
                <c:pt idx="25">
                  <c:v>3.6708585343811904</c:v>
                </c:pt>
                <c:pt idx="26">
                  <c:v>3.6708585343811904</c:v>
                </c:pt>
                <c:pt idx="27">
                  <c:v>3.6708585343811904</c:v>
                </c:pt>
                <c:pt idx="28">
                  <c:v>3.6708585343811904</c:v>
                </c:pt>
                <c:pt idx="29">
                  <c:v>3.7143356375412493</c:v>
                </c:pt>
                <c:pt idx="30">
                  <c:v>3.6334666666666666</c:v>
                </c:pt>
                <c:pt idx="31">
                  <c:v>3.6334666666666666</c:v>
                </c:pt>
                <c:pt idx="32">
                  <c:v>3.6334666666666666</c:v>
                </c:pt>
                <c:pt idx="33">
                  <c:v>3.6334666666666666</c:v>
                </c:pt>
                <c:pt idx="34">
                  <c:v>3.6334666666666666</c:v>
                </c:pt>
                <c:pt idx="35">
                  <c:v>3.6334666666666666</c:v>
                </c:pt>
                <c:pt idx="36">
                  <c:v>3.7597333333333331</c:v>
                </c:pt>
                <c:pt idx="37">
                  <c:v>3.7597333333333331</c:v>
                </c:pt>
                <c:pt idx="38">
                  <c:v>3.7143356375412493</c:v>
                </c:pt>
                <c:pt idx="39">
                  <c:v>3.7143356375412493</c:v>
                </c:pt>
                <c:pt idx="40">
                  <c:v>3.7143356375412493</c:v>
                </c:pt>
                <c:pt idx="41">
                  <c:v>3.7970808882673373</c:v>
                </c:pt>
                <c:pt idx="42">
                  <c:v>3.7970808882673373</c:v>
                </c:pt>
                <c:pt idx="43">
                  <c:v>3.7970808882673373</c:v>
                </c:pt>
                <c:pt idx="44">
                  <c:v>3.7970808882673373</c:v>
                </c:pt>
                <c:pt idx="45">
                  <c:v>3.8404694400308417</c:v>
                </c:pt>
                <c:pt idx="46">
                  <c:v>3.9020859403395352</c:v>
                </c:pt>
                <c:pt idx="47">
                  <c:v>3.9020859403395352</c:v>
                </c:pt>
                <c:pt idx="48">
                  <c:v>3.7970808882673373</c:v>
                </c:pt>
                <c:pt idx="49">
                  <c:v>3.8860333333333337</c:v>
                </c:pt>
                <c:pt idx="50">
                  <c:v>3.9233367709935867</c:v>
                </c:pt>
                <c:pt idx="51">
                  <c:v>3.9233367709935867</c:v>
                </c:pt>
                <c:pt idx="52">
                  <c:v>3.8860333333333337</c:v>
                </c:pt>
                <c:pt idx="53">
                  <c:v>3.8404694400308417</c:v>
                </c:pt>
                <c:pt idx="54">
                  <c:v>3.8404694400308417</c:v>
                </c:pt>
                <c:pt idx="55">
                  <c:v>3.9041371618374376</c:v>
                </c:pt>
                <c:pt idx="56">
                  <c:v>3.9041371618374376</c:v>
                </c:pt>
                <c:pt idx="57">
                  <c:v>3.9041371618374376</c:v>
                </c:pt>
                <c:pt idx="58">
                  <c:v>3.7749314548968891</c:v>
                </c:pt>
                <c:pt idx="59">
                  <c:v>3.7749314548968891</c:v>
                </c:pt>
                <c:pt idx="60">
                  <c:v>3.7749314548968891</c:v>
                </c:pt>
                <c:pt idx="61">
                  <c:v>3.7761730843118855</c:v>
                </c:pt>
                <c:pt idx="62">
                  <c:v>3.7761730843118855</c:v>
                </c:pt>
                <c:pt idx="63">
                  <c:v>4.0557276764206129</c:v>
                </c:pt>
                <c:pt idx="64">
                  <c:v>4.0557276764206129</c:v>
                </c:pt>
                <c:pt idx="65">
                  <c:v>4.1817004181546098</c:v>
                </c:pt>
                <c:pt idx="66">
                  <c:v>4.1237077500397357</c:v>
                </c:pt>
                <c:pt idx="67">
                  <c:v>4.2186106422383469</c:v>
                </c:pt>
                <c:pt idx="68">
                  <c:v>4.1873439755716797</c:v>
                </c:pt>
                <c:pt idx="69">
                  <c:v>4.1873439755716797</c:v>
                </c:pt>
                <c:pt idx="70">
                  <c:v>4.310586640999877</c:v>
                </c:pt>
                <c:pt idx="71">
                  <c:v>4.2186106422383469</c:v>
                </c:pt>
                <c:pt idx="72">
                  <c:v>4.2186106422383469</c:v>
                </c:pt>
                <c:pt idx="73">
                  <c:v>4.1817004181546098</c:v>
                </c:pt>
                <c:pt idx="74">
                  <c:v>4.1817004181546098</c:v>
                </c:pt>
                <c:pt idx="75">
                  <c:v>4.1873439755716797</c:v>
                </c:pt>
                <c:pt idx="76">
                  <c:v>4.1873439755716797</c:v>
                </c:pt>
                <c:pt idx="77">
                  <c:v>4.1817004181546098</c:v>
                </c:pt>
                <c:pt idx="78">
                  <c:v>4.1873439755716797</c:v>
                </c:pt>
                <c:pt idx="79">
                  <c:v>4.2186106422383469</c:v>
                </c:pt>
                <c:pt idx="80">
                  <c:v>4.2186106422383469</c:v>
                </c:pt>
                <c:pt idx="81">
                  <c:v>4.2186106422383469</c:v>
                </c:pt>
                <c:pt idx="82">
                  <c:v>4.310586640999877</c:v>
                </c:pt>
                <c:pt idx="83">
                  <c:v>4.2186106422383469</c:v>
                </c:pt>
                <c:pt idx="84">
                  <c:v>4.1873439755716797</c:v>
                </c:pt>
                <c:pt idx="85">
                  <c:v>4.2186106422383469</c:v>
                </c:pt>
                <c:pt idx="86">
                  <c:v>4.2186106422383469</c:v>
                </c:pt>
                <c:pt idx="87">
                  <c:v>4.1237077500397357</c:v>
                </c:pt>
                <c:pt idx="88">
                  <c:v>4.0612077500397348</c:v>
                </c:pt>
                <c:pt idx="89">
                  <c:v>4.092474416706402</c:v>
                </c:pt>
                <c:pt idx="90">
                  <c:v>4.092474416706402</c:v>
                </c:pt>
                <c:pt idx="91">
                  <c:v>4.1873439755716797</c:v>
                </c:pt>
                <c:pt idx="92">
                  <c:v>4.2498439755716797</c:v>
                </c:pt>
                <c:pt idx="93">
                  <c:v>4.1873439755716797</c:v>
                </c:pt>
                <c:pt idx="94">
                  <c:v>4.1237077500397357</c:v>
                </c:pt>
                <c:pt idx="95">
                  <c:v>4.1817004181546098</c:v>
                </c:pt>
                <c:pt idx="96">
                  <c:v>4.1237077500397357</c:v>
                </c:pt>
                <c:pt idx="97">
                  <c:v>4.1817004181546098</c:v>
                </c:pt>
                <c:pt idx="98">
                  <c:v>4.1237077500397357</c:v>
                </c:pt>
                <c:pt idx="99">
                  <c:v>4.1237077500397357</c:v>
                </c:pt>
                <c:pt idx="100">
                  <c:v>4.1237077500397357</c:v>
                </c:pt>
                <c:pt idx="101">
                  <c:v>4.0612077500397348</c:v>
                </c:pt>
                <c:pt idx="102">
                  <c:v>4.0557276764206129</c:v>
                </c:pt>
                <c:pt idx="103">
                  <c:v>4.0557276764206129</c:v>
                </c:pt>
                <c:pt idx="104">
                  <c:v>4.0557276764206129</c:v>
                </c:pt>
                <c:pt idx="105">
                  <c:v>4.0557276764206129</c:v>
                </c:pt>
                <c:pt idx="106">
                  <c:v>3.966305483037543</c:v>
                </c:pt>
                <c:pt idx="107">
                  <c:v>3.966305483037543</c:v>
                </c:pt>
                <c:pt idx="108">
                  <c:v>3.9975388163708763</c:v>
                </c:pt>
                <c:pt idx="109">
                  <c:v>4.0557276764206129</c:v>
                </c:pt>
                <c:pt idx="110">
                  <c:v>4.0557276764206129</c:v>
                </c:pt>
                <c:pt idx="111">
                  <c:v>3.9975388163708763</c:v>
                </c:pt>
                <c:pt idx="112">
                  <c:v>3.9975388163708763</c:v>
                </c:pt>
                <c:pt idx="113">
                  <c:v>3.966305483037543</c:v>
                </c:pt>
                <c:pt idx="114">
                  <c:v>3.932044793512913</c:v>
                </c:pt>
                <c:pt idx="115">
                  <c:v>3.966305483037543</c:v>
                </c:pt>
                <c:pt idx="116">
                  <c:v>3.966305483037543</c:v>
                </c:pt>
                <c:pt idx="117">
                  <c:v>3.932044793512913</c:v>
                </c:pt>
                <c:pt idx="118">
                  <c:v>3.932044793512913</c:v>
                </c:pt>
                <c:pt idx="119">
                  <c:v>3.929789796110164</c:v>
                </c:pt>
                <c:pt idx="120">
                  <c:v>3.8714038285041039</c:v>
                </c:pt>
                <c:pt idx="121">
                  <c:v>3.8401704951707707</c:v>
                </c:pt>
                <c:pt idx="122">
                  <c:v>3.8058878744011344</c:v>
                </c:pt>
                <c:pt idx="123">
                  <c:v>3.929789796110164</c:v>
                </c:pt>
                <c:pt idx="124">
                  <c:v>3.932044793512913</c:v>
                </c:pt>
                <c:pt idx="125">
                  <c:v>3.966305483037543</c:v>
                </c:pt>
                <c:pt idx="126">
                  <c:v>3.932044793512913</c:v>
                </c:pt>
                <c:pt idx="127">
                  <c:v>3.966305483037543</c:v>
                </c:pt>
                <c:pt idx="128">
                  <c:v>3.966305483037543</c:v>
                </c:pt>
                <c:pt idx="129">
                  <c:v>3.966305483037543</c:v>
                </c:pt>
                <c:pt idx="130">
                  <c:v>3.966305483037543</c:v>
                </c:pt>
                <c:pt idx="131">
                  <c:v>3.932044793512913</c:v>
                </c:pt>
                <c:pt idx="132">
                  <c:v>3.966305483037543</c:v>
                </c:pt>
                <c:pt idx="133">
                  <c:v>3.9975388163708763</c:v>
                </c:pt>
                <c:pt idx="134">
                  <c:v>3.966305483037543</c:v>
                </c:pt>
                <c:pt idx="135">
                  <c:v>3.966305483037543</c:v>
                </c:pt>
                <c:pt idx="136">
                  <c:v>3.932044793512913</c:v>
                </c:pt>
                <c:pt idx="137">
                  <c:v>4.0557276764206129</c:v>
                </c:pt>
                <c:pt idx="138">
                  <c:v>4.0557276764206129</c:v>
                </c:pt>
                <c:pt idx="139">
                  <c:v>3.966305483037543</c:v>
                </c:pt>
                <c:pt idx="140">
                  <c:v>3.932044793512913</c:v>
                </c:pt>
                <c:pt idx="141">
                  <c:v>3.932044793512913</c:v>
                </c:pt>
                <c:pt idx="142">
                  <c:v>3.932044793512913</c:v>
                </c:pt>
                <c:pt idx="143">
                  <c:v>3.932044793512913</c:v>
                </c:pt>
                <c:pt idx="144">
                  <c:v>3.8714038285041039</c:v>
                </c:pt>
                <c:pt idx="145">
                  <c:v>3.932044793512913</c:v>
                </c:pt>
                <c:pt idx="146">
                  <c:v>3.9691038719099652</c:v>
                </c:pt>
                <c:pt idx="147">
                  <c:v>3.836185909281542</c:v>
                </c:pt>
                <c:pt idx="148">
                  <c:v>3.836185909281542</c:v>
                </c:pt>
                <c:pt idx="149">
                  <c:v>3.8432439415632444</c:v>
                </c:pt>
                <c:pt idx="150">
                  <c:v>3.7786134524895099</c:v>
                </c:pt>
                <c:pt idx="151">
                  <c:v>3.8674525759482088</c:v>
                </c:pt>
                <c:pt idx="152">
                  <c:v>3.9691038719099652</c:v>
                </c:pt>
                <c:pt idx="153">
                  <c:v>3.9691038719099652</c:v>
                </c:pt>
                <c:pt idx="154">
                  <c:v>3.9691038719099652</c:v>
                </c:pt>
                <c:pt idx="155">
                  <c:v>3.9935656386559404</c:v>
                </c:pt>
                <c:pt idx="156">
                  <c:v>3.9691038719099652</c:v>
                </c:pt>
                <c:pt idx="157">
                  <c:v>3.9077289127981323</c:v>
                </c:pt>
                <c:pt idx="158">
                  <c:v>3.9077289127981323</c:v>
                </c:pt>
                <c:pt idx="159">
                  <c:v>3.9691038719099652</c:v>
                </c:pt>
                <c:pt idx="160">
                  <c:v>3.9691038719099652</c:v>
                </c:pt>
                <c:pt idx="161">
                  <c:v>3.9935656386559404</c:v>
                </c:pt>
                <c:pt idx="162">
                  <c:v>3.9622989719892732</c:v>
                </c:pt>
                <c:pt idx="163">
                  <c:v>3.9622989719892732</c:v>
                </c:pt>
                <c:pt idx="164">
                  <c:v>3.9622989719892732</c:v>
                </c:pt>
                <c:pt idx="165">
                  <c:v>3.9935656386559404</c:v>
                </c:pt>
                <c:pt idx="166">
                  <c:v>3.9622989719892732</c:v>
                </c:pt>
                <c:pt idx="167">
                  <c:v>3.9622989719892732</c:v>
                </c:pt>
                <c:pt idx="168">
                  <c:v>4.09493246058208</c:v>
                </c:pt>
                <c:pt idx="169">
                  <c:v>4.0884460824161017</c:v>
                </c:pt>
                <c:pt idx="170">
                  <c:v>4.09493246058208</c:v>
                </c:pt>
                <c:pt idx="171">
                  <c:v>3.9935656386559404</c:v>
                </c:pt>
                <c:pt idx="172">
                  <c:v>4.0337762365220735</c:v>
                </c:pt>
                <c:pt idx="173">
                  <c:v>4.09493246058208</c:v>
                </c:pt>
                <c:pt idx="174">
                  <c:v>4.119712749082769</c:v>
                </c:pt>
                <c:pt idx="175">
                  <c:v>4.1598579134474827</c:v>
                </c:pt>
                <c:pt idx="176">
                  <c:v>4.1598579134474827</c:v>
                </c:pt>
                <c:pt idx="177">
                  <c:v>4.1598579134474827</c:v>
                </c:pt>
                <c:pt idx="178">
                  <c:v>4.0337762365220735</c:v>
                </c:pt>
                <c:pt idx="179">
                  <c:v>3.9935656386559404</c:v>
                </c:pt>
                <c:pt idx="180">
                  <c:v>4.0337762365220735</c:v>
                </c:pt>
                <c:pt idx="181">
                  <c:v>4.0337762365220735</c:v>
                </c:pt>
                <c:pt idx="182">
                  <c:v>3.9622989719892732</c:v>
                </c:pt>
                <c:pt idx="183">
                  <c:v>3.9622989719892732</c:v>
                </c:pt>
                <c:pt idx="184">
                  <c:v>3.965632305322607</c:v>
                </c:pt>
                <c:pt idx="185">
                  <c:v>3.965632305322607</c:v>
                </c:pt>
                <c:pt idx="186">
                  <c:v>3.965632305322607</c:v>
                </c:pt>
                <c:pt idx="187">
                  <c:v>3.965632305322607</c:v>
                </c:pt>
                <c:pt idx="188">
                  <c:v>3.965632305322607</c:v>
                </c:pt>
                <c:pt idx="189">
                  <c:v>3.9110622461314657</c:v>
                </c:pt>
                <c:pt idx="190">
                  <c:v>3.9110622461314657</c:v>
                </c:pt>
                <c:pt idx="191">
                  <c:v>4.0371095698554074</c:v>
                </c:pt>
                <c:pt idx="192">
                  <c:v>3.9724372052432981</c:v>
                </c:pt>
                <c:pt idx="193">
                  <c:v>3.9724372052432981</c:v>
                </c:pt>
                <c:pt idx="194">
                  <c:v>3.9724372052432981</c:v>
                </c:pt>
                <c:pt idx="195">
                  <c:v>3.965632305322607</c:v>
                </c:pt>
                <c:pt idx="196">
                  <c:v>3.965632305322607</c:v>
                </c:pt>
                <c:pt idx="197">
                  <c:v>3.9724372052432981</c:v>
                </c:pt>
                <c:pt idx="198">
                  <c:v>3.9724372052432981</c:v>
                </c:pt>
                <c:pt idx="199">
                  <c:v>4.0371095698554074</c:v>
                </c:pt>
                <c:pt idx="200">
                  <c:v>4.0371095698554074</c:v>
                </c:pt>
                <c:pt idx="201">
                  <c:v>4.0371095698554074</c:v>
                </c:pt>
                <c:pt idx="202">
                  <c:v>3.965632305322607</c:v>
                </c:pt>
                <c:pt idx="203">
                  <c:v>3.965632305322607</c:v>
                </c:pt>
                <c:pt idx="204">
                  <c:v>3.965632305322607</c:v>
                </c:pt>
                <c:pt idx="205">
                  <c:v>4.0371095698554074</c:v>
                </c:pt>
                <c:pt idx="206">
                  <c:v>4.0371095698554074</c:v>
                </c:pt>
                <c:pt idx="207">
                  <c:v>3.9968989719892734</c:v>
                </c:pt>
                <c:pt idx="208">
                  <c:v>3.9968989719892734</c:v>
                </c:pt>
                <c:pt idx="209">
                  <c:v>4.0371095698554074</c:v>
                </c:pt>
                <c:pt idx="210">
                  <c:v>3.9968989719892734</c:v>
                </c:pt>
                <c:pt idx="211">
                  <c:v>3.9968989719892734</c:v>
                </c:pt>
                <c:pt idx="212">
                  <c:v>3.965632305322607</c:v>
                </c:pt>
                <c:pt idx="213">
                  <c:v>3.9110622461314657</c:v>
                </c:pt>
                <c:pt idx="214">
                  <c:v>3.8395192426148759</c:v>
                </c:pt>
                <c:pt idx="215">
                  <c:v>3.8395192426148759</c:v>
                </c:pt>
                <c:pt idx="216">
                  <c:v>3.7819467858228437</c:v>
                </c:pt>
                <c:pt idx="217">
                  <c:v>3.8465772748965774</c:v>
                </c:pt>
                <c:pt idx="218">
                  <c:v>3.7819467858228437</c:v>
                </c:pt>
                <c:pt idx="219">
                  <c:v>3.7133735457080617</c:v>
                </c:pt>
                <c:pt idx="220">
                  <c:v>3.744640212374728</c:v>
                </c:pt>
                <c:pt idx="221">
                  <c:v>3.7133735457080617</c:v>
                </c:pt>
                <c:pt idx="222">
                  <c:v>3.7133735457080617</c:v>
                </c:pt>
                <c:pt idx="223">
                  <c:v>3.7819467858228437</c:v>
                </c:pt>
                <c:pt idx="224">
                  <c:v>3.744640212374728</c:v>
                </c:pt>
                <c:pt idx="225">
                  <c:v>3.744640212374728</c:v>
                </c:pt>
                <c:pt idx="226">
                  <c:v>3.7819467858228437</c:v>
                </c:pt>
                <c:pt idx="227">
                  <c:v>3.744640212374728</c:v>
                </c:pt>
                <c:pt idx="228">
                  <c:v>3.7133735457080617</c:v>
                </c:pt>
                <c:pt idx="229">
                  <c:v>3.7454735457080615</c:v>
                </c:pt>
                <c:pt idx="230">
                  <c:v>3.7142068790413951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03808"/>
        <c:axId val="324685824"/>
      </c:lineChart>
      <c:catAx>
        <c:axId val="3245038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324685824"/>
        <c:crosses val="autoZero"/>
        <c:auto val="1"/>
        <c:lblAlgn val="ctr"/>
        <c:lblOffset val="100"/>
        <c:tickLblSkip val="20"/>
        <c:tickMarkSkip val="5"/>
        <c:noMultiLvlLbl val="0"/>
      </c:catAx>
      <c:valAx>
        <c:axId val="324685824"/>
        <c:scaling>
          <c:orientation val="minMax"/>
          <c:min val="3.6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24503808"/>
        <c:crosses val="autoZero"/>
        <c:crossBetween val="between"/>
      </c:valAx>
      <c:spPr>
        <a:ln>
          <a:solidFill>
            <a:schemeClr val="tx1"/>
          </a:solidFill>
          <a:prstDash val="sysDash"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Master.xlsm]Rates Summary!PivotTable2</c:name>
    <c:fmtId val="8"/>
  </c:pivotSource>
  <c:chart>
    <c:title>
      <c:tx>
        <c:rich>
          <a:bodyPr/>
          <a:lstStyle/>
          <a:p>
            <a:pPr algn="ctr" rtl="0">
              <a:def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Servicing Spread &amp; Current Coupon -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ln w="19050">
            <a:solidFill>
              <a:srgbClr val="AD275C"/>
            </a:solidFill>
          </a:ln>
        </c:spPr>
        <c:marker>
          <c:symbol val="circle"/>
          <c:size val="2"/>
          <c:spPr>
            <a:ln w="19050">
              <a:solidFill>
                <a:srgbClr val="AD275C"/>
              </a:solidFill>
            </a:ln>
          </c:spPr>
        </c:marker>
      </c:pivotFmt>
      <c:pivotFmt>
        <c:idx val="7"/>
        <c:spPr>
          <a:ln w="19050">
            <a:solidFill>
              <a:srgbClr val="2E398A"/>
            </a:solidFill>
            <a:prstDash val="solid"/>
          </a:ln>
        </c:spPr>
        <c:marker>
          <c:symbol val="circle"/>
          <c:size val="2"/>
          <c:spPr>
            <a:solidFill>
              <a:srgbClr val="2E398A"/>
            </a:solidFill>
            <a:ln w="19050">
              <a:solidFill>
                <a:srgbClr val="2E398A"/>
              </a:solidFill>
              <a:prstDash val="solid"/>
            </a:ln>
          </c:spPr>
        </c:marker>
      </c:pivotFmt>
    </c:pivotFmts>
    <c:plotArea>
      <c:layout>
        <c:manualLayout>
          <c:layoutTarget val="inner"/>
          <c:xMode val="edge"/>
          <c:yMode val="edge"/>
          <c:x val="6.3328594342373867E-2"/>
          <c:y val="0.16511686039245094"/>
          <c:w val="0.89350741321605842"/>
          <c:h val="0.63621422322209731"/>
        </c:manualLayout>
      </c:layout>
      <c:lineChart>
        <c:grouping val="standard"/>
        <c:varyColors val="0"/>
        <c:ser>
          <c:idx val="1"/>
          <c:order val="1"/>
          <c:tx>
            <c:strRef>
              <c:f>'Rates Summary'!$O$78:$O$79</c:f>
              <c:strCache>
                <c:ptCount val="1"/>
                <c:pt idx="0">
                  <c:v>30-Yr Conventional Servicing Spread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2"/>
            <c:spPr>
              <a:ln w="19050">
                <a:solidFill>
                  <a:srgbClr val="AD275C"/>
                </a:solidFill>
              </a:ln>
            </c:spPr>
          </c:marker>
          <c:cat>
            <c:strRef>
              <c:f>'Rates Summary'!$M$80:$M$310</c:f>
              <c:strCache>
                <c:ptCount val="231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</c:strCache>
            </c:strRef>
          </c:cat>
          <c:val>
            <c:numRef>
              <c:f>'Rates Summary'!$O$80:$O$310</c:f>
              <c:numCache>
                <c:formatCode>General</c:formatCode>
                <c:ptCount val="231"/>
                <c:pt idx="0">
                  <c:v>1.3767723130618554</c:v>
                </c:pt>
                <c:pt idx="1">
                  <c:v>1.3850546031605075</c:v>
                </c:pt>
                <c:pt idx="2">
                  <c:v>1.3692587050391631</c:v>
                </c:pt>
                <c:pt idx="3">
                  <c:v>1.3490675358181696</c:v>
                </c:pt>
                <c:pt idx="4">
                  <c:v>1.350389284878674</c:v>
                </c:pt>
                <c:pt idx="5">
                  <c:v>1.3485070688916867</c:v>
                </c:pt>
                <c:pt idx="6">
                  <c:v>1.3560774820987149</c:v>
                </c:pt>
                <c:pt idx="7">
                  <c:v>1.344209617863692</c:v>
                </c:pt>
                <c:pt idx="8">
                  <c:v>1.3396149033691263</c:v>
                </c:pt>
                <c:pt idx="9">
                  <c:v>1.3107424221176069</c:v>
                </c:pt>
                <c:pt idx="10">
                  <c:v>1.3237028011769647</c:v>
                </c:pt>
                <c:pt idx="11">
                  <c:v>1.3697307582715406</c:v>
                </c:pt>
                <c:pt idx="12">
                  <c:v>1.3176631575817741</c:v>
                </c:pt>
                <c:pt idx="13">
                  <c:v>1.380434488216318</c:v>
                </c:pt>
                <c:pt idx="14">
                  <c:v>1.3608783819725627</c:v>
                </c:pt>
                <c:pt idx="15">
                  <c:v>1.3753831809120984</c:v>
                </c:pt>
                <c:pt idx="16">
                  <c:v>1.3445010227561975</c:v>
                </c:pt>
                <c:pt idx="17">
                  <c:v>1.3813410012688965</c:v>
                </c:pt>
                <c:pt idx="18">
                  <c:v>1.4088439334600631</c:v>
                </c:pt>
                <c:pt idx="19">
                  <c:v>1.3829965684645829</c:v>
                </c:pt>
                <c:pt idx="20">
                  <c:v>1.4104066097299408</c:v>
                </c:pt>
                <c:pt idx="21">
                  <c:v>1.4414732984829457</c:v>
                </c:pt>
                <c:pt idx="22">
                  <c:v>1.3984649566955778</c:v>
                </c:pt>
                <c:pt idx="23">
                  <c:v>1.4275418500681698</c:v>
                </c:pt>
                <c:pt idx="24">
                  <c:v>1.4347708909616306</c:v>
                </c:pt>
                <c:pt idx="25">
                  <c:v>1.45449494111489</c:v>
                </c:pt>
                <c:pt idx="26">
                  <c:v>1.4284238056650325</c:v>
                </c:pt>
                <c:pt idx="27">
                  <c:v>1.4339693770784783</c:v>
                </c:pt>
                <c:pt idx="28">
                  <c:v>1.3985370958949779</c:v>
                </c:pt>
                <c:pt idx="29">
                  <c:v>1.4141832503070106</c:v>
                </c:pt>
                <c:pt idx="30">
                  <c:v>1.4400239062985229</c:v>
                </c:pt>
                <c:pt idx="31">
                  <c:v>1.4765459371823244</c:v>
                </c:pt>
                <c:pt idx="32">
                  <c:v>1.4816570489965968</c:v>
                </c:pt>
                <c:pt idx="33">
                  <c:v>1.4553975121316345</c:v>
                </c:pt>
                <c:pt idx="34">
                  <c:v>1.4484845527450128</c:v>
                </c:pt>
                <c:pt idx="35">
                  <c:v>1.4189829558031428</c:v>
                </c:pt>
                <c:pt idx="36">
                  <c:v>1.3955985888148446</c:v>
                </c:pt>
                <c:pt idx="37">
                  <c:v>1.4027324649448731</c:v>
                </c:pt>
                <c:pt idx="38">
                  <c:v>1.4287261054410563</c:v>
                </c:pt>
                <c:pt idx="39">
                  <c:v>1.399638181655116</c:v>
                </c:pt>
                <c:pt idx="40">
                  <c:v>1.3965245043623147</c:v>
                </c:pt>
                <c:pt idx="41">
                  <c:v>1.4051259133719631</c:v>
                </c:pt>
                <c:pt idx="42">
                  <c:v>1.392326959678261</c:v>
                </c:pt>
                <c:pt idx="43">
                  <c:v>1.3376037045529532</c:v>
                </c:pt>
                <c:pt idx="44">
                  <c:v>1.3382868556600449</c:v>
                </c:pt>
                <c:pt idx="45">
                  <c:v>1.3591058371379292</c:v>
                </c:pt>
                <c:pt idx="46">
                  <c:v>1.3488685175880604</c:v>
                </c:pt>
                <c:pt idx="47">
                  <c:v>1.4193142585576541</c:v>
                </c:pt>
                <c:pt idx="48">
                  <c:v>1.3548718947147338</c:v>
                </c:pt>
                <c:pt idx="49">
                  <c:v>1.3180081621213482</c:v>
                </c:pt>
                <c:pt idx="50">
                  <c:v>1.2901623738570742</c:v>
                </c:pt>
                <c:pt idx="51">
                  <c:v>1.2758005799587988</c:v>
                </c:pt>
                <c:pt idx="52">
                  <c:v>1.3277952372216348</c:v>
                </c:pt>
                <c:pt idx="53">
                  <c:v>1.4060407971615168</c:v>
                </c:pt>
                <c:pt idx="54">
                  <c:v>1.3250673032177192</c:v>
                </c:pt>
                <c:pt idx="55">
                  <c:v>1.3854099604525558</c:v>
                </c:pt>
                <c:pt idx="56">
                  <c:v>1.3856715887829274</c:v>
                </c:pt>
                <c:pt idx="57">
                  <c:v>1.4063989296447374</c:v>
                </c:pt>
                <c:pt idx="58">
                  <c:v>1.4030263634132119</c:v>
                </c:pt>
                <c:pt idx="59">
                  <c:v>1.44198666367699</c:v>
                </c:pt>
                <c:pt idx="60">
                  <c:v>1.3918403508282922</c:v>
                </c:pt>
                <c:pt idx="61">
                  <c:v>1.3819537066305525</c:v>
                </c:pt>
                <c:pt idx="62">
                  <c:v>1.3595143674414412</c:v>
                </c:pt>
                <c:pt idx="63">
                  <c:v>1.3899216487000827</c:v>
                </c:pt>
                <c:pt idx="64">
                  <c:v>1.3159947927940223</c:v>
                </c:pt>
                <c:pt idx="65">
                  <c:v>1.3179575902307146</c:v>
                </c:pt>
                <c:pt idx="66">
                  <c:v>1.3764410362338237</c:v>
                </c:pt>
                <c:pt idx="67">
                  <c:v>1.328582321910313</c:v>
                </c:pt>
                <c:pt idx="68">
                  <c:v>1.3365601446523632</c:v>
                </c:pt>
                <c:pt idx="69">
                  <c:v>1.3340285749929719</c:v>
                </c:pt>
                <c:pt idx="70">
                  <c:v>1.363248574151259</c:v>
                </c:pt>
                <c:pt idx="71">
                  <c:v>1.3727474583322374</c:v>
                </c:pt>
                <c:pt idx="72">
                  <c:v>1.3520436311364827</c:v>
                </c:pt>
                <c:pt idx="73">
                  <c:v>1.3250009408803773</c:v>
                </c:pt>
                <c:pt idx="74">
                  <c:v>1.3546590474000695</c:v>
                </c:pt>
                <c:pt idx="75">
                  <c:v>1.3784025956929589</c:v>
                </c:pt>
                <c:pt idx="76">
                  <c:v>1.3626117600642815</c:v>
                </c:pt>
                <c:pt idx="77">
                  <c:v>1.3393027160157196</c:v>
                </c:pt>
                <c:pt idx="78">
                  <c:v>1.3248194727734872</c:v>
                </c:pt>
                <c:pt idx="79">
                  <c:v>1.3173137949883147</c:v>
                </c:pt>
                <c:pt idx="80">
                  <c:v>1.3541190053582786</c:v>
                </c:pt>
                <c:pt idx="81">
                  <c:v>1.3323746511014782</c:v>
                </c:pt>
                <c:pt idx="82">
                  <c:v>1.2688630129929737</c:v>
                </c:pt>
                <c:pt idx="83">
                  <c:v>1.381400351642144</c:v>
                </c:pt>
                <c:pt idx="84">
                  <c:v>1.341395844456327</c:v>
                </c:pt>
                <c:pt idx="85">
                  <c:v>1.3579387500851681</c:v>
                </c:pt>
                <c:pt idx="86">
                  <c:v>1.3318842535059612</c:v>
                </c:pt>
                <c:pt idx="87">
                  <c:v>1.403088195853847</c:v>
                </c:pt>
                <c:pt idx="88">
                  <c:v>1.3885261473635655</c:v>
                </c:pt>
                <c:pt idx="89">
                  <c:v>1.4464195837012623</c:v>
                </c:pt>
                <c:pt idx="90">
                  <c:v>1.3791834069139486</c:v>
                </c:pt>
                <c:pt idx="91">
                  <c:v>1.3623221262366418</c:v>
                </c:pt>
                <c:pt idx="92">
                  <c:v>1.3459714438214008</c:v>
                </c:pt>
                <c:pt idx="93">
                  <c:v>1.3551356009374995</c:v>
                </c:pt>
                <c:pt idx="94">
                  <c:v>1.3862663110886373</c:v>
                </c:pt>
                <c:pt idx="95">
                  <c:v>1.3647904303378449</c:v>
                </c:pt>
                <c:pt idx="96">
                  <c:v>1.3301538255240535</c:v>
                </c:pt>
                <c:pt idx="97">
                  <c:v>1.337556217179366</c:v>
                </c:pt>
                <c:pt idx="98">
                  <c:v>1.3954639430270657</c:v>
                </c:pt>
                <c:pt idx="99">
                  <c:v>1.3995708395773065</c:v>
                </c:pt>
                <c:pt idx="100">
                  <c:v>1.4411629915795856</c:v>
                </c:pt>
                <c:pt idx="101">
                  <c:v>1.3615908789310525</c:v>
                </c:pt>
                <c:pt idx="102">
                  <c:v>1.3905033314839395</c:v>
                </c:pt>
                <c:pt idx="103">
                  <c:v>1.406894726432065</c:v>
                </c:pt>
                <c:pt idx="104">
                  <c:v>1.3990730709089572</c:v>
                </c:pt>
                <c:pt idx="105">
                  <c:v>1.4142622761226427</c:v>
                </c:pt>
                <c:pt idx="106">
                  <c:v>1.3746115348342114</c:v>
                </c:pt>
                <c:pt idx="107">
                  <c:v>1.3884211033274538</c:v>
                </c:pt>
                <c:pt idx="108">
                  <c:v>1.3417099204406964</c:v>
                </c:pt>
                <c:pt idx="109">
                  <c:v>1.3897272293081944</c:v>
                </c:pt>
                <c:pt idx="110">
                  <c:v>1.4062236602360569</c:v>
                </c:pt>
                <c:pt idx="111">
                  <c:v>1.3819113318165615</c:v>
                </c:pt>
                <c:pt idx="112">
                  <c:v>1.3528192699155452</c:v>
                </c:pt>
                <c:pt idx="113">
                  <c:v>1.3667998914706656</c:v>
                </c:pt>
                <c:pt idx="114">
                  <c:v>1.3935265574210718</c:v>
                </c:pt>
                <c:pt idx="115">
                  <c:v>1.3199668474812989</c:v>
                </c:pt>
                <c:pt idx="116">
                  <c:v>1.3471126329946661</c:v>
                </c:pt>
                <c:pt idx="117">
                  <c:v>1.3569649967621358</c:v>
                </c:pt>
                <c:pt idx="118">
                  <c:v>1.3786533705042512</c:v>
                </c:pt>
                <c:pt idx="119">
                  <c:v>1.3842193880067069</c:v>
                </c:pt>
                <c:pt idx="120">
                  <c:v>1.4184805925595136</c:v>
                </c:pt>
                <c:pt idx="121">
                  <c:v>1.4240510820396328</c:v>
                </c:pt>
                <c:pt idx="122">
                  <c:v>1.3461775581264221</c:v>
                </c:pt>
                <c:pt idx="123">
                  <c:v>1.3762244225186233</c:v>
                </c:pt>
                <c:pt idx="124">
                  <c:v>1.3702876473877039</c:v>
                </c:pt>
                <c:pt idx="125">
                  <c:v>1.371620139292911</c:v>
                </c:pt>
                <c:pt idx="126">
                  <c:v>1.3359142635562784</c:v>
                </c:pt>
                <c:pt idx="127">
                  <c:v>1.3398637747196687</c:v>
                </c:pt>
                <c:pt idx="128">
                  <c:v>1.3662351624346272</c:v>
                </c:pt>
                <c:pt idx="129">
                  <c:v>1.3334668463308543</c:v>
                </c:pt>
                <c:pt idx="130">
                  <c:v>1.3548011989398434</c:v>
                </c:pt>
                <c:pt idx="131">
                  <c:v>1.345934545877109</c:v>
                </c:pt>
                <c:pt idx="132">
                  <c:v>1.3421916816529791</c:v>
                </c:pt>
                <c:pt idx="133">
                  <c:v>1.3801484621049211</c:v>
                </c:pt>
                <c:pt idx="134">
                  <c:v>1.3139892686049721</c:v>
                </c:pt>
                <c:pt idx="135">
                  <c:v>1.3094000937836907</c:v>
                </c:pt>
                <c:pt idx="136">
                  <c:v>1.320676630630637</c:v>
                </c:pt>
                <c:pt idx="137">
                  <c:v>1.2841143094237346</c:v>
                </c:pt>
                <c:pt idx="138">
                  <c:v>1.3153333917490166</c:v>
                </c:pt>
                <c:pt idx="139">
                  <c:v>1.3609315490244984</c:v>
                </c:pt>
                <c:pt idx="140">
                  <c:v>1.3433624005666713</c:v>
                </c:pt>
                <c:pt idx="141">
                  <c:v>1.2711291981569215</c:v>
                </c:pt>
                <c:pt idx="142">
                  <c:v>1.3403856147060331</c:v>
                </c:pt>
                <c:pt idx="143">
                  <c:v>1.3087192423471181</c:v>
                </c:pt>
                <c:pt idx="144">
                  <c:v>1.3100166515089626</c:v>
                </c:pt>
                <c:pt idx="145">
                  <c:v>1.3392598943022547</c:v>
                </c:pt>
                <c:pt idx="146">
                  <c:v>1.4016700850654802</c:v>
                </c:pt>
                <c:pt idx="147">
                  <c:v>1.3695696294134241</c:v>
                </c:pt>
                <c:pt idx="148">
                  <c:v>1.360607222928208</c:v>
                </c:pt>
                <c:pt idx="149">
                  <c:v>1.3608517481168692</c:v>
                </c:pt>
                <c:pt idx="150">
                  <c:v>1.3352855380387381</c:v>
                </c:pt>
                <c:pt idx="151">
                  <c:v>1.3584576499280527</c:v>
                </c:pt>
                <c:pt idx="152">
                  <c:v>1.4099505967942854</c:v>
                </c:pt>
                <c:pt idx="153">
                  <c:v>1.3968846705228266</c:v>
                </c:pt>
                <c:pt idx="154">
                  <c:v>1.3458300099986316</c:v>
                </c:pt>
                <c:pt idx="155">
                  <c:v>1.3617867057788908</c:v>
                </c:pt>
                <c:pt idx="156">
                  <c:v>1.3884027369181562</c:v>
                </c:pt>
                <c:pt idx="157">
                  <c:v>1.4157152039569625</c:v>
                </c:pt>
                <c:pt idx="158">
                  <c:v>1.3736667089216181</c:v>
                </c:pt>
                <c:pt idx="159">
                  <c:v>1.3947662077366294</c:v>
                </c:pt>
                <c:pt idx="160">
                  <c:v>1.4143963987281183</c:v>
                </c:pt>
                <c:pt idx="161">
                  <c:v>1.4014476420636686</c:v>
                </c:pt>
                <c:pt idx="162">
                  <c:v>1.4012448010444774</c:v>
                </c:pt>
                <c:pt idx="163">
                  <c:v>1.4211699420075385</c:v>
                </c:pt>
                <c:pt idx="164">
                  <c:v>1.3672588343876586</c:v>
                </c:pt>
                <c:pt idx="165">
                  <c:v>1.3951841896257662</c:v>
                </c:pt>
                <c:pt idx="166">
                  <c:v>1.3822648838722078</c:v>
                </c:pt>
                <c:pt idx="167">
                  <c:v>1.3405939855792273</c:v>
                </c:pt>
                <c:pt idx="168">
                  <c:v>1.3163425157674535</c:v>
                </c:pt>
                <c:pt idx="169">
                  <c:v>1.382603279306442</c:v>
                </c:pt>
                <c:pt idx="170">
                  <c:v>1.333515372857075</c:v>
                </c:pt>
                <c:pt idx="171">
                  <c:v>1.3140489826323516</c:v>
                </c:pt>
                <c:pt idx="172">
                  <c:v>1.3005788962555929</c:v>
                </c:pt>
                <c:pt idx="173">
                  <c:v>1.3462915602679879</c:v>
                </c:pt>
                <c:pt idx="174">
                  <c:v>1.3172937290421491</c:v>
                </c:pt>
                <c:pt idx="175">
                  <c:v>1.316787062149724</c:v>
                </c:pt>
                <c:pt idx="176">
                  <c:v>1.3510158512803705</c:v>
                </c:pt>
                <c:pt idx="177">
                  <c:v>1.3118123719292241</c:v>
                </c:pt>
                <c:pt idx="178">
                  <c:v>1.3409432636572283</c:v>
                </c:pt>
                <c:pt idx="179">
                  <c:v>1.3093469566609726</c:v>
                </c:pt>
                <c:pt idx="180">
                  <c:v>1.3659462776110343</c:v>
                </c:pt>
                <c:pt idx="181">
                  <c:v>1.3421756357701742</c:v>
                </c:pt>
                <c:pt idx="182">
                  <c:v>1.3275612153295382</c:v>
                </c:pt>
                <c:pt idx="183">
                  <c:v>1.3460355153841306</c:v>
                </c:pt>
                <c:pt idx="184">
                  <c:v>1.3497577833207932</c:v>
                </c:pt>
                <c:pt idx="185">
                  <c:v>1.312558811100295</c:v>
                </c:pt>
                <c:pt idx="186">
                  <c:v>1.3328332204110456</c:v>
                </c:pt>
                <c:pt idx="187">
                  <c:v>1.3789085705873161</c:v>
                </c:pt>
                <c:pt idx="188">
                  <c:v>1.3870107438833901</c:v>
                </c:pt>
                <c:pt idx="189">
                  <c:v>1.3720497680960513</c:v>
                </c:pt>
                <c:pt idx="190">
                  <c:v>1.3512398203888618</c:v>
                </c:pt>
                <c:pt idx="191">
                  <c:v>1.3257441323564103</c:v>
                </c:pt>
                <c:pt idx="192">
                  <c:v>1.3523272828480835</c:v>
                </c:pt>
                <c:pt idx="193">
                  <c:v>1.4100866573652131</c:v>
                </c:pt>
                <c:pt idx="194">
                  <c:v>1.3307468533549343</c:v>
                </c:pt>
                <c:pt idx="195">
                  <c:v>1.3822072513889021</c:v>
                </c:pt>
                <c:pt idx="196">
                  <c:v>1.3035323107608618</c:v>
                </c:pt>
                <c:pt idx="197">
                  <c:v>1.3620967408307858</c:v>
                </c:pt>
                <c:pt idx="198">
                  <c:v>1.333773998786383</c:v>
                </c:pt>
                <c:pt idx="199">
                  <c:v>1.3948236198639736</c:v>
                </c:pt>
                <c:pt idx="200">
                  <c:v>1.3773493316441123</c:v>
                </c:pt>
                <c:pt idx="201">
                  <c:v>1.3511166597308324</c:v>
                </c:pt>
                <c:pt idx="202">
                  <c:v>1.3618438709171168</c:v>
                </c:pt>
                <c:pt idx="203">
                  <c:v>1.3359955989425345</c:v>
                </c:pt>
                <c:pt idx="204">
                  <c:v>1.3254859343729883</c:v>
                </c:pt>
                <c:pt idx="205">
                  <c:v>1.3633591624764714</c:v>
                </c:pt>
                <c:pt idx="206">
                  <c:v>1.3857901773313539</c:v>
                </c:pt>
                <c:pt idx="207">
                  <c:v>1.3979949111574996</c:v>
                </c:pt>
                <c:pt idx="208">
                  <c:v>1.3392070009488681</c:v>
                </c:pt>
                <c:pt idx="209">
                  <c:v>1.375136043082168</c:v>
                </c:pt>
                <c:pt idx="210">
                  <c:v>1.3275532407818007</c:v>
                </c:pt>
                <c:pt idx="211">
                  <c:v>1.3504005561690013</c:v>
                </c:pt>
                <c:pt idx="212">
                  <c:v>1.3707734753573573</c:v>
                </c:pt>
                <c:pt idx="213">
                  <c:v>1.4053760664038701</c:v>
                </c:pt>
                <c:pt idx="214">
                  <c:v>1.4362617907126243</c:v>
                </c:pt>
                <c:pt idx="215">
                  <c:v>1.412143301539486</c:v>
                </c:pt>
                <c:pt idx="216">
                  <c:v>1.3902543567849559</c:v>
                </c:pt>
                <c:pt idx="217">
                  <c:v>1.4433972483785733</c:v>
                </c:pt>
                <c:pt idx="218">
                  <c:v>1.4167037894257015</c:v>
                </c:pt>
                <c:pt idx="219">
                  <c:v>1.3867328481514531</c:v>
                </c:pt>
                <c:pt idx="220">
                  <c:v>1.3989292121888393</c:v>
                </c:pt>
                <c:pt idx="221">
                  <c:v>1.4531963915360162</c:v>
                </c:pt>
                <c:pt idx="222">
                  <c:v>1.4138674629050358</c:v>
                </c:pt>
                <c:pt idx="223">
                  <c:v>1.4027596397735813</c:v>
                </c:pt>
                <c:pt idx="224">
                  <c:v>1.4454787058738934</c:v>
                </c:pt>
                <c:pt idx="225">
                  <c:v>1.4702887269816074</c:v>
                </c:pt>
                <c:pt idx="226">
                  <c:v>1.4662318001458878</c:v>
                </c:pt>
                <c:pt idx="227">
                  <c:v>1.4403447713549691</c:v>
                </c:pt>
                <c:pt idx="228">
                  <c:v>1.4493989069436828</c:v>
                </c:pt>
                <c:pt idx="229">
                  <c:v>1.3990047617591512</c:v>
                </c:pt>
                <c:pt idx="230">
                  <c:v>1.4839317175837758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853248"/>
        <c:axId val="401936768"/>
      </c:lineChart>
      <c:lineChart>
        <c:grouping val="standard"/>
        <c:varyColors val="0"/>
        <c:ser>
          <c:idx val="0"/>
          <c:order val="0"/>
          <c:tx>
            <c:strRef>
              <c:f>'Rates Summary'!$N$78:$N$79</c:f>
              <c:strCache>
                <c:ptCount val="1"/>
                <c:pt idx="0">
                  <c:v>FNMA 30-yr Current Coupon</c:v>
                </c:pt>
              </c:strCache>
            </c:strRef>
          </c:tx>
          <c:spPr>
            <a:ln w="19050">
              <a:solidFill>
                <a:srgbClr val="2E398A"/>
              </a:solidFill>
              <a:prstDash val="solid"/>
            </a:ln>
          </c:spPr>
          <c:marker>
            <c:symbol val="circle"/>
            <c:size val="2"/>
            <c:spPr>
              <a:solidFill>
                <a:srgbClr val="2E398A"/>
              </a:solidFill>
              <a:ln w="19050">
                <a:solidFill>
                  <a:srgbClr val="2E398A"/>
                </a:solidFill>
                <a:prstDash val="solid"/>
              </a:ln>
            </c:spPr>
          </c:marker>
          <c:cat>
            <c:strRef>
              <c:f>'Rates Summary'!$M$80:$M$310</c:f>
              <c:strCache>
                <c:ptCount val="231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  <c:pt idx="108">
                  <c:v>2015-08-04</c:v>
                </c:pt>
                <c:pt idx="109">
                  <c:v>2015-08-05</c:v>
                </c:pt>
                <c:pt idx="110">
                  <c:v>2015-08-06</c:v>
                </c:pt>
                <c:pt idx="111">
                  <c:v>2015-08-07</c:v>
                </c:pt>
                <c:pt idx="112">
                  <c:v>2015-08-10</c:v>
                </c:pt>
                <c:pt idx="113">
                  <c:v>2015-08-11</c:v>
                </c:pt>
                <c:pt idx="114">
                  <c:v>2015-08-12</c:v>
                </c:pt>
                <c:pt idx="115">
                  <c:v>2015-08-13</c:v>
                </c:pt>
                <c:pt idx="116">
                  <c:v>2015-08-14</c:v>
                </c:pt>
                <c:pt idx="117">
                  <c:v>2015-08-17</c:v>
                </c:pt>
                <c:pt idx="118">
                  <c:v>2015-08-18</c:v>
                </c:pt>
                <c:pt idx="119">
                  <c:v>2015-08-19</c:v>
                </c:pt>
                <c:pt idx="120">
                  <c:v>2015-08-20</c:v>
                </c:pt>
                <c:pt idx="121">
                  <c:v>2015-08-21</c:v>
                </c:pt>
                <c:pt idx="122">
                  <c:v>2015-08-24</c:v>
                </c:pt>
                <c:pt idx="123">
                  <c:v>2015-08-25</c:v>
                </c:pt>
                <c:pt idx="124">
                  <c:v>2015-08-26</c:v>
                </c:pt>
                <c:pt idx="125">
                  <c:v>2015-08-27</c:v>
                </c:pt>
                <c:pt idx="126">
                  <c:v>2015-08-28</c:v>
                </c:pt>
                <c:pt idx="127">
                  <c:v>2015-08-31</c:v>
                </c:pt>
                <c:pt idx="128">
                  <c:v>2015-09-01</c:v>
                </c:pt>
                <c:pt idx="129">
                  <c:v>2015-09-02</c:v>
                </c:pt>
                <c:pt idx="130">
                  <c:v>2015-09-03</c:v>
                </c:pt>
                <c:pt idx="131">
                  <c:v>2015-09-04</c:v>
                </c:pt>
                <c:pt idx="132">
                  <c:v>2015-09-08</c:v>
                </c:pt>
                <c:pt idx="133">
                  <c:v>2015-09-09</c:v>
                </c:pt>
                <c:pt idx="134">
                  <c:v>2015-09-10</c:v>
                </c:pt>
                <c:pt idx="135">
                  <c:v>2015-09-11</c:v>
                </c:pt>
                <c:pt idx="136">
                  <c:v>2015-09-14</c:v>
                </c:pt>
                <c:pt idx="137">
                  <c:v>2015-09-15</c:v>
                </c:pt>
                <c:pt idx="138">
                  <c:v>2015-09-16</c:v>
                </c:pt>
                <c:pt idx="139">
                  <c:v>2015-09-17</c:v>
                </c:pt>
                <c:pt idx="140">
                  <c:v>2015-09-18</c:v>
                </c:pt>
                <c:pt idx="141">
                  <c:v>2015-09-21</c:v>
                </c:pt>
                <c:pt idx="142">
                  <c:v>2015-09-22</c:v>
                </c:pt>
                <c:pt idx="143">
                  <c:v>2015-09-23</c:v>
                </c:pt>
                <c:pt idx="144">
                  <c:v>2015-09-24</c:v>
                </c:pt>
                <c:pt idx="145">
                  <c:v>2015-09-25</c:v>
                </c:pt>
                <c:pt idx="146">
                  <c:v>2015-09-28</c:v>
                </c:pt>
                <c:pt idx="147">
                  <c:v>2015-09-29</c:v>
                </c:pt>
                <c:pt idx="148">
                  <c:v>2015-09-30</c:v>
                </c:pt>
                <c:pt idx="149">
                  <c:v>2015-10-01</c:v>
                </c:pt>
                <c:pt idx="150">
                  <c:v>2015-10-02</c:v>
                </c:pt>
                <c:pt idx="151">
                  <c:v>2015-10-05</c:v>
                </c:pt>
                <c:pt idx="152">
                  <c:v>2015-10-06</c:v>
                </c:pt>
                <c:pt idx="153">
                  <c:v>2015-10-07</c:v>
                </c:pt>
                <c:pt idx="154">
                  <c:v>2015-10-08</c:v>
                </c:pt>
                <c:pt idx="155">
                  <c:v>2015-10-09</c:v>
                </c:pt>
                <c:pt idx="156">
                  <c:v>2015-10-13</c:v>
                </c:pt>
                <c:pt idx="157">
                  <c:v>2015-10-14</c:v>
                </c:pt>
                <c:pt idx="158">
                  <c:v>2015-10-15</c:v>
                </c:pt>
                <c:pt idx="159">
                  <c:v>2015-10-16</c:v>
                </c:pt>
                <c:pt idx="160">
                  <c:v>2015-10-19</c:v>
                </c:pt>
                <c:pt idx="161">
                  <c:v>2015-10-20</c:v>
                </c:pt>
                <c:pt idx="162">
                  <c:v>2015-10-21</c:v>
                </c:pt>
                <c:pt idx="163">
                  <c:v>2015-10-22</c:v>
                </c:pt>
                <c:pt idx="164">
                  <c:v>2015-10-23</c:v>
                </c:pt>
                <c:pt idx="165">
                  <c:v>2015-10-26</c:v>
                </c:pt>
                <c:pt idx="166">
                  <c:v>2015-10-27</c:v>
                </c:pt>
                <c:pt idx="167">
                  <c:v>2015-10-28</c:v>
                </c:pt>
                <c:pt idx="168">
                  <c:v>2015-10-29</c:v>
                </c:pt>
                <c:pt idx="169">
                  <c:v>2015-10-30</c:v>
                </c:pt>
                <c:pt idx="170">
                  <c:v>2015-11-02</c:v>
                </c:pt>
                <c:pt idx="171">
                  <c:v>2015-11-03</c:v>
                </c:pt>
                <c:pt idx="172">
                  <c:v>2015-11-04</c:v>
                </c:pt>
                <c:pt idx="173">
                  <c:v>2015-11-05</c:v>
                </c:pt>
                <c:pt idx="174">
                  <c:v>2015-11-06</c:v>
                </c:pt>
                <c:pt idx="175">
                  <c:v>2015-11-09</c:v>
                </c:pt>
                <c:pt idx="176">
                  <c:v>2015-11-10</c:v>
                </c:pt>
                <c:pt idx="177">
                  <c:v>2015-11-12</c:v>
                </c:pt>
                <c:pt idx="178">
                  <c:v>2015-11-13</c:v>
                </c:pt>
                <c:pt idx="179">
                  <c:v>2015-11-16</c:v>
                </c:pt>
                <c:pt idx="180">
                  <c:v>2015-11-17</c:v>
                </c:pt>
                <c:pt idx="181">
                  <c:v>2015-11-18</c:v>
                </c:pt>
                <c:pt idx="182">
                  <c:v>2015-11-19</c:v>
                </c:pt>
                <c:pt idx="183">
                  <c:v>2015-11-20</c:v>
                </c:pt>
                <c:pt idx="184">
                  <c:v>2015-11-23</c:v>
                </c:pt>
                <c:pt idx="185">
                  <c:v>2015-11-24</c:v>
                </c:pt>
                <c:pt idx="186">
                  <c:v>2015-11-25</c:v>
                </c:pt>
                <c:pt idx="187">
                  <c:v>2015-11-27</c:v>
                </c:pt>
                <c:pt idx="188">
                  <c:v>2015-11-30</c:v>
                </c:pt>
                <c:pt idx="189">
                  <c:v>2015-12-01</c:v>
                </c:pt>
                <c:pt idx="190">
                  <c:v>2015-12-02</c:v>
                </c:pt>
                <c:pt idx="191">
                  <c:v>2015-12-03</c:v>
                </c:pt>
                <c:pt idx="192">
                  <c:v>2015-12-04</c:v>
                </c:pt>
                <c:pt idx="193">
                  <c:v>2015-12-07</c:v>
                </c:pt>
                <c:pt idx="194">
                  <c:v>2015-12-08</c:v>
                </c:pt>
                <c:pt idx="195">
                  <c:v>2015-12-09</c:v>
                </c:pt>
                <c:pt idx="196">
                  <c:v>2015-12-10</c:v>
                </c:pt>
                <c:pt idx="197">
                  <c:v>2015-12-11</c:v>
                </c:pt>
                <c:pt idx="198">
                  <c:v>2015-12-14</c:v>
                </c:pt>
                <c:pt idx="199">
                  <c:v>2015-12-15</c:v>
                </c:pt>
                <c:pt idx="200">
                  <c:v>2015-12-16</c:v>
                </c:pt>
                <c:pt idx="201">
                  <c:v>2015-12-17</c:v>
                </c:pt>
                <c:pt idx="202">
                  <c:v>2015-12-18</c:v>
                </c:pt>
                <c:pt idx="203">
                  <c:v>2015-12-21</c:v>
                </c:pt>
                <c:pt idx="204">
                  <c:v>2015-12-22</c:v>
                </c:pt>
                <c:pt idx="205">
                  <c:v>2015-12-23</c:v>
                </c:pt>
                <c:pt idx="206">
                  <c:v>2015-12-24</c:v>
                </c:pt>
                <c:pt idx="207">
                  <c:v>2015-12-28</c:v>
                </c:pt>
                <c:pt idx="208">
                  <c:v>2015-12-29</c:v>
                </c:pt>
                <c:pt idx="209">
                  <c:v>2015-12-31</c:v>
                </c:pt>
                <c:pt idx="210">
                  <c:v>2016-01-04</c:v>
                </c:pt>
                <c:pt idx="211">
                  <c:v>2016-01-05</c:v>
                </c:pt>
                <c:pt idx="212">
                  <c:v>2016-01-06</c:v>
                </c:pt>
                <c:pt idx="213">
                  <c:v>2016-01-07</c:v>
                </c:pt>
                <c:pt idx="214">
                  <c:v>2016-01-08</c:v>
                </c:pt>
                <c:pt idx="215">
                  <c:v>2016-01-11</c:v>
                </c:pt>
                <c:pt idx="216">
                  <c:v>2016-01-12</c:v>
                </c:pt>
                <c:pt idx="217">
                  <c:v>2016-01-13</c:v>
                </c:pt>
                <c:pt idx="218">
                  <c:v>2016-01-14</c:v>
                </c:pt>
                <c:pt idx="219">
                  <c:v>2016-01-15</c:v>
                </c:pt>
                <c:pt idx="220">
                  <c:v>2016-01-19</c:v>
                </c:pt>
                <c:pt idx="221">
                  <c:v>2016-01-20</c:v>
                </c:pt>
                <c:pt idx="222">
                  <c:v>2016-01-21</c:v>
                </c:pt>
                <c:pt idx="223">
                  <c:v>2016-01-22</c:v>
                </c:pt>
                <c:pt idx="224">
                  <c:v>2016-01-25</c:v>
                </c:pt>
                <c:pt idx="225">
                  <c:v>2016-01-26</c:v>
                </c:pt>
                <c:pt idx="226">
                  <c:v>2016-01-27</c:v>
                </c:pt>
                <c:pt idx="227">
                  <c:v>2016-01-28</c:v>
                </c:pt>
                <c:pt idx="228">
                  <c:v>2016-01-29</c:v>
                </c:pt>
                <c:pt idx="229">
                  <c:v>2016-02-01</c:v>
                </c:pt>
                <c:pt idx="230">
                  <c:v>2016-02-02</c:v>
                </c:pt>
              </c:strCache>
            </c:strRef>
          </c:cat>
          <c:val>
            <c:numRef>
              <c:f>'Rates Summary'!$N$80:$N$310</c:f>
              <c:numCache>
                <c:formatCode>General</c:formatCode>
                <c:ptCount val="231"/>
                <c:pt idx="0">
                  <c:v>2.8341999400292899</c:v>
                </c:pt>
                <c:pt idx="1">
                  <c:v>2.8241837227534399</c:v>
                </c:pt>
                <c:pt idx="2">
                  <c:v>2.81556157497667</c:v>
                </c:pt>
                <c:pt idx="3">
                  <c:v>2.9303170109018999</c:v>
                </c:pt>
                <c:pt idx="4">
                  <c:v>2.90222752352993</c:v>
                </c:pt>
                <c:pt idx="5">
                  <c:v>2.84635033680676</c:v>
                </c:pt>
                <c:pt idx="6">
                  <c:v>2.8278353033181198</c:v>
                </c:pt>
                <c:pt idx="7">
                  <c:v>2.8138191102539798</c:v>
                </c:pt>
                <c:pt idx="8">
                  <c:v>2.8315057491425</c:v>
                </c:pt>
                <c:pt idx="9">
                  <c:v>2.8241768518279202</c:v>
                </c:pt>
                <c:pt idx="10">
                  <c:v>2.79584100930466</c:v>
                </c:pt>
                <c:pt idx="11">
                  <c:v>2.6928489030954199</c:v>
                </c:pt>
                <c:pt idx="12">
                  <c:v>2.70955656376128</c:v>
                </c:pt>
                <c:pt idx="13">
                  <c:v>2.6717729385436999</c:v>
                </c:pt>
                <c:pt idx="14">
                  <c:v>2.6575094779916602</c:v>
                </c:pt>
                <c:pt idx="15">
                  <c:v>2.60984671554638</c:v>
                </c:pt>
                <c:pt idx="16">
                  <c:v>2.6641693960453199</c:v>
                </c:pt>
                <c:pt idx="17">
                  <c:v>2.7519990602785001</c:v>
                </c:pt>
                <c:pt idx="18">
                  <c:v>2.6934832462996599</c:v>
                </c:pt>
                <c:pt idx="19">
                  <c:v>2.6906214304432701</c:v>
                </c:pt>
                <c:pt idx="20">
                  <c:v>2.66103516127894</c:v>
                </c:pt>
                <c:pt idx="21">
                  <c:v>2.5992657753902901</c:v>
                </c:pt>
                <c:pt idx="22">
                  <c:v>2.6512826680006101</c:v>
                </c:pt>
                <c:pt idx="23">
                  <c:v>2.5908884215358099</c:v>
                </c:pt>
                <c:pt idx="24">
                  <c:v>2.63391710374052</c:v>
                </c:pt>
                <c:pt idx="25">
                  <c:v>2.6287824588785198</c:v>
                </c:pt>
                <c:pt idx="26">
                  <c:v>2.62032151165119</c:v>
                </c:pt>
                <c:pt idx="27">
                  <c:v>2.6476582784281</c:v>
                </c:pt>
                <c:pt idx="28">
                  <c:v>2.6673945625319102</c:v>
                </c:pt>
                <c:pt idx="29">
                  <c:v>2.64134045041691</c:v>
                </c:pt>
                <c:pt idx="30">
                  <c:v>2.5968587672613901</c:v>
                </c:pt>
                <c:pt idx="31">
                  <c:v>2.58469358456979</c:v>
                </c:pt>
                <c:pt idx="32">
                  <c:v>2.5759029417987498</c:v>
                </c:pt>
                <c:pt idx="33">
                  <c:v>2.56712042045777</c:v>
                </c:pt>
                <c:pt idx="34">
                  <c:v>2.59858921707026</c:v>
                </c:pt>
                <c:pt idx="35">
                  <c:v>2.62252108008507</c:v>
                </c:pt>
                <c:pt idx="36">
                  <c:v>2.6753264137467299</c:v>
                </c:pt>
                <c:pt idx="37">
                  <c:v>2.6562875815293401</c:v>
                </c:pt>
                <c:pt idx="38">
                  <c:v>2.62955921776924</c:v>
                </c:pt>
                <c:pt idx="39">
                  <c:v>2.6437338504186898</c:v>
                </c:pt>
                <c:pt idx="40">
                  <c:v>2.6991414546305501</c:v>
                </c:pt>
                <c:pt idx="41">
                  <c:v>2.7467458715573199</c:v>
                </c:pt>
                <c:pt idx="42">
                  <c:v>2.7480147229669498</c:v>
                </c:pt>
                <c:pt idx="43">
                  <c:v>2.8064099070641602</c:v>
                </c:pt>
                <c:pt idx="44">
                  <c:v>2.8416760056146502</c:v>
                </c:pt>
                <c:pt idx="45">
                  <c:v>2.8756484754346898</c:v>
                </c:pt>
                <c:pt idx="46">
                  <c:v>2.91930519695658</c:v>
                </c:pt>
                <c:pt idx="47">
                  <c:v>2.86177796804412</c:v>
                </c:pt>
                <c:pt idx="48">
                  <c:v>2.8101076932532698</c:v>
                </c:pt>
                <c:pt idx="49">
                  <c:v>2.9199815904284798</c:v>
                </c:pt>
                <c:pt idx="50">
                  <c:v>2.9362897451124002</c:v>
                </c:pt>
                <c:pt idx="51">
                  <c:v>2.9586092652733198</c:v>
                </c:pt>
                <c:pt idx="52">
                  <c:v>2.9068905487933598</c:v>
                </c:pt>
                <c:pt idx="53">
                  <c:v>2.82631669904023</c:v>
                </c:pt>
                <c:pt idx="54">
                  <c:v>2.8896799307946499</c:v>
                </c:pt>
                <c:pt idx="55">
                  <c:v>2.9214483553786899</c:v>
                </c:pt>
                <c:pt idx="56">
                  <c:v>2.9102623265110599</c:v>
                </c:pt>
                <c:pt idx="57">
                  <c:v>2.8599760435846102</c:v>
                </c:pt>
                <c:pt idx="58">
                  <c:v>2.8915210158303699</c:v>
                </c:pt>
                <c:pt idx="59">
                  <c:v>2.8500704386135798</c:v>
                </c:pt>
                <c:pt idx="60">
                  <c:v>2.8460665334928898</c:v>
                </c:pt>
                <c:pt idx="61">
                  <c:v>2.8413672152174398</c:v>
                </c:pt>
                <c:pt idx="62">
                  <c:v>2.8125589424365498</c:v>
                </c:pt>
                <c:pt idx="63">
                  <c:v>2.8873082715202201</c:v>
                </c:pt>
                <c:pt idx="64">
                  <c:v>2.96123512742628</c:v>
                </c:pt>
                <c:pt idx="65">
                  <c:v>3.0744144315737501</c:v>
                </c:pt>
                <c:pt idx="66">
                  <c:v>3.0256748636149999</c:v>
                </c:pt>
                <c:pt idx="67">
                  <c:v>3.1185389251118698</c:v>
                </c:pt>
                <c:pt idx="68">
                  <c:v>3.0852280715370801</c:v>
                </c:pt>
                <c:pt idx="69">
                  <c:v>3.1292995796246399</c:v>
                </c:pt>
                <c:pt idx="70">
                  <c:v>3.1773446759928401</c:v>
                </c:pt>
                <c:pt idx="71">
                  <c:v>3.0761153132050598</c:v>
                </c:pt>
                <c:pt idx="72">
                  <c:v>3.0919401279735599</c:v>
                </c:pt>
                <c:pt idx="73">
                  <c:v>3.0848485059502999</c:v>
                </c:pt>
                <c:pt idx="74">
                  <c:v>3.0537402902567599</c:v>
                </c:pt>
                <c:pt idx="75">
                  <c:v>3.03216152423493</c:v>
                </c:pt>
                <c:pt idx="76">
                  <c:v>3.0468019127231698</c:v>
                </c:pt>
                <c:pt idx="77">
                  <c:v>2.9822174038917302</c:v>
                </c:pt>
                <c:pt idx="78">
                  <c:v>3.0761568887156101</c:v>
                </c:pt>
                <c:pt idx="79">
                  <c:v>3.1219045210798799</c:v>
                </c:pt>
                <c:pt idx="80">
                  <c:v>3.0912606104251101</c:v>
                </c:pt>
                <c:pt idx="81">
                  <c:v>3.1158923075545402</c:v>
                </c:pt>
                <c:pt idx="82">
                  <c:v>3.2022687944333499</c:v>
                </c:pt>
                <c:pt idx="83">
                  <c:v>3.0851869199683102</c:v>
                </c:pt>
                <c:pt idx="84">
                  <c:v>3.0732804432921599</c:v>
                </c:pt>
                <c:pt idx="85">
                  <c:v>3.16276525236256</c:v>
                </c:pt>
                <c:pt idx="86">
                  <c:v>3.1329453977786899</c:v>
                </c:pt>
                <c:pt idx="87">
                  <c:v>3.0409627195865201</c:v>
                </c:pt>
                <c:pt idx="88">
                  <c:v>3.00985191194196</c:v>
                </c:pt>
                <c:pt idx="89">
                  <c:v>2.9791453962399599</c:v>
                </c:pt>
                <c:pt idx="90">
                  <c:v>3.0519928057207899</c:v>
                </c:pt>
                <c:pt idx="91">
                  <c:v>3.1469144966257199</c:v>
                </c:pt>
                <c:pt idx="92">
                  <c:v>3.1440801611331</c:v>
                </c:pt>
                <c:pt idx="93">
                  <c:v>3.1081065530197201</c:v>
                </c:pt>
                <c:pt idx="94">
                  <c:v>3.0651881254767099</c:v>
                </c:pt>
                <c:pt idx="95">
                  <c:v>3.0642370952529001</c:v>
                </c:pt>
                <c:pt idx="96">
                  <c:v>3.0508649511892498</c:v>
                </c:pt>
                <c:pt idx="97">
                  <c:v>3.07026860246684</c:v>
                </c:pt>
                <c:pt idx="98">
                  <c:v>3.04099858929172</c:v>
                </c:pt>
                <c:pt idx="99">
                  <c:v>3.0272722743659699</c:v>
                </c:pt>
                <c:pt idx="100">
                  <c:v>3.00152435884748</c:v>
                </c:pt>
                <c:pt idx="101">
                  <c:v>3.00880742941581</c:v>
                </c:pt>
                <c:pt idx="102">
                  <c:v>2.9768819813504899</c:v>
                </c:pt>
                <c:pt idx="103">
                  <c:v>2.9700273705701301</c:v>
                </c:pt>
                <c:pt idx="104">
                  <c:v>2.9952166878972601</c:v>
                </c:pt>
                <c:pt idx="105">
                  <c:v>2.9944455468035298</c:v>
                </c:pt>
                <c:pt idx="106">
                  <c:v>2.9155081259623699</c:v>
                </c:pt>
                <c:pt idx="107">
                  <c:v>2.8859588833612699</c:v>
                </c:pt>
                <c:pt idx="108">
                  <c:v>2.9592567116727899</c:v>
                </c:pt>
                <c:pt idx="109">
                  <c:v>3.0089114844805001</c:v>
                </c:pt>
                <c:pt idx="110">
                  <c:v>2.9719648499802398</c:v>
                </c:pt>
                <c:pt idx="111">
                  <c:v>2.92350190324946</c:v>
                </c:pt>
                <c:pt idx="112">
                  <c:v>2.9753003706109098</c:v>
                </c:pt>
                <c:pt idx="113">
                  <c:v>2.8894517792115599</c:v>
                </c:pt>
                <c:pt idx="114">
                  <c:v>2.8863432484098199</c:v>
                </c:pt>
                <c:pt idx="115">
                  <c:v>2.94154866689746</c:v>
                </c:pt>
                <c:pt idx="116">
                  <c:v>2.9622833477952701</c:v>
                </c:pt>
                <c:pt idx="117">
                  <c:v>2.9357435322539001</c:v>
                </c:pt>
                <c:pt idx="118">
                  <c:v>2.9596582925735899</c:v>
                </c:pt>
                <c:pt idx="119">
                  <c:v>2.8898853758214198</c:v>
                </c:pt>
                <c:pt idx="120">
                  <c:v>2.85986737962509</c:v>
                </c:pt>
                <c:pt idx="121">
                  <c:v>2.8344803887664098</c:v>
                </c:pt>
                <c:pt idx="122">
                  <c:v>2.79004351105465</c:v>
                </c:pt>
                <c:pt idx="123">
                  <c:v>2.9080768711615201</c:v>
                </c:pt>
                <c:pt idx="124">
                  <c:v>2.9117942461472701</c:v>
                </c:pt>
                <c:pt idx="125">
                  <c:v>2.9085457311755398</c:v>
                </c:pt>
                <c:pt idx="126">
                  <c:v>2.9130814289562301</c:v>
                </c:pt>
                <c:pt idx="127">
                  <c:v>2.9344470402340699</c:v>
                </c:pt>
                <c:pt idx="128">
                  <c:v>2.9096799662845698</c:v>
                </c:pt>
                <c:pt idx="129">
                  <c:v>2.9358931445910401</c:v>
                </c:pt>
                <c:pt idx="130">
                  <c:v>2.90498942377981</c:v>
                </c:pt>
                <c:pt idx="131">
                  <c:v>2.8787744272910301</c:v>
                </c:pt>
                <c:pt idx="132">
                  <c:v>2.9185627226684798</c:v>
                </c:pt>
                <c:pt idx="133">
                  <c:v>2.9027513521030701</c:v>
                </c:pt>
                <c:pt idx="134">
                  <c:v>2.9327229891480799</c:v>
                </c:pt>
                <c:pt idx="135">
                  <c:v>2.9154645829543302</c:v>
                </c:pt>
                <c:pt idx="136">
                  <c:v>2.90800506731745</c:v>
                </c:pt>
                <c:pt idx="137">
                  <c:v>2.9912109118513701</c:v>
                </c:pt>
                <c:pt idx="138">
                  <c:v>2.9926621611582802</c:v>
                </c:pt>
                <c:pt idx="139">
                  <c:v>2.8946199392202701</c:v>
                </c:pt>
                <c:pt idx="140">
                  <c:v>2.8362882018725202</c:v>
                </c:pt>
                <c:pt idx="141">
                  <c:v>2.91486476009828</c:v>
                </c:pt>
                <c:pt idx="142">
                  <c:v>2.8594352216235301</c:v>
                </c:pt>
                <c:pt idx="143">
                  <c:v>2.8734950564364601</c:v>
                </c:pt>
                <c:pt idx="144">
                  <c:v>2.8712695086990299</c:v>
                </c:pt>
                <c:pt idx="145">
                  <c:v>2.8987506443333801</c:v>
                </c:pt>
                <c:pt idx="146">
                  <c:v>2.8546348135519901</c:v>
                </c:pt>
                <c:pt idx="147">
                  <c:v>2.8124515814242899</c:v>
                </c:pt>
                <c:pt idx="148">
                  <c:v>2.8018988061488499</c:v>
                </c:pt>
                <c:pt idx="149">
                  <c:v>2.7784102270308701</c:v>
                </c:pt>
                <c:pt idx="150">
                  <c:v>2.7296334551710499</c:v>
                </c:pt>
                <c:pt idx="151">
                  <c:v>2.7734212235563001</c:v>
                </c:pt>
                <c:pt idx="152">
                  <c:v>2.7570320859498798</c:v>
                </c:pt>
                <c:pt idx="153">
                  <c:v>2.77010275743095</c:v>
                </c:pt>
                <c:pt idx="154">
                  <c:v>2.81486937200697</c:v>
                </c:pt>
                <c:pt idx="155">
                  <c:v>2.8165675160693602</c:v>
                </c:pt>
                <c:pt idx="156">
                  <c:v>2.7891999400544001</c:v>
                </c:pt>
                <c:pt idx="157">
                  <c:v>2.7081035827114999</c:v>
                </c:pt>
                <c:pt idx="158">
                  <c:v>2.73044392273518</c:v>
                </c:pt>
                <c:pt idx="159">
                  <c:v>2.7334728347211201</c:v>
                </c:pt>
                <c:pt idx="160">
                  <c:v>2.7352021596982001</c:v>
                </c:pt>
                <c:pt idx="161">
                  <c:v>2.7729349961757701</c:v>
                </c:pt>
                <c:pt idx="162">
                  <c:v>2.7446763066937101</c:v>
                </c:pt>
                <c:pt idx="163">
                  <c:v>2.7173642653119501</c:v>
                </c:pt>
                <c:pt idx="164">
                  <c:v>2.77127537293183</c:v>
                </c:pt>
                <c:pt idx="165">
                  <c:v>2.7558575864349502</c:v>
                </c:pt>
                <c:pt idx="166">
                  <c:v>2.7239833090670502</c:v>
                </c:pt>
                <c:pt idx="167">
                  <c:v>2.7958120452124602</c:v>
                </c:pt>
                <c:pt idx="168">
                  <c:v>2.8760429870518398</c:v>
                </c:pt>
                <c:pt idx="169">
                  <c:v>2.8444181025455899</c:v>
                </c:pt>
                <c:pt idx="170">
                  <c:v>2.8650468207927799</c:v>
                </c:pt>
                <c:pt idx="171">
                  <c:v>2.8982983852453801</c:v>
                </c:pt>
                <c:pt idx="172">
                  <c:v>2.9340630334667899</c:v>
                </c:pt>
                <c:pt idx="173">
                  <c:v>2.9388026853832501</c:v>
                </c:pt>
                <c:pt idx="174">
                  <c:v>3.0126979954339599</c:v>
                </c:pt>
                <c:pt idx="175">
                  <c:v>3.0394713990433302</c:v>
                </c:pt>
                <c:pt idx="176">
                  <c:v>3.0240881034818901</c:v>
                </c:pt>
                <c:pt idx="177">
                  <c:v>3.0415503408748101</c:v>
                </c:pt>
                <c:pt idx="178">
                  <c:v>3.0032203766891601</c:v>
                </c:pt>
                <c:pt idx="179">
                  <c:v>2.9962349476624799</c:v>
                </c:pt>
                <c:pt idx="180">
                  <c:v>2.9829487992520902</c:v>
                </c:pt>
                <c:pt idx="181">
                  <c:v>2.97922271147955</c:v>
                </c:pt>
                <c:pt idx="182">
                  <c:v>2.9567440380932299</c:v>
                </c:pt>
                <c:pt idx="183">
                  <c:v>2.9778815410804498</c:v>
                </c:pt>
                <c:pt idx="184">
                  <c:v>2.9783756626827098</c:v>
                </c:pt>
                <c:pt idx="185">
                  <c:v>2.9726150604600501</c:v>
                </c:pt>
                <c:pt idx="186">
                  <c:v>2.9699990408330801</c:v>
                </c:pt>
                <c:pt idx="187">
                  <c:v>2.9627998266716902</c:v>
                </c:pt>
                <c:pt idx="188">
                  <c:v>2.9474672658602201</c:v>
                </c:pt>
                <c:pt idx="189">
                  <c:v>2.8947298491443201</c:v>
                </c:pt>
                <c:pt idx="190">
                  <c:v>2.9165593470462001</c:v>
                </c:pt>
                <c:pt idx="191">
                  <c:v>3.0544306669029599</c:v>
                </c:pt>
                <c:pt idx="192">
                  <c:v>2.9966381834712199</c:v>
                </c:pt>
                <c:pt idx="193">
                  <c:v>2.9498986890501602</c:v>
                </c:pt>
                <c:pt idx="194">
                  <c:v>2.97492729888162</c:v>
                </c:pt>
                <c:pt idx="195">
                  <c:v>2.9584562580557998</c:v>
                </c:pt>
                <c:pt idx="196">
                  <c:v>2.9975278287112799</c:v>
                </c:pt>
                <c:pt idx="197">
                  <c:v>2.93038775773327</c:v>
                </c:pt>
                <c:pt idx="198">
                  <c:v>2.9956917661864102</c:v>
                </c:pt>
                <c:pt idx="199">
                  <c:v>3.0277544715368299</c:v>
                </c:pt>
                <c:pt idx="200">
                  <c:v>3.0337070171743399</c:v>
                </c:pt>
                <c:pt idx="201">
                  <c:v>2.9938542795846499</c:v>
                </c:pt>
                <c:pt idx="202">
                  <c:v>2.9654454819851401</c:v>
                </c:pt>
                <c:pt idx="203">
                  <c:v>2.9731174036640602</c:v>
                </c:pt>
                <c:pt idx="204">
                  <c:v>3.0177597197552002</c:v>
                </c:pt>
                <c:pt idx="205">
                  <c:v>3.0426080275796101</c:v>
                </c:pt>
                <c:pt idx="206">
                  <c:v>3.0275766664066102</c:v>
                </c:pt>
                <c:pt idx="207">
                  <c:v>3.0029644484734299</c:v>
                </c:pt>
                <c:pt idx="208">
                  <c:v>3.05738829293283</c:v>
                </c:pt>
                <c:pt idx="209">
                  <c:v>3.0053894082817201</c:v>
                </c:pt>
                <c:pt idx="210">
                  <c:v>2.993452685197</c:v>
                </c:pt>
                <c:pt idx="211">
                  <c:v>2.99513727920968</c:v>
                </c:pt>
                <c:pt idx="212">
                  <c:v>2.9334005201837599</c:v>
                </c:pt>
                <c:pt idx="213">
                  <c:v>2.9119506998989602</c:v>
                </c:pt>
                <c:pt idx="214">
                  <c:v>2.88545680781831</c:v>
                </c:pt>
                <c:pt idx="215">
                  <c:v>2.8978342309890999</c:v>
                </c:pt>
                <c:pt idx="216">
                  <c:v>2.8424738889513801</c:v>
                </c:pt>
                <c:pt idx="217">
                  <c:v>2.8127941632470699</c:v>
                </c:pt>
                <c:pt idx="218">
                  <c:v>2.82567876803239</c:v>
                </c:pt>
                <c:pt idx="219">
                  <c:v>2.78255799649583</c:v>
                </c:pt>
                <c:pt idx="220">
                  <c:v>2.78837847860318</c:v>
                </c:pt>
                <c:pt idx="221">
                  <c:v>2.7399955828051801</c:v>
                </c:pt>
                <c:pt idx="222">
                  <c:v>2.7634717888750999</c:v>
                </c:pt>
                <c:pt idx="223">
                  <c:v>2.7884908118762199</c:v>
                </c:pt>
                <c:pt idx="224">
                  <c:v>2.7702129413051901</c:v>
                </c:pt>
                <c:pt idx="225">
                  <c:v>2.7316832790579499</c:v>
                </c:pt>
                <c:pt idx="226">
                  <c:v>2.73574020589367</c:v>
                </c:pt>
                <c:pt idx="227">
                  <c:v>2.70685241961761</c:v>
                </c:pt>
                <c:pt idx="228">
                  <c:v>2.6475345232254401</c:v>
                </c:pt>
                <c:pt idx="229">
                  <c:v>2.7082747576934199</c:v>
                </c:pt>
                <c:pt idx="230">
                  <c:v>2.6172888132357301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957632"/>
        <c:axId val="401938688"/>
      </c:lineChart>
      <c:catAx>
        <c:axId val="4008532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401936768"/>
        <c:crosses val="autoZero"/>
        <c:auto val="1"/>
        <c:lblAlgn val="ctr"/>
        <c:lblOffset val="100"/>
        <c:tickLblSkip val="20"/>
        <c:tickMarkSkip val="5"/>
        <c:noMultiLvlLbl val="0"/>
      </c:catAx>
      <c:valAx>
        <c:axId val="401936768"/>
        <c:scaling>
          <c:orientation val="minMax"/>
          <c:min val="1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</a:t>
                </a:r>
                <a:r>
                  <a:rPr lang="en-US" baseline="0"/>
                  <a:t> Spread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400853248"/>
        <c:crosses val="autoZero"/>
        <c:crossBetween val="between"/>
      </c:valAx>
      <c:valAx>
        <c:axId val="401938688"/>
        <c:scaling>
          <c:orientation val="minMax"/>
          <c:min val="2.4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Current Coupon (%)</a:t>
                </a:r>
              </a:p>
            </c:rich>
          </c:tx>
          <c:layout>
            <c:manualLayout>
              <c:xMode val="edge"/>
              <c:yMode val="edge"/>
              <c:x val="0.98404576038250335"/>
              <c:y val="0.28844697604288827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01957632"/>
        <c:crosses val="max"/>
        <c:crossBetween val="between"/>
      </c:valAx>
      <c:catAx>
        <c:axId val="40195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193868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</xdr:colOff>
      <xdr:row>9</xdr:row>
      <xdr:rowOff>38101</xdr:rowOff>
    </xdr:from>
    <xdr:to>
      <xdr:col>25</xdr:col>
      <xdr:colOff>0</xdr:colOff>
      <xdr:row>10</xdr:row>
      <xdr:rowOff>175261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1790701"/>
          <a:ext cx="110490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</a:t>
          </a:r>
          <a:endParaRPr lang="en-US" sz="1100" b="1"/>
        </a:p>
      </xdr:txBody>
    </xdr:sp>
    <xdr:clientData/>
  </xdr:twoCellAnchor>
  <xdr:twoCellAnchor>
    <xdr:from>
      <xdr:col>25</xdr:col>
      <xdr:colOff>276226</xdr:colOff>
      <xdr:row>9</xdr:row>
      <xdr:rowOff>38101</xdr:rowOff>
    </xdr:from>
    <xdr:to>
      <xdr:col>27</xdr:col>
      <xdr:colOff>47626</xdr:colOff>
      <xdr:row>10</xdr:row>
      <xdr:rowOff>175261</xdr:rowOff>
    </xdr:to>
    <xdr:sp macro="[0]!CreatePDFReport" textlink="">
      <xdr:nvSpPr>
        <xdr:cNvPr id="3" name="Rounded Rectangle 2"/>
        <xdr:cNvSpPr/>
      </xdr:nvSpPr>
      <xdr:spPr>
        <a:xfrm>
          <a:off x="16487776" y="1790701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600075</xdr:colOff>
      <xdr:row>25</xdr:row>
      <xdr:rowOff>158749</xdr:rowOff>
    </xdr:from>
    <xdr:to>
      <xdr:col>21</xdr:col>
      <xdr:colOff>95250</xdr:colOff>
      <xdr:row>40</xdr:row>
      <xdr:rowOff>47625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431799</xdr:colOff>
      <xdr:row>40</xdr:row>
      <xdr:rowOff>28575</xdr:rowOff>
    </xdr:from>
    <xdr:to>
      <xdr:col>21</xdr:col>
      <xdr:colOff>323849</xdr:colOff>
      <xdr:row>54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403.394055787037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28">
        <s v="2016-01-26"/>
        <m u="1"/>
        <s v="2015-03-04" u="1"/>
        <s v="2015-07-15" u="1"/>
        <s v="2015-03-18" u="1"/>
        <s v="2015-03-05" u="1"/>
        <s v="2015-07-16" u="1"/>
        <s v="2015-03-06" u="1"/>
        <s v="2015-05-19" u="1"/>
        <s v="2015-05-22" u="1"/>
        <s v="2015-08-20" u="1"/>
        <s v="2015-03-10" u="1"/>
        <s v="2015-03-09" u="1"/>
        <s v="2015-03-11" u="1"/>
        <s v="2015-03-12" u="1"/>
        <s v="2015-03-13" u="1"/>
        <s v="2015-07-24" u="1"/>
        <s v="2015-03-27" u="1"/>
        <s v="2015-06-25" u="1"/>
        <s v="2015-04-27" u="1"/>
        <s v="2015-03-30" u="1"/>
        <s v="2015-04-30" u="1"/>
        <s v="2015-03-02" u="1"/>
        <s v="2015-04-15" u="1"/>
        <s v="2015-07-27" u="1"/>
        <s v="2015-03-03" u="1"/>
        <s v="2015-04-16" u="1"/>
        <s v="2015-12-17" u="1"/>
      </sharedItems>
    </cacheField>
    <cacheField name="SeriesNumValue" numFmtId="0">
      <sharedItems containsSemiMixedTypes="0" containsString="0" containsNumber="1" minValue="0.70499999999999996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403.394055902776" createdVersion="4" refreshedVersion="4" minRefreshableVersion="3" recordCount="1617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231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  <s v="2015-08-04"/>
        <s v="2015-08-05"/>
        <s v="2015-08-06"/>
        <s v="2015-08-07"/>
        <s v="2015-08-10"/>
        <s v="2015-08-11"/>
        <s v="2015-08-12"/>
        <s v="2015-08-13"/>
        <s v="2015-08-14"/>
        <s v="2015-08-17"/>
        <s v="2015-08-18"/>
        <s v="2015-08-19"/>
        <s v="2015-08-20"/>
        <s v="2015-08-21"/>
        <s v="2015-08-24"/>
        <s v="2015-08-25"/>
        <s v="2015-08-26"/>
        <s v="2015-08-27"/>
        <s v="2015-08-28"/>
        <s v="2015-08-31"/>
        <s v="2015-09-01"/>
        <s v="2015-09-02"/>
        <s v="2015-09-03"/>
        <s v="2015-09-04"/>
        <s v="2015-09-08"/>
        <s v="2015-09-09"/>
        <s v="2015-09-10"/>
        <s v="2015-09-11"/>
        <s v="2015-09-14"/>
        <s v="2015-09-15"/>
        <s v="2015-09-16"/>
        <s v="2015-09-17"/>
        <s v="2015-09-18"/>
        <s v="2015-09-21"/>
        <s v="2015-09-22"/>
        <s v="2015-09-23"/>
        <s v="2015-09-24"/>
        <s v="2015-09-25"/>
        <s v="2015-09-28"/>
        <s v="2015-09-29"/>
        <s v="2015-09-30"/>
        <s v="2015-10-01"/>
        <s v="2015-10-02"/>
        <s v="2015-10-05"/>
        <s v="2015-10-06"/>
        <s v="2015-10-07"/>
        <s v="2015-10-08"/>
        <s v="2015-10-09"/>
        <s v="2015-10-13"/>
        <s v="2015-10-14"/>
        <s v="2015-10-15"/>
        <s v="2015-10-16"/>
        <s v="2015-10-19"/>
        <s v="2015-10-20"/>
        <s v="2015-10-21"/>
        <s v="2015-10-22"/>
        <s v="2015-10-23"/>
        <s v="2015-10-26"/>
        <s v="2015-10-27"/>
        <s v="2015-10-28"/>
        <s v="2015-10-29"/>
        <s v="2015-10-30"/>
        <s v="2015-11-02"/>
        <s v="2015-11-03"/>
        <s v="2015-11-04"/>
        <s v="2015-11-05"/>
        <s v="2015-11-06"/>
        <s v="2015-11-09"/>
        <s v="2015-11-10"/>
        <s v="2015-11-12"/>
        <s v="2015-11-13"/>
        <s v="2015-11-16"/>
        <s v="2015-11-17"/>
        <s v="2015-11-18"/>
        <s v="2015-11-19"/>
        <s v="2015-11-20"/>
        <s v="2015-11-23"/>
        <s v="2015-11-24"/>
        <s v="2015-11-25"/>
        <s v="2015-11-27"/>
        <s v="2015-11-30"/>
        <s v="2015-12-01"/>
        <s v="2015-12-02"/>
        <s v="2015-12-03"/>
        <s v="2015-12-04"/>
        <s v="2015-12-07"/>
        <s v="2015-12-08"/>
        <s v="2015-12-09"/>
        <s v="2015-12-10"/>
        <s v="2015-12-11"/>
        <s v="2015-12-14"/>
        <s v="2015-12-15"/>
        <s v="2015-12-16"/>
        <s v="2015-12-17"/>
        <s v="2015-12-18"/>
        <s v="2015-12-21"/>
        <s v="2015-12-22"/>
        <s v="2015-12-23"/>
        <s v="2015-12-24"/>
        <s v="2015-12-28"/>
        <s v="2015-12-29"/>
        <s v="2015-12-31"/>
        <s v="2016-01-04"/>
        <s v="2016-01-05"/>
        <s v="2016-01-06"/>
        <s v="2016-01-07"/>
        <s v="2016-01-08"/>
        <s v="2016-01-11"/>
        <s v="2016-01-12"/>
        <s v="2016-01-13"/>
        <s v="2016-01-14"/>
        <s v="2016-01-15"/>
        <s v="2016-01-19"/>
        <s v="2016-01-20"/>
        <s v="2016-01-21"/>
        <s v="2016-01-22"/>
        <s v="2016-01-25"/>
        <s v="2016-01-26"/>
        <s v="2016-01-27"/>
        <s v="2016-01-28"/>
        <s v="2016-01-29"/>
        <s v="2016-02-01"/>
        <s v="2016-02-02"/>
      </sharedItems>
    </cacheField>
    <cacheField name="SeriesNumValue" numFmtId="0">
      <sharedItems containsSemiMixedTypes="0" containsString="0" containsNumber="1" minValue="3.6334666666666666" maxValue="4.67821636968986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403.394056018522" createdVersion="4" refreshedVersion="4" minRefreshableVersion="3" recordCount="1156">
  <cacheSource type="worksheet">
    <worksheetSource name="OneWeekMtgRatesDataTable911"/>
  </cacheSource>
  <cacheFields count="6">
    <cacheField name="TickerName" numFmtId="0">
      <sharedItems/>
    </cacheField>
    <cacheField name="Source" numFmtId="0">
      <sharedItems/>
    </cacheField>
    <cacheField name="SeriesType" numFmtId="0">
      <sharedItems count="2">
        <s v="Servicing Spread"/>
        <s v="Rate"/>
      </sharedItems>
    </cacheField>
    <cacheField name="Category" numFmtId="0">
      <sharedItems/>
    </cacheField>
    <cacheField name="AsOfDate" numFmtId="0">
      <sharedItems count="246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  <s v="2015-08-04"/>
        <s v="2015-08-05"/>
        <s v="2015-08-06"/>
        <s v="2015-08-07"/>
        <s v="2015-08-10"/>
        <s v="2015-08-11"/>
        <s v="2015-08-12"/>
        <s v="2015-08-13"/>
        <s v="2015-08-14"/>
        <s v="2015-08-17"/>
        <s v="2015-08-18"/>
        <s v="2015-08-19"/>
        <s v="2015-08-20"/>
        <s v="2015-08-21"/>
        <s v="2015-08-24"/>
        <s v="2015-08-25"/>
        <s v="2015-08-26"/>
        <s v="2015-08-27"/>
        <s v="2015-08-28"/>
        <s v="2015-08-31"/>
        <s v="2015-09-01"/>
        <s v="2015-09-02"/>
        <s v="2015-09-03"/>
        <s v="2015-09-04"/>
        <s v="2015-09-08"/>
        <s v="2015-09-09"/>
        <s v="2015-09-10"/>
        <s v="2015-09-11"/>
        <s v="2015-09-14"/>
        <s v="2015-09-15"/>
        <s v="2015-09-16"/>
        <s v="2015-09-17"/>
        <s v="2015-09-18"/>
        <s v="2015-09-21"/>
        <s v="2015-09-22"/>
        <s v="2015-09-23"/>
        <s v="2015-09-24"/>
        <s v="2015-09-25"/>
        <s v="2015-09-28"/>
        <s v="2015-09-29"/>
        <s v="2015-09-30"/>
        <s v="2015-10-01"/>
        <s v="2015-10-02"/>
        <s v="2015-10-05"/>
        <s v="2015-10-06"/>
        <s v="2015-10-07"/>
        <s v="2015-10-08"/>
        <s v="2015-10-09"/>
        <s v="2015-10-13"/>
        <s v="2015-10-14"/>
        <s v="2015-10-15"/>
        <s v="2015-10-16"/>
        <s v="2015-10-19"/>
        <s v="2015-10-20"/>
        <s v="2015-10-21"/>
        <s v="2015-10-22"/>
        <s v="2015-10-23"/>
        <s v="2015-10-26"/>
        <s v="2015-10-27"/>
        <s v="2015-10-28"/>
        <s v="2015-10-29"/>
        <s v="2015-10-30"/>
        <s v="2015-11-02"/>
        <s v="2015-11-03"/>
        <s v="2015-11-04"/>
        <s v="2015-11-05"/>
        <s v="2015-11-06"/>
        <s v="2015-11-09"/>
        <s v="2015-11-10"/>
        <s v="2015-11-12"/>
        <s v="2015-11-13"/>
        <s v="2015-11-16"/>
        <s v="2015-11-17"/>
        <s v="2015-11-18"/>
        <s v="2015-11-19"/>
        <s v="2015-11-20"/>
        <s v="2015-11-23"/>
        <s v="2015-11-24"/>
        <s v="2015-11-25"/>
        <s v="2015-11-27"/>
        <s v="2015-11-30"/>
        <s v="2015-12-01"/>
        <s v="2015-12-02"/>
        <s v="2015-12-03"/>
        <s v="2015-12-04"/>
        <s v="2015-12-07"/>
        <s v="2015-12-08"/>
        <s v="2015-12-09"/>
        <s v="2015-12-10"/>
        <s v="2015-12-11"/>
        <s v="2015-12-14"/>
        <s v="2015-12-15"/>
        <s v="2015-12-16"/>
        <s v="2015-12-17"/>
        <s v="2015-12-18"/>
        <s v="2015-12-21"/>
        <s v="2015-12-22"/>
        <s v="2015-12-23"/>
        <s v="2015-12-24"/>
        <s v="2015-12-28"/>
        <s v="2015-12-29"/>
        <s v="2015-12-31"/>
        <s v="2016-01-04"/>
        <s v="2016-01-05"/>
        <s v="2016-01-06"/>
        <s v="2016-01-07"/>
        <s v="2016-01-08"/>
        <s v="2016-01-11"/>
        <s v="2016-01-12"/>
        <s v="2016-01-13"/>
        <s v="2016-01-14"/>
        <s v="2016-01-15"/>
        <s v="2016-01-19"/>
        <s v="2016-01-20"/>
        <s v="2016-01-21"/>
        <s v="2016-01-22"/>
        <s v="2016-01-25"/>
        <s v="2016-01-26"/>
        <s v="2016-01-27"/>
        <s v="2016-01-28"/>
        <s v="2016-01-29"/>
        <s v="2016-02-01"/>
        <s v="2016-02-02"/>
        <s v="2015-12-30"/>
        <s v="2015-02-27" u="1"/>
        <s v="2015-02-17" u="1"/>
        <s v="2015-02-12" u="1"/>
        <s v="2015-03-02" u="1"/>
        <s v="2015-02-25" u="1"/>
        <s v="2015-02-20" u="1"/>
        <s v="2015-02-10" u="1"/>
        <s v="2015-02-23" u="1"/>
        <s v="2015-02-18" u="1"/>
        <s v="2015-02-13" u="1"/>
        <s v="2015-02-26" u="1"/>
        <s v="2015-02-11" u="1"/>
        <s v="2015-02-24" u="1"/>
        <s v="2015-02-19" u="1"/>
      </sharedItems>
    </cacheField>
    <cacheField name="SeriesNumValue" numFmtId="0">
      <sharedItems containsSemiMixedTypes="0" containsString="0" containsNumber="1" minValue="0.9841181693674137" maxValue="3.2022687944333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403.394056134261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31">
        <s v="2016-02-01"/>
        <s v="2015-03-04" u="1"/>
        <s v="2015-03-18" u="1"/>
        <s v="2015-07-31" u="1"/>
        <s v="2015-03-05" u="1"/>
        <s v="2015-03-19" u="1"/>
        <s v="2015-03-06" u="1"/>
        <s v="2015-04-21" u="1"/>
        <s v="2015-04-22" u="1"/>
        <s v="2015-05-06" u="1"/>
        <s v="2015-12-23" u="1"/>
        <s v="2015-03-10" u="1"/>
        <s v="2015-07-21" u="1"/>
        <s v="2015-03-24" u="1"/>
        <s v="2015-03-09" u="1"/>
        <s v="2015-03-11" u="1"/>
        <s v="2015-07-22" u="1"/>
        <s v="2015-03-12" u="1"/>
        <s v="2015-03-13" u="1"/>
        <s v="2015-05-26" u="1"/>
        <s v="2015-03-02" u="1"/>
        <s v="2015-08-26" u="1"/>
        <s v="2015-03-16" u="1"/>
        <s v="2015-05-01" u="1"/>
        <s v="2015-04-02" u="1"/>
        <s v="2015-03-03" u="1"/>
        <s v="2015-05-29" u="1"/>
        <s v="2015-03-17" u="1"/>
        <s v="2015-07-30" u="1"/>
        <s v="2015-04-03" u="1"/>
        <s v="2015-07-01" u="1"/>
      </sharedItems>
    </cacheField>
    <cacheField name="SeriesNumValue" numFmtId="0">
      <sharedItems containsSemiMixedTypes="0" containsString="0" containsNumber="1" minValue="0.439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Lien Chen" refreshedDate="42403.394056249999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33">
        <s v="2016-02-02"/>
        <m u="1"/>
        <s v="2015-03-04" u="1"/>
        <s v="2015-03-18" u="1"/>
        <s v="2015-03-20" u="1"/>
        <s v="2015-07-31" u="1"/>
        <s v="2015-07-02" u="1"/>
        <s v="2015-03-05" u="1"/>
        <s v="2015-03-19" u="1"/>
        <s v="2015-05-04" u="1"/>
        <s v="2015-03-06" u="1"/>
        <s v="2015-08-03" u="1"/>
        <s v="2015-04-06" u="1"/>
        <s v="2015-04-22" u="1"/>
        <s v="2015-03-10" u="1"/>
        <s v="2015-04-23" u="1"/>
        <s v="2015-05-07" u="1"/>
        <s v="2015-12-24" u="1"/>
        <s v="2015-03-09" u="1"/>
        <s v="2015-03-11" u="1"/>
        <s v="2015-07-22" u="1"/>
        <s v="2015-03-25" u="1"/>
        <s v="2015-03-12" u="1"/>
        <s v="2015-07-23" u="1"/>
        <s v="2015-03-13" u="1"/>
        <s v="2015-05-27" u="1"/>
        <s v="2015-03-02" u="1"/>
        <s v="2015-03-16" u="1"/>
        <s v="2015-03-03" u="1"/>
        <s v="2015-06-01" u="1"/>
        <s v="2015-08-27" u="1"/>
        <s v="2015-03-17" u="1"/>
        <s v="2015-04-03" u="1"/>
      </sharedItems>
    </cacheField>
    <cacheField name="SeriesNumValue" numFmtId="0">
      <sharedItems containsSemiMixedTypes="0" containsString="0" containsNumber="1" minValue="0.41199999999999998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026971345497621"/>
  </r>
  <r>
    <x v="0"/>
    <x v="0"/>
    <x v="1"/>
    <s v="MTG"/>
    <x v="0"/>
    <n v="4.1520000000000001"/>
  </r>
  <r>
    <x v="0"/>
    <x v="0"/>
    <x v="2"/>
    <s v="MTG"/>
    <x v="0"/>
    <n v="0.70499999999999996"/>
  </r>
  <r>
    <x v="0"/>
    <x v="0"/>
    <x v="3"/>
    <s v="MTG"/>
    <x v="0"/>
    <n v="4"/>
  </r>
  <r>
    <x v="0"/>
    <x v="0"/>
    <x v="4"/>
    <s v="MTG"/>
    <x v="0"/>
    <n v="1.471013855491812"/>
  </r>
  <r>
    <x v="0"/>
    <x v="1"/>
    <x v="0"/>
    <s v="MTG"/>
    <x v="0"/>
    <n v="3.9054628819113248"/>
  </r>
  <r>
    <x v="0"/>
    <x v="1"/>
    <x v="1"/>
    <s v="MTG"/>
    <x v="0"/>
    <n v="3.968"/>
  </r>
  <r>
    <x v="0"/>
    <x v="1"/>
    <x v="2"/>
    <s v="MTG"/>
    <x v="0"/>
    <n v="1.125"/>
  </r>
  <r>
    <x v="0"/>
    <x v="1"/>
    <x v="3"/>
    <s v="MTG"/>
    <x v="0"/>
    <n v="3.875"/>
  </r>
  <r>
    <x v="0"/>
    <x v="1"/>
    <x v="4"/>
    <s v="MTG"/>
    <x v="0"/>
    <n v="1.1737796028533749"/>
  </r>
  <r>
    <x v="0"/>
    <x v="2"/>
    <x v="0"/>
    <s v="MTG"/>
    <x v="0"/>
    <n v="4.280990246513638"/>
  </r>
  <r>
    <x v="0"/>
    <x v="2"/>
    <x v="1"/>
    <s v="MTG"/>
    <x v="0"/>
    <n v="4.0110000000000001"/>
  </r>
  <r>
    <x v="0"/>
    <x v="2"/>
    <x v="2"/>
    <s v="MTG"/>
    <x v="0"/>
    <n v="2.125"/>
  </r>
  <r>
    <x v="0"/>
    <x v="2"/>
    <x v="3"/>
    <s v="MTG"/>
    <x v="0"/>
    <n v="3.75"/>
  </r>
  <r>
    <x v="0"/>
    <x v="2"/>
    <x v="4"/>
    <s v="MTG"/>
    <x v="0"/>
    <n v="1.5493069674556876"/>
  </r>
  <r>
    <x v="0"/>
    <x v="3"/>
    <x v="0"/>
    <s v="MTG"/>
    <x v="0"/>
    <n v="4.4187377611835057"/>
  </r>
  <r>
    <x v="0"/>
    <x v="3"/>
    <x v="1"/>
    <s v="MTG"/>
    <x v="0"/>
    <n v="4.0709999999999997"/>
  </r>
  <r>
    <x v="0"/>
    <x v="3"/>
    <x v="5"/>
    <s v="MTG"/>
    <x v="0"/>
    <n v="3646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"/>
  </r>
  <r>
    <x v="0"/>
    <x v="3"/>
    <x v="4"/>
    <s v="MTG"/>
    <x v="0"/>
    <n v="1.6870544821255555"/>
  </r>
  <r>
    <x v="1"/>
    <x v="2"/>
    <x v="1"/>
    <s v="MTG"/>
    <x v="0"/>
    <n v="1"/>
  </r>
  <r>
    <x v="1"/>
    <x v="2"/>
    <x v="2"/>
    <s v="MTG"/>
    <x v="0"/>
    <n v="1"/>
  </r>
  <r>
    <x v="1"/>
    <x v="2"/>
    <x v="3"/>
    <s v="MTG"/>
    <x v="0"/>
    <n v="1"/>
  </r>
  <r>
    <x v="1"/>
    <x v="3"/>
    <x v="0"/>
    <s v="MTG"/>
    <x v="0"/>
    <n v="4.126125"/>
  </r>
  <r>
    <x v="1"/>
    <x v="3"/>
    <x v="1"/>
    <s v="MTG"/>
    <x v="0"/>
    <n v="4.9340000000000002"/>
  </r>
  <r>
    <x v="1"/>
    <x v="3"/>
    <x v="5"/>
    <s v="MTG"/>
    <x v="0"/>
    <n v="7509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5345815505845701"/>
  </r>
  <r>
    <x v="1"/>
    <x v="3"/>
    <x v="7"/>
    <s v="MTG"/>
    <x v="0"/>
    <n v="3500"/>
  </r>
  <r>
    <x v="2"/>
    <x v="3"/>
    <x v="0"/>
    <s v="MTG"/>
    <x v="0"/>
    <n v="4.0061842576350095"/>
  </r>
  <r>
    <x v="2"/>
    <x v="3"/>
    <x v="1"/>
    <s v="MTG"/>
    <x v="0"/>
    <n v="4.1360000000000001"/>
  </r>
  <r>
    <x v="2"/>
    <x v="3"/>
    <x v="5"/>
    <s v="MTG"/>
    <x v="0"/>
    <n v="1965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2745009785770594"/>
  </r>
  <r>
    <x v="3"/>
    <x v="3"/>
    <x v="0"/>
    <s v="MTG"/>
    <x v="0"/>
    <n v="3.744640212374728"/>
  </r>
  <r>
    <x v="3"/>
    <x v="3"/>
    <x v="1"/>
    <s v="MTG"/>
    <x v="0"/>
    <n v="3.8820000000000001"/>
  </r>
  <r>
    <x v="3"/>
    <x v="3"/>
    <x v="5"/>
    <s v="MTG"/>
    <x v="0"/>
    <n v="2951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875"/>
  </r>
  <r>
    <x v="3"/>
    <x v="3"/>
    <x v="4"/>
    <s v="MTG"/>
    <x v="0"/>
    <n v="1.012956933316778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7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Bank of America"/>
    <s v="1Point Rate"/>
    <s v="MTG"/>
    <x v="6"/>
    <n v="4.2692899861563207"/>
  </r>
  <r>
    <x v="0"/>
    <s v="Bank of America"/>
    <s v="1Point Rate"/>
    <s v="MTG"/>
    <x v="7"/>
    <n v="4.1871698000587845"/>
  </r>
  <r>
    <x v="0"/>
    <s v="Bank of America"/>
    <s v="1Point Rate"/>
    <s v="MTG"/>
    <x v="8"/>
    <n v="4.2517273654617371"/>
  </r>
  <r>
    <x v="0"/>
    <s v="Bank of America"/>
    <s v="1Point Rate"/>
    <s v="MTG"/>
    <x v="9"/>
    <n v="4.1695190979670524"/>
  </r>
  <r>
    <x v="0"/>
    <s v="Bank of America"/>
    <s v="1Point Rate"/>
    <s v="MTG"/>
    <x v="10"/>
    <n v="4.1400591551201122"/>
  </r>
  <r>
    <x v="0"/>
    <s v="Bank of America"/>
    <s v="1Point Rate"/>
    <s v="MTG"/>
    <x v="11"/>
    <n v="4.1164532413786334"/>
  </r>
  <r>
    <x v="0"/>
    <s v="Bank of America"/>
    <s v="1Point Rate"/>
    <s v="MTG"/>
    <x v="12"/>
    <n v="4.066228818482883"/>
  </r>
  <r>
    <x v="0"/>
    <s v="Bank of America"/>
    <s v="1Point Rate"/>
    <s v="MTG"/>
    <x v="13"/>
    <n v="4.0425219308185625"/>
  </r>
  <r>
    <x v="0"/>
    <s v="Bank of America"/>
    <s v="1Point Rate"/>
    <s v="MTG"/>
    <x v="14"/>
    <n v="4.0009528680553874"/>
  </r>
  <r>
    <x v="0"/>
    <s v="Bank of America"/>
    <s v="1Point Rate"/>
    <s v="MTG"/>
    <x v="15"/>
    <n v="3.977152156157012"/>
  </r>
  <r>
    <x v="0"/>
    <s v="Bank of America"/>
    <s v="1Point Rate"/>
    <s v="MTG"/>
    <x v="16"/>
    <n v="3.9920316083167364"/>
  </r>
  <r>
    <x v="0"/>
    <s v="Bank of America"/>
    <s v="1Point Rate"/>
    <s v="MTG"/>
    <x v="17"/>
    <n v="4.1489026694458522"/>
  </r>
  <r>
    <x v="0"/>
    <s v="Bank of America"/>
    <s v="1Point Rate"/>
    <s v="MTG"/>
    <x v="18"/>
    <n v="4.1223578866648536"/>
  </r>
  <r>
    <x v="0"/>
    <s v="Bank of America"/>
    <s v="1Point Rate"/>
    <s v="MTG"/>
    <x v="19"/>
    <n v="4.0987266256305297"/>
  </r>
  <r>
    <x v="0"/>
    <s v="Bank of America"/>
    <s v="1Point Rate"/>
    <s v="MTG"/>
    <x v="20"/>
    <n v="4.2106746450138894"/>
  </r>
  <r>
    <x v="0"/>
    <s v="Bank of America"/>
    <s v="1Point Rate"/>
    <s v="MTG"/>
    <x v="21"/>
    <n v="4.1871698000587845"/>
  </r>
  <r>
    <x v="0"/>
    <s v="Bank of America"/>
    <s v="1Point Rate"/>
    <s v="MTG"/>
    <x v="22"/>
    <n v="4.1930491621487036"/>
  </r>
  <r>
    <x v="0"/>
    <s v="Bank of America"/>
    <s v="1Point Rate"/>
    <s v="MTG"/>
    <x v="23"/>
    <n v="4.1577414411756237"/>
  </r>
  <r>
    <x v="0"/>
    <s v="Bank of America"/>
    <s v="1Point Rate"/>
    <s v="MTG"/>
    <x v="24"/>
    <n v="4.2312138395879879"/>
  </r>
  <r>
    <x v="0"/>
    <s v="Bank of America"/>
    <s v="1Point Rate"/>
    <s v="MTG"/>
    <x v="25"/>
    <n v="4.2605110281721359"/>
  </r>
  <r>
    <x v="0"/>
    <s v="Bank of America"/>
    <s v="1Point Rate"/>
    <s v="MTG"/>
    <x v="26"/>
    <n v="4.2312138395879879"/>
  </r>
  <r>
    <x v="0"/>
    <s v="Bank of America"/>
    <s v="1Point Rate"/>
    <s v="MTG"/>
    <x v="27"/>
    <n v="4.225348119194102"/>
  </r>
  <r>
    <x v="0"/>
    <s v="Bank of America"/>
    <s v="1Point Rate"/>
    <s v="MTG"/>
    <x v="28"/>
    <n v="4.2370774645785501"/>
  </r>
  <r>
    <x v="0"/>
    <s v="Bank of America"/>
    <s v="1Point Rate"/>
    <s v="MTG"/>
    <x v="29"/>
    <n v="4.2282812413722635"/>
  </r>
  <r>
    <x v="0"/>
    <s v="Bank of America"/>
    <s v="1Point Rate"/>
    <s v="MTG"/>
    <x v="30"/>
    <n v="4.1724621964444255"/>
  </r>
  <r>
    <x v="0"/>
    <s v="Bank of America"/>
    <s v="1Point Rate"/>
    <s v="MTG"/>
    <x v="31"/>
    <n v="4.1754047688553753"/>
  </r>
  <r>
    <x v="0"/>
    <s v="Bank of America"/>
    <s v="1Point Rate"/>
    <s v="MTG"/>
    <x v="32"/>
    <n v="4.160686645028302"/>
  </r>
  <r>
    <x v="0"/>
    <s v="Bank of America"/>
    <s v="1Point Rate"/>
    <s v="MTG"/>
    <x v="33"/>
    <n v="4.1253094173164744"/>
  </r>
  <r>
    <x v="0"/>
    <s v="Bank of America"/>
    <s v="1Point Rate"/>
    <s v="MTG"/>
    <x v="34"/>
    <n v="4.1518494534957036"/>
  </r>
  <r>
    <x v="0"/>
    <s v="Bank of America"/>
    <s v="1Point Rate"/>
    <s v="MTG"/>
    <x v="35"/>
    <n v="4.2018642658889958"/>
  </r>
  <r>
    <x v="0"/>
    <s v="Bank of America"/>
    <s v="1Point Rate"/>
    <s v="MTG"/>
    <x v="36"/>
    <n v="4.2106746450138894"/>
  </r>
  <r>
    <x v="0"/>
    <s v="Bank of America"/>
    <s v="1Point Rate"/>
    <s v="MTG"/>
    <x v="37"/>
    <n v="4.1959880552043716"/>
  </r>
  <r>
    <x v="0"/>
    <s v="Bank of America"/>
    <s v="1Point Rate"/>
    <s v="MTG"/>
    <x v="38"/>
    <n v="4.1930491621487036"/>
  </r>
  <r>
    <x v="0"/>
    <s v="Bank of America"/>
    <s v="1Point Rate"/>
    <s v="MTG"/>
    <x v="39"/>
    <n v="4.1930491621487036"/>
  </r>
  <r>
    <x v="0"/>
    <s v="Bank of America"/>
    <s v="1Point Rate"/>
    <s v="MTG"/>
    <x v="40"/>
    <n v="4.2487984318822525"/>
  </r>
  <r>
    <x v="0"/>
    <s v="Bank of America"/>
    <s v="1Point Rate"/>
    <s v="MTG"/>
    <x v="41"/>
    <n v="4.2672076568305926"/>
  </r>
  <r>
    <x v="0"/>
    <s v="Bank of America"/>
    <s v="1Point Rate"/>
    <s v="MTG"/>
    <x v="42"/>
    <n v="4.2232506437744561"/>
  </r>
  <r>
    <x v="0"/>
    <s v="Bank of America"/>
    <s v="1Point Rate"/>
    <s v="MTG"/>
    <x v="43"/>
    <n v="4.2672076568305926"/>
  </r>
  <r>
    <x v="0"/>
    <s v="Bank of America"/>
    <s v="1Point Rate"/>
    <s v="MTG"/>
    <x v="44"/>
    <n v="4.3168838594099084"/>
  </r>
  <r>
    <x v="0"/>
    <s v="Bank of America"/>
    <s v="1Point Rate"/>
    <s v="MTG"/>
    <x v="45"/>
    <n v="4.3022888156892893"/>
  </r>
  <r>
    <x v="0"/>
    <s v="Bank of America"/>
    <s v="1Point Rate"/>
    <s v="MTG"/>
    <x v="46"/>
    <n v="4.3518590182395505"/>
  </r>
  <r>
    <x v="0"/>
    <s v="Bank of America"/>
    <s v="1Point Rate"/>
    <s v="MTG"/>
    <x v="47"/>
    <n v="4.3460350104353029"/>
  </r>
  <r>
    <x v="0"/>
    <s v="Bank of America"/>
    <s v="1Point Rate"/>
    <s v="MTG"/>
    <x v="48"/>
    <n v="4.2897559420131923"/>
  </r>
  <r>
    <x v="0"/>
    <s v="Bank of America"/>
    <s v="1Point Rate"/>
    <s v="MTG"/>
    <x v="49"/>
    <n v="4.2642808417652107"/>
  </r>
  <r>
    <x v="0"/>
    <s v="Bank of America"/>
    <s v="1Point Rate"/>
    <s v="MTG"/>
    <x v="50"/>
    <n v="4.2642808417652107"/>
  </r>
  <r>
    <x v="0"/>
    <s v="Bank of America"/>
    <s v="1Point Rate"/>
    <s v="MTG"/>
    <x v="51"/>
    <n v="4.2642808417652107"/>
  </r>
  <r>
    <x v="0"/>
    <s v="Bank of America"/>
    <s v="1Point Rate"/>
    <s v="MTG"/>
    <x v="52"/>
    <n v="4.2642808417652107"/>
  </r>
  <r>
    <x v="0"/>
    <s v="Bank of America"/>
    <s v="1Point Rate"/>
    <s v="MTG"/>
    <x v="53"/>
    <n v="4.2642808417652107"/>
  </r>
  <r>
    <x v="0"/>
    <s v="Bank of America"/>
    <s v="1Point Rate"/>
    <s v="MTG"/>
    <x v="54"/>
    <n v="4.2554972682965033"/>
  </r>
  <r>
    <x v="0"/>
    <s v="Bank of America"/>
    <s v="1Point Rate"/>
    <s v="MTG"/>
    <x v="55"/>
    <n v="4.3518590182395505"/>
  </r>
  <r>
    <x v="0"/>
    <s v="Bank of America"/>
    <s v="1Point Rate"/>
    <s v="MTG"/>
    <x v="56"/>
    <n v="4.3402089296616397"/>
  </r>
  <r>
    <x v="0"/>
    <s v="Bank of America"/>
    <s v="1Point Rate"/>
    <s v="MTG"/>
    <x v="57"/>
    <n v="4.3168838594099084"/>
  </r>
  <r>
    <x v="0"/>
    <s v="Bank of America"/>
    <s v="1Point Rate"/>
    <s v="MTG"/>
    <x v="58"/>
    <n v="4.3547702450498376"/>
  </r>
  <r>
    <x v="0"/>
    <s v="Bank of America"/>
    <s v="1Point Rate"/>
    <s v="MTG"/>
    <x v="59"/>
    <n v="4.3780414237322258"/>
  </r>
  <r>
    <x v="0"/>
    <s v="Bank of America"/>
    <s v="1Point Rate"/>
    <s v="MTG"/>
    <x v="60"/>
    <n v="4.3489472734036934"/>
  </r>
  <r>
    <x v="0"/>
    <s v="Bank of America"/>
    <s v="1Point Rate"/>
    <s v="MTG"/>
    <x v="61"/>
    <n v="4.2906034235109347"/>
  </r>
  <r>
    <x v="0"/>
    <s v="Bank of America"/>
    <s v="1Point Rate"/>
    <s v="MTG"/>
    <x v="62"/>
    <n v="4.2085721821838193"/>
  </r>
  <r>
    <x v="0"/>
    <s v="Bank of America"/>
    <s v="1Point Rate"/>
    <s v="MTG"/>
    <x v="63"/>
    <n v="4.3751343371947211"/>
  </r>
  <r>
    <x v="0"/>
    <s v="Bank of America"/>
    <s v="1Point Rate"/>
    <s v="MTG"/>
    <x v="64"/>
    <n v="4.3751343371947211"/>
  </r>
  <r>
    <x v="0"/>
    <s v="Bank of America"/>
    <s v="1Point Rate"/>
    <s v="MTG"/>
    <x v="65"/>
    <n v="4.4783040201842867"/>
  </r>
  <r>
    <x v="0"/>
    <s v="Bank of America"/>
    <s v="1Point Rate"/>
    <s v="MTG"/>
    <x v="66"/>
    <n v="4.4204074273666594"/>
  </r>
  <r>
    <x v="0"/>
    <s v="Bank of America"/>
    <s v="1Point Rate"/>
    <s v="MTG"/>
    <x v="67"/>
    <n v="4.506877778796885"/>
  </r>
  <r>
    <x v="0"/>
    <s v="Bank of America"/>
    <s v="1Point Rate"/>
    <s v="MTG"/>
    <x v="68"/>
    <n v="4.4982195751567664"/>
  </r>
  <r>
    <x v="0"/>
    <s v="Bank of America"/>
    <s v="1Point Rate"/>
    <s v="MTG"/>
    <x v="69"/>
    <n v="4.5731051550143587"/>
  </r>
  <r>
    <x v="0"/>
    <s v="Bank of America"/>
    <s v="1Point Rate"/>
    <s v="MTG"/>
    <x v="70"/>
    <n v="4.6190180362729505"/>
  </r>
  <r>
    <x v="0"/>
    <s v="Bank of America"/>
    <s v="1Point Rate"/>
    <s v="MTG"/>
    <x v="71"/>
    <n v="4.5446319580999752"/>
  </r>
  <r>
    <x v="0"/>
    <s v="Bank of America"/>
    <s v="1Point Rate"/>
    <s v="MTG"/>
    <x v="72"/>
    <n v="4.5273550581154201"/>
  </r>
  <r>
    <x v="0"/>
    <s v="Bank of America"/>
    <s v="1Point Rate"/>
    <s v="MTG"/>
    <x v="73"/>
    <n v="4.5302358163273126"/>
  </r>
  <r>
    <x v="0"/>
    <s v="Bank of America"/>
    <s v="1Point Rate"/>
    <s v="MTG"/>
    <x v="74"/>
    <n v="4.4927461331875742"/>
  </r>
  <r>
    <x v="0"/>
    <s v="Bank of America"/>
    <s v="1Point Rate"/>
    <s v="MTG"/>
    <x v="75"/>
    <n v="4.5014052622718115"/>
  </r>
  <r>
    <x v="0"/>
    <s v="Bank of America"/>
    <s v="1Point Rate"/>
    <s v="MTG"/>
    <x v="76"/>
    <n v="4.4464862944264567"/>
  </r>
  <r>
    <x v="0"/>
    <s v="Bank of America"/>
    <s v="1Point Rate"/>
    <s v="MTG"/>
    <x v="77"/>
    <n v="4.4088034557948594"/>
  </r>
  <r>
    <x v="0"/>
    <s v="Bank of America"/>
    <s v="1Point Rate"/>
    <s v="MTG"/>
    <x v="78"/>
    <n v="4.4493813788399832"/>
  </r>
  <r>
    <x v="0"/>
    <s v="Bank of America"/>
    <s v="1Point Rate"/>
    <s v="MTG"/>
    <x v="79"/>
    <n v="4.5270624197579012"/>
  </r>
  <r>
    <x v="0"/>
    <s v="Bank of America"/>
    <s v="1Point Rate"/>
    <s v="MTG"/>
    <x v="80"/>
    <n v="4.4895567814149242"/>
  </r>
  <r>
    <x v="0"/>
    <s v="Bank of America"/>
    <s v="1Point Rate"/>
    <s v="MTG"/>
    <x v="81"/>
    <n v="4.5011061529054421"/>
  </r>
  <r>
    <x v="0"/>
    <s v="Bank of America"/>
    <s v="1Point Rate"/>
    <s v="MTG"/>
    <x v="82"/>
    <n v="4.6052695045580423"/>
  </r>
  <r>
    <x v="0"/>
    <s v="Bank of America"/>
    <s v="1Point Rate"/>
    <s v="MTG"/>
    <x v="83"/>
    <n v="4.5759785098962773"/>
  </r>
  <r>
    <x v="0"/>
    <s v="Bank of America"/>
    <s v="1Point Rate"/>
    <s v="MTG"/>
    <x v="84"/>
    <n v="4.4924448895185813"/>
  </r>
  <r>
    <x v="0"/>
    <s v="Bank of America"/>
    <s v="1Point Rate"/>
    <s v="MTG"/>
    <x v="85"/>
    <n v="4.6333392501361672"/>
  </r>
  <r>
    <x v="0"/>
    <s v="Bank of America"/>
    <s v="1Point Rate"/>
    <s v="MTG"/>
    <x v="86"/>
    <n v="4.5673569234199736"/>
  </r>
  <r>
    <x v="0"/>
    <s v="Bank of America"/>
    <s v="1Point Rate"/>
    <s v="MTG"/>
    <x v="87"/>
    <n v="4.4953324873966052"/>
  </r>
  <r>
    <x v="0"/>
    <s v="Bank of America"/>
    <s v="1Point Rate"/>
    <s v="MTG"/>
    <x v="88"/>
    <n v="4.4985193972193684"/>
  </r>
  <r>
    <x v="0"/>
    <s v="Bank of America"/>
    <s v="1Point Rate"/>
    <s v="MTG"/>
    <x v="89"/>
    <n v="4.5446319580999752"/>
  </r>
  <r>
    <x v="0"/>
    <s v="Bank of America"/>
    <s v="1Point Rate"/>
    <s v="MTG"/>
    <x v="90"/>
    <n v="4.5446319580999752"/>
  </r>
  <r>
    <x v="0"/>
    <s v="Bank of America"/>
    <s v="1Point Rate"/>
    <s v="MTG"/>
    <x v="91"/>
    <n v="4.5960778002180591"/>
  </r>
  <r>
    <x v="0"/>
    <s v="Bank of America"/>
    <s v="1Point Rate"/>
    <s v="MTG"/>
    <x v="92"/>
    <n v="4.6425186326748173"/>
  </r>
  <r>
    <x v="0"/>
    <s v="Bank of America"/>
    <s v="1Point Rate"/>
    <s v="MTG"/>
    <x v="93"/>
    <n v="4.5472221224551266"/>
  </r>
  <r>
    <x v="0"/>
    <s v="Bank of America"/>
    <s v="1Point Rate"/>
    <s v="MTG"/>
    <x v="94"/>
    <n v="4.5472221224551266"/>
  </r>
  <r>
    <x v="0"/>
    <s v="Bank of America"/>
    <s v="1Point Rate"/>
    <s v="MTG"/>
    <x v="95"/>
    <n v="4.4779992446135664"/>
  </r>
  <r>
    <x v="0"/>
    <s v="Bank of America"/>
    <s v="1Point Rate"/>
    <s v="MTG"/>
    <x v="96"/>
    <n v="4.4461738601142571"/>
  </r>
  <r>
    <x v="0"/>
    <s v="Bank of America"/>
    <s v="1Point Rate"/>
    <s v="MTG"/>
    <x v="97"/>
    <n v="4.4461738601142571"/>
  </r>
  <r>
    <x v="0"/>
    <s v="Bank of America"/>
    <s v="1Point Rate"/>
    <s v="MTG"/>
    <x v="98"/>
    <n v="4.4696326089388583"/>
  </r>
  <r>
    <x v="0"/>
    <s v="Bank of America"/>
    <s v="1Point Rate"/>
    <s v="MTG"/>
    <x v="99"/>
    <n v="4.4811934664059407"/>
  </r>
  <r>
    <x v="0"/>
    <s v="Bank of America"/>
    <s v="1Point Rate"/>
    <s v="MTG"/>
    <x v="100"/>
    <n v="4.4522759501537079"/>
  </r>
  <r>
    <x v="0"/>
    <s v="Bank of America"/>
    <s v="1Point Rate"/>
    <s v="MTG"/>
    <x v="101"/>
    <n v="4.4204074273666594"/>
  </r>
  <r>
    <x v="0"/>
    <s v="Bank of America"/>
    <s v="1Point Rate"/>
    <s v="MTG"/>
    <x v="102"/>
    <n v="4.4406945858636773"/>
  </r>
  <r>
    <x v="0"/>
    <s v="Bank of America"/>
    <s v="1Point Rate"/>
    <s v="MTG"/>
    <x v="103"/>
    <n v="4.4493813788399832"/>
  </r>
  <r>
    <x v="0"/>
    <s v="Bank of America"/>
    <s v="1Point Rate"/>
    <s v="MTG"/>
    <x v="104"/>
    <n v="4.4609565865630021"/>
  </r>
  <r>
    <x v="0"/>
    <s v="Bank of America"/>
    <s v="1Point Rate"/>
    <s v="MTG"/>
    <x v="105"/>
    <n v="4.4898587339935672"/>
  </r>
  <r>
    <x v="0"/>
    <s v="Bank of America"/>
    <s v="1Point Rate"/>
    <s v="MTG"/>
    <x v="106"/>
    <n v="4.3739421106982554"/>
  </r>
  <r>
    <x v="0"/>
    <s v="Bank of America"/>
    <s v="1Point Rate"/>
    <s v="MTG"/>
    <x v="107"/>
    <n v="4.3855708043827342"/>
  </r>
  <r>
    <x v="0"/>
    <s v="Bank of America"/>
    <s v="1Point Rate"/>
    <s v="MTG"/>
    <x v="108"/>
    <n v="4.4146064703713783"/>
  </r>
  <r>
    <x v="0"/>
    <s v="Bank of America"/>
    <s v="1Point Rate"/>
    <s v="MTG"/>
    <x v="109"/>
    <n v="4.5014052622718115"/>
  </r>
  <r>
    <x v="0"/>
    <s v="Bank of America"/>
    <s v="1Point Rate"/>
    <s v="MTG"/>
    <x v="110"/>
    <n v="4.5129436118874455"/>
  </r>
  <r>
    <x v="0"/>
    <s v="Bank of America"/>
    <s v="1Point Rate"/>
    <s v="MTG"/>
    <x v="111"/>
    <n v="4.3477473586080162"/>
  </r>
  <r>
    <x v="0"/>
    <s v="Bank of America"/>
    <s v="1Point Rate"/>
    <s v="MTG"/>
    <x v="112"/>
    <n v="4.4175072060123801"/>
  </r>
  <r>
    <x v="0"/>
    <s v="Bank of America"/>
    <s v="1Point Rate"/>
    <s v="MTG"/>
    <x v="113"/>
    <n v="4.3652151737597782"/>
  </r>
  <r>
    <x v="0"/>
    <s v="Bank of America"/>
    <s v="1Point Rate"/>
    <s v="MTG"/>
    <x v="114"/>
    <n v="4.4070838695955894"/>
  </r>
  <r>
    <x v="0"/>
    <s v="Bank of America"/>
    <s v="1Point Rate"/>
    <s v="MTG"/>
    <x v="115"/>
    <n v="4.3623051624544651"/>
  </r>
  <r>
    <x v="0"/>
    <s v="Bank of America"/>
    <s v="1Point Rate"/>
    <s v="MTG"/>
    <x v="116"/>
    <n v="4.4320031720673221"/>
  </r>
  <r>
    <x v="0"/>
    <s v="Bank of America"/>
    <s v="1Point Rate"/>
    <s v="MTG"/>
    <x v="117"/>
    <n v="4.3185929708734827"/>
  </r>
  <r>
    <x v="0"/>
    <s v="Bank of America"/>
    <s v="1Point Rate"/>
    <s v="MTG"/>
    <x v="118"/>
    <n v="4.3623051624544651"/>
  </r>
  <r>
    <x v="0"/>
    <s v="Bank of America"/>
    <s v="1Point Rate"/>
    <s v="MTG"/>
    <x v="119"/>
    <n v="4.3739421106982554"/>
  </r>
  <r>
    <x v="0"/>
    <s v="Bank of America"/>
    <s v="1Point Rate"/>
    <s v="MTG"/>
    <x v="120"/>
    <n v="4.3402089296616397"/>
  </r>
  <r>
    <x v="0"/>
    <s v="Bank of America"/>
    <s v="1Point Rate"/>
    <s v="MTG"/>
    <x v="121"/>
    <n v="4.2964471598000369"/>
  </r>
  <r>
    <x v="0"/>
    <s v="Bank of America"/>
    <s v="1Point Rate"/>
    <s v="MTG"/>
    <x v="122"/>
    <n v="4.2341459139538875"/>
  </r>
  <r>
    <x v="0"/>
    <s v="Bank of America"/>
    <s v="1Point Rate"/>
    <s v="MTG"/>
    <x v="123"/>
    <n v="4.2935255517595659"/>
  </r>
  <r>
    <x v="0"/>
    <s v="Bank of America"/>
    <s v="1Point Rate"/>
    <s v="MTG"/>
    <x v="124"/>
    <n v="4.3605911450345749"/>
  </r>
  <r>
    <x v="0"/>
    <s v="Bank of America"/>
    <s v="1Point Rate"/>
    <s v="MTG"/>
    <x v="125"/>
    <n v="4.2659844704607144"/>
  </r>
  <r>
    <x v="0"/>
    <s v="Bank of America"/>
    <s v="1Point Rate"/>
    <s v="MTG"/>
    <x v="126"/>
    <n v="4.2132075105238744"/>
  </r>
  <r>
    <x v="0"/>
    <s v="Bank of America"/>
    <s v="1Point Rate"/>
    <s v="MTG"/>
    <x v="127"/>
    <n v="4.2073329774115562"/>
  </r>
  <r>
    <x v="0"/>
    <s v="Bank of America"/>
    <s v="1Point Rate"/>
    <s v="MTG"/>
    <x v="128"/>
    <n v="4.2484108996908265"/>
  </r>
  <r>
    <x v="0"/>
    <s v="Bank of America"/>
    <s v="1Point Rate"/>
    <s v="MTG"/>
    <x v="129"/>
    <n v="4.2981540865235441"/>
  </r>
  <r>
    <x v="0"/>
    <s v="Bank of America"/>
    <s v="1Point Rate"/>
    <s v="MTG"/>
    <x v="130"/>
    <n v="4.1896968435167041"/>
  </r>
  <r>
    <x v="0"/>
    <s v="Bank of America"/>
    <s v="1Point Rate"/>
    <s v="MTG"/>
    <x v="131"/>
    <n v="4.1661527181973517"/>
  </r>
  <r>
    <x v="0"/>
    <s v="Bank of America"/>
    <s v="1Point Rate"/>
    <s v="MTG"/>
    <x v="132"/>
    <n v="4.2513411289951666"/>
  </r>
  <r>
    <x v="0"/>
    <s v="Bank of America"/>
    <s v="1Point Rate"/>
    <s v="MTG"/>
    <x v="133"/>
    <n v="4.2689115785087015"/>
  </r>
  <r>
    <x v="0"/>
    <s v="Bank of America"/>
    <s v="1Point Rate"/>
    <s v="MTG"/>
    <x v="134"/>
    <n v="4.2484108996908265"/>
  </r>
  <r>
    <x v="0"/>
    <s v="Bank of America"/>
    <s v="1Point Rate"/>
    <s v="MTG"/>
    <x v="135"/>
    <n v="4.2278847118467544"/>
  </r>
  <r>
    <x v="0"/>
    <s v="Bank of America"/>
    <s v="1Point Rate"/>
    <s v="MTG"/>
    <x v="136"/>
    <n v="4.2220153961616571"/>
  </r>
  <r>
    <x v="0"/>
    <s v="Bank of America"/>
    <s v="1Point Rate"/>
    <s v="MTG"/>
    <x v="137"/>
    <n v="4.2659844704607144"/>
  </r>
  <r>
    <x v="0"/>
    <s v="Bank of America"/>
    <s v="1Point Rate"/>
    <s v="MTG"/>
    <x v="138"/>
    <n v="4.3065726711167507"/>
  </r>
  <r>
    <x v="0"/>
    <s v="Bank of America"/>
    <s v="1Point Rate"/>
    <s v="MTG"/>
    <x v="139"/>
    <n v="4.2981540865235441"/>
  </r>
  <r>
    <x v="0"/>
    <s v="Bank of America"/>
    <s v="1Point Rate"/>
    <s v="MTG"/>
    <x v="140"/>
    <n v="4.2085721821838193"/>
  </r>
  <r>
    <x v="0"/>
    <s v="Bank of America"/>
    <s v="1Point Rate"/>
    <s v="MTG"/>
    <x v="141"/>
    <n v="4.1543680910694123"/>
  </r>
  <r>
    <x v="0"/>
    <s v="Bank of America"/>
    <s v="1Point Rate"/>
    <s v="MTG"/>
    <x v="142"/>
    <n v="4.1749856896618471"/>
  </r>
  <r>
    <x v="0"/>
    <s v="Bank of America"/>
    <s v="1Point Rate"/>
    <s v="MTG"/>
    <x v="143"/>
    <n v="4.1690975655386646"/>
  </r>
  <r>
    <x v="0"/>
    <s v="Bank of America"/>
    <s v="1Point Rate"/>
    <s v="MTG"/>
    <x v="144"/>
    <n v="4.2291183677260413"/>
  </r>
  <r>
    <x v="0"/>
    <s v="Bank of America"/>
    <s v="1Point Rate"/>
    <s v="MTG"/>
    <x v="145"/>
    <n v="4.1955776447865043"/>
  </r>
  <r>
    <x v="0"/>
    <s v="Bank of America"/>
    <s v="1Point Rate"/>
    <s v="MTG"/>
    <x v="146"/>
    <n v="4.1867556587570789"/>
  </r>
  <r>
    <x v="0"/>
    <s v="Bank of America"/>
    <s v="1Point Rate"/>
    <s v="MTG"/>
    <x v="147"/>
    <n v="4.1720418893230349"/>
  </r>
  <r>
    <x v="0"/>
    <s v="Bank of America"/>
    <s v="1Point Rate"/>
    <s v="MTG"/>
    <x v="148"/>
    <n v="4.2349840011791029"/>
  </r>
  <r>
    <x v="0"/>
    <s v="Bank of America"/>
    <s v="1Point Rate"/>
    <s v="MTG"/>
    <x v="149"/>
    <n v="4.1674028340858227"/>
  </r>
  <r>
    <x v="0"/>
    <s v="Bank of America"/>
    <s v="1Point Rate"/>
    <s v="MTG"/>
    <x v="150"/>
    <n v="4.126130597381807"/>
  </r>
  <r>
    <x v="0"/>
    <s v="Bank of America"/>
    <s v="1Point Rate"/>
    <s v="MTG"/>
    <x v="151"/>
    <n v="4.1143195893331752"/>
  </r>
  <r>
    <x v="0"/>
    <s v="Bank of America"/>
    <s v="1Point Rate"/>
    <s v="MTG"/>
    <x v="152"/>
    <n v="4.1674028340858227"/>
  </r>
  <r>
    <x v="0"/>
    <s v="Bank of America"/>
    <s v="1Point Rate"/>
    <s v="MTG"/>
    <x v="153"/>
    <n v="4.1703469103349287"/>
  </r>
  <r>
    <x v="0"/>
    <s v="Bank of America"/>
    <s v="1Point Rate"/>
    <s v="MTG"/>
    <x v="154"/>
    <n v="4.1762334884512189"/>
  </r>
  <r>
    <x v="0"/>
    <s v="Bank of America"/>
    <s v="1Point Rate"/>
    <s v="MTG"/>
    <x v="155"/>
    <n v="4.1968199924512142"/>
  </r>
  <r>
    <x v="0"/>
    <s v="Bank of America"/>
    <s v="1Point Rate"/>
    <s v="MTG"/>
    <x v="156"/>
    <n v="4.1674028340858227"/>
  </r>
  <r>
    <x v="0"/>
    <s v="Bank of America"/>
    <s v="1Point Rate"/>
    <s v="MTG"/>
    <x v="157"/>
    <n v="4.1379331815548976"/>
  </r>
  <r>
    <x v="0"/>
    <s v="Bank of America"/>
    <s v="1Point Rate"/>
    <s v="MTG"/>
    <x v="158"/>
    <n v="4.1231786353861342"/>
  </r>
  <r>
    <x v="0"/>
    <s v="Bank of America"/>
    <s v="1Point Rate"/>
    <s v="MTG"/>
    <x v="159"/>
    <n v="4.1290820328863767"/>
  </r>
  <r>
    <x v="0"/>
    <s v="Bank of America"/>
    <s v="1Point Rate"/>
    <s v="MTG"/>
    <x v="160"/>
    <n v="4.1113655202581336"/>
  </r>
  <r>
    <x v="0"/>
    <s v="Bank of America"/>
    <s v="1Point Rate"/>
    <s v="MTG"/>
    <x v="161"/>
    <n v="4.1202261467859813"/>
  </r>
  <r>
    <x v="0"/>
    <s v="Bank of America"/>
    <s v="1Point Rate"/>
    <s v="MTG"/>
    <x v="162"/>
    <n v="4.102500150302923"/>
  </r>
  <r>
    <x v="0"/>
    <s v="Bank of America"/>
    <s v="1Point Rate"/>
    <s v="MTG"/>
    <x v="163"/>
    <n v="4.0758755498697496"/>
  </r>
  <r>
    <x v="0"/>
    <s v="Bank of America"/>
    <s v="1Point Rate"/>
    <s v="MTG"/>
    <x v="164"/>
    <n v="4.0758755498697496"/>
  </r>
  <r>
    <x v="0"/>
    <s v="Bank of America"/>
    <s v="1Point Rate"/>
    <s v="MTG"/>
    <x v="165"/>
    <n v="4.105455800854287"/>
  </r>
  <r>
    <x v="0"/>
    <s v="Bank of America"/>
    <s v="1Point Rate"/>
    <s v="MTG"/>
    <x v="166"/>
    <n v="4.0847551681119691"/>
  </r>
  <r>
    <x v="0"/>
    <s v="Bank of America"/>
    <s v="1Point Rate"/>
    <s v="MTG"/>
    <x v="167"/>
    <n v="4.0817958235616114"/>
  </r>
  <r>
    <x v="0"/>
    <s v="Bank of America"/>
    <s v="1Point Rate"/>
    <s v="MTG"/>
    <x v="168"/>
    <n v="4.2144451362355886"/>
  </r>
  <r>
    <x v="0"/>
    <s v="Bank of America"/>
    <s v="1Point Rate"/>
    <s v="MTG"/>
    <x v="169"/>
    <n v="4.2320514457091392"/>
  </r>
  <r>
    <x v="0"/>
    <s v="Bank of America"/>
    <s v="1Point Rate"/>
    <s v="MTG"/>
    <x v="170"/>
    <n v="4.1850594213293615"/>
  </r>
  <r>
    <x v="0"/>
    <s v="Bank of America"/>
    <s v="1Point Rate"/>
    <s v="MTG"/>
    <x v="171"/>
    <n v="4.1821179681285399"/>
  </r>
  <r>
    <x v="0"/>
    <s v="Bank of America"/>
    <s v="1Point Rate"/>
    <s v="MTG"/>
    <x v="172"/>
    <n v="4.1484726333034283"/>
  </r>
  <r>
    <x v="0"/>
    <s v="Bank of America"/>
    <s v="1Point Rate"/>
    <s v="MTG"/>
    <x v="173"/>
    <n v="4.2073329774115562"/>
  </r>
  <r>
    <x v="0"/>
    <s v="Bank of America"/>
    <s v="1Point Rate"/>
    <s v="MTG"/>
    <x v="174"/>
    <n v="4.2923097382949242"/>
  </r>
  <r>
    <x v="0"/>
    <s v="Bank of America"/>
    <s v="1Point Rate"/>
    <s v="MTG"/>
    <x v="175"/>
    <n v="4.2831902952287439"/>
  </r>
  <r>
    <x v="0"/>
    <s v="Bank of America"/>
    <s v="1Point Rate"/>
    <s v="MTG"/>
    <x v="176"/>
    <n v="4.2978081615169801"/>
  </r>
  <r>
    <x v="0"/>
    <s v="Bank of America"/>
    <s v="1Point Rate"/>
    <s v="MTG"/>
    <x v="177"/>
    <n v="4.2802651684494641"/>
  </r>
  <r>
    <x v="0"/>
    <s v="Bank of America"/>
    <s v="1Point Rate"/>
    <s v="MTG"/>
    <x v="178"/>
    <n v="4.3039963598094522"/>
  </r>
  <r>
    <x v="0"/>
    <s v="Bank of America"/>
    <s v="1Point Rate"/>
    <s v="MTG"/>
    <x v="179"/>
    <n v="4.2864633142523001"/>
  </r>
  <r>
    <x v="0"/>
    <s v="Bank of America"/>
    <s v="1Point Rate"/>
    <s v="MTG"/>
    <x v="180"/>
    <n v="4.2806148135221429"/>
  </r>
  <r>
    <x v="0"/>
    <s v="Bank of America"/>
    <s v="1Point Rate"/>
    <s v="MTG"/>
    <x v="181"/>
    <n v="4.2689115785087015"/>
  </r>
  <r>
    <x v="0"/>
    <s v="Bank of America"/>
    <s v="1Point Rate"/>
    <s v="MTG"/>
    <x v="182"/>
    <n v="4.2278847118467544"/>
  </r>
  <r>
    <x v="0"/>
    <s v="Bank of America"/>
    <s v="1Point Rate"/>
    <s v="MTG"/>
    <x v="183"/>
    <n v="4.224950314738753"/>
  </r>
  <r>
    <x v="0"/>
    <s v="Bank of America"/>
    <s v="1Point Rate"/>
    <s v="MTG"/>
    <x v="184"/>
    <n v="4.2776897841265393"/>
  </r>
  <r>
    <x v="0"/>
    <s v="Bank of America"/>
    <s v="1Point Rate"/>
    <s v="MTG"/>
    <x v="185"/>
    <n v="4.2689115785087015"/>
  </r>
  <r>
    <x v="0"/>
    <s v="Bank of America"/>
    <s v="1Point Rate"/>
    <s v="MTG"/>
    <x v="186"/>
    <n v="4.3069167186221247"/>
  </r>
  <r>
    <x v="0"/>
    <s v="Bank of America"/>
    <s v="1Point Rate"/>
    <s v="MTG"/>
    <x v="187"/>
    <n v="4.2981540865235441"/>
  </r>
  <r>
    <x v="0"/>
    <s v="Bank of America"/>
    <s v="1Point Rate"/>
    <s v="MTG"/>
    <x v="188"/>
    <n v="4.3010754824792077"/>
  </r>
  <r>
    <x v="0"/>
    <s v="Bank of America"/>
    <s v="1Point Rate"/>
    <s v="MTG"/>
    <x v="189"/>
    <n v="4.2747642352322801"/>
  </r>
  <r>
    <x v="0"/>
    <s v="Bank of America"/>
    <s v="1Point Rate"/>
    <s v="MTG"/>
    <x v="190"/>
    <n v="4.2454801497938641"/>
  </r>
  <r>
    <x v="0"/>
    <s v="Bank of America"/>
    <s v="1Point Rate"/>
    <s v="MTG"/>
    <x v="191"/>
    <n v="4.3270050994940847"/>
  </r>
  <r>
    <x v="0"/>
    <s v="Bank of America"/>
    <s v="1Point Rate"/>
    <s v="MTG"/>
    <x v="192"/>
    <n v="4.2627035239995106"/>
  </r>
  <r>
    <x v="0"/>
    <s v="Bank of America"/>
    <s v="1Point Rate"/>
    <s v="MTG"/>
    <x v="193"/>
    <n v="4.3069167186221247"/>
  </r>
  <r>
    <x v="0"/>
    <s v="Bank of America"/>
    <s v="1Point Rate"/>
    <s v="MTG"/>
    <x v="194"/>
    <n v="4.2484108996908265"/>
  </r>
  <r>
    <x v="0"/>
    <s v="Bank of America"/>
    <s v="1Point Rate"/>
    <s v="MTG"/>
    <x v="195"/>
    <n v="4.2659844704607144"/>
  </r>
  <r>
    <x v="0"/>
    <s v="Bank of America"/>
    <s v="1Point Rate"/>
    <s v="MTG"/>
    <x v="196"/>
    <n v="4.2718381667285747"/>
  </r>
  <r>
    <x v="0"/>
    <s v="Bank of America"/>
    <s v="1Point Rate"/>
    <s v="MTG"/>
    <x v="197"/>
    <n v="4.2981540865235441"/>
  </r>
  <r>
    <x v="0"/>
    <s v="Bank of America"/>
    <s v="1Point Rate"/>
    <s v="MTG"/>
    <x v="198"/>
    <n v="4.321169846229119"/>
  </r>
  <r>
    <x v="0"/>
    <s v="Bank of America"/>
    <s v="1Point Rate"/>
    <s v="MTG"/>
    <x v="199"/>
    <n v="4.432241325153659"/>
  </r>
  <r>
    <x v="0"/>
    <s v="Bank of America"/>
    <s v="1Point Rate"/>
    <s v="MTG"/>
    <x v="200"/>
    <n v="4.3881507237947863"/>
  </r>
  <r>
    <x v="0"/>
    <s v="Bank of America"/>
    <s v="1Point Rate"/>
    <s v="MTG"/>
    <x v="201"/>
    <n v="4.309493139938624"/>
  </r>
  <r>
    <x v="0"/>
    <s v="Bank of America"/>
    <s v="1Point Rate"/>
    <s v="MTG"/>
    <x v="202"/>
    <n v="4.3039963598094522"/>
  </r>
  <r>
    <x v="0"/>
    <s v="Bank of America"/>
    <s v="1Point Rate"/>
    <s v="MTG"/>
    <x v="203"/>
    <n v="4.2601286944480448"/>
  </r>
  <r>
    <x v="0"/>
    <s v="Bank of America"/>
    <s v="1Point Rate"/>
    <s v="MTG"/>
    <x v="204"/>
    <n v="4.2714866791154122"/>
  </r>
  <r>
    <x v="0"/>
    <s v="Bank of America"/>
    <s v="1Point Rate"/>
    <s v="MTG"/>
    <x v="205"/>
    <n v="4.3677940887453044"/>
  </r>
  <r>
    <x v="0"/>
    <s v="Bank of America"/>
    <s v="1Point Rate"/>
    <s v="MTG"/>
    <x v="206"/>
    <n v="4.3648839395113539"/>
  </r>
  <r>
    <x v="0"/>
    <s v="Bank of America"/>
    <s v="1Point Rate"/>
    <s v="MTG"/>
    <x v="207"/>
    <n v="4.3794295383213715"/>
  </r>
  <r>
    <x v="0"/>
    <s v="Bank of America"/>
    <s v="1Point Rate"/>
    <s v="MTG"/>
    <x v="208"/>
    <n v="4.3619732753244458"/>
  </r>
  <r>
    <x v="0"/>
    <s v="Bank of America"/>
    <s v="1Point Rate"/>
    <s v="MTG"/>
    <x v="209"/>
    <n v="4.3590620960775004"/>
  </r>
  <r>
    <x v="0"/>
    <s v="Bank of America"/>
    <s v="1Point Rate"/>
    <s v="MTG"/>
    <x v="210"/>
    <n v="4.3069167186221247"/>
  </r>
  <r>
    <x v="0"/>
    <s v="Bank of America"/>
    <s v="1Point Rate"/>
    <s v="MTG"/>
    <x v="211"/>
    <n v="4.309493139938624"/>
  </r>
  <r>
    <x v="0"/>
    <s v="Bank of America"/>
    <s v="1Point Rate"/>
    <s v="MTG"/>
    <x v="212"/>
    <n v="4.3039963598094522"/>
  </r>
  <r>
    <x v="0"/>
    <s v="Bank of America"/>
    <s v="1Point Rate"/>
    <s v="MTG"/>
    <x v="213"/>
    <n v="4.2542708378161587"/>
  </r>
  <r>
    <x v="0"/>
    <s v="Bank of America"/>
    <s v="1Point Rate"/>
    <s v="MTG"/>
    <x v="214"/>
    <n v="4.2718381667285747"/>
  </r>
  <r>
    <x v="0"/>
    <s v="Bank of America"/>
    <s v="1Point Rate"/>
    <s v="MTG"/>
    <x v="215"/>
    <n v="4.2864633142523001"/>
  </r>
  <r>
    <x v="0"/>
    <s v="Bank of America"/>
    <s v="1Point Rate"/>
    <s v="MTG"/>
    <x v="216"/>
    <n v="4.2278847118467544"/>
  </r>
  <r>
    <x v="0"/>
    <s v="Bank of America"/>
    <s v="1Point Rate"/>
    <s v="MTG"/>
    <x v="217"/>
    <n v="4.2601286944480448"/>
  </r>
  <r>
    <x v="0"/>
    <s v="Bank of America"/>
    <s v="1Point Rate"/>
    <s v="MTG"/>
    <x v="218"/>
    <n v="4.2337519420959611"/>
  </r>
  <r>
    <x v="0"/>
    <s v="Bank of America"/>
    <s v="1Point Rate"/>
    <s v="MTG"/>
    <x v="219"/>
    <n v="4.2320514457091392"/>
  </r>
  <r>
    <x v="0"/>
    <s v="Bank of America"/>
    <s v="1Point Rate"/>
    <s v="MTG"/>
    <x v="220"/>
    <n v="4.1720418893230349"/>
  </r>
  <r>
    <x v="0"/>
    <s v="Bank of America"/>
    <s v="1Point Rate"/>
    <s v="MTG"/>
    <x v="221"/>
    <n v="4.1997588253638858"/>
  </r>
  <r>
    <x v="0"/>
    <s v="Bank of America"/>
    <s v="1Point Rate"/>
    <s v="MTG"/>
    <x v="222"/>
    <n v="4.1349833248614178"/>
  </r>
  <r>
    <x v="0"/>
    <s v="Bank of America"/>
    <s v="1Point Rate"/>
    <s v="MTG"/>
    <x v="223"/>
    <n v="4.2190799560072145"/>
  </r>
  <r>
    <x v="0"/>
    <s v="Bank of America"/>
    <s v="1Point Rate"/>
    <s v="MTG"/>
    <x v="224"/>
    <n v="4.1955776447865043"/>
  </r>
  <r>
    <x v="0"/>
    <s v="Bank of America"/>
    <s v="1Point Rate"/>
    <s v="MTG"/>
    <x v="225"/>
    <n v="4.2026971345497621"/>
  </r>
  <r>
    <x v="0"/>
    <s v="Bank of America"/>
    <s v="1Point Rate"/>
    <s v="MTG"/>
    <x v="226"/>
    <n v="4.2026971345497621"/>
  </r>
  <r>
    <x v="0"/>
    <s v="Bank of America"/>
    <s v="1Point Rate"/>
    <s v="MTG"/>
    <x v="227"/>
    <n v="4.1690975655386646"/>
  </r>
  <r>
    <x v="0"/>
    <s v="Bank of America"/>
    <s v="1Point Rate"/>
    <s v="MTG"/>
    <x v="228"/>
    <n v="4.1556212785682742"/>
  </r>
  <r>
    <x v="0"/>
    <s v="Bank of America"/>
    <s v="1Point Rate"/>
    <s v="MTG"/>
    <x v="229"/>
    <n v="4.1938806357020679"/>
  </r>
  <r>
    <x v="0"/>
    <s v="Bank of America"/>
    <s v="1Point Rate"/>
    <s v="MTG"/>
    <x v="230"/>
    <n v="4.105455800854287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Chase"/>
    <s v="1Point Rate"/>
    <s v="MTG"/>
    <x v="6"/>
    <n v="3.968948344733974"/>
  </r>
  <r>
    <x v="0"/>
    <s v="Chase"/>
    <s v="1Point Rate"/>
    <s v="MTG"/>
    <x v="7"/>
    <n v="3.8725334437312955"/>
  </r>
  <r>
    <x v="0"/>
    <s v="Chase"/>
    <s v="1Point Rate"/>
    <s v="MTG"/>
    <x v="8"/>
    <n v="3.9353424338077225"/>
  </r>
  <r>
    <x v="0"/>
    <s v="Chase"/>
    <s v="1Point Rate"/>
    <s v="MTG"/>
    <x v="9"/>
    <n v="3.9361387568601574"/>
  </r>
  <r>
    <x v="0"/>
    <s v="Chase"/>
    <s v="1Point Rate"/>
    <s v="MTG"/>
    <x v="10"/>
    <n v="3.9353424338077225"/>
  </r>
  <r>
    <x v="0"/>
    <s v="Chase"/>
    <s v="1Point Rate"/>
    <s v="MTG"/>
    <x v="11"/>
    <n v="3.8425411667081901"/>
  </r>
  <r>
    <x v="0"/>
    <s v="Chase"/>
    <s v="1Point Rate"/>
    <s v="MTG"/>
    <x v="12"/>
    <n v="3.812592661796018"/>
  </r>
  <r>
    <x v="0"/>
    <s v="Chase"/>
    <s v="1Point Rate"/>
    <s v="MTG"/>
    <x v="13"/>
    <n v="3.8425411667081901"/>
  </r>
  <r>
    <x v="0"/>
    <s v="Chase"/>
    <s v="1Point Rate"/>
    <s v="MTG"/>
    <x v="14"/>
    <n v="3.8425411667081901"/>
  </r>
  <r>
    <x v="0"/>
    <s v="Chase"/>
    <s v="1Point Rate"/>
    <s v="MTG"/>
    <x v="15"/>
    <n v="3.8124950348616728"/>
  </r>
  <r>
    <x v="0"/>
    <s v="Chase"/>
    <s v="1Point Rate"/>
    <s v="MTG"/>
    <x v="16"/>
    <n v="3.812592661796018"/>
  </r>
  <r>
    <x v="0"/>
    <s v="Chase"/>
    <s v="1Point Rate"/>
    <s v="MTG"/>
    <x v="17"/>
    <n v="3.9054628819113248"/>
  </r>
  <r>
    <x v="0"/>
    <s v="Chase"/>
    <s v="1Point Rate"/>
    <s v="MTG"/>
    <x v="18"/>
    <n v="3.8725334437312955"/>
  </r>
  <r>
    <x v="0"/>
    <s v="Chase"/>
    <s v="1Point Rate"/>
    <s v="MTG"/>
    <x v="19"/>
    <n v="3.8425411667081901"/>
  </r>
  <r>
    <x v="0"/>
    <s v="Chase"/>
    <s v="1Point Rate"/>
    <s v="MTG"/>
    <x v="20"/>
    <n v="3.812592661796018"/>
  </r>
  <r>
    <x v="0"/>
    <s v="Chase"/>
    <s v="1Point Rate"/>
    <s v="MTG"/>
    <x v="21"/>
    <n v="3.7493301282064344"/>
  </r>
  <r>
    <x v="0"/>
    <s v="Chase"/>
    <s v="1Point Rate"/>
    <s v="MTG"/>
    <x v="22"/>
    <n v="3.7794849694083221"/>
  </r>
  <r>
    <x v="0"/>
    <s v="Chase"/>
    <s v="1Point Rate"/>
    <s v="MTG"/>
    <x v="23"/>
    <n v="3.7493301282064344"/>
  </r>
  <r>
    <x v="0"/>
    <s v="Chase"/>
    <s v="1Point Rate"/>
    <s v="MTG"/>
    <x v="24"/>
    <n v="3.812592661796018"/>
  </r>
  <r>
    <x v="0"/>
    <s v="Chase"/>
    <s v="1Point Rate"/>
    <s v="MTG"/>
    <x v="25"/>
    <n v="3.8425411667081901"/>
  </r>
  <r>
    <x v="0"/>
    <s v="Chase"/>
    <s v="1Point Rate"/>
    <s v="MTG"/>
    <x v="26"/>
    <n v="3.8124950348616728"/>
  </r>
  <r>
    <x v="0"/>
    <s v="Chase"/>
    <s v="1Point Rate"/>
    <s v="MTG"/>
    <x v="27"/>
    <n v="3.812592661796018"/>
  </r>
  <r>
    <x v="0"/>
    <s v="Chase"/>
    <s v="1Point Rate"/>
    <s v="MTG"/>
    <x v="28"/>
    <n v="3.8124950348616728"/>
  </r>
  <r>
    <x v="0"/>
    <s v="Chase"/>
    <s v="1Point Rate"/>
    <s v="MTG"/>
    <x v="29"/>
    <n v="3.8425411667081901"/>
  </r>
  <r>
    <x v="0"/>
    <s v="Chase"/>
    <s v="1Point Rate"/>
    <s v="MTG"/>
    <x v="30"/>
    <n v="3.7794849694083221"/>
  </r>
  <r>
    <x v="0"/>
    <s v="Chase"/>
    <s v="1Point Rate"/>
    <s v="MTG"/>
    <x v="31"/>
    <n v="3.812592661796018"/>
  </r>
  <r>
    <x v="0"/>
    <s v="Chase"/>
    <s v="1Point Rate"/>
    <s v="MTG"/>
    <x v="32"/>
    <n v="3.812592661796018"/>
  </r>
  <r>
    <x v="0"/>
    <s v="Chase"/>
    <s v="1Point Rate"/>
    <s v="MTG"/>
    <x v="33"/>
    <n v="3.812592661796018"/>
  </r>
  <r>
    <x v="0"/>
    <s v="Chase"/>
    <s v="1Point Rate"/>
    <s v="MTG"/>
    <x v="34"/>
    <n v="3.7794849694083221"/>
  </r>
  <r>
    <x v="0"/>
    <s v="Chase"/>
    <s v="1Point Rate"/>
    <s v="MTG"/>
    <x v="35"/>
    <n v="3.7794849694083221"/>
  </r>
  <r>
    <x v="0"/>
    <s v="Chase"/>
    <s v="1Point Rate"/>
    <s v="MTG"/>
    <x v="36"/>
    <n v="3.812592661796018"/>
  </r>
  <r>
    <x v="0"/>
    <s v="Chase"/>
    <s v="1Point Rate"/>
    <s v="MTG"/>
    <x v="37"/>
    <n v="3.8425411667081901"/>
  </r>
  <r>
    <x v="0"/>
    <s v="Chase"/>
    <s v="1Point Rate"/>
    <s v="MTG"/>
    <x v="38"/>
    <n v="3.8425411667081901"/>
  </r>
  <r>
    <x v="0"/>
    <s v="Chase"/>
    <s v="1Point Rate"/>
    <s v="MTG"/>
    <x v="39"/>
    <n v="3.8124950348616728"/>
  </r>
  <r>
    <x v="0"/>
    <s v="Chase"/>
    <s v="1Point Rate"/>
    <s v="MTG"/>
    <x v="40"/>
    <n v="3.8425411667081901"/>
  </r>
  <r>
    <x v="0"/>
    <s v="Chase"/>
    <s v="1Point Rate"/>
    <s v="MTG"/>
    <x v="41"/>
    <n v="3.9062558298878747"/>
  </r>
  <r>
    <x v="0"/>
    <s v="Chase"/>
    <s v="1Point Rate"/>
    <s v="MTG"/>
    <x v="42"/>
    <n v="3.9353424338077225"/>
  </r>
  <r>
    <x v="0"/>
    <s v="Chase"/>
    <s v="1Point Rate"/>
    <s v="MTG"/>
    <x v="43"/>
    <n v="3.9353424338077225"/>
  </r>
  <r>
    <x v="0"/>
    <s v="Chase"/>
    <s v="1Point Rate"/>
    <s v="MTG"/>
    <x v="44"/>
    <n v="3.968948344733974"/>
  </r>
  <r>
    <x v="0"/>
    <s v="Chase"/>
    <s v="1Point Rate"/>
    <s v="MTG"/>
    <x v="45"/>
    <n v="4.0610656170015185"/>
  </r>
  <r>
    <x v="0"/>
    <s v="Chase"/>
    <s v="1Point Rate"/>
    <s v="MTG"/>
    <x v="46"/>
    <n v="4.0610656170015185"/>
  </r>
  <r>
    <x v="0"/>
    <s v="Chase"/>
    <s v="1Point Rate"/>
    <s v="MTG"/>
    <x v="47"/>
    <n v="4.0284371983798186"/>
  </r>
  <r>
    <x v="0"/>
    <s v="Chase"/>
    <s v="1Point Rate"/>
    <s v="MTG"/>
    <x v="48"/>
    <n v="3.9361387568601574"/>
  </r>
  <r>
    <x v="0"/>
    <s v="Chase"/>
    <s v="1Point Rate"/>
    <s v="MTG"/>
    <x v="49"/>
    <n v="3.9987193359155064"/>
  </r>
  <r>
    <x v="0"/>
    <s v="Chase"/>
    <s v="1Point Rate"/>
    <s v="MTG"/>
    <x v="50"/>
    <n v="4.0284371983798186"/>
  </r>
  <r>
    <x v="0"/>
    <s v="Chase"/>
    <s v="1Point Rate"/>
    <s v="MTG"/>
    <x v="51"/>
    <n v="4.0610656170015185"/>
  </r>
  <r>
    <x v="0"/>
    <s v="Chase"/>
    <s v="1Point Rate"/>
    <s v="MTG"/>
    <x v="52"/>
    <n v="4.0301218665618999"/>
  </r>
  <r>
    <x v="0"/>
    <s v="Chase"/>
    <s v="1Point Rate"/>
    <s v="MTG"/>
    <x v="53"/>
    <n v="4.0284371983798186"/>
  </r>
  <r>
    <x v="0"/>
    <s v="Chase"/>
    <s v="1Point Rate"/>
    <s v="MTG"/>
    <x v="54"/>
    <n v="3.9987193359155064"/>
  </r>
  <r>
    <x v="0"/>
    <s v="Chase"/>
    <s v="1Point Rate"/>
    <s v="MTG"/>
    <x v="55"/>
    <n v="4.0936300339223344"/>
  </r>
  <r>
    <x v="0"/>
    <s v="Chase"/>
    <s v="1Point Rate"/>
    <s v="MTG"/>
    <x v="56"/>
    <n v="4.0936300339223344"/>
  </r>
  <r>
    <x v="0"/>
    <s v="Chase"/>
    <s v="1Point Rate"/>
    <s v="MTG"/>
    <x v="57"/>
    <n v="3.9987193359155064"/>
  </r>
  <r>
    <x v="0"/>
    <s v="Chase"/>
    <s v="1Point Rate"/>
    <s v="MTG"/>
    <x v="58"/>
    <n v="4.0936300339223344"/>
  </r>
  <r>
    <x v="0"/>
    <s v="Chase"/>
    <s v="1Point Rate"/>
    <s v="MTG"/>
    <x v="59"/>
    <n v="4.0284371983798186"/>
  </r>
  <r>
    <x v="0"/>
    <s v="Chase"/>
    <s v="1Point Rate"/>
    <s v="MTG"/>
    <x v="60"/>
    <n v="3.9659683192190758"/>
  </r>
  <r>
    <x v="0"/>
    <s v="Chase"/>
    <s v="1Point Rate"/>
    <s v="MTG"/>
    <x v="61"/>
    <n v="3.9659683192190758"/>
  </r>
  <r>
    <x v="0"/>
    <s v="Chase"/>
    <s v="1Point Rate"/>
    <s v="MTG"/>
    <x v="62"/>
    <n v="3.9361387568601574"/>
  </r>
  <r>
    <x v="0"/>
    <s v="Chase"/>
    <s v="1Point Rate"/>
    <s v="MTG"/>
    <x v="63"/>
    <n v="4.0284371983798186"/>
  </r>
  <r>
    <x v="0"/>
    <s v="Chase"/>
    <s v="1Point Rate"/>
    <s v="MTG"/>
    <x v="64"/>
    <n v="4.0284371983798186"/>
  </r>
  <r>
    <x v="0"/>
    <s v="Chase"/>
    <s v="1Point Rate"/>
    <s v="MTG"/>
    <x v="65"/>
    <n v="4.1248698203088709"/>
  </r>
  <r>
    <x v="0"/>
    <s v="Chase"/>
    <s v="1Point Rate"/>
    <s v="MTG"/>
    <x v="66"/>
    <n v="4.1248698203088709"/>
  </r>
  <r>
    <x v="0"/>
    <s v="Chase"/>
    <s v="1Point Rate"/>
    <s v="MTG"/>
    <x v="67"/>
    <n v="4.1539931569602002"/>
  </r>
  <r>
    <x v="0"/>
    <s v="Chase"/>
    <s v="1Point Rate"/>
    <s v="MTG"/>
    <x v="68"/>
    <n v="4.1248698203088709"/>
  </r>
  <r>
    <x v="0"/>
    <s v="Chase"/>
    <s v="1Point Rate"/>
    <s v="MTG"/>
    <x v="69"/>
    <n v="4.2161439941639536"/>
  </r>
  <r>
    <x v="0"/>
    <s v="Chase"/>
    <s v="1Point Rate"/>
    <s v="MTG"/>
    <x v="70"/>
    <n v="4.2802651684494641"/>
  </r>
  <r>
    <x v="0"/>
    <s v="Chase"/>
    <s v="1Point Rate"/>
    <s v="MTG"/>
    <x v="71"/>
    <n v="4.1867556587570789"/>
  </r>
  <r>
    <x v="0"/>
    <s v="Chase"/>
    <s v="1Point Rate"/>
    <s v="MTG"/>
    <x v="72"/>
    <n v="4.2161439941639536"/>
  </r>
  <r>
    <x v="0"/>
    <s v="Chase"/>
    <s v="1Point Rate"/>
    <s v="MTG"/>
    <x v="73"/>
    <n v="4.1543680910694123"/>
  </r>
  <r>
    <x v="0"/>
    <s v="Chase"/>
    <s v="1Point Rate"/>
    <s v="MTG"/>
    <x v="74"/>
    <n v="4.1543680910694123"/>
  </r>
  <r>
    <x v="0"/>
    <s v="Chase"/>
    <s v="1Point Rate"/>
    <s v="MTG"/>
    <x v="75"/>
    <n v="4.1543680910694123"/>
  </r>
  <r>
    <x v="0"/>
    <s v="Chase"/>
    <s v="1Point Rate"/>
    <s v="MTG"/>
    <x v="76"/>
    <n v="4.1248698203088709"/>
  </r>
  <r>
    <x v="0"/>
    <s v="Chase"/>
    <s v="1Point Rate"/>
    <s v="MTG"/>
    <x v="77"/>
    <n v="4.0627523635008007"/>
  </r>
  <r>
    <x v="0"/>
    <s v="Chase"/>
    <s v="1Point Rate"/>
    <s v="MTG"/>
    <x v="78"/>
    <n v="4.1867556587570789"/>
  </r>
  <r>
    <x v="0"/>
    <s v="Chase"/>
    <s v="1Point Rate"/>
    <s v="MTG"/>
    <x v="79"/>
    <n v="4.1539931569602002"/>
  </r>
  <r>
    <x v="0"/>
    <s v="Chase"/>
    <s v="1Point Rate"/>
    <s v="MTG"/>
    <x v="80"/>
    <n v="4.2161439941639536"/>
  </r>
  <r>
    <x v="0"/>
    <s v="Chase"/>
    <s v="1Point Rate"/>
    <s v="MTG"/>
    <x v="81"/>
    <n v="4.2161439941639536"/>
  </r>
  <r>
    <x v="0"/>
    <s v="Chase"/>
    <s v="1Point Rate"/>
    <s v="MTG"/>
    <x v="82"/>
    <n v="4.1863869638007634"/>
  </r>
  <r>
    <x v="0"/>
    <s v="Chase"/>
    <s v="1Point Rate"/>
    <s v="MTG"/>
    <x v="83"/>
    <n v="4.1539931569602002"/>
  </r>
  <r>
    <x v="0"/>
    <s v="Chase"/>
    <s v="1Point Rate"/>
    <s v="MTG"/>
    <x v="84"/>
    <n v="4.1539931569602002"/>
  </r>
  <r>
    <x v="0"/>
    <s v="Chase"/>
    <s v="1Point Rate"/>
    <s v="MTG"/>
    <x v="85"/>
    <n v="4.1863869638007634"/>
  </r>
  <r>
    <x v="0"/>
    <s v="Chase"/>
    <s v="1Point Rate"/>
    <s v="MTG"/>
    <x v="86"/>
    <n v="4.2161439941639536"/>
  </r>
  <r>
    <x v="0"/>
    <s v="Chase"/>
    <s v="1Point Rate"/>
    <s v="MTG"/>
    <x v="87"/>
    <n v="4.1543680910694123"/>
  </r>
  <r>
    <x v="0"/>
    <s v="Chase"/>
    <s v="1Point Rate"/>
    <s v="MTG"/>
    <x v="88"/>
    <n v="4.0923610563473902"/>
  </r>
  <r>
    <x v="0"/>
    <s v="Chase"/>
    <s v="1Point Rate"/>
    <s v="MTG"/>
    <x v="89"/>
    <n v="4.0627523635008007"/>
  </r>
  <r>
    <x v="0"/>
    <s v="Chase"/>
    <s v="1Point Rate"/>
    <s v="MTG"/>
    <x v="90"/>
    <n v="4.0627523635008007"/>
  </r>
  <r>
    <x v="0"/>
    <s v="Chase"/>
    <s v="1Point Rate"/>
    <s v="MTG"/>
    <x v="91"/>
    <n v="4.1867556587570789"/>
  </r>
  <r>
    <x v="0"/>
    <s v="Chase"/>
    <s v="1Point Rate"/>
    <s v="MTG"/>
    <x v="92"/>
    <n v="4.1863869638007634"/>
  </r>
  <r>
    <x v="0"/>
    <s v="Chase"/>
    <s v="1Point Rate"/>
    <s v="MTG"/>
    <x v="93"/>
    <n v="4.1867556587570789"/>
  </r>
  <r>
    <x v="0"/>
    <s v="Chase"/>
    <s v="1Point Rate"/>
    <s v="MTG"/>
    <x v="94"/>
    <n v="4.1543680910694123"/>
  </r>
  <r>
    <x v="0"/>
    <s v="Chase"/>
    <s v="1Point Rate"/>
    <s v="MTG"/>
    <x v="95"/>
    <n v="4.1248698203088709"/>
  </r>
  <r>
    <x v="0"/>
    <s v="Chase"/>
    <s v="1Point Rate"/>
    <s v="MTG"/>
    <x v="96"/>
    <n v="4.0627523635008007"/>
  </r>
  <r>
    <x v="0"/>
    <s v="Chase"/>
    <s v="1Point Rate"/>
    <s v="MTG"/>
    <x v="97"/>
    <n v="4.0923610563473902"/>
  </r>
  <r>
    <x v="0"/>
    <s v="Chase"/>
    <s v="1Point Rate"/>
    <s v="MTG"/>
    <x v="98"/>
    <n v="4.0923610563473902"/>
  </r>
  <r>
    <x v="0"/>
    <s v="Chase"/>
    <s v="1Point Rate"/>
    <s v="MTG"/>
    <x v="99"/>
    <n v="4.1231786353861342"/>
  </r>
  <r>
    <x v="0"/>
    <s v="Chase"/>
    <s v="1Point Rate"/>
    <s v="MTG"/>
    <x v="100"/>
    <n v="4.1231786353861342"/>
  </r>
  <r>
    <x v="0"/>
    <s v="Chase"/>
    <s v="1Point Rate"/>
    <s v="MTG"/>
    <x v="101"/>
    <n v="4.0936300339223344"/>
  </r>
  <r>
    <x v="0"/>
    <s v="Chase"/>
    <s v="1Point Rate"/>
    <s v="MTG"/>
    <x v="102"/>
    <n v="4.0610656170015185"/>
  </r>
  <r>
    <x v="0"/>
    <s v="Chase"/>
    <s v="1Point Rate"/>
    <s v="MTG"/>
    <x v="103"/>
    <n v="4.0936300339223344"/>
  </r>
  <r>
    <x v="0"/>
    <s v="Chase"/>
    <s v="1Point Rate"/>
    <s v="MTG"/>
    <x v="104"/>
    <n v="4.0936300339223344"/>
  </r>
  <r>
    <x v="0"/>
    <s v="Chase"/>
    <s v="1Point Rate"/>
    <s v="MTG"/>
    <x v="105"/>
    <n v="4.0936300339223344"/>
  </r>
  <r>
    <x v="0"/>
    <s v="Chase"/>
    <s v="1Point Rate"/>
    <s v="MTG"/>
    <x v="106"/>
    <n v="3.968948344733974"/>
  </r>
  <r>
    <x v="0"/>
    <s v="Chase"/>
    <s v="1Point Rate"/>
    <s v="MTG"/>
    <x v="107"/>
    <n v="3.968948344733974"/>
  </r>
  <r>
    <x v="0"/>
    <s v="Chase"/>
    <s v="1Point Rate"/>
    <s v="MTG"/>
    <x v="108"/>
    <n v="3.968948344733974"/>
  </r>
  <r>
    <x v="0"/>
    <s v="Chase"/>
    <s v="1Point Rate"/>
    <s v="MTG"/>
    <x v="109"/>
    <n v="4.0936300339223344"/>
  </r>
  <r>
    <x v="0"/>
    <s v="Chase"/>
    <s v="1Point Rate"/>
    <s v="MTG"/>
    <x v="110"/>
    <n v="4.0610656170015185"/>
  </r>
  <r>
    <x v="0"/>
    <s v="Chase"/>
    <s v="1Point Rate"/>
    <s v="MTG"/>
    <x v="111"/>
    <n v="3.9987193359155064"/>
  </r>
  <r>
    <x v="0"/>
    <s v="Chase"/>
    <s v="1Point Rate"/>
    <s v="MTG"/>
    <x v="112"/>
    <n v="4.0284371983798186"/>
  </r>
  <r>
    <x v="0"/>
    <s v="Chase"/>
    <s v="1Point Rate"/>
    <s v="MTG"/>
    <x v="113"/>
    <n v="3.968948344733974"/>
  </r>
  <r>
    <x v="0"/>
    <s v="Chase"/>
    <s v="1Point Rate"/>
    <s v="MTG"/>
    <x v="114"/>
    <n v="3.9361387568601574"/>
  </r>
  <r>
    <x v="0"/>
    <s v="Chase"/>
    <s v="1Point Rate"/>
    <s v="MTG"/>
    <x v="115"/>
    <n v="3.9987193359155064"/>
  </r>
  <r>
    <x v="0"/>
    <s v="Chase"/>
    <s v="1Point Rate"/>
    <s v="MTG"/>
    <x v="116"/>
    <n v="4.0284371983798186"/>
  </r>
  <r>
    <x v="0"/>
    <s v="Chase"/>
    <s v="1Point Rate"/>
    <s v="MTG"/>
    <x v="117"/>
    <n v="4.0284371983798186"/>
  </r>
  <r>
    <x v="0"/>
    <s v="Chase"/>
    <s v="1Point Rate"/>
    <s v="MTG"/>
    <x v="118"/>
    <n v="4.0610656170015185"/>
  </r>
  <r>
    <x v="0"/>
    <s v="Chase"/>
    <s v="1Point Rate"/>
    <s v="MTG"/>
    <x v="119"/>
    <n v="3.9361387568601574"/>
  </r>
  <r>
    <x v="0"/>
    <s v="Chase"/>
    <s v="1Point Rate"/>
    <s v="MTG"/>
    <x v="120"/>
    <n v="3.9361387568601574"/>
  </r>
  <r>
    <x v="0"/>
    <s v="Chase"/>
    <s v="1Point Rate"/>
    <s v="MTG"/>
    <x v="121"/>
    <n v="3.9353424338077225"/>
  </r>
  <r>
    <x v="0"/>
    <s v="Chase"/>
    <s v="1Point Rate"/>
    <s v="MTG"/>
    <x v="122"/>
    <n v="3.8124950348616728"/>
  </r>
  <r>
    <x v="0"/>
    <s v="Chase"/>
    <s v="1Point Rate"/>
    <s v="MTG"/>
    <x v="123"/>
    <n v="3.9659683192190758"/>
  </r>
  <r>
    <x v="0"/>
    <s v="Chase"/>
    <s v="1Point Rate"/>
    <s v="MTG"/>
    <x v="124"/>
    <n v="3.9987193359155064"/>
  </r>
  <r>
    <x v="0"/>
    <s v="Chase"/>
    <s v="1Point Rate"/>
    <s v="MTG"/>
    <x v="125"/>
    <n v="4.0284371983798186"/>
  </r>
  <r>
    <x v="0"/>
    <s v="Chase"/>
    <s v="1Point Rate"/>
    <s v="MTG"/>
    <x v="126"/>
    <n v="3.9659683192190758"/>
  </r>
  <r>
    <x v="0"/>
    <s v="Chase"/>
    <s v="1Point Rate"/>
    <s v="MTG"/>
    <x v="127"/>
    <n v="3.9659683192190758"/>
  </r>
  <r>
    <x v="0"/>
    <s v="Chase"/>
    <s v="1Point Rate"/>
    <s v="MTG"/>
    <x v="128"/>
    <n v="3.9659683192190758"/>
  </r>
  <r>
    <x v="0"/>
    <s v="Chase"/>
    <s v="1Point Rate"/>
    <s v="MTG"/>
    <x v="129"/>
    <n v="3.9987193359155064"/>
  </r>
  <r>
    <x v="0"/>
    <s v="Chase"/>
    <s v="1Point Rate"/>
    <s v="MTG"/>
    <x v="130"/>
    <n v="3.9659683192190758"/>
  </r>
  <r>
    <x v="0"/>
    <s v="Chase"/>
    <s v="1Point Rate"/>
    <s v="MTG"/>
    <x v="131"/>
    <n v="3.9361387568601574"/>
  </r>
  <r>
    <x v="0"/>
    <s v="Chase"/>
    <s v="1Point Rate"/>
    <s v="MTG"/>
    <x v="132"/>
    <n v="4.0284371983798186"/>
  </r>
  <r>
    <x v="0"/>
    <s v="Chase"/>
    <s v="1Point Rate"/>
    <s v="MTG"/>
    <x v="133"/>
    <n v="4.0284371983798186"/>
  </r>
  <r>
    <x v="0"/>
    <s v="Chase"/>
    <s v="1Point Rate"/>
    <s v="MTG"/>
    <x v="134"/>
    <n v="3.9361387568601574"/>
  </r>
  <r>
    <x v="0"/>
    <s v="Chase"/>
    <s v="1Point Rate"/>
    <s v="MTG"/>
    <x v="135"/>
    <n v="3.9361387568601574"/>
  </r>
  <r>
    <x v="0"/>
    <s v="Chase"/>
    <s v="1Point Rate"/>
    <s v="MTG"/>
    <x v="136"/>
    <n v="3.9659683192190758"/>
  </r>
  <r>
    <x v="0"/>
    <s v="Chase"/>
    <s v="1Point Rate"/>
    <s v="MTG"/>
    <x v="137"/>
    <n v="4.0610656170015185"/>
  </r>
  <r>
    <x v="0"/>
    <s v="Chase"/>
    <s v="1Point Rate"/>
    <s v="MTG"/>
    <x v="138"/>
    <n v="4.0936300339223344"/>
  </r>
  <r>
    <x v="0"/>
    <s v="Chase"/>
    <s v="1Point Rate"/>
    <s v="MTG"/>
    <x v="139"/>
    <n v="3.9353424338077225"/>
  </r>
  <r>
    <x v="0"/>
    <s v="Chase"/>
    <s v="1Point Rate"/>
    <s v="MTG"/>
    <x v="140"/>
    <n v="3.8725334437312955"/>
  </r>
  <r>
    <x v="0"/>
    <s v="Chase"/>
    <s v="1Point Rate"/>
    <s v="MTG"/>
    <x v="141"/>
    <n v="3.9353424338077225"/>
  </r>
  <r>
    <x v="0"/>
    <s v="Chase"/>
    <s v="1Point Rate"/>
    <s v="MTG"/>
    <x v="142"/>
    <n v="3.9353424338077225"/>
  </r>
  <r>
    <x v="0"/>
    <s v="Chase"/>
    <s v="1Point Rate"/>
    <s v="MTG"/>
    <x v="143"/>
    <n v="3.9054628819113248"/>
  </r>
  <r>
    <x v="0"/>
    <s v="Chase"/>
    <s v="1Point Rate"/>
    <s v="MTG"/>
    <x v="144"/>
    <n v="3.9054628819113248"/>
  </r>
  <r>
    <x v="0"/>
    <s v="Chase"/>
    <s v="1Point Rate"/>
    <s v="MTG"/>
    <x v="145"/>
    <n v="3.968948344733974"/>
  </r>
  <r>
    <x v="0"/>
    <s v="Chase"/>
    <s v="1Point Rate"/>
    <s v="MTG"/>
    <x v="146"/>
    <n v="3.9353424338077225"/>
  </r>
  <r>
    <x v="0"/>
    <s v="Chase"/>
    <s v="1Point Rate"/>
    <s v="MTG"/>
    <x v="147"/>
    <n v="3.9054628819113248"/>
  </r>
  <r>
    <x v="0"/>
    <s v="Chase"/>
    <s v="1Point Rate"/>
    <s v="MTG"/>
    <x v="148"/>
    <n v="3.8425411667081901"/>
  </r>
  <r>
    <x v="0"/>
    <s v="Chase"/>
    <s v="1Point Rate"/>
    <s v="MTG"/>
    <x v="149"/>
    <n v="3.8124950348616728"/>
  </r>
  <r>
    <x v="0"/>
    <s v="Chase"/>
    <s v="1Point Rate"/>
    <s v="MTG"/>
    <x v="150"/>
    <n v="3.7160970281867178"/>
  </r>
  <r>
    <x v="0"/>
    <s v="Chase"/>
    <s v="1Point Rate"/>
    <s v="MTG"/>
    <x v="151"/>
    <n v="3.812592661796018"/>
  </r>
  <r>
    <x v="0"/>
    <s v="Chase"/>
    <s v="1Point Rate"/>
    <s v="MTG"/>
    <x v="152"/>
    <n v="3.8124950348616728"/>
  </r>
  <r>
    <x v="0"/>
    <s v="Chase"/>
    <s v="1Point Rate"/>
    <s v="MTG"/>
    <x v="153"/>
    <n v="3.8124950348616728"/>
  </r>
  <r>
    <x v="0"/>
    <s v="Chase"/>
    <s v="1Point Rate"/>
    <s v="MTG"/>
    <x v="154"/>
    <n v="3.8425411667081901"/>
  </r>
  <r>
    <x v="0"/>
    <s v="Chase"/>
    <s v="1Point Rate"/>
    <s v="MTG"/>
    <x v="155"/>
    <n v="3.9353424338077225"/>
  </r>
  <r>
    <x v="0"/>
    <s v="Chase"/>
    <s v="1Point Rate"/>
    <s v="MTG"/>
    <x v="156"/>
    <n v="3.8725334437312955"/>
  </r>
  <r>
    <x v="0"/>
    <s v="Chase"/>
    <s v="1Point Rate"/>
    <s v="MTG"/>
    <x v="157"/>
    <n v="3.8124950348616728"/>
  </r>
  <r>
    <x v="0"/>
    <s v="Chase"/>
    <s v="1Point Rate"/>
    <s v="MTG"/>
    <x v="158"/>
    <n v="3.8124950348616728"/>
  </r>
  <r>
    <x v="0"/>
    <s v="Chase"/>
    <s v="1Point Rate"/>
    <s v="MTG"/>
    <x v="159"/>
    <n v="3.812592661796018"/>
  </r>
  <r>
    <x v="0"/>
    <s v="Chase"/>
    <s v="1Point Rate"/>
    <s v="MTG"/>
    <x v="160"/>
    <n v="3.8425411667081901"/>
  </r>
  <r>
    <x v="0"/>
    <s v="Chase"/>
    <s v="1Point Rate"/>
    <s v="MTG"/>
    <x v="161"/>
    <n v="3.8425411667081901"/>
  </r>
  <r>
    <x v="0"/>
    <s v="Chase"/>
    <s v="1Point Rate"/>
    <s v="MTG"/>
    <x v="162"/>
    <n v="3.8425411667081901"/>
  </r>
  <r>
    <x v="0"/>
    <s v="Chase"/>
    <s v="1Point Rate"/>
    <s v="MTG"/>
    <x v="163"/>
    <n v="3.8425411667081901"/>
  </r>
  <r>
    <x v="0"/>
    <s v="Chase"/>
    <s v="1Point Rate"/>
    <s v="MTG"/>
    <x v="164"/>
    <n v="3.8425411667081901"/>
  </r>
  <r>
    <x v="0"/>
    <s v="Chase"/>
    <s v="1Point Rate"/>
    <s v="MTG"/>
    <x v="165"/>
    <n v="3.8425411667081901"/>
  </r>
  <r>
    <x v="0"/>
    <s v="Chase"/>
    <s v="1Point Rate"/>
    <s v="MTG"/>
    <x v="166"/>
    <n v="3.8124950348616728"/>
  </r>
  <r>
    <x v="0"/>
    <s v="Chase"/>
    <s v="1Point Rate"/>
    <s v="MTG"/>
    <x v="167"/>
    <n v="3.8425411667081901"/>
  </r>
  <r>
    <x v="0"/>
    <s v="Chase"/>
    <s v="1Point Rate"/>
    <s v="MTG"/>
    <x v="168"/>
    <n v="3.8725334437312955"/>
  </r>
  <r>
    <x v="0"/>
    <s v="Chase"/>
    <s v="1Point Rate"/>
    <s v="MTG"/>
    <x v="169"/>
    <n v="3.9353424338077225"/>
  </r>
  <r>
    <x v="0"/>
    <s v="Chase"/>
    <s v="1Point Rate"/>
    <s v="MTG"/>
    <x v="170"/>
    <n v="3.9353424338077225"/>
  </r>
  <r>
    <x v="0"/>
    <s v="Chase"/>
    <s v="1Point Rate"/>
    <s v="MTG"/>
    <x v="171"/>
    <n v="3.9062558298878747"/>
  </r>
  <r>
    <x v="0"/>
    <s v="Chase"/>
    <s v="1Point Rate"/>
    <s v="MTG"/>
    <x v="172"/>
    <n v="3.9361387568601574"/>
  </r>
  <r>
    <x v="0"/>
    <s v="Chase"/>
    <s v="1Point Rate"/>
    <s v="MTG"/>
    <x v="173"/>
    <n v="3.9659683192190758"/>
  </r>
  <r>
    <x v="0"/>
    <s v="Chase"/>
    <s v="1Point Rate"/>
    <s v="MTG"/>
    <x v="174"/>
    <n v="4.0284371983798186"/>
  </r>
  <r>
    <x v="0"/>
    <s v="Chase"/>
    <s v="1Point Rate"/>
    <s v="MTG"/>
    <x v="175"/>
    <n v="4.0936300339223344"/>
  </r>
  <r>
    <x v="0"/>
    <s v="Chase"/>
    <s v="1Point Rate"/>
    <s v="MTG"/>
    <x v="176"/>
    <n v="4.0936300339223344"/>
  </r>
  <r>
    <x v="0"/>
    <s v="Chase"/>
    <s v="1Point Rate"/>
    <s v="MTG"/>
    <x v="177"/>
    <n v="4.0936300339223344"/>
  </r>
  <r>
    <x v="0"/>
    <s v="Chase"/>
    <s v="1Point Rate"/>
    <s v="MTG"/>
    <x v="178"/>
    <n v="4.0936300339223344"/>
  </r>
  <r>
    <x v="0"/>
    <s v="Chase"/>
    <s v="1Point Rate"/>
    <s v="MTG"/>
    <x v="179"/>
    <n v="4.0610656170015185"/>
  </r>
  <r>
    <x v="0"/>
    <s v="Chase"/>
    <s v="1Point Rate"/>
    <s v="MTG"/>
    <x v="180"/>
    <n v="4.0610656170015185"/>
  </r>
  <r>
    <x v="0"/>
    <s v="Chase"/>
    <s v="1Point Rate"/>
    <s v="MTG"/>
    <x v="181"/>
    <n v="4.0610656170015185"/>
  </r>
  <r>
    <x v="0"/>
    <s v="Chase"/>
    <s v="1Point Rate"/>
    <s v="MTG"/>
    <x v="182"/>
    <n v="4.0284371983798186"/>
  </r>
  <r>
    <x v="0"/>
    <s v="Chase"/>
    <s v="1Point Rate"/>
    <s v="MTG"/>
    <x v="183"/>
    <n v="4.0284371983798186"/>
  </r>
  <r>
    <x v="0"/>
    <s v="Chase"/>
    <s v="1Point Rate"/>
    <s v="MTG"/>
    <x v="184"/>
    <n v="4.0936300339223344"/>
  </r>
  <r>
    <x v="0"/>
    <s v="Chase"/>
    <s v="1Point Rate"/>
    <s v="MTG"/>
    <x v="185"/>
    <n v="4.0284371983798186"/>
  </r>
  <r>
    <x v="0"/>
    <s v="Chase"/>
    <s v="1Point Rate"/>
    <s v="MTG"/>
    <x v="186"/>
    <n v="4.0610656170015185"/>
  </r>
  <r>
    <x v="0"/>
    <s v="Chase"/>
    <s v="1Point Rate"/>
    <s v="MTG"/>
    <x v="187"/>
    <n v="4.0610656170015185"/>
  </r>
  <r>
    <x v="0"/>
    <s v="Chase"/>
    <s v="1Point Rate"/>
    <s v="MTG"/>
    <x v="188"/>
    <n v="4.0610656170015185"/>
  </r>
  <r>
    <x v="0"/>
    <s v="Chase"/>
    <s v="1Point Rate"/>
    <s v="MTG"/>
    <x v="189"/>
    <n v="4.0284371983798186"/>
  </r>
  <r>
    <x v="0"/>
    <s v="Chase"/>
    <s v="1Point Rate"/>
    <s v="MTG"/>
    <x v="190"/>
    <n v="3.9659683192190758"/>
  </r>
  <r>
    <x v="0"/>
    <s v="Chase"/>
    <s v="1Point Rate"/>
    <s v="MTG"/>
    <x v="191"/>
    <n v="4.0936300339223344"/>
  </r>
  <r>
    <x v="0"/>
    <s v="Chase"/>
    <s v="1Point Rate"/>
    <s v="MTG"/>
    <x v="192"/>
    <n v="4.0936300339223344"/>
  </r>
  <r>
    <x v="0"/>
    <s v="Chase"/>
    <s v="1Point Rate"/>
    <s v="MTG"/>
    <x v="193"/>
    <n v="4.0936300339223344"/>
  </r>
  <r>
    <x v="0"/>
    <s v="Chase"/>
    <s v="1Point Rate"/>
    <s v="MTG"/>
    <x v="194"/>
    <n v="3.9987193359155064"/>
  </r>
  <r>
    <x v="0"/>
    <s v="Chase"/>
    <s v="1Point Rate"/>
    <s v="MTG"/>
    <x v="195"/>
    <n v="4.0284371983798186"/>
  </r>
  <r>
    <x v="0"/>
    <s v="Chase"/>
    <s v="1Point Rate"/>
    <s v="MTG"/>
    <x v="196"/>
    <n v="4.0284371983798186"/>
  </r>
  <r>
    <x v="0"/>
    <s v="Chase"/>
    <s v="1Point Rate"/>
    <s v="MTG"/>
    <x v="197"/>
    <n v="4.0284371983798186"/>
  </r>
  <r>
    <x v="0"/>
    <s v="Chase"/>
    <s v="1Point Rate"/>
    <s v="MTG"/>
    <x v="198"/>
    <n v="4.0610656170015185"/>
  </r>
  <r>
    <x v="0"/>
    <s v="Chase"/>
    <s v="1Point Rate"/>
    <s v="MTG"/>
    <x v="199"/>
    <n v="4.0627523635008007"/>
  </r>
  <r>
    <x v="0"/>
    <s v="Chase"/>
    <s v="1Point Rate"/>
    <s v="MTG"/>
    <x v="200"/>
    <n v="4.0923610563473902"/>
  </r>
  <r>
    <x v="0"/>
    <s v="Chase"/>
    <s v="1Point Rate"/>
    <s v="MTG"/>
    <x v="201"/>
    <n v="4.0627523635008007"/>
  </r>
  <r>
    <x v="0"/>
    <s v="Chase"/>
    <s v="1Point Rate"/>
    <s v="MTG"/>
    <x v="202"/>
    <n v="4.0610656170015185"/>
  </r>
  <r>
    <x v="0"/>
    <s v="Chase"/>
    <s v="1Point Rate"/>
    <s v="MTG"/>
    <x v="203"/>
    <n v="4.0610656170015185"/>
  </r>
  <r>
    <x v="0"/>
    <s v="Chase"/>
    <s v="1Point Rate"/>
    <s v="MTG"/>
    <x v="204"/>
    <n v="4.0936300339223344"/>
  </r>
  <r>
    <x v="0"/>
    <s v="Chase"/>
    <s v="1Point Rate"/>
    <s v="MTG"/>
    <x v="205"/>
    <n v="4.0923610563473902"/>
  </r>
  <r>
    <x v="0"/>
    <s v="Chase"/>
    <s v="1Point Rate"/>
    <s v="MTG"/>
    <x v="206"/>
    <n v="4.1248698203088709"/>
  </r>
  <r>
    <x v="0"/>
    <s v="Chase"/>
    <s v="1Point Rate"/>
    <s v="MTG"/>
    <x v="207"/>
    <n v="4.0923610563473902"/>
  </r>
  <r>
    <x v="0"/>
    <s v="Chase"/>
    <s v="1Point Rate"/>
    <s v="MTG"/>
    <x v="208"/>
    <n v="4.0923610563473902"/>
  </r>
  <r>
    <x v="0"/>
    <s v="Chase"/>
    <s v="1Point Rate"/>
    <s v="MTG"/>
    <x v="209"/>
    <n v="4.0627523635008007"/>
  </r>
  <r>
    <x v="0"/>
    <s v="Chase"/>
    <s v="1Point Rate"/>
    <s v="MTG"/>
    <x v="210"/>
    <n v="4.0936300339223344"/>
  </r>
  <r>
    <x v="0"/>
    <s v="Chase"/>
    <s v="1Point Rate"/>
    <s v="MTG"/>
    <x v="211"/>
    <n v="4.0936300339223344"/>
  </r>
  <r>
    <x v="0"/>
    <s v="Chase"/>
    <s v="1Point Rate"/>
    <s v="MTG"/>
    <x v="212"/>
    <n v="4.0610656170015185"/>
  </r>
  <r>
    <x v="0"/>
    <s v="Chase"/>
    <s v="1Point Rate"/>
    <s v="MTG"/>
    <x v="213"/>
    <n v="3.9987193359155064"/>
  </r>
  <r>
    <x v="0"/>
    <s v="Chase"/>
    <s v="1Point Rate"/>
    <s v="MTG"/>
    <x v="214"/>
    <n v="3.9987193359155064"/>
  </r>
  <r>
    <x v="0"/>
    <s v="Chase"/>
    <s v="1Point Rate"/>
    <s v="MTG"/>
    <x v="215"/>
    <n v="3.968948344733974"/>
  </r>
  <r>
    <x v="0"/>
    <s v="Chase"/>
    <s v="1Point Rate"/>
    <s v="MTG"/>
    <x v="216"/>
    <n v="3.9681481492823516"/>
  </r>
  <r>
    <x v="0"/>
    <s v="Chase"/>
    <s v="1Point Rate"/>
    <s v="MTG"/>
    <x v="217"/>
    <n v="3.968948344733974"/>
  </r>
  <r>
    <x v="0"/>
    <s v="Chase"/>
    <s v="1Point Rate"/>
    <s v="MTG"/>
    <x v="218"/>
    <n v="3.968948344733974"/>
  </r>
  <r>
    <x v="0"/>
    <s v="Chase"/>
    <s v="1Point Rate"/>
    <s v="MTG"/>
    <x v="219"/>
    <n v="3.8755297138005318"/>
  </r>
  <r>
    <x v="0"/>
    <s v="Chase"/>
    <s v="1Point Rate"/>
    <s v="MTG"/>
    <x v="220"/>
    <n v="3.9353424338077225"/>
  </r>
  <r>
    <x v="0"/>
    <s v="Chase"/>
    <s v="1Point Rate"/>
    <s v="MTG"/>
    <x v="221"/>
    <n v="3.9054628819113248"/>
  </r>
  <r>
    <x v="0"/>
    <s v="Chase"/>
    <s v="1Point Rate"/>
    <s v="MTG"/>
    <x v="222"/>
    <n v="3.9361387568601574"/>
  </r>
  <r>
    <x v="0"/>
    <s v="Chase"/>
    <s v="1Point Rate"/>
    <s v="MTG"/>
    <x v="223"/>
    <n v="3.9361387568601574"/>
  </r>
  <r>
    <x v="0"/>
    <s v="Chase"/>
    <s v="1Point Rate"/>
    <s v="MTG"/>
    <x v="224"/>
    <n v="3.9353424338077225"/>
  </r>
  <r>
    <x v="0"/>
    <s v="Chase"/>
    <s v="1Point Rate"/>
    <s v="MTG"/>
    <x v="225"/>
    <n v="3.9054628819113248"/>
  </r>
  <r>
    <x v="0"/>
    <s v="Chase"/>
    <s v="1Point Rate"/>
    <s v="MTG"/>
    <x v="226"/>
    <n v="3.9054628819113248"/>
  </r>
  <r>
    <x v="0"/>
    <s v="Chase"/>
    <s v="1Point Rate"/>
    <s v="MTG"/>
    <x v="227"/>
    <n v="3.8425411667081901"/>
  </r>
  <r>
    <x v="0"/>
    <s v="Chase"/>
    <s v="1Point Rate"/>
    <s v="MTG"/>
    <x v="228"/>
    <n v="3.812592661796018"/>
  </r>
  <r>
    <x v="0"/>
    <s v="Chase"/>
    <s v="1Point Rate"/>
    <s v="MTG"/>
    <x v="229"/>
    <n v="3.812592661796018"/>
  </r>
  <r>
    <x v="0"/>
    <s v="Chase"/>
    <s v="1Point Rate"/>
    <s v="MTG"/>
    <x v="230"/>
    <n v="3.812592661796018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Quicken"/>
    <s v="1Point Rate"/>
    <s v="MTG"/>
    <x v="6"/>
    <n v="4.3043588303271259"/>
  </r>
  <r>
    <x v="0"/>
    <s v="Quicken"/>
    <s v="1Point Rate"/>
    <s v="MTG"/>
    <x v="7"/>
    <n v="4.2722196725487462"/>
  </r>
  <r>
    <x v="0"/>
    <s v="Quicken"/>
    <s v="1Point Rate"/>
    <s v="MTG"/>
    <x v="8"/>
    <n v="4.3043588303271259"/>
  </r>
  <r>
    <x v="0"/>
    <s v="Quicken"/>
    <s v="1Point Rate"/>
    <s v="MTG"/>
    <x v="9"/>
    <n v="4.2722152605049795"/>
  </r>
  <r>
    <x v="0"/>
    <s v="Quicken"/>
    <s v="1Point Rate"/>
    <s v="MTG"/>
    <x v="10"/>
    <n v="4.2722196725487462"/>
  </r>
  <r>
    <x v="0"/>
    <s v="Quicken"/>
    <s v="1Point Rate"/>
    <s v="MTG"/>
    <x v="11"/>
    <n v="4.1164931032788781"/>
  </r>
  <r>
    <x v="0"/>
    <s v="Quicken"/>
    <s v="1Point Rate"/>
    <s v="MTG"/>
    <x v="12"/>
    <n v="4.1164931032788781"/>
  </r>
  <r>
    <x v="0"/>
    <s v="Quicken"/>
    <s v="1Point Rate"/>
    <s v="MTG"/>
    <x v="13"/>
    <n v="4.1489354754111796"/>
  </r>
  <r>
    <x v="0"/>
    <s v="Quicken"/>
    <s v="1Point Rate"/>
    <s v="MTG"/>
    <x v="14"/>
    <n v="4.1164931032788781"/>
  </r>
  <r>
    <x v="0"/>
    <s v="Quicken"/>
    <s v="1Point Rate"/>
    <s v="MTG"/>
    <x v="15"/>
    <n v="4.0839866621698553"/>
  </r>
  <r>
    <x v="0"/>
    <s v="Quicken"/>
    <s v="1Point Rate"/>
    <s v="MTG"/>
    <x v="16"/>
    <n v="4.1164931032788781"/>
  </r>
  <r>
    <x v="0"/>
    <s v="Quicken"/>
    <s v="1Point Rate"/>
    <s v="MTG"/>
    <x v="17"/>
    <n v="4.2429503753802189"/>
  </r>
  <r>
    <x v="0"/>
    <s v="Quicken"/>
    <s v="1Point Rate"/>
    <s v="MTG"/>
    <x v="18"/>
    <n v="4.1783730691905516"/>
  </r>
  <r>
    <x v="0"/>
    <s v="Quicken"/>
    <s v="1Point Rate"/>
    <s v="MTG"/>
    <x v="19"/>
    <n v="4.1783730691905516"/>
  </r>
  <r>
    <x v="0"/>
    <s v="Quicken"/>
    <s v="1Point Rate"/>
    <s v="MTG"/>
    <x v="20"/>
    <n v="4.1489354754111796"/>
  </r>
  <r>
    <x v="0"/>
    <s v="Quicken"/>
    <s v="1Point Rate"/>
    <s v="MTG"/>
    <x v="21"/>
    <n v="4.0543796294704109"/>
  </r>
  <r>
    <x v="0"/>
    <s v="Quicken"/>
    <s v="1Point Rate"/>
    <s v="MTG"/>
    <x v="22"/>
    <n v="4.0543796294704109"/>
  </r>
  <r>
    <x v="0"/>
    <s v="Quicken"/>
    <s v="1Point Rate"/>
    <s v="MTG"/>
    <x v="23"/>
    <n v="4.1173811756101593"/>
  </r>
  <r>
    <x v="0"/>
    <s v="Quicken"/>
    <s v="1Point Rate"/>
    <s v="MTG"/>
    <x v="24"/>
    <n v="4.1173811756101593"/>
  </r>
  <r>
    <x v="0"/>
    <s v="Quicken"/>
    <s v="1Point Rate"/>
    <s v="MTG"/>
    <x v="25"/>
    <n v="4.1164931032788781"/>
  </r>
  <r>
    <x v="0"/>
    <s v="Quicken"/>
    <s v="1Point Rate"/>
    <s v="MTG"/>
    <x v="26"/>
    <n v="4.0839866621698553"/>
  </r>
  <r>
    <x v="0"/>
    <s v="Quicken"/>
    <s v="1Point Rate"/>
    <s v="MTG"/>
    <x v="27"/>
    <n v="4.1164931032788781"/>
  </r>
  <r>
    <x v="0"/>
    <s v="Quicken"/>
    <s v="1Point Rate"/>
    <s v="MTG"/>
    <x v="28"/>
    <n v="4.1468684016219548"/>
  </r>
  <r>
    <x v="0"/>
    <s v="Quicken"/>
    <s v="1Point Rate"/>
    <s v="MTG"/>
    <x v="29"/>
    <n v="4.0839866621698553"/>
  </r>
  <r>
    <x v="0"/>
    <s v="Quicken"/>
    <s v="1Point Rate"/>
    <s v="MTG"/>
    <x v="30"/>
    <n v="4.0848839185997514"/>
  </r>
  <r>
    <x v="0"/>
    <s v="Quicken"/>
    <s v="1Point Rate"/>
    <s v="MTG"/>
    <x v="31"/>
    <n v="4.0848839185997514"/>
  </r>
  <r>
    <x v="0"/>
    <s v="Quicken"/>
    <s v="1Point Rate"/>
    <s v="MTG"/>
    <x v="32"/>
    <n v="4.0848839185997514"/>
  </r>
  <r>
    <x v="0"/>
    <s v="Quicken"/>
    <s v="1Point Rate"/>
    <s v="MTG"/>
    <x v="33"/>
    <n v="4.0848839185997514"/>
  </r>
  <r>
    <x v="0"/>
    <s v="Quicken"/>
    <s v="1Point Rate"/>
    <s v="MTG"/>
    <x v="34"/>
    <n v="4.0848839185997514"/>
  </r>
  <r>
    <x v="0"/>
    <s v="Quicken"/>
    <s v="1Point Rate"/>
    <s v="MTG"/>
    <x v="35"/>
    <n v="4.1173811756101593"/>
  </r>
  <r>
    <x v="0"/>
    <s v="Quicken"/>
    <s v="1Point Rate"/>
    <s v="MTG"/>
    <x v="36"/>
    <n v="4.1468684016219548"/>
  </r>
  <r>
    <x v="0"/>
    <s v="Quicken"/>
    <s v="1Point Rate"/>
    <s v="MTG"/>
    <x v="37"/>
    <n v="4.0839866621698553"/>
  </r>
  <r>
    <x v="0"/>
    <s v="Quicken"/>
    <s v="1Point Rate"/>
    <s v="MTG"/>
    <x v="38"/>
    <n v="4.0839866621698553"/>
  </r>
  <r>
    <x v="0"/>
    <s v="Quicken"/>
    <s v="1Point Rate"/>
    <s v="MTG"/>
    <x v="39"/>
    <n v="4.0543796294704109"/>
  </r>
  <r>
    <x v="0"/>
    <s v="Quicken"/>
    <s v="1Point Rate"/>
    <s v="MTG"/>
    <x v="40"/>
    <n v="4.1164931032788781"/>
  </r>
  <r>
    <x v="0"/>
    <s v="Quicken"/>
    <s v="1Point Rate"/>
    <s v="MTG"/>
    <x v="41"/>
    <n v="4.2722196725487462"/>
  </r>
  <r>
    <x v="0"/>
    <s v="Quicken"/>
    <s v="1Point Rate"/>
    <s v="MTG"/>
    <x v="42"/>
    <n v="4.2722196725487462"/>
  </r>
  <r>
    <x v="0"/>
    <s v="Quicken"/>
    <s v="1Point Rate"/>
    <s v="MTG"/>
    <x v="43"/>
    <n v="4.2429503753802189"/>
  </r>
  <r>
    <x v="0"/>
    <s v="Quicken"/>
    <s v="1Point Rate"/>
    <s v="MTG"/>
    <x v="44"/>
    <n v="4.2722152605049795"/>
  </r>
  <r>
    <x v="0"/>
    <s v="Quicken"/>
    <s v="1Point Rate"/>
    <s v="MTG"/>
    <x v="45"/>
    <n v="4.3364393474588088"/>
  </r>
  <r>
    <x v="0"/>
    <s v="Quicken"/>
    <s v="1Point Rate"/>
    <s v="MTG"/>
    <x v="46"/>
    <n v="4.2955298466319416"/>
  </r>
  <r>
    <x v="0"/>
    <s v="Quicken"/>
    <s v="1Point Rate"/>
    <s v="MTG"/>
    <x v="47"/>
    <n v="4.3247184562130432"/>
  </r>
  <r>
    <x v="0"/>
    <s v="Quicken"/>
    <s v="1Point Rate"/>
    <s v="MTG"/>
    <x v="48"/>
    <n v="4.2722196725487462"/>
  </r>
  <r>
    <x v="0"/>
    <s v="Quicken"/>
    <s v="1Point Rate"/>
    <s v="MTG"/>
    <x v="49"/>
    <n v="4.3247184562130432"/>
  </r>
  <r>
    <x v="0"/>
    <s v="Quicken"/>
    <s v="1Point Rate"/>
    <s v="MTG"/>
    <x v="50"/>
    <n v="4.356765969784167"/>
  </r>
  <r>
    <x v="0"/>
    <s v="Quicken"/>
    <s v="1Point Rate"/>
    <s v="MTG"/>
    <x v="51"/>
    <n v="4.3247184562130432"/>
  </r>
  <r>
    <x v="0"/>
    <s v="Quicken"/>
    <s v="1Point Rate"/>
    <s v="MTG"/>
    <x v="52"/>
    <n v="4.356765969784167"/>
  </r>
  <r>
    <x v="0"/>
    <s v="Quicken"/>
    <s v="1Point Rate"/>
    <s v="MTG"/>
    <x v="53"/>
    <n v="4.3364393474588088"/>
  </r>
  <r>
    <x v="0"/>
    <s v="Quicken"/>
    <s v="1Point Rate"/>
    <s v="MTG"/>
    <x v="54"/>
    <n v="4.3655488616966043"/>
  </r>
  <r>
    <x v="0"/>
    <s v="Quicken"/>
    <s v="1Point Rate"/>
    <s v="MTG"/>
    <x v="55"/>
    <n v="4.356765969784167"/>
  </r>
  <r>
    <x v="0"/>
    <s v="Quicken"/>
    <s v="1Point Rate"/>
    <s v="MTG"/>
    <x v="56"/>
    <n v="4.3247184562130432"/>
  </r>
  <r>
    <x v="0"/>
    <s v="Quicken"/>
    <s v="1Point Rate"/>
    <s v="MTG"/>
    <x v="57"/>
    <n v="4.3247184562130432"/>
  </r>
  <r>
    <x v="0"/>
    <s v="Quicken"/>
    <s v="1Point Rate"/>
    <s v="MTG"/>
    <x v="58"/>
    <n v="4.3655488616966043"/>
  </r>
  <r>
    <x v="0"/>
    <s v="Quicken"/>
    <s v="1Point Rate"/>
    <s v="MTG"/>
    <x v="59"/>
    <n v="4.3975094107446839"/>
  </r>
  <r>
    <x v="0"/>
    <s v="Quicken"/>
    <s v="1Point Rate"/>
    <s v="MTG"/>
    <x v="60"/>
    <n v="4.3364393474588088"/>
  </r>
  <r>
    <x v="0"/>
    <s v="Quicken"/>
    <s v="1Point Rate"/>
    <s v="MTG"/>
    <x v="61"/>
    <n v="4.3364393474588088"/>
  </r>
  <r>
    <x v="0"/>
    <s v="Quicken"/>
    <s v="1Point Rate"/>
    <s v="MTG"/>
    <x v="62"/>
    <n v="4.3043588303271259"/>
  </r>
  <r>
    <x v="0"/>
    <s v="Quicken"/>
    <s v="1Point Rate"/>
    <s v="MTG"/>
    <x v="63"/>
    <n v="4.4177736793579685"/>
  </r>
  <r>
    <x v="0"/>
    <s v="Quicken"/>
    <s v="1Point Rate"/>
    <s v="MTG"/>
    <x v="64"/>
    <n v="4.4177736793579685"/>
  </r>
  <r>
    <x v="0"/>
    <s v="Quicken"/>
    <s v="1Point Rate"/>
    <s v="MTG"/>
    <x v="65"/>
    <n v="4.5215920109797576"/>
  </r>
  <r>
    <x v="0"/>
    <s v="Quicken"/>
    <s v="1Point Rate"/>
    <s v="MTG"/>
    <x v="66"/>
    <n v="4.51007164418104"/>
  </r>
  <r>
    <x v="0"/>
    <s v="Quicken"/>
    <s v="1Point Rate"/>
    <s v="MTG"/>
    <x v="67"/>
    <n v="4.5733883757567257"/>
  </r>
  <r>
    <x v="0"/>
    <s v="Quicken"/>
    <s v="1Point Rate"/>
    <s v="MTG"/>
    <x v="68"/>
    <n v="4.5733883757567257"/>
  </r>
  <r>
    <x v="0"/>
    <s v="Quicken"/>
    <s v="1Point Rate"/>
    <s v="MTG"/>
    <x v="69"/>
    <n v="4.5733883757567257"/>
  </r>
  <r>
    <x v="0"/>
    <s v="Quicken"/>
    <s v="1Point Rate"/>
    <s v="MTG"/>
    <x v="70"/>
    <n v="4.58487342616412"/>
  </r>
  <r>
    <x v="0"/>
    <s v="Quicken"/>
    <s v="1Point Rate"/>
    <s v="MTG"/>
    <x v="71"/>
    <n v="4.5733883757567257"/>
  </r>
  <r>
    <x v="0"/>
    <s v="Quicken"/>
    <s v="1Point Rate"/>
    <s v="MTG"/>
    <x v="72"/>
    <n v="4.5417608906253868"/>
  </r>
  <r>
    <x v="0"/>
    <s v="Quicken"/>
    <s v="1Point Rate"/>
    <s v="MTG"/>
    <x v="73"/>
    <n v="4.51007164418104"/>
  </r>
  <r>
    <x v="0"/>
    <s v="Quicken"/>
    <s v="1Point Rate"/>
    <s v="MTG"/>
    <x v="74"/>
    <n v="4.5417608906253868"/>
  </r>
  <r>
    <x v="0"/>
    <s v="Quicken"/>
    <s v="1Point Rate"/>
    <s v="MTG"/>
    <x v="75"/>
    <n v="4.5417608906253868"/>
  </r>
  <r>
    <x v="0"/>
    <s v="Quicken"/>
    <s v="1Point Rate"/>
    <s v="MTG"/>
    <x v="76"/>
    <n v="4.5131838688757515"/>
  </r>
  <r>
    <x v="0"/>
    <s v="Quicken"/>
    <s v="1Point Rate"/>
    <s v="MTG"/>
    <x v="77"/>
    <n v="4.449639278675031"/>
  </r>
  <r>
    <x v="0"/>
    <s v="Quicken"/>
    <s v="1Point Rate"/>
    <s v="MTG"/>
    <x v="78"/>
    <n v="4.4783204935797372"/>
  </r>
  <r>
    <x v="0"/>
    <s v="Quicken"/>
    <s v="1Point Rate"/>
    <s v="MTG"/>
    <x v="79"/>
    <n v="4.5215920109797576"/>
  </r>
  <r>
    <x v="0"/>
    <s v="Quicken"/>
    <s v="1Point Rate"/>
    <s v="MTG"/>
    <x v="80"/>
    <n v="4.5215920109797576"/>
  </r>
  <r>
    <x v="0"/>
    <s v="Quicken"/>
    <s v="1Point Rate"/>
    <s v="MTG"/>
    <x v="81"/>
    <n v="4.5215920109797576"/>
  </r>
  <r>
    <x v="0"/>
    <s v="Quicken"/>
    <s v="1Point Rate"/>
    <s v="MTG"/>
    <x v="82"/>
    <n v="4.58487342616412"/>
  </r>
  <r>
    <x v="0"/>
    <s v="Quicken"/>
    <s v="1Point Rate"/>
    <s v="MTG"/>
    <x v="83"/>
    <n v="4.5215920109797576"/>
  </r>
  <r>
    <x v="0"/>
    <s v="Quicken"/>
    <s v="1Point Rate"/>
    <s v="MTG"/>
    <x v="84"/>
    <n v="4.5215920109797576"/>
  </r>
  <r>
    <x v="0"/>
    <s v="Quicken"/>
    <s v="1Point Rate"/>
    <s v="MTG"/>
    <x v="85"/>
    <n v="4.58487342616412"/>
  </r>
  <r>
    <x v="0"/>
    <s v="Quicken"/>
    <s v="1Point Rate"/>
    <s v="MTG"/>
    <x v="86"/>
    <n v="4.5215920109797576"/>
  </r>
  <r>
    <x v="0"/>
    <s v="Quicken"/>
    <s v="1Point Rate"/>
    <s v="MTG"/>
    <x v="87"/>
    <n v="4.5733883757567257"/>
  </r>
  <r>
    <x v="0"/>
    <s v="Quicken"/>
    <s v="1Point Rate"/>
    <s v="MTG"/>
    <x v="88"/>
    <n v="4.5131838688757515"/>
  </r>
  <r>
    <x v="0"/>
    <s v="Quicken"/>
    <s v="1Point Rate"/>
    <s v="MTG"/>
    <x v="89"/>
    <n v="4.5417608906253868"/>
  </r>
  <r>
    <x v="0"/>
    <s v="Quicken"/>
    <s v="1Point Rate"/>
    <s v="MTG"/>
    <x v="90"/>
    <n v="4.6278726141585871"/>
  </r>
  <r>
    <x v="0"/>
    <s v="Quicken"/>
    <s v="1Point Rate"/>
    <s v="MTG"/>
    <x v="91"/>
    <n v="4.6393276238687271"/>
  </r>
  <r>
    <x v="0"/>
    <s v="Quicken"/>
    <s v="1Point Rate"/>
    <s v="MTG"/>
    <x v="92"/>
    <n v="4.623303488160051"/>
  </r>
  <r>
    <x v="0"/>
    <s v="Quicken"/>
    <s v="1Point Rate"/>
    <s v="MTG"/>
    <x v="93"/>
    <n v="4.5647651580417525"/>
  </r>
  <r>
    <x v="0"/>
    <s v="Quicken"/>
    <s v="1Point Rate"/>
    <s v="MTG"/>
    <x v="94"/>
    <n v="4.61355243920144"/>
  </r>
  <r>
    <x v="0"/>
    <s v="Quicken"/>
    <s v="1Point Rate"/>
    <s v="MTG"/>
    <x v="95"/>
    <n v="4.5590153608656223"/>
  </r>
  <r>
    <x v="0"/>
    <s v="Quicken"/>
    <s v="1Point Rate"/>
    <s v="MTG"/>
    <x v="96"/>
    <n v="4.5244737897027454"/>
  </r>
  <r>
    <x v="0"/>
    <s v="Quicken"/>
    <s v="1Point Rate"/>
    <s v="MTG"/>
    <x v="97"/>
    <n v="4.6020892685877657"/>
  </r>
  <r>
    <x v="0"/>
    <s v="Quicken"/>
    <s v="1Point Rate"/>
    <s v="MTG"/>
    <x v="98"/>
    <n v="4.6307417564501678"/>
  </r>
  <r>
    <x v="0"/>
    <s v="Quicken"/>
    <s v="1Point Rate"/>
    <s v="MTG"/>
    <x v="99"/>
    <n v="4.61355243920144"/>
  </r>
  <r>
    <x v="0"/>
    <s v="Quicken"/>
    <s v="1Point Rate"/>
    <s v="MTG"/>
    <x v="100"/>
    <n v="4.6421801086296943"/>
  </r>
  <r>
    <x v="0"/>
    <s v="Quicken"/>
    <s v="1Point Rate"/>
    <s v="MTG"/>
    <x v="101"/>
    <n v="4.5388826043032733"/>
  </r>
  <r>
    <x v="0"/>
    <s v="Quicken"/>
    <s v="1Point Rate"/>
    <s v="MTG"/>
    <x v="102"/>
    <n v="4.5391078806773386"/>
  </r>
  <r>
    <x v="0"/>
    <s v="Quicken"/>
    <s v="1Point Rate"/>
    <s v="MTG"/>
    <x v="103"/>
    <n v="4.5360038074512801"/>
  </r>
  <r>
    <x v="0"/>
    <s v="Quicken"/>
    <s v="1Point Rate"/>
    <s v="MTG"/>
    <x v="104"/>
    <n v="4.5331244999599418"/>
  </r>
  <r>
    <x v="0"/>
    <s v="Quicken"/>
    <s v="1Point Rate"/>
    <s v="MTG"/>
    <x v="105"/>
    <n v="4.5618946090091974"/>
  </r>
  <r>
    <x v="0"/>
    <s v="Quicken"/>
    <s v="1Point Rate"/>
    <s v="MTG"/>
    <x v="106"/>
    <n v="4.4987637218053917"/>
  </r>
  <r>
    <x v="0"/>
    <s v="Quicken"/>
    <s v="1Point Rate"/>
    <s v="MTG"/>
    <x v="107"/>
    <n v="4.455426331689484"/>
  </r>
  <r>
    <x v="0"/>
    <s v="Quicken"/>
    <s v="1Point Rate"/>
    <s v="MTG"/>
    <x v="108"/>
    <n v="4.455426331689484"/>
  </r>
  <r>
    <x v="0"/>
    <s v="Quicken"/>
    <s v="1Point Rate"/>
    <s v="MTG"/>
    <x v="109"/>
    <n v="4.51007164418104"/>
  </r>
  <r>
    <x v="0"/>
    <s v="Quicken"/>
    <s v="1Point Rate"/>
    <s v="MTG"/>
    <x v="110"/>
    <n v="4.51007164418104"/>
  </r>
  <r>
    <x v="0"/>
    <s v="Quicken"/>
    <s v="1Point Rate"/>
    <s v="MTG"/>
    <x v="111"/>
    <n v="4.5103008640814553"/>
  </r>
  <r>
    <x v="0"/>
    <s v="Quicken"/>
    <s v="1Point Rate"/>
    <s v="MTG"/>
    <x v="112"/>
    <n v="4.5016487760545134"/>
  </r>
  <r>
    <x v="0"/>
    <s v="Quicken"/>
    <s v="1Point Rate"/>
    <s v="MTG"/>
    <x v="113"/>
    <n v="4.4032686982864488"/>
  </r>
  <r>
    <x v="0"/>
    <s v="Quicken"/>
    <s v="1Point Rate"/>
    <s v="MTG"/>
    <x v="114"/>
    <n v="4.4120162205622693"/>
  </r>
  <r>
    <x v="0"/>
    <s v="Quicken"/>
    <s v="1Point Rate"/>
    <s v="MTG"/>
    <x v="115"/>
    <n v="4.3974630931963619"/>
  </r>
  <r>
    <x v="0"/>
    <s v="Quicken"/>
    <s v="1Point Rate"/>
    <s v="MTG"/>
    <x v="116"/>
    <n v="4.4583190867639022"/>
  </r>
  <r>
    <x v="0"/>
    <s v="Quicken"/>
    <s v="1Point Rate"/>
    <s v="MTG"/>
    <x v="117"/>
    <n v="4.53622948086214"/>
  </r>
  <r>
    <x v="0"/>
    <s v="Quicken"/>
    <s v="1Point Rate"/>
    <s v="MTG"/>
    <x v="118"/>
    <n v="4.5649904911962729"/>
  </r>
  <r>
    <x v="0"/>
    <s v="Quicken"/>
    <s v="1Point Rate"/>
    <s v="MTG"/>
    <x v="119"/>
    <n v="4.4987637218053917"/>
  </r>
  <r>
    <x v="0"/>
    <s v="Quicken"/>
    <s v="1Point Rate"/>
    <s v="MTG"/>
    <x v="120"/>
    <n v="4.4728038259110665"/>
  </r>
  <r>
    <x v="0"/>
    <s v="Quicken"/>
    <s v="1Point Rate"/>
    <s v="MTG"/>
    <x v="121"/>
    <n v="4.4380959133108595"/>
  </r>
  <r>
    <x v="0"/>
    <s v="Quicken"/>
    <s v="1Point Rate"/>
    <s v="MTG"/>
    <x v="122"/>
    <n v="4.3364393474588088"/>
  </r>
  <r>
    <x v="0"/>
    <s v="Quicken"/>
    <s v="1Point Rate"/>
    <s v="MTG"/>
    <x v="123"/>
    <n v="4.4525330623629999"/>
  </r>
  <r>
    <x v="0"/>
    <s v="Quicken"/>
    <s v="1Point Rate"/>
    <s v="MTG"/>
    <x v="124"/>
    <n v="4.4814426272411128"/>
  </r>
  <r>
    <x v="0"/>
    <s v="Quicken"/>
    <s v="1Point Rate"/>
    <s v="MTG"/>
    <x v="125"/>
    <n v="4.5074173470845675"/>
  </r>
  <r>
    <x v="0"/>
    <s v="Quicken"/>
    <s v="1Point Rate"/>
    <s v="MTG"/>
    <x v="126"/>
    <n v="4.4525665640015335"/>
  </r>
  <r>
    <x v="0"/>
    <s v="Quicken"/>
    <s v="1Point Rate"/>
    <s v="MTG"/>
    <x v="127"/>
    <n v="4.4987637218053917"/>
  </r>
  <r>
    <x v="0"/>
    <s v="Quicken"/>
    <s v="1Point Rate"/>
    <s v="MTG"/>
    <x v="128"/>
    <n v="4.4641030545879552"/>
  </r>
  <r>
    <x v="0"/>
    <s v="Quicken"/>
    <s v="1Point Rate"/>
    <s v="MTG"/>
    <x v="129"/>
    <n v="4.4929920752998243"/>
  </r>
  <r>
    <x v="0"/>
    <s v="Quicken"/>
    <s v="1Point Rate"/>
    <s v="MTG"/>
    <x v="130"/>
    <n v="4.4583190867639022"/>
  </r>
  <r>
    <x v="0"/>
    <s v="Quicken"/>
    <s v="1Point Rate"/>
    <s v="MTG"/>
    <x v="131"/>
    <n v="4.4323040413094947"/>
  </r>
  <r>
    <x v="0"/>
    <s v="Quicken"/>
    <s v="1Point Rate"/>
    <s v="MTG"/>
    <x v="132"/>
    <n v="4.4756648239621484"/>
  </r>
  <r>
    <x v="0"/>
    <s v="Quicken"/>
    <s v="1Point Rate"/>
    <s v="MTG"/>
    <x v="133"/>
    <n v="4.409072238564514"/>
  </r>
  <r>
    <x v="0"/>
    <s v="Quicken"/>
    <s v="1Point Rate"/>
    <s v="MTG"/>
    <x v="134"/>
    <n v="4.4380589981556735"/>
  </r>
  <r>
    <x v="0"/>
    <s v="Quicken"/>
    <s v="1Point Rate"/>
    <s v="MTG"/>
    <x v="135"/>
    <n v="4.4351626410420213"/>
  </r>
  <r>
    <x v="0"/>
    <s v="Quicken"/>
    <s v="1Point Rate"/>
    <s v="MTG"/>
    <x v="136"/>
    <n v="4.426470479208465"/>
  </r>
  <r>
    <x v="0"/>
    <s v="Quicken"/>
    <s v="1Point Rate"/>
    <s v="MTG"/>
    <x v="137"/>
    <n v="4.455426331689484"/>
  </r>
  <r>
    <x v="0"/>
    <s v="Quicken"/>
    <s v="1Point Rate"/>
    <s v="MTG"/>
    <x v="138"/>
    <n v="4.5129550406413994"/>
  </r>
  <r>
    <x v="0"/>
    <s v="Quicken"/>
    <s v="1Point Rate"/>
    <s v="MTG"/>
    <x v="139"/>
    <n v="4.4698849666991043"/>
  </r>
  <r>
    <x v="0"/>
    <s v="Quicken"/>
    <s v="1Point Rate"/>
    <s v="MTG"/>
    <x v="140"/>
    <n v="4.4756928033917305"/>
  </r>
  <r>
    <x v="0"/>
    <s v="Quicken"/>
    <s v="1Point Rate"/>
    <s v="MTG"/>
    <x v="141"/>
    <n v="4.4612113276937526"/>
  </r>
  <r>
    <x v="0"/>
    <s v="Quicken"/>
    <s v="1Point Rate"/>
    <s v="MTG"/>
    <x v="142"/>
    <n v="4.4959012413987631"/>
  </r>
  <r>
    <x v="0"/>
    <s v="Quicken"/>
    <s v="1Point Rate"/>
    <s v="MTG"/>
    <x v="143"/>
    <n v="4.4612427672344044"/>
  </r>
  <r>
    <x v="0"/>
    <s v="Quicken"/>
    <s v="1Point Rate"/>
    <s v="MTG"/>
    <x v="144"/>
    <n v="4.3975094107446839"/>
  </r>
  <r>
    <x v="0"/>
    <s v="Quicken"/>
    <s v="1Point Rate"/>
    <s v="MTG"/>
    <x v="145"/>
    <n v="4.4872435678189095"/>
  </r>
  <r>
    <x v="0"/>
    <s v="Quicken"/>
    <s v="1Point Rate"/>
    <s v="MTG"/>
    <x v="146"/>
    <n v="4.481469214488631"/>
  </r>
  <r>
    <x v="0"/>
    <s v="Quicken"/>
    <s v="1Point Rate"/>
    <s v="MTG"/>
    <x v="147"/>
    <n v="4.3539112876651567"/>
  </r>
  <r>
    <x v="0"/>
    <s v="Quicken"/>
    <s v="1Point Rate"/>
    <s v="MTG"/>
    <x v="148"/>
    <n v="4.3160254782800767"/>
  </r>
  <r>
    <x v="0"/>
    <s v="Quicken"/>
    <s v="1Point Rate"/>
    <s v="MTG"/>
    <x v="149"/>
    <n v="4.2194971642154622"/>
  </r>
  <r>
    <x v="0"/>
    <s v="Quicken"/>
    <s v="1Point Rate"/>
    <s v="MTG"/>
    <x v="150"/>
    <n v="4.1851226297877071"/>
  </r>
  <r>
    <x v="0"/>
    <s v="Quicken"/>
    <s v="1Point Rate"/>
    <s v="MTG"/>
    <x v="151"/>
    <n v="4.2429503753802189"/>
  </r>
  <r>
    <x v="0"/>
    <s v="Quicken"/>
    <s v="1Point Rate"/>
    <s v="MTG"/>
    <x v="152"/>
    <n v="4.2692951008456594"/>
  </r>
  <r>
    <x v="0"/>
    <s v="Quicken"/>
    <s v="1Point Rate"/>
    <s v="MTG"/>
    <x v="153"/>
    <n v="4.2663700054349984"/>
  </r>
  <r>
    <x v="0"/>
    <s v="Quicken"/>
    <s v="1Point Rate"/>
    <s v="MTG"/>
    <x v="154"/>
    <n v="4.2663700054349984"/>
  </r>
  <r>
    <x v="0"/>
    <s v="Quicken"/>
    <s v="1Point Rate"/>
    <s v="MTG"/>
    <x v="155"/>
    <n v="4.3247809909932062"/>
  </r>
  <r>
    <x v="0"/>
    <s v="Quicken"/>
    <s v="1Point Rate"/>
    <s v="MTG"/>
    <x v="156"/>
    <n v="4.2517366688896017"/>
  </r>
  <r>
    <x v="0"/>
    <s v="Quicken"/>
    <s v="1Point Rate"/>
    <s v="MTG"/>
    <x v="157"/>
    <n v="4.1871940628292794"/>
  </r>
  <r>
    <x v="0"/>
    <s v="Quicken"/>
    <s v="1Point Rate"/>
    <s v="MTG"/>
    <x v="158"/>
    <n v="4.1842542585809461"/>
  </r>
  <r>
    <x v="0"/>
    <s v="Quicken"/>
    <s v="1Point Rate"/>
    <s v="MTG"/>
    <x v="159"/>
    <n v="4.2136286077206035"/>
  </r>
  <r>
    <x v="0"/>
    <s v="Quicken"/>
    <s v="1Point Rate"/>
    <s v="MTG"/>
    <x v="160"/>
    <n v="4.2868346793109513"/>
  </r>
  <r>
    <x v="0"/>
    <s v="Quicken"/>
    <s v="1Point Rate"/>
    <s v="MTG"/>
    <x v="161"/>
    <n v="4.3160254782800767"/>
  </r>
  <r>
    <x v="0"/>
    <s v="Quicken"/>
    <s v="1Point Rate"/>
    <s v="MTG"/>
    <x v="162"/>
    <n v="4.280990246513638"/>
  </r>
  <r>
    <x v="0"/>
    <s v="Quicken"/>
    <s v="1Point Rate"/>
    <s v="MTG"/>
    <x v="163"/>
    <n v="4.2780672452720152"/>
  </r>
  <r>
    <x v="0"/>
    <s v="Quicken"/>
    <s v="1Point Rate"/>
    <s v="MTG"/>
    <x v="164"/>
    <n v="4.2780672452720152"/>
  </r>
  <r>
    <x v="0"/>
    <s v="Quicken"/>
    <s v="1Point Rate"/>
    <s v="MTG"/>
    <x v="165"/>
    <n v="4.2985172692523879"/>
  </r>
  <r>
    <x v="0"/>
    <s v="Quicken"/>
    <s v="1Point Rate"/>
    <s v="MTG"/>
    <x v="166"/>
    <n v="4.2312279709849516"/>
  </r>
  <r>
    <x v="0"/>
    <s v="Quicken"/>
    <s v="1Point Rate"/>
    <s v="MTG"/>
    <x v="167"/>
    <n v="4.324772535098508"/>
  </r>
  <r>
    <x v="0"/>
    <s v="Quicken"/>
    <s v="1Point Rate"/>
    <s v="MTG"/>
    <x v="168"/>
    <n v="4.3858946468589499"/>
  </r>
  <r>
    <x v="0"/>
    <s v="Quicken"/>
    <s v="1Point Rate"/>
    <s v="MTG"/>
    <x v="169"/>
    <n v="4.3829896610860253"/>
  </r>
  <r>
    <x v="0"/>
    <s v="Quicken"/>
    <s v="1Point Rate"/>
    <s v="MTG"/>
    <x v="170"/>
    <n v="4.3771781350109968"/>
  </r>
  <r>
    <x v="0"/>
    <s v="Quicken"/>
    <s v="1Point Rate"/>
    <s v="MTG"/>
    <x v="171"/>
    <n v="4.4033136866892715"/>
  </r>
  <r>
    <x v="0"/>
    <s v="Quicken"/>
    <s v="1Point Rate"/>
    <s v="MTG"/>
    <x v="172"/>
    <n v="4.4323040413094947"/>
  </r>
  <r>
    <x v="0"/>
    <s v="Quicken"/>
    <s v="1Point Rate"/>
    <s v="MTG"/>
    <x v="173"/>
    <n v="4.4206731281571114"/>
  </r>
  <r>
    <x v="0"/>
    <s v="Quicken"/>
    <s v="1Point Rate"/>
    <s v="MTG"/>
    <x v="174"/>
    <n v="4.5131838688757515"/>
  </r>
  <r>
    <x v="0"/>
    <s v="Quicken"/>
    <s v="1Point Rate"/>
    <s v="MTG"/>
    <x v="175"/>
    <n v="4.501418384745314"/>
  </r>
  <r>
    <x v="0"/>
    <s v="Quicken"/>
    <s v="1Point Rate"/>
    <s v="MTG"/>
    <x v="176"/>
    <n v="4.4985329412233339"/>
  </r>
  <r>
    <x v="0"/>
    <s v="Quicken"/>
    <s v="1Point Rate"/>
    <s v="MTG"/>
    <x v="177"/>
    <n v="4.4927605179685131"/>
  </r>
  <r>
    <x v="0"/>
    <s v="Quicken"/>
    <s v="1Point Rate"/>
    <s v="MTG"/>
    <x v="178"/>
    <n v="4.4929920752998243"/>
  </r>
  <r>
    <x v="0"/>
    <s v="Quicken"/>
    <s v="1Point Rate"/>
    <s v="MTG"/>
    <x v="179"/>
    <n v="4.4525330623629999"/>
  </r>
  <r>
    <x v="0"/>
    <s v="Quicken"/>
    <s v="1Point Rate"/>
    <s v="MTG"/>
    <x v="180"/>
    <n v="4.5678637845748948"/>
  </r>
  <r>
    <x v="0"/>
    <s v="Quicken"/>
    <s v="1Point Rate"/>
    <s v="MTG"/>
    <x v="181"/>
    <n v="4.5333505698116854"/>
  </r>
  <r>
    <x v="0"/>
    <s v="Quicken"/>
    <s v="1Point Rate"/>
    <s v="MTG"/>
    <x v="182"/>
    <n v="4.4987637218053917"/>
  </r>
  <r>
    <x v="0"/>
    <s v="Quicken"/>
    <s v="1Point Rate"/>
    <s v="MTG"/>
    <x v="183"/>
    <n v="4.4958781549225408"/>
  </r>
  <r>
    <x v="0"/>
    <s v="Quicken"/>
    <s v="1Point Rate"/>
    <s v="MTG"/>
    <x v="184"/>
    <n v="4.5189483422881471"/>
  </r>
  <r>
    <x v="0"/>
    <s v="Quicken"/>
    <s v="1Point Rate"/>
    <s v="MTG"/>
    <x v="185"/>
    <n v="4.4612113276937526"/>
  </r>
  <r>
    <x v="0"/>
    <s v="Quicken"/>
    <s v="1Point Rate"/>
    <s v="MTG"/>
    <x v="186"/>
    <n v="4.4612113276937526"/>
  </r>
  <r>
    <x v="0"/>
    <s v="Quicken"/>
    <s v="1Point Rate"/>
    <s v="MTG"/>
    <x v="187"/>
    <n v="4.4612113276937526"/>
  </r>
  <r>
    <x v="0"/>
    <s v="Quicken"/>
    <s v="1Point Rate"/>
    <s v="MTG"/>
    <x v="188"/>
    <n v="4.4293683816765057"/>
  </r>
  <r>
    <x v="0"/>
    <s v="Quicken"/>
    <s v="1Point Rate"/>
    <s v="MTG"/>
    <x v="189"/>
    <n v="4.4062150485441451"/>
  </r>
  <r>
    <x v="0"/>
    <s v="Quicken"/>
    <s v="1Point Rate"/>
    <s v="MTG"/>
    <x v="190"/>
    <n v="4.4380959133108595"/>
  </r>
  <r>
    <x v="0"/>
    <s v="Quicken"/>
    <s v="1Point Rate"/>
    <s v="MTG"/>
    <x v="191"/>
    <n v="4.5532689327452376"/>
  </r>
  <r>
    <x v="0"/>
    <s v="Quicken"/>
    <s v="1Point Rate"/>
    <s v="MTG"/>
    <x v="192"/>
    <n v="4.5534922150014268"/>
  </r>
  <r>
    <x v="0"/>
    <s v="Quicken"/>
    <s v="1Point Rate"/>
    <s v="MTG"/>
    <x v="193"/>
    <n v="4.4929920752998243"/>
  </r>
  <r>
    <x v="0"/>
    <s v="Quicken"/>
    <s v="1Point Rate"/>
    <s v="MTG"/>
    <x v="194"/>
    <n v="4.4929920752998243"/>
  </r>
  <r>
    <x v="0"/>
    <s v="Quicken"/>
    <s v="1Point Rate"/>
    <s v="MTG"/>
    <x v="195"/>
    <n v="4.5218298111210657"/>
  </r>
  <r>
    <x v="0"/>
    <s v="Quicken"/>
    <s v="1Point Rate"/>
    <s v="MTG"/>
    <x v="196"/>
    <n v="4.5218298111210657"/>
  </r>
  <r>
    <x v="0"/>
    <s v="Quicken"/>
    <s v="1Point Rate"/>
    <s v="MTG"/>
    <x v="197"/>
    <n v="4.4612113276937526"/>
  </r>
  <r>
    <x v="0"/>
    <s v="Quicken"/>
    <s v="1Point Rate"/>
    <s v="MTG"/>
    <x v="198"/>
    <n v="4.5534922150014268"/>
  </r>
  <r>
    <x v="0"/>
    <s v="Quicken"/>
    <s v="1Point Rate"/>
    <s v="MTG"/>
    <x v="199"/>
    <n v="4.5848739945623596"/>
  </r>
  <r>
    <x v="0"/>
    <s v="Quicken"/>
    <s v="1Point Rate"/>
    <s v="MTG"/>
    <x v="200"/>
    <n v="4.5532689327452376"/>
  </r>
  <r>
    <x v="0"/>
    <s v="Quicken"/>
    <s v="1Point Rate"/>
    <s v="MTG"/>
    <x v="201"/>
    <n v="4.5216021614685626"/>
  </r>
  <r>
    <x v="0"/>
    <s v="Quicken"/>
    <s v="1Point Rate"/>
    <s v="MTG"/>
    <x v="202"/>
    <n v="4.5218298111210657"/>
  </r>
  <r>
    <x v="0"/>
    <s v="Quicken"/>
    <s v="1Point Rate"/>
    <s v="MTG"/>
    <x v="203"/>
    <n v="4.4929920752998243"/>
  </r>
  <r>
    <x v="0"/>
    <s v="Quicken"/>
    <s v="1Point Rate"/>
    <s v="MTG"/>
    <x v="204"/>
    <n v="4.5218298111210657"/>
  </r>
  <r>
    <x v="0"/>
    <s v="Quicken"/>
    <s v="1Point Rate"/>
    <s v="MTG"/>
    <x v="205"/>
    <n v="4.5532689327452376"/>
  </r>
  <r>
    <x v="0"/>
    <s v="Quicken"/>
    <s v="1Point Rate"/>
    <s v="MTG"/>
    <x v="206"/>
    <n v="4.5532689327452376"/>
  </r>
  <r>
    <x v="0"/>
    <s v="Quicken"/>
    <s v="1Point Rate"/>
    <s v="MTG"/>
    <x v="207"/>
    <n v="4.5216021614685626"/>
  </r>
  <r>
    <x v="0"/>
    <s v="Quicken"/>
    <s v="1Point Rate"/>
    <s v="MTG"/>
    <x v="208"/>
    <n v="4.5216021614685626"/>
  </r>
  <r>
    <x v="0"/>
    <s v="Quicken"/>
    <s v="1Point Rate"/>
    <s v="MTG"/>
    <x v="209"/>
    <n v="4.5534922150014268"/>
  </r>
  <r>
    <x v="0"/>
    <s v="Quicken"/>
    <s v="1Point Rate"/>
    <s v="MTG"/>
    <x v="210"/>
    <n v="4.4612113276937526"/>
  </r>
  <r>
    <x v="0"/>
    <s v="Quicken"/>
    <s v="1Point Rate"/>
    <s v="MTG"/>
    <x v="211"/>
    <n v="4.4929920752998243"/>
  </r>
  <r>
    <x v="0"/>
    <s v="Quicken"/>
    <s v="1Point Rate"/>
    <s v="MTG"/>
    <x v="212"/>
    <n v="4.4293683816765057"/>
  </r>
  <r>
    <x v="0"/>
    <s v="Quicken"/>
    <s v="1Point Rate"/>
    <s v="MTG"/>
    <x v="213"/>
    <n v="4.4699143336624472"/>
  </r>
  <r>
    <x v="0"/>
    <s v="Quicken"/>
    <s v="1Point Rate"/>
    <s v="MTG"/>
    <x v="214"/>
    <n v="4.4699143336624472"/>
  </r>
  <r>
    <x v="0"/>
    <s v="Quicken"/>
    <s v="1Point Rate"/>
    <s v="MTG"/>
    <x v="215"/>
    <n v="4.4380959133108595"/>
  </r>
  <r>
    <x v="0"/>
    <s v="Quicken"/>
    <s v="1Point Rate"/>
    <s v="MTG"/>
    <x v="216"/>
    <n v="4.3771781350109968"/>
  </r>
  <r>
    <x v="0"/>
    <s v="Quicken"/>
    <s v="1Point Rate"/>
    <s v="MTG"/>
    <x v="217"/>
    <n v="4.3131143092804933"/>
  </r>
  <r>
    <x v="0"/>
    <s v="Quicken"/>
    <s v="1Point Rate"/>
    <s v="MTG"/>
    <x v="218"/>
    <n v="4.3451776555859825"/>
  </r>
  <r>
    <x v="0"/>
    <s v="Quicken"/>
    <s v="1Point Rate"/>
    <s v="MTG"/>
    <x v="219"/>
    <n v="4.3131087489386006"/>
  </r>
  <r>
    <x v="0"/>
    <s v="Quicken"/>
    <s v="1Point Rate"/>
    <s v="MTG"/>
    <x v="220"/>
    <n v="4.3451776555859825"/>
  </r>
  <r>
    <x v="0"/>
    <s v="Quicken"/>
    <s v="1Point Rate"/>
    <s v="MTG"/>
    <x v="221"/>
    <n v="4.2488084289060692"/>
  </r>
  <r>
    <x v="0"/>
    <s v="Quicken"/>
    <s v="1Point Rate"/>
    <s v="MTG"/>
    <x v="222"/>
    <n v="4.2194971642154622"/>
  </r>
  <r>
    <x v="0"/>
    <s v="Quicken"/>
    <s v="1Point Rate"/>
    <s v="MTG"/>
    <x v="223"/>
    <n v="4.3131143092804933"/>
  </r>
  <r>
    <x v="0"/>
    <s v="Quicken"/>
    <s v="1Point Rate"/>
    <s v="MTG"/>
    <x v="224"/>
    <n v="4.3131087489386006"/>
  </r>
  <r>
    <x v="0"/>
    <s v="Quicken"/>
    <s v="1Point Rate"/>
    <s v="MTG"/>
    <x v="225"/>
    <n v="4.280990246513638"/>
  </r>
  <r>
    <x v="0"/>
    <s v="Quicken"/>
    <s v="1Point Rate"/>
    <s v="MTG"/>
    <x v="226"/>
    <n v="4.280990246513638"/>
  </r>
  <r>
    <x v="0"/>
    <s v="Quicken"/>
    <s v="1Point Rate"/>
    <s v="MTG"/>
    <x v="227"/>
    <n v="4.2194971642154622"/>
  </r>
  <r>
    <x v="0"/>
    <s v="Quicken"/>
    <s v="1Point Rate"/>
    <s v="MTG"/>
    <x v="228"/>
    <n v="4.1871940628292794"/>
  </r>
  <r>
    <x v="0"/>
    <s v="Quicken"/>
    <s v="1Point Rate"/>
    <s v="MTG"/>
    <x v="229"/>
    <n v="4.1871940628292794"/>
  </r>
  <r>
    <x v="0"/>
    <s v="Quicken"/>
    <s v="1Point Rate"/>
    <s v="MTG"/>
    <x v="230"/>
    <n v="4.1871940628292794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0"/>
    <s v="Wells Fargo"/>
    <s v="1Point Rate"/>
    <s v="MTG"/>
    <x v="6"/>
    <n v="4.1930539804499194"/>
  </r>
  <r>
    <x v="0"/>
    <s v="Wells Fargo"/>
    <s v="1Point Rate"/>
    <s v="MTG"/>
    <x v="7"/>
    <n v="4.3001919961318613"/>
  </r>
  <r>
    <x v="0"/>
    <s v="Wells Fargo"/>
    <s v="1Point Rate"/>
    <s v="MTG"/>
    <x v="8"/>
    <n v="4.1930539804499194"/>
  </r>
  <r>
    <x v="0"/>
    <s v="Wells Fargo"/>
    <s v="1Point Rate"/>
    <s v="MTG"/>
    <x v="9"/>
    <n v="4.1618039804499194"/>
  </r>
  <r>
    <x v="0"/>
    <s v="Wells Fargo"/>
    <s v="1Point Rate"/>
    <s v="MTG"/>
    <x v="10"/>
    <n v="4.1305539804499194"/>
  </r>
  <r>
    <x v="0"/>
    <s v="Wells Fargo"/>
    <s v="1Point Rate"/>
    <s v="MTG"/>
    <x v="11"/>
    <n v="4.1748311341021385"/>
  </r>
  <r>
    <x v="0"/>
    <s v="Wells Fargo"/>
    <s v="1Point Rate"/>
    <s v="MTG"/>
    <x v="12"/>
    <n v="4.1135643018144359"/>
  </r>
  <r>
    <x v="0"/>
    <s v="Wells Fargo"/>
    <s v="1Point Rate"/>
    <s v="MTG"/>
    <x v="13"/>
    <n v="4.1748311341021385"/>
  </r>
  <r>
    <x v="0"/>
    <s v="Wells Fargo"/>
    <s v="1Point Rate"/>
    <s v="MTG"/>
    <x v="14"/>
    <n v="4.1135643018144359"/>
  </r>
  <r>
    <x v="0"/>
    <s v="Wells Fargo"/>
    <s v="1Point Rate"/>
    <s v="MTG"/>
    <x v="15"/>
    <n v="4.0672857326453746"/>
  </r>
  <r>
    <x v="0"/>
    <s v="Wells Fargo"/>
    <s v="1Point Rate"/>
    <s v="MTG"/>
    <x v="16"/>
    <n v="4.1135643018144359"/>
  </r>
  <r>
    <x v="0"/>
    <s v="Wells Fargo"/>
    <s v="1Point Rate"/>
    <s v="MTG"/>
    <x v="17"/>
    <n v="4.2360443194521897"/>
  </r>
  <r>
    <x v="0"/>
    <s v="Wells Fargo"/>
    <s v="1Point Rate"/>
    <s v="MTG"/>
    <x v="18"/>
    <n v="4.2360443194521897"/>
  </r>
  <r>
    <x v="0"/>
    <s v="Wells Fargo"/>
    <s v="1Point Rate"/>
    <s v="MTG"/>
    <x v="19"/>
    <n v="4.1748311341021385"/>
  </r>
  <r>
    <x v="0"/>
    <s v="Wells Fargo"/>
    <s v="1Point Rate"/>
    <s v="MTG"/>
    <x v="20"/>
    <n v="4.1135643018144359"/>
  </r>
  <r>
    <x v="0"/>
    <s v="Wells Fargo"/>
    <s v="1Point Rate"/>
    <s v="MTG"/>
    <x v="21"/>
    <n v="4.1720767377573145"/>
  </r>
  <r>
    <x v="0"/>
    <s v="Wells Fargo"/>
    <s v="1Point Rate"/>
    <s v="MTG"/>
    <x v="22"/>
    <n v="4.1720767377573145"/>
  </r>
  <r>
    <x v="0"/>
    <s v="Wells Fargo"/>
    <s v="1Point Rate"/>
    <s v="MTG"/>
    <x v="23"/>
    <n v="4.0492683414237005"/>
  </r>
  <r>
    <x v="0"/>
    <s v="Wells Fargo"/>
    <s v="1Point Rate"/>
    <s v="MTG"/>
    <x v="24"/>
    <n v="4.1135643018144359"/>
  </r>
  <r>
    <x v="0"/>
    <s v="Wells Fargo"/>
    <s v="1Point Rate"/>
    <s v="MTG"/>
    <x v="25"/>
    <n v="4.1135643018144359"/>
  </r>
  <r>
    <x v="0"/>
    <s v="Wells Fargo"/>
    <s v="1Point Rate"/>
    <s v="MTG"/>
    <x v="26"/>
    <n v="4.0672857326453746"/>
  </r>
  <r>
    <x v="0"/>
    <s v="Wells Fargo"/>
    <s v="1Point Rate"/>
    <s v="MTG"/>
    <x v="27"/>
    <n v="4.1720767377573145"/>
  </r>
  <r>
    <x v="0"/>
    <s v="Wells Fargo"/>
    <s v="1Point Rate"/>
    <s v="MTG"/>
    <x v="28"/>
    <n v="4.0672857326453746"/>
  </r>
  <r>
    <x v="0"/>
    <s v="Wells Fargo"/>
    <s v="1Point Rate"/>
    <s v="MTG"/>
    <x v="29"/>
    <n v="4.0672857326453746"/>
  </r>
  <r>
    <x v="0"/>
    <s v="Wells Fargo"/>
    <s v="1Point Rate"/>
    <s v="MTG"/>
    <x v="30"/>
    <n v="4.1106996097871527"/>
  </r>
  <r>
    <x v="0"/>
    <s v="Wells Fargo"/>
    <s v="1Point Rate"/>
    <s v="MTG"/>
    <x v="31"/>
    <n v="4.1720767377573145"/>
  </r>
  <r>
    <x v="0"/>
    <s v="Wells Fargo"/>
    <s v="1Point Rate"/>
    <s v="MTG"/>
    <x v="32"/>
    <n v="4.1720767377573145"/>
  </r>
  <r>
    <x v="0"/>
    <s v="Wells Fargo"/>
    <s v="1Point Rate"/>
    <s v="MTG"/>
    <x v="33"/>
    <n v="4.0672857326453746"/>
  </r>
  <r>
    <x v="0"/>
    <s v="Wells Fargo"/>
    <s v="1Point Rate"/>
    <s v="MTG"/>
    <x v="34"/>
    <n v="4.1720767377573145"/>
  </r>
  <r>
    <x v="0"/>
    <s v="Wells Fargo"/>
    <s v="1Point Rate"/>
    <s v="MTG"/>
    <x v="35"/>
    <n v="4.0672857326453746"/>
  </r>
  <r>
    <x v="0"/>
    <s v="Wells Fargo"/>
    <s v="1Point Rate"/>
    <s v="MTG"/>
    <x v="36"/>
    <n v="4.1135643018144359"/>
  </r>
  <r>
    <x v="0"/>
    <s v="Wells Fargo"/>
    <s v="1Point Rate"/>
    <s v="MTG"/>
    <x v="37"/>
    <n v="4.1135643018144359"/>
  </r>
  <r>
    <x v="0"/>
    <s v="Wells Fargo"/>
    <s v="1Point Rate"/>
    <s v="MTG"/>
    <x v="38"/>
    <n v="4.1135643018144359"/>
  </r>
  <r>
    <x v="0"/>
    <s v="Wells Fargo"/>
    <s v="1Point Rate"/>
    <s v="MTG"/>
    <x v="39"/>
    <n v="4.1135643018144359"/>
  </r>
  <r>
    <x v="0"/>
    <s v="Wells Fargo"/>
    <s v="1Point Rate"/>
    <s v="MTG"/>
    <x v="40"/>
    <n v="4.1748311341021385"/>
  </r>
  <r>
    <x v="0"/>
    <s v="Wells Fargo"/>
    <s v="1Point Rate"/>
    <s v="MTG"/>
    <x v="41"/>
    <n v="4.1618039804499194"/>
  </r>
  <r>
    <x v="0"/>
    <s v="Wells Fargo"/>
    <s v="1Point Rate"/>
    <s v="MTG"/>
    <x v="42"/>
    <n v="4.1305539804499194"/>
  </r>
  <r>
    <x v="0"/>
    <s v="Wells Fargo"/>
    <s v="1Point Rate"/>
    <s v="MTG"/>
    <x v="43"/>
    <n v="4.1305539804499194"/>
  </r>
  <r>
    <x v="0"/>
    <s v="Wells Fargo"/>
    <s v="1Point Rate"/>
    <s v="MTG"/>
    <x v="44"/>
    <n v="4.1618039804499194"/>
  </r>
  <r>
    <x v="0"/>
    <s v="Wells Fargo"/>
    <s v="1Point Rate"/>
    <s v="MTG"/>
    <x v="45"/>
    <n v="4.2392234701408622"/>
  </r>
  <r>
    <x v="0"/>
    <s v="Wells Fargo"/>
    <s v="1Point Rate"/>
    <s v="MTG"/>
    <x v="46"/>
    <n v="4.3642403763055508"/>
  </r>
  <r>
    <x v="0"/>
    <s v="Wells Fargo"/>
    <s v="1Point Rate"/>
    <s v="MTG"/>
    <x v="47"/>
    <n v="4.4251782413789309"/>
  </r>
  <r>
    <x v="0"/>
    <s v="Wells Fargo"/>
    <s v="1Point Rate"/>
    <s v="MTG"/>
    <x v="48"/>
    <n v="4.1618039804499194"/>
  </r>
  <r>
    <x v="0"/>
    <s v="Wells Fargo"/>
    <s v="1Point Rate"/>
    <s v="MTG"/>
    <x v="49"/>
    <n v="4.3642403763055508"/>
  </r>
  <r>
    <x v="0"/>
    <s v="Wells Fargo"/>
    <s v="1Point Rate"/>
    <s v="MTG"/>
    <x v="50"/>
    <n v="4.2563244659487021"/>
  </r>
  <r>
    <x v="0"/>
    <s v="Wells Fargo"/>
    <s v="1Point Rate"/>
    <s v="MTG"/>
    <x v="51"/>
    <n v="4.2875744659487021"/>
  </r>
  <r>
    <x v="0"/>
    <s v="Wells Fargo"/>
    <s v="1Point Rate"/>
    <s v="MTG"/>
    <x v="52"/>
    <n v="4.2875744659487021"/>
  </r>
  <r>
    <x v="0"/>
    <s v="Wells Fargo"/>
    <s v="1Point Rate"/>
    <s v="MTG"/>
    <x v="53"/>
    <n v="4.3002725972031506"/>
  </r>
  <r>
    <x v="0"/>
    <s v="Wells Fargo"/>
    <s v="1Point Rate"/>
    <s v="MTG"/>
    <x v="54"/>
    <n v="4.2392234701408622"/>
  </r>
  <r>
    <x v="0"/>
    <s v="Wells Fargo"/>
    <s v="1Point Rate"/>
    <s v="MTG"/>
    <x v="55"/>
    <n v="4.4251782413789309"/>
  </r>
  <r>
    <x v="0"/>
    <s v="Wells Fargo"/>
    <s v="1Point Rate"/>
    <s v="MTG"/>
    <x v="56"/>
    <n v="4.4251782413789309"/>
  </r>
  <r>
    <x v="0"/>
    <s v="Wells Fargo"/>
    <s v="1Point Rate"/>
    <s v="MTG"/>
    <x v="57"/>
    <n v="4.4251782413789309"/>
  </r>
  <r>
    <x v="0"/>
    <s v="Wells Fargo"/>
    <s v="1Point Rate"/>
    <s v="MTG"/>
    <x v="58"/>
    <n v="4.3642403763055508"/>
  </r>
  <r>
    <x v="0"/>
    <s v="Wells Fargo"/>
    <s v="1Point Rate"/>
    <s v="MTG"/>
    <x v="59"/>
    <n v="4.3642403763055508"/>
  </r>
  <r>
    <x v="0"/>
    <s v="Wells Fargo"/>
    <s v="1Point Rate"/>
    <s v="MTG"/>
    <x v="60"/>
    <n v="4.3002725972031506"/>
  </r>
  <r>
    <x v="0"/>
    <s v="Wells Fargo"/>
    <s v="1Point Rate"/>
    <s v="MTG"/>
    <x v="61"/>
    <n v="4.3002725972031506"/>
  </r>
  <r>
    <x v="0"/>
    <s v="Wells Fargo"/>
    <s v="1Point Rate"/>
    <s v="MTG"/>
    <x v="62"/>
    <n v="4.2392234701408622"/>
  </r>
  <r>
    <x v="0"/>
    <s v="Wells Fargo"/>
    <s v="1Point Rate"/>
    <s v="MTG"/>
    <x v="63"/>
    <n v="4.2875744659487021"/>
  </r>
  <r>
    <x v="0"/>
    <s v="Wells Fargo"/>
    <s v="1Point Rate"/>
    <s v="MTG"/>
    <x v="64"/>
    <n v="4.2875744659487021"/>
  </r>
  <r>
    <x v="0"/>
    <s v="Wells Fargo"/>
    <s v="1Point Rate"/>
    <s v="MTG"/>
    <x v="65"/>
    <n v="4.4447222357449441"/>
  </r>
  <r>
    <x v="0"/>
    <s v="Wells Fargo"/>
    <s v="1Point Rate"/>
    <s v="MTG"/>
    <x v="66"/>
    <n v="4.5531147075387262"/>
  </r>
  <r>
    <x v="0"/>
    <s v="Wells Fargo"/>
    <s v="1Point Rate"/>
    <s v="MTG"/>
    <x v="67"/>
    <n v="4.5542256765749203"/>
  </r>
  <r>
    <x v="0"/>
    <s v="Wells Fargo"/>
    <s v="1Point Rate"/>
    <s v="MTG"/>
    <x v="68"/>
    <n v="4.4906750935354101"/>
  </r>
  <r>
    <x v="0"/>
    <s v="Wells Fargo"/>
    <s v="1Point Rate"/>
    <s v="MTG"/>
    <x v="69"/>
    <n v="4.4906750935354101"/>
  </r>
  <r>
    <x v="0"/>
    <s v="Wells Fargo"/>
    <s v="1Point Rate"/>
    <s v="MTG"/>
    <x v="70"/>
    <n v="4.6782163696898609"/>
  </r>
  <r>
    <x v="0"/>
    <s v="Wells Fargo"/>
    <s v="1Point Rate"/>
    <s v="MTG"/>
    <x v="71"/>
    <n v="4.4906750935354101"/>
  </r>
  <r>
    <x v="0"/>
    <s v="Wells Fargo"/>
    <s v="1Point Rate"/>
    <s v="MTG"/>
    <x v="72"/>
    <n v="4.4906750935354101"/>
  </r>
  <r>
    <x v="0"/>
    <s v="Wells Fargo"/>
    <s v="1Point Rate"/>
    <s v="MTG"/>
    <x v="73"/>
    <n v="4.4447222357449441"/>
  </r>
  <r>
    <x v="0"/>
    <s v="Wells Fargo"/>
    <s v="1Point Rate"/>
    <s v="MTG"/>
    <x v="74"/>
    <n v="4.4447222357449441"/>
  </r>
  <r>
    <x v="0"/>
    <s v="Wells Fargo"/>
    <s v="1Point Rate"/>
    <s v="MTG"/>
    <x v="75"/>
    <n v="4.4447222357449441"/>
  </r>
  <r>
    <x v="0"/>
    <s v="Wells Fargo"/>
    <s v="1Point Rate"/>
    <s v="MTG"/>
    <x v="76"/>
    <n v="4.5531147075387262"/>
  </r>
  <r>
    <x v="0"/>
    <s v="Wells Fargo"/>
    <s v="1Point Rate"/>
    <s v="MTG"/>
    <x v="77"/>
    <n v="4.364885381659108"/>
  </r>
  <r>
    <x v="0"/>
    <s v="Wells Fargo"/>
    <s v="1Point Rate"/>
    <s v="MTG"/>
    <x v="78"/>
    <n v="4.4894479147795909"/>
  </r>
  <r>
    <x v="0"/>
    <s v="Wells Fargo"/>
    <s v="1Point Rate"/>
    <s v="MTG"/>
    <x v="79"/>
    <n v="4.5542256765749203"/>
  </r>
  <r>
    <x v="0"/>
    <s v="Wells Fargo"/>
    <s v="1Point Rate"/>
    <s v="MTG"/>
    <x v="80"/>
    <n v="4.5542256765749203"/>
  </r>
  <r>
    <x v="0"/>
    <s v="Wells Fargo"/>
    <s v="1Point Rate"/>
    <s v="MTG"/>
    <x v="81"/>
    <n v="4.5542256765749203"/>
  </r>
  <r>
    <x v="0"/>
    <s v="Wells Fargo"/>
    <s v="1Point Rate"/>
    <s v="MTG"/>
    <x v="82"/>
    <n v="4.5079973351823694"/>
  </r>
  <r>
    <x v="0"/>
    <s v="Wells Fargo"/>
    <s v="1Point Rate"/>
    <s v="MTG"/>
    <x v="83"/>
    <n v="4.6147854086055808"/>
  </r>
  <r>
    <x v="0"/>
    <s v="Wells Fargo"/>
    <s v="1Point Rate"/>
    <s v="MTG"/>
    <x v="84"/>
    <n v="4.4906750935354101"/>
  </r>
  <r>
    <x v="0"/>
    <s v="Wells Fargo"/>
    <s v="1Point Rate"/>
    <s v="MTG"/>
    <x v="85"/>
    <n v="4.6782163696898609"/>
  </r>
  <r>
    <x v="0"/>
    <s v="Wells Fargo"/>
    <s v="1Point Rate"/>
    <s v="MTG"/>
    <x v="86"/>
    <n v="4.5542256765749203"/>
  </r>
  <r>
    <x v="0"/>
    <s v="Wells Fargo"/>
    <s v="1Point Rate"/>
    <s v="MTG"/>
    <x v="87"/>
    <n v="4.5531147075387262"/>
  </r>
  <r>
    <x v="0"/>
    <s v="Wells Fargo"/>
    <s v="1Point Rate"/>
    <s v="MTG"/>
    <x v="88"/>
    <n v="4.4894479147795909"/>
  </r>
  <r>
    <x v="0"/>
    <s v="Wells Fargo"/>
    <s v="1Point Rate"/>
    <s v="MTG"/>
    <x v="89"/>
    <n v="4.5531147075387262"/>
  </r>
  <r>
    <x v="0"/>
    <s v="Wells Fargo"/>
    <s v="1Point Rate"/>
    <s v="MTG"/>
    <x v="90"/>
    <n v="4.4894479147795909"/>
  </r>
  <r>
    <x v="0"/>
    <s v="Wells Fargo"/>
    <s v="1Point Rate"/>
    <s v="MTG"/>
    <x v="91"/>
    <n v="4.6147854086055808"/>
  </r>
  <r>
    <x v="0"/>
    <s v="Wells Fargo"/>
    <s v="1Point Rate"/>
    <s v="MTG"/>
    <x v="92"/>
    <n v="4.5079973351823694"/>
  </r>
  <r>
    <x v="0"/>
    <s v="Wells Fargo"/>
    <s v="1Point Rate"/>
    <s v="MTG"/>
    <x v="93"/>
    <n v="4.5542256765749203"/>
  </r>
  <r>
    <x v="0"/>
    <s v="Wells Fargo"/>
    <s v="1Point Rate"/>
    <s v="MTG"/>
    <x v="94"/>
    <n v="4.4906750935354101"/>
  </r>
  <r>
    <x v="0"/>
    <s v="Wells Fargo"/>
    <s v="1Point Rate"/>
    <s v="MTG"/>
    <x v="95"/>
    <n v="4.5542256765749203"/>
  </r>
  <r>
    <x v="0"/>
    <s v="Wells Fargo"/>
    <s v="1Point Rate"/>
    <s v="MTG"/>
    <x v="96"/>
    <n v="4.4906750935354101"/>
  </r>
  <r>
    <x v="0"/>
    <s v="Wells Fargo"/>
    <s v="1Point Rate"/>
    <s v="MTG"/>
    <x v="97"/>
    <n v="4.4906750935354101"/>
  </r>
  <r>
    <x v="0"/>
    <s v="Wells Fargo"/>
    <s v="1Point Rate"/>
    <s v="MTG"/>
    <x v="98"/>
    <n v="4.5531147075387262"/>
  </r>
  <r>
    <x v="0"/>
    <s v="Wells Fargo"/>
    <s v="1Point Rate"/>
    <s v="MTG"/>
    <x v="99"/>
    <n v="4.4894479147795909"/>
  </r>
  <r>
    <x v="0"/>
    <s v="Wells Fargo"/>
    <s v="1Point Rate"/>
    <s v="MTG"/>
    <x v="100"/>
    <n v="4.5531147075387262"/>
  </r>
  <r>
    <x v="0"/>
    <s v="Wells Fargo"/>
    <s v="1Point Rate"/>
    <s v="MTG"/>
    <x v="101"/>
    <n v="4.4286731677951829"/>
  </r>
  <r>
    <x v="0"/>
    <s v="Wells Fargo"/>
    <s v="1Point Rate"/>
    <s v="MTG"/>
    <x v="102"/>
    <n v="4.4286731677951829"/>
  </r>
  <r>
    <x v="0"/>
    <s v="Wells Fargo"/>
    <s v="1Point Rate"/>
    <s v="MTG"/>
    <x v="103"/>
    <n v="4.4286731677951829"/>
  </r>
  <r>
    <x v="0"/>
    <s v="Wells Fargo"/>
    <s v="1Point Rate"/>
    <s v="MTG"/>
    <x v="104"/>
    <n v="4.4894479147795909"/>
  </r>
  <r>
    <x v="0"/>
    <s v="Wells Fargo"/>
    <s v="1Point Rate"/>
    <s v="MTG"/>
    <x v="105"/>
    <n v="4.4894479147795909"/>
  </r>
  <r>
    <x v="0"/>
    <s v="Wells Fargo"/>
    <s v="1Point Rate"/>
    <s v="MTG"/>
    <x v="106"/>
    <n v="4.3188244659487021"/>
  </r>
  <r>
    <x v="0"/>
    <s v="Wells Fargo"/>
    <s v="1Point Rate"/>
    <s v="MTG"/>
    <x v="107"/>
    <n v="4.2875744659487021"/>
  </r>
  <r>
    <x v="0"/>
    <s v="Wells Fargo"/>
    <s v="1Point Rate"/>
    <s v="MTG"/>
    <x v="108"/>
    <n v="4.364885381659108"/>
  </r>
  <r>
    <x v="0"/>
    <s v="Wells Fargo"/>
    <s v="1Point Rate"/>
    <s v="MTG"/>
    <x v="109"/>
    <n v="4.4894479147795909"/>
  </r>
  <r>
    <x v="0"/>
    <s v="Wells Fargo"/>
    <s v="1Point Rate"/>
    <s v="MTG"/>
    <x v="110"/>
    <n v="4.4286731677951829"/>
  </r>
  <r>
    <x v="0"/>
    <s v="Wells Fargo"/>
    <s v="1Point Rate"/>
    <s v="MTG"/>
    <x v="111"/>
    <n v="4.364885381659108"/>
  </r>
  <r>
    <x v="0"/>
    <s v="Wells Fargo"/>
    <s v="1Point Rate"/>
    <s v="MTG"/>
    <x v="112"/>
    <n v="4.364885381659108"/>
  </r>
  <r>
    <x v="0"/>
    <s v="Wells Fargo"/>
    <s v="1Point Rate"/>
    <s v="MTG"/>
    <x v="113"/>
    <n v="4.2875744659487021"/>
  </r>
  <r>
    <x v="0"/>
    <s v="Wells Fargo"/>
    <s v="1Point Rate"/>
    <s v="MTG"/>
    <x v="114"/>
    <n v="4.3642403763055508"/>
  </r>
  <r>
    <x v="0"/>
    <s v="Wells Fargo"/>
    <s v="1Point Rate"/>
    <s v="MTG"/>
    <x v="115"/>
    <n v="4.2875744659487021"/>
  </r>
  <r>
    <x v="0"/>
    <s v="Wells Fargo"/>
    <s v="1Point Rate"/>
    <s v="MTG"/>
    <x v="116"/>
    <n v="4.3188244659487021"/>
  </r>
  <r>
    <x v="0"/>
    <s v="Wells Fargo"/>
    <s v="1Point Rate"/>
    <s v="MTG"/>
    <x v="117"/>
    <n v="4.2875744659487021"/>
  </r>
  <r>
    <x v="0"/>
    <s v="Wells Fargo"/>
    <s v="1Point Rate"/>
    <s v="MTG"/>
    <x v="118"/>
    <n v="4.364885381659108"/>
  </r>
  <r>
    <x v="0"/>
    <s v="Wells Fargo"/>
    <s v="1Point Rate"/>
    <s v="MTG"/>
    <x v="119"/>
    <n v="4.2875744659487021"/>
  </r>
  <r>
    <x v="0"/>
    <s v="Wells Fargo"/>
    <s v="1Point Rate"/>
    <s v="MTG"/>
    <x v="120"/>
    <n v="4.3642403763055508"/>
  </r>
  <r>
    <x v="0"/>
    <s v="Wells Fargo"/>
    <s v="1Point Rate"/>
    <s v="MTG"/>
    <x v="121"/>
    <n v="4.3642403763055508"/>
  </r>
  <r>
    <x v="0"/>
    <s v="Wells Fargo"/>
    <s v="1Point Rate"/>
    <s v="MTG"/>
    <x v="122"/>
    <n v="4.1618039804499194"/>
  </r>
  <r>
    <x v="0"/>
    <s v="Wells Fargo"/>
    <s v="1Point Rate"/>
    <s v="MTG"/>
    <x v="123"/>
    <n v="4.4251782413789309"/>
  </r>
  <r>
    <x v="0"/>
    <s v="Wells Fargo"/>
    <s v="1Point Rate"/>
    <s v="MTG"/>
    <x v="124"/>
    <n v="4.2875744659487021"/>
  </r>
  <r>
    <x v="0"/>
    <s v="Wells Fargo"/>
    <s v="1Point Rate"/>
    <s v="MTG"/>
    <x v="125"/>
    <n v="4.3188244659487021"/>
  </r>
  <r>
    <x v="0"/>
    <s v="Wells Fargo"/>
    <s v="1Point Rate"/>
    <s v="MTG"/>
    <x v="126"/>
    <n v="4.3642403763055508"/>
  </r>
  <r>
    <x v="0"/>
    <s v="Wells Fargo"/>
    <s v="1Point Rate"/>
    <s v="MTG"/>
    <x v="127"/>
    <n v="4.4251782413789309"/>
  </r>
  <r>
    <x v="0"/>
    <s v="Wells Fargo"/>
    <s v="1Point Rate"/>
    <s v="MTG"/>
    <x v="128"/>
    <n v="4.4251782413789309"/>
  </r>
  <r>
    <x v="0"/>
    <s v="Wells Fargo"/>
    <s v="1Point Rate"/>
    <s v="MTG"/>
    <x v="129"/>
    <n v="4.2875744659487021"/>
  </r>
  <r>
    <x v="0"/>
    <s v="Wells Fargo"/>
    <s v="1Point Rate"/>
    <s v="MTG"/>
    <x v="130"/>
    <n v="4.4251782413789309"/>
  </r>
  <r>
    <x v="0"/>
    <s v="Wells Fargo"/>
    <s v="1Point Rate"/>
    <s v="MTG"/>
    <x v="131"/>
    <n v="4.3642403763055508"/>
  </r>
  <r>
    <x v="0"/>
    <s v="Wells Fargo"/>
    <s v="1Point Rate"/>
    <s v="MTG"/>
    <x v="132"/>
    <n v="4.2875744659487021"/>
  </r>
  <r>
    <x v="0"/>
    <s v="Wells Fargo"/>
    <s v="1Point Rate"/>
    <s v="MTG"/>
    <x v="133"/>
    <n v="4.4251782413789309"/>
  </r>
  <r>
    <x v="0"/>
    <s v="Wells Fargo"/>
    <s v="1Point Rate"/>
    <s v="MTG"/>
    <x v="134"/>
    <n v="4.3642403763055508"/>
  </r>
  <r>
    <x v="0"/>
    <s v="Wells Fargo"/>
    <s v="1Point Rate"/>
    <s v="MTG"/>
    <x v="135"/>
    <n v="4.3002725972031506"/>
  </r>
  <r>
    <x v="0"/>
    <s v="Wells Fargo"/>
    <s v="1Point Rate"/>
    <s v="MTG"/>
    <x v="136"/>
    <n v="4.3002725972031506"/>
  </r>
  <r>
    <x v="0"/>
    <s v="Wells Fargo"/>
    <s v="1Point Rate"/>
    <s v="MTG"/>
    <x v="137"/>
    <n v="4.3188244659487021"/>
  </r>
  <r>
    <x v="0"/>
    <s v="Wells Fargo"/>
    <s v="1Point Rate"/>
    <s v="MTG"/>
    <x v="138"/>
    <n v="4.3188244659487021"/>
  </r>
  <r>
    <x v="0"/>
    <s v="Wells Fargo"/>
    <s v="1Point Rate"/>
    <s v="MTG"/>
    <x v="139"/>
    <n v="4.3188244659487021"/>
  </r>
  <r>
    <x v="0"/>
    <s v="Wells Fargo"/>
    <s v="1Point Rate"/>
    <s v="MTG"/>
    <x v="140"/>
    <n v="4.1618039804499194"/>
  </r>
  <r>
    <x v="0"/>
    <s v="Wells Fargo"/>
    <s v="1Point Rate"/>
    <s v="MTG"/>
    <x v="141"/>
    <n v="4.1930539804499194"/>
  </r>
  <r>
    <x v="0"/>
    <s v="Wells Fargo"/>
    <s v="1Point Rate"/>
    <s v="MTG"/>
    <x v="142"/>
    <n v="4.1930539804499194"/>
  </r>
  <r>
    <x v="0"/>
    <s v="Wells Fargo"/>
    <s v="1Point Rate"/>
    <s v="MTG"/>
    <x v="143"/>
    <n v="4.1930539804499194"/>
  </r>
  <r>
    <x v="0"/>
    <s v="Wells Fargo"/>
    <s v="1Point Rate"/>
    <s v="MTG"/>
    <x v="144"/>
    <n v="4.1930539804499194"/>
  </r>
  <r>
    <x v="0"/>
    <s v="Wells Fargo"/>
    <s v="1Point Rate"/>
    <s v="MTG"/>
    <x v="145"/>
    <n v="4.3002725972031506"/>
  </r>
  <r>
    <x v="0"/>
    <s v="Wells Fargo"/>
    <s v="1Point Rate"/>
    <s v="MTG"/>
    <x v="146"/>
    <n v="4.4216522874164488"/>
  </r>
  <r>
    <x v="0"/>
    <s v="Wells Fargo"/>
    <s v="1Point Rate"/>
    <s v="MTG"/>
    <x v="147"/>
    <n v="4.2966687844513389"/>
  </r>
  <r>
    <x v="0"/>
    <s v="Wells Fargo"/>
    <s v="1Point Rate"/>
    <s v="MTG"/>
    <x v="148"/>
    <n v="4.256473470140862"/>
  </r>
  <r>
    <x v="0"/>
    <s v="Wells Fargo"/>
    <s v="1Point Rate"/>
    <s v="MTG"/>
    <x v="149"/>
    <n v="4.3576528674279986"/>
  </r>
  <r>
    <x v="0"/>
    <s v="Wells Fargo"/>
    <s v="1Point Rate"/>
    <s v="MTG"/>
    <x v="150"/>
    <n v="4.2323257174829196"/>
  </r>
  <r>
    <x v="0"/>
    <s v="Wells Fargo"/>
    <s v="1Point Rate"/>
    <s v="MTG"/>
    <x v="151"/>
    <n v="4.3576528674279986"/>
  </r>
  <r>
    <x v="0"/>
    <s v="Wells Fargo"/>
    <s v="1Point Rate"/>
    <s v="MTG"/>
    <x v="152"/>
    <n v="4.4187377611835057"/>
  </r>
  <r>
    <x v="0"/>
    <s v="Wells Fargo"/>
    <s v="1Point Rate"/>
    <s v="MTG"/>
    <x v="153"/>
    <n v="4.4187377611835057"/>
  </r>
  <r>
    <x v="0"/>
    <s v="Wells Fargo"/>
    <s v="1Point Rate"/>
    <s v="MTG"/>
    <x v="154"/>
    <n v="4.3576528674279986"/>
  </r>
  <r>
    <x v="0"/>
    <s v="Wells Fargo"/>
    <s v="1Point Rate"/>
    <s v="MTG"/>
    <x v="155"/>
    <n v="4.256473470140862"/>
  </r>
  <r>
    <x v="0"/>
    <s v="Wells Fargo"/>
    <s v="1Point Rate"/>
    <s v="MTG"/>
    <x v="156"/>
    <n v="4.4187377611835057"/>
  </r>
  <r>
    <x v="0"/>
    <s v="Wells Fargo"/>
    <s v="1Point Rate"/>
    <s v="MTG"/>
    <x v="157"/>
    <n v="4.3576528674279986"/>
  </r>
  <r>
    <x v="0"/>
    <s v="Wells Fargo"/>
    <s v="1Point Rate"/>
    <s v="MTG"/>
    <x v="158"/>
    <n v="4.2965145977984394"/>
  </r>
  <r>
    <x v="0"/>
    <s v="Wells Fargo"/>
    <s v="1Point Rate"/>
    <s v="MTG"/>
    <x v="159"/>
    <n v="4.3576528674279986"/>
  </r>
  <r>
    <x v="0"/>
    <s v="Wells Fargo"/>
    <s v="1Point Rate"/>
    <s v="MTG"/>
    <x v="160"/>
    <n v="4.3576528674279986"/>
  </r>
  <r>
    <x v="0"/>
    <s v="Wells Fargo"/>
    <s v="1Point Rate"/>
    <s v="MTG"/>
    <x v="161"/>
    <n v="4.4187377611835057"/>
  </r>
  <r>
    <x v="0"/>
    <s v="Wells Fargo"/>
    <s v="1Point Rate"/>
    <s v="MTG"/>
    <x v="162"/>
    <n v="4.3576528674279986"/>
  </r>
  <r>
    <x v="0"/>
    <s v="Wells Fargo"/>
    <s v="1Point Rate"/>
    <s v="MTG"/>
    <x v="163"/>
    <n v="4.3576528674279986"/>
  </r>
  <r>
    <x v="0"/>
    <s v="Wells Fargo"/>
    <s v="1Point Rate"/>
    <s v="MTG"/>
    <x v="164"/>
    <n v="4.3576528674279986"/>
  </r>
  <r>
    <x v="0"/>
    <s v="Wells Fargo"/>
    <s v="1Point Rate"/>
    <s v="MTG"/>
    <x v="165"/>
    <n v="4.3576528674279986"/>
  </r>
  <r>
    <x v="0"/>
    <s v="Wells Fargo"/>
    <s v="1Point Rate"/>
    <s v="MTG"/>
    <x v="166"/>
    <n v="4.2965145977984394"/>
  </r>
  <r>
    <x v="0"/>
    <s v="Wells Fargo"/>
    <s v="1Point Rate"/>
    <s v="MTG"/>
    <x v="167"/>
    <n v="4.2965145977984394"/>
  </r>
  <r>
    <x v="0"/>
    <s v="Wells Fargo"/>
    <s v="1Point Rate"/>
    <s v="MTG"/>
    <x v="168"/>
    <n v="4.2966687844513389"/>
  </r>
  <r>
    <x v="0"/>
    <s v="Wells Fargo"/>
    <s v="1Point Rate"/>
    <s v="MTG"/>
    <x v="169"/>
    <n v="4.3577019868052416"/>
  </r>
  <r>
    <x v="0"/>
    <s v="Wells Fargo"/>
    <s v="1Point Rate"/>
    <s v="MTG"/>
    <x v="170"/>
    <n v="4.2966687844513389"/>
  </r>
  <r>
    <x v="0"/>
    <s v="Wells Fargo"/>
    <s v="1Point Rate"/>
    <s v="MTG"/>
    <x v="171"/>
    <n v="4.3577019868052416"/>
  </r>
  <r>
    <x v="0"/>
    <s v="Wells Fargo"/>
    <s v="1Point Rate"/>
    <s v="MTG"/>
    <x v="172"/>
    <n v="4.4216522874164488"/>
  </r>
  <r>
    <x v="0"/>
    <s v="Wells Fargo"/>
    <s v="1Point Rate"/>
    <s v="MTG"/>
    <x v="173"/>
    <n v="4.5464025578172089"/>
  </r>
  <r>
    <x v="0"/>
    <s v="Wells Fargo"/>
    <s v="1Point Rate"/>
    <s v="MTG"/>
    <x v="174"/>
    <n v="4.4860360923539417"/>
  </r>
  <r>
    <x v="0"/>
    <s v="Wells Fargo"/>
    <s v="1Point Rate"/>
    <s v="MTG"/>
    <x v="175"/>
    <n v="4.5467951308758243"/>
  </r>
  <r>
    <x v="0"/>
    <s v="Wells Fargo"/>
    <s v="1Point Rate"/>
    <s v="MTG"/>
    <x v="176"/>
    <n v="4.6104446823863938"/>
  </r>
  <r>
    <x v="0"/>
    <s v="Wells Fargo"/>
    <s v="1Point Rate"/>
    <s v="MTG"/>
    <x v="177"/>
    <n v="4.5467951308758243"/>
  </r>
  <r>
    <x v="0"/>
    <s v="Wells Fargo"/>
    <s v="1Point Rate"/>
    <s v="MTG"/>
    <x v="178"/>
    <n v="4.4860360923539417"/>
  </r>
  <r>
    <x v="0"/>
    <s v="Wells Fargo"/>
    <s v="1Point Rate"/>
    <s v="MTG"/>
    <x v="179"/>
    <n v="4.4222656236769913"/>
  </r>
  <r>
    <x v="0"/>
    <s v="Wells Fargo"/>
    <s v="1Point Rate"/>
    <s v="MTG"/>
    <x v="180"/>
    <n v="4.4860360923539417"/>
  </r>
  <r>
    <x v="0"/>
    <s v="Wells Fargo"/>
    <s v="1Point Rate"/>
    <s v="MTG"/>
    <x v="181"/>
    <n v="4.4222656236769913"/>
  </r>
  <r>
    <x v="0"/>
    <s v="Wells Fargo"/>
    <s v="1Point Rate"/>
    <s v="MTG"/>
    <x v="182"/>
    <n v="4.3821353816591078"/>
  </r>
  <r>
    <x v="0"/>
    <s v="Wells Fargo"/>
    <s v="1Point Rate"/>
    <s v="MTG"/>
    <x v="183"/>
    <n v="4.5464025578172089"/>
  </r>
  <r>
    <x v="0"/>
    <s v="Wells Fargo"/>
    <s v="1Point Rate"/>
    <s v="MTG"/>
    <x v="184"/>
    <n v="4.4222656236769913"/>
  </r>
  <r>
    <x v="0"/>
    <s v="Wells Fargo"/>
    <s v="1Point Rate"/>
    <s v="MTG"/>
    <x v="185"/>
    <n v="4.3821353816591078"/>
  </r>
  <r>
    <x v="0"/>
    <s v="Wells Fargo"/>
    <s v="1Point Rate"/>
    <s v="MTG"/>
    <x v="186"/>
    <n v="4.3821353816591078"/>
  </r>
  <r>
    <x v="0"/>
    <s v="Wells Fargo"/>
    <s v="1Point Rate"/>
    <s v="MTG"/>
    <x v="187"/>
    <n v="4.5464025578172089"/>
  </r>
  <r>
    <x v="0"/>
    <s v="Wells Fargo"/>
    <s v="1Point Rate"/>
    <s v="MTG"/>
    <x v="188"/>
    <n v="4.5464025578172089"/>
  </r>
  <r>
    <x v="0"/>
    <s v="Wells Fargo"/>
    <s v="1Point Rate"/>
    <s v="MTG"/>
    <x v="189"/>
    <n v="4.3577019868052416"/>
  </r>
  <r>
    <x v="0"/>
    <s v="Wells Fargo"/>
    <s v="1Point Rate"/>
    <s v="MTG"/>
    <x v="190"/>
    <n v="4.4216522874164488"/>
  </r>
  <r>
    <x v="0"/>
    <s v="Wells Fargo"/>
    <s v="1Point Rate"/>
    <s v="MTG"/>
    <x v="191"/>
    <n v="4.5467951308758243"/>
  </r>
  <r>
    <x v="0"/>
    <s v="Wells Fargo"/>
    <s v="1Point Rate"/>
    <s v="MTG"/>
    <x v="192"/>
    <n v="4.4860360923539417"/>
  </r>
  <r>
    <x v="0"/>
    <s v="Wells Fargo"/>
    <s v="1Point Rate"/>
    <s v="MTG"/>
    <x v="193"/>
    <n v="4.5464025578172089"/>
  </r>
  <r>
    <x v="0"/>
    <s v="Wells Fargo"/>
    <s v="1Point Rate"/>
    <s v="MTG"/>
    <x v="194"/>
    <n v="4.4825742980400598"/>
  </r>
  <r>
    <x v="0"/>
    <s v="Wells Fargo"/>
    <s v="1Point Rate"/>
    <s v="MTG"/>
    <x v="195"/>
    <n v="4.5464025578172089"/>
  </r>
  <r>
    <x v="0"/>
    <s v="Wells Fargo"/>
    <s v="1Point Rate"/>
    <s v="MTG"/>
    <x v="196"/>
    <n v="4.3821353816591078"/>
  </r>
  <r>
    <x v="0"/>
    <s v="Wells Fargo"/>
    <s v="1Point Rate"/>
    <s v="MTG"/>
    <x v="197"/>
    <n v="4.3821353816591078"/>
  </r>
  <r>
    <x v="0"/>
    <s v="Wells Fargo"/>
    <s v="1Point Rate"/>
    <s v="MTG"/>
    <x v="198"/>
    <n v="4.3821353816591078"/>
  </r>
  <r>
    <x v="0"/>
    <s v="Wells Fargo"/>
    <s v="1Point Rate"/>
    <s v="MTG"/>
    <x v="199"/>
    <n v="4.6104446823863938"/>
  </r>
  <r>
    <x v="0"/>
    <s v="Wells Fargo"/>
    <s v="1Point Rate"/>
    <s v="MTG"/>
    <x v="200"/>
    <n v="4.6104446823863938"/>
  </r>
  <r>
    <x v="0"/>
    <s v="Wells Fargo"/>
    <s v="1Point Rate"/>
    <s v="MTG"/>
    <x v="201"/>
    <n v="4.4860360923539417"/>
  </r>
  <r>
    <x v="0"/>
    <s v="Wells Fargo"/>
    <s v="1Point Rate"/>
    <s v="MTG"/>
    <x v="202"/>
    <n v="4.4222656236769913"/>
  </r>
  <r>
    <x v="0"/>
    <s v="Wells Fargo"/>
    <s v="1Point Rate"/>
    <s v="MTG"/>
    <x v="203"/>
    <n v="4.4222656236769913"/>
  </r>
  <r>
    <x v="0"/>
    <s v="Wells Fargo"/>
    <s v="1Point Rate"/>
    <s v="MTG"/>
    <x v="204"/>
    <n v="4.4860360923539417"/>
  </r>
  <r>
    <x v="0"/>
    <s v="Wells Fargo"/>
    <s v="1Point Rate"/>
    <s v="MTG"/>
    <x v="205"/>
    <n v="4.6104446823863938"/>
  </r>
  <r>
    <x v="0"/>
    <s v="Wells Fargo"/>
    <s v="1Point Rate"/>
    <s v="MTG"/>
    <x v="206"/>
    <n v="4.6104446823863938"/>
  </r>
  <r>
    <x v="0"/>
    <s v="Wells Fargo"/>
    <s v="1Point Rate"/>
    <s v="MTG"/>
    <x v="207"/>
    <n v="4.6104446823863938"/>
  </r>
  <r>
    <x v="0"/>
    <s v="Wells Fargo"/>
    <s v="1Point Rate"/>
    <s v="MTG"/>
    <x v="208"/>
    <n v="4.6104446823863938"/>
  </r>
  <r>
    <x v="0"/>
    <s v="Wells Fargo"/>
    <s v="1Point Rate"/>
    <s v="MTG"/>
    <x v="209"/>
    <n v="4.5467951308758243"/>
  </r>
  <r>
    <x v="0"/>
    <s v="Wells Fargo"/>
    <s v="1Point Rate"/>
    <s v="MTG"/>
    <x v="210"/>
    <n v="4.4222656236769913"/>
  </r>
  <r>
    <x v="0"/>
    <s v="Wells Fargo"/>
    <s v="1Point Rate"/>
    <s v="MTG"/>
    <x v="211"/>
    <n v="4.4860360923539417"/>
  </r>
  <r>
    <x v="0"/>
    <s v="Wells Fargo"/>
    <s v="1Point Rate"/>
    <s v="MTG"/>
    <x v="212"/>
    <n v="4.4222656236769913"/>
  </r>
  <r>
    <x v="0"/>
    <s v="Wells Fargo"/>
    <s v="1Point Rate"/>
    <s v="MTG"/>
    <x v="213"/>
    <n v="4.5464025578172089"/>
  </r>
  <r>
    <x v="0"/>
    <s v="Wells Fargo"/>
    <s v="1Point Rate"/>
    <s v="MTG"/>
    <x v="214"/>
    <n v="4.5464025578172089"/>
  </r>
  <r>
    <x v="0"/>
    <s v="Wells Fargo"/>
    <s v="1Point Rate"/>
    <s v="MTG"/>
    <x v="215"/>
    <n v="4.5464025578172089"/>
  </r>
  <r>
    <x v="0"/>
    <s v="Wells Fargo"/>
    <s v="1Point Rate"/>
    <s v="MTG"/>
    <x v="216"/>
    <n v="4.3577019868052416"/>
  </r>
  <r>
    <x v="0"/>
    <s v="Wells Fargo"/>
    <s v="1Point Rate"/>
    <s v="MTG"/>
    <x v="217"/>
    <n v="4.4825742980400598"/>
  </r>
  <r>
    <x v="0"/>
    <s v="Wells Fargo"/>
    <s v="1Point Rate"/>
    <s v="MTG"/>
    <x v="218"/>
    <n v="4.4216522874164488"/>
  </r>
  <r>
    <x v="0"/>
    <s v="Wells Fargo"/>
    <s v="1Point Rate"/>
    <s v="MTG"/>
    <x v="219"/>
    <n v="4.256473470140862"/>
  </r>
  <r>
    <x v="0"/>
    <s v="Wells Fargo"/>
    <s v="1Point Rate"/>
    <s v="MTG"/>
    <x v="220"/>
    <n v="4.2966687844513389"/>
  </r>
  <r>
    <x v="0"/>
    <s v="Wells Fargo"/>
    <s v="1Point Rate"/>
    <s v="MTG"/>
    <x v="221"/>
    <n v="4.4187377611835057"/>
  </r>
  <r>
    <x v="0"/>
    <s v="Wells Fargo"/>
    <s v="1Point Rate"/>
    <s v="MTG"/>
    <x v="222"/>
    <n v="4.4187377611835057"/>
  </r>
  <r>
    <x v="0"/>
    <s v="Wells Fargo"/>
    <s v="1Point Rate"/>
    <s v="MTG"/>
    <x v="223"/>
    <n v="4.2966687844513389"/>
  </r>
  <r>
    <x v="0"/>
    <s v="Wells Fargo"/>
    <s v="1Point Rate"/>
    <s v="MTG"/>
    <x v="224"/>
    <n v="4.4187377611835057"/>
  </r>
  <r>
    <x v="0"/>
    <s v="Wells Fargo"/>
    <s v="1Point Rate"/>
    <s v="MTG"/>
    <x v="225"/>
    <n v="4.4187377611835057"/>
  </r>
  <r>
    <x v="0"/>
    <s v="Wells Fargo"/>
    <s v="1Point Rate"/>
    <s v="MTG"/>
    <x v="226"/>
    <n v="4.4187377611835057"/>
  </r>
  <r>
    <x v="0"/>
    <s v="Wells Fargo"/>
    <s v="1Point Rate"/>
    <s v="MTG"/>
    <x v="227"/>
    <n v="4.3576528674279986"/>
  </r>
  <r>
    <x v="0"/>
    <s v="Wells Fargo"/>
    <s v="1Point Rate"/>
    <s v="MTG"/>
    <x v="228"/>
    <n v="4.2323257174829196"/>
  </r>
  <r>
    <x v="0"/>
    <s v="Wells Fargo"/>
    <s v="1Point Rate"/>
    <s v="MTG"/>
    <x v="229"/>
    <n v="4.2354507174829195"/>
  </r>
  <r>
    <x v="0"/>
    <s v="Wells Fargo"/>
    <s v="1Point Rate"/>
    <s v="MTG"/>
    <x v="230"/>
    <n v="4.2996395977984392"/>
  </r>
  <r>
    <x v="1"/>
    <s v="Wells Fargo"/>
    <s v="1Point Rate"/>
    <s v="MTG"/>
    <x v="0"/>
    <n v="4.0036250000000004"/>
  </r>
  <r>
    <x v="1"/>
    <s v="Wells Fargo"/>
    <s v="1Point Rate"/>
    <s v="MTG"/>
    <x v="1"/>
    <n v="4.0036250000000004"/>
  </r>
  <r>
    <x v="1"/>
    <s v="Wells Fargo"/>
    <s v="1Point Rate"/>
    <s v="MTG"/>
    <x v="2"/>
    <n v="3.9717500000000001"/>
  </r>
  <r>
    <x v="1"/>
    <s v="Wells Fargo"/>
    <s v="1Point Rate"/>
    <s v="MTG"/>
    <x v="3"/>
    <n v="4.0676249999999996"/>
  </r>
  <r>
    <x v="1"/>
    <s v="Wells Fargo"/>
    <s v="1Point Rate"/>
    <s v="MTG"/>
    <x v="4"/>
    <n v="4.0353750000000002"/>
  </r>
  <r>
    <x v="1"/>
    <s v="Wells Fargo"/>
    <s v="1Point Rate"/>
    <s v="MTG"/>
    <x v="5"/>
    <n v="4.0353750000000002"/>
  </r>
  <r>
    <x v="1"/>
    <s v="Wells Fargo"/>
    <s v="1Point Rate"/>
    <s v="MTG"/>
    <x v="6"/>
    <n v="4.0036250000000004"/>
  </r>
  <r>
    <x v="1"/>
    <s v="Wells Fargo"/>
    <s v="1Point Rate"/>
    <s v="MTG"/>
    <x v="7"/>
    <n v="3.9717500000000001"/>
  </r>
  <r>
    <x v="1"/>
    <s v="Wells Fargo"/>
    <s v="1Point Rate"/>
    <s v="MTG"/>
    <x v="8"/>
    <n v="4.0036250000000004"/>
  </r>
  <r>
    <x v="1"/>
    <s v="Wells Fargo"/>
    <s v="1Point Rate"/>
    <s v="MTG"/>
    <x v="9"/>
    <n v="3.9717500000000001"/>
  </r>
  <r>
    <x v="1"/>
    <s v="Wells Fargo"/>
    <s v="1Point Rate"/>
    <s v="MTG"/>
    <x v="10"/>
    <n v="3.9717500000000001"/>
  </r>
  <r>
    <x v="1"/>
    <s v="Wells Fargo"/>
    <s v="1Point Rate"/>
    <s v="MTG"/>
    <x v="11"/>
    <n v="3.8759999999999994"/>
  </r>
  <r>
    <x v="1"/>
    <s v="Wells Fargo"/>
    <s v="1Point Rate"/>
    <s v="MTG"/>
    <x v="12"/>
    <n v="3.8441249999999996"/>
  </r>
  <r>
    <x v="1"/>
    <s v="Wells Fargo"/>
    <s v="1Point Rate"/>
    <s v="MTG"/>
    <x v="13"/>
    <n v="3.9077500000000001"/>
  </r>
  <r>
    <x v="1"/>
    <s v="Wells Fargo"/>
    <s v="1Point Rate"/>
    <s v="MTG"/>
    <x v="14"/>
    <n v="3.8759999999999994"/>
  </r>
  <r>
    <x v="1"/>
    <s v="Wells Fargo"/>
    <s v="1Point Rate"/>
    <s v="MTG"/>
    <x v="15"/>
    <n v="3.8441249999999996"/>
  </r>
  <r>
    <x v="1"/>
    <s v="Wells Fargo"/>
    <s v="1Point Rate"/>
    <s v="MTG"/>
    <x v="16"/>
    <n v="3.8441249999999996"/>
  </r>
  <r>
    <x v="1"/>
    <s v="Wells Fargo"/>
    <s v="1Point Rate"/>
    <s v="MTG"/>
    <x v="17"/>
    <n v="3.9077500000000001"/>
  </r>
  <r>
    <x v="1"/>
    <s v="Wells Fargo"/>
    <s v="1Point Rate"/>
    <s v="MTG"/>
    <x v="18"/>
    <n v="3.9077500000000001"/>
  </r>
  <r>
    <x v="1"/>
    <s v="Wells Fargo"/>
    <s v="1Point Rate"/>
    <s v="MTG"/>
    <x v="19"/>
    <n v="3.9077500000000001"/>
  </r>
  <r>
    <x v="1"/>
    <s v="Wells Fargo"/>
    <s v="1Point Rate"/>
    <s v="MTG"/>
    <x v="20"/>
    <n v="3.8759999999999994"/>
  </r>
  <r>
    <x v="1"/>
    <s v="Wells Fargo"/>
    <s v="1Point Rate"/>
    <s v="MTG"/>
    <x v="21"/>
    <n v="3.8123749999999998"/>
  </r>
  <r>
    <x v="1"/>
    <s v="Wells Fargo"/>
    <s v="1Point Rate"/>
    <s v="MTG"/>
    <x v="22"/>
    <n v="3.7805"/>
  </r>
  <r>
    <x v="1"/>
    <s v="Wells Fargo"/>
    <s v="1Point Rate"/>
    <s v="MTG"/>
    <x v="23"/>
    <n v="3.7805"/>
  </r>
  <r>
    <x v="1"/>
    <s v="Wells Fargo"/>
    <s v="1Point Rate"/>
    <s v="MTG"/>
    <x v="24"/>
    <n v="3.964"/>
  </r>
  <r>
    <x v="1"/>
    <s v="Wells Fargo"/>
    <s v="1Point Rate"/>
    <s v="MTG"/>
    <x v="25"/>
    <n v="3.964"/>
  </r>
  <r>
    <x v="1"/>
    <s v="Wells Fargo"/>
    <s v="1Point Rate"/>
    <s v="MTG"/>
    <x v="26"/>
    <n v="4.0271249999999998"/>
  </r>
  <r>
    <x v="1"/>
    <s v="Wells Fargo"/>
    <s v="1Point Rate"/>
    <s v="MTG"/>
    <x v="27"/>
    <n v="3.9634999999999998"/>
  </r>
  <r>
    <x v="1"/>
    <s v="Wells Fargo"/>
    <s v="1Point Rate"/>
    <s v="MTG"/>
    <x v="28"/>
    <n v="4.0271249999999998"/>
  </r>
  <r>
    <x v="1"/>
    <s v="Wells Fargo"/>
    <s v="1Point Rate"/>
    <s v="MTG"/>
    <x v="29"/>
    <n v="4.0271249999999998"/>
  </r>
  <r>
    <x v="1"/>
    <s v="Wells Fargo"/>
    <s v="1Point Rate"/>
    <s v="MTG"/>
    <x v="30"/>
    <n v="3.8995000000000002"/>
  </r>
  <r>
    <x v="1"/>
    <s v="Wells Fargo"/>
    <s v="1Point Rate"/>
    <s v="MTG"/>
    <x v="31"/>
    <n v="3.8995000000000002"/>
  </r>
  <r>
    <x v="1"/>
    <s v="Wells Fargo"/>
    <s v="1Point Rate"/>
    <s v="MTG"/>
    <x v="32"/>
    <n v="3.9634999999999998"/>
  </r>
  <r>
    <x v="1"/>
    <s v="Wells Fargo"/>
    <s v="1Point Rate"/>
    <s v="MTG"/>
    <x v="33"/>
    <n v="3.9634999999999998"/>
  </r>
  <r>
    <x v="1"/>
    <s v="Wells Fargo"/>
    <s v="1Point Rate"/>
    <s v="MTG"/>
    <x v="34"/>
    <n v="3.8995000000000002"/>
  </r>
  <r>
    <x v="1"/>
    <s v="Wells Fargo"/>
    <s v="1Point Rate"/>
    <s v="MTG"/>
    <x v="35"/>
    <n v="3.9634999999999998"/>
  </r>
  <r>
    <x v="1"/>
    <s v="Wells Fargo"/>
    <s v="1Point Rate"/>
    <s v="MTG"/>
    <x v="36"/>
    <n v="4.0271249999999998"/>
  </r>
  <r>
    <x v="1"/>
    <s v="Wells Fargo"/>
    <s v="1Point Rate"/>
    <s v="MTG"/>
    <x v="37"/>
    <n v="4.0271249999999998"/>
  </r>
  <r>
    <x v="1"/>
    <s v="Wells Fargo"/>
    <s v="1Point Rate"/>
    <s v="MTG"/>
    <x v="38"/>
    <n v="3.9953749999999997"/>
  </r>
  <r>
    <x v="1"/>
    <s v="Wells Fargo"/>
    <s v="1Point Rate"/>
    <s v="MTG"/>
    <x v="39"/>
    <n v="4.0271249999999998"/>
  </r>
  <r>
    <x v="1"/>
    <s v="Wells Fargo"/>
    <s v="1Point Rate"/>
    <s v="MTG"/>
    <x v="40"/>
    <n v="3.9321250000000001"/>
  </r>
  <r>
    <x v="1"/>
    <s v="Wells Fargo"/>
    <s v="1Point Rate"/>
    <s v="MTG"/>
    <x v="41"/>
    <n v="4.0274999999999999"/>
  </r>
  <r>
    <x v="1"/>
    <s v="Wells Fargo"/>
    <s v="1Point Rate"/>
    <s v="MTG"/>
    <x v="42"/>
    <n v="3.9957500000000001"/>
  </r>
  <r>
    <x v="1"/>
    <s v="Wells Fargo"/>
    <s v="1Point Rate"/>
    <s v="MTG"/>
    <x v="43"/>
    <n v="3.9957500000000001"/>
  </r>
  <r>
    <x v="1"/>
    <s v="Wells Fargo"/>
    <s v="1Point Rate"/>
    <s v="MTG"/>
    <x v="44"/>
    <n v="4.0593750000000002"/>
  </r>
  <r>
    <x v="1"/>
    <s v="Wells Fargo"/>
    <s v="1Point Rate"/>
    <s v="MTG"/>
    <x v="45"/>
    <n v="4.0911249999999999"/>
  </r>
  <r>
    <x v="1"/>
    <s v="Wells Fargo"/>
    <s v="1Point Rate"/>
    <s v="MTG"/>
    <x v="46"/>
    <n v="4.1547499999999999"/>
  </r>
  <r>
    <x v="1"/>
    <s v="Wells Fargo"/>
    <s v="1Point Rate"/>
    <s v="MTG"/>
    <x v="47"/>
    <n v="4.1547499999999999"/>
  </r>
  <r>
    <x v="1"/>
    <s v="Wells Fargo"/>
    <s v="1Point Rate"/>
    <s v="MTG"/>
    <x v="48"/>
    <n v="4.0274999999999999"/>
  </r>
  <r>
    <x v="1"/>
    <s v="Wells Fargo"/>
    <s v="1Point Rate"/>
    <s v="MTG"/>
    <x v="49"/>
    <n v="4.1229999999999993"/>
  </r>
  <r>
    <x v="1"/>
    <s v="Wells Fargo"/>
    <s v="1Point Rate"/>
    <s v="MTG"/>
    <x v="50"/>
    <n v="4.1229999999999993"/>
  </r>
  <r>
    <x v="1"/>
    <s v="Wells Fargo"/>
    <s v="1Point Rate"/>
    <s v="MTG"/>
    <x v="51"/>
    <n v="4.1547499999999999"/>
  </r>
  <r>
    <x v="1"/>
    <s v="Wells Fargo"/>
    <s v="1Point Rate"/>
    <s v="MTG"/>
    <x v="52"/>
    <n v="4.1547499999999999"/>
  </r>
  <r>
    <x v="1"/>
    <s v="Wells Fargo"/>
    <s v="1Point Rate"/>
    <s v="MTG"/>
    <x v="53"/>
    <n v="4.0593750000000002"/>
  </r>
  <r>
    <x v="1"/>
    <s v="Wells Fargo"/>
    <s v="1Point Rate"/>
    <s v="MTG"/>
    <x v="54"/>
    <n v="4.0911249999999999"/>
  </r>
  <r>
    <x v="1"/>
    <s v="Wells Fargo"/>
    <s v="1Point Rate"/>
    <s v="MTG"/>
    <x v="55"/>
    <n v="4.1547499999999999"/>
  </r>
  <r>
    <x v="1"/>
    <s v="Wells Fargo"/>
    <s v="1Point Rate"/>
    <s v="MTG"/>
    <x v="56"/>
    <n v="4.1547499999999999"/>
  </r>
  <r>
    <x v="1"/>
    <s v="Wells Fargo"/>
    <s v="1Point Rate"/>
    <s v="MTG"/>
    <x v="57"/>
    <n v="4.1547499999999999"/>
  </r>
  <r>
    <x v="1"/>
    <s v="Wells Fargo"/>
    <s v="1Point Rate"/>
    <s v="MTG"/>
    <x v="58"/>
    <n v="4.1547499999999999"/>
  </r>
  <r>
    <x v="1"/>
    <s v="Wells Fargo"/>
    <s v="1Point Rate"/>
    <s v="MTG"/>
    <x v="59"/>
    <n v="4.155125"/>
  </r>
  <r>
    <x v="1"/>
    <s v="Wells Fargo"/>
    <s v="1Point Rate"/>
    <s v="MTG"/>
    <x v="60"/>
    <n v="4.1547499999999999"/>
  </r>
  <r>
    <x v="1"/>
    <s v="Wells Fargo"/>
    <s v="1Point Rate"/>
    <s v="MTG"/>
    <x v="61"/>
    <n v="4.1229999999999993"/>
  </r>
  <r>
    <x v="1"/>
    <s v="Wells Fargo"/>
    <s v="1Point Rate"/>
    <s v="MTG"/>
    <x v="62"/>
    <n v="4.0911249999999999"/>
  </r>
  <r>
    <x v="1"/>
    <s v="Wells Fargo"/>
    <s v="1Point Rate"/>
    <s v="MTG"/>
    <x v="63"/>
    <n v="4.0993750000000002"/>
  </r>
  <r>
    <x v="1"/>
    <s v="Wells Fargo"/>
    <s v="1Point Rate"/>
    <s v="MTG"/>
    <x v="64"/>
    <n v="4.0993750000000002"/>
  </r>
  <r>
    <x v="1"/>
    <s v="Wells Fargo"/>
    <s v="1Point Rate"/>
    <s v="MTG"/>
    <x v="65"/>
    <n v="4.2910000000000004"/>
  </r>
  <r>
    <x v="1"/>
    <s v="Wells Fargo"/>
    <s v="1Point Rate"/>
    <s v="MTG"/>
    <x v="66"/>
    <n v="4.2588749999999997"/>
  </r>
  <r>
    <x v="1"/>
    <s v="Wells Fargo"/>
    <s v="1Point Rate"/>
    <s v="MTG"/>
    <x v="67"/>
    <n v="4.2592500000000006"/>
  </r>
  <r>
    <x v="1"/>
    <s v="Wells Fargo"/>
    <s v="1Point Rate"/>
    <s v="MTG"/>
    <x v="68"/>
    <n v="4.2275"/>
  </r>
  <r>
    <x v="1"/>
    <s v="Wells Fargo"/>
    <s v="1Point Rate"/>
    <s v="MTG"/>
    <x v="69"/>
    <n v="4.1956249999999997"/>
  </r>
  <r>
    <x v="1"/>
    <s v="Wells Fargo"/>
    <s v="1Point Rate"/>
    <s v="MTG"/>
    <x v="70"/>
    <n v="4.2275"/>
  </r>
  <r>
    <x v="1"/>
    <s v="Wells Fargo"/>
    <s v="1Point Rate"/>
    <s v="MTG"/>
    <x v="71"/>
    <n v="4.1956249999999997"/>
  </r>
  <r>
    <x v="1"/>
    <s v="Wells Fargo"/>
    <s v="1Point Rate"/>
    <s v="MTG"/>
    <x v="72"/>
    <n v="4.2906250000000004"/>
  </r>
  <r>
    <x v="1"/>
    <s v="Wells Fargo"/>
    <s v="1Point Rate"/>
    <s v="MTG"/>
    <x v="73"/>
    <n v="4.2906250000000004"/>
  </r>
  <r>
    <x v="1"/>
    <s v="Wells Fargo"/>
    <s v="1Point Rate"/>
    <s v="MTG"/>
    <x v="74"/>
    <n v="4.2275"/>
  </r>
  <r>
    <x v="1"/>
    <s v="Wells Fargo"/>
    <s v="1Point Rate"/>
    <s v="MTG"/>
    <x v="75"/>
    <n v="4.2275"/>
  </r>
  <r>
    <x v="1"/>
    <s v="Wells Fargo"/>
    <s v="1Point Rate"/>
    <s v="MTG"/>
    <x v="76"/>
    <n v="4.2588749999999997"/>
  </r>
  <r>
    <x v="1"/>
    <s v="Wells Fargo"/>
    <s v="1Point Rate"/>
    <s v="MTG"/>
    <x v="77"/>
    <n v="4.2270000000000003"/>
  </r>
  <r>
    <x v="1"/>
    <s v="Wells Fargo"/>
    <s v="1Point Rate"/>
    <s v="MTG"/>
    <x v="78"/>
    <n v="4.2906250000000004"/>
  </r>
  <r>
    <x v="1"/>
    <s v="Wells Fargo"/>
    <s v="1Point Rate"/>
    <s v="MTG"/>
    <x v="79"/>
    <n v="4.3228750000000007"/>
  </r>
  <r>
    <x v="1"/>
    <s v="Wells Fargo"/>
    <s v="1Point Rate"/>
    <s v="MTG"/>
    <x v="80"/>
    <n v="4.2910000000000004"/>
  </r>
  <r>
    <x v="1"/>
    <s v="Wells Fargo"/>
    <s v="1Point Rate"/>
    <s v="MTG"/>
    <x v="81"/>
    <n v="4.2910000000000004"/>
  </r>
  <r>
    <x v="1"/>
    <s v="Wells Fargo"/>
    <s v="1Point Rate"/>
    <s v="MTG"/>
    <x v="82"/>
    <n v="4.3546250000000004"/>
  </r>
  <r>
    <x v="1"/>
    <s v="Wells Fargo"/>
    <s v="1Point Rate"/>
    <s v="MTG"/>
    <x v="83"/>
    <n v="4.2910000000000004"/>
  </r>
  <r>
    <x v="1"/>
    <s v="Wells Fargo"/>
    <s v="1Point Rate"/>
    <s v="MTG"/>
    <x v="84"/>
    <n v="4.2592500000000006"/>
  </r>
  <r>
    <x v="1"/>
    <s v="Wells Fargo"/>
    <s v="1Point Rate"/>
    <s v="MTG"/>
    <x v="85"/>
    <n v="4.3228750000000007"/>
  </r>
  <r>
    <x v="1"/>
    <s v="Wells Fargo"/>
    <s v="1Point Rate"/>
    <s v="MTG"/>
    <x v="86"/>
    <n v="4.2910000000000004"/>
  </r>
  <r>
    <x v="1"/>
    <s v="Wells Fargo"/>
    <s v="1Point Rate"/>
    <s v="MTG"/>
    <x v="87"/>
    <n v="4.2592500000000006"/>
  </r>
  <r>
    <x v="1"/>
    <s v="Wells Fargo"/>
    <s v="1Point Rate"/>
    <s v="MTG"/>
    <x v="88"/>
    <n v="4.2906250000000004"/>
  </r>
  <r>
    <x v="1"/>
    <s v="Wells Fargo"/>
    <s v="1Point Rate"/>
    <s v="MTG"/>
    <x v="89"/>
    <n v="4.2910000000000004"/>
  </r>
  <r>
    <x v="1"/>
    <s v="Wells Fargo"/>
    <s v="1Point Rate"/>
    <s v="MTG"/>
    <x v="90"/>
    <n v="4.2592500000000006"/>
  </r>
  <r>
    <x v="1"/>
    <s v="Wells Fargo"/>
    <s v="1Point Rate"/>
    <s v="MTG"/>
    <x v="91"/>
    <n v="4.3228750000000007"/>
  </r>
  <r>
    <x v="1"/>
    <s v="Wells Fargo"/>
    <s v="1Point Rate"/>
    <s v="MTG"/>
    <x v="92"/>
    <n v="4.3864999999999998"/>
  </r>
  <r>
    <x v="1"/>
    <s v="Wells Fargo"/>
    <s v="1Point Rate"/>
    <s v="MTG"/>
    <x v="93"/>
    <n v="4.2910000000000004"/>
  </r>
  <r>
    <x v="1"/>
    <s v="Wells Fargo"/>
    <s v="1Point Rate"/>
    <s v="MTG"/>
    <x v="94"/>
    <n v="4.2592500000000006"/>
  </r>
  <r>
    <x v="1"/>
    <s v="Wells Fargo"/>
    <s v="1Point Rate"/>
    <s v="MTG"/>
    <x v="95"/>
    <n v="4.2592500000000006"/>
  </r>
  <r>
    <x v="1"/>
    <s v="Wells Fargo"/>
    <s v="1Point Rate"/>
    <s v="MTG"/>
    <x v="96"/>
    <n v="4.2592500000000006"/>
  </r>
  <r>
    <x v="1"/>
    <s v="Wells Fargo"/>
    <s v="1Point Rate"/>
    <s v="MTG"/>
    <x v="97"/>
    <n v="4.2910000000000004"/>
  </r>
  <r>
    <x v="1"/>
    <s v="Wells Fargo"/>
    <s v="1Point Rate"/>
    <s v="MTG"/>
    <x v="98"/>
    <n v="4.2906250000000004"/>
  </r>
  <r>
    <x v="1"/>
    <s v="Wells Fargo"/>
    <s v="1Point Rate"/>
    <s v="MTG"/>
    <x v="99"/>
    <n v="4.2906250000000004"/>
  </r>
  <r>
    <x v="1"/>
    <s v="Wells Fargo"/>
    <s v="1Point Rate"/>
    <s v="MTG"/>
    <x v="100"/>
    <n v="4.2592500000000006"/>
  </r>
  <r>
    <x v="1"/>
    <s v="Wells Fargo"/>
    <s v="1Point Rate"/>
    <s v="MTG"/>
    <x v="101"/>
    <n v="4.2588749999999997"/>
  </r>
  <r>
    <x v="1"/>
    <s v="Wells Fargo"/>
    <s v="1Point Rate"/>
    <s v="MTG"/>
    <x v="102"/>
    <n v="4.2588749999999997"/>
  </r>
  <r>
    <x v="1"/>
    <s v="Wells Fargo"/>
    <s v="1Point Rate"/>
    <s v="MTG"/>
    <x v="103"/>
    <n v="4.2906250000000004"/>
  </r>
  <r>
    <x v="1"/>
    <s v="Wells Fargo"/>
    <s v="1Point Rate"/>
    <s v="MTG"/>
    <x v="104"/>
    <n v="4.2906250000000004"/>
  </r>
  <r>
    <x v="1"/>
    <s v="Wells Fargo"/>
    <s v="1Point Rate"/>
    <s v="MTG"/>
    <x v="105"/>
    <n v="4.2906250000000004"/>
  </r>
  <r>
    <x v="1"/>
    <s v="Wells Fargo"/>
    <s v="1Point Rate"/>
    <s v="MTG"/>
    <x v="106"/>
    <n v="4.1630000000000003"/>
  </r>
  <r>
    <x v="1"/>
    <s v="Wells Fargo"/>
    <s v="1Point Rate"/>
    <s v="MTG"/>
    <x v="107"/>
    <n v="4.1312500000000005"/>
  </r>
  <r>
    <x v="1"/>
    <s v="Wells Fargo"/>
    <s v="1Point Rate"/>
    <s v="MTG"/>
    <x v="108"/>
    <n v="4.2588749999999997"/>
  </r>
  <r>
    <x v="1"/>
    <s v="Wells Fargo"/>
    <s v="1Point Rate"/>
    <s v="MTG"/>
    <x v="109"/>
    <n v="4.2906250000000004"/>
  </r>
  <r>
    <x v="1"/>
    <s v="Wells Fargo"/>
    <s v="1Point Rate"/>
    <s v="MTG"/>
    <x v="110"/>
    <n v="4.2588749999999997"/>
  </r>
  <r>
    <x v="1"/>
    <s v="Wells Fargo"/>
    <s v="1Point Rate"/>
    <s v="MTG"/>
    <x v="111"/>
    <n v="4.2270000000000003"/>
  </r>
  <r>
    <x v="1"/>
    <s v="Wells Fargo"/>
    <s v="1Point Rate"/>
    <s v="MTG"/>
    <x v="112"/>
    <n v="4.2588749999999997"/>
  </r>
  <r>
    <x v="1"/>
    <s v="Wells Fargo"/>
    <s v="1Point Rate"/>
    <s v="MTG"/>
    <x v="113"/>
    <n v="4.1312500000000005"/>
  </r>
  <r>
    <x v="1"/>
    <s v="Wells Fargo"/>
    <s v="1Point Rate"/>
    <s v="MTG"/>
    <x v="114"/>
    <n v="4.0993750000000002"/>
  </r>
  <r>
    <x v="1"/>
    <s v="Wells Fargo"/>
    <s v="1Point Rate"/>
    <s v="MTG"/>
    <x v="115"/>
    <n v="4.0993750000000002"/>
  </r>
  <r>
    <x v="1"/>
    <s v="Wells Fargo"/>
    <s v="1Point Rate"/>
    <s v="MTG"/>
    <x v="116"/>
    <n v="4.1630000000000003"/>
  </r>
  <r>
    <x v="1"/>
    <s v="Wells Fargo"/>
    <s v="1Point Rate"/>
    <s v="MTG"/>
    <x v="117"/>
    <n v="4.2270000000000003"/>
  </r>
  <r>
    <x v="1"/>
    <s v="Wells Fargo"/>
    <s v="1Point Rate"/>
    <s v="MTG"/>
    <x v="118"/>
    <n v="4.2588749999999997"/>
  </r>
  <r>
    <x v="1"/>
    <s v="Wells Fargo"/>
    <s v="1Point Rate"/>
    <s v="MTG"/>
    <x v="119"/>
    <n v="4.1630000000000003"/>
  </r>
  <r>
    <x v="1"/>
    <s v="Wells Fargo"/>
    <s v="1Point Rate"/>
    <s v="MTG"/>
    <x v="120"/>
    <n v="4.1312500000000005"/>
  </r>
  <r>
    <x v="1"/>
    <s v="Wells Fargo"/>
    <s v="1Point Rate"/>
    <s v="MTG"/>
    <x v="121"/>
    <n v="4.0993750000000002"/>
  </r>
  <r>
    <x v="1"/>
    <s v="Wells Fargo"/>
    <s v="1Point Rate"/>
    <s v="MTG"/>
    <x v="122"/>
    <n v="4.0353750000000002"/>
  </r>
  <r>
    <x v="1"/>
    <s v="Wells Fargo"/>
    <s v="1Point Rate"/>
    <s v="MTG"/>
    <x v="123"/>
    <n v="4.1630000000000003"/>
  </r>
  <r>
    <x v="1"/>
    <s v="Wells Fargo"/>
    <s v="1Point Rate"/>
    <s v="MTG"/>
    <x v="124"/>
    <n v="4.2270000000000003"/>
  </r>
  <r>
    <x v="1"/>
    <s v="Wells Fargo"/>
    <s v="1Point Rate"/>
    <s v="MTG"/>
    <x v="125"/>
    <n v="4.2270000000000003"/>
  </r>
  <r>
    <x v="1"/>
    <s v="Wells Fargo"/>
    <s v="1Point Rate"/>
    <s v="MTG"/>
    <x v="126"/>
    <n v="4.1312500000000005"/>
  </r>
  <r>
    <x v="1"/>
    <s v="Wells Fargo"/>
    <s v="1Point Rate"/>
    <s v="MTG"/>
    <x v="127"/>
    <n v="4.1312500000000005"/>
  </r>
  <r>
    <x v="1"/>
    <s v="Wells Fargo"/>
    <s v="1Point Rate"/>
    <s v="MTG"/>
    <x v="128"/>
    <n v="4.1312500000000005"/>
  </r>
  <r>
    <x v="1"/>
    <s v="Wells Fargo"/>
    <s v="1Point Rate"/>
    <s v="MTG"/>
    <x v="129"/>
    <n v="4.2270000000000003"/>
  </r>
  <r>
    <x v="1"/>
    <s v="Wells Fargo"/>
    <s v="1Point Rate"/>
    <s v="MTG"/>
    <x v="130"/>
    <n v="4.1630000000000003"/>
  </r>
  <r>
    <x v="1"/>
    <s v="Wells Fargo"/>
    <s v="1Point Rate"/>
    <s v="MTG"/>
    <x v="131"/>
    <n v="4.1312500000000005"/>
  </r>
  <r>
    <x v="1"/>
    <s v="Wells Fargo"/>
    <s v="1Point Rate"/>
    <s v="MTG"/>
    <x v="132"/>
    <n v="4.1630000000000003"/>
  </r>
  <r>
    <x v="1"/>
    <s v="Wells Fargo"/>
    <s v="1Point Rate"/>
    <s v="MTG"/>
    <x v="133"/>
    <n v="4.1312500000000005"/>
  </r>
  <r>
    <x v="1"/>
    <s v="Wells Fargo"/>
    <s v="1Point Rate"/>
    <s v="MTG"/>
    <x v="134"/>
    <n v="4.0993750000000002"/>
  </r>
  <r>
    <x v="1"/>
    <s v="Wells Fargo"/>
    <s v="1Point Rate"/>
    <s v="MTG"/>
    <x v="135"/>
    <n v="4.0676249999999996"/>
  </r>
  <r>
    <x v="1"/>
    <s v="Wells Fargo"/>
    <s v="1Point Rate"/>
    <s v="MTG"/>
    <x v="136"/>
    <n v="4.0763750000000005"/>
  </r>
  <r>
    <x v="1"/>
    <s v="Wells Fargo"/>
    <s v="1Point Rate"/>
    <s v="MTG"/>
    <x v="137"/>
    <n v="4.2357500000000003"/>
  </r>
  <r>
    <x v="1"/>
    <s v="Wells Fargo"/>
    <s v="1Point Rate"/>
    <s v="MTG"/>
    <x v="138"/>
    <n v="4.2676249999999998"/>
  </r>
  <r>
    <x v="1"/>
    <s v="Wells Fargo"/>
    <s v="1Point Rate"/>
    <s v="MTG"/>
    <x v="139"/>
    <n v="4.1717499999999994"/>
  </r>
  <r>
    <x v="1"/>
    <s v="Wells Fargo"/>
    <s v="1Point Rate"/>
    <s v="MTG"/>
    <x v="140"/>
    <n v="4.0123749999999996"/>
  </r>
  <r>
    <x v="1"/>
    <s v="Wells Fargo"/>
    <s v="1Point Rate"/>
    <s v="MTG"/>
    <x v="141"/>
    <n v="4.0441250000000002"/>
  </r>
  <r>
    <x v="1"/>
    <s v="Wells Fargo"/>
    <s v="1Point Rate"/>
    <s v="MTG"/>
    <x v="142"/>
    <n v="4.0441250000000002"/>
  </r>
  <r>
    <x v="1"/>
    <s v="Wells Fargo"/>
    <s v="1Point Rate"/>
    <s v="MTG"/>
    <x v="143"/>
    <n v="4.0123749999999996"/>
  </r>
  <r>
    <x v="1"/>
    <s v="Wells Fargo"/>
    <s v="1Point Rate"/>
    <s v="MTG"/>
    <x v="144"/>
    <n v="4.0123749999999996"/>
  </r>
  <r>
    <x v="1"/>
    <s v="Wells Fargo"/>
    <s v="1Point Rate"/>
    <s v="MTG"/>
    <x v="145"/>
    <n v="4.0763750000000005"/>
  </r>
  <r>
    <x v="1"/>
    <s v="Wells Fargo"/>
    <s v="1Point Rate"/>
    <s v="MTG"/>
    <x v="146"/>
    <n v="4.1901250000000001"/>
  </r>
  <r>
    <x v="1"/>
    <s v="Wells Fargo"/>
    <s v="1Point Rate"/>
    <s v="MTG"/>
    <x v="147"/>
    <n v="4.1583750000000004"/>
  </r>
  <r>
    <x v="1"/>
    <s v="Wells Fargo"/>
    <s v="1Point Rate"/>
    <s v="MTG"/>
    <x v="148"/>
    <n v="4.126125"/>
  </r>
  <r>
    <x v="1"/>
    <s v="Wells Fargo"/>
    <s v="1Point Rate"/>
    <s v="MTG"/>
    <x v="149"/>
    <n v="4.0625"/>
  </r>
  <r>
    <x v="1"/>
    <s v="Wells Fargo"/>
    <s v="1Point Rate"/>
    <s v="MTG"/>
    <x v="150"/>
    <n v="3.9348750000000003"/>
  </r>
  <r>
    <x v="1"/>
    <s v="Wells Fargo"/>
    <s v="1Point Rate"/>
    <s v="MTG"/>
    <x v="151"/>
    <n v="4.0307500000000003"/>
  </r>
  <r>
    <x v="1"/>
    <s v="Wells Fargo"/>
    <s v="1Point Rate"/>
    <s v="MTG"/>
    <x v="152"/>
    <n v="4.0625"/>
  </r>
  <r>
    <x v="1"/>
    <s v="Wells Fargo"/>
    <s v="1Point Rate"/>
    <s v="MTG"/>
    <x v="153"/>
    <n v="4.0625"/>
  </r>
  <r>
    <x v="1"/>
    <s v="Wells Fargo"/>
    <s v="1Point Rate"/>
    <s v="MTG"/>
    <x v="154"/>
    <n v="4.0307500000000003"/>
  </r>
  <r>
    <x v="1"/>
    <s v="Wells Fargo"/>
    <s v="1Point Rate"/>
    <s v="MTG"/>
    <x v="155"/>
    <n v="4.0943750000000003"/>
  </r>
  <r>
    <x v="1"/>
    <s v="Wells Fargo"/>
    <s v="1Point Rate"/>
    <s v="MTG"/>
    <x v="156"/>
    <n v="4.0307500000000003"/>
  </r>
  <r>
    <x v="1"/>
    <s v="Wells Fargo"/>
    <s v="1Point Rate"/>
    <s v="MTG"/>
    <x v="157"/>
    <n v="3.9984999999999999"/>
  </r>
  <r>
    <x v="1"/>
    <s v="Wells Fargo"/>
    <s v="1Point Rate"/>
    <s v="MTG"/>
    <x v="158"/>
    <n v="3.9984999999999999"/>
  </r>
  <r>
    <x v="1"/>
    <s v="Wells Fargo"/>
    <s v="1Point Rate"/>
    <s v="MTG"/>
    <x v="159"/>
    <n v="3.9667500000000002"/>
  </r>
  <r>
    <x v="1"/>
    <s v="Wells Fargo"/>
    <s v="1Point Rate"/>
    <s v="MTG"/>
    <x v="160"/>
    <n v="3.9984999999999999"/>
  </r>
  <r>
    <x v="1"/>
    <s v="Wells Fargo"/>
    <s v="1Point Rate"/>
    <s v="MTG"/>
    <x v="161"/>
    <n v="4.0307500000000003"/>
  </r>
  <r>
    <x v="1"/>
    <s v="Wells Fargo"/>
    <s v="1Point Rate"/>
    <s v="MTG"/>
    <x v="162"/>
    <n v="4.0307500000000003"/>
  </r>
  <r>
    <x v="1"/>
    <s v="Wells Fargo"/>
    <s v="1Point Rate"/>
    <s v="MTG"/>
    <x v="163"/>
    <n v="3.9984999999999999"/>
  </r>
  <r>
    <x v="1"/>
    <s v="Wells Fargo"/>
    <s v="1Point Rate"/>
    <s v="MTG"/>
    <x v="164"/>
    <n v="3.9984999999999999"/>
  </r>
  <r>
    <x v="1"/>
    <s v="Wells Fargo"/>
    <s v="1Point Rate"/>
    <s v="MTG"/>
    <x v="165"/>
    <n v="3.9988749999999995"/>
  </r>
  <r>
    <x v="1"/>
    <s v="Wells Fargo"/>
    <s v="1Point Rate"/>
    <s v="MTG"/>
    <x v="166"/>
    <n v="3.9984999999999999"/>
  </r>
  <r>
    <x v="1"/>
    <s v="Wells Fargo"/>
    <s v="1Point Rate"/>
    <s v="MTG"/>
    <x v="167"/>
    <n v="3.9984999999999999"/>
  </r>
  <r>
    <x v="1"/>
    <s v="Wells Fargo"/>
    <s v="1Point Rate"/>
    <s v="MTG"/>
    <x v="168"/>
    <n v="4.0943750000000003"/>
  </r>
  <r>
    <x v="1"/>
    <s v="Wells Fargo"/>
    <s v="1Point Rate"/>
    <s v="MTG"/>
    <x v="169"/>
    <n v="4.126125"/>
  </r>
  <r>
    <x v="1"/>
    <s v="Wells Fargo"/>
    <s v="1Point Rate"/>
    <s v="MTG"/>
    <x v="170"/>
    <n v="4.0943750000000003"/>
  </r>
  <r>
    <x v="1"/>
    <s v="Wells Fargo"/>
    <s v="1Point Rate"/>
    <s v="MTG"/>
    <x v="171"/>
    <n v="4.0943750000000003"/>
  </r>
  <r>
    <x v="1"/>
    <s v="Wells Fargo"/>
    <s v="1Point Rate"/>
    <s v="MTG"/>
    <x v="172"/>
    <n v="4.126125"/>
  </r>
  <r>
    <x v="1"/>
    <s v="Wells Fargo"/>
    <s v="1Point Rate"/>
    <s v="MTG"/>
    <x v="173"/>
    <n v="4.1583750000000004"/>
  </r>
  <r>
    <x v="1"/>
    <s v="Wells Fargo"/>
    <s v="1Point Rate"/>
    <s v="MTG"/>
    <x v="174"/>
    <n v="4.2537500000000001"/>
  </r>
  <r>
    <x v="1"/>
    <s v="Wells Fargo"/>
    <s v="1Point Rate"/>
    <s v="MTG"/>
    <x v="175"/>
    <n v="4.2537500000000001"/>
  </r>
  <r>
    <x v="1"/>
    <s v="Wells Fargo"/>
    <s v="1Point Rate"/>
    <s v="MTG"/>
    <x v="176"/>
    <n v="4.3496249999999996"/>
  </r>
  <r>
    <x v="1"/>
    <s v="Wells Fargo"/>
    <s v="1Point Rate"/>
    <s v="MTG"/>
    <x v="177"/>
    <n v="4.3496249999999996"/>
  </r>
  <r>
    <x v="1"/>
    <s v="Wells Fargo"/>
    <s v="1Point Rate"/>
    <s v="MTG"/>
    <x v="178"/>
    <n v="4.2537500000000001"/>
  </r>
  <r>
    <x v="1"/>
    <s v="Wells Fargo"/>
    <s v="1Point Rate"/>
    <s v="MTG"/>
    <x v="179"/>
    <n v="4.2220000000000004"/>
  </r>
  <r>
    <x v="1"/>
    <s v="Wells Fargo"/>
    <s v="1Point Rate"/>
    <s v="MTG"/>
    <x v="180"/>
    <n v="4.2537500000000001"/>
  </r>
  <r>
    <x v="1"/>
    <s v="Wells Fargo"/>
    <s v="1Point Rate"/>
    <s v="MTG"/>
    <x v="181"/>
    <n v="4.2537500000000001"/>
  </r>
  <r>
    <x v="1"/>
    <s v="Wells Fargo"/>
    <s v="1Point Rate"/>
    <s v="MTG"/>
    <x v="182"/>
    <n v="4.2220000000000004"/>
  </r>
  <r>
    <x v="1"/>
    <s v="Wells Fargo"/>
    <s v="1Point Rate"/>
    <s v="MTG"/>
    <x v="183"/>
    <n v="4.2537500000000001"/>
  </r>
  <r>
    <x v="1"/>
    <s v="Wells Fargo"/>
    <s v="1Point Rate"/>
    <s v="MTG"/>
    <x v="184"/>
    <n v="4.3177500000000002"/>
  </r>
  <r>
    <x v="1"/>
    <s v="Wells Fargo"/>
    <s v="1Point Rate"/>
    <s v="MTG"/>
    <x v="185"/>
    <n v="4.3177500000000002"/>
  </r>
  <r>
    <x v="1"/>
    <s v="Wells Fargo"/>
    <s v="1Point Rate"/>
    <s v="MTG"/>
    <x v="186"/>
    <n v="4.3177500000000002"/>
  </r>
  <r>
    <x v="1"/>
    <s v="Wells Fargo"/>
    <s v="1Point Rate"/>
    <s v="MTG"/>
    <x v="187"/>
    <n v="4.2537500000000001"/>
  </r>
  <r>
    <x v="1"/>
    <s v="Wells Fargo"/>
    <s v="1Point Rate"/>
    <s v="MTG"/>
    <x v="188"/>
    <n v="4.2220000000000004"/>
  </r>
  <r>
    <x v="1"/>
    <s v="Wells Fargo"/>
    <s v="1Point Rate"/>
    <s v="MTG"/>
    <x v="189"/>
    <n v="4.1583750000000004"/>
  </r>
  <r>
    <x v="1"/>
    <s v="Wells Fargo"/>
    <s v="1Point Rate"/>
    <s v="MTG"/>
    <x v="190"/>
    <n v="4.1901250000000001"/>
  </r>
  <r>
    <x v="1"/>
    <s v="Wells Fargo"/>
    <s v="1Point Rate"/>
    <s v="MTG"/>
    <x v="191"/>
    <n v="4.3813750000000002"/>
  </r>
  <r>
    <x v="1"/>
    <s v="Wells Fargo"/>
    <s v="1Point Rate"/>
    <s v="MTG"/>
    <x v="192"/>
    <n v="4.3177500000000002"/>
  </r>
  <r>
    <x v="1"/>
    <s v="Wells Fargo"/>
    <s v="1Point Rate"/>
    <s v="MTG"/>
    <x v="193"/>
    <n v="4.1901250000000001"/>
  </r>
  <r>
    <x v="1"/>
    <s v="Wells Fargo"/>
    <s v="1Point Rate"/>
    <s v="MTG"/>
    <x v="194"/>
    <n v="4.1583750000000004"/>
  </r>
  <r>
    <x v="1"/>
    <s v="Wells Fargo"/>
    <s v="1Point Rate"/>
    <s v="MTG"/>
    <x v="195"/>
    <n v="4.1901250000000001"/>
  </r>
  <r>
    <x v="1"/>
    <s v="Wells Fargo"/>
    <s v="1Point Rate"/>
    <s v="MTG"/>
    <x v="196"/>
    <n v="4.1901250000000001"/>
  </r>
  <r>
    <x v="1"/>
    <s v="Wells Fargo"/>
    <s v="1Point Rate"/>
    <s v="MTG"/>
    <x v="197"/>
    <n v="4.1901250000000001"/>
  </r>
  <r>
    <x v="1"/>
    <s v="Wells Fargo"/>
    <s v="1Point Rate"/>
    <s v="MTG"/>
    <x v="198"/>
    <n v="4.2220000000000004"/>
  </r>
  <r>
    <x v="1"/>
    <s v="Wells Fargo"/>
    <s v="1Point Rate"/>
    <s v="MTG"/>
    <x v="199"/>
    <n v="4.3496249999999996"/>
  </r>
  <r>
    <x v="1"/>
    <s v="Wells Fargo"/>
    <s v="1Point Rate"/>
    <s v="MTG"/>
    <x v="200"/>
    <n v="4.3496249999999996"/>
  </r>
  <r>
    <x v="1"/>
    <s v="Wells Fargo"/>
    <s v="1Point Rate"/>
    <s v="MTG"/>
    <x v="201"/>
    <n v="4.2537500000000001"/>
  </r>
  <r>
    <x v="1"/>
    <s v="Wells Fargo"/>
    <s v="1Point Rate"/>
    <s v="MTG"/>
    <x v="202"/>
    <n v="4.2220000000000004"/>
  </r>
  <r>
    <x v="1"/>
    <s v="Wells Fargo"/>
    <s v="1Point Rate"/>
    <s v="MTG"/>
    <x v="203"/>
    <n v="4.1901250000000001"/>
  </r>
  <r>
    <x v="1"/>
    <s v="Wells Fargo"/>
    <s v="1Point Rate"/>
    <s v="MTG"/>
    <x v="204"/>
    <n v="4.2220000000000004"/>
  </r>
  <r>
    <x v="1"/>
    <s v="Wells Fargo"/>
    <s v="1Point Rate"/>
    <s v="MTG"/>
    <x v="205"/>
    <n v="4.3496249999999996"/>
  </r>
  <r>
    <x v="1"/>
    <s v="Wells Fargo"/>
    <s v="1Point Rate"/>
    <s v="MTG"/>
    <x v="206"/>
    <n v="4.3177500000000002"/>
  </r>
  <r>
    <x v="1"/>
    <s v="Wells Fargo"/>
    <s v="1Point Rate"/>
    <s v="MTG"/>
    <x v="207"/>
    <n v="4.3496249999999996"/>
  </r>
  <r>
    <x v="1"/>
    <s v="Wells Fargo"/>
    <s v="1Point Rate"/>
    <s v="MTG"/>
    <x v="208"/>
    <n v="4.3177500000000002"/>
  </r>
  <r>
    <x v="1"/>
    <s v="Wells Fargo"/>
    <s v="1Point Rate"/>
    <s v="MTG"/>
    <x v="209"/>
    <n v="4.3177500000000002"/>
  </r>
  <r>
    <x v="1"/>
    <s v="Wells Fargo"/>
    <s v="1Point Rate"/>
    <s v="MTG"/>
    <x v="210"/>
    <n v="4.2220000000000004"/>
  </r>
  <r>
    <x v="1"/>
    <s v="Wells Fargo"/>
    <s v="1Point Rate"/>
    <s v="MTG"/>
    <x v="211"/>
    <n v="4.2220000000000004"/>
  </r>
  <r>
    <x v="1"/>
    <s v="Wells Fargo"/>
    <s v="1Point Rate"/>
    <s v="MTG"/>
    <x v="212"/>
    <n v="4.2537500000000001"/>
  </r>
  <r>
    <x v="1"/>
    <s v="Wells Fargo"/>
    <s v="1Point Rate"/>
    <s v="MTG"/>
    <x v="213"/>
    <n v="4.1901250000000001"/>
  </r>
  <r>
    <x v="1"/>
    <s v="Wells Fargo"/>
    <s v="1Point Rate"/>
    <s v="MTG"/>
    <x v="214"/>
    <n v="4.1583750000000004"/>
  </r>
  <r>
    <x v="1"/>
    <s v="Wells Fargo"/>
    <s v="1Point Rate"/>
    <s v="MTG"/>
    <x v="215"/>
    <n v="4.1901250000000001"/>
  </r>
  <r>
    <x v="1"/>
    <s v="Wells Fargo"/>
    <s v="1Point Rate"/>
    <s v="MTG"/>
    <x v="216"/>
    <n v="4.126125"/>
  </r>
  <r>
    <x v="1"/>
    <s v="Wells Fargo"/>
    <s v="1Point Rate"/>
    <s v="MTG"/>
    <x v="217"/>
    <n v="4.1901250000000001"/>
  </r>
  <r>
    <x v="1"/>
    <s v="Wells Fargo"/>
    <s v="1Point Rate"/>
    <s v="MTG"/>
    <x v="218"/>
    <n v="4.1901250000000001"/>
  </r>
  <r>
    <x v="1"/>
    <s v="Wells Fargo"/>
    <s v="1Point Rate"/>
    <s v="MTG"/>
    <x v="219"/>
    <n v="4.0943750000000003"/>
  </r>
  <r>
    <x v="1"/>
    <s v="Wells Fargo"/>
    <s v="1Point Rate"/>
    <s v="MTG"/>
    <x v="220"/>
    <n v="4.1583750000000004"/>
  </r>
  <r>
    <x v="1"/>
    <s v="Wells Fargo"/>
    <s v="1Point Rate"/>
    <s v="MTG"/>
    <x v="221"/>
    <n v="4.0943750000000003"/>
  </r>
  <r>
    <x v="1"/>
    <s v="Wells Fargo"/>
    <s v="1Point Rate"/>
    <s v="MTG"/>
    <x v="222"/>
    <n v="4.126125"/>
  </r>
  <r>
    <x v="1"/>
    <s v="Wells Fargo"/>
    <s v="1Point Rate"/>
    <s v="MTG"/>
    <x v="223"/>
    <n v="4.1901250000000001"/>
  </r>
  <r>
    <x v="1"/>
    <s v="Wells Fargo"/>
    <s v="1Point Rate"/>
    <s v="MTG"/>
    <x v="224"/>
    <n v="4.1583750000000004"/>
  </r>
  <r>
    <x v="1"/>
    <s v="Wells Fargo"/>
    <s v="1Point Rate"/>
    <s v="MTG"/>
    <x v="225"/>
    <n v="4.126125"/>
  </r>
  <r>
    <x v="1"/>
    <s v="Wells Fargo"/>
    <s v="1Point Rate"/>
    <s v="MTG"/>
    <x v="226"/>
    <n v="4.1583750000000004"/>
  </r>
  <r>
    <x v="1"/>
    <s v="Wells Fargo"/>
    <s v="1Point Rate"/>
    <s v="MTG"/>
    <x v="227"/>
    <n v="4.126125"/>
  </r>
  <r>
    <x v="1"/>
    <s v="Wells Fargo"/>
    <s v="1Point Rate"/>
    <s v="MTG"/>
    <x v="228"/>
    <n v="4.0625"/>
  </r>
  <r>
    <x v="1"/>
    <s v="Wells Fargo"/>
    <s v="1Point Rate"/>
    <s v="MTG"/>
    <x v="229"/>
    <n v="4.0943750000000003"/>
  </r>
  <r>
    <x v="1"/>
    <s v="Wells Fargo"/>
    <s v="1Point Rate"/>
    <s v="MTG"/>
    <x v="230"/>
    <n v="4.0943750000000003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2"/>
    <s v="Wells Fargo"/>
    <s v="1Point Rate"/>
    <s v="MTG"/>
    <x v="6"/>
    <n v="4.123888942161555"/>
  </r>
  <r>
    <x v="2"/>
    <s v="Wells Fargo"/>
    <s v="1Point Rate"/>
    <s v="MTG"/>
    <x v="7"/>
    <n v="4.0195510152855149"/>
  </r>
  <r>
    <x v="2"/>
    <s v="Wells Fargo"/>
    <s v="1Point Rate"/>
    <s v="MTG"/>
    <x v="8"/>
    <n v="4.123888942161555"/>
  </r>
  <r>
    <x v="2"/>
    <s v="Wells Fargo"/>
    <s v="1Point Rate"/>
    <s v="MTG"/>
    <x v="9"/>
    <n v="3.9301000000000004"/>
  </r>
  <r>
    <x v="2"/>
    <s v="Wells Fargo"/>
    <s v="1Point Rate"/>
    <s v="MTG"/>
    <x v="10"/>
    <n v="3.8988500000000004"/>
  </r>
  <r>
    <x v="2"/>
    <s v="Wells Fargo"/>
    <s v="1Point Rate"/>
    <s v="MTG"/>
    <x v="11"/>
    <n v="3.9367503938171491"/>
  </r>
  <r>
    <x v="2"/>
    <s v="Wells Fargo"/>
    <s v="1Point Rate"/>
    <s v="MTG"/>
    <x v="12"/>
    <n v="3.872298391426404"/>
  </r>
  <r>
    <x v="2"/>
    <s v="Wells Fargo"/>
    <s v="1Point Rate"/>
    <s v="MTG"/>
    <x v="13"/>
    <n v="3.9367503938171491"/>
  </r>
  <r>
    <x v="2"/>
    <s v="Wells Fargo"/>
    <s v="1Point Rate"/>
    <s v="MTG"/>
    <x v="14"/>
    <n v="3.872298391426404"/>
  </r>
  <r>
    <x v="2"/>
    <s v="Wells Fargo"/>
    <s v="1Point Rate"/>
    <s v="MTG"/>
    <x v="15"/>
    <n v="3.8107367176633482"/>
  </r>
  <r>
    <x v="2"/>
    <s v="Wells Fargo"/>
    <s v="1Point Rate"/>
    <s v="MTG"/>
    <x v="16"/>
    <n v="3.872298391426404"/>
  </r>
  <r>
    <x v="2"/>
    <s v="Wells Fargo"/>
    <s v="1Point Rate"/>
    <s v="MTG"/>
    <x v="17"/>
    <n v="3.9367503938171491"/>
  </r>
  <r>
    <x v="2"/>
    <s v="Wells Fargo"/>
    <s v="1Point Rate"/>
    <s v="MTG"/>
    <x v="18"/>
    <n v="3.9980925223663326"/>
  </r>
  <r>
    <x v="2"/>
    <s v="Wells Fargo"/>
    <s v="1Point Rate"/>
    <s v="MTG"/>
    <x v="19"/>
    <n v="3.9367503938171491"/>
  </r>
  <r>
    <x v="2"/>
    <s v="Wells Fargo"/>
    <s v="1Point Rate"/>
    <s v="MTG"/>
    <x v="20"/>
    <n v="3.872298391426404"/>
  </r>
  <r>
    <x v="2"/>
    <s v="Wells Fargo"/>
    <s v="1Point Rate"/>
    <s v="MTG"/>
    <x v="21"/>
    <n v="3.7673467858228435"/>
  </r>
  <r>
    <x v="2"/>
    <s v="Wells Fargo"/>
    <s v="1Point Rate"/>
    <s v="MTG"/>
    <x v="22"/>
    <n v="3.7673467858228435"/>
  </r>
  <r>
    <x v="2"/>
    <s v="Wells Fargo"/>
    <s v="1Point Rate"/>
    <s v="MTG"/>
    <x v="23"/>
    <n v="3.7178705124641254"/>
  </r>
  <r>
    <x v="2"/>
    <s v="Wells Fargo"/>
    <s v="1Point Rate"/>
    <s v="MTG"/>
    <x v="24"/>
    <n v="3.8662066882918835"/>
  </r>
  <r>
    <x v="2"/>
    <s v="Wells Fargo"/>
    <s v="1Point Rate"/>
    <s v="MTG"/>
    <x v="25"/>
    <n v="3.8662066882918835"/>
  </r>
  <r>
    <x v="2"/>
    <s v="Wells Fargo"/>
    <s v="1Point Rate"/>
    <s v="MTG"/>
    <x v="26"/>
    <n v="3.804430007719005"/>
  </r>
  <r>
    <x v="2"/>
    <s v="Wells Fargo"/>
    <s v="1Point Rate"/>
    <s v="MTG"/>
    <x v="27"/>
    <n v="3.7609539039308504"/>
  </r>
  <r>
    <x v="2"/>
    <s v="Wells Fargo"/>
    <s v="1Point Rate"/>
    <s v="MTG"/>
    <x v="28"/>
    <n v="3.8662066882918835"/>
  </r>
  <r>
    <x v="2"/>
    <s v="Wells Fargo"/>
    <s v="1Point Rate"/>
    <s v="MTG"/>
    <x v="29"/>
    <n v="3.8662066882918835"/>
  </r>
  <r>
    <x v="2"/>
    <s v="Wells Fargo"/>
    <s v="1Point Rate"/>
    <s v="MTG"/>
    <x v="30"/>
    <n v="3.7113481910264978"/>
  </r>
  <r>
    <x v="2"/>
    <s v="Wells Fargo"/>
    <s v="1Point Rate"/>
    <s v="MTG"/>
    <x v="31"/>
    <n v="3.804430007719005"/>
  </r>
  <r>
    <x v="2"/>
    <s v="Wells Fargo"/>
    <s v="1Point Rate"/>
    <s v="MTG"/>
    <x v="32"/>
    <n v="3.804430007719005"/>
  </r>
  <r>
    <x v="2"/>
    <s v="Wells Fargo"/>
    <s v="1Point Rate"/>
    <s v="MTG"/>
    <x v="33"/>
    <n v="3.8662066882918835"/>
  </r>
  <r>
    <x v="2"/>
    <s v="Wells Fargo"/>
    <s v="1Point Rate"/>
    <s v="MTG"/>
    <x v="34"/>
    <n v="3.804430007719005"/>
  </r>
  <r>
    <x v="2"/>
    <s v="Wells Fargo"/>
    <s v="1Point Rate"/>
    <s v="MTG"/>
    <x v="35"/>
    <n v="3.8662066882918835"/>
  </r>
  <r>
    <x v="2"/>
    <s v="Wells Fargo"/>
    <s v="1Point Rate"/>
    <s v="MTG"/>
    <x v="36"/>
    <n v="3.8375095901912939"/>
  </r>
  <r>
    <x v="2"/>
    <s v="Wells Fargo"/>
    <s v="1Point Rate"/>
    <s v="MTG"/>
    <x v="37"/>
    <n v="3.8869825871584012"/>
  </r>
  <r>
    <x v="2"/>
    <s v="Wells Fargo"/>
    <s v="1Point Rate"/>
    <s v="MTG"/>
    <x v="38"/>
    <n v="3.8375095901912939"/>
  </r>
  <r>
    <x v="2"/>
    <s v="Wells Fargo"/>
    <s v="1Point Rate"/>
    <s v="MTG"/>
    <x v="39"/>
    <n v="3.8375095901912939"/>
  </r>
  <r>
    <x v="2"/>
    <s v="Wells Fargo"/>
    <s v="1Point Rate"/>
    <s v="MTG"/>
    <x v="40"/>
    <n v="3.9303703370483709"/>
  </r>
  <r>
    <x v="2"/>
    <s v="Wells Fargo"/>
    <s v="1Point Rate"/>
    <s v="MTG"/>
    <x v="41"/>
    <n v="4.117698774030444"/>
  </r>
  <r>
    <x v="2"/>
    <s v="Wells Fargo"/>
    <s v="1Point Rate"/>
    <s v="MTG"/>
    <x v="42"/>
    <n v="4.0563620311709938"/>
  </r>
  <r>
    <x v="2"/>
    <s v="Wells Fargo"/>
    <s v="1Point Rate"/>
    <s v="MTG"/>
    <x v="43"/>
    <n v="4.0563620311709938"/>
  </r>
  <r>
    <x v="2"/>
    <s v="Wells Fargo"/>
    <s v="1Point Rate"/>
    <s v="MTG"/>
    <x v="44"/>
    <n v="4.117698774030444"/>
  </r>
  <r>
    <x v="2"/>
    <s v="Wells Fargo"/>
    <s v="1Point Rate"/>
    <s v="MTG"/>
    <x v="45"/>
    <n v="4.0154500000000004"/>
  </r>
  <r>
    <x v="2"/>
    <s v="Wells Fargo"/>
    <s v="1Point Rate"/>
    <s v="MTG"/>
    <x v="46"/>
    <n v="4.0899335699667727"/>
  </r>
  <r>
    <x v="2"/>
    <s v="Wells Fargo"/>
    <s v="1Point Rate"/>
    <s v="MTG"/>
    <x v="47"/>
    <n v="4.1391429031887403"/>
  </r>
  <r>
    <x v="2"/>
    <s v="Wells Fargo"/>
    <s v="1Point Rate"/>
    <s v="MTG"/>
    <x v="48"/>
    <n v="4.117698774030444"/>
  </r>
  <r>
    <x v="2"/>
    <s v="Wells Fargo"/>
    <s v="1Point Rate"/>
    <s v="MTG"/>
    <x v="49"/>
    <n v="4.0899335699667727"/>
  </r>
  <r>
    <x v="2"/>
    <s v="Wells Fargo"/>
    <s v="1Point Rate"/>
    <s v="MTG"/>
    <x v="50"/>
    <n v="4.1823551213488175"/>
  </r>
  <r>
    <x v="2"/>
    <s v="Wells Fargo"/>
    <s v="1Point Rate"/>
    <s v="MTG"/>
    <x v="51"/>
    <n v="4.1823551213488175"/>
  </r>
  <r>
    <x v="2"/>
    <s v="Wells Fargo"/>
    <s v="1Point Rate"/>
    <s v="MTG"/>
    <x v="52"/>
    <n v="4.1823551213488175"/>
  </r>
  <r>
    <x v="2"/>
    <s v="Wells Fargo"/>
    <s v="1Point Rate"/>
    <s v="MTG"/>
    <x v="53"/>
    <n v="4.0154500000000004"/>
  </r>
  <r>
    <x v="2"/>
    <s v="Wells Fargo"/>
    <s v="1Point Rate"/>
    <s v="MTG"/>
    <x v="54"/>
    <n v="4.0154500000000004"/>
  </r>
  <r>
    <x v="2"/>
    <s v="Wells Fargo"/>
    <s v="1Point Rate"/>
    <s v="MTG"/>
    <x v="55"/>
    <n v="4.1391429031887403"/>
  </r>
  <r>
    <x v="2"/>
    <s v="Wells Fargo"/>
    <s v="1Point Rate"/>
    <s v="MTG"/>
    <x v="56"/>
    <n v="4.1078929031887403"/>
  </r>
  <r>
    <x v="2"/>
    <s v="Wells Fargo"/>
    <s v="1Point Rate"/>
    <s v="MTG"/>
    <x v="57"/>
    <n v="4.1078929031887403"/>
  </r>
  <r>
    <x v="2"/>
    <s v="Wells Fargo"/>
    <s v="1Point Rate"/>
    <s v="MTG"/>
    <x v="58"/>
    <n v="3.9529500000000004"/>
  </r>
  <r>
    <x v="2"/>
    <s v="Wells Fargo"/>
    <s v="1Point Rate"/>
    <s v="MTG"/>
    <x v="59"/>
    <n v="3.9842000000000004"/>
  </r>
  <r>
    <x v="2"/>
    <s v="Wells Fargo"/>
    <s v="1Point Rate"/>
    <s v="MTG"/>
    <x v="60"/>
    <n v="3.9529500000000004"/>
  </r>
  <r>
    <x v="2"/>
    <s v="Wells Fargo"/>
    <s v="1Point Rate"/>
    <s v="MTG"/>
    <x v="61"/>
    <n v="4.117698774030444"/>
  </r>
  <r>
    <x v="2"/>
    <s v="Wells Fargo"/>
    <s v="1Point Rate"/>
    <s v="MTG"/>
    <x v="62"/>
    <n v="4.0563620311709938"/>
  </r>
  <r>
    <x v="2"/>
    <s v="Wells Fargo"/>
    <s v="1Point Rate"/>
    <s v="MTG"/>
    <x v="63"/>
    <n v="4.114354497342033"/>
  </r>
  <r>
    <x v="2"/>
    <s v="Wells Fargo"/>
    <s v="1Point Rate"/>
    <s v="MTG"/>
    <x v="64"/>
    <n v="4.114354497342033"/>
  </r>
  <r>
    <x v="2"/>
    <s v="Wells Fargo"/>
    <s v="1Point Rate"/>
    <s v="MTG"/>
    <x v="65"/>
    <n v="4.2717089165741537"/>
  </r>
  <r>
    <x v="2"/>
    <s v="Wells Fargo"/>
    <s v="1Point Rate"/>
    <s v="MTG"/>
    <x v="66"/>
    <n v="4.2404589165741537"/>
  </r>
  <r>
    <x v="2"/>
    <s v="Wells Fargo"/>
    <s v="1Point Rate"/>
    <s v="MTG"/>
    <x v="67"/>
    <n v="4.3147493145490214"/>
  </r>
  <r>
    <x v="2"/>
    <s v="Wells Fargo"/>
    <s v="1Point Rate"/>
    <s v="MTG"/>
    <x v="68"/>
    <n v="4.2717089165741537"/>
  </r>
  <r>
    <x v="2"/>
    <s v="Wells Fargo"/>
    <s v="1Point Rate"/>
    <s v="MTG"/>
    <x v="69"/>
    <n v="4.2717089165741537"/>
  </r>
  <r>
    <x v="2"/>
    <s v="Wells Fargo"/>
    <s v="1Point Rate"/>
    <s v="MTG"/>
    <x v="70"/>
    <n v="4.5041620075276256"/>
  </r>
  <r>
    <x v="2"/>
    <s v="Wells Fargo"/>
    <s v="1Point Rate"/>
    <s v="MTG"/>
    <x v="71"/>
    <n v="4.2717089165741537"/>
  </r>
  <r>
    <x v="2"/>
    <s v="Wells Fargo"/>
    <s v="1Point Rate"/>
    <s v="MTG"/>
    <x v="72"/>
    <n v="4.2404589165741537"/>
  </r>
  <r>
    <x v="2"/>
    <s v="Wells Fargo"/>
    <s v="1Point Rate"/>
    <s v="MTG"/>
    <x v="73"/>
    <n v="4.2033105887459152"/>
  </r>
  <r>
    <x v="2"/>
    <s v="Wells Fargo"/>
    <s v="1Point Rate"/>
    <s v="MTG"/>
    <x v="74"/>
    <n v="4.2033105887459152"/>
  </r>
  <r>
    <x v="2"/>
    <s v="Wells Fargo"/>
    <s v="1Point Rate"/>
    <s v="MTG"/>
    <x v="75"/>
    <n v="4.2033105887459152"/>
  </r>
  <r>
    <x v="2"/>
    <s v="Wells Fargo"/>
    <s v="1Point Rate"/>
    <s v="MTG"/>
    <x v="76"/>
    <n v="4.2496377008409834"/>
  </r>
  <r>
    <x v="2"/>
    <s v="Wells Fargo"/>
    <s v="1Point Rate"/>
    <s v="MTG"/>
    <x v="77"/>
    <n v="4.114354497342033"/>
  </r>
  <r>
    <x v="2"/>
    <s v="Wells Fargo"/>
    <s v="1Point Rate"/>
    <s v="MTG"/>
    <x v="78"/>
    <n v="4.1887316643249344"/>
  </r>
  <r>
    <x v="2"/>
    <s v="Wells Fargo"/>
    <s v="1Point Rate"/>
    <s v="MTG"/>
    <x v="79"/>
    <n v="4.2717089165741537"/>
  </r>
  <r>
    <x v="2"/>
    <s v="Wells Fargo"/>
    <s v="1Point Rate"/>
    <s v="MTG"/>
    <x v="80"/>
    <n v="4.2717089165741537"/>
  </r>
  <r>
    <x v="2"/>
    <s v="Wells Fargo"/>
    <s v="1Point Rate"/>
    <s v="MTG"/>
    <x v="81"/>
    <n v="4.375438847121214"/>
  </r>
  <r>
    <x v="2"/>
    <s v="Wells Fargo"/>
    <s v="1Point Rate"/>
    <s v="MTG"/>
    <x v="82"/>
    <n v="4.3773"/>
  </r>
  <r>
    <x v="2"/>
    <s v="Wells Fargo"/>
    <s v="1Point Rate"/>
    <s v="MTG"/>
    <x v="83"/>
    <n v="4.5041620075276256"/>
  </r>
  <r>
    <x v="2"/>
    <s v="Wells Fargo"/>
    <s v="1Point Rate"/>
    <s v="MTG"/>
    <x v="84"/>
    <n v="4.2717089165741537"/>
  </r>
  <r>
    <x v="2"/>
    <s v="Wells Fargo"/>
    <s v="1Point Rate"/>
    <s v="MTG"/>
    <x v="85"/>
    <n v="4.3773"/>
  </r>
  <r>
    <x v="2"/>
    <s v="Wells Fargo"/>
    <s v="1Point Rate"/>
    <s v="MTG"/>
    <x v="86"/>
    <n v="4.375438847121214"/>
  </r>
  <r>
    <x v="2"/>
    <s v="Wells Fargo"/>
    <s v="1Point Rate"/>
    <s v="MTG"/>
    <x v="87"/>
    <n v="4.2033105887459152"/>
  </r>
  <r>
    <x v="2"/>
    <s v="Wells Fargo"/>
    <s v="1Point Rate"/>
    <s v="MTG"/>
    <x v="88"/>
    <n v="4.1887316643249344"/>
  </r>
  <r>
    <x v="2"/>
    <s v="Wells Fargo"/>
    <s v="1Point Rate"/>
    <s v="MTG"/>
    <x v="89"/>
    <n v="4.2496377008409834"/>
  </r>
  <r>
    <x v="2"/>
    <s v="Wells Fargo"/>
    <s v="1Point Rate"/>
    <s v="MTG"/>
    <x v="90"/>
    <n v="4.2496377008409834"/>
  </r>
  <r>
    <x v="2"/>
    <s v="Wells Fargo"/>
    <s v="1Point Rate"/>
    <s v="MTG"/>
    <x v="91"/>
    <n v="4.4407683440906052"/>
  </r>
  <r>
    <x v="2"/>
    <s v="Wells Fargo"/>
    <s v="1Point Rate"/>
    <s v="MTG"/>
    <x v="92"/>
    <n v="4.5041620075276256"/>
  </r>
  <r>
    <x v="2"/>
    <s v="Wells Fargo"/>
    <s v="1Point Rate"/>
    <s v="MTG"/>
    <x v="93"/>
    <n v="4.3147493145490214"/>
  </r>
  <r>
    <x v="2"/>
    <s v="Wells Fargo"/>
    <s v="1Point Rate"/>
    <s v="MTG"/>
    <x v="94"/>
    <n v="4.2717089165741537"/>
  </r>
  <r>
    <x v="2"/>
    <s v="Wells Fargo"/>
    <s v="1Point Rate"/>
    <s v="MTG"/>
    <x v="95"/>
    <n v="4.3147493145490214"/>
  </r>
  <r>
    <x v="2"/>
    <s v="Wells Fargo"/>
    <s v="1Point Rate"/>
    <s v="MTG"/>
    <x v="96"/>
    <n v="4.2717089165741537"/>
  </r>
  <r>
    <x v="2"/>
    <s v="Wells Fargo"/>
    <s v="1Point Rate"/>
    <s v="MTG"/>
    <x v="97"/>
    <n v="4.2717089165741537"/>
  </r>
  <r>
    <x v="2"/>
    <s v="Wells Fargo"/>
    <s v="1Point Rate"/>
    <s v="MTG"/>
    <x v="98"/>
    <n v="4.2033105887459152"/>
  </r>
  <r>
    <x v="2"/>
    <s v="Wells Fargo"/>
    <s v="1Point Rate"/>
    <s v="MTG"/>
    <x v="99"/>
    <n v="4.2496377008409834"/>
  </r>
  <r>
    <x v="2"/>
    <s v="Wells Fargo"/>
    <s v="1Point Rate"/>
    <s v="MTG"/>
    <x v="100"/>
    <n v="4.2404589165741537"/>
  </r>
  <r>
    <x v="2"/>
    <s v="Wells Fargo"/>
    <s v="1Point Rate"/>
    <s v="MTG"/>
    <x v="101"/>
    <n v="4.1887316643249344"/>
  </r>
  <r>
    <x v="2"/>
    <s v="Wells Fargo"/>
    <s v="1Point Rate"/>
    <s v="MTG"/>
    <x v="102"/>
    <n v="4.145604497342033"/>
  </r>
  <r>
    <x v="2"/>
    <s v="Wells Fargo"/>
    <s v="1Point Rate"/>
    <s v="MTG"/>
    <x v="103"/>
    <n v="4.1887316643249344"/>
  </r>
  <r>
    <x v="2"/>
    <s v="Wells Fargo"/>
    <s v="1Point Rate"/>
    <s v="MTG"/>
    <x v="104"/>
    <n v="4.1887316643249344"/>
  </r>
  <r>
    <x v="2"/>
    <s v="Wells Fargo"/>
    <s v="1Point Rate"/>
    <s v="MTG"/>
    <x v="105"/>
    <n v="4.2496377008409834"/>
  </r>
  <r>
    <x v="2"/>
    <s v="Wells Fargo"/>
    <s v="1Point Rate"/>
    <s v="MTG"/>
    <x v="106"/>
    <n v="4.0771627490827687"/>
  </r>
  <r>
    <x v="2"/>
    <s v="Wells Fargo"/>
    <s v="1Point Rate"/>
    <s v="MTG"/>
    <x v="107"/>
    <n v="4.0771627490827687"/>
  </r>
  <r>
    <x v="2"/>
    <s v="Wells Fargo"/>
    <s v="1Point Rate"/>
    <s v="MTG"/>
    <x v="108"/>
    <n v="4.145604497342033"/>
  </r>
  <r>
    <x v="2"/>
    <s v="Wells Fargo"/>
    <s v="1Point Rate"/>
    <s v="MTG"/>
    <x v="109"/>
    <n v="4.1887316643249344"/>
  </r>
  <r>
    <x v="2"/>
    <s v="Wells Fargo"/>
    <s v="1Point Rate"/>
    <s v="MTG"/>
    <x v="110"/>
    <n v="4.1887316643249344"/>
  </r>
  <r>
    <x v="2"/>
    <s v="Wells Fargo"/>
    <s v="1Point Rate"/>
    <s v="MTG"/>
    <x v="111"/>
    <n v="4.114354497342033"/>
  </r>
  <r>
    <x v="2"/>
    <s v="Wells Fargo"/>
    <s v="1Point Rate"/>
    <s v="MTG"/>
    <x v="112"/>
    <n v="4.145604497342033"/>
  </r>
  <r>
    <x v="2"/>
    <s v="Wells Fargo"/>
    <s v="1Point Rate"/>
    <s v="MTG"/>
    <x v="113"/>
    <n v="4.0251000000000001"/>
  </r>
  <r>
    <x v="2"/>
    <s v="Wells Fargo"/>
    <s v="1Point Rate"/>
    <s v="MTG"/>
    <x v="114"/>
    <n v="4.0627653666023935"/>
  </r>
  <r>
    <x v="2"/>
    <s v="Wells Fargo"/>
    <s v="1Point Rate"/>
    <s v="MTG"/>
    <x v="115"/>
    <n v="4.0251000000000001"/>
  </r>
  <r>
    <x v="2"/>
    <s v="Wells Fargo"/>
    <s v="1Point Rate"/>
    <s v="MTG"/>
    <x v="116"/>
    <n v="4.114354497342033"/>
  </r>
  <r>
    <x v="2"/>
    <s v="Wells Fargo"/>
    <s v="1Point Rate"/>
    <s v="MTG"/>
    <x v="117"/>
    <n v="4.0771627490827687"/>
  </r>
  <r>
    <x v="2"/>
    <s v="Wells Fargo"/>
    <s v="1Point Rate"/>
    <s v="MTG"/>
    <x v="118"/>
    <n v="4.145604497342033"/>
  </r>
  <r>
    <x v="2"/>
    <s v="Wells Fargo"/>
    <s v="1Point Rate"/>
    <s v="MTG"/>
    <x v="119"/>
    <n v="4.0251000000000001"/>
  </r>
  <r>
    <x v="2"/>
    <s v="Wells Fargo"/>
    <s v="1Point Rate"/>
    <s v="MTG"/>
    <x v="120"/>
    <n v="4.123888942161555"/>
  </r>
  <r>
    <x v="2"/>
    <s v="Wells Fargo"/>
    <s v="1Point Rate"/>
    <s v="MTG"/>
    <x v="121"/>
    <n v="4.0627653666023935"/>
  </r>
  <r>
    <x v="2"/>
    <s v="Wells Fargo"/>
    <s v="1Point Rate"/>
    <s v="MTG"/>
    <x v="122"/>
    <n v="3.9480721497042097"/>
  </r>
  <r>
    <x v="2"/>
    <s v="Wells Fargo"/>
    <s v="1Point Rate"/>
    <s v="MTG"/>
    <x v="123"/>
    <n v="4.0251000000000001"/>
  </r>
  <r>
    <x v="2"/>
    <s v="Wells Fargo"/>
    <s v="1Point Rate"/>
    <s v="MTG"/>
    <x v="124"/>
    <n v="4.0251000000000001"/>
  </r>
  <r>
    <x v="2"/>
    <s v="Wells Fargo"/>
    <s v="1Point Rate"/>
    <s v="MTG"/>
    <x v="125"/>
    <n v="4.0771627490827687"/>
  </r>
  <r>
    <x v="2"/>
    <s v="Wells Fargo"/>
    <s v="1Point Rate"/>
    <s v="MTG"/>
    <x v="126"/>
    <n v="4.123888942161555"/>
  </r>
  <r>
    <x v="2"/>
    <s v="Wells Fargo"/>
    <s v="1Point Rate"/>
    <s v="MTG"/>
    <x v="127"/>
    <n v="4.123888942161555"/>
  </r>
  <r>
    <x v="2"/>
    <s v="Wells Fargo"/>
    <s v="1Point Rate"/>
    <s v="MTG"/>
    <x v="128"/>
    <n v="4.123888942161555"/>
  </r>
  <r>
    <x v="2"/>
    <s v="Wells Fargo"/>
    <s v="1Point Rate"/>
    <s v="MTG"/>
    <x v="129"/>
    <n v="4.0771627490827687"/>
  </r>
  <r>
    <x v="2"/>
    <s v="Wells Fargo"/>
    <s v="1Point Rate"/>
    <s v="MTG"/>
    <x v="130"/>
    <n v="4.123888942161555"/>
  </r>
  <r>
    <x v="2"/>
    <s v="Wells Fargo"/>
    <s v="1Point Rate"/>
    <s v="MTG"/>
    <x v="131"/>
    <n v="4.123888942161555"/>
  </r>
  <r>
    <x v="2"/>
    <s v="Wells Fargo"/>
    <s v="1Point Rate"/>
    <s v="MTG"/>
    <x v="132"/>
    <n v="4.0771627490827687"/>
  </r>
  <r>
    <x v="2"/>
    <s v="Wells Fargo"/>
    <s v="1Point Rate"/>
    <s v="MTG"/>
    <x v="133"/>
    <n v="4.123888942161555"/>
  </r>
  <r>
    <x v="2"/>
    <s v="Wells Fargo"/>
    <s v="1Point Rate"/>
    <s v="MTG"/>
    <x v="134"/>
    <n v="4.0627653666023935"/>
  </r>
  <r>
    <x v="2"/>
    <s v="Wells Fargo"/>
    <s v="1Point Rate"/>
    <s v="MTG"/>
    <x v="135"/>
    <n v="4.0195510152855149"/>
  </r>
  <r>
    <x v="2"/>
    <s v="Wells Fargo"/>
    <s v="1Point Rate"/>
    <s v="MTG"/>
    <x v="136"/>
    <n v="4.0627653666023935"/>
  </r>
  <r>
    <x v="2"/>
    <s v="Wells Fargo"/>
    <s v="1Point Rate"/>
    <s v="MTG"/>
    <x v="137"/>
    <n v="4.0771627490827687"/>
  </r>
  <r>
    <x v="2"/>
    <s v="Wells Fargo"/>
    <s v="1Point Rate"/>
    <s v="MTG"/>
    <x v="138"/>
    <n v="4.114354497342033"/>
  </r>
  <r>
    <x v="2"/>
    <s v="Wells Fargo"/>
    <s v="1Point Rate"/>
    <s v="MTG"/>
    <x v="139"/>
    <n v="4.0771627490827687"/>
  </r>
  <r>
    <x v="2"/>
    <s v="Wells Fargo"/>
    <s v="1Point Rate"/>
    <s v="MTG"/>
    <x v="140"/>
    <n v="3.9480721497042097"/>
  </r>
  <r>
    <x v="2"/>
    <s v="Wells Fargo"/>
    <s v="1Point Rate"/>
    <s v="MTG"/>
    <x v="141"/>
    <n v="3.9883010152855149"/>
  </r>
  <r>
    <x v="2"/>
    <s v="Wells Fargo"/>
    <s v="1Point Rate"/>
    <s v="MTG"/>
    <x v="142"/>
    <n v="3.9883010152855149"/>
  </r>
  <r>
    <x v="2"/>
    <s v="Wells Fargo"/>
    <s v="1Point Rate"/>
    <s v="MTG"/>
    <x v="143"/>
    <n v="3.9883010152855149"/>
  </r>
  <r>
    <x v="2"/>
    <s v="Wells Fargo"/>
    <s v="1Point Rate"/>
    <s v="MTG"/>
    <x v="144"/>
    <n v="3.9480721497042097"/>
  </r>
  <r>
    <x v="2"/>
    <s v="Wells Fargo"/>
    <s v="1Point Rate"/>
    <s v="MTG"/>
    <x v="145"/>
    <n v="4.0627653666023935"/>
  </r>
  <r>
    <x v="2"/>
    <s v="Wells Fargo"/>
    <s v="1Point Rate"/>
    <s v="MTG"/>
    <x v="146"/>
    <n v="4.1096088113743745"/>
  </r>
  <r>
    <x v="2"/>
    <s v="Wells Fargo"/>
    <s v="1Point Rate"/>
    <s v="MTG"/>
    <x v="147"/>
    <n v="4.0261842576350091"/>
  </r>
  <r>
    <x v="2"/>
    <s v="Wells Fargo"/>
    <s v="1Point Rate"/>
    <s v="MTG"/>
    <x v="148"/>
    <n v="3.9859585938118238"/>
  </r>
  <r>
    <x v="2"/>
    <s v="Wells Fargo"/>
    <s v="1Point Rate"/>
    <s v="MTG"/>
    <x v="149"/>
    <n v="4.0450184023842457"/>
  </r>
  <r>
    <x v="2"/>
    <s v="Wells Fargo"/>
    <s v="1Point Rate"/>
    <s v="MTG"/>
    <x v="150"/>
    <n v="3.8577993637589048"/>
  </r>
  <r>
    <x v="2"/>
    <s v="Wells Fargo"/>
    <s v="1Point Rate"/>
    <s v="MTG"/>
    <x v="151"/>
    <n v="4.0450184023842457"/>
  </r>
  <r>
    <x v="2"/>
    <s v="Wells Fargo"/>
    <s v="1Point Rate"/>
    <s v="MTG"/>
    <x v="152"/>
    <n v="3.8995000000000002"/>
  </r>
  <r>
    <x v="2"/>
    <s v="Wells Fargo"/>
    <s v="1Point Rate"/>
    <s v="MTG"/>
    <x v="153"/>
    <n v="3.8995000000000002"/>
  </r>
  <r>
    <x v="2"/>
    <s v="Wells Fargo"/>
    <s v="1Point Rate"/>
    <s v="MTG"/>
    <x v="154"/>
    <n v="4.0450184023842457"/>
  </r>
  <r>
    <x v="2"/>
    <s v="Wells Fargo"/>
    <s v="1Point Rate"/>
    <s v="MTG"/>
    <x v="155"/>
    <n v="3.9859585938118238"/>
  </r>
  <r>
    <x v="2"/>
    <s v="Wells Fargo"/>
    <s v="1Point Rate"/>
    <s v="MTG"/>
    <x v="156"/>
    <n v="3.9307500000000002"/>
  </r>
  <r>
    <x v="2"/>
    <s v="Wells Fargo"/>
    <s v="1Point Rate"/>
    <s v="MTG"/>
    <x v="157"/>
    <n v="4.0450184023842457"/>
  </r>
  <r>
    <x v="2"/>
    <s v="Wells Fargo"/>
    <s v="1Point Rate"/>
    <s v="MTG"/>
    <x v="158"/>
    <n v="3.9837031909148659"/>
  </r>
  <r>
    <x v="2"/>
    <s v="Wells Fargo"/>
    <s v="1Point Rate"/>
    <s v="MTG"/>
    <x v="159"/>
    <n v="4.0450184023842457"/>
  </r>
  <r>
    <x v="2"/>
    <s v="Wells Fargo"/>
    <s v="1Point Rate"/>
    <s v="MTG"/>
    <x v="160"/>
    <n v="4.0450184023842457"/>
  </r>
  <r>
    <x v="2"/>
    <s v="Wells Fargo"/>
    <s v="1Point Rate"/>
    <s v="MTG"/>
    <x v="161"/>
    <n v="3.8995000000000002"/>
  </r>
  <r>
    <x v="2"/>
    <s v="Wells Fargo"/>
    <s v="1Point Rate"/>
    <s v="MTG"/>
    <x v="162"/>
    <n v="4.0450184023842457"/>
  </r>
  <r>
    <x v="2"/>
    <s v="Wells Fargo"/>
    <s v="1Point Rate"/>
    <s v="MTG"/>
    <x v="163"/>
    <n v="4.0450184023842457"/>
  </r>
  <r>
    <x v="2"/>
    <s v="Wells Fargo"/>
    <s v="1Point Rate"/>
    <s v="MTG"/>
    <x v="164"/>
    <n v="4.0450184023842457"/>
  </r>
  <r>
    <x v="2"/>
    <s v="Wells Fargo"/>
    <s v="1Point Rate"/>
    <s v="MTG"/>
    <x v="165"/>
    <n v="3.8995000000000002"/>
  </r>
  <r>
    <x v="2"/>
    <s v="Wells Fargo"/>
    <s v="1Point Rate"/>
    <s v="MTG"/>
    <x v="166"/>
    <n v="4.0450184023842457"/>
  </r>
  <r>
    <x v="2"/>
    <s v="Wells Fargo"/>
    <s v="1Point Rate"/>
    <s v="MTG"/>
    <x v="167"/>
    <n v="4.0450184023842457"/>
  </r>
  <r>
    <x v="2"/>
    <s v="Wells Fargo"/>
    <s v="1Point Rate"/>
    <s v="MTG"/>
    <x v="168"/>
    <n v="4.0574342576350091"/>
  </r>
  <r>
    <x v="2"/>
    <s v="Wells Fargo"/>
    <s v="1Point Rate"/>
    <s v="MTG"/>
    <x v="169"/>
    <n v="4.1096088113743745"/>
  </r>
  <r>
    <x v="2"/>
    <s v="Wells Fargo"/>
    <s v="1Point Rate"/>
    <s v="MTG"/>
    <x v="170"/>
    <n v="4.0574342576350091"/>
  </r>
  <r>
    <x v="2"/>
    <s v="Wells Fargo"/>
    <s v="1Point Rate"/>
    <s v="MTG"/>
    <x v="171"/>
    <n v="4.1096088113743745"/>
  </r>
  <r>
    <x v="2"/>
    <s v="Wells Fargo"/>
    <s v="1Point Rate"/>
    <s v="MTG"/>
    <x v="172"/>
    <n v="4.1736875443783283"/>
  </r>
  <r>
    <x v="2"/>
    <s v="Wells Fargo"/>
    <s v="1Point Rate"/>
    <s v="MTG"/>
    <x v="173"/>
    <n v="4.1150044973420323"/>
  </r>
  <r>
    <x v="2"/>
    <s v="Wells Fargo"/>
    <s v="1Point Rate"/>
    <s v="MTG"/>
    <x v="174"/>
    <n v="4.2993060683645599"/>
  </r>
  <r>
    <x v="2"/>
    <s v="Wells Fargo"/>
    <s v="1Point Rate"/>
    <s v="MTG"/>
    <x v="175"/>
    <n v="4.2993060683645599"/>
  </r>
  <r>
    <x v="2"/>
    <s v="Wells Fargo"/>
    <s v="1Point Rate"/>
    <s v="MTG"/>
    <x v="176"/>
    <n v="4.2782551582169841"/>
  </r>
  <r>
    <x v="2"/>
    <s v="Wells Fargo"/>
    <s v="1Point Rate"/>
    <s v="MTG"/>
    <x v="177"/>
    <n v="4.2993060683645599"/>
  </r>
  <r>
    <x v="2"/>
    <s v="Wells Fargo"/>
    <s v="1Point Rate"/>
    <s v="MTG"/>
    <x v="178"/>
    <n v="4.235466264314165"/>
  </r>
  <r>
    <x v="2"/>
    <s v="Wells Fargo"/>
    <s v="1Point Rate"/>
    <s v="MTG"/>
    <x v="179"/>
    <n v="4.1834441354607952"/>
  </r>
  <r>
    <x v="2"/>
    <s v="Wells Fargo"/>
    <s v="1Point Rate"/>
    <s v="MTG"/>
    <x v="180"/>
    <n v="4.235466264314165"/>
  </r>
  <r>
    <x v="2"/>
    <s v="Wells Fargo"/>
    <s v="1Point Rate"/>
    <s v="MTG"/>
    <x v="181"/>
    <n v="4.1834441354607952"/>
  </r>
  <r>
    <x v="2"/>
    <s v="Wells Fargo"/>
    <s v="1Point Rate"/>
    <s v="MTG"/>
    <x v="182"/>
    <n v="4.1521941354607952"/>
  </r>
  <r>
    <x v="2"/>
    <s v="Wells Fargo"/>
    <s v="1Point Rate"/>
    <s v="MTG"/>
    <x v="183"/>
    <n v="4.1521941354607952"/>
  </r>
  <r>
    <x v="2"/>
    <s v="Wells Fargo"/>
    <s v="1Point Rate"/>
    <s v="MTG"/>
    <x v="184"/>
    <n v="4.1946941354607956"/>
  </r>
  <r>
    <x v="2"/>
    <s v="Wells Fargo"/>
    <s v="1Point Rate"/>
    <s v="MTG"/>
    <x v="185"/>
    <n v="4.1634441354607956"/>
  </r>
  <r>
    <x v="2"/>
    <s v="Wells Fargo"/>
    <s v="1Point Rate"/>
    <s v="MTG"/>
    <x v="186"/>
    <n v="4.1634441354607956"/>
  </r>
  <r>
    <x v="2"/>
    <s v="Wells Fargo"/>
    <s v="1Point Rate"/>
    <s v="MTG"/>
    <x v="187"/>
    <n v="4.1634441354607956"/>
  </r>
  <r>
    <x v="2"/>
    <s v="Wells Fargo"/>
    <s v="1Point Rate"/>
    <s v="MTG"/>
    <x v="188"/>
    <n v="4.1634441354607956"/>
  </r>
  <r>
    <x v="2"/>
    <s v="Wells Fargo"/>
    <s v="1Point Rate"/>
    <s v="MTG"/>
    <x v="189"/>
    <n v="4.1208588113743749"/>
  </r>
  <r>
    <x v="2"/>
    <s v="Wells Fargo"/>
    <s v="1Point Rate"/>
    <s v="MTG"/>
    <x v="190"/>
    <n v="4.1849375443783279"/>
  </r>
  <r>
    <x v="2"/>
    <s v="Wells Fargo"/>
    <s v="1Point Rate"/>
    <s v="MTG"/>
    <x v="191"/>
    <n v="4.3105560683645603"/>
  </r>
  <r>
    <x v="2"/>
    <s v="Wells Fargo"/>
    <s v="1Point Rate"/>
    <s v="MTG"/>
    <x v="192"/>
    <n v="4.2467162643141645"/>
  </r>
  <r>
    <x v="2"/>
    <s v="Wells Fargo"/>
    <s v="1Point Rate"/>
    <s v="MTG"/>
    <x v="193"/>
    <n v="4.1321941354607956"/>
  </r>
  <r>
    <x v="2"/>
    <s v="Wells Fargo"/>
    <s v="1Point Rate"/>
    <s v="MTG"/>
    <x v="194"/>
    <n v="4.1321941354607956"/>
  </r>
  <r>
    <x v="2"/>
    <s v="Wells Fargo"/>
    <s v="1Point Rate"/>
    <s v="MTG"/>
    <x v="195"/>
    <n v="4.1321941354607956"/>
  </r>
  <r>
    <x v="2"/>
    <s v="Wells Fargo"/>
    <s v="1Point Rate"/>
    <s v="MTG"/>
    <x v="196"/>
    <n v="4.1634441354607956"/>
  </r>
  <r>
    <x v="2"/>
    <s v="Wells Fargo"/>
    <s v="1Point Rate"/>
    <s v="MTG"/>
    <x v="197"/>
    <n v="4.1634441354607956"/>
  </r>
  <r>
    <x v="2"/>
    <s v="Wells Fargo"/>
    <s v="1Point Rate"/>
    <s v="MTG"/>
    <x v="198"/>
    <n v="4.1321941354607956"/>
  </r>
  <r>
    <x v="2"/>
    <s v="Wells Fargo"/>
    <s v="1Point Rate"/>
    <s v="MTG"/>
    <x v="199"/>
    <n v="4.3105560683645603"/>
  </r>
  <r>
    <x v="2"/>
    <s v="Wells Fargo"/>
    <s v="1Point Rate"/>
    <s v="MTG"/>
    <x v="200"/>
    <n v="4.3105560683645603"/>
  </r>
  <r>
    <x v="2"/>
    <s v="Wells Fargo"/>
    <s v="1Point Rate"/>
    <s v="MTG"/>
    <x v="201"/>
    <n v="4.2467162643141645"/>
  </r>
  <r>
    <x v="2"/>
    <s v="Wells Fargo"/>
    <s v="1Point Rate"/>
    <s v="MTG"/>
    <x v="202"/>
    <n v="4.1634441354607956"/>
  </r>
  <r>
    <x v="2"/>
    <s v="Wells Fargo"/>
    <s v="1Point Rate"/>
    <s v="MTG"/>
    <x v="203"/>
    <n v="4.1634441354607956"/>
  </r>
  <r>
    <x v="2"/>
    <s v="Wells Fargo"/>
    <s v="1Point Rate"/>
    <s v="MTG"/>
    <x v="204"/>
    <n v="4.1946941354607956"/>
  </r>
  <r>
    <x v="2"/>
    <s v="Wells Fargo"/>
    <s v="1Point Rate"/>
    <s v="MTG"/>
    <x v="205"/>
    <n v="4.2582551582169845"/>
  </r>
  <r>
    <x v="2"/>
    <s v="Wells Fargo"/>
    <s v="1Point Rate"/>
    <s v="MTG"/>
    <x v="206"/>
    <n v="4.3105560683645603"/>
  </r>
  <r>
    <x v="2"/>
    <s v="Wells Fargo"/>
    <s v="1Point Rate"/>
    <s v="MTG"/>
    <x v="207"/>
    <n v="4.3105560683645603"/>
  </r>
  <r>
    <x v="2"/>
    <s v="Wells Fargo"/>
    <s v="1Point Rate"/>
    <s v="MTG"/>
    <x v="208"/>
    <n v="4.3105560683645603"/>
  </r>
  <r>
    <x v="2"/>
    <s v="Wells Fargo"/>
    <s v="1Point Rate"/>
    <s v="MTG"/>
    <x v="209"/>
    <n v="4.2467162643141645"/>
  </r>
  <r>
    <x v="2"/>
    <s v="Wells Fargo"/>
    <s v="1Point Rate"/>
    <s v="MTG"/>
    <x v="210"/>
    <n v="4.1634441354607956"/>
  </r>
  <r>
    <x v="2"/>
    <s v="Wells Fargo"/>
    <s v="1Point Rate"/>
    <s v="MTG"/>
    <x v="211"/>
    <n v="4.1946941354607956"/>
  </r>
  <r>
    <x v="2"/>
    <s v="Wells Fargo"/>
    <s v="1Point Rate"/>
    <s v="MTG"/>
    <x v="212"/>
    <n v="4.1634441354607956"/>
  </r>
  <r>
    <x v="2"/>
    <s v="Wells Fargo"/>
    <s v="1Point Rate"/>
    <s v="MTG"/>
    <x v="213"/>
    <n v="4.0741991407434552"/>
  </r>
  <r>
    <x v="2"/>
    <s v="Wells Fargo"/>
    <s v="1Point Rate"/>
    <s v="MTG"/>
    <x v="214"/>
    <n v="4.0741991407434552"/>
  </r>
  <r>
    <x v="2"/>
    <s v="Wells Fargo"/>
    <s v="1Point Rate"/>
    <s v="MTG"/>
    <x v="215"/>
    <n v="4.0741991407434552"/>
  </r>
  <r>
    <x v="2"/>
    <s v="Wells Fargo"/>
    <s v="1Point Rate"/>
    <s v="MTG"/>
    <x v="216"/>
    <n v="4.1208588113743749"/>
  </r>
  <r>
    <x v="2"/>
    <s v="Wells Fargo"/>
    <s v="1Point Rate"/>
    <s v="MTG"/>
    <x v="217"/>
    <n v="4.1849375443783279"/>
  </r>
  <r>
    <x v="2"/>
    <s v="Wells Fargo"/>
    <s v="1Point Rate"/>
    <s v="MTG"/>
    <x v="218"/>
    <n v="4.1208588113743749"/>
  </r>
  <r>
    <x v="2"/>
    <s v="Wells Fargo"/>
    <s v="1Point Rate"/>
    <s v="MTG"/>
    <x v="219"/>
    <n v="4.0061842576350095"/>
  </r>
  <r>
    <x v="2"/>
    <s v="Wells Fargo"/>
    <s v="1Point Rate"/>
    <s v="MTG"/>
    <x v="220"/>
    <n v="4.0686842576350095"/>
  </r>
  <r>
    <x v="2"/>
    <s v="Wells Fargo"/>
    <s v="1Point Rate"/>
    <s v="MTG"/>
    <x v="221"/>
    <n v="4.0061842576350095"/>
  </r>
  <r>
    <x v="2"/>
    <s v="Wells Fargo"/>
    <s v="1Point Rate"/>
    <s v="MTG"/>
    <x v="222"/>
    <n v="4.0061842576350095"/>
  </r>
  <r>
    <x v="2"/>
    <s v="Wells Fargo"/>
    <s v="1Point Rate"/>
    <s v="MTG"/>
    <x v="223"/>
    <n v="4.0374342576350095"/>
  </r>
  <r>
    <x v="2"/>
    <s v="Wells Fargo"/>
    <s v="1Point Rate"/>
    <s v="MTG"/>
    <x v="224"/>
    <n v="4.0061842576350095"/>
  </r>
  <r>
    <x v="2"/>
    <s v="Wells Fargo"/>
    <s v="1Point Rate"/>
    <s v="MTG"/>
    <x v="225"/>
    <n v="4.0061842576350095"/>
  </r>
  <r>
    <x v="2"/>
    <s v="Wells Fargo"/>
    <s v="1Point Rate"/>
    <s v="MTG"/>
    <x v="226"/>
    <n v="4.0061842576350095"/>
  </r>
  <r>
    <x v="2"/>
    <s v="Wells Fargo"/>
    <s v="1Point Rate"/>
    <s v="MTG"/>
    <x v="227"/>
    <n v="4.0562684023842452"/>
  </r>
  <r>
    <x v="2"/>
    <s v="Wells Fargo"/>
    <s v="1Point Rate"/>
    <s v="MTG"/>
    <x v="228"/>
    <n v="3.942625501411162"/>
  </r>
  <r>
    <x v="2"/>
    <s v="Wells Fargo"/>
    <s v="1Point Rate"/>
    <s v="MTG"/>
    <x v="229"/>
    <n v="3.9949531909148654"/>
  </r>
  <r>
    <x v="2"/>
    <s v="Wells Fargo"/>
    <s v="1Point Rate"/>
    <s v="MTG"/>
    <x v="230"/>
    <n v="3.9949531909148654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  <r>
    <x v="3"/>
    <s v="Wells Fargo"/>
    <s v="1Point Rate"/>
    <s v="MTG"/>
    <x v="6"/>
    <n v="3.929789796110164"/>
  </r>
  <r>
    <x v="3"/>
    <s v="Wells Fargo"/>
    <s v="1Point Rate"/>
    <s v="MTG"/>
    <x v="7"/>
    <n v="3.8281034376602534"/>
  </r>
  <r>
    <x v="3"/>
    <s v="Wells Fargo"/>
    <s v="1Point Rate"/>
    <s v="MTG"/>
    <x v="8"/>
    <n v="3.8714038285041039"/>
  </r>
  <r>
    <x v="3"/>
    <s v="Wells Fargo"/>
    <s v="1Point Rate"/>
    <s v="MTG"/>
    <x v="9"/>
    <n v="3.8281034376602534"/>
  </r>
  <r>
    <x v="3"/>
    <s v="Wells Fargo"/>
    <s v="1Point Rate"/>
    <s v="MTG"/>
    <x v="10"/>
    <n v="3.7907999999999999"/>
  </r>
  <r>
    <x v="3"/>
    <s v="Wells Fargo"/>
    <s v="1Point Rate"/>
    <s v="MTG"/>
    <x v="11"/>
    <n v="3.7452361066975079"/>
  </r>
  <r>
    <x v="3"/>
    <s v="Wells Fargo"/>
    <s v="1Point Rate"/>
    <s v="MTG"/>
    <x v="12"/>
    <n v="3.701847554934004"/>
  </r>
  <r>
    <x v="3"/>
    <s v="Wells Fargo"/>
    <s v="1Point Rate"/>
    <s v="MTG"/>
    <x v="13"/>
    <n v="3.7452361066975079"/>
  </r>
  <r>
    <x v="3"/>
    <s v="Wells Fargo"/>
    <s v="1Point Rate"/>
    <s v="MTG"/>
    <x v="14"/>
    <n v="3.7452361066975079"/>
  </r>
  <r>
    <x v="3"/>
    <s v="Wells Fargo"/>
    <s v="1Point Rate"/>
    <s v="MTG"/>
    <x v="15"/>
    <n v="3.7907999999999999"/>
  </r>
  <r>
    <x v="3"/>
    <s v="Wells Fargo"/>
    <s v="1Point Rate"/>
    <s v="MTG"/>
    <x v="16"/>
    <n v="3.8281034376602534"/>
  </r>
  <r>
    <x v="3"/>
    <s v="Wells Fargo"/>
    <s v="1Point Rate"/>
    <s v="MTG"/>
    <x v="17"/>
    <n v="3.8714038285041039"/>
  </r>
  <r>
    <x v="3"/>
    <s v="Wells Fargo"/>
    <s v="1Point Rate"/>
    <s v="MTG"/>
    <x v="18"/>
    <n v="3.8714038285041039"/>
  </r>
  <r>
    <x v="3"/>
    <s v="Wells Fargo"/>
    <s v="1Point Rate"/>
    <s v="MTG"/>
    <x v="19"/>
    <n v="3.8714038285041039"/>
  </r>
  <r>
    <x v="3"/>
    <s v="Wells Fargo"/>
    <s v="1Point Rate"/>
    <s v="MTG"/>
    <x v="20"/>
    <n v="3.8714038285041039"/>
  </r>
  <r>
    <x v="3"/>
    <s v="Wells Fargo"/>
    <s v="1Point Rate"/>
    <s v="MTG"/>
    <x v="21"/>
    <n v="3.7907999999999999"/>
  </r>
  <r>
    <x v="3"/>
    <s v="Wells Fargo"/>
    <s v="1Point Rate"/>
    <s v="MTG"/>
    <x v="22"/>
    <n v="3.7907999999999999"/>
  </r>
  <r>
    <x v="3"/>
    <s v="Wells Fargo"/>
    <s v="1Point Rate"/>
    <s v="MTG"/>
    <x v="23"/>
    <n v="3.8038200779030156"/>
  </r>
  <r>
    <x v="3"/>
    <s v="Wells Fargo"/>
    <s v="1Point Rate"/>
    <s v="MTG"/>
    <x v="24"/>
    <n v="3.6708585343811904"/>
  </r>
  <r>
    <x v="3"/>
    <s v="Wells Fargo"/>
    <s v="1Point Rate"/>
    <s v="MTG"/>
    <x v="25"/>
    <n v="3.6708585343811904"/>
  </r>
  <r>
    <x v="3"/>
    <s v="Wells Fargo"/>
    <s v="1Point Rate"/>
    <s v="MTG"/>
    <x v="26"/>
    <n v="3.6708585343811904"/>
  </r>
  <r>
    <x v="3"/>
    <s v="Wells Fargo"/>
    <s v="1Point Rate"/>
    <s v="MTG"/>
    <x v="27"/>
    <n v="3.6708585343811904"/>
  </r>
  <r>
    <x v="3"/>
    <s v="Wells Fargo"/>
    <s v="1Point Rate"/>
    <s v="MTG"/>
    <x v="28"/>
    <n v="3.6708585343811904"/>
  </r>
  <r>
    <x v="3"/>
    <s v="Wells Fargo"/>
    <s v="1Point Rate"/>
    <s v="MTG"/>
    <x v="29"/>
    <n v="3.7143356375412493"/>
  </r>
  <r>
    <x v="3"/>
    <s v="Wells Fargo"/>
    <s v="1Point Rate"/>
    <s v="MTG"/>
    <x v="30"/>
    <n v="3.6334666666666666"/>
  </r>
  <r>
    <x v="3"/>
    <s v="Wells Fargo"/>
    <s v="1Point Rate"/>
    <s v="MTG"/>
    <x v="31"/>
    <n v="3.6334666666666666"/>
  </r>
  <r>
    <x v="3"/>
    <s v="Wells Fargo"/>
    <s v="1Point Rate"/>
    <s v="MTG"/>
    <x v="32"/>
    <n v="3.6334666666666666"/>
  </r>
  <r>
    <x v="3"/>
    <s v="Wells Fargo"/>
    <s v="1Point Rate"/>
    <s v="MTG"/>
    <x v="33"/>
    <n v="3.6334666666666666"/>
  </r>
  <r>
    <x v="3"/>
    <s v="Wells Fargo"/>
    <s v="1Point Rate"/>
    <s v="MTG"/>
    <x v="34"/>
    <n v="3.6334666666666666"/>
  </r>
  <r>
    <x v="3"/>
    <s v="Wells Fargo"/>
    <s v="1Point Rate"/>
    <s v="MTG"/>
    <x v="35"/>
    <n v="3.6334666666666666"/>
  </r>
  <r>
    <x v="3"/>
    <s v="Wells Fargo"/>
    <s v="1Point Rate"/>
    <s v="MTG"/>
    <x v="36"/>
    <n v="3.7597333333333331"/>
  </r>
  <r>
    <x v="3"/>
    <s v="Wells Fargo"/>
    <s v="1Point Rate"/>
    <s v="MTG"/>
    <x v="37"/>
    <n v="3.7597333333333331"/>
  </r>
  <r>
    <x v="3"/>
    <s v="Wells Fargo"/>
    <s v="1Point Rate"/>
    <s v="MTG"/>
    <x v="38"/>
    <n v="3.7143356375412493"/>
  </r>
  <r>
    <x v="3"/>
    <s v="Wells Fargo"/>
    <s v="1Point Rate"/>
    <s v="MTG"/>
    <x v="39"/>
    <n v="3.7143356375412493"/>
  </r>
  <r>
    <x v="3"/>
    <s v="Wells Fargo"/>
    <s v="1Point Rate"/>
    <s v="MTG"/>
    <x v="40"/>
    <n v="3.7143356375412493"/>
  </r>
  <r>
    <x v="3"/>
    <s v="Wells Fargo"/>
    <s v="1Point Rate"/>
    <s v="MTG"/>
    <x v="41"/>
    <n v="3.7970808882673373"/>
  </r>
  <r>
    <x v="3"/>
    <s v="Wells Fargo"/>
    <s v="1Point Rate"/>
    <s v="MTG"/>
    <x v="42"/>
    <n v="3.7970808882673373"/>
  </r>
  <r>
    <x v="3"/>
    <s v="Wells Fargo"/>
    <s v="1Point Rate"/>
    <s v="MTG"/>
    <x v="43"/>
    <n v="3.7970808882673373"/>
  </r>
  <r>
    <x v="3"/>
    <s v="Wells Fargo"/>
    <s v="1Point Rate"/>
    <s v="MTG"/>
    <x v="44"/>
    <n v="3.7970808882673373"/>
  </r>
  <r>
    <x v="3"/>
    <s v="Wells Fargo"/>
    <s v="1Point Rate"/>
    <s v="MTG"/>
    <x v="45"/>
    <n v="3.8404694400308417"/>
  </r>
  <r>
    <x v="3"/>
    <s v="Wells Fargo"/>
    <s v="1Point Rate"/>
    <s v="MTG"/>
    <x v="46"/>
    <n v="3.9020859403395352"/>
  </r>
  <r>
    <x v="3"/>
    <s v="Wells Fargo"/>
    <s v="1Point Rate"/>
    <s v="MTG"/>
    <x v="47"/>
    <n v="3.9020859403395352"/>
  </r>
  <r>
    <x v="3"/>
    <s v="Wells Fargo"/>
    <s v="1Point Rate"/>
    <s v="MTG"/>
    <x v="48"/>
    <n v="3.7970808882673373"/>
  </r>
  <r>
    <x v="3"/>
    <s v="Wells Fargo"/>
    <s v="1Point Rate"/>
    <s v="MTG"/>
    <x v="49"/>
    <n v="3.8860333333333337"/>
  </r>
  <r>
    <x v="3"/>
    <s v="Wells Fargo"/>
    <s v="1Point Rate"/>
    <s v="MTG"/>
    <x v="50"/>
    <n v="3.9233367709935867"/>
  </r>
  <r>
    <x v="3"/>
    <s v="Wells Fargo"/>
    <s v="1Point Rate"/>
    <s v="MTG"/>
    <x v="51"/>
    <n v="3.9233367709935867"/>
  </r>
  <r>
    <x v="3"/>
    <s v="Wells Fargo"/>
    <s v="1Point Rate"/>
    <s v="MTG"/>
    <x v="52"/>
    <n v="3.8860333333333337"/>
  </r>
  <r>
    <x v="3"/>
    <s v="Wells Fargo"/>
    <s v="1Point Rate"/>
    <s v="MTG"/>
    <x v="53"/>
    <n v="3.8404694400308417"/>
  </r>
  <r>
    <x v="3"/>
    <s v="Wells Fargo"/>
    <s v="1Point Rate"/>
    <s v="MTG"/>
    <x v="54"/>
    <n v="3.8404694400308417"/>
  </r>
  <r>
    <x v="3"/>
    <s v="Wells Fargo"/>
    <s v="1Point Rate"/>
    <s v="MTG"/>
    <x v="55"/>
    <n v="3.9041371618374376"/>
  </r>
  <r>
    <x v="3"/>
    <s v="Wells Fargo"/>
    <s v="1Point Rate"/>
    <s v="MTG"/>
    <x v="56"/>
    <n v="3.9041371618374376"/>
  </r>
  <r>
    <x v="3"/>
    <s v="Wells Fargo"/>
    <s v="1Point Rate"/>
    <s v="MTG"/>
    <x v="57"/>
    <n v="3.9041371618374376"/>
  </r>
  <r>
    <x v="3"/>
    <s v="Wells Fargo"/>
    <s v="1Point Rate"/>
    <s v="MTG"/>
    <x v="58"/>
    <n v="3.7749314548968891"/>
  </r>
  <r>
    <x v="3"/>
    <s v="Wells Fargo"/>
    <s v="1Point Rate"/>
    <s v="MTG"/>
    <x v="59"/>
    <n v="3.7749314548968891"/>
  </r>
  <r>
    <x v="3"/>
    <s v="Wells Fargo"/>
    <s v="1Point Rate"/>
    <s v="MTG"/>
    <x v="60"/>
    <n v="3.7749314548968891"/>
  </r>
  <r>
    <x v="3"/>
    <s v="Wells Fargo"/>
    <s v="1Point Rate"/>
    <s v="MTG"/>
    <x v="61"/>
    <n v="3.7761730843118855"/>
  </r>
  <r>
    <x v="3"/>
    <s v="Wells Fargo"/>
    <s v="1Point Rate"/>
    <s v="MTG"/>
    <x v="62"/>
    <n v="3.7761730843118855"/>
  </r>
  <r>
    <x v="3"/>
    <s v="Wells Fargo"/>
    <s v="1Point Rate"/>
    <s v="MTG"/>
    <x v="63"/>
    <n v="4.0557276764206129"/>
  </r>
  <r>
    <x v="3"/>
    <s v="Wells Fargo"/>
    <s v="1Point Rate"/>
    <s v="MTG"/>
    <x v="64"/>
    <n v="4.0557276764206129"/>
  </r>
  <r>
    <x v="3"/>
    <s v="Wells Fargo"/>
    <s v="1Point Rate"/>
    <s v="MTG"/>
    <x v="65"/>
    <n v="4.1817004181546098"/>
  </r>
  <r>
    <x v="3"/>
    <s v="Wells Fargo"/>
    <s v="1Point Rate"/>
    <s v="MTG"/>
    <x v="66"/>
    <n v="4.1237077500397357"/>
  </r>
  <r>
    <x v="3"/>
    <s v="Wells Fargo"/>
    <s v="1Point Rate"/>
    <s v="MTG"/>
    <x v="67"/>
    <n v="4.2186106422383469"/>
  </r>
  <r>
    <x v="3"/>
    <s v="Wells Fargo"/>
    <s v="1Point Rate"/>
    <s v="MTG"/>
    <x v="68"/>
    <n v="4.1873439755716797"/>
  </r>
  <r>
    <x v="3"/>
    <s v="Wells Fargo"/>
    <s v="1Point Rate"/>
    <s v="MTG"/>
    <x v="69"/>
    <n v="4.1873439755716797"/>
  </r>
  <r>
    <x v="3"/>
    <s v="Wells Fargo"/>
    <s v="1Point Rate"/>
    <s v="MTG"/>
    <x v="70"/>
    <n v="4.310586640999877"/>
  </r>
  <r>
    <x v="3"/>
    <s v="Wells Fargo"/>
    <s v="1Point Rate"/>
    <s v="MTG"/>
    <x v="71"/>
    <n v="4.2186106422383469"/>
  </r>
  <r>
    <x v="3"/>
    <s v="Wells Fargo"/>
    <s v="1Point Rate"/>
    <s v="MTG"/>
    <x v="72"/>
    <n v="4.2186106422383469"/>
  </r>
  <r>
    <x v="3"/>
    <s v="Wells Fargo"/>
    <s v="1Point Rate"/>
    <s v="MTG"/>
    <x v="73"/>
    <n v="4.1817004181546098"/>
  </r>
  <r>
    <x v="3"/>
    <s v="Wells Fargo"/>
    <s v="1Point Rate"/>
    <s v="MTG"/>
    <x v="74"/>
    <n v="4.1817004181546098"/>
  </r>
  <r>
    <x v="3"/>
    <s v="Wells Fargo"/>
    <s v="1Point Rate"/>
    <s v="MTG"/>
    <x v="75"/>
    <n v="4.1873439755716797"/>
  </r>
  <r>
    <x v="3"/>
    <s v="Wells Fargo"/>
    <s v="1Point Rate"/>
    <s v="MTG"/>
    <x v="76"/>
    <n v="4.1873439755716797"/>
  </r>
  <r>
    <x v="3"/>
    <s v="Wells Fargo"/>
    <s v="1Point Rate"/>
    <s v="MTG"/>
    <x v="77"/>
    <n v="4.1817004181546098"/>
  </r>
  <r>
    <x v="3"/>
    <s v="Wells Fargo"/>
    <s v="1Point Rate"/>
    <s v="MTG"/>
    <x v="78"/>
    <n v="4.1873439755716797"/>
  </r>
  <r>
    <x v="3"/>
    <s v="Wells Fargo"/>
    <s v="1Point Rate"/>
    <s v="MTG"/>
    <x v="79"/>
    <n v="4.2186106422383469"/>
  </r>
  <r>
    <x v="3"/>
    <s v="Wells Fargo"/>
    <s v="1Point Rate"/>
    <s v="MTG"/>
    <x v="80"/>
    <n v="4.2186106422383469"/>
  </r>
  <r>
    <x v="3"/>
    <s v="Wells Fargo"/>
    <s v="1Point Rate"/>
    <s v="MTG"/>
    <x v="81"/>
    <n v="4.2186106422383469"/>
  </r>
  <r>
    <x v="3"/>
    <s v="Wells Fargo"/>
    <s v="1Point Rate"/>
    <s v="MTG"/>
    <x v="82"/>
    <n v="4.310586640999877"/>
  </r>
  <r>
    <x v="3"/>
    <s v="Wells Fargo"/>
    <s v="1Point Rate"/>
    <s v="MTG"/>
    <x v="83"/>
    <n v="4.2186106422383469"/>
  </r>
  <r>
    <x v="3"/>
    <s v="Wells Fargo"/>
    <s v="1Point Rate"/>
    <s v="MTG"/>
    <x v="84"/>
    <n v="4.1873439755716797"/>
  </r>
  <r>
    <x v="3"/>
    <s v="Wells Fargo"/>
    <s v="1Point Rate"/>
    <s v="MTG"/>
    <x v="85"/>
    <n v="4.2186106422383469"/>
  </r>
  <r>
    <x v="3"/>
    <s v="Wells Fargo"/>
    <s v="1Point Rate"/>
    <s v="MTG"/>
    <x v="86"/>
    <n v="4.2186106422383469"/>
  </r>
  <r>
    <x v="3"/>
    <s v="Wells Fargo"/>
    <s v="1Point Rate"/>
    <s v="MTG"/>
    <x v="87"/>
    <n v="4.1237077500397357"/>
  </r>
  <r>
    <x v="3"/>
    <s v="Wells Fargo"/>
    <s v="1Point Rate"/>
    <s v="MTG"/>
    <x v="88"/>
    <n v="4.0612077500397348"/>
  </r>
  <r>
    <x v="3"/>
    <s v="Wells Fargo"/>
    <s v="1Point Rate"/>
    <s v="MTG"/>
    <x v="89"/>
    <n v="4.092474416706402"/>
  </r>
  <r>
    <x v="3"/>
    <s v="Wells Fargo"/>
    <s v="1Point Rate"/>
    <s v="MTG"/>
    <x v="90"/>
    <n v="4.092474416706402"/>
  </r>
  <r>
    <x v="3"/>
    <s v="Wells Fargo"/>
    <s v="1Point Rate"/>
    <s v="MTG"/>
    <x v="91"/>
    <n v="4.1873439755716797"/>
  </r>
  <r>
    <x v="3"/>
    <s v="Wells Fargo"/>
    <s v="1Point Rate"/>
    <s v="MTG"/>
    <x v="92"/>
    <n v="4.2498439755716797"/>
  </r>
  <r>
    <x v="3"/>
    <s v="Wells Fargo"/>
    <s v="1Point Rate"/>
    <s v="MTG"/>
    <x v="93"/>
    <n v="4.1873439755716797"/>
  </r>
  <r>
    <x v="3"/>
    <s v="Wells Fargo"/>
    <s v="1Point Rate"/>
    <s v="MTG"/>
    <x v="94"/>
    <n v="4.1237077500397357"/>
  </r>
  <r>
    <x v="3"/>
    <s v="Wells Fargo"/>
    <s v="1Point Rate"/>
    <s v="MTG"/>
    <x v="95"/>
    <n v="4.1817004181546098"/>
  </r>
  <r>
    <x v="3"/>
    <s v="Wells Fargo"/>
    <s v="1Point Rate"/>
    <s v="MTG"/>
    <x v="96"/>
    <n v="4.1237077500397357"/>
  </r>
  <r>
    <x v="3"/>
    <s v="Wells Fargo"/>
    <s v="1Point Rate"/>
    <s v="MTG"/>
    <x v="97"/>
    <n v="4.1817004181546098"/>
  </r>
  <r>
    <x v="3"/>
    <s v="Wells Fargo"/>
    <s v="1Point Rate"/>
    <s v="MTG"/>
    <x v="98"/>
    <n v="4.1237077500397357"/>
  </r>
  <r>
    <x v="3"/>
    <s v="Wells Fargo"/>
    <s v="1Point Rate"/>
    <s v="MTG"/>
    <x v="99"/>
    <n v="4.1237077500397357"/>
  </r>
  <r>
    <x v="3"/>
    <s v="Wells Fargo"/>
    <s v="1Point Rate"/>
    <s v="MTG"/>
    <x v="100"/>
    <n v="4.1237077500397357"/>
  </r>
  <r>
    <x v="3"/>
    <s v="Wells Fargo"/>
    <s v="1Point Rate"/>
    <s v="MTG"/>
    <x v="101"/>
    <n v="4.0612077500397348"/>
  </r>
  <r>
    <x v="3"/>
    <s v="Wells Fargo"/>
    <s v="1Point Rate"/>
    <s v="MTG"/>
    <x v="102"/>
    <n v="4.0557276764206129"/>
  </r>
  <r>
    <x v="3"/>
    <s v="Wells Fargo"/>
    <s v="1Point Rate"/>
    <s v="MTG"/>
    <x v="103"/>
    <n v="4.0557276764206129"/>
  </r>
  <r>
    <x v="3"/>
    <s v="Wells Fargo"/>
    <s v="1Point Rate"/>
    <s v="MTG"/>
    <x v="104"/>
    <n v="4.0557276764206129"/>
  </r>
  <r>
    <x v="3"/>
    <s v="Wells Fargo"/>
    <s v="1Point Rate"/>
    <s v="MTG"/>
    <x v="105"/>
    <n v="4.0557276764206129"/>
  </r>
  <r>
    <x v="3"/>
    <s v="Wells Fargo"/>
    <s v="1Point Rate"/>
    <s v="MTG"/>
    <x v="106"/>
    <n v="3.966305483037543"/>
  </r>
  <r>
    <x v="3"/>
    <s v="Wells Fargo"/>
    <s v="1Point Rate"/>
    <s v="MTG"/>
    <x v="107"/>
    <n v="3.966305483037543"/>
  </r>
  <r>
    <x v="3"/>
    <s v="Wells Fargo"/>
    <s v="1Point Rate"/>
    <s v="MTG"/>
    <x v="108"/>
    <n v="3.9975388163708763"/>
  </r>
  <r>
    <x v="3"/>
    <s v="Wells Fargo"/>
    <s v="1Point Rate"/>
    <s v="MTG"/>
    <x v="109"/>
    <n v="4.0557276764206129"/>
  </r>
  <r>
    <x v="3"/>
    <s v="Wells Fargo"/>
    <s v="1Point Rate"/>
    <s v="MTG"/>
    <x v="110"/>
    <n v="4.0557276764206129"/>
  </r>
  <r>
    <x v="3"/>
    <s v="Wells Fargo"/>
    <s v="1Point Rate"/>
    <s v="MTG"/>
    <x v="111"/>
    <n v="3.9975388163708763"/>
  </r>
  <r>
    <x v="3"/>
    <s v="Wells Fargo"/>
    <s v="1Point Rate"/>
    <s v="MTG"/>
    <x v="112"/>
    <n v="3.9975388163708763"/>
  </r>
  <r>
    <x v="3"/>
    <s v="Wells Fargo"/>
    <s v="1Point Rate"/>
    <s v="MTG"/>
    <x v="113"/>
    <n v="3.966305483037543"/>
  </r>
  <r>
    <x v="3"/>
    <s v="Wells Fargo"/>
    <s v="1Point Rate"/>
    <s v="MTG"/>
    <x v="114"/>
    <n v="3.932044793512913"/>
  </r>
  <r>
    <x v="3"/>
    <s v="Wells Fargo"/>
    <s v="1Point Rate"/>
    <s v="MTG"/>
    <x v="115"/>
    <n v="3.966305483037543"/>
  </r>
  <r>
    <x v="3"/>
    <s v="Wells Fargo"/>
    <s v="1Point Rate"/>
    <s v="MTG"/>
    <x v="116"/>
    <n v="3.966305483037543"/>
  </r>
  <r>
    <x v="3"/>
    <s v="Wells Fargo"/>
    <s v="1Point Rate"/>
    <s v="MTG"/>
    <x v="117"/>
    <n v="3.932044793512913"/>
  </r>
  <r>
    <x v="3"/>
    <s v="Wells Fargo"/>
    <s v="1Point Rate"/>
    <s v="MTG"/>
    <x v="118"/>
    <n v="3.932044793512913"/>
  </r>
  <r>
    <x v="3"/>
    <s v="Wells Fargo"/>
    <s v="1Point Rate"/>
    <s v="MTG"/>
    <x v="119"/>
    <n v="3.929789796110164"/>
  </r>
  <r>
    <x v="3"/>
    <s v="Wells Fargo"/>
    <s v="1Point Rate"/>
    <s v="MTG"/>
    <x v="120"/>
    <n v="3.8714038285041039"/>
  </r>
  <r>
    <x v="3"/>
    <s v="Wells Fargo"/>
    <s v="1Point Rate"/>
    <s v="MTG"/>
    <x v="121"/>
    <n v="3.8401704951707707"/>
  </r>
  <r>
    <x v="3"/>
    <s v="Wells Fargo"/>
    <s v="1Point Rate"/>
    <s v="MTG"/>
    <x v="122"/>
    <n v="3.8058878744011344"/>
  </r>
  <r>
    <x v="3"/>
    <s v="Wells Fargo"/>
    <s v="1Point Rate"/>
    <s v="MTG"/>
    <x v="123"/>
    <n v="3.929789796110164"/>
  </r>
  <r>
    <x v="3"/>
    <s v="Wells Fargo"/>
    <s v="1Point Rate"/>
    <s v="MTG"/>
    <x v="124"/>
    <n v="3.932044793512913"/>
  </r>
  <r>
    <x v="3"/>
    <s v="Wells Fargo"/>
    <s v="1Point Rate"/>
    <s v="MTG"/>
    <x v="125"/>
    <n v="3.966305483037543"/>
  </r>
  <r>
    <x v="3"/>
    <s v="Wells Fargo"/>
    <s v="1Point Rate"/>
    <s v="MTG"/>
    <x v="126"/>
    <n v="3.932044793512913"/>
  </r>
  <r>
    <x v="3"/>
    <s v="Wells Fargo"/>
    <s v="1Point Rate"/>
    <s v="MTG"/>
    <x v="127"/>
    <n v="3.966305483037543"/>
  </r>
  <r>
    <x v="3"/>
    <s v="Wells Fargo"/>
    <s v="1Point Rate"/>
    <s v="MTG"/>
    <x v="128"/>
    <n v="3.966305483037543"/>
  </r>
  <r>
    <x v="3"/>
    <s v="Wells Fargo"/>
    <s v="1Point Rate"/>
    <s v="MTG"/>
    <x v="129"/>
    <n v="3.966305483037543"/>
  </r>
  <r>
    <x v="3"/>
    <s v="Wells Fargo"/>
    <s v="1Point Rate"/>
    <s v="MTG"/>
    <x v="130"/>
    <n v="3.966305483037543"/>
  </r>
  <r>
    <x v="3"/>
    <s v="Wells Fargo"/>
    <s v="1Point Rate"/>
    <s v="MTG"/>
    <x v="131"/>
    <n v="3.932044793512913"/>
  </r>
  <r>
    <x v="3"/>
    <s v="Wells Fargo"/>
    <s v="1Point Rate"/>
    <s v="MTG"/>
    <x v="132"/>
    <n v="3.966305483037543"/>
  </r>
  <r>
    <x v="3"/>
    <s v="Wells Fargo"/>
    <s v="1Point Rate"/>
    <s v="MTG"/>
    <x v="133"/>
    <n v="3.9975388163708763"/>
  </r>
  <r>
    <x v="3"/>
    <s v="Wells Fargo"/>
    <s v="1Point Rate"/>
    <s v="MTG"/>
    <x v="134"/>
    <n v="3.966305483037543"/>
  </r>
  <r>
    <x v="3"/>
    <s v="Wells Fargo"/>
    <s v="1Point Rate"/>
    <s v="MTG"/>
    <x v="135"/>
    <n v="3.966305483037543"/>
  </r>
  <r>
    <x v="3"/>
    <s v="Wells Fargo"/>
    <s v="1Point Rate"/>
    <s v="MTG"/>
    <x v="136"/>
    <n v="3.932044793512913"/>
  </r>
  <r>
    <x v="3"/>
    <s v="Wells Fargo"/>
    <s v="1Point Rate"/>
    <s v="MTG"/>
    <x v="137"/>
    <n v="4.0557276764206129"/>
  </r>
  <r>
    <x v="3"/>
    <s v="Wells Fargo"/>
    <s v="1Point Rate"/>
    <s v="MTG"/>
    <x v="138"/>
    <n v="4.0557276764206129"/>
  </r>
  <r>
    <x v="3"/>
    <s v="Wells Fargo"/>
    <s v="1Point Rate"/>
    <s v="MTG"/>
    <x v="139"/>
    <n v="3.966305483037543"/>
  </r>
  <r>
    <x v="3"/>
    <s v="Wells Fargo"/>
    <s v="1Point Rate"/>
    <s v="MTG"/>
    <x v="140"/>
    <n v="3.932044793512913"/>
  </r>
  <r>
    <x v="3"/>
    <s v="Wells Fargo"/>
    <s v="1Point Rate"/>
    <s v="MTG"/>
    <x v="141"/>
    <n v="3.932044793512913"/>
  </r>
  <r>
    <x v="3"/>
    <s v="Wells Fargo"/>
    <s v="1Point Rate"/>
    <s v="MTG"/>
    <x v="142"/>
    <n v="3.932044793512913"/>
  </r>
  <r>
    <x v="3"/>
    <s v="Wells Fargo"/>
    <s v="1Point Rate"/>
    <s v="MTG"/>
    <x v="143"/>
    <n v="3.932044793512913"/>
  </r>
  <r>
    <x v="3"/>
    <s v="Wells Fargo"/>
    <s v="1Point Rate"/>
    <s v="MTG"/>
    <x v="144"/>
    <n v="3.8714038285041039"/>
  </r>
  <r>
    <x v="3"/>
    <s v="Wells Fargo"/>
    <s v="1Point Rate"/>
    <s v="MTG"/>
    <x v="145"/>
    <n v="3.932044793512913"/>
  </r>
  <r>
    <x v="3"/>
    <s v="Wells Fargo"/>
    <s v="1Point Rate"/>
    <s v="MTG"/>
    <x v="146"/>
    <n v="3.9691038719099652"/>
  </r>
  <r>
    <x v="3"/>
    <s v="Wells Fargo"/>
    <s v="1Point Rate"/>
    <s v="MTG"/>
    <x v="147"/>
    <n v="3.836185909281542"/>
  </r>
  <r>
    <x v="3"/>
    <s v="Wells Fargo"/>
    <s v="1Point Rate"/>
    <s v="MTG"/>
    <x v="148"/>
    <n v="3.836185909281542"/>
  </r>
  <r>
    <x v="3"/>
    <s v="Wells Fargo"/>
    <s v="1Point Rate"/>
    <s v="MTG"/>
    <x v="149"/>
    <n v="3.8432439415632444"/>
  </r>
  <r>
    <x v="3"/>
    <s v="Wells Fargo"/>
    <s v="1Point Rate"/>
    <s v="MTG"/>
    <x v="150"/>
    <n v="3.7786134524895099"/>
  </r>
  <r>
    <x v="3"/>
    <s v="Wells Fargo"/>
    <s v="1Point Rate"/>
    <s v="MTG"/>
    <x v="151"/>
    <n v="3.8674525759482088"/>
  </r>
  <r>
    <x v="3"/>
    <s v="Wells Fargo"/>
    <s v="1Point Rate"/>
    <s v="MTG"/>
    <x v="152"/>
    <n v="3.9691038719099652"/>
  </r>
  <r>
    <x v="3"/>
    <s v="Wells Fargo"/>
    <s v="1Point Rate"/>
    <s v="MTG"/>
    <x v="153"/>
    <n v="3.9691038719099652"/>
  </r>
  <r>
    <x v="3"/>
    <s v="Wells Fargo"/>
    <s v="1Point Rate"/>
    <s v="MTG"/>
    <x v="154"/>
    <n v="3.9691038719099652"/>
  </r>
  <r>
    <x v="3"/>
    <s v="Wells Fargo"/>
    <s v="1Point Rate"/>
    <s v="MTG"/>
    <x v="155"/>
    <n v="3.9935656386559404"/>
  </r>
  <r>
    <x v="3"/>
    <s v="Wells Fargo"/>
    <s v="1Point Rate"/>
    <s v="MTG"/>
    <x v="156"/>
    <n v="3.9691038719099652"/>
  </r>
  <r>
    <x v="3"/>
    <s v="Wells Fargo"/>
    <s v="1Point Rate"/>
    <s v="MTG"/>
    <x v="157"/>
    <n v="3.9077289127981323"/>
  </r>
  <r>
    <x v="3"/>
    <s v="Wells Fargo"/>
    <s v="1Point Rate"/>
    <s v="MTG"/>
    <x v="158"/>
    <n v="3.9077289127981323"/>
  </r>
  <r>
    <x v="3"/>
    <s v="Wells Fargo"/>
    <s v="1Point Rate"/>
    <s v="MTG"/>
    <x v="159"/>
    <n v="3.9691038719099652"/>
  </r>
  <r>
    <x v="3"/>
    <s v="Wells Fargo"/>
    <s v="1Point Rate"/>
    <s v="MTG"/>
    <x v="160"/>
    <n v="3.9691038719099652"/>
  </r>
  <r>
    <x v="3"/>
    <s v="Wells Fargo"/>
    <s v="1Point Rate"/>
    <s v="MTG"/>
    <x v="161"/>
    <n v="3.9935656386559404"/>
  </r>
  <r>
    <x v="3"/>
    <s v="Wells Fargo"/>
    <s v="1Point Rate"/>
    <s v="MTG"/>
    <x v="162"/>
    <n v="3.9622989719892732"/>
  </r>
  <r>
    <x v="3"/>
    <s v="Wells Fargo"/>
    <s v="1Point Rate"/>
    <s v="MTG"/>
    <x v="163"/>
    <n v="3.9622989719892732"/>
  </r>
  <r>
    <x v="3"/>
    <s v="Wells Fargo"/>
    <s v="1Point Rate"/>
    <s v="MTG"/>
    <x v="164"/>
    <n v="3.9622989719892732"/>
  </r>
  <r>
    <x v="3"/>
    <s v="Wells Fargo"/>
    <s v="1Point Rate"/>
    <s v="MTG"/>
    <x v="165"/>
    <n v="3.9935656386559404"/>
  </r>
  <r>
    <x v="3"/>
    <s v="Wells Fargo"/>
    <s v="1Point Rate"/>
    <s v="MTG"/>
    <x v="166"/>
    <n v="3.9622989719892732"/>
  </r>
  <r>
    <x v="3"/>
    <s v="Wells Fargo"/>
    <s v="1Point Rate"/>
    <s v="MTG"/>
    <x v="167"/>
    <n v="3.9622989719892732"/>
  </r>
  <r>
    <x v="3"/>
    <s v="Wells Fargo"/>
    <s v="1Point Rate"/>
    <s v="MTG"/>
    <x v="168"/>
    <n v="4.09493246058208"/>
  </r>
  <r>
    <x v="3"/>
    <s v="Wells Fargo"/>
    <s v="1Point Rate"/>
    <s v="MTG"/>
    <x v="169"/>
    <n v="4.0884460824161017"/>
  </r>
  <r>
    <x v="3"/>
    <s v="Wells Fargo"/>
    <s v="1Point Rate"/>
    <s v="MTG"/>
    <x v="170"/>
    <n v="4.09493246058208"/>
  </r>
  <r>
    <x v="3"/>
    <s v="Wells Fargo"/>
    <s v="1Point Rate"/>
    <s v="MTG"/>
    <x v="171"/>
    <n v="3.9935656386559404"/>
  </r>
  <r>
    <x v="3"/>
    <s v="Wells Fargo"/>
    <s v="1Point Rate"/>
    <s v="MTG"/>
    <x v="172"/>
    <n v="4.0337762365220735"/>
  </r>
  <r>
    <x v="3"/>
    <s v="Wells Fargo"/>
    <s v="1Point Rate"/>
    <s v="MTG"/>
    <x v="173"/>
    <n v="4.09493246058208"/>
  </r>
  <r>
    <x v="3"/>
    <s v="Wells Fargo"/>
    <s v="1Point Rate"/>
    <s v="MTG"/>
    <x v="174"/>
    <n v="4.119712749082769"/>
  </r>
  <r>
    <x v="3"/>
    <s v="Wells Fargo"/>
    <s v="1Point Rate"/>
    <s v="MTG"/>
    <x v="175"/>
    <n v="4.1598579134474827"/>
  </r>
  <r>
    <x v="3"/>
    <s v="Wells Fargo"/>
    <s v="1Point Rate"/>
    <s v="MTG"/>
    <x v="176"/>
    <n v="4.1598579134474827"/>
  </r>
  <r>
    <x v="3"/>
    <s v="Wells Fargo"/>
    <s v="1Point Rate"/>
    <s v="MTG"/>
    <x v="177"/>
    <n v="4.1598579134474827"/>
  </r>
  <r>
    <x v="3"/>
    <s v="Wells Fargo"/>
    <s v="1Point Rate"/>
    <s v="MTG"/>
    <x v="178"/>
    <n v="4.0337762365220735"/>
  </r>
  <r>
    <x v="3"/>
    <s v="Wells Fargo"/>
    <s v="1Point Rate"/>
    <s v="MTG"/>
    <x v="179"/>
    <n v="3.9935656386559404"/>
  </r>
  <r>
    <x v="3"/>
    <s v="Wells Fargo"/>
    <s v="1Point Rate"/>
    <s v="MTG"/>
    <x v="180"/>
    <n v="4.0337762365220735"/>
  </r>
  <r>
    <x v="3"/>
    <s v="Wells Fargo"/>
    <s v="1Point Rate"/>
    <s v="MTG"/>
    <x v="181"/>
    <n v="4.0337762365220735"/>
  </r>
  <r>
    <x v="3"/>
    <s v="Wells Fargo"/>
    <s v="1Point Rate"/>
    <s v="MTG"/>
    <x v="182"/>
    <n v="3.9622989719892732"/>
  </r>
  <r>
    <x v="3"/>
    <s v="Wells Fargo"/>
    <s v="1Point Rate"/>
    <s v="MTG"/>
    <x v="183"/>
    <n v="3.9622989719892732"/>
  </r>
  <r>
    <x v="3"/>
    <s v="Wells Fargo"/>
    <s v="1Point Rate"/>
    <s v="MTG"/>
    <x v="184"/>
    <n v="3.965632305322607"/>
  </r>
  <r>
    <x v="3"/>
    <s v="Wells Fargo"/>
    <s v="1Point Rate"/>
    <s v="MTG"/>
    <x v="185"/>
    <n v="3.965632305322607"/>
  </r>
  <r>
    <x v="3"/>
    <s v="Wells Fargo"/>
    <s v="1Point Rate"/>
    <s v="MTG"/>
    <x v="186"/>
    <n v="3.965632305322607"/>
  </r>
  <r>
    <x v="3"/>
    <s v="Wells Fargo"/>
    <s v="1Point Rate"/>
    <s v="MTG"/>
    <x v="187"/>
    <n v="3.965632305322607"/>
  </r>
  <r>
    <x v="3"/>
    <s v="Wells Fargo"/>
    <s v="1Point Rate"/>
    <s v="MTG"/>
    <x v="188"/>
    <n v="3.965632305322607"/>
  </r>
  <r>
    <x v="3"/>
    <s v="Wells Fargo"/>
    <s v="1Point Rate"/>
    <s v="MTG"/>
    <x v="189"/>
    <n v="3.9110622461314657"/>
  </r>
  <r>
    <x v="3"/>
    <s v="Wells Fargo"/>
    <s v="1Point Rate"/>
    <s v="MTG"/>
    <x v="190"/>
    <n v="3.9110622461314657"/>
  </r>
  <r>
    <x v="3"/>
    <s v="Wells Fargo"/>
    <s v="1Point Rate"/>
    <s v="MTG"/>
    <x v="191"/>
    <n v="4.0371095698554074"/>
  </r>
  <r>
    <x v="3"/>
    <s v="Wells Fargo"/>
    <s v="1Point Rate"/>
    <s v="MTG"/>
    <x v="192"/>
    <n v="3.9724372052432981"/>
  </r>
  <r>
    <x v="3"/>
    <s v="Wells Fargo"/>
    <s v="1Point Rate"/>
    <s v="MTG"/>
    <x v="193"/>
    <n v="3.9724372052432981"/>
  </r>
  <r>
    <x v="3"/>
    <s v="Wells Fargo"/>
    <s v="1Point Rate"/>
    <s v="MTG"/>
    <x v="194"/>
    <n v="3.9724372052432981"/>
  </r>
  <r>
    <x v="3"/>
    <s v="Wells Fargo"/>
    <s v="1Point Rate"/>
    <s v="MTG"/>
    <x v="195"/>
    <n v="3.965632305322607"/>
  </r>
  <r>
    <x v="3"/>
    <s v="Wells Fargo"/>
    <s v="1Point Rate"/>
    <s v="MTG"/>
    <x v="196"/>
    <n v="3.965632305322607"/>
  </r>
  <r>
    <x v="3"/>
    <s v="Wells Fargo"/>
    <s v="1Point Rate"/>
    <s v="MTG"/>
    <x v="197"/>
    <n v="3.9724372052432981"/>
  </r>
  <r>
    <x v="3"/>
    <s v="Wells Fargo"/>
    <s v="1Point Rate"/>
    <s v="MTG"/>
    <x v="198"/>
    <n v="3.9724372052432981"/>
  </r>
  <r>
    <x v="3"/>
    <s v="Wells Fargo"/>
    <s v="1Point Rate"/>
    <s v="MTG"/>
    <x v="199"/>
    <n v="4.0371095698554074"/>
  </r>
  <r>
    <x v="3"/>
    <s v="Wells Fargo"/>
    <s v="1Point Rate"/>
    <s v="MTG"/>
    <x v="200"/>
    <n v="4.0371095698554074"/>
  </r>
  <r>
    <x v="3"/>
    <s v="Wells Fargo"/>
    <s v="1Point Rate"/>
    <s v="MTG"/>
    <x v="201"/>
    <n v="4.0371095698554074"/>
  </r>
  <r>
    <x v="3"/>
    <s v="Wells Fargo"/>
    <s v="1Point Rate"/>
    <s v="MTG"/>
    <x v="202"/>
    <n v="3.965632305322607"/>
  </r>
  <r>
    <x v="3"/>
    <s v="Wells Fargo"/>
    <s v="1Point Rate"/>
    <s v="MTG"/>
    <x v="203"/>
    <n v="3.965632305322607"/>
  </r>
  <r>
    <x v="3"/>
    <s v="Wells Fargo"/>
    <s v="1Point Rate"/>
    <s v="MTG"/>
    <x v="204"/>
    <n v="3.965632305322607"/>
  </r>
  <r>
    <x v="3"/>
    <s v="Wells Fargo"/>
    <s v="1Point Rate"/>
    <s v="MTG"/>
    <x v="205"/>
    <n v="4.0371095698554074"/>
  </r>
  <r>
    <x v="3"/>
    <s v="Wells Fargo"/>
    <s v="1Point Rate"/>
    <s v="MTG"/>
    <x v="206"/>
    <n v="4.0371095698554074"/>
  </r>
  <r>
    <x v="3"/>
    <s v="Wells Fargo"/>
    <s v="1Point Rate"/>
    <s v="MTG"/>
    <x v="207"/>
    <n v="3.9968989719892734"/>
  </r>
  <r>
    <x v="3"/>
    <s v="Wells Fargo"/>
    <s v="1Point Rate"/>
    <s v="MTG"/>
    <x v="208"/>
    <n v="3.9968989719892734"/>
  </r>
  <r>
    <x v="3"/>
    <s v="Wells Fargo"/>
    <s v="1Point Rate"/>
    <s v="MTG"/>
    <x v="209"/>
    <n v="4.0371095698554074"/>
  </r>
  <r>
    <x v="3"/>
    <s v="Wells Fargo"/>
    <s v="1Point Rate"/>
    <s v="MTG"/>
    <x v="210"/>
    <n v="3.9968989719892734"/>
  </r>
  <r>
    <x v="3"/>
    <s v="Wells Fargo"/>
    <s v="1Point Rate"/>
    <s v="MTG"/>
    <x v="211"/>
    <n v="3.9968989719892734"/>
  </r>
  <r>
    <x v="3"/>
    <s v="Wells Fargo"/>
    <s v="1Point Rate"/>
    <s v="MTG"/>
    <x v="212"/>
    <n v="3.965632305322607"/>
  </r>
  <r>
    <x v="3"/>
    <s v="Wells Fargo"/>
    <s v="1Point Rate"/>
    <s v="MTG"/>
    <x v="213"/>
    <n v="3.9110622461314657"/>
  </r>
  <r>
    <x v="3"/>
    <s v="Wells Fargo"/>
    <s v="1Point Rate"/>
    <s v="MTG"/>
    <x v="214"/>
    <n v="3.8395192426148759"/>
  </r>
  <r>
    <x v="3"/>
    <s v="Wells Fargo"/>
    <s v="1Point Rate"/>
    <s v="MTG"/>
    <x v="215"/>
    <n v="3.8395192426148759"/>
  </r>
  <r>
    <x v="3"/>
    <s v="Wells Fargo"/>
    <s v="1Point Rate"/>
    <s v="MTG"/>
    <x v="216"/>
    <n v="3.7819467858228437"/>
  </r>
  <r>
    <x v="3"/>
    <s v="Wells Fargo"/>
    <s v="1Point Rate"/>
    <s v="MTG"/>
    <x v="217"/>
    <n v="3.8465772748965774"/>
  </r>
  <r>
    <x v="3"/>
    <s v="Wells Fargo"/>
    <s v="1Point Rate"/>
    <s v="MTG"/>
    <x v="218"/>
    <n v="3.7819467858228437"/>
  </r>
  <r>
    <x v="3"/>
    <s v="Wells Fargo"/>
    <s v="1Point Rate"/>
    <s v="MTG"/>
    <x v="219"/>
    <n v="3.7133735457080617"/>
  </r>
  <r>
    <x v="3"/>
    <s v="Wells Fargo"/>
    <s v="1Point Rate"/>
    <s v="MTG"/>
    <x v="220"/>
    <n v="3.744640212374728"/>
  </r>
  <r>
    <x v="3"/>
    <s v="Wells Fargo"/>
    <s v="1Point Rate"/>
    <s v="MTG"/>
    <x v="221"/>
    <n v="3.7133735457080617"/>
  </r>
  <r>
    <x v="3"/>
    <s v="Wells Fargo"/>
    <s v="1Point Rate"/>
    <s v="MTG"/>
    <x v="222"/>
    <n v="3.7133735457080617"/>
  </r>
  <r>
    <x v="3"/>
    <s v="Wells Fargo"/>
    <s v="1Point Rate"/>
    <s v="MTG"/>
    <x v="223"/>
    <n v="3.7819467858228437"/>
  </r>
  <r>
    <x v="3"/>
    <s v="Wells Fargo"/>
    <s v="1Point Rate"/>
    <s v="MTG"/>
    <x v="224"/>
    <n v="3.744640212374728"/>
  </r>
  <r>
    <x v="3"/>
    <s v="Wells Fargo"/>
    <s v="1Point Rate"/>
    <s v="MTG"/>
    <x v="225"/>
    <n v="3.744640212374728"/>
  </r>
  <r>
    <x v="3"/>
    <s v="Wells Fargo"/>
    <s v="1Point Rate"/>
    <s v="MTG"/>
    <x v="226"/>
    <n v="3.7819467858228437"/>
  </r>
  <r>
    <x v="3"/>
    <s v="Wells Fargo"/>
    <s v="1Point Rate"/>
    <s v="MTG"/>
    <x v="227"/>
    <n v="3.744640212374728"/>
  </r>
  <r>
    <x v="3"/>
    <s v="Wells Fargo"/>
    <s v="1Point Rate"/>
    <s v="MTG"/>
    <x v="228"/>
    <n v="3.7133735457080617"/>
  </r>
  <r>
    <x v="3"/>
    <s v="Wells Fargo"/>
    <s v="1Point Rate"/>
    <s v="MTG"/>
    <x v="229"/>
    <n v="3.7454735457080615"/>
  </r>
  <r>
    <x v="3"/>
    <s v="Wells Fargo"/>
    <s v="1Point Rate"/>
    <s v="MTG"/>
    <x v="230"/>
    <n v="3.714206879041395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156">
  <r>
    <s v="30YrConformingConventional"/>
    <s v="Bank of America"/>
    <x v="0"/>
    <s v="MTG"/>
    <x v="0"/>
    <n v="1.4212973282672137"/>
  </r>
  <r>
    <s v="30YrConformingConventional"/>
    <s v="Bank of America"/>
    <x v="0"/>
    <s v="MTG"/>
    <x v="1"/>
    <n v="1.4538805196385804"/>
  </r>
  <r>
    <s v="30YrConformingConventional"/>
    <s v="Bank of America"/>
    <x v="0"/>
    <s v="MTG"/>
    <x v="2"/>
    <n v="1.4595784375698646"/>
  </r>
  <r>
    <s v="30YrConformingConventional"/>
    <s v="Bank of America"/>
    <x v="0"/>
    <s v="MTG"/>
    <x v="3"/>
    <n v="1.4360929633267601"/>
  </r>
  <r>
    <s v="30YrConformingConventional"/>
    <s v="Bank of America"/>
    <x v="0"/>
    <s v="MTG"/>
    <x v="4"/>
    <n v="1.4117383662411456"/>
  </r>
  <r>
    <s v="30YrConformingConventional"/>
    <s v="Bank of America"/>
    <x v="0"/>
    <s v="MTG"/>
    <x v="5"/>
    <n v="1.434637613344325"/>
  </r>
  <r>
    <s v="30YrConformingConventional"/>
    <s v="Bank of America"/>
    <x v="0"/>
    <s v="MTG"/>
    <x v="6"/>
    <n v="1.4414546828382009"/>
  </r>
  <r>
    <s v="30YrConformingConventional"/>
    <s v="Bank of America"/>
    <x v="0"/>
    <s v="MTG"/>
    <x v="7"/>
    <n v="1.3733506898048042"/>
  </r>
  <r>
    <s v="30YrConformingConventional"/>
    <s v="Bank of America"/>
    <x v="0"/>
    <s v="MTG"/>
    <x v="8"/>
    <n v="1.4202216163192376"/>
  </r>
  <r>
    <s v="30YrConformingConventional"/>
    <s v="Bank of America"/>
    <x v="0"/>
    <s v="MTG"/>
    <x v="9"/>
    <n v="1.3453422461391324"/>
  </r>
  <r>
    <s v="30YrConformingConventional"/>
    <s v="Bank of America"/>
    <x v="0"/>
    <s v="MTG"/>
    <x v="10"/>
    <n v="1.3442181458154518"/>
  </r>
  <r>
    <s v="30YrConformingConventional"/>
    <s v="Bank of America"/>
    <x v="0"/>
    <s v="MTG"/>
    <x v="11"/>
    <n v="1.4236043382832138"/>
  </r>
  <r>
    <s v="30YrConformingConventional"/>
    <s v="Bank of America"/>
    <x v="0"/>
    <s v="MTG"/>
    <x v="12"/>
    <n v="1.3566722547216032"/>
  </r>
  <r>
    <s v="30YrConformingConventional"/>
    <s v="Bank of America"/>
    <x v="0"/>
    <s v="MTG"/>
    <x v="13"/>
    <n v="1.3707489922748624"/>
  </r>
  <r>
    <s v="30YrConformingConventional"/>
    <s v="Bank of America"/>
    <x v="0"/>
    <s v="MTG"/>
    <x v="14"/>
    <n v="1.3434433900637273"/>
  </r>
  <r>
    <s v="30YrConformingConventional"/>
    <s v="Bank of America"/>
    <x v="0"/>
    <s v="MTG"/>
    <x v="15"/>
    <n v="1.367305440610632"/>
  </r>
  <r>
    <s v="30YrConformingConventional"/>
    <s v="Bank of America"/>
    <x v="0"/>
    <s v="MTG"/>
    <x v="16"/>
    <n v="1.327862212271417"/>
  </r>
  <r>
    <s v="30YrConformingConventional"/>
    <s v="Bank of America"/>
    <x v="0"/>
    <s v="MTG"/>
    <x v="17"/>
    <n v="1.3969036091673523"/>
  </r>
  <r>
    <s v="30YrConformingConventional"/>
    <s v="Bank of America"/>
    <x v="0"/>
    <s v="MTG"/>
    <x v="18"/>
    <n v="1.4288746403651937"/>
  </r>
  <r>
    <s v="30YrConformingConventional"/>
    <s v="Bank of America"/>
    <x v="0"/>
    <s v="MTG"/>
    <x v="19"/>
    <n v="1.4081051951872599"/>
  </r>
  <r>
    <s v="30YrConformingConventional"/>
    <s v="Bank of America"/>
    <x v="0"/>
    <s v="MTG"/>
    <x v="20"/>
    <n v="1.5496394837349492"/>
  </r>
  <r>
    <s v="30YrConformingConventional"/>
    <s v="Bank of America"/>
    <x v="0"/>
    <s v="MTG"/>
    <x v="21"/>
    <n v="1.5879040246684941"/>
  </r>
  <r>
    <s v="30YrConformingConventional"/>
    <s v="Bank of America"/>
    <x v="0"/>
    <s v="MTG"/>
    <x v="22"/>
    <n v="1.5417664941480935"/>
  </r>
  <r>
    <s v="30YrConformingConventional"/>
    <s v="Bank of America"/>
    <x v="0"/>
    <s v="MTG"/>
    <x v="23"/>
    <n v="1.566853019639814"/>
  </r>
  <r>
    <s v="30YrConformingConventional"/>
    <s v="Bank of America"/>
    <x v="0"/>
    <s v="MTG"/>
    <x v="24"/>
    <n v="1.5972967358474679"/>
  </r>
  <r>
    <s v="30YrConformingConventional"/>
    <s v="Bank of America"/>
    <x v="0"/>
    <s v="MTG"/>
    <x v="25"/>
    <n v="1.6317285692936163"/>
  </r>
  <r>
    <s v="30YrConformingConventional"/>
    <s v="Bank of America"/>
    <x v="0"/>
    <s v="MTG"/>
    <x v="26"/>
    <n v="1.6108923279367977"/>
  </r>
  <r>
    <s v="30YrConformingConventional"/>
    <s v="Bank of America"/>
    <x v="0"/>
    <s v="MTG"/>
    <x v="27"/>
    <n v="1.577689840766002"/>
  </r>
  <r>
    <s v="30YrConformingConventional"/>
    <s v="Bank of America"/>
    <x v="0"/>
    <s v="MTG"/>
    <x v="28"/>
    <n v="1.5696829020466398"/>
  </r>
  <r>
    <s v="30YrConformingConventional"/>
    <s v="Bank of America"/>
    <x v="0"/>
    <s v="MTG"/>
    <x v="29"/>
    <n v="1.5869407909553535"/>
  </r>
  <r>
    <s v="30YrConformingConventional"/>
    <s v="Bank of America"/>
    <x v="0"/>
    <s v="MTG"/>
    <x v="30"/>
    <n v="1.5756034291830356"/>
  </r>
  <r>
    <s v="30YrConformingConventional"/>
    <s v="Bank of America"/>
    <x v="0"/>
    <s v="MTG"/>
    <x v="31"/>
    <n v="1.590711184285585"/>
  </r>
  <r>
    <s v="30YrConformingConventional"/>
    <s v="Bank of America"/>
    <x v="0"/>
    <s v="MTG"/>
    <x v="32"/>
    <n v="1.584783703229552"/>
  </r>
  <r>
    <s v="30YrConformingConventional"/>
    <s v="Bank of America"/>
    <x v="0"/>
    <s v="MTG"/>
    <x v="33"/>
    <n v="1.5581889968587042"/>
  </r>
  <r>
    <s v="30YrConformingConventional"/>
    <s v="Bank of America"/>
    <x v="0"/>
    <s v="MTG"/>
    <x v="34"/>
    <n v="1.5532602364254431"/>
  </r>
  <r>
    <s v="30YrConformingConventional"/>
    <s v="Bank of America"/>
    <x v="0"/>
    <s v="MTG"/>
    <x v="35"/>
    <n v="1.5793431858039257"/>
  </r>
  <r>
    <s v="30YrConformingConventional"/>
    <s v="Bank of America"/>
    <x v="0"/>
    <s v="MTG"/>
    <x v="36"/>
    <n v="1.5353482312671591"/>
  </r>
  <r>
    <s v="30YrConformingConventional"/>
    <s v="Bank of America"/>
    <x v="0"/>
    <s v="MTG"/>
    <x v="37"/>
    <n v="1.5397004736750313"/>
  </r>
  <r>
    <s v="30YrConformingConventional"/>
    <s v="Bank of America"/>
    <x v="0"/>
    <s v="MTG"/>
    <x v="38"/>
    <n v="1.5634899443794636"/>
  </r>
  <r>
    <s v="30YrConformingConventional"/>
    <s v="Bank of America"/>
    <x v="0"/>
    <s v="MTG"/>
    <x v="39"/>
    <n v="1.5493153117300138"/>
  </r>
  <r>
    <s v="30YrConformingConventional"/>
    <s v="Bank of America"/>
    <x v="0"/>
    <s v="MTG"/>
    <x v="40"/>
    <n v="1.5496569772517022"/>
  </r>
  <r>
    <s v="30YrConformingConventional"/>
    <s v="Bank of America"/>
    <x v="0"/>
    <s v="MTG"/>
    <x v="41"/>
    <n v="1.5204617852732729"/>
  </r>
  <r>
    <s v="30YrConformingConventional"/>
    <s v="Bank of America"/>
    <x v="0"/>
    <s v="MTG"/>
    <x v="42"/>
    <n v="1.4752359208075061"/>
  </r>
  <r>
    <s v="30YrConformingConventional"/>
    <s v="Bank of America"/>
    <x v="0"/>
    <s v="MTG"/>
    <x v="43"/>
    <n v="1.4607977497664324"/>
  </r>
  <r>
    <s v="30YrConformingConventional"/>
    <s v="Bank of America"/>
    <x v="0"/>
    <s v="MTG"/>
    <x v="44"/>
    <n v="1.475207853795258"/>
  </r>
  <r>
    <s v="30YrConformingConventional"/>
    <s v="Bank of America"/>
    <x v="0"/>
    <s v="MTG"/>
    <x v="45"/>
    <n v="1.4266403402545991"/>
  </r>
  <r>
    <s v="30YrConformingConventional"/>
    <s v="Bank of America"/>
    <x v="0"/>
    <s v="MTG"/>
    <x v="46"/>
    <n v="1.4325538212829705"/>
  </r>
  <r>
    <s v="30YrConformingConventional"/>
    <s v="Bank of America"/>
    <x v="0"/>
    <s v="MTG"/>
    <x v="47"/>
    <n v="1.4842570423911829"/>
  </r>
  <r>
    <s v="30YrConformingConventional"/>
    <s v="Bank of America"/>
    <x v="0"/>
    <s v="MTG"/>
    <x v="48"/>
    <n v="1.4796482487599225"/>
  </r>
  <r>
    <s v="30YrConformingConventional"/>
    <s v="Bank of America"/>
    <x v="0"/>
    <s v="MTG"/>
    <x v="49"/>
    <n v="1.3442992513367309"/>
  </r>
  <r>
    <s v="30YrConformingConventional"/>
    <s v="Bank of America"/>
    <x v="0"/>
    <s v="MTG"/>
    <x v="50"/>
    <n v="1.3279910966528103"/>
  </r>
  <r>
    <s v="30YrConformingConventional"/>
    <s v="Bank of America"/>
    <x v="0"/>
    <s v="MTG"/>
    <x v="51"/>
    <n v="1.3056715764918907"/>
  </r>
  <r>
    <s v="30YrConformingConventional"/>
    <s v="Bank of America"/>
    <x v="0"/>
    <s v="MTG"/>
    <x v="52"/>
    <n v="1.3573902929718507"/>
  </r>
  <r>
    <s v="30YrConformingConventional"/>
    <s v="Bank of America"/>
    <x v="0"/>
    <s v="MTG"/>
    <x v="53"/>
    <n v="1.4379641427249803"/>
  </r>
  <r>
    <s v="30YrConformingConventional"/>
    <s v="Bank of America"/>
    <x v="0"/>
    <s v="MTG"/>
    <x v="54"/>
    <n v="1.3658173375018536"/>
  </r>
  <r>
    <s v="30YrConformingConventional"/>
    <s v="Bank of America"/>
    <x v="0"/>
    <s v="MTG"/>
    <x v="55"/>
    <n v="1.4304106628608606"/>
  </r>
  <r>
    <s v="30YrConformingConventional"/>
    <s v="Bank of America"/>
    <x v="0"/>
    <s v="MTG"/>
    <x v="56"/>
    <n v="1.4299466031505799"/>
  </r>
  <r>
    <s v="30YrConformingConventional"/>
    <s v="Bank of America"/>
    <x v="0"/>
    <s v="MTG"/>
    <x v="57"/>
    <n v="1.4569078158252984"/>
  </r>
  <r>
    <s v="30YrConformingConventional"/>
    <s v="Bank of America"/>
    <x v="0"/>
    <s v="MTG"/>
    <x v="58"/>
    <n v="1.4632492292194674"/>
  </r>
  <r>
    <s v="30YrConformingConventional"/>
    <s v="Bank of America"/>
    <x v="0"/>
    <s v="MTG"/>
    <x v="59"/>
    <n v="1.5279709851186456"/>
  </r>
  <r>
    <s v="30YrConformingConventional"/>
    <s v="Bank of America"/>
    <x v="0"/>
    <s v="MTG"/>
    <x v="60"/>
    <n v="1.5028807399108037"/>
  </r>
  <r>
    <s v="30YrConformingConventional"/>
    <s v="Bank of America"/>
    <x v="0"/>
    <s v="MTG"/>
    <x v="61"/>
    <n v="1.4492362082934953"/>
  </r>
  <r>
    <s v="30YrConformingConventional"/>
    <s v="Bank of America"/>
    <x v="0"/>
    <s v="MTG"/>
    <x v="62"/>
    <n v="1.3960132397472698"/>
  </r>
  <r>
    <s v="30YrConformingConventional"/>
    <s v="Bank of America"/>
    <x v="0"/>
    <s v="MTG"/>
    <x v="63"/>
    <n v="1.4878260656745013"/>
  </r>
  <r>
    <s v="30YrConformingConventional"/>
    <s v="Bank of America"/>
    <x v="0"/>
    <s v="MTG"/>
    <x v="64"/>
    <n v="1.4138992097684413"/>
  </r>
  <r>
    <s v="30YrConformingConventional"/>
    <s v="Bank of America"/>
    <x v="0"/>
    <s v="MTG"/>
    <x v="65"/>
    <n v="1.4038895886105365"/>
  </r>
  <r>
    <s v="30YrConformingConventional"/>
    <s v="Bank of America"/>
    <x v="0"/>
    <s v="MTG"/>
    <x v="66"/>
    <n v="1.3947325637516592"/>
  </r>
  <r>
    <s v="30YrConformingConventional"/>
    <s v="Bank of America"/>
    <x v="0"/>
    <s v="MTG"/>
    <x v="67"/>
    <n v="1.3883388536850154"/>
  </r>
  <r>
    <s v="30YrConformingConventional"/>
    <s v="Bank of America"/>
    <x v="0"/>
    <s v="MTG"/>
    <x v="68"/>
    <n v="1.4129915036196865"/>
  </r>
  <r>
    <s v="30YrConformingConventional"/>
    <s v="Bank of America"/>
    <x v="0"/>
    <s v="MTG"/>
    <x v="69"/>
    <n v="1.4438055753897185"/>
  </r>
  <r>
    <s v="30YrConformingConventional"/>
    <s v="Bank of America"/>
    <x v="0"/>
    <s v="MTG"/>
    <x v="70"/>
    <n v="1.4416733602801102"/>
  </r>
  <r>
    <s v="30YrConformingConventional"/>
    <s v="Bank of America"/>
    <x v="0"/>
    <s v="MTG"/>
    <x v="71"/>
    <n v="1.4685166448949154"/>
  </r>
  <r>
    <s v="30YrConformingConventional"/>
    <s v="Bank of America"/>
    <x v="0"/>
    <s v="MTG"/>
    <x v="72"/>
    <n v="1.4354149301418599"/>
  </r>
  <r>
    <s v="30YrConformingConventional"/>
    <s v="Bank of America"/>
    <x v="0"/>
    <s v="MTG"/>
    <x v="73"/>
    <n v="1.4453873103770127"/>
  </r>
  <r>
    <s v="30YrConformingConventional"/>
    <s v="Bank of America"/>
    <x v="0"/>
    <s v="MTG"/>
    <x v="74"/>
    <n v="1.4390058429308146"/>
  </r>
  <r>
    <s v="30YrConformingConventional"/>
    <s v="Bank of America"/>
    <x v="0"/>
    <s v="MTG"/>
    <x v="75"/>
    <n v="1.4692437380368819"/>
  </r>
  <r>
    <s v="30YrConformingConventional"/>
    <s v="Bank of America"/>
    <x v="0"/>
    <s v="MTG"/>
    <x v="76"/>
    <n v="1.3996843817032874"/>
  </r>
  <r>
    <s v="30YrConformingConventional"/>
    <s v="Bank of America"/>
    <x v="0"/>
    <s v="MTG"/>
    <x v="77"/>
    <n v="1.4265860519031293"/>
  </r>
  <r>
    <s v="30YrConformingConventional"/>
    <s v="Bank of America"/>
    <x v="0"/>
    <s v="MTG"/>
    <x v="78"/>
    <n v="1.3732244901243731"/>
  </r>
  <r>
    <s v="30YrConformingConventional"/>
    <s v="Bank of America"/>
    <x v="0"/>
    <s v="MTG"/>
    <x v="79"/>
    <n v="1.4051578986780211"/>
  </r>
  <r>
    <s v="30YrConformingConventional"/>
    <s v="Bank of America"/>
    <x v="0"/>
    <s v="MTG"/>
    <x v="80"/>
    <n v="1.3982961709898136"/>
  </r>
  <r>
    <s v="30YrConformingConventional"/>
    <s v="Bank of America"/>
    <x v="0"/>
    <s v="MTG"/>
    <x v="81"/>
    <n v="1.3852138453509022"/>
  </r>
  <r>
    <s v="30YrConformingConventional"/>
    <s v="Bank of America"/>
    <x v="0"/>
    <s v="MTG"/>
    <x v="82"/>
    <n v="1.4030007101246917"/>
  </r>
  <r>
    <s v="30YrConformingConventional"/>
    <s v="Bank of America"/>
    <x v="0"/>
    <s v="MTG"/>
    <x v="83"/>
    <n v="1.4907915899279671"/>
  </r>
  <r>
    <s v="30YrConformingConventional"/>
    <s v="Bank of America"/>
    <x v="0"/>
    <s v="MTG"/>
    <x v="84"/>
    <n v="1.4191644462264212"/>
  </r>
  <r>
    <s v="30YrConformingConventional"/>
    <s v="Bank of America"/>
    <x v="0"/>
    <s v="MTG"/>
    <x v="85"/>
    <n v="1.4705739977736068"/>
  </r>
  <r>
    <s v="30YrConformingConventional"/>
    <s v="Bank of America"/>
    <x v="0"/>
    <s v="MTG"/>
    <x v="86"/>
    <n v="1.4344115256412833"/>
  </r>
  <r>
    <s v="30YrConformingConventional"/>
    <s v="Bank of America"/>
    <x v="0"/>
    <s v="MTG"/>
    <x v="87"/>
    <n v="1.4543697678100846"/>
  </r>
  <r>
    <s v="30YrConformingConventional"/>
    <s v="Bank of America"/>
    <x v="0"/>
    <s v="MTG"/>
    <x v="88"/>
    <n v="1.4886674852774087"/>
  </r>
  <r>
    <s v="30YrConformingConventional"/>
    <s v="Bank of America"/>
    <x v="0"/>
    <s v="MTG"/>
    <x v="89"/>
    <n v="1.5654865618600153"/>
  </r>
  <r>
    <s v="30YrConformingConventional"/>
    <s v="Bank of America"/>
    <x v="0"/>
    <s v="MTG"/>
    <x v="90"/>
    <n v="1.4926391523791853"/>
  </r>
  <r>
    <s v="30YrConformingConventional"/>
    <s v="Bank of America"/>
    <x v="0"/>
    <s v="MTG"/>
    <x v="91"/>
    <n v="1.4491633035923392"/>
  </r>
  <r>
    <s v="30YrConformingConventional"/>
    <s v="Bank of America"/>
    <x v="0"/>
    <s v="MTG"/>
    <x v="92"/>
    <n v="1.4984384715417181"/>
  </r>
  <r>
    <s v="30YrConformingConventional"/>
    <s v="Bank of America"/>
    <x v="0"/>
    <s v="MTG"/>
    <x v="93"/>
    <n v="1.4391155694354067"/>
  </r>
  <r>
    <s v="30YrConformingConventional"/>
    <s v="Bank of America"/>
    <x v="0"/>
    <s v="MTG"/>
    <x v="94"/>
    <n v="1.4820339969784169"/>
  </r>
  <r>
    <s v="30YrConformingConventional"/>
    <s v="Bank of America"/>
    <x v="0"/>
    <s v="MTG"/>
    <x v="95"/>
    <n v="1.4137621493606665"/>
  </r>
  <r>
    <s v="30YrConformingConventional"/>
    <s v="Bank of America"/>
    <x v="0"/>
    <s v="MTG"/>
    <x v="96"/>
    <n v="1.3953089089250075"/>
  </r>
  <r>
    <s v="30YrConformingConventional"/>
    <s v="Bank of America"/>
    <x v="0"/>
    <s v="MTG"/>
    <x v="97"/>
    <n v="1.3759052576474176"/>
  </r>
  <r>
    <s v="30YrConformingConventional"/>
    <s v="Bank of America"/>
    <x v="0"/>
    <s v="MTG"/>
    <x v="98"/>
    <n v="1.4286340196471383"/>
  </r>
  <r>
    <s v="30YrConformingConventional"/>
    <s v="Bank of America"/>
    <x v="0"/>
    <s v="MTG"/>
    <x v="99"/>
    <n v="1.4539211920399711"/>
  </r>
  <r>
    <s v="30YrConformingConventional"/>
    <s v="Bank of America"/>
    <x v="0"/>
    <s v="MTG"/>
    <x v="100"/>
    <n v="1.4507515913062277"/>
  </r>
  <r>
    <s v="30YrConformingConventional"/>
    <s v="Bank of America"/>
    <x v="0"/>
    <s v="MTG"/>
    <x v="101"/>
    <n v="1.4115999979508493"/>
  </r>
  <r>
    <s v="30YrConformingConventional"/>
    <s v="Bank of America"/>
    <x v="0"/>
    <s v="MTG"/>
    <x v="102"/>
    <n v="1.4638126045131872"/>
  </r>
  <r>
    <s v="30YrConformingConventional"/>
    <s v="Bank of America"/>
    <x v="0"/>
    <s v="MTG"/>
    <x v="103"/>
    <n v="1.4793540082698529"/>
  </r>
  <r>
    <s v="30YrConformingConventional"/>
    <s v="Bank of America"/>
    <x v="0"/>
    <s v="MTG"/>
    <x v="104"/>
    <n v="1.4657398986657422"/>
  </r>
  <r>
    <s v="30YrConformingConventional"/>
    <s v="Bank of America"/>
    <x v="0"/>
    <s v="MTG"/>
    <x v="105"/>
    <n v="1.4954131871900374"/>
  </r>
  <r>
    <s v="30YrConformingConventional"/>
    <s v="Bank of America"/>
    <x v="0"/>
    <s v="MTG"/>
    <x v="106"/>
    <n v="1.4584339847358858"/>
  </r>
  <r>
    <s v="30YrConformingConventional"/>
    <s v="Bank of America"/>
    <x v="0"/>
    <s v="MTG"/>
    <x v="107"/>
    <n v="1.4996119210214647"/>
  </r>
  <r>
    <s v="30YrConformingConventional"/>
    <s v="Bank of America"/>
    <x v="0"/>
    <s v="MTG"/>
    <x v="108"/>
    <n v="1.4553497586985888"/>
  </r>
  <r>
    <s v="30YrConformingConventional"/>
    <s v="Bank of America"/>
    <x v="0"/>
    <s v="MTG"/>
    <x v="109"/>
    <n v="1.4924937777913119"/>
  </r>
  <r>
    <s v="30YrConformingConventional"/>
    <s v="Bank of America"/>
    <x v="0"/>
    <s v="MTG"/>
    <x v="110"/>
    <n v="1.5409787619072055"/>
  </r>
  <r>
    <s v="30YrConformingConventional"/>
    <s v="Bank of America"/>
    <x v="0"/>
    <s v="MTG"/>
    <x v="111"/>
    <n v="1.4242454553585564"/>
  </r>
  <r>
    <s v="30YrConformingConventional"/>
    <s v="Bank of America"/>
    <x v="0"/>
    <s v="MTG"/>
    <x v="112"/>
    <n v="1.4422068354014699"/>
  </r>
  <r>
    <s v="30YrConformingConventional"/>
    <s v="Bank of America"/>
    <x v="0"/>
    <s v="MTG"/>
    <x v="113"/>
    <n v="1.475763394548218"/>
  </r>
  <r>
    <s v="30YrConformingConventional"/>
    <s v="Bank of America"/>
    <x v="0"/>
    <s v="MTG"/>
    <x v="114"/>
    <n v="1.5207406211857697"/>
  </r>
  <r>
    <s v="30YrConformingConventional"/>
    <s v="Bank of America"/>
    <x v="0"/>
    <s v="MTG"/>
    <x v="115"/>
    <n v="1.4207564955570056"/>
  </r>
  <r>
    <s v="30YrConformingConventional"/>
    <s v="Bank of America"/>
    <x v="0"/>
    <s v="MTG"/>
    <x v="116"/>
    <n v="1.4697198242720515"/>
  </r>
  <r>
    <s v="30YrConformingConventional"/>
    <s v="Bank of America"/>
    <x v="0"/>
    <s v="MTG"/>
    <x v="117"/>
    <n v="1.3828494386195826"/>
  </r>
  <r>
    <s v="30YrConformingConventional"/>
    <s v="Bank of America"/>
    <x v="0"/>
    <s v="MTG"/>
    <x v="118"/>
    <n v="1.4026468698808754"/>
  </r>
  <r>
    <s v="30YrConformingConventional"/>
    <s v="Bank of America"/>
    <x v="0"/>
    <s v="MTG"/>
    <x v="119"/>
    <n v="1.4840567348768356"/>
  </r>
  <r>
    <s v="30YrConformingConventional"/>
    <s v="Bank of America"/>
    <x v="0"/>
    <s v="MTG"/>
    <x v="120"/>
    <n v="1.4803415500365495"/>
  </r>
  <r>
    <s v="30YrConformingConventional"/>
    <s v="Bank of America"/>
    <x v="0"/>
    <s v="MTG"/>
    <x v="121"/>
    <n v="1.4619667710336273"/>
  </r>
  <r>
    <s v="30YrConformingConventional"/>
    <s v="Bank of America"/>
    <x v="0"/>
    <s v="MTG"/>
    <x v="122"/>
    <n v="1.4441024028992371"/>
  </r>
  <r>
    <s v="30YrConformingConventional"/>
    <s v="Bank of America"/>
    <x v="0"/>
    <s v="MTG"/>
    <x v="123"/>
    <n v="1.3854486805980459"/>
  </r>
  <r>
    <s v="30YrConformingConventional"/>
    <s v="Bank of America"/>
    <x v="0"/>
    <s v="MTG"/>
    <x v="124"/>
    <n v="1.448796898887305"/>
  </r>
  <r>
    <s v="30YrConformingConventional"/>
    <s v="Bank of America"/>
    <x v="0"/>
    <s v="MTG"/>
    <x v="125"/>
    <n v="1.3574387392851748"/>
  </r>
  <r>
    <s v="30YrConformingConventional"/>
    <s v="Bank of America"/>
    <x v="0"/>
    <s v="MTG"/>
    <x v="126"/>
    <n v="1.3001260815676443"/>
  </r>
  <r>
    <s v="30YrConformingConventional"/>
    <s v="Bank of America"/>
    <x v="0"/>
    <s v="MTG"/>
    <x v="127"/>
    <n v="1.2728859371774863"/>
  </r>
  <r>
    <s v="30YrConformingConventional"/>
    <s v="Bank of America"/>
    <x v="0"/>
    <s v="MTG"/>
    <x v="128"/>
    <n v="1.3387309334062565"/>
  </r>
  <r>
    <s v="30YrConformingConventional"/>
    <s v="Bank of America"/>
    <x v="0"/>
    <s v="MTG"/>
    <x v="129"/>
    <n v="1.3622609419325045"/>
  </r>
  <r>
    <s v="30YrConformingConventional"/>
    <s v="Bank of America"/>
    <x v="0"/>
    <s v="MTG"/>
    <x v="130"/>
    <n v="1.2847074197368942"/>
  </r>
  <r>
    <s v="30YrConformingConventional"/>
    <s v="Bank of America"/>
    <x v="0"/>
    <s v="MTG"/>
    <x v="131"/>
    <n v="1.2873782909063218"/>
  </r>
  <r>
    <s v="30YrConformingConventional"/>
    <s v="Bank of America"/>
    <x v="0"/>
    <s v="MTG"/>
    <x v="132"/>
    <n v="1.332778406326687"/>
  </r>
  <r>
    <s v="30YrConformingConventional"/>
    <s v="Bank of America"/>
    <x v="0"/>
    <s v="MTG"/>
    <x v="133"/>
    <n v="1.3661602264056314"/>
  </r>
  <r>
    <s v="30YrConformingConventional"/>
    <s v="Bank of America"/>
    <x v="0"/>
    <s v="MTG"/>
    <x v="134"/>
    <n v="1.3156879105427466"/>
  </r>
  <r>
    <s v="30YrConformingConventional"/>
    <s v="Bank of America"/>
    <x v="0"/>
    <s v="MTG"/>
    <x v="135"/>
    <n v="1.312420128892424"/>
  </r>
  <r>
    <s v="30YrConformingConventional"/>
    <s v="Bank of America"/>
    <x v="0"/>
    <s v="MTG"/>
    <x v="136"/>
    <n v="1.3140103288442069"/>
  </r>
  <r>
    <s v="30YrConformingConventional"/>
    <s v="Bank of America"/>
    <x v="0"/>
    <s v="MTG"/>
    <x v="137"/>
    <n v="1.2747735586093445"/>
  </r>
  <r>
    <s v="30YrConformingConventional"/>
    <s v="Bank of America"/>
    <x v="0"/>
    <s v="MTG"/>
    <x v="138"/>
    <n v="1.3139105099584703"/>
  </r>
  <r>
    <s v="30YrConformingConventional"/>
    <s v="Bank of America"/>
    <x v="0"/>
    <s v="MTG"/>
    <x v="139"/>
    <n v="1.4035341473032745"/>
  </r>
  <r>
    <s v="30YrConformingConventional"/>
    <s v="Bank of America"/>
    <x v="0"/>
    <s v="MTG"/>
    <x v="140"/>
    <n v="1.3722839803112994"/>
  </r>
  <r>
    <s v="30YrConformingConventional"/>
    <s v="Bank of America"/>
    <x v="0"/>
    <s v="MTG"/>
    <x v="141"/>
    <n v="1.2395033309711323"/>
  </r>
  <r>
    <s v="30YrConformingConventional"/>
    <s v="Bank of America"/>
    <x v="0"/>
    <s v="MTG"/>
    <x v="142"/>
    <n v="1.3155504680383168"/>
  </r>
  <r>
    <s v="30YrConformingConventional"/>
    <s v="Bank of America"/>
    <x v="0"/>
    <s v="MTG"/>
    <x v="143"/>
    <n v="1.2956025091022043"/>
  </r>
  <r>
    <s v="30YrConformingConventional"/>
    <s v="Bank of America"/>
    <x v="0"/>
    <s v="MTG"/>
    <x v="144"/>
    <n v="1.3578488590270117"/>
  </r>
  <r>
    <s v="30YrConformingConventional"/>
    <s v="Bank of America"/>
    <x v="0"/>
    <s v="MTG"/>
    <x v="145"/>
    <n v="1.2968270004531244"/>
  </r>
  <r>
    <s v="30YrConformingConventional"/>
    <s v="Bank of America"/>
    <x v="0"/>
    <s v="MTG"/>
    <x v="146"/>
    <n v="1.332120845205089"/>
  </r>
  <r>
    <s v="30YrConformingConventional"/>
    <s v="Bank of America"/>
    <x v="0"/>
    <s v="MTG"/>
    <x v="147"/>
    <n v="1.3595903078987455"/>
  </r>
  <r>
    <s v="30YrConformingConventional"/>
    <s v="Bank of America"/>
    <x v="0"/>
    <s v="MTG"/>
    <x v="148"/>
    <n v="1.4330851950302532"/>
  </r>
  <r>
    <s v="30YrConformingConventional"/>
    <s v="Bank of America"/>
    <x v="0"/>
    <s v="MTG"/>
    <x v="149"/>
    <n v="1.3889926070549525"/>
  </r>
  <r>
    <s v="30YrConformingConventional"/>
    <s v="Bank of America"/>
    <x v="0"/>
    <s v="MTG"/>
    <x v="150"/>
    <n v="1.3964971422107575"/>
  </r>
  <r>
    <s v="30YrConformingConventional"/>
    <s v="Bank of America"/>
    <x v="0"/>
    <s v="MTG"/>
    <x v="151"/>
    <n v="1.3408983657768756"/>
  </r>
  <r>
    <s v="30YrConformingConventional"/>
    <s v="Bank of America"/>
    <x v="0"/>
    <s v="MTG"/>
    <x v="152"/>
    <n v="1.4103707481359429"/>
  </r>
  <r>
    <s v="30YrConformingConventional"/>
    <s v="Bank of America"/>
    <x v="0"/>
    <s v="MTG"/>
    <x v="153"/>
    <n v="1.4002441529039789"/>
  </r>
  <r>
    <s v="30YrConformingConventional"/>
    <s v="Bank of America"/>
    <x v="0"/>
    <s v="MTG"/>
    <x v="154"/>
    <n v="1.3613641164442489"/>
  </r>
  <r>
    <s v="30YrConformingConventional"/>
    <s v="Bank of America"/>
    <x v="0"/>
    <s v="MTG"/>
    <x v="155"/>
    <n v="1.3802524763818536"/>
  </r>
  <r>
    <s v="30YrConformingConventional"/>
    <s v="Bank of America"/>
    <x v="0"/>
    <s v="MTG"/>
    <x v="156"/>
    <n v="1.3782028940314224"/>
  </r>
  <r>
    <s v="30YrConformingConventional"/>
    <s v="Bank of America"/>
    <x v="0"/>
    <s v="MTG"/>
    <x v="157"/>
    <n v="1.4298295988433976"/>
  </r>
  <r>
    <s v="30YrConformingConventional"/>
    <s v="Bank of America"/>
    <x v="0"/>
    <s v="MTG"/>
    <x v="158"/>
    <n v="1.3927347126509542"/>
  </r>
  <r>
    <s v="30YrConformingConventional"/>
    <s v="Bank of America"/>
    <x v="0"/>
    <s v="MTG"/>
    <x v="159"/>
    <n v="1.395609198165257"/>
  </r>
  <r>
    <s v="30YrConformingConventional"/>
    <s v="Bank of America"/>
    <x v="0"/>
    <s v="MTG"/>
    <x v="160"/>
    <n v="1.376163360559933"/>
  </r>
  <r>
    <s v="30YrConformingConventional"/>
    <s v="Bank of America"/>
    <x v="0"/>
    <s v="MTG"/>
    <x v="161"/>
    <n v="1.3472911506102117"/>
  </r>
  <r>
    <s v="30YrConformingConventional"/>
    <s v="Bank of America"/>
    <x v="0"/>
    <s v="MTG"/>
    <x v="162"/>
    <n v="1.3578238436092127"/>
  </r>
  <r>
    <s v="30YrConformingConventional"/>
    <s v="Bank of America"/>
    <x v="0"/>
    <s v="MTG"/>
    <x v="163"/>
    <n v="1.3585112845578"/>
  </r>
  <r>
    <s v="30YrConformingConventional"/>
    <s v="Bank of America"/>
    <x v="0"/>
    <s v="MTG"/>
    <x v="164"/>
    <n v="1.3046001769379201"/>
  </r>
  <r>
    <s v="30YrConformingConventional"/>
    <s v="Bank of America"/>
    <x v="0"/>
    <s v="MTG"/>
    <x v="165"/>
    <n v="1.3495982144193372"/>
  </r>
  <r>
    <s v="30YrConformingConventional"/>
    <s v="Bank of America"/>
    <x v="0"/>
    <s v="MTG"/>
    <x v="166"/>
    <n v="1.3607718590449187"/>
  </r>
  <r>
    <s v="30YrConformingConventional"/>
    <s v="Bank of America"/>
    <x v="0"/>
    <s v="MTG"/>
    <x v="167"/>
    <n v="1.2859837783491517"/>
  </r>
  <r>
    <s v="30YrConformingConventional"/>
    <s v="Bank of America"/>
    <x v="0"/>
    <s v="MTG"/>
    <x v="168"/>
    <n v="1.338402149183749"/>
  </r>
  <r>
    <s v="30YrConformingConventional"/>
    <s v="Bank of America"/>
    <x v="0"/>
    <s v="MTG"/>
    <x v="169"/>
    <n v="1.3876333431635488"/>
  </r>
  <r>
    <s v="30YrConformingConventional"/>
    <s v="Bank of America"/>
    <x v="0"/>
    <s v="MTG"/>
    <x v="170"/>
    <n v="1.3200126005365818"/>
  </r>
  <r>
    <s v="30YrConformingConventional"/>
    <s v="Bank of America"/>
    <x v="0"/>
    <s v="MTG"/>
    <x v="171"/>
    <n v="1.2838195828831593"/>
  </r>
  <r>
    <s v="30YrConformingConventional"/>
    <s v="Bank of America"/>
    <x v="0"/>
    <s v="MTG"/>
    <x v="172"/>
    <n v="1.2144095998366391"/>
  </r>
  <r>
    <s v="30YrConformingConventional"/>
    <s v="Bank of America"/>
    <x v="0"/>
    <s v="MTG"/>
    <x v="173"/>
    <n v="1.2685302920283061"/>
  </r>
  <r>
    <s v="30YrConformingConventional"/>
    <s v="Bank of America"/>
    <x v="0"/>
    <s v="MTG"/>
    <x v="174"/>
    <n v="1.2796117428609644"/>
  </r>
  <r>
    <s v="30YrConformingConventional"/>
    <s v="Bank of America"/>
    <x v="0"/>
    <s v="MTG"/>
    <x v="175"/>
    <n v="1.243718896185414"/>
  </r>
  <r>
    <s v="30YrConformingConventional"/>
    <s v="Bank of America"/>
    <x v="0"/>
    <s v="MTG"/>
    <x v="176"/>
    <n v="1.2737200580350896"/>
  </r>
  <r>
    <s v="30YrConformingConventional"/>
    <s v="Bank of America"/>
    <x v="0"/>
    <s v="MTG"/>
    <x v="177"/>
    <n v="1.2387148275746545"/>
  </r>
  <r>
    <s v="30YrConformingConventional"/>
    <s v="Bank of America"/>
    <x v="0"/>
    <s v="MTG"/>
    <x v="178"/>
    <n v="1.3007759831202927"/>
  </r>
  <r>
    <s v="30YrConformingConventional"/>
    <s v="Bank of America"/>
    <x v="0"/>
    <s v="MTG"/>
    <x v="179"/>
    <n v="1.2902283665898202"/>
  </r>
  <r>
    <s v="30YrConformingConventional"/>
    <s v="Bank of America"/>
    <x v="0"/>
    <s v="MTG"/>
    <x v="180"/>
    <n v="1.2976660142700527"/>
  </r>
  <r>
    <s v="30YrConformingConventional"/>
    <s v="Bank of America"/>
    <x v="0"/>
    <s v="MTG"/>
    <x v="181"/>
    <n v="1.2896888670291515"/>
  </r>
  <r>
    <s v="30YrConformingConventional"/>
    <s v="Bank of America"/>
    <x v="0"/>
    <s v="MTG"/>
    <x v="182"/>
    <n v="1.2711406737535242"/>
  </r>
  <r>
    <s v="30YrConformingConventional"/>
    <s v="Bank of America"/>
    <x v="0"/>
    <s v="MTG"/>
    <x v="183"/>
    <n v="1.2470687736583035"/>
  </r>
  <r>
    <s v="30YrConformingConventional"/>
    <s v="Bank of America"/>
    <x v="0"/>
    <s v="MTG"/>
    <x v="184"/>
    <n v="1.2993141214438293"/>
  </r>
  <r>
    <s v="30YrConformingConventional"/>
    <s v="Bank of America"/>
    <x v="0"/>
    <s v="MTG"/>
    <x v="185"/>
    <n v="1.2962965180486514"/>
  </r>
  <r>
    <s v="30YrConformingConventional"/>
    <s v="Bank of America"/>
    <x v="0"/>
    <s v="MTG"/>
    <x v="186"/>
    <n v="1.3369176777890444"/>
  </r>
  <r>
    <s v="30YrConformingConventional"/>
    <s v="Bank of America"/>
    <x v="0"/>
    <s v="MTG"/>
    <x v="187"/>
    <n v="1.3353542598518544"/>
  </r>
  <r>
    <s v="30YrConformingConventional"/>
    <s v="Bank of America"/>
    <x v="0"/>
    <s v="MTG"/>
    <x v="188"/>
    <n v="1.3536082166189871"/>
  </r>
  <r>
    <s v="30YrConformingConventional"/>
    <s v="Bank of America"/>
    <x v="0"/>
    <s v="MTG"/>
    <x v="189"/>
    <n v="1.3800343860879603"/>
  </r>
  <r>
    <s v="30YrConformingConventional"/>
    <s v="Bank of America"/>
    <x v="0"/>
    <s v="MTG"/>
    <x v="190"/>
    <n v="1.328920802747664"/>
  </r>
  <r>
    <s v="30YrConformingConventional"/>
    <s v="Bank of America"/>
    <x v="0"/>
    <s v="MTG"/>
    <x v="191"/>
    <n v="1.272574432591125"/>
  </r>
  <r>
    <s v="30YrConformingConventional"/>
    <s v="Bank of America"/>
    <x v="0"/>
    <s v="MTG"/>
    <x v="192"/>
    <n v="1.2660653405282909"/>
  </r>
  <r>
    <s v="30YrConformingConventional"/>
    <s v="Bank of America"/>
    <x v="0"/>
    <s v="MTG"/>
    <x v="193"/>
    <n v="1.3570180295719645"/>
  </r>
  <r>
    <s v="30YrConformingConventional"/>
    <s v="Bank of America"/>
    <x v="0"/>
    <s v="MTG"/>
    <x v="194"/>
    <n v="1.2734836008092065"/>
  </r>
  <r>
    <s v="30YrConformingConventional"/>
    <s v="Bank of America"/>
    <x v="0"/>
    <s v="MTG"/>
    <x v="195"/>
    <n v="1.3075282124049146"/>
  </r>
  <r>
    <s v="30YrConformingConventional"/>
    <s v="Bank of America"/>
    <x v="0"/>
    <s v="MTG"/>
    <x v="196"/>
    <n v="1.2743103380172947"/>
  </r>
  <r>
    <s v="30YrConformingConventional"/>
    <s v="Bank of America"/>
    <x v="0"/>
    <s v="MTG"/>
    <x v="197"/>
    <n v="1.3677663287902744"/>
  </r>
  <r>
    <s v="30YrConformingConventional"/>
    <s v="Bank of America"/>
    <x v="0"/>
    <s v="MTG"/>
    <x v="198"/>
    <n v="1.3254780800427091"/>
  </r>
  <r>
    <s v="30YrConformingConventional"/>
    <s v="Bank of America"/>
    <x v="0"/>
    <s v="MTG"/>
    <x v="199"/>
    <n v="1.4044868536168289"/>
  </r>
  <r>
    <s v="30YrConformingConventional"/>
    <s v="Bank of America"/>
    <x v="0"/>
    <s v="MTG"/>
    <x v="200"/>
    <n v="1.3544437066204464"/>
  </r>
  <r>
    <s v="30YrConformingConventional"/>
    <s v="Bank of America"/>
    <x v="0"/>
    <s v="MTG"/>
    <x v="201"/>
    <n v="1.3156388603539744"/>
  </r>
  <r>
    <s v="30YrConformingConventional"/>
    <s v="Bank of America"/>
    <x v="0"/>
    <s v="MTG"/>
    <x v="202"/>
    <n v="1.3385508778243123"/>
  </r>
  <r>
    <s v="30YrConformingConventional"/>
    <s v="Bank of America"/>
    <x v="0"/>
    <s v="MTG"/>
    <x v="203"/>
    <n v="1.2870112907839844"/>
  </r>
  <r>
    <s v="30YrConformingConventional"/>
    <s v="Bank of America"/>
    <x v="0"/>
    <s v="MTG"/>
    <x v="204"/>
    <n v="1.2537269593602123"/>
  </r>
  <r>
    <s v="30YrConformingConventional"/>
    <s v="Bank of America"/>
    <x v="0"/>
    <s v="MTG"/>
    <x v="205"/>
    <n v="1.3251860611656945"/>
  </r>
  <r>
    <s v="30YrConformingConventional"/>
    <s v="Bank of America"/>
    <x v="0"/>
    <s v="MTG"/>
    <x v="206"/>
    <n v="1.3373072731047437"/>
  </r>
  <r>
    <s v="30YrConformingConventional"/>
    <s v="Bank of America"/>
    <x v="0"/>
    <s v="MTG"/>
    <x v="207"/>
    <n v="1.3764650898479416"/>
  </r>
  <r>
    <s v="30YrConformingConventional"/>
    <s v="Bank of America"/>
    <x v="0"/>
    <s v="MTG"/>
    <x v="208"/>
    <n v="1.3045849823916156"/>
  </r>
  <r>
    <s v="30YrConformingConventional"/>
    <s v="Bank of America"/>
    <x v="0"/>
    <s v="MTG"/>
    <x v="209"/>
    <n v="1.3536726877957803"/>
  </r>
  <r>
    <s v="30YrConformingConventional"/>
    <s v="Bank of America"/>
    <x v="0"/>
    <s v="MTG"/>
    <x v="210"/>
    <n v="1.3134640334251244"/>
  </r>
  <r>
    <s v="30YrConformingConventional"/>
    <s v="Bank of America"/>
    <x v="0"/>
    <s v="MTG"/>
    <x v="211"/>
    <n v="1.3143558607289445"/>
  </r>
  <r>
    <s v="30YrConformingConventional"/>
    <s v="Bank of America"/>
    <x v="0"/>
    <s v="MTG"/>
    <x v="212"/>
    <n v="1.3705958396256928"/>
  </r>
  <r>
    <s v="30YrConformingConventional"/>
    <s v="Bank of America"/>
    <x v="0"/>
    <s v="MTG"/>
    <x v="213"/>
    <n v="1.3423201379171987"/>
  </r>
  <r>
    <s v="30YrConformingConventional"/>
    <s v="Bank of America"/>
    <x v="0"/>
    <s v="MTG"/>
    <x v="214"/>
    <n v="1.3863813589102647"/>
  </r>
  <r>
    <s v="30YrConformingConventional"/>
    <s v="Bank of America"/>
    <x v="0"/>
    <s v="MTG"/>
    <x v="215"/>
    <n v="1.3886290832632"/>
  </r>
  <r>
    <s v="30YrConformingConventional"/>
    <s v="Bank of America"/>
    <x v="0"/>
    <s v="MTG"/>
    <x v="216"/>
    <n v="1.3854108228953741"/>
  </r>
  <r>
    <s v="30YrConformingConventional"/>
    <s v="Bank of America"/>
    <x v="0"/>
    <s v="MTG"/>
    <x v="217"/>
    <n v="1.4473345312009749"/>
  </r>
  <r>
    <s v="30YrConformingConventional"/>
    <s v="Bank of America"/>
    <x v="0"/>
    <s v="MTG"/>
    <x v="218"/>
    <n v="1.4080731740635712"/>
  </r>
  <r>
    <s v="30YrConformingConventional"/>
    <s v="Bank of America"/>
    <x v="0"/>
    <s v="MTG"/>
    <x v="219"/>
    <n v="1.4494934492133089"/>
  </r>
  <r>
    <s v="30YrConformingConventional"/>
    <s v="Bank of America"/>
    <x v="0"/>
    <s v="MTG"/>
    <x v="220"/>
    <n v="1.3836634107198553"/>
  </r>
  <r>
    <s v="30YrConformingConventional"/>
    <s v="Bank of America"/>
    <x v="0"/>
    <s v="MTG"/>
    <x v="221"/>
    <n v="1.4597632425587055"/>
  </r>
  <r>
    <s v="30YrConformingConventional"/>
    <s v="Bank of America"/>
    <x v="0"/>
    <s v="MTG"/>
    <x v="222"/>
    <n v="1.3715115359863181"/>
  </r>
  <r>
    <s v="30YrConformingConventional"/>
    <s v="Bank of America"/>
    <x v="0"/>
    <s v="MTG"/>
    <x v="223"/>
    <n v="1.4305891441309952"/>
  </r>
  <r>
    <s v="30YrConformingConventional"/>
    <s v="Bank of America"/>
    <x v="0"/>
    <s v="MTG"/>
    <x v="224"/>
    <n v="1.4253647034813144"/>
  </r>
  <r>
    <s v="30YrConformingConventional"/>
    <s v="Bank of America"/>
    <x v="0"/>
    <s v="MTG"/>
    <x v="225"/>
    <n v="1.471013855491812"/>
  </r>
  <r>
    <s v="30YrConformingConventional"/>
    <s v="Bank of America"/>
    <x v="0"/>
    <s v="MTG"/>
    <x v="226"/>
    <n v="1.4669569286560922"/>
  </r>
  <r>
    <s v="30YrConformingConventional"/>
    <s v="Bank of America"/>
    <x v="0"/>
    <s v="MTG"/>
    <x v="227"/>
    <n v="1.4622451459210546"/>
  </r>
  <r>
    <s v="30YrConformingConventional"/>
    <s v="Bank of America"/>
    <x v="0"/>
    <s v="MTG"/>
    <x v="228"/>
    <n v="1.5080867553428343"/>
  </r>
  <r>
    <s v="30YrConformingConventional"/>
    <s v="Bank of America"/>
    <x v="0"/>
    <s v="MTG"/>
    <x v="229"/>
    <n v="1.4856058780086481"/>
  </r>
  <r>
    <s v="30YrConformingConventional"/>
    <s v="Bank of America"/>
    <x v="0"/>
    <s v="MTG"/>
    <x v="230"/>
    <n v="1.4881669876185573"/>
  </r>
  <r>
    <s v="30YrConformingConventional"/>
    <s v="Chase"/>
    <x v="0"/>
    <s v="MTG"/>
    <x v="0"/>
    <n v="1.3201681510401224"/>
  </r>
  <r>
    <s v="30YrConformingConventional"/>
    <s v="Chase"/>
    <x v="0"/>
    <s v="MTG"/>
    <x v="1"/>
    <n v="1.3006860975554306"/>
  </r>
  <r>
    <s v="30YrConformingConventional"/>
    <s v="Chase"/>
    <x v="0"/>
    <s v="MTG"/>
    <x v="2"/>
    <n v="1.2145602915852296"/>
  </r>
  <r>
    <s v="30YrConformingConventional"/>
    <s v="Chase"/>
    <x v="0"/>
    <s v="MTG"/>
    <x v="3"/>
    <n v="1.09980485566"/>
  </r>
  <r>
    <s v="30YrConformingConventional"/>
    <s v="Chase"/>
    <x v="0"/>
    <s v="MTG"/>
    <x v="4"/>
    <n v="1.0964918123855762"/>
  </r>
  <r>
    <s v="30YrConformingConventional"/>
    <s v="Chase"/>
    <x v="0"/>
    <s v="MTG"/>
    <x v="5"/>
    <n v="1.122598007927214"/>
  </r>
  <r>
    <s v="30YrConformingConventional"/>
    <s v="Chase"/>
    <x v="0"/>
    <s v="MTG"/>
    <x v="6"/>
    <n v="1.1411130414158539"/>
  </r>
  <r>
    <s v="30YrConformingConventional"/>
    <s v="Chase"/>
    <x v="0"/>
    <s v="MTG"/>
    <x v="7"/>
    <n v="1.0587143334773157"/>
  </r>
  <r>
    <s v="30YrConformingConventional"/>
    <s v="Chase"/>
    <x v="0"/>
    <s v="MTG"/>
    <x v="8"/>
    <n v="1.1038366846652226"/>
  </r>
  <r>
    <s v="30YrConformingConventional"/>
    <s v="Chase"/>
    <x v="0"/>
    <s v="MTG"/>
    <x v="9"/>
    <n v="1.1119619050322371"/>
  </r>
  <r>
    <s v="30YrConformingConventional"/>
    <s v="Chase"/>
    <x v="0"/>
    <s v="MTG"/>
    <x v="10"/>
    <n v="1.1395014245030624"/>
  </r>
  <r>
    <s v="30YrConformingConventional"/>
    <s v="Chase"/>
    <x v="0"/>
    <s v="MTG"/>
    <x v="11"/>
    <n v="1.1496922636127707"/>
  </r>
  <r>
    <s v="30YrConformingConventional"/>
    <s v="Chase"/>
    <x v="0"/>
    <s v="MTG"/>
    <x v="12"/>
    <n v="1.1030360980347382"/>
  </r>
  <r>
    <s v="30YrConformingConventional"/>
    <s v="Chase"/>
    <x v="0"/>
    <s v="MTG"/>
    <x v="13"/>
    <n v="1.1707682281644907"/>
  </r>
  <r>
    <s v="30YrConformingConventional"/>
    <s v="Chase"/>
    <x v="0"/>
    <s v="MTG"/>
    <x v="14"/>
    <n v="1.1850316887165302"/>
  </r>
  <r>
    <s v="30YrConformingConventional"/>
    <s v="Chase"/>
    <x v="0"/>
    <s v="MTG"/>
    <x v="15"/>
    <n v="1.2026483193152928"/>
  </r>
  <r>
    <s v="30YrConformingConventional"/>
    <s v="Chase"/>
    <x v="0"/>
    <s v="MTG"/>
    <x v="16"/>
    <n v="1.1484232657506983"/>
  </r>
  <r>
    <s v="30YrConformingConventional"/>
    <s v="Chase"/>
    <x v="0"/>
    <s v="MTG"/>
    <x v="17"/>
    <n v="1.153463821632825"/>
  </r>
  <r>
    <s v="30YrConformingConventional"/>
    <s v="Chase"/>
    <x v="0"/>
    <s v="MTG"/>
    <x v="18"/>
    <n v="1.1790501974316359"/>
  </r>
  <r>
    <s v="30YrConformingConventional"/>
    <s v="Chase"/>
    <x v="0"/>
    <s v="MTG"/>
    <x v="19"/>
    <n v="1.1519197362649205"/>
  </r>
  <r>
    <s v="30YrConformingConventional"/>
    <s v="Chase"/>
    <x v="0"/>
    <s v="MTG"/>
    <x v="20"/>
    <n v="1.1515575005170779"/>
  </r>
  <r>
    <s v="30YrConformingConventional"/>
    <s v="Chase"/>
    <x v="0"/>
    <s v="MTG"/>
    <x v="21"/>
    <n v="1.1500643528161443"/>
  </r>
  <r>
    <s v="30YrConformingConventional"/>
    <s v="Chase"/>
    <x v="0"/>
    <s v="MTG"/>
    <x v="22"/>
    <n v="1.128202301407712"/>
  </r>
  <r>
    <s v="30YrConformingConventional"/>
    <s v="Chase"/>
    <x v="0"/>
    <s v="MTG"/>
    <x v="23"/>
    <n v="1.1584417066706245"/>
  </r>
  <r>
    <s v="30YrConformingConventional"/>
    <s v="Chase"/>
    <x v="0"/>
    <s v="MTG"/>
    <x v="24"/>
    <n v="1.1786755580554982"/>
  </r>
  <r>
    <s v="30YrConformingConventional"/>
    <s v="Chase"/>
    <x v="0"/>
    <s v="MTG"/>
    <x v="25"/>
    <n v="1.2137587078296703"/>
  </r>
  <r>
    <s v="30YrConformingConventional"/>
    <s v="Chase"/>
    <x v="0"/>
    <s v="MTG"/>
    <x v="26"/>
    <n v="1.1921735232104831"/>
  </r>
  <r>
    <s v="30YrConformingConventional"/>
    <s v="Chase"/>
    <x v="0"/>
    <s v="MTG"/>
    <x v="27"/>
    <n v="1.164934383367918"/>
  </r>
  <r>
    <s v="30YrConformingConventional"/>
    <s v="Chase"/>
    <x v="0"/>
    <s v="MTG"/>
    <x v="28"/>
    <n v="1.1451004723297626"/>
  </r>
  <r>
    <s v="30YrConformingConventional"/>
    <s v="Chase"/>
    <x v="0"/>
    <s v="MTG"/>
    <x v="29"/>
    <n v="1.2012007162912803"/>
  </r>
  <r>
    <s v="30YrConformingConventional"/>
    <s v="Chase"/>
    <x v="0"/>
    <s v="MTG"/>
    <x v="30"/>
    <n v="1.182626202146932"/>
  </r>
  <r>
    <s v="30YrConformingConventional"/>
    <s v="Chase"/>
    <x v="0"/>
    <s v="MTG"/>
    <x v="31"/>
    <n v="1.2278990772262279"/>
  </r>
  <r>
    <s v="30YrConformingConventional"/>
    <s v="Chase"/>
    <x v="0"/>
    <s v="MTG"/>
    <x v="32"/>
    <n v="1.2366897199972682"/>
  </r>
  <r>
    <s v="30YrConformingConventional"/>
    <s v="Chase"/>
    <x v="0"/>
    <s v="MTG"/>
    <x v="33"/>
    <n v="1.245472241338248"/>
  </r>
  <r>
    <s v="30YrConformingConventional"/>
    <s v="Chase"/>
    <x v="0"/>
    <s v="MTG"/>
    <x v="34"/>
    <n v="1.1808957523380619"/>
  </r>
  <r>
    <s v="30YrConformingConventional"/>
    <s v="Chase"/>
    <x v="0"/>
    <s v="MTG"/>
    <x v="35"/>
    <n v="1.1569638893232519"/>
  </r>
  <r>
    <s v="30YrConformingConventional"/>
    <s v="Chase"/>
    <x v="0"/>
    <s v="MTG"/>
    <x v="36"/>
    <n v="1.1372662480492881"/>
  </r>
  <r>
    <s v="30YrConformingConventional"/>
    <s v="Chase"/>
    <x v="0"/>
    <s v="MTG"/>
    <x v="37"/>
    <n v="1.18625358517885"/>
  </r>
  <r>
    <s v="30YrConformingConventional"/>
    <s v="Chase"/>
    <x v="0"/>
    <s v="MTG"/>
    <x v="38"/>
    <n v="1.2129819489389504"/>
  </r>
  <r>
    <s v="30YrConformingConventional"/>
    <s v="Chase"/>
    <x v="0"/>
    <s v="MTG"/>
    <x v="39"/>
    <n v="1.1687611844429833"/>
  </r>
  <r>
    <s v="30YrConformingConventional"/>
    <s v="Chase"/>
    <x v="0"/>
    <s v="MTG"/>
    <x v="40"/>
    <n v="1.14339971207764"/>
  </r>
  <r>
    <s v="30YrConformingConventional"/>
    <s v="Chase"/>
    <x v="0"/>
    <s v="MTG"/>
    <x v="41"/>
    <n v="1.1595099583305548"/>
  </r>
  <r>
    <s v="30YrConformingConventional"/>
    <s v="Chase"/>
    <x v="0"/>
    <s v="MTG"/>
    <x v="42"/>
    <n v="1.1873277108407725"/>
  </r>
  <r>
    <s v="30YrConformingConventional"/>
    <s v="Chase"/>
    <x v="0"/>
    <s v="MTG"/>
    <x v="43"/>
    <n v="1.1289325267435621"/>
  </r>
  <r>
    <s v="30YrConformingConventional"/>
    <s v="Chase"/>
    <x v="0"/>
    <s v="MTG"/>
    <x v="44"/>
    <n v="1.1272723391193236"/>
  </r>
  <r>
    <s v="30YrConformingConventional"/>
    <s v="Chase"/>
    <x v="0"/>
    <s v="MTG"/>
    <x v="45"/>
    <n v="1.1854171415668284"/>
  </r>
  <r>
    <s v="30YrConformingConventional"/>
    <s v="Chase"/>
    <x v="0"/>
    <s v="MTG"/>
    <x v="46"/>
    <n v="1.1417604200449385"/>
  </r>
  <r>
    <s v="30YrConformingConventional"/>
    <s v="Chase"/>
    <x v="0"/>
    <s v="MTG"/>
    <x v="47"/>
    <n v="1.1666592303356988"/>
  </r>
  <r>
    <s v="30YrConformingConventional"/>
    <s v="Chase"/>
    <x v="0"/>
    <s v="MTG"/>
    <x v="48"/>
    <n v="1.1260310636068873"/>
  </r>
  <r>
    <s v="30YrConformingConventional"/>
    <s v="Chase"/>
    <x v="0"/>
    <s v="MTG"/>
    <x v="49"/>
    <n v="1.0787377454870266"/>
  </r>
  <r>
    <s v="30YrConformingConventional"/>
    <s v="Chase"/>
    <x v="0"/>
    <s v="MTG"/>
    <x v="50"/>
    <n v="1.0921474532674187"/>
  </r>
  <r>
    <s v="30YrConformingConventional"/>
    <s v="Chase"/>
    <x v="0"/>
    <s v="MTG"/>
    <x v="51"/>
    <n v="1.1024563517281987"/>
  </r>
  <r>
    <s v="30YrConformingConventional"/>
    <s v="Chase"/>
    <x v="0"/>
    <s v="MTG"/>
    <x v="52"/>
    <n v="1.1232313177685398"/>
  </r>
  <r>
    <s v="30YrConformingConventional"/>
    <s v="Chase"/>
    <x v="0"/>
    <s v="MTG"/>
    <x v="53"/>
    <n v="1.2021204993395886"/>
  </r>
  <r>
    <s v="30YrConformingConventional"/>
    <s v="Chase"/>
    <x v="0"/>
    <s v="MTG"/>
    <x v="54"/>
    <n v="1.1090394051208565"/>
  </r>
  <r>
    <s v="30YrConformingConventional"/>
    <s v="Chase"/>
    <x v="0"/>
    <s v="MTG"/>
    <x v="55"/>
    <n v="1.1721816785436447"/>
  </r>
  <r>
    <s v="30YrConformingConventional"/>
    <s v="Chase"/>
    <x v="0"/>
    <s v="MTG"/>
    <x v="56"/>
    <n v="1.1833677074112747"/>
  </r>
  <r>
    <s v="30YrConformingConventional"/>
    <s v="Chase"/>
    <x v="0"/>
    <s v="MTG"/>
    <x v="57"/>
    <n v="1.1387432923308964"/>
  </r>
  <r>
    <s v="30YrConformingConventional"/>
    <s v="Chase"/>
    <x v="0"/>
    <s v="MTG"/>
    <x v="58"/>
    <n v="1.2021090180919645"/>
  </r>
  <r>
    <s v="30YrConformingConventional"/>
    <s v="Chase"/>
    <x v="0"/>
    <s v="MTG"/>
    <x v="59"/>
    <n v="1.1783667597662388"/>
  </r>
  <r>
    <s v="30YrConformingConventional"/>
    <s v="Chase"/>
    <x v="0"/>
    <s v="MTG"/>
    <x v="60"/>
    <n v="1.1199017857261857"/>
  </r>
  <r>
    <s v="30YrConformingConventional"/>
    <s v="Chase"/>
    <x v="0"/>
    <s v="MTG"/>
    <x v="61"/>
    <n v="1.1246011040016359"/>
  </r>
  <r>
    <s v="30YrConformingConventional"/>
    <s v="Chase"/>
    <x v="0"/>
    <s v="MTG"/>
    <x v="62"/>
    <n v="1.1235798144236075"/>
  </r>
  <r>
    <s v="30YrConformingConventional"/>
    <s v="Chase"/>
    <x v="0"/>
    <s v="MTG"/>
    <x v="63"/>
    <n v="1.1411289268595988"/>
  </r>
  <r>
    <s v="30YrConformingConventional"/>
    <s v="Chase"/>
    <x v="0"/>
    <s v="MTG"/>
    <x v="64"/>
    <n v="1.0672020709535386"/>
  </r>
  <r>
    <s v="30YrConformingConventional"/>
    <s v="Chase"/>
    <x v="0"/>
    <s v="MTG"/>
    <x v="65"/>
    <n v="1.0504553887351207"/>
  </r>
  <r>
    <s v="30YrConformingConventional"/>
    <s v="Chase"/>
    <x v="0"/>
    <s v="MTG"/>
    <x v="66"/>
    <n v="1.0991949566938706"/>
  </r>
  <r>
    <s v="30YrConformingConventional"/>
    <s v="Chase"/>
    <x v="0"/>
    <s v="MTG"/>
    <x v="67"/>
    <n v="1.03545423184833"/>
  </r>
  <r>
    <s v="30YrConformingConventional"/>
    <s v="Chase"/>
    <x v="0"/>
    <s v="MTG"/>
    <x v="68"/>
    <n v="1.0396417487717906"/>
  </r>
  <r>
    <s v="30YrConformingConventional"/>
    <s v="Chase"/>
    <x v="0"/>
    <s v="MTG"/>
    <x v="69"/>
    <n v="1.0868444145393132"/>
  </r>
  <r>
    <s v="30YrConformingConventional"/>
    <s v="Chase"/>
    <x v="0"/>
    <s v="MTG"/>
    <x v="70"/>
    <n v="1.1029204924566245"/>
  </r>
  <r>
    <s v="30YrConformingConventional"/>
    <s v="Chase"/>
    <x v="0"/>
    <s v="MTG"/>
    <x v="71"/>
    <n v="1.1106403455520191"/>
  </r>
  <r>
    <s v="30YrConformingConventional"/>
    <s v="Chase"/>
    <x v="0"/>
    <s v="MTG"/>
    <x v="72"/>
    <n v="1.1242038661903935"/>
  </r>
  <r>
    <s v="30YrConformingConventional"/>
    <s v="Chase"/>
    <x v="0"/>
    <s v="MTG"/>
    <x v="73"/>
    <n v="1.0695195851191126"/>
  </r>
  <r>
    <s v="30YrConformingConventional"/>
    <s v="Chase"/>
    <x v="0"/>
    <s v="MTG"/>
    <x v="74"/>
    <n v="1.1006278008126524"/>
  </r>
  <r>
    <s v="30YrConformingConventional"/>
    <s v="Chase"/>
    <x v="0"/>
    <s v="MTG"/>
    <x v="75"/>
    <n v="1.1222065668344823"/>
  </r>
  <r>
    <s v="30YrConformingConventional"/>
    <s v="Chase"/>
    <x v="0"/>
    <s v="MTG"/>
    <x v="76"/>
    <n v="1.0780679075857009"/>
  </r>
  <r>
    <s v="30YrConformingConventional"/>
    <s v="Chase"/>
    <x v="0"/>
    <s v="MTG"/>
    <x v="77"/>
    <n v="1.0805349596090708"/>
  </r>
  <r>
    <s v="30YrConformingConventional"/>
    <s v="Chase"/>
    <x v="0"/>
    <s v="MTG"/>
    <x v="78"/>
    <n v="1.110598770041469"/>
  </r>
  <r>
    <s v="30YrConformingConventional"/>
    <s v="Chase"/>
    <x v="0"/>
    <s v="MTG"/>
    <x v="79"/>
    <n v="1.0320886358803201"/>
  </r>
  <r>
    <s v="30YrConformingConventional"/>
    <s v="Chase"/>
    <x v="0"/>
    <s v="MTG"/>
    <x v="80"/>
    <n v="1.124883383738843"/>
  </r>
  <r>
    <s v="30YrConformingConventional"/>
    <s v="Chase"/>
    <x v="0"/>
    <s v="MTG"/>
    <x v="81"/>
    <n v="1.100251686609413"/>
  </r>
  <r>
    <s v="30YrConformingConventional"/>
    <s v="Chase"/>
    <x v="0"/>
    <s v="MTG"/>
    <x v="82"/>
    <n v="0.9841181693674137"/>
  </r>
  <r>
    <s v="30YrConformingConventional"/>
    <s v="Chase"/>
    <x v="0"/>
    <s v="MTG"/>
    <x v="83"/>
    <n v="1.06880623699189"/>
  </r>
  <r>
    <s v="30YrConformingConventional"/>
    <s v="Chase"/>
    <x v="0"/>
    <s v="MTG"/>
    <x v="84"/>
    <n v="1.0807127136680399"/>
  </r>
  <r>
    <s v="30YrConformingConventional"/>
    <s v="Chase"/>
    <x v="0"/>
    <s v="MTG"/>
    <x v="85"/>
    <n v="1.0236217114382038"/>
  </r>
  <r>
    <s v="30YrConformingConventional"/>
    <s v="Chase"/>
    <x v="0"/>
    <s v="MTG"/>
    <x v="86"/>
    <n v="1.0831985963852633"/>
  </r>
  <r>
    <s v="30YrConformingConventional"/>
    <s v="Chase"/>
    <x v="0"/>
    <s v="MTG"/>
    <x v="87"/>
    <n v="1.1134053714828922"/>
  </r>
  <r>
    <s v="30YrConformingConventional"/>
    <s v="Chase"/>
    <x v="0"/>
    <s v="MTG"/>
    <x v="88"/>
    <n v="1.0825091444054298"/>
  </r>
  <r>
    <s v="30YrConformingConventional"/>
    <s v="Chase"/>
    <x v="0"/>
    <s v="MTG"/>
    <x v="89"/>
    <n v="1.083606967260841"/>
  </r>
  <r>
    <s v="30YrConformingConventional"/>
    <s v="Chase"/>
    <x v="0"/>
    <s v="MTG"/>
    <x v="90"/>
    <n v="1.010759557780011"/>
  </r>
  <r>
    <s v="30YrConformingConventional"/>
    <s v="Chase"/>
    <x v="0"/>
    <s v="MTG"/>
    <x v="91"/>
    <n v="1.0398411621313595"/>
  </r>
  <r>
    <s v="30YrConformingConventional"/>
    <s v="Chase"/>
    <x v="0"/>
    <s v="MTG"/>
    <x v="92"/>
    <n v="1.0423068026676641"/>
  </r>
  <r>
    <s v="30YrConformingConventional"/>
    <s v="Chase"/>
    <x v="0"/>
    <s v="MTG"/>
    <x v="93"/>
    <n v="1.0786491057373591"/>
  </r>
  <r>
    <s v="30YrConformingConventional"/>
    <s v="Chase"/>
    <x v="0"/>
    <s v="MTG"/>
    <x v="94"/>
    <n v="1.0891799655927026"/>
  </r>
  <r>
    <s v="30YrConformingConventional"/>
    <s v="Chase"/>
    <x v="0"/>
    <s v="MTG"/>
    <x v="95"/>
    <n v="1.0606327250559704"/>
  </r>
  <r>
    <s v="30YrConformingConventional"/>
    <s v="Chase"/>
    <x v="0"/>
    <s v="MTG"/>
    <x v="96"/>
    <n v="1.0118874123115511"/>
  </r>
  <r>
    <s v="30YrConformingConventional"/>
    <s v="Chase"/>
    <x v="0"/>
    <s v="MTG"/>
    <x v="97"/>
    <n v="1.02209245388055"/>
  </r>
  <r>
    <s v="30YrConformingConventional"/>
    <s v="Chase"/>
    <x v="0"/>
    <s v="MTG"/>
    <x v="98"/>
    <n v="1.05136246705567"/>
  </r>
  <r>
    <s v="30YrConformingConventional"/>
    <s v="Chase"/>
    <x v="0"/>
    <s v="MTG"/>
    <x v="99"/>
    <n v="1.0959063610201645"/>
  </r>
  <r>
    <s v="30YrConformingConventional"/>
    <s v="Chase"/>
    <x v="0"/>
    <s v="MTG"/>
    <x v="100"/>
    <n v="1.1216542765386541"/>
  </r>
  <r>
    <s v="30YrConformingConventional"/>
    <s v="Chase"/>
    <x v="0"/>
    <s v="MTG"/>
    <x v="101"/>
    <n v="1.0848226045065246"/>
  </r>
  <r>
    <s v="30YrConformingConventional"/>
    <s v="Chase"/>
    <x v="0"/>
    <s v="MTG"/>
    <x v="102"/>
    <n v="1.0841836356510286"/>
  </r>
  <r>
    <s v="30YrConformingConventional"/>
    <s v="Chase"/>
    <x v="0"/>
    <s v="MTG"/>
    <x v="103"/>
    <n v="1.1236026633522043"/>
  </r>
  <r>
    <s v="30YrConformingConventional"/>
    <s v="Chase"/>
    <x v="0"/>
    <s v="MTG"/>
    <x v="104"/>
    <n v="1.0984133460250745"/>
  </r>
  <r>
    <s v="30YrConformingConventional"/>
    <s v="Chase"/>
    <x v="0"/>
    <s v="MTG"/>
    <x v="105"/>
    <n v="1.0991844871188046"/>
  </r>
  <r>
    <s v="30YrConformingConventional"/>
    <s v="Chase"/>
    <x v="0"/>
    <s v="MTG"/>
    <x v="106"/>
    <n v="1.0534402187716043"/>
  </r>
  <r>
    <s v="30YrConformingConventional"/>
    <s v="Chase"/>
    <x v="0"/>
    <s v="MTG"/>
    <x v="107"/>
    <n v="1.082989461372704"/>
  </r>
  <r>
    <s v="30YrConformingConventional"/>
    <s v="Chase"/>
    <x v="0"/>
    <s v="MTG"/>
    <x v="108"/>
    <n v="1.009691633061184"/>
  </r>
  <r>
    <s v="30YrConformingConventional"/>
    <s v="Chase"/>
    <x v="0"/>
    <s v="MTG"/>
    <x v="109"/>
    <n v="1.0847185494418345"/>
  </r>
  <r>
    <s v="30YrConformingConventional"/>
    <s v="Chase"/>
    <x v="0"/>
    <s v="MTG"/>
    <x v="110"/>
    <n v="1.0891007670212787"/>
  </r>
  <r>
    <s v="30YrConformingConventional"/>
    <s v="Chase"/>
    <x v="0"/>
    <s v="MTG"/>
    <x v="111"/>
    <n v="1.0752174326660462"/>
  </r>
  <r>
    <s v="30YrConformingConventional"/>
    <s v="Chase"/>
    <x v="0"/>
    <s v="MTG"/>
    <x v="112"/>
    <n v="1.053136827768909"/>
  </r>
  <r>
    <s v="30YrConformingConventional"/>
    <s v="Chase"/>
    <x v="0"/>
    <s v="MTG"/>
    <x v="113"/>
    <n v="1.0794965655224138"/>
  </r>
  <r>
    <s v="30YrConformingConventional"/>
    <s v="Chase"/>
    <x v="0"/>
    <s v="MTG"/>
    <x v="114"/>
    <n v="1.0497955084503372"/>
  </r>
  <r>
    <s v="30YrConformingConventional"/>
    <s v="Chase"/>
    <x v="0"/>
    <s v="MTG"/>
    <x v="115"/>
    <n v="1.0571706690180465"/>
  </r>
  <r>
    <s v="30YrConformingConventional"/>
    <s v="Chase"/>
    <x v="0"/>
    <s v="MTG"/>
    <x v="116"/>
    <n v="1.0661538505845485"/>
  </r>
  <r>
    <s v="30YrConformingConventional"/>
    <s v="Chase"/>
    <x v="0"/>
    <s v="MTG"/>
    <x v="117"/>
    <n v="1.0926936661259188"/>
  </r>
  <r>
    <s v="30YrConformingConventional"/>
    <s v="Chase"/>
    <x v="0"/>
    <s v="MTG"/>
    <x v="118"/>
    <n v="1.1014073244279283"/>
  </r>
  <r>
    <s v="30YrConformingConventional"/>
    <s v="Chase"/>
    <x v="0"/>
    <s v="MTG"/>
    <x v="119"/>
    <n v="1.0462533810387376"/>
  </r>
  <r>
    <s v="30YrConformingConventional"/>
    <s v="Chase"/>
    <x v="0"/>
    <s v="MTG"/>
    <x v="120"/>
    <n v="1.0762713772350674"/>
  </r>
  <r>
    <s v="30YrConformingConventional"/>
    <s v="Chase"/>
    <x v="0"/>
    <s v="MTG"/>
    <x v="121"/>
    <n v="1.1008620450413127"/>
  </r>
  <r>
    <s v="30YrConformingConventional"/>
    <s v="Chase"/>
    <x v="0"/>
    <s v="MTG"/>
    <x v="122"/>
    <n v="1.0224515238070231"/>
  </r>
  <r>
    <s v="30YrConformingConventional"/>
    <s v="Chase"/>
    <x v="0"/>
    <s v="MTG"/>
    <x v="123"/>
    <n v="1.0578914480575556"/>
  </r>
  <r>
    <s v="30YrConformingConventional"/>
    <s v="Chase"/>
    <x v="0"/>
    <s v="MTG"/>
    <x v="124"/>
    <n v="1.0869250897682363"/>
  </r>
  <r>
    <s v="30YrConformingConventional"/>
    <s v="Chase"/>
    <x v="0"/>
    <s v="MTG"/>
    <x v="125"/>
    <n v="1.119891467204279"/>
  </r>
  <r>
    <s v="30YrConformingConventional"/>
    <s v="Chase"/>
    <x v="0"/>
    <s v="MTG"/>
    <x v="126"/>
    <n v="1.0528868902628454"/>
  </r>
  <r>
    <s v="30YrConformingConventional"/>
    <s v="Chase"/>
    <x v="0"/>
    <s v="MTG"/>
    <x v="127"/>
    <n v="1.0315212789850057"/>
  </r>
  <r>
    <s v="30YrConformingConventional"/>
    <s v="Chase"/>
    <x v="0"/>
    <s v="MTG"/>
    <x v="128"/>
    <n v="1.056288352934506"/>
  </r>
  <r>
    <s v="30YrConformingConventional"/>
    <s v="Chase"/>
    <x v="0"/>
    <s v="MTG"/>
    <x v="129"/>
    <n v="1.0628261913244663"/>
  </r>
  <r>
    <s v="30YrConformingConventional"/>
    <s v="Chase"/>
    <x v="0"/>
    <s v="MTG"/>
    <x v="130"/>
    <n v="1.0609788954392658"/>
  </r>
  <r>
    <s v="30YrConformingConventional"/>
    <s v="Chase"/>
    <x v="0"/>
    <s v="MTG"/>
    <x v="131"/>
    <n v="1.0573643295691275"/>
  </r>
  <r>
    <s v="30YrConformingConventional"/>
    <s v="Chase"/>
    <x v="0"/>
    <s v="MTG"/>
    <x v="132"/>
    <n v="1.109874475711339"/>
  </r>
  <r>
    <s v="30YrConformingConventional"/>
    <s v="Chase"/>
    <x v="0"/>
    <s v="MTG"/>
    <x v="133"/>
    <n v="1.1256858462767485"/>
  </r>
  <r>
    <s v="30YrConformingConventional"/>
    <s v="Chase"/>
    <x v="0"/>
    <s v="MTG"/>
    <x v="134"/>
    <n v="1.0034157677120774"/>
  </r>
  <r>
    <s v="30YrConformingConventional"/>
    <s v="Chase"/>
    <x v="0"/>
    <s v="MTG"/>
    <x v="135"/>
    <n v="1.0206741739058272"/>
  </r>
  <r>
    <s v="30YrConformingConventional"/>
    <s v="Chase"/>
    <x v="0"/>
    <s v="MTG"/>
    <x v="136"/>
    <n v="1.057963251901626"/>
  </r>
  <r>
    <s v="30YrConformingConventional"/>
    <s v="Chase"/>
    <x v="0"/>
    <s v="MTG"/>
    <x v="137"/>
    <n v="1.0698547051501484"/>
  </r>
  <r>
    <s v="30YrConformingConventional"/>
    <s v="Chase"/>
    <x v="0"/>
    <s v="MTG"/>
    <x v="138"/>
    <n v="1.1009678727640544"/>
  </r>
  <r>
    <s v="30YrConformingConventional"/>
    <s v="Chase"/>
    <x v="0"/>
    <s v="MTG"/>
    <x v="139"/>
    <n v="1.0407224945874525"/>
  </r>
  <r>
    <s v="30YrConformingConventional"/>
    <s v="Chase"/>
    <x v="0"/>
    <s v="MTG"/>
    <x v="140"/>
    <n v="1.0362452418587755"/>
  </r>
  <r>
    <s v="30YrConformingConventional"/>
    <s v="Chase"/>
    <x v="0"/>
    <s v="MTG"/>
    <x v="141"/>
    <n v="1.0204776737094423"/>
  </r>
  <r>
    <s v="30YrConformingConventional"/>
    <s v="Chase"/>
    <x v="0"/>
    <s v="MTG"/>
    <x v="142"/>
    <n v="1.0759072121841924"/>
  </r>
  <r>
    <s v="30YrConformingConventional"/>
    <s v="Chase"/>
    <x v="0"/>
    <s v="MTG"/>
    <x v="143"/>
    <n v="1.0319678254748648"/>
  </r>
  <r>
    <s v="30YrConformingConventional"/>
    <s v="Chase"/>
    <x v="0"/>
    <s v="MTG"/>
    <x v="144"/>
    <n v="1.034193373212295"/>
  </r>
  <r>
    <s v="30YrConformingConventional"/>
    <s v="Chase"/>
    <x v="0"/>
    <s v="MTG"/>
    <x v="145"/>
    <n v="1.070197700400594"/>
  </r>
  <r>
    <s v="30YrConformingConventional"/>
    <s v="Chase"/>
    <x v="0"/>
    <s v="MTG"/>
    <x v="146"/>
    <n v="1.0807076202557324"/>
  </r>
  <r>
    <s v="30YrConformingConventional"/>
    <s v="Chase"/>
    <x v="0"/>
    <s v="MTG"/>
    <x v="147"/>
    <n v="1.0930113004870352"/>
  </r>
  <r>
    <s v="30YrConformingConventional"/>
    <s v="Chase"/>
    <x v="0"/>
    <s v="MTG"/>
    <x v="148"/>
    <n v="1.0406423605593402"/>
  </r>
  <r>
    <s v="30YrConformingConventional"/>
    <s v="Chase"/>
    <x v="0"/>
    <s v="MTG"/>
    <x v="149"/>
    <n v="1.0340848078308029"/>
  </r>
  <r>
    <s v="30YrConformingConventional"/>
    <s v="Chase"/>
    <x v="0"/>
    <s v="MTG"/>
    <x v="150"/>
    <n v="0.98646357301566778"/>
  </r>
  <r>
    <s v="30YrConformingConventional"/>
    <s v="Chase"/>
    <x v="0"/>
    <s v="MTG"/>
    <x v="151"/>
    <n v="1.0391714382397179"/>
  </r>
  <r>
    <s v="30YrConformingConventional"/>
    <s v="Chase"/>
    <x v="0"/>
    <s v="MTG"/>
    <x v="152"/>
    <n v="1.0554629489117933"/>
  </r>
  <r>
    <s v="30YrConformingConventional"/>
    <s v="Chase"/>
    <x v="0"/>
    <s v="MTG"/>
    <x v="153"/>
    <n v="1.0423922774307233"/>
  </r>
  <r>
    <s v="30YrConformingConventional"/>
    <s v="Chase"/>
    <x v="0"/>
    <s v="MTG"/>
    <x v="154"/>
    <n v="1.0276717947012202"/>
  </r>
  <r>
    <s v="30YrConformingConventional"/>
    <s v="Chase"/>
    <x v="0"/>
    <s v="MTG"/>
    <x v="155"/>
    <n v="1.1187749177383621"/>
  </r>
  <r>
    <s v="30YrConformingConventional"/>
    <s v="Chase"/>
    <x v="0"/>
    <s v="MTG"/>
    <x v="156"/>
    <n v="1.0833335036768956"/>
  </r>
  <r>
    <s v="30YrConformingConventional"/>
    <s v="Chase"/>
    <x v="0"/>
    <s v="MTG"/>
    <x v="157"/>
    <n v="1.1043914521501732"/>
  </r>
  <r>
    <s v="30YrConformingConventional"/>
    <s v="Chase"/>
    <x v="0"/>
    <s v="MTG"/>
    <x v="158"/>
    <n v="1.0820511121264931"/>
  </r>
  <r>
    <s v="30YrConformingConventional"/>
    <s v="Chase"/>
    <x v="0"/>
    <s v="MTG"/>
    <x v="159"/>
    <n v="1.0791198270748981"/>
  </r>
  <r>
    <s v="30YrConformingConventional"/>
    <s v="Chase"/>
    <x v="0"/>
    <s v="MTG"/>
    <x v="160"/>
    <n v="1.10733900700999"/>
  </r>
  <r>
    <s v="30YrConformingConventional"/>
    <s v="Chase"/>
    <x v="0"/>
    <s v="MTG"/>
    <x v="161"/>
    <n v="1.0696061705324202"/>
  </r>
  <r>
    <s v="30YrConformingConventional"/>
    <s v="Chase"/>
    <x v="0"/>
    <s v="MTG"/>
    <x v="162"/>
    <n v="1.0978648600144802"/>
  </r>
  <r>
    <s v="30YrConformingConventional"/>
    <s v="Chase"/>
    <x v="0"/>
    <s v="MTG"/>
    <x v="163"/>
    <n v="1.1251769013962403"/>
  </r>
  <r>
    <s v="30YrConformingConventional"/>
    <s v="Chase"/>
    <x v="0"/>
    <s v="MTG"/>
    <x v="164"/>
    <n v="1.0712657937763603"/>
  </r>
  <r>
    <s v="30YrConformingConventional"/>
    <s v="Chase"/>
    <x v="0"/>
    <s v="MTG"/>
    <x v="165"/>
    <n v="1.0866835802732404"/>
  </r>
  <r>
    <s v="30YrConformingConventional"/>
    <s v="Chase"/>
    <x v="0"/>
    <s v="MTG"/>
    <x v="166"/>
    <n v="1.0885117257946226"/>
  </r>
  <r>
    <s v="30YrConformingConventional"/>
    <s v="Chase"/>
    <x v="0"/>
    <s v="MTG"/>
    <x v="167"/>
    <n v="1.0467291214957302"/>
  </r>
  <r>
    <s v="30YrConformingConventional"/>
    <s v="Chase"/>
    <x v="0"/>
    <s v="MTG"/>
    <x v="168"/>
    <n v="0.9964904566794559"/>
  </r>
  <r>
    <s v="30YrConformingConventional"/>
    <s v="Chase"/>
    <x v="0"/>
    <s v="MTG"/>
    <x v="169"/>
    <n v="1.0909243312621324"/>
  </r>
  <r>
    <s v="30YrConformingConventional"/>
    <s v="Chase"/>
    <x v="0"/>
    <s v="MTG"/>
    <x v="170"/>
    <n v="1.0702956130149426"/>
  </r>
  <r>
    <s v="30YrConformingConventional"/>
    <s v="Chase"/>
    <x v="0"/>
    <s v="MTG"/>
    <x v="171"/>
    <n v="1.0079574446424944"/>
  </r>
  <r>
    <s v="30YrConformingConventional"/>
    <s v="Chase"/>
    <x v="0"/>
    <s v="MTG"/>
    <x v="172"/>
    <n v="1.0020757233933677"/>
  </r>
  <r>
    <s v="30YrConformingConventional"/>
    <s v="Chase"/>
    <x v="0"/>
    <s v="MTG"/>
    <x v="173"/>
    <n v="1.0271656338358255"/>
  </r>
  <r>
    <s v="30YrConformingConventional"/>
    <s v="Chase"/>
    <x v="0"/>
    <s v="MTG"/>
    <x v="174"/>
    <n v="1.015739202945859"/>
  </r>
  <r>
    <s v="30YrConformingConventional"/>
    <s v="Chase"/>
    <x v="0"/>
    <s v="MTG"/>
    <x v="175"/>
    <n v="1.0541586348790044"/>
  </r>
  <r>
    <s v="30YrConformingConventional"/>
    <s v="Chase"/>
    <x v="0"/>
    <s v="MTG"/>
    <x v="176"/>
    <n v="1.0695419304404443"/>
  </r>
  <r>
    <s v="30YrConformingConventional"/>
    <s v="Chase"/>
    <x v="0"/>
    <s v="MTG"/>
    <x v="177"/>
    <n v="1.0520796930475245"/>
  </r>
  <r>
    <s v="30YrConformingConventional"/>
    <s v="Chase"/>
    <x v="0"/>
    <s v="MTG"/>
    <x v="178"/>
    <n v="1.0904096572331747"/>
  </r>
  <r>
    <s v="30YrConformingConventional"/>
    <s v="Chase"/>
    <x v="0"/>
    <s v="MTG"/>
    <x v="179"/>
    <n v="1.0648306693390386"/>
  </r>
  <r>
    <s v="30YrConformingConventional"/>
    <s v="Chase"/>
    <x v="0"/>
    <s v="MTG"/>
    <x v="180"/>
    <n v="1.0781168177494285"/>
  </r>
  <r>
    <s v="30YrConformingConventional"/>
    <s v="Chase"/>
    <x v="0"/>
    <s v="MTG"/>
    <x v="181"/>
    <n v="1.0818429055219685"/>
  </r>
  <r>
    <s v="30YrConformingConventional"/>
    <s v="Chase"/>
    <x v="0"/>
    <s v="MTG"/>
    <x v="182"/>
    <n v="1.0716931602865889"/>
  </r>
  <r>
    <s v="30YrConformingConventional"/>
    <s v="Chase"/>
    <x v="0"/>
    <s v="MTG"/>
    <x v="183"/>
    <n v="1.0505556572993691"/>
  </r>
  <r>
    <s v="30YrConformingConventional"/>
    <s v="Chase"/>
    <x v="0"/>
    <s v="MTG"/>
    <x v="184"/>
    <n v="1.1152543712396248"/>
  </r>
  <r>
    <s v="30YrConformingConventional"/>
    <s v="Chase"/>
    <x v="0"/>
    <s v="MTG"/>
    <x v="185"/>
    <n v="1.0558221379197688"/>
  </r>
  <r>
    <s v="30YrConformingConventional"/>
    <s v="Chase"/>
    <x v="0"/>
    <s v="MTG"/>
    <x v="186"/>
    <n v="1.0910665761684382"/>
  </r>
  <r>
    <s v="30YrConformingConventional"/>
    <s v="Chase"/>
    <x v="0"/>
    <s v="MTG"/>
    <x v="187"/>
    <n v="1.0982657903298283"/>
  </r>
  <r>
    <s v="30YrConformingConventional"/>
    <s v="Chase"/>
    <x v="0"/>
    <s v="MTG"/>
    <x v="188"/>
    <n v="1.1135983511412983"/>
  </r>
  <r>
    <s v="30YrConformingConventional"/>
    <s v="Chase"/>
    <x v="0"/>
    <s v="MTG"/>
    <x v="189"/>
    <n v="1.1337073492354985"/>
  </r>
  <r>
    <s v="30YrConformingConventional"/>
    <s v="Chase"/>
    <x v="0"/>
    <s v="MTG"/>
    <x v="190"/>
    <n v="1.0494089721728754"/>
  </r>
  <r>
    <s v="30YrConformingConventional"/>
    <s v="Chase"/>
    <x v="0"/>
    <s v="MTG"/>
    <x v="191"/>
    <n v="1.0391993670193747"/>
  </r>
  <r>
    <s v="30YrConformingConventional"/>
    <s v="Chase"/>
    <x v="0"/>
    <s v="MTG"/>
    <x v="192"/>
    <n v="1.0969918504511147"/>
  </r>
  <r>
    <s v="30YrConformingConventional"/>
    <s v="Chase"/>
    <x v="0"/>
    <s v="MTG"/>
    <x v="193"/>
    <n v="1.1437313448721744"/>
  </r>
  <r>
    <s v="30YrConformingConventional"/>
    <s v="Chase"/>
    <x v="0"/>
    <s v="MTG"/>
    <x v="194"/>
    <n v="1.0237920370338864"/>
  </r>
  <r>
    <s v="30YrConformingConventional"/>
    <s v="Chase"/>
    <x v="0"/>
    <s v="MTG"/>
    <x v="195"/>
    <n v="1.0699809403240188"/>
  </r>
  <r>
    <s v="30YrConformingConventional"/>
    <s v="Chase"/>
    <x v="0"/>
    <s v="MTG"/>
    <x v="196"/>
    <n v="1.0309093696685387"/>
  </r>
  <r>
    <s v="30YrConformingConventional"/>
    <s v="Chase"/>
    <x v="0"/>
    <s v="MTG"/>
    <x v="197"/>
    <n v="1.0980494406465486"/>
  </r>
  <r>
    <s v="30YrConformingConventional"/>
    <s v="Chase"/>
    <x v="0"/>
    <s v="MTG"/>
    <x v="198"/>
    <n v="1.0653738508151083"/>
  </r>
  <r>
    <s v="30YrConformingConventional"/>
    <s v="Chase"/>
    <x v="0"/>
    <s v="MTG"/>
    <x v="199"/>
    <n v="1.0349978919639711"/>
  </r>
  <r>
    <s v="30YrConformingConventional"/>
    <s v="Chase"/>
    <x v="0"/>
    <s v="MTG"/>
    <x v="200"/>
    <n v="1.0586540391730501"/>
  </r>
  <r>
    <s v="30YrConformingConventional"/>
    <s v="Chase"/>
    <x v="0"/>
    <s v="MTG"/>
    <x v="201"/>
    <n v="1.0688980839161513"/>
  </r>
  <r>
    <s v="30YrConformingConventional"/>
    <s v="Chase"/>
    <x v="0"/>
    <s v="MTG"/>
    <x v="202"/>
    <n v="1.0956201350163781"/>
  </r>
  <r>
    <s v="30YrConformingConventional"/>
    <s v="Chase"/>
    <x v="0"/>
    <s v="MTG"/>
    <x v="203"/>
    <n v="1.0879482133374581"/>
  </r>
  <r>
    <s v="30YrConformingConventional"/>
    <s v="Chase"/>
    <x v="0"/>
    <s v="MTG"/>
    <x v="204"/>
    <n v="1.0758703141671342"/>
  </r>
  <r>
    <s v="30YrConformingConventional"/>
    <s v="Chase"/>
    <x v="0"/>
    <s v="MTG"/>
    <x v="205"/>
    <n v="1.0497530287677797"/>
  </r>
  <r>
    <s v="30YrConformingConventional"/>
    <s v="Chase"/>
    <x v="0"/>
    <s v="MTG"/>
    <x v="206"/>
    <n v="1.0972931539022603"/>
  </r>
  <r>
    <s v="30YrConformingConventional"/>
    <s v="Chase"/>
    <x v="0"/>
    <s v="MTG"/>
    <x v="207"/>
    <n v="1.0893966078739599"/>
  </r>
  <r>
    <s v="30YrConformingConventional"/>
    <s v="Chase"/>
    <x v="0"/>
    <s v="MTG"/>
    <x v="208"/>
    <n v="1.03497276341456"/>
  </r>
  <r>
    <s v="30YrConformingConventional"/>
    <s v="Chase"/>
    <x v="0"/>
    <s v="MTG"/>
    <x v="209"/>
    <n v="1.0573629552190809"/>
  </r>
  <r>
    <s v="30YrConformingConventional"/>
    <s v="Chase"/>
    <x v="0"/>
    <s v="MTG"/>
    <x v="210"/>
    <n v="1.1001773487253346"/>
  </r>
  <r>
    <s v="30YrConformingConventional"/>
    <s v="Chase"/>
    <x v="0"/>
    <s v="MTG"/>
    <x v="211"/>
    <n v="1.0984927547126548"/>
  </r>
  <r>
    <s v="30YrConformingConventional"/>
    <s v="Chase"/>
    <x v="0"/>
    <s v="MTG"/>
    <x v="212"/>
    <n v="1.1276650968177586"/>
  </r>
  <r>
    <s v="30YrConformingConventional"/>
    <s v="Chase"/>
    <x v="0"/>
    <s v="MTG"/>
    <x v="213"/>
    <n v="1.0867686360165461"/>
  </r>
  <r>
    <s v="30YrConformingConventional"/>
    <s v="Chase"/>
    <x v="0"/>
    <s v="MTG"/>
    <x v="214"/>
    <n v="1.1132625280971964"/>
  </r>
  <r>
    <s v="30YrConformingConventional"/>
    <s v="Chase"/>
    <x v="0"/>
    <s v="MTG"/>
    <x v="215"/>
    <n v="1.0711141137448741"/>
  </r>
  <r>
    <s v="30YrConformingConventional"/>
    <s v="Chase"/>
    <x v="0"/>
    <s v="MTG"/>
    <x v="216"/>
    <n v="1.1256742603309715"/>
  </r>
  <r>
    <s v="30YrConformingConventional"/>
    <s v="Chase"/>
    <x v="0"/>
    <s v="MTG"/>
    <x v="217"/>
    <n v="1.1561541814869041"/>
  </r>
  <r>
    <s v="30YrConformingConventional"/>
    <s v="Chase"/>
    <x v="0"/>
    <s v="MTG"/>
    <x v="218"/>
    <n v="1.1432695767015839"/>
  </r>
  <r>
    <s v="30YrConformingConventional"/>
    <s v="Chase"/>
    <x v="0"/>
    <s v="MTG"/>
    <x v="219"/>
    <n v="1.0929717173047016"/>
  </r>
  <r>
    <s v="30YrConformingConventional"/>
    <s v="Chase"/>
    <x v="0"/>
    <s v="MTG"/>
    <x v="220"/>
    <n v="1.1469639552045423"/>
  </r>
  <r>
    <s v="30YrConformingConventional"/>
    <s v="Chase"/>
    <x v="0"/>
    <s v="MTG"/>
    <x v="221"/>
    <n v="1.165467299106145"/>
  </r>
  <r>
    <s v="30YrConformingConventional"/>
    <s v="Chase"/>
    <x v="0"/>
    <s v="MTG"/>
    <x v="222"/>
    <n v="1.1726669679850574"/>
  </r>
  <r>
    <s v="30YrConformingConventional"/>
    <s v="Chase"/>
    <x v="0"/>
    <s v="MTG"/>
    <x v="223"/>
    <n v="1.1476479449839376"/>
  </r>
  <r>
    <s v="30YrConformingConventional"/>
    <s v="Chase"/>
    <x v="0"/>
    <s v="MTG"/>
    <x v="224"/>
    <n v="1.1651294925025324"/>
  </r>
  <r>
    <s v="30YrConformingConventional"/>
    <s v="Chase"/>
    <x v="0"/>
    <s v="MTG"/>
    <x v="225"/>
    <n v="1.1737796028533749"/>
  </r>
  <r>
    <s v="30YrConformingConventional"/>
    <s v="Chase"/>
    <x v="0"/>
    <s v="MTG"/>
    <x v="226"/>
    <n v="1.1697226760176551"/>
  </r>
  <r>
    <s v="30YrConformingConventional"/>
    <s v="Chase"/>
    <x v="0"/>
    <s v="MTG"/>
    <x v="227"/>
    <n v="1.1356887470905803"/>
  </r>
  <r>
    <s v="30YrConformingConventional"/>
    <s v="Chase"/>
    <x v="0"/>
    <s v="MTG"/>
    <x v="228"/>
    <n v="1.1650581385705781"/>
  </r>
  <r>
    <s v="30YrConformingConventional"/>
    <s v="Chase"/>
    <x v="0"/>
    <s v="MTG"/>
    <x v="229"/>
    <n v="1.1043179041025981"/>
  </r>
  <r>
    <s v="30YrConformingConventional"/>
    <s v="Chase"/>
    <x v="0"/>
    <s v="MTG"/>
    <x v="230"/>
    <n v="1.195303848560288"/>
  </r>
  <r>
    <s v="30YrConformingConventional"/>
    <s v="Quicken"/>
    <x v="0"/>
    <s v="MTG"/>
    <x v="0"/>
    <n v="1.4380197325194559"/>
  </r>
  <r>
    <s v="30YrConformingConventional"/>
    <s v="Quicken"/>
    <x v="0"/>
    <s v="MTG"/>
    <x v="1"/>
    <n v="1.4480315377515394"/>
  </r>
  <r>
    <s v="30YrConformingConventional"/>
    <s v="Quicken"/>
    <x v="0"/>
    <s v="MTG"/>
    <x v="2"/>
    <n v="1.4566536855283092"/>
  </r>
  <r>
    <s v="30YrConformingConventional"/>
    <s v="Quicken"/>
    <x v="0"/>
    <s v="MTG"/>
    <x v="3"/>
    <n v="1.4264489588822669"/>
  </r>
  <r>
    <s v="30YrConformingConventional"/>
    <s v="Quicken"/>
    <x v="0"/>
    <s v="MTG"/>
    <x v="4"/>
    <n v="1.4952818872147542"/>
  </r>
  <r>
    <s v="30YrConformingConventional"/>
    <s v="Quicken"/>
    <x v="0"/>
    <s v="MTG"/>
    <x v="5"/>
    <n v="1.4900890106520488"/>
  </r>
  <r>
    <s v="30YrConformingConventional"/>
    <s v="Quicken"/>
    <x v="0"/>
    <s v="MTG"/>
    <x v="6"/>
    <n v="1.4765235270090056"/>
  </r>
  <r>
    <s v="30YrConformingConventional"/>
    <s v="Quicken"/>
    <x v="0"/>
    <s v="MTG"/>
    <x v="7"/>
    <n v="1.458400562294766"/>
  </r>
  <r>
    <s v="30YrConformingConventional"/>
    <s v="Quicken"/>
    <x v="0"/>
    <s v="MTG"/>
    <x v="8"/>
    <n v="1.4728530811846257"/>
  </r>
  <r>
    <s v="30YrConformingConventional"/>
    <s v="Quicken"/>
    <x v="0"/>
    <s v="MTG"/>
    <x v="9"/>
    <n v="1.4480384086770592"/>
  </r>
  <r>
    <s v="30YrConformingConventional"/>
    <s v="Quicken"/>
    <x v="0"/>
    <s v="MTG"/>
    <x v="10"/>
    <n v="1.4763786632440858"/>
  </r>
  <r>
    <s v="30YrConformingConventional"/>
    <s v="Quicken"/>
    <x v="0"/>
    <s v="MTG"/>
    <x v="11"/>
    <n v="1.4236442001834584"/>
  </r>
  <r>
    <s v="30YrConformingConventional"/>
    <s v="Quicken"/>
    <x v="0"/>
    <s v="MTG"/>
    <x v="12"/>
    <n v="1.4069365395175983"/>
  </r>
  <r>
    <s v="30YrConformingConventional"/>
    <s v="Quicken"/>
    <x v="0"/>
    <s v="MTG"/>
    <x v="13"/>
    <n v="1.4771625368674803"/>
  </r>
  <r>
    <s v="30YrConformingConventional"/>
    <s v="Quicken"/>
    <x v="0"/>
    <s v="MTG"/>
    <x v="14"/>
    <n v="1.4589836252872179"/>
  </r>
  <r>
    <s v="30YrConformingConventional"/>
    <s v="Quicken"/>
    <x v="0"/>
    <s v="MTG"/>
    <x v="15"/>
    <n v="1.4741399466234748"/>
  </r>
  <r>
    <s v="30YrConformingConventional"/>
    <s v="Quicken"/>
    <x v="0"/>
    <s v="MTG"/>
    <x v="16"/>
    <n v="1.4523237072335584"/>
  </r>
  <r>
    <s v="30YrConformingConventional"/>
    <s v="Quicken"/>
    <x v="0"/>
    <s v="MTG"/>
    <x v="17"/>
    <n v="1.4909513151017189"/>
  </r>
  <r>
    <s v="30YrConformingConventional"/>
    <s v="Quicken"/>
    <x v="0"/>
    <s v="MTG"/>
    <x v="18"/>
    <n v="1.4848898228908918"/>
  </r>
  <r>
    <s v="30YrConformingConventional"/>
    <s v="Quicken"/>
    <x v="0"/>
    <s v="MTG"/>
    <x v="19"/>
    <n v="1.4877516387472818"/>
  </r>
  <r>
    <s v="30YrConformingConventional"/>
    <s v="Quicken"/>
    <x v="0"/>
    <s v="MTG"/>
    <x v="20"/>
    <n v="1.48790031413224"/>
  </r>
  <r>
    <s v="30YrConformingConventional"/>
    <s v="Quicken"/>
    <x v="0"/>
    <s v="MTG"/>
    <x v="21"/>
    <n v="1.4551138540801207"/>
  </r>
  <r>
    <s v="30YrConformingConventional"/>
    <s v="Quicken"/>
    <x v="0"/>
    <s v="MTG"/>
    <x v="22"/>
    <n v="1.4030969614698008"/>
  </r>
  <r>
    <s v="30YrConformingConventional"/>
    <s v="Quicken"/>
    <x v="0"/>
    <s v="MTG"/>
    <x v="23"/>
    <n v="1.5264927540743496"/>
  </r>
  <r>
    <s v="30YrConformingConventional"/>
    <s v="Quicken"/>
    <x v="0"/>
    <s v="MTG"/>
    <x v="24"/>
    <n v="1.4834640718696397"/>
  </r>
  <r>
    <s v="30YrConformingConventional"/>
    <s v="Quicken"/>
    <x v="0"/>
    <s v="MTG"/>
    <x v="25"/>
    <n v="1.4877106444003581"/>
  </r>
  <r>
    <s v="30YrConformingConventional"/>
    <s v="Quicken"/>
    <x v="0"/>
    <s v="MTG"/>
    <x v="26"/>
    <n v="1.4636651505186651"/>
  </r>
  <r>
    <s v="30YrConformingConventional"/>
    <s v="Quicken"/>
    <x v="0"/>
    <s v="MTG"/>
    <x v="27"/>
    <n v="1.4688348248507781"/>
  </r>
  <r>
    <s v="30YrConformingConventional"/>
    <s v="Quicken"/>
    <x v="0"/>
    <s v="MTG"/>
    <x v="28"/>
    <n v="1.4794738390900448"/>
  </r>
  <r>
    <s v="30YrConformingConventional"/>
    <s v="Quicken"/>
    <x v="0"/>
    <s v="MTG"/>
    <x v="29"/>
    <n v="1.4426462117529448"/>
  </r>
  <r>
    <s v="30YrConformingConventional"/>
    <s v="Quicken"/>
    <x v="0"/>
    <s v="MTG"/>
    <x v="30"/>
    <n v="1.4880251513383613"/>
  </r>
  <r>
    <s v="30YrConformingConventional"/>
    <s v="Quicken"/>
    <x v="0"/>
    <s v="MTG"/>
    <x v="31"/>
    <n v="1.5001903340299612"/>
  </r>
  <r>
    <s v="30YrConformingConventional"/>
    <s v="Quicken"/>
    <x v="0"/>
    <s v="MTG"/>
    <x v="32"/>
    <n v="1.5089809768010016"/>
  </r>
  <r>
    <s v="30YrConformingConventional"/>
    <s v="Quicken"/>
    <x v="0"/>
    <s v="MTG"/>
    <x v="33"/>
    <n v="1.5177634981419812"/>
  </r>
  <r>
    <s v="30YrConformingConventional"/>
    <s v="Quicken"/>
    <x v="0"/>
    <s v="MTG"/>
    <x v="34"/>
    <n v="1.4862947015294912"/>
  </r>
  <r>
    <s v="30YrConformingConventional"/>
    <s v="Quicken"/>
    <x v="0"/>
    <s v="MTG"/>
    <x v="35"/>
    <n v="1.4948600955250895"/>
  </r>
  <r>
    <s v="30YrConformingConventional"/>
    <s v="Quicken"/>
    <x v="0"/>
    <s v="MTG"/>
    <x v="36"/>
    <n v="1.4715419878752252"/>
  </r>
  <r>
    <s v="30YrConformingConventional"/>
    <s v="Quicken"/>
    <x v="0"/>
    <s v="MTG"/>
    <x v="37"/>
    <n v="1.4276990806405148"/>
  </r>
  <r>
    <s v="30YrConformingConventional"/>
    <s v="Quicken"/>
    <x v="0"/>
    <s v="MTG"/>
    <x v="38"/>
    <n v="1.4544274444006151"/>
  </r>
  <r>
    <s v="30YrConformingConventional"/>
    <s v="Quicken"/>
    <x v="0"/>
    <s v="MTG"/>
    <x v="39"/>
    <n v="1.4106457790517211"/>
  </r>
  <r>
    <s v="30YrConformingConventional"/>
    <s v="Quicken"/>
    <x v="0"/>
    <s v="MTG"/>
    <x v="40"/>
    <n v="1.4173516486483277"/>
  </r>
  <r>
    <s v="30YrConformingConventional"/>
    <s v="Quicken"/>
    <x v="0"/>
    <s v="MTG"/>
    <x v="41"/>
    <n v="1.5254738009914262"/>
  </r>
  <r>
    <s v="30YrConformingConventional"/>
    <s v="Quicken"/>
    <x v="0"/>
    <s v="MTG"/>
    <x v="42"/>
    <n v="1.524204949581796"/>
  </r>
  <r>
    <s v="30YrConformingConventional"/>
    <s v="Quicken"/>
    <x v="0"/>
    <s v="MTG"/>
    <x v="43"/>
    <n v="1.4365404683160585"/>
  </r>
  <r>
    <s v="30YrConformingConventional"/>
    <s v="Quicken"/>
    <x v="0"/>
    <s v="MTG"/>
    <x v="44"/>
    <n v="1.4305392548903291"/>
  </r>
  <r>
    <s v="30YrConformingConventional"/>
    <s v="Quicken"/>
    <x v="0"/>
    <s v="MTG"/>
    <x v="45"/>
    <n v="1.4607908720241185"/>
  </r>
  <r>
    <s v="30YrConformingConventional"/>
    <s v="Quicken"/>
    <x v="0"/>
    <s v="MTG"/>
    <x v="46"/>
    <n v="1.3762246496753616"/>
  </r>
  <r>
    <s v="30YrConformingConventional"/>
    <s v="Quicken"/>
    <x v="0"/>
    <s v="MTG"/>
    <x v="47"/>
    <n v="1.4629404881689234"/>
  </r>
  <r>
    <s v="30YrConformingConventional"/>
    <s v="Quicken"/>
    <x v="0"/>
    <s v="MTG"/>
    <x v="48"/>
    <n v="1.462111979295476"/>
  </r>
  <r>
    <s v="30YrConformingConventional"/>
    <s v="Quicken"/>
    <x v="0"/>
    <s v="MTG"/>
    <x v="49"/>
    <n v="1.4047368657845636"/>
  </r>
  <r>
    <s v="30YrConformingConventional"/>
    <s v="Quicken"/>
    <x v="0"/>
    <s v="MTG"/>
    <x v="50"/>
    <n v="1.4204762246717666"/>
  </r>
  <r>
    <s v="30YrConformingConventional"/>
    <s v="Quicken"/>
    <x v="0"/>
    <s v="MTG"/>
    <x v="51"/>
    <n v="1.3661091909397234"/>
  </r>
  <r>
    <s v="30YrConformingConventional"/>
    <s v="Quicken"/>
    <x v="0"/>
    <s v="MTG"/>
    <x v="52"/>
    <n v="1.4498754209908069"/>
  </r>
  <r>
    <s v="30YrConformingConventional"/>
    <s v="Quicken"/>
    <x v="0"/>
    <s v="MTG"/>
    <x v="53"/>
    <n v="1.5101226484185784"/>
  </r>
  <r>
    <s v="30YrConformingConventional"/>
    <s v="Quicken"/>
    <x v="0"/>
    <s v="MTG"/>
    <x v="54"/>
    <n v="1.4758689309019548"/>
  </r>
  <r>
    <s v="30YrConformingConventional"/>
    <s v="Quicken"/>
    <x v="0"/>
    <s v="MTG"/>
    <x v="55"/>
    <n v="1.4353176144054771"/>
  </r>
  <r>
    <s v="30YrConformingConventional"/>
    <s v="Quicken"/>
    <x v="0"/>
    <s v="MTG"/>
    <x v="56"/>
    <n v="1.4144561297019835"/>
  </r>
  <r>
    <s v="30YrConformingConventional"/>
    <s v="Quicken"/>
    <x v="0"/>
    <s v="MTG"/>
    <x v="57"/>
    <n v="1.4647424126284332"/>
  </r>
  <r>
    <s v="30YrConformingConventional"/>
    <s v="Quicken"/>
    <x v="0"/>
    <s v="MTG"/>
    <x v="58"/>
    <n v="1.4740278458662346"/>
  </r>
  <r>
    <s v="30YrConformingConventional"/>
    <s v="Quicken"/>
    <x v="0"/>
    <s v="MTG"/>
    <x v="59"/>
    <n v="1.5474389721311044"/>
  </r>
  <r>
    <s v="30YrConformingConventional"/>
    <s v="Quicken"/>
    <x v="0"/>
    <s v="MTG"/>
    <x v="60"/>
    <n v="1.4903728139659185"/>
  </r>
  <r>
    <s v="30YrConformingConventional"/>
    <s v="Quicken"/>
    <x v="0"/>
    <s v="MTG"/>
    <x v="61"/>
    <n v="1.4950721322413687"/>
  </r>
  <r>
    <s v="30YrConformingConventional"/>
    <s v="Quicken"/>
    <x v="0"/>
    <s v="MTG"/>
    <x v="62"/>
    <n v="1.4917998878905758"/>
  </r>
  <r>
    <s v="30YrConformingConventional"/>
    <s v="Quicken"/>
    <x v="0"/>
    <s v="MTG"/>
    <x v="63"/>
    <n v="1.5304654078377482"/>
  </r>
  <r>
    <s v="30YrConformingConventional"/>
    <s v="Quicken"/>
    <x v="0"/>
    <s v="MTG"/>
    <x v="64"/>
    <n v="1.456538551931688"/>
  </r>
  <r>
    <s v="30YrConformingConventional"/>
    <s v="Quicken"/>
    <x v="0"/>
    <s v="MTG"/>
    <x v="65"/>
    <n v="1.4471775794060073"/>
  </r>
  <r>
    <s v="30YrConformingConventional"/>
    <s v="Quicken"/>
    <x v="0"/>
    <s v="MTG"/>
    <x v="66"/>
    <n v="1.4843967805660399"/>
  </r>
  <r>
    <s v="30YrConformingConventional"/>
    <s v="Quicken"/>
    <x v="0"/>
    <s v="MTG"/>
    <x v="67"/>
    <n v="1.4548494506448555"/>
  </r>
  <r>
    <s v="30YrConformingConventional"/>
    <s v="Quicken"/>
    <x v="0"/>
    <s v="MTG"/>
    <x v="68"/>
    <n v="1.4881603042196454"/>
  </r>
  <r>
    <s v="30YrConformingConventional"/>
    <s v="Quicken"/>
    <x v="0"/>
    <s v="MTG"/>
    <x v="69"/>
    <n v="1.4440887961320856"/>
  </r>
  <r>
    <s v="30YrConformingConventional"/>
    <s v="Quicken"/>
    <x v="0"/>
    <s v="MTG"/>
    <x v="70"/>
    <n v="1.4075287501712803"/>
  </r>
  <r>
    <s v="30YrConformingConventional"/>
    <s v="Quicken"/>
    <x v="0"/>
    <s v="MTG"/>
    <x v="71"/>
    <n v="1.4972730625516655"/>
  </r>
  <r>
    <s v="30YrConformingConventional"/>
    <s v="Quicken"/>
    <x v="0"/>
    <s v="MTG"/>
    <x v="72"/>
    <n v="1.4498207626518271"/>
  </r>
  <r>
    <s v="30YrConformingConventional"/>
    <s v="Quicken"/>
    <x v="0"/>
    <s v="MTG"/>
    <x v="73"/>
    <n v="1.4252231382307401"/>
  </r>
  <r>
    <s v="30YrConformingConventional"/>
    <s v="Quicken"/>
    <x v="0"/>
    <s v="MTG"/>
    <x v="74"/>
    <n v="1.4880206003686269"/>
  </r>
  <r>
    <s v="30YrConformingConventional"/>
    <s v="Quicken"/>
    <x v="0"/>
    <s v="MTG"/>
    <x v="75"/>
    <n v="1.5095993663904568"/>
  </r>
  <r>
    <s v="30YrConformingConventional"/>
    <s v="Quicken"/>
    <x v="0"/>
    <s v="MTG"/>
    <x v="76"/>
    <n v="1.4663819561525822"/>
  </r>
  <r>
    <s v="30YrConformingConventional"/>
    <s v="Quicken"/>
    <x v="0"/>
    <s v="MTG"/>
    <x v="77"/>
    <n v="1.467421874783301"/>
  </r>
  <r>
    <s v="30YrConformingConventional"/>
    <s v="Quicken"/>
    <x v="0"/>
    <s v="MTG"/>
    <x v="78"/>
    <n v="1.4021636048641268"/>
  </r>
  <r>
    <s v="30YrConformingConventional"/>
    <s v="Quicken"/>
    <x v="0"/>
    <s v="MTG"/>
    <x v="79"/>
    <n v="1.3996874898998775"/>
  </r>
  <r>
    <s v="30YrConformingConventional"/>
    <s v="Quicken"/>
    <x v="0"/>
    <s v="MTG"/>
    <x v="80"/>
    <n v="1.430331400554647"/>
  </r>
  <r>
    <s v="30YrConformingConventional"/>
    <s v="Quicken"/>
    <x v="0"/>
    <s v="MTG"/>
    <x v="81"/>
    <n v="1.4056997034252172"/>
  </r>
  <r>
    <s v="30YrConformingConventional"/>
    <s v="Quicken"/>
    <x v="0"/>
    <s v="MTG"/>
    <x v="82"/>
    <n v="1.3826046317307703"/>
  </r>
  <r>
    <s v="30YrConformingConventional"/>
    <s v="Quicken"/>
    <x v="0"/>
    <s v="MTG"/>
    <x v="83"/>
    <n v="1.4364050910114474"/>
  </r>
  <r>
    <s v="30YrConformingConventional"/>
    <s v="Quicken"/>
    <x v="0"/>
    <s v="MTG"/>
    <x v="84"/>
    <n v="1.4483115676875973"/>
  </r>
  <r>
    <s v="30YrConformingConventional"/>
    <s v="Quicken"/>
    <x v="0"/>
    <s v="MTG"/>
    <x v="85"/>
    <n v="1.4221081738015604"/>
  </r>
  <r>
    <s v="30YrConformingConventional"/>
    <s v="Quicken"/>
    <x v="0"/>
    <s v="MTG"/>
    <x v="86"/>
    <n v="1.3886466132010673"/>
  </r>
  <r>
    <s v="30YrConformingConventional"/>
    <s v="Quicken"/>
    <x v="0"/>
    <s v="MTG"/>
    <x v="87"/>
    <n v="1.5324256561702054"/>
  </r>
  <r>
    <s v="30YrConformingConventional"/>
    <s v="Quicken"/>
    <x v="0"/>
    <s v="MTG"/>
    <x v="88"/>
    <n v="1.5033319569337917"/>
  </r>
  <r>
    <s v="30YrConformingConventional"/>
    <s v="Quicken"/>
    <x v="0"/>
    <s v="MTG"/>
    <x v="89"/>
    <n v="1.5626154943854269"/>
  </r>
  <r>
    <s v="30YrConformingConventional"/>
    <s v="Quicken"/>
    <x v="0"/>
    <s v="MTG"/>
    <x v="90"/>
    <n v="1.5758798084377967"/>
  </r>
  <r>
    <s v="30YrConformingConventional"/>
    <s v="Quicken"/>
    <x v="0"/>
    <s v="MTG"/>
    <x v="91"/>
    <n v="1.4924131272430072"/>
  </r>
  <r>
    <s v="30YrConformingConventional"/>
    <s v="Quicken"/>
    <x v="0"/>
    <s v="MTG"/>
    <x v="92"/>
    <n v="1.4792233270269517"/>
  </r>
  <r>
    <s v="30YrConformingConventional"/>
    <s v="Quicken"/>
    <x v="0"/>
    <s v="MTG"/>
    <x v="93"/>
    <n v="1.4566586050220325"/>
  </r>
  <r>
    <s v="30YrConformingConventional"/>
    <s v="Quicken"/>
    <x v="0"/>
    <s v="MTG"/>
    <x v="94"/>
    <n v="1.5483643137247298"/>
  </r>
  <r>
    <s v="30YrConformingConventional"/>
    <s v="Quicken"/>
    <x v="0"/>
    <s v="MTG"/>
    <x v="95"/>
    <n v="1.4947782656127222"/>
  </r>
  <r>
    <s v="30YrConformingConventional"/>
    <s v="Quicken"/>
    <x v="0"/>
    <s v="MTG"/>
    <x v="96"/>
    <n v="1.4736088385134953"/>
  </r>
  <r>
    <s v="30YrConformingConventional"/>
    <s v="Quicken"/>
    <x v="0"/>
    <s v="MTG"/>
    <x v="97"/>
    <n v="1.5318206661209262"/>
  </r>
  <r>
    <s v="30YrConformingConventional"/>
    <s v="Quicken"/>
    <x v="0"/>
    <s v="MTG"/>
    <x v="98"/>
    <n v="1.5897431671584479"/>
  </r>
  <r>
    <s v="30YrConformingConventional"/>
    <s v="Quicken"/>
    <x v="0"/>
    <s v="MTG"/>
    <x v="99"/>
    <n v="1.5862801648354699"/>
  </r>
  <r>
    <s v="30YrConformingConventional"/>
    <s v="Quicken"/>
    <x v="0"/>
    <s v="MTG"/>
    <x v="100"/>
    <n v="1.6406557497822147"/>
  </r>
  <r>
    <s v="30YrConformingConventional"/>
    <s v="Quicken"/>
    <x v="0"/>
    <s v="MTG"/>
    <x v="101"/>
    <n v="1.530075174887463"/>
  </r>
  <r>
    <s v="30YrConformingConventional"/>
    <s v="Quicken"/>
    <x v="0"/>
    <s v="MTG"/>
    <x v="102"/>
    <n v="1.5622258993268487"/>
  </r>
  <r>
    <s v="30YrConformingConventional"/>
    <s v="Quicken"/>
    <x v="0"/>
    <s v="MTG"/>
    <x v="103"/>
    <n v="1.5659764368811495"/>
  </r>
  <r>
    <s v="30YrConformingConventional"/>
    <s v="Quicken"/>
    <x v="0"/>
    <s v="MTG"/>
    <x v="104"/>
    <n v="1.5379078120626815"/>
  </r>
  <r>
    <s v="30YrConformingConventional"/>
    <s v="Quicken"/>
    <x v="0"/>
    <s v="MTG"/>
    <x v="105"/>
    <n v="1.5674490622056676"/>
  </r>
  <r>
    <s v="30YrConformingConventional"/>
    <s v="Quicken"/>
    <x v="0"/>
    <s v="MTG"/>
    <x v="106"/>
    <n v="1.5832555958430223"/>
  </r>
  <r>
    <s v="30YrConformingConventional"/>
    <s v="Quicken"/>
    <x v="0"/>
    <s v="MTG"/>
    <x v="107"/>
    <n v="1.5694674483282143"/>
  </r>
  <r>
    <s v="30YrConformingConventional"/>
    <s v="Quicken"/>
    <x v="0"/>
    <s v="MTG"/>
    <x v="108"/>
    <n v="1.4961696200166943"/>
  </r>
  <r>
    <s v="30YrConformingConventional"/>
    <s v="Quicken"/>
    <x v="0"/>
    <s v="MTG"/>
    <x v="109"/>
    <n v="1.50116015970054"/>
  </r>
  <r>
    <s v="30YrConformingConventional"/>
    <s v="Quicken"/>
    <x v="0"/>
    <s v="MTG"/>
    <x v="110"/>
    <n v="1.5381067942008002"/>
  </r>
  <r>
    <s v="30YrConformingConventional"/>
    <s v="Quicken"/>
    <x v="0"/>
    <s v="MTG"/>
    <x v="111"/>
    <n v="1.5867989608319952"/>
  </r>
  <r>
    <s v="30YrConformingConventional"/>
    <s v="Quicken"/>
    <x v="0"/>
    <s v="MTG"/>
    <x v="112"/>
    <n v="1.5263484054436036"/>
  </r>
  <r>
    <s v="30YrConformingConventional"/>
    <s v="Quicken"/>
    <x v="0"/>
    <s v="MTG"/>
    <x v="113"/>
    <n v="1.5138169190748885"/>
  </r>
  <r>
    <s v="30YrConformingConventional"/>
    <s v="Quicken"/>
    <x v="0"/>
    <s v="MTG"/>
    <x v="114"/>
    <n v="1.5256729721524496"/>
  </r>
  <r>
    <s v="30YrConformingConventional"/>
    <s v="Quicken"/>
    <x v="0"/>
    <s v="MTG"/>
    <x v="115"/>
    <n v="1.4559144262989019"/>
  </r>
  <r>
    <s v="30YrConformingConventional"/>
    <s v="Quicken"/>
    <x v="0"/>
    <s v="MTG"/>
    <x v="116"/>
    <n v="1.4960357389686323"/>
  </r>
  <r>
    <s v="30YrConformingConventional"/>
    <s v="Quicken"/>
    <x v="0"/>
    <s v="MTG"/>
    <x v="117"/>
    <n v="1.6004859486082403"/>
  </r>
  <r>
    <s v="30YrConformingConventional"/>
    <s v="Quicken"/>
    <x v="0"/>
    <s v="MTG"/>
    <x v="118"/>
    <n v="1.6053321986226832"/>
  </r>
  <r>
    <s v="30YrConformingConventional"/>
    <s v="Quicken"/>
    <x v="0"/>
    <s v="MTG"/>
    <x v="119"/>
    <n v="1.6088783459839722"/>
  </r>
  <r>
    <s v="30YrConformingConventional"/>
    <s v="Quicken"/>
    <x v="0"/>
    <s v="MTG"/>
    <x v="120"/>
    <n v="1.6129364462859768"/>
  </r>
  <r>
    <s v="30YrConformingConventional"/>
    <s v="Quicken"/>
    <x v="0"/>
    <s v="MTG"/>
    <x v="121"/>
    <n v="1.6036155245444501"/>
  </r>
  <r>
    <s v="30YrConformingConventional"/>
    <s v="Quicken"/>
    <x v="0"/>
    <s v="MTG"/>
    <x v="122"/>
    <n v="1.5463958364041586"/>
  </r>
  <r>
    <s v="30YrConformingConventional"/>
    <s v="Quicken"/>
    <x v="0"/>
    <s v="MTG"/>
    <x v="123"/>
    <n v="1.5444561912014796"/>
  </r>
  <r>
    <s v="30YrConformingConventional"/>
    <s v="Quicken"/>
    <x v="0"/>
    <s v="MTG"/>
    <x v="124"/>
    <n v="1.5696483810938424"/>
  </r>
  <r>
    <s v="30YrConformingConventional"/>
    <s v="Quicken"/>
    <x v="0"/>
    <s v="MTG"/>
    <x v="125"/>
    <n v="1.5988716159090279"/>
  </r>
  <r>
    <s v="30YrConformingConventional"/>
    <s v="Quicken"/>
    <x v="0"/>
    <s v="MTG"/>
    <x v="126"/>
    <n v="1.5394851350453029"/>
  </r>
  <r>
    <s v="30YrConformingConventional"/>
    <s v="Quicken"/>
    <x v="0"/>
    <s v="MTG"/>
    <x v="127"/>
    <n v="1.5643166815713219"/>
  </r>
  <r>
    <s v="30YrConformingConventional"/>
    <s v="Quicken"/>
    <x v="0"/>
    <s v="MTG"/>
    <x v="128"/>
    <n v="1.5544230883033849"/>
  </r>
  <r>
    <s v="30YrConformingConventional"/>
    <s v="Quicken"/>
    <x v="0"/>
    <s v="MTG"/>
    <x v="129"/>
    <n v="1.5570989307087846"/>
  </r>
  <r>
    <s v="30YrConformingConventional"/>
    <s v="Quicken"/>
    <x v="0"/>
    <s v="MTG"/>
    <x v="130"/>
    <n v="1.5533296629840925"/>
  </r>
  <r>
    <s v="30YrConformingConventional"/>
    <s v="Quicken"/>
    <x v="0"/>
    <s v="MTG"/>
    <x v="131"/>
    <n v="1.5535296140184649"/>
  </r>
  <r>
    <s v="30YrConformingConventional"/>
    <s v="Quicken"/>
    <x v="0"/>
    <s v="MTG"/>
    <x v="132"/>
    <n v="1.5571021012936688"/>
  </r>
  <r>
    <s v="30YrConformingConventional"/>
    <s v="Quicken"/>
    <x v="0"/>
    <s v="MTG"/>
    <x v="133"/>
    <n v="1.5063208864614437"/>
  </r>
  <r>
    <s v="30YrConformingConventional"/>
    <s v="Quicken"/>
    <x v="0"/>
    <s v="MTG"/>
    <x v="134"/>
    <n v="1.5053360090075938"/>
  </r>
  <r>
    <s v="30YrConformingConventional"/>
    <s v="Quicken"/>
    <x v="0"/>
    <s v="MTG"/>
    <x v="135"/>
    <n v="1.5196980580876915"/>
  </r>
  <r>
    <s v="30YrConformingConventional"/>
    <s v="Quicken"/>
    <x v="0"/>
    <s v="MTG"/>
    <x v="136"/>
    <n v="1.518465411891015"/>
  </r>
  <r>
    <s v="30YrConformingConventional"/>
    <s v="Quicken"/>
    <x v="0"/>
    <s v="MTG"/>
    <x v="137"/>
    <n v="1.4642154198381139"/>
  </r>
  <r>
    <s v="30YrConformingConventional"/>
    <s v="Quicken"/>
    <x v="0"/>
    <s v="MTG"/>
    <x v="138"/>
    <n v="1.5202928794831194"/>
  </r>
  <r>
    <s v="30YrConformingConventional"/>
    <s v="Quicken"/>
    <x v="0"/>
    <s v="MTG"/>
    <x v="139"/>
    <n v="1.5752650274788345"/>
  </r>
  <r>
    <s v="30YrConformingConventional"/>
    <s v="Quicken"/>
    <x v="0"/>
    <s v="MTG"/>
    <x v="140"/>
    <n v="1.6394046015192107"/>
  </r>
  <r>
    <s v="30YrConformingConventional"/>
    <s v="Quicken"/>
    <x v="0"/>
    <s v="MTG"/>
    <x v="141"/>
    <n v="1.5463465675954722"/>
  </r>
  <r>
    <s v="30YrConformingConventional"/>
    <s v="Quicken"/>
    <x v="0"/>
    <s v="MTG"/>
    <x v="142"/>
    <n v="1.6364660197752334"/>
  </r>
  <r>
    <s v="30YrConformingConventional"/>
    <s v="Quicken"/>
    <x v="0"/>
    <s v="MTG"/>
    <x v="143"/>
    <n v="1.5877477107979443"/>
  </r>
  <r>
    <s v="30YrConformingConventional"/>
    <s v="Quicken"/>
    <x v="0"/>
    <s v="MTG"/>
    <x v="144"/>
    <n v="1.5262399020456543"/>
  </r>
  <r>
    <s v="30YrConformingConventional"/>
    <s v="Quicken"/>
    <x v="0"/>
    <s v="MTG"/>
    <x v="145"/>
    <n v="1.5884929234855298"/>
  </r>
  <r>
    <s v="30YrConformingConventional"/>
    <s v="Quicken"/>
    <x v="0"/>
    <s v="MTG"/>
    <x v="146"/>
    <n v="1.6268344009366407"/>
  </r>
  <r>
    <s v="30YrConformingConventional"/>
    <s v="Quicken"/>
    <x v="0"/>
    <s v="MTG"/>
    <x v="147"/>
    <n v="1.541459706240867"/>
  </r>
  <r>
    <s v="30YrConformingConventional"/>
    <s v="Quicken"/>
    <x v="0"/>
    <s v="MTG"/>
    <x v="148"/>
    <n v="1.514126672131227"/>
  </r>
  <r>
    <s v="30YrConformingConventional"/>
    <s v="Quicken"/>
    <x v="0"/>
    <s v="MTG"/>
    <x v="149"/>
    <n v="1.4410869371845925"/>
  </r>
  <r>
    <s v="30YrConformingConventional"/>
    <s v="Quicken"/>
    <x v="0"/>
    <s v="MTG"/>
    <x v="150"/>
    <n v="1.4554891746166569"/>
  </r>
  <r>
    <s v="30YrConformingConventional"/>
    <s v="Quicken"/>
    <x v="0"/>
    <s v="MTG"/>
    <x v="151"/>
    <n v="1.4695291518239186"/>
  </r>
  <r>
    <s v="30YrConformingConventional"/>
    <s v="Quicken"/>
    <x v="0"/>
    <s v="MTG"/>
    <x v="152"/>
    <n v="1.5122630148957799"/>
  </r>
  <r>
    <s v="30YrConformingConventional"/>
    <s v="Quicken"/>
    <x v="0"/>
    <s v="MTG"/>
    <x v="153"/>
    <n v="1.4962672480040489"/>
  </r>
  <r>
    <s v="30YrConformingConventional"/>
    <s v="Quicken"/>
    <x v="0"/>
    <s v="MTG"/>
    <x v="154"/>
    <n v="1.4515006334280287"/>
  </r>
  <r>
    <s v="30YrConformingConventional"/>
    <s v="Quicken"/>
    <x v="0"/>
    <s v="MTG"/>
    <x v="155"/>
    <n v="1.5082134749238463"/>
  </r>
  <r>
    <s v="30YrConformingConventional"/>
    <s v="Quicken"/>
    <x v="0"/>
    <s v="MTG"/>
    <x v="156"/>
    <n v="1.4625367288352016"/>
  </r>
  <r>
    <s v="30YrConformingConventional"/>
    <s v="Quicken"/>
    <x v="0"/>
    <s v="MTG"/>
    <x v="157"/>
    <n v="1.4790904801177798"/>
  </r>
  <r>
    <s v="30YrConformingConventional"/>
    <s v="Quicken"/>
    <x v="0"/>
    <s v="MTG"/>
    <x v="158"/>
    <n v="1.4538103358457659"/>
  </r>
  <r>
    <s v="30YrConformingConventional"/>
    <s v="Quicken"/>
    <x v="0"/>
    <s v="MTG"/>
    <x v="159"/>
    <n v="1.4801557729994834"/>
  </r>
  <r>
    <s v="30YrConformingConventional"/>
    <s v="Quicken"/>
    <x v="0"/>
    <s v="MTG"/>
    <x v="160"/>
    <n v="1.5516325196127514"/>
  </r>
  <r>
    <s v="30YrConformingConventional"/>
    <s v="Quicken"/>
    <x v="0"/>
    <s v="MTG"/>
    <x v="161"/>
    <n v="1.543090482104307"/>
  </r>
  <r>
    <s v="30YrConformingConventional"/>
    <s v="Quicken"/>
    <x v="0"/>
    <s v="MTG"/>
    <x v="162"/>
    <n v="1.5363139398199277"/>
  </r>
  <r>
    <s v="30YrConformingConventional"/>
    <s v="Quicken"/>
    <x v="0"/>
    <s v="MTG"/>
    <x v="163"/>
    <n v="1.5607029799600651"/>
  </r>
  <r>
    <s v="30YrConformingConventional"/>
    <s v="Quicken"/>
    <x v="0"/>
    <s v="MTG"/>
    <x v="164"/>
    <n v="1.5067918723401852"/>
  </r>
  <r>
    <s v="30YrConformingConventional"/>
    <s v="Quicken"/>
    <x v="0"/>
    <s v="MTG"/>
    <x v="165"/>
    <n v="1.5426596828174381"/>
  </r>
  <r>
    <s v="30YrConformingConventional"/>
    <s v="Quicken"/>
    <x v="0"/>
    <s v="MTG"/>
    <x v="166"/>
    <n v="1.507244661917901"/>
  </r>
  <r>
    <s v="30YrConformingConventional"/>
    <s v="Quicken"/>
    <x v="0"/>
    <s v="MTG"/>
    <x v="167"/>
    <n v="1.528960489886048"/>
  </r>
  <r>
    <s v="30YrConformingConventional"/>
    <s v="Quicken"/>
    <x v="0"/>
    <s v="MTG"/>
    <x v="168"/>
    <n v="1.5098516598071106"/>
  </r>
  <r>
    <s v="30YrConformingConventional"/>
    <s v="Quicken"/>
    <x v="0"/>
    <s v="MTG"/>
    <x v="169"/>
    <n v="1.5385715585404351"/>
  </r>
  <r>
    <s v="30YrConformingConventional"/>
    <s v="Quicken"/>
    <x v="0"/>
    <s v="MTG"/>
    <x v="170"/>
    <n v="1.5121313142182173"/>
  </r>
  <r>
    <s v="30YrConformingConventional"/>
    <s v="Quicken"/>
    <x v="0"/>
    <s v="MTG"/>
    <x v="171"/>
    <n v="1.5050153014438916"/>
  </r>
  <r>
    <s v="30YrConformingConventional"/>
    <s v="Quicken"/>
    <x v="0"/>
    <s v="MTG"/>
    <x v="172"/>
    <n v="1.4982410078427051"/>
  </r>
  <r>
    <s v="30YrConformingConventional"/>
    <s v="Quicken"/>
    <x v="0"/>
    <s v="MTG"/>
    <x v="173"/>
    <n v="1.4818704427738609"/>
  </r>
  <r>
    <s v="30YrConformingConventional"/>
    <s v="Quicken"/>
    <x v="0"/>
    <s v="MTG"/>
    <x v="174"/>
    <n v="1.5004858734417919"/>
  </r>
  <r>
    <s v="30YrConformingConventional"/>
    <s v="Quicken"/>
    <x v="0"/>
    <s v="MTG"/>
    <x v="175"/>
    <n v="1.461946985701984"/>
  </r>
  <r>
    <s v="30YrConformingConventional"/>
    <s v="Quicken"/>
    <x v="0"/>
    <s v="MTG"/>
    <x v="176"/>
    <n v="1.4744448377414441"/>
  </r>
  <r>
    <s v="30YrConformingConventional"/>
    <s v="Quicken"/>
    <x v="0"/>
    <s v="MTG"/>
    <x v="177"/>
    <n v="1.4512101770937029"/>
  </r>
  <r>
    <s v="30YrConformingConventional"/>
    <s v="Quicken"/>
    <x v="0"/>
    <s v="MTG"/>
    <x v="178"/>
    <n v="1.4897716986106646"/>
  </r>
  <r>
    <s v="30YrConformingConventional"/>
    <s v="Quicken"/>
    <x v="0"/>
    <s v="MTG"/>
    <x v="179"/>
    <n v="1.4562981147005198"/>
  </r>
  <r>
    <s v="30YrConformingConventional"/>
    <s v="Quicken"/>
    <x v="0"/>
    <s v="MTG"/>
    <x v="180"/>
    <n v="1.5849149853228051"/>
  </r>
  <r>
    <s v="30YrConformingConventional"/>
    <s v="Quicken"/>
    <x v="0"/>
    <s v="MTG"/>
    <x v="181"/>
    <n v="1.5541278583321352"/>
  </r>
  <r>
    <s v="30YrConformingConventional"/>
    <s v="Quicken"/>
    <x v="0"/>
    <s v="MTG"/>
    <x v="182"/>
    <n v="1.5420196837121618"/>
  </r>
  <r>
    <s v="30YrConformingConventional"/>
    <s v="Quicken"/>
    <x v="0"/>
    <s v="MTG"/>
    <x v="183"/>
    <n v="1.5179966138420906"/>
  </r>
  <r>
    <s v="30YrConformingConventional"/>
    <s v="Quicken"/>
    <x v="0"/>
    <s v="MTG"/>
    <x v="184"/>
    <n v="1.5405726796054369"/>
  </r>
  <r>
    <s v="30YrConformingConventional"/>
    <s v="Quicken"/>
    <x v="0"/>
    <s v="MTG"/>
    <x v="185"/>
    <n v="1.4885962672337021"/>
  </r>
  <r>
    <s v="30YrConformingConventional"/>
    <s v="Quicken"/>
    <x v="0"/>
    <s v="MTG"/>
    <x v="186"/>
    <n v="1.4912122868606721"/>
  </r>
  <r>
    <s v="30YrConformingConventional"/>
    <s v="Quicken"/>
    <x v="0"/>
    <s v="MTG"/>
    <x v="187"/>
    <n v="1.4984115010220622"/>
  </r>
  <r>
    <s v="30YrConformingConventional"/>
    <s v="Quicken"/>
    <x v="0"/>
    <s v="MTG"/>
    <x v="188"/>
    <n v="1.4819011158162858"/>
  </r>
  <r>
    <s v="30YrConformingConventional"/>
    <s v="Quicken"/>
    <x v="0"/>
    <s v="MTG"/>
    <x v="189"/>
    <n v="1.5114851993998251"/>
  </r>
  <r>
    <s v="30YrConformingConventional"/>
    <s v="Quicken"/>
    <x v="0"/>
    <s v="MTG"/>
    <x v="190"/>
    <n v="1.5215365662646596"/>
  </r>
  <r>
    <s v="30YrConformingConventional"/>
    <s v="Quicken"/>
    <x v="0"/>
    <s v="MTG"/>
    <x v="191"/>
    <n v="1.4988382658422779"/>
  </r>
  <r>
    <s v="30YrConformingConventional"/>
    <s v="Quicken"/>
    <x v="0"/>
    <s v="MTG"/>
    <x v="192"/>
    <n v="1.5568540315302071"/>
  </r>
  <r>
    <s v="30YrConformingConventional"/>
    <s v="Quicken"/>
    <x v="0"/>
    <s v="MTG"/>
    <x v="193"/>
    <n v="1.5430933862496645"/>
  </r>
  <r>
    <s v="30YrConformingConventional"/>
    <s v="Quicken"/>
    <x v="0"/>
    <s v="MTG"/>
    <x v="194"/>
    <n v="1.5180647764182047"/>
  </r>
  <r>
    <s v="30YrConformingConventional"/>
    <s v="Quicken"/>
    <x v="0"/>
    <s v="MTG"/>
    <x v="195"/>
    <n v="1.5633735530652657"/>
  </r>
  <r>
    <s v="30YrConformingConventional"/>
    <s v="Quicken"/>
    <x v="0"/>
    <s v="MTG"/>
    <x v="196"/>
    <n v="1.5243019824097856"/>
  </r>
  <r>
    <s v="30YrConformingConventional"/>
    <s v="Quicken"/>
    <x v="0"/>
    <s v="MTG"/>
    <x v="197"/>
    <n v="1.5308235699604822"/>
  </r>
  <r>
    <s v="30YrConformingConventional"/>
    <s v="Quicken"/>
    <x v="0"/>
    <s v="MTG"/>
    <x v="198"/>
    <n v="1.557800448815017"/>
  </r>
  <r>
    <s v="30YrConformingConventional"/>
    <s v="Quicken"/>
    <x v="0"/>
    <s v="MTG"/>
    <x v="199"/>
    <n v="1.5571195230255301"/>
  </r>
  <r>
    <s v="30YrConformingConventional"/>
    <s v="Quicken"/>
    <x v="0"/>
    <s v="MTG"/>
    <x v="200"/>
    <n v="1.5195619155708981"/>
  </r>
  <r>
    <s v="30YrConformingConventional"/>
    <s v="Quicken"/>
    <x v="0"/>
    <s v="MTG"/>
    <x v="201"/>
    <n v="1.5277478818839125"/>
  </r>
  <r>
    <s v="30YrConformingConventional"/>
    <s v="Quicken"/>
    <x v="0"/>
    <s v="MTG"/>
    <x v="202"/>
    <n v="1.5563843291359254"/>
  </r>
  <r>
    <s v="30YrConformingConventional"/>
    <s v="Quicken"/>
    <x v="0"/>
    <s v="MTG"/>
    <x v="203"/>
    <n v="1.5198746716357643"/>
  </r>
  <r>
    <s v="30YrConformingConventional"/>
    <s v="Quicken"/>
    <x v="0"/>
    <s v="MTG"/>
    <x v="204"/>
    <n v="1.5040700913658653"/>
  </r>
  <r>
    <s v="30YrConformingConventional"/>
    <s v="Quicken"/>
    <x v="0"/>
    <s v="MTG"/>
    <x v="205"/>
    <n v="1.5106609051656277"/>
  </r>
  <r>
    <s v="30YrConformingConventional"/>
    <s v="Quicken"/>
    <x v="0"/>
    <s v="MTG"/>
    <x v="206"/>
    <n v="1.5256922663386276"/>
  </r>
  <r>
    <s v="30YrConformingConventional"/>
    <s v="Quicken"/>
    <x v="0"/>
    <s v="MTG"/>
    <x v="207"/>
    <n v="1.5186377129951325"/>
  </r>
  <r>
    <s v="30YrConformingConventional"/>
    <s v="Quicken"/>
    <x v="0"/>
    <s v="MTG"/>
    <x v="208"/>
    <n v="1.4642138685357327"/>
  </r>
  <r>
    <s v="30YrConformingConventional"/>
    <s v="Quicken"/>
    <x v="0"/>
    <s v="MTG"/>
    <x v="209"/>
    <n v="1.5481028067197069"/>
  </r>
  <r>
    <s v="30YrConformingConventional"/>
    <s v="Quicken"/>
    <x v="0"/>
    <s v="MTG"/>
    <x v="210"/>
    <n v="1.4677586424967521"/>
  </r>
  <r>
    <s v="30YrConformingConventional"/>
    <s v="Quicken"/>
    <x v="0"/>
    <s v="MTG"/>
    <x v="211"/>
    <n v="1.4978547960901447"/>
  </r>
  <r>
    <s v="30YrConformingConventional"/>
    <s v="Quicken"/>
    <x v="0"/>
    <s v="MTG"/>
    <x v="212"/>
    <n v="1.4959678614927461"/>
  </r>
  <r>
    <s v="30YrConformingConventional"/>
    <s v="Quicken"/>
    <x v="0"/>
    <s v="MTG"/>
    <x v="213"/>
    <n v="1.5579636337634866"/>
  </r>
  <r>
    <s v="30YrConformingConventional"/>
    <s v="Quicken"/>
    <x v="0"/>
    <s v="MTG"/>
    <x v="214"/>
    <n v="1.5844575258441369"/>
  </r>
  <r>
    <s v="30YrConformingConventional"/>
    <s v="Quicken"/>
    <x v="0"/>
    <s v="MTG"/>
    <x v="215"/>
    <n v="1.5402616823217599"/>
  </r>
  <r>
    <s v="30YrConformingConventional"/>
    <s v="Quicken"/>
    <x v="0"/>
    <s v="MTG"/>
    <x v="216"/>
    <n v="1.534704246059617"/>
  </r>
  <r>
    <s v="30YrConformingConventional"/>
    <s v="Quicken"/>
    <x v="0"/>
    <s v="MTG"/>
    <x v="217"/>
    <n v="1.5003201460334237"/>
  </r>
  <r>
    <s v="30YrConformingConventional"/>
    <s v="Quicken"/>
    <x v="0"/>
    <s v="MTG"/>
    <x v="218"/>
    <n v="1.5194988875535922"/>
  </r>
  <r>
    <s v="30YrConformingConventional"/>
    <s v="Quicken"/>
    <x v="0"/>
    <s v="MTG"/>
    <x v="219"/>
    <n v="1.5305507524427708"/>
  </r>
  <r>
    <s v="30YrConformingConventional"/>
    <s v="Quicken"/>
    <x v="0"/>
    <s v="MTG"/>
    <x v="220"/>
    <n v="1.556799176982802"/>
  </r>
  <r>
    <s v="30YrConformingConventional"/>
    <s v="Quicken"/>
    <x v="0"/>
    <s v="MTG"/>
    <x v="221"/>
    <n v="1.5088128461008894"/>
  </r>
  <r>
    <s v="30YrConformingConventional"/>
    <s v="Quicken"/>
    <x v="0"/>
    <s v="MTG"/>
    <x v="222"/>
    <n v="1.4560253753403627"/>
  </r>
  <r>
    <s v="30YrConformingConventional"/>
    <s v="Quicken"/>
    <x v="0"/>
    <s v="MTG"/>
    <x v="223"/>
    <n v="1.5246234974042736"/>
  </r>
  <r>
    <s v="30YrConformingConventional"/>
    <s v="Quicken"/>
    <x v="0"/>
    <s v="MTG"/>
    <x v="224"/>
    <n v="1.5428958076334109"/>
  </r>
  <r>
    <s v="30YrConformingConventional"/>
    <s v="Quicken"/>
    <x v="0"/>
    <s v="MTG"/>
    <x v="225"/>
    <n v="1.5493069674556876"/>
  </r>
  <r>
    <s v="30YrConformingConventional"/>
    <s v="Quicken"/>
    <x v="0"/>
    <s v="MTG"/>
    <x v="226"/>
    <n v="1.5452500406199678"/>
  </r>
  <r>
    <s v="30YrConformingConventional"/>
    <s v="Quicken"/>
    <x v="0"/>
    <s v="MTG"/>
    <x v="227"/>
    <n v="1.5126447445978526"/>
  </r>
  <r>
    <s v="30YrConformingConventional"/>
    <s v="Quicken"/>
    <x v="0"/>
    <s v="MTG"/>
    <x v="228"/>
    <n v="1.5396595396038395"/>
  </r>
  <r>
    <s v="30YrConformingConventional"/>
    <s v="Quicken"/>
    <x v="0"/>
    <s v="MTG"/>
    <x v="229"/>
    <n v="1.4789193051358598"/>
  </r>
  <r>
    <s v="30YrConformingConventional"/>
    <s v="Quicken"/>
    <x v="0"/>
    <s v="MTG"/>
    <x v="230"/>
    <n v="1.5699052495935495"/>
  </r>
  <r>
    <s v="30YrConformingConventional"/>
    <s v="Wells Fargo"/>
    <x v="0"/>
    <s v="MTG"/>
    <x v="0"/>
    <n v="1.3276040404206293"/>
  </r>
  <r>
    <s v="30YrConformingConventional"/>
    <s v="Wells Fargo"/>
    <x v="0"/>
    <s v="MTG"/>
    <x v="1"/>
    <n v="1.3376202576964793"/>
  </r>
  <r>
    <s v="30YrConformingConventional"/>
    <s v="Wells Fargo"/>
    <x v="0"/>
    <s v="MTG"/>
    <x v="2"/>
    <n v="1.3462424054732489"/>
  </r>
  <r>
    <s v="30YrConformingConventional"/>
    <s v="Wells Fargo"/>
    <x v="0"/>
    <s v="MTG"/>
    <x v="3"/>
    <n v="1.4339233654036512"/>
  </r>
  <r>
    <s v="30YrConformingConventional"/>
    <s v="Wells Fargo"/>
    <x v="0"/>
    <s v="MTG"/>
    <x v="4"/>
    <n v="1.3980450736732202"/>
  </r>
  <r>
    <s v="30YrConformingConventional"/>
    <s v="Wells Fargo"/>
    <x v="0"/>
    <s v="MTG"/>
    <x v="5"/>
    <n v="1.3467036436431594"/>
  </r>
  <r>
    <s v="30YrConformingConventional"/>
    <s v="Wells Fargo"/>
    <x v="0"/>
    <s v="MTG"/>
    <x v="6"/>
    <n v="1.3652186771317991"/>
  </r>
  <r>
    <s v="30YrConformingConventional"/>
    <s v="Wells Fargo"/>
    <x v="0"/>
    <s v="MTG"/>
    <x v="7"/>
    <n v="1.4863728858778815"/>
  </r>
  <r>
    <s v="30YrConformingConventional"/>
    <s v="Wells Fargo"/>
    <x v="0"/>
    <s v="MTG"/>
    <x v="8"/>
    <n v="1.3615482313074194"/>
  </r>
  <r>
    <s v="30YrConformingConventional"/>
    <s v="Wells Fargo"/>
    <x v="0"/>
    <s v="MTG"/>
    <x v="9"/>
    <n v="1.3376271286219992"/>
  </r>
  <r>
    <s v="30YrConformingConventional"/>
    <s v="Wells Fargo"/>
    <x v="0"/>
    <s v="MTG"/>
    <x v="10"/>
    <n v="1.334712971145259"/>
  </r>
  <r>
    <s v="30YrConformingConventional"/>
    <s v="Wells Fargo"/>
    <x v="0"/>
    <s v="MTG"/>
    <x v="11"/>
    <n v="1.481982231006719"/>
  </r>
  <r>
    <s v="30YrConformingConventional"/>
    <s v="Wells Fargo"/>
    <x v="0"/>
    <s v="MTG"/>
    <x v="12"/>
    <n v="1.4040077380531564"/>
  </r>
  <r>
    <s v="30YrConformingConventional"/>
    <s v="Wells Fargo"/>
    <x v="0"/>
    <s v="MTG"/>
    <x v="13"/>
    <n v="1.503058195558439"/>
  </r>
  <r>
    <s v="30YrConformingConventional"/>
    <s v="Wells Fargo"/>
    <x v="0"/>
    <s v="MTG"/>
    <x v="14"/>
    <n v="1.456054823822776"/>
  </r>
  <r>
    <s v="30YrConformingConventional"/>
    <s v="Wells Fargo"/>
    <x v="0"/>
    <s v="MTG"/>
    <x v="15"/>
    <n v="1.4574390170989944"/>
  </r>
  <r>
    <s v="30YrConformingConventional"/>
    <s v="Wells Fargo"/>
    <x v="0"/>
    <s v="MTG"/>
    <x v="16"/>
    <n v="1.4493949057691164"/>
  </r>
  <r>
    <s v="30YrConformingConventional"/>
    <s v="Wells Fargo"/>
    <x v="0"/>
    <s v="MTG"/>
    <x v="17"/>
    <n v="1.4840452591736897"/>
  </r>
  <r>
    <s v="30YrConformingConventional"/>
    <s v="Wells Fargo"/>
    <x v="0"/>
    <s v="MTG"/>
    <x v="18"/>
    <n v="1.5425610731525299"/>
  </r>
  <r>
    <s v="30YrConformingConventional"/>
    <s v="Wells Fargo"/>
    <x v="0"/>
    <s v="MTG"/>
    <x v="19"/>
    <n v="1.4842097036588688"/>
  </r>
  <r>
    <s v="30YrConformingConventional"/>
    <s v="Wells Fargo"/>
    <x v="0"/>
    <s v="MTG"/>
    <x v="20"/>
    <n v="1.4525291405354961"/>
  </r>
  <r>
    <s v="30YrConformingConventional"/>
    <s v="Wells Fargo"/>
    <x v="0"/>
    <s v="MTG"/>
    <x v="21"/>
    <n v="1.5728109623670243"/>
  </r>
  <r>
    <s v="30YrConformingConventional"/>
    <s v="Wells Fargo"/>
    <x v="0"/>
    <s v="MTG"/>
    <x v="22"/>
    <n v="1.5207940697567046"/>
  </r>
  <r>
    <s v="30YrConformingConventional"/>
    <s v="Wells Fargo"/>
    <x v="0"/>
    <s v="MTG"/>
    <x v="23"/>
    <n v="1.4583799198878908"/>
  </r>
  <r>
    <s v="30YrConformingConventional"/>
    <s v="Wells Fargo"/>
    <x v="0"/>
    <s v="MTG"/>
    <x v="24"/>
    <n v="1.4796471980739163"/>
  </r>
  <r>
    <s v="30YrConformingConventional"/>
    <s v="Wells Fargo"/>
    <x v="0"/>
    <s v="MTG"/>
    <x v="25"/>
    <n v="1.4847818429359161"/>
  </r>
  <r>
    <s v="30YrConformingConventional"/>
    <s v="Wells Fargo"/>
    <x v="0"/>
    <s v="MTG"/>
    <x v="26"/>
    <n v="1.4469642209941846"/>
  </r>
  <r>
    <s v="30YrConformingConventional"/>
    <s v="Wells Fargo"/>
    <x v="0"/>
    <s v="MTG"/>
    <x v="27"/>
    <n v="1.5244184593292145"/>
  </r>
  <r>
    <s v="30YrConformingConventional"/>
    <s v="Wells Fargo"/>
    <x v="0"/>
    <s v="MTG"/>
    <x v="28"/>
    <n v="1.3998911701134642"/>
  </r>
  <r>
    <s v="30YrConformingConventional"/>
    <s v="Wells Fargo"/>
    <x v="0"/>
    <s v="MTG"/>
    <x v="29"/>
    <n v="1.4259452822284646"/>
  </r>
  <r>
    <s v="30YrConformingConventional"/>
    <s v="Wells Fargo"/>
    <x v="0"/>
    <s v="MTG"/>
    <x v="30"/>
    <n v="1.513840842525763"/>
  </r>
  <r>
    <s v="30YrConformingConventional"/>
    <s v="Wells Fargo"/>
    <x v="0"/>
    <s v="MTG"/>
    <x v="31"/>
    <n v="1.5873831531875244"/>
  </r>
  <r>
    <s v="30YrConformingConventional"/>
    <s v="Wells Fargo"/>
    <x v="0"/>
    <s v="MTG"/>
    <x v="32"/>
    <n v="1.5961737959585647"/>
  </r>
  <r>
    <s v="30YrConformingConventional"/>
    <s v="Wells Fargo"/>
    <x v="0"/>
    <s v="MTG"/>
    <x v="33"/>
    <n v="1.5001653121876044"/>
  </r>
  <r>
    <s v="30YrConformingConventional"/>
    <s v="Wells Fargo"/>
    <x v="0"/>
    <s v="MTG"/>
    <x v="34"/>
    <n v="1.5734875206870544"/>
  </r>
  <r>
    <s v="30YrConformingConventional"/>
    <s v="Wells Fargo"/>
    <x v="0"/>
    <s v="MTG"/>
    <x v="35"/>
    <n v="1.4447646525603046"/>
  </r>
  <r>
    <s v="30YrConformingConventional"/>
    <s v="Wells Fargo"/>
    <x v="0"/>
    <s v="MTG"/>
    <x v="36"/>
    <n v="1.438237888067706"/>
  </r>
  <r>
    <s v="30YrConformingConventional"/>
    <s v="Wells Fargo"/>
    <x v="0"/>
    <s v="MTG"/>
    <x v="37"/>
    <n v="1.4572767202850958"/>
  </r>
  <r>
    <s v="30YrConformingConventional"/>
    <s v="Wells Fargo"/>
    <x v="0"/>
    <s v="MTG"/>
    <x v="38"/>
    <n v="1.4840050840451962"/>
  </r>
  <r>
    <s v="30YrConformingConventional"/>
    <s v="Wells Fargo"/>
    <x v="0"/>
    <s v="MTG"/>
    <x v="39"/>
    <n v="1.4698304513957463"/>
  </r>
  <r>
    <s v="30YrConformingConventional"/>
    <s v="Wells Fargo"/>
    <x v="0"/>
    <s v="MTG"/>
    <x v="40"/>
    <n v="1.4756896794715886"/>
  </r>
  <r>
    <s v="30YrConformingConventional"/>
    <s v="Wells Fargo"/>
    <x v="0"/>
    <s v="MTG"/>
    <x v="41"/>
    <n v="1.4150581088925993"/>
  </r>
  <r>
    <s v="30YrConformingConventional"/>
    <s v="Wells Fargo"/>
    <x v="0"/>
    <s v="MTG"/>
    <x v="42"/>
    <n v="1.3825392574829694"/>
  </r>
  <r>
    <s v="30YrConformingConventional"/>
    <s v="Wells Fargo"/>
    <x v="0"/>
    <s v="MTG"/>
    <x v="43"/>
    <n v="1.324144073385759"/>
  </r>
  <r>
    <s v="30YrConformingConventional"/>
    <s v="Wells Fargo"/>
    <x v="0"/>
    <s v="MTG"/>
    <x v="44"/>
    <n v="1.3201279748352688"/>
  </r>
  <r>
    <s v="30YrConformingConventional"/>
    <s v="Wells Fargo"/>
    <x v="0"/>
    <s v="MTG"/>
    <x v="45"/>
    <n v="1.3635749947061719"/>
  </r>
  <r>
    <s v="30YrConformingConventional"/>
    <s v="Wells Fargo"/>
    <x v="0"/>
    <s v="MTG"/>
    <x v="46"/>
    <n v="1.4449351793489711"/>
  </r>
  <r>
    <s v="30YrConformingConventional"/>
    <s v="Wells Fargo"/>
    <x v="0"/>
    <s v="MTG"/>
    <x v="47"/>
    <n v="1.5634002733348114"/>
  </r>
  <r>
    <s v="30YrConformingConventional"/>
    <s v="Wells Fargo"/>
    <x v="0"/>
    <s v="MTG"/>
    <x v="48"/>
    <n v="1.3516962871966491"/>
  </r>
  <r>
    <s v="30YrConformingConventional"/>
    <s v="Wells Fargo"/>
    <x v="0"/>
    <s v="MTG"/>
    <x v="49"/>
    <n v="1.4442587858770715"/>
  </r>
  <r>
    <s v="30YrConformingConventional"/>
    <s v="Wells Fargo"/>
    <x v="0"/>
    <s v="MTG"/>
    <x v="50"/>
    <n v="1.3200347208363019"/>
  </r>
  <r>
    <s v="30YrConformingConventional"/>
    <s v="Wells Fargo"/>
    <x v="0"/>
    <s v="MTG"/>
    <x v="51"/>
    <n v="1.3289652006753823"/>
  </r>
  <r>
    <s v="30YrConformingConventional"/>
    <s v="Wells Fargo"/>
    <x v="0"/>
    <s v="MTG"/>
    <x v="52"/>
    <n v="1.3806839171553422"/>
  </r>
  <r>
    <s v="30YrConformingConventional"/>
    <s v="Wells Fargo"/>
    <x v="0"/>
    <s v="MTG"/>
    <x v="53"/>
    <n v="1.4739558981629202"/>
  </r>
  <r>
    <s v="30YrConformingConventional"/>
    <s v="Wells Fargo"/>
    <x v="0"/>
    <s v="MTG"/>
    <x v="54"/>
    <n v="1.3495435393462121"/>
  </r>
  <r>
    <s v="30YrConformingConventional"/>
    <s v="Wells Fargo"/>
    <x v="0"/>
    <s v="MTG"/>
    <x v="55"/>
    <n v="1.5037298860002415"/>
  </r>
  <r>
    <s v="30YrConformingConventional"/>
    <s v="Wells Fargo"/>
    <x v="0"/>
    <s v="MTG"/>
    <x v="56"/>
    <n v="1.5149159148678715"/>
  </r>
  <r>
    <s v="30YrConformingConventional"/>
    <s v="Wells Fargo"/>
    <x v="0"/>
    <s v="MTG"/>
    <x v="57"/>
    <n v="1.5652021977943211"/>
  </r>
  <r>
    <s v="30YrConformingConventional"/>
    <s v="Wells Fargo"/>
    <x v="0"/>
    <s v="MTG"/>
    <x v="58"/>
    <n v="1.4727193604751811"/>
  </r>
  <r>
    <s v="30YrConformingConventional"/>
    <s v="Wells Fargo"/>
    <x v="0"/>
    <s v="MTG"/>
    <x v="59"/>
    <n v="1.5141699376919713"/>
  </r>
  <r>
    <s v="30YrConformingConventional"/>
    <s v="Wells Fargo"/>
    <x v="0"/>
    <s v="MTG"/>
    <x v="60"/>
    <n v="1.4542060637102603"/>
  </r>
  <r>
    <s v="30YrConformingConventional"/>
    <s v="Wells Fargo"/>
    <x v="0"/>
    <s v="MTG"/>
    <x v="61"/>
    <n v="1.4589053819857103"/>
  </r>
  <r>
    <s v="30YrConformingConventional"/>
    <s v="Wells Fargo"/>
    <x v="0"/>
    <s v="MTG"/>
    <x v="62"/>
    <n v="1.4266645277043122"/>
  </r>
  <r>
    <s v="30YrConformingConventional"/>
    <s v="Wells Fargo"/>
    <x v="0"/>
    <s v="MTG"/>
    <x v="63"/>
    <n v="1.400266194428482"/>
  </r>
  <r>
    <s v="30YrConformingConventional"/>
    <s v="Wells Fargo"/>
    <x v="0"/>
    <s v="MTG"/>
    <x v="64"/>
    <n v="1.3263393385224218"/>
  </r>
  <r>
    <s v="30YrConformingConventional"/>
    <s v="Wells Fargo"/>
    <x v="0"/>
    <s v="MTG"/>
    <x v="65"/>
    <n v="1.370307804171194"/>
  </r>
  <r>
    <s v="30YrConformingConventional"/>
    <s v="Wells Fargo"/>
    <x v="0"/>
    <s v="MTG"/>
    <x v="66"/>
    <n v="1.527439843923726"/>
  </r>
  <r>
    <s v="30YrConformingConventional"/>
    <s v="Wells Fargo"/>
    <x v="0"/>
    <s v="MTG"/>
    <x v="67"/>
    <n v="1.4356867514630505"/>
  </r>
  <r>
    <s v="30YrConformingConventional"/>
    <s v="Wells Fargo"/>
    <x v="0"/>
    <s v="MTG"/>
    <x v="68"/>
    <n v="1.4054470219983302"/>
  </r>
  <r>
    <s v="30YrConformingConventional"/>
    <s v="Wells Fargo"/>
    <x v="0"/>
    <s v="MTG"/>
    <x v="69"/>
    <n v="1.3613755139107702"/>
  </r>
  <r>
    <s v="30YrConformingConventional"/>
    <s v="Wells Fargo"/>
    <x v="0"/>
    <s v="MTG"/>
    <x v="70"/>
    <n v="1.5008716936970208"/>
  </r>
  <r>
    <s v="30YrConformingConventional"/>
    <s v="Wells Fargo"/>
    <x v="0"/>
    <s v="MTG"/>
    <x v="71"/>
    <n v="1.4145597803303502"/>
  </r>
  <r>
    <s v="30YrConformingConventional"/>
    <s v="Wells Fargo"/>
    <x v="0"/>
    <s v="MTG"/>
    <x v="72"/>
    <n v="1.3987349655618504"/>
  </r>
  <r>
    <s v="30YrConformingConventional"/>
    <s v="Wells Fargo"/>
    <x v="0"/>
    <s v="MTG"/>
    <x v="73"/>
    <n v="1.3598737297946442"/>
  </r>
  <r>
    <s v="30YrConformingConventional"/>
    <s v="Wells Fargo"/>
    <x v="0"/>
    <s v="MTG"/>
    <x v="74"/>
    <n v="1.390981945488184"/>
  </r>
  <r>
    <s v="30YrConformingConventional"/>
    <s v="Wells Fargo"/>
    <x v="0"/>
    <s v="MTG"/>
    <x v="75"/>
    <n v="1.4125607115100141"/>
  </r>
  <r>
    <s v="30YrConformingConventional"/>
    <s v="Wells Fargo"/>
    <x v="0"/>
    <s v="MTG"/>
    <x v="76"/>
    <n v="1.5063127948155564"/>
  </r>
  <r>
    <s v="30YrConformingConventional"/>
    <s v="Wells Fargo"/>
    <x v="0"/>
    <s v="MTG"/>
    <x v="77"/>
    <n v="1.3826679777673778"/>
  </r>
  <r>
    <s v="30YrConformingConventional"/>
    <s v="Wells Fargo"/>
    <x v="0"/>
    <s v="MTG"/>
    <x v="78"/>
    <n v="1.4132910260639806"/>
  </r>
  <r>
    <s v="30YrConformingConventional"/>
    <s v="Wells Fargo"/>
    <x v="0"/>
    <s v="MTG"/>
    <x v="79"/>
    <n v="1.4323211554950404"/>
  </r>
  <r>
    <s v="30YrConformingConventional"/>
    <s v="Wells Fargo"/>
    <x v="0"/>
    <s v="MTG"/>
    <x v="80"/>
    <n v="1.4629650661498101"/>
  </r>
  <r>
    <s v="30YrConformingConventional"/>
    <s v="Wells Fargo"/>
    <x v="0"/>
    <s v="MTG"/>
    <x v="81"/>
    <n v="1.4383333690203801"/>
  </r>
  <r>
    <s v="30YrConformingConventional"/>
    <s v="Wells Fargo"/>
    <x v="0"/>
    <s v="MTG"/>
    <x v="82"/>
    <n v="1.3057285407490189"/>
  </r>
  <r>
    <s v="30YrConformingConventional"/>
    <s v="Wells Fargo"/>
    <x v="0"/>
    <s v="MTG"/>
    <x v="83"/>
    <n v="1.5295984886372711"/>
  </r>
  <r>
    <s v="30YrConformingConventional"/>
    <s v="Wells Fargo"/>
    <x v="0"/>
    <s v="MTG"/>
    <x v="84"/>
    <n v="1.4173946502432502"/>
  </r>
  <r>
    <s v="30YrConformingConventional"/>
    <s v="Wells Fargo"/>
    <x v="0"/>
    <s v="MTG"/>
    <x v="85"/>
    <n v="1.5154511173273009"/>
  </r>
  <r>
    <s v="30YrConformingConventional"/>
    <s v="Wells Fargo"/>
    <x v="0"/>
    <s v="MTG"/>
    <x v="86"/>
    <n v="1.4212802787962304"/>
  </r>
  <r>
    <s v="30YrConformingConventional"/>
    <s v="Wells Fargo"/>
    <x v="0"/>
    <s v="MTG"/>
    <x v="87"/>
    <n v="1.5121519879522058"/>
  </r>
  <r>
    <s v="30YrConformingConventional"/>
    <s v="Wells Fargo"/>
    <x v="0"/>
    <s v="MTG"/>
    <x v="88"/>
    <n v="1.4795960028376309"/>
  </r>
  <r>
    <s v="30YrConformingConventional"/>
    <s v="Wells Fargo"/>
    <x v="0"/>
    <s v="MTG"/>
    <x v="89"/>
    <n v="1.573969311298766"/>
  </r>
  <r>
    <s v="30YrConformingConventional"/>
    <s v="Wells Fargo"/>
    <x v="0"/>
    <s v="MTG"/>
    <x v="90"/>
    <n v="1.4374551090588008"/>
  </r>
  <r>
    <s v="30YrConformingConventional"/>
    <s v="Wells Fargo"/>
    <x v="0"/>
    <s v="MTG"/>
    <x v="91"/>
    <n v="1.4678709119798614"/>
  </r>
  <r>
    <s v="30YrConformingConventional"/>
    <s v="Wells Fargo"/>
    <x v="0"/>
    <s v="MTG"/>
    <x v="92"/>
    <n v="1.3639171740492693"/>
  </r>
  <r>
    <s v="30YrConformingConventional"/>
    <s v="Wells Fargo"/>
    <x v="0"/>
    <s v="MTG"/>
    <x v="93"/>
    <n v="1.4461191235552002"/>
  </r>
  <r>
    <s v="30YrConformingConventional"/>
    <s v="Wells Fargo"/>
    <x v="0"/>
    <s v="MTG"/>
    <x v="94"/>
    <n v="1.4254869680587003"/>
  </r>
  <r>
    <s v="30YrConformingConventional"/>
    <s v="Wells Fargo"/>
    <x v="0"/>
    <s v="MTG"/>
    <x v="95"/>
    <n v="1.4899885813220202"/>
  </r>
  <r>
    <s v="30YrConformingConventional"/>
    <s v="Wells Fargo"/>
    <x v="0"/>
    <s v="MTG"/>
    <x v="96"/>
    <n v="1.4398101423461602"/>
  </r>
  <r>
    <s v="30YrConformingConventional"/>
    <s v="Wells Fargo"/>
    <x v="0"/>
    <s v="MTG"/>
    <x v="97"/>
    <n v="1.4204064910685703"/>
  </r>
  <r>
    <s v="30YrConformingConventional"/>
    <s v="Wells Fargo"/>
    <x v="0"/>
    <s v="MTG"/>
    <x v="98"/>
    <n v="1.5121161182470062"/>
  </r>
  <r>
    <s v="30YrConformingConventional"/>
    <s v="Wells Fargo"/>
    <x v="0"/>
    <s v="MTG"/>
    <x v="99"/>
    <n v="1.462175640413621"/>
  </r>
  <r>
    <s v="30YrConformingConventional"/>
    <s v="Wells Fargo"/>
    <x v="0"/>
    <s v="MTG"/>
    <x v="100"/>
    <n v="1.5515903486912459"/>
  </r>
  <r>
    <s v="30YrConformingConventional"/>
    <s v="Wells Fargo"/>
    <x v="0"/>
    <s v="MTG"/>
    <x v="101"/>
    <n v="1.4198657383793729"/>
  </r>
  <r>
    <s v="30YrConformingConventional"/>
    <s v="Wells Fargo"/>
    <x v="0"/>
    <s v="MTG"/>
    <x v="102"/>
    <n v="1.4517911864446933"/>
  </r>
  <r>
    <s v="30YrConformingConventional"/>
    <s v="Wells Fargo"/>
    <x v="0"/>
    <s v="MTG"/>
    <x v="103"/>
    <n v="1.4586457972250528"/>
  </r>
  <r>
    <s v="30YrConformingConventional"/>
    <s v="Wells Fargo"/>
    <x v="0"/>
    <s v="MTG"/>
    <x v="104"/>
    <n v="1.4942312268823306"/>
  </r>
  <r>
    <s v="30YrConformingConventional"/>
    <s v="Wells Fargo"/>
    <x v="0"/>
    <s v="MTG"/>
    <x v="105"/>
    <n v="1.4950023679760609"/>
  </r>
  <r>
    <s v="30YrConformingConventional"/>
    <s v="Wells Fargo"/>
    <x v="0"/>
    <s v="MTG"/>
    <x v="106"/>
    <n v="1.4033163399863324"/>
  </r>
  <r>
    <s v="30YrConformingConventional"/>
    <s v="Wells Fargo"/>
    <x v="0"/>
    <s v="MTG"/>
    <x v="107"/>
    <n v="1.4016155825874324"/>
  </r>
  <r>
    <s v="30YrConformingConventional"/>
    <s v="Wells Fargo"/>
    <x v="0"/>
    <s v="MTG"/>
    <x v="108"/>
    <n v="1.4056286699863183"/>
  </r>
  <r>
    <s v="30YrConformingConventional"/>
    <s v="Wells Fargo"/>
    <x v="0"/>
    <s v="MTG"/>
    <x v="109"/>
    <n v="1.4805364302990909"/>
  </r>
  <r>
    <s v="30YrConformingConventional"/>
    <s v="Wells Fargo"/>
    <x v="0"/>
    <s v="MTG"/>
    <x v="110"/>
    <n v="1.4567083178149431"/>
  </r>
  <r>
    <s v="30YrConformingConventional"/>
    <s v="Wells Fargo"/>
    <x v="0"/>
    <s v="MTG"/>
    <x v="111"/>
    <n v="1.441383478409648"/>
  </r>
  <r>
    <s v="30YrConformingConventional"/>
    <s v="Wells Fargo"/>
    <x v="0"/>
    <s v="MTG"/>
    <x v="112"/>
    <n v="1.3895850110481982"/>
  </r>
  <r>
    <s v="30YrConformingConventional"/>
    <s v="Wells Fargo"/>
    <x v="0"/>
    <s v="MTG"/>
    <x v="113"/>
    <n v="1.3981226867371421"/>
  </r>
  <r>
    <s v="30YrConformingConventional"/>
    <s v="Wells Fargo"/>
    <x v="0"/>
    <s v="MTG"/>
    <x v="114"/>
    <n v="1.4778971278957311"/>
  </r>
  <r>
    <s v="30YrConformingConventional"/>
    <s v="Wells Fargo"/>
    <x v="0"/>
    <s v="MTG"/>
    <x v="115"/>
    <n v="1.3460257990512421"/>
  </r>
  <r>
    <s v="30YrConformingConventional"/>
    <s v="Wells Fargo"/>
    <x v="0"/>
    <s v="MTG"/>
    <x v="116"/>
    <n v="1.3565411181534319"/>
  </r>
  <r>
    <s v="30YrConformingConventional"/>
    <s v="Wells Fargo"/>
    <x v="0"/>
    <s v="MTG"/>
    <x v="117"/>
    <n v="1.351830933694802"/>
  </r>
  <r>
    <s v="30YrConformingConventional"/>
    <s v="Wells Fargo"/>
    <x v="0"/>
    <s v="MTG"/>
    <x v="118"/>
    <n v="1.4052270890855181"/>
  </r>
  <r>
    <s v="30YrConformingConventional"/>
    <s v="Wells Fargo"/>
    <x v="0"/>
    <s v="MTG"/>
    <x v="119"/>
    <n v="1.3976890901272823"/>
  </r>
  <r>
    <s v="30YrConformingConventional"/>
    <s v="Wells Fargo"/>
    <x v="0"/>
    <s v="MTG"/>
    <x v="120"/>
    <n v="1.5043729966804611"/>
  </r>
  <r>
    <s v="30YrConformingConventional"/>
    <s v="Wells Fargo"/>
    <x v="0"/>
    <s v="MTG"/>
    <x v="121"/>
    <n v="1.5297599875391414"/>
  </r>
  <r>
    <s v="30YrConformingConventional"/>
    <s v="Wells Fargo"/>
    <x v="0"/>
    <s v="MTG"/>
    <x v="122"/>
    <n v="1.3717604693952692"/>
  </r>
  <r>
    <s v="30YrConformingConventional"/>
    <s v="Wells Fargo"/>
    <x v="0"/>
    <s v="MTG"/>
    <x v="123"/>
    <n v="1.5171013702174112"/>
  </r>
  <r>
    <s v="30YrConformingConventional"/>
    <s v="Wells Fargo"/>
    <x v="0"/>
    <s v="MTG"/>
    <x v="124"/>
    <n v="1.3757802198014319"/>
  </r>
  <r>
    <s v="30YrConformingConventional"/>
    <s v="Wells Fargo"/>
    <x v="0"/>
    <s v="MTG"/>
    <x v="125"/>
    <n v="1.4102787347731622"/>
  </r>
  <r>
    <s v="30YrConformingConventional"/>
    <s v="Wells Fargo"/>
    <x v="0"/>
    <s v="MTG"/>
    <x v="126"/>
    <n v="1.4511589473493207"/>
  </r>
  <r>
    <s v="30YrConformingConventional"/>
    <s v="Wells Fargo"/>
    <x v="0"/>
    <s v="MTG"/>
    <x v="127"/>
    <n v="1.4907312011448612"/>
  </r>
  <r>
    <s v="30YrConformingConventional"/>
    <s v="Wells Fargo"/>
    <x v="0"/>
    <s v="MTG"/>
    <x v="128"/>
    <n v="1.5154982750943613"/>
  </r>
  <r>
    <s v="30YrConformingConventional"/>
    <s v="Wells Fargo"/>
    <x v="0"/>
    <s v="MTG"/>
    <x v="129"/>
    <n v="1.3516813213576622"/>
  </r>
  <r>
    <s v="30YrConformingConventional"/>
    <s v="Wells Fargo"/>
    <x v="0"/>
    <s v="MTG"/>
    <x v="130"/>
    <n v="1.5201888175991212"/>
  </r>
  <r>
    <s v="30YrConformingConventional"/>
    <s v="Wells Fargo"/>
    <x v="0"/>
    <s v="MTG"/>
    <x v="131"/>
    <n v="1.4854659490145212"/>
  </r>
  <r>
    <s v="30YrConformingConventional"/>
    <s v="Wells Fargo"/>
    <x v="0"/>
    <s v="MTG"/>
    <x v="132"/>
    <n v="1.3690117432802222"/>
  </r>
  <r>
    <s v="30YrConformingConventional"/>
    <s v="Wells Fargo"/>
    <x v="0"/>
    <s v="MTG"/>
    <x v="133"/>
    <n v="1.522426889275861"/>
  </r>
  <r>
    <s v="30YrConformingConventional"/>
    <s v="Wells Fargo"/>
    <x v="0"/>
    <s v="MTG"/>
    <x v="134"/>
    <n v="1.4315173871574711"/>
  </r>
  <r>
    <s v="30YrConformingConventional"/>
    <s v="Wells Fargo"/>
    <x v="0"/>
    <s v="MTG"/>
    <x v="135"/>
    <n v="1.3848080142488199"/>
  </r>
  <r>
    <s v="30YrConformingConventional"/>
    <s v="Wells Fargo"/>
    <x v="0"/>
    <s v="MTG"/>
    <x v="136"/>
    <n v="1.3922675298857004"/>
  </r>
  <r>
    <s v="30YrConformingConventional"/>
    <s v="Wells Fargo"/>
    <x v="0"/>
    <s v="MTG"/>
    <x v="137"/>
    <n v="1.3276135540973319"/>
  </r>
  <r>
    <s v="30YrConformingConventional"/>
    <s v="Wells Fargo"/>
    <x v="0"/>
    <s v="MTG"/>
    <x v="138"/>
    <n v="1.3261623047904219"/>
  </r>
  <r>
    <s v="30YrConformingConventional"/>
    <s v="Wells Fargo"/>
    <x v="0"/>
    <s v="MTG"/>
    <x v="139"/>
    <n v="1.4242045267284322"/>
  </r>
  <r>
    <s v="30YrConformingConventional"/>
    <s v="Wells Fargo"/>
    <x v="0"/>
    <s v="MTG"/>
    <x v="140"/>
    <n v="1.3255157785773992"/>
  </r>
  <r>
    <s v="30YrConformingConventional"/>
    <s v="Wells Fargo"/>
    <x v="0"/>
    <s v="MTG"/>
    <x v="141"/>
    <n v="1.2781892203516392"/>
  </r>
  <r>
    <s v="30YrConformingConventional"/>
    <s v="Wells Fargo"/>
    <x v="0"/>
    <s v="MTG"/>
    <x v="142"/>
    <n v="1.3336187588263893"/>
  </r>
  <r>
    <s v="30YrConformingConventional"/>
    <s v="Wells Fargo"/>
    <x v="0"/>
    <s v="MTG"/>
    <x v="143"/>
    <n v="1.3195589240134591"/>
  </r>
  <r>
    <s v="30YrConformingConventional"/>
    <s v="Wells Fargo"/>
    <x v="0"/>
    <s v="MTG"/>
    <x v="144"/>
    <n v="1.3217844717508891"/>
  </r>
  <r>
    <s v="30YrConformingConventional"/>
    <s v="Wells Fargo"/>
    <x v="0"/>
    <s v="MTG"/>
    <x v="145"/>
    <n v="1.4015219528697702"/>
  </r>
  <r>
    <s v="30YrConformingConventional"/>
    <s v="Wells Fargo"/>
    <x v="0"/>
    <s v="MTG"/>
    <x v="146"/>
    <n v="1.5670174738644591"/>
  </r>
  <r>
    <s v="30YrConformingConventional"/>
    <s v="Wells Fargo"/>
    <x v="0"/>
    <s v="MTG"/>
    <x v="147"/>
    <n v="1.4842172030270488"/>
  </r>
  <r>
    <s v="30YrConformingConventional"/>
    <s v="Wells Fargo"/>
    <x v="0"/>
    <s v="MTG"/>
    <x v="148"/>
    <n v="1.4545746639920119"/>
  </r>
  <r>
    <s v="30YrConformingConventional"/>
    <s v="Wells Fargo"/>
    <x v="0"/>
    <s v="MTG"/>
    <x v="149"/>
    <n v="1.5792426403971289"/>
  </r>
  <r>
    <s v="30YrConformingConventional"/>
    <s v="Wells Fargo"/>
    <x v="0"/>
    <s v="MTG"/>
    <x v="150"/>
    <n v="1.5026922623118697"/>
  </r>
  <r>
    <s v="30YrConformingConventional"/>
    <s v="Wells Fargo"/>
    <x v="0"/>
    <s v="MTG"/>
    <x v="151"/>
    <n v="1.5842316438716988"/>
  </r>
  <r>
    <s v="30YrConformingConventional"/>
    <s v="Wells Fargo"/>
    <x v="0"/>
    <s v="MTG"/>
    <x v="152"/>
    <n v="1.6617056752336257"/>
  </r>
  <r>
    <s v="30YrConformingConventional"/>
    <s v="Wells Fargo"/>
    <x v="0"/>
    <s v="MTG"/>
    <x v="153"/>
    <n v="1.6486350037525557"/>
  </r>
  <r>
    <s v="30YrConformingConventional"/>
    <s v="Wells Fargo"/>
    <x v="0"/>
    <s v="MTG"/>
    <x v="154"/>
    <n v="1.5427834954210289"/>
  </r>
  <r>
    <s v="30YrConformingConventional"/>
    <s v="Wells Fargo"/>
    <x v="0"/>
    <s v="MTG"/>
    <x v="155"/>
    <n v="1.4399059540715016"/>
  </r>
  <r>
    <s v="30YrConformingConventional"/>
    <s v="Wells Fargo"/>
    <x v="0"/>
    <s v="MTG"/>
    <x v="156"/>
    <n v="1.6295378211291054"/>
  </r>
  <r>
    <s v="30YrConformingConventional"/>
    <s v="Wells Fargo"/>
    <x v="0"/>
    <s v="MTG"/>
    <x v="157"/>
    <n v="1.6495492847164992"/>
  </r>
  <r>
    <s v="30YrConformingConventional"/>
    <s v="Wells Fargo"/>
    <x v="0"/>
    <s v="MTG"/>
    <x v="158"/>
    <n v="1.5660706750632591"/>
  </r>
  <r>
    <s v="30YrConformingConventional"/>
    <s v="Wells Fargo"/>
    <x v="0"/>
    <s v="MTG"/>
    <x v="159"/>
    <n v="1.6241800327068789"/>
  </r>
  <r>
    <s v="30YrConformingConventional"/>
    <s v="Wells Fargo"/>
    <x v="0"/>
    <s v="MTG"/>
    <x v="160"/>
    <n v="1.6224507077297987"/>
  </r>
  <r>
    <s v="30YrConformingConventional"/>
    <s v="Wells Fargo"/>
    <x v="0"/>
    <s v="MTG"/>
    <x v="161"/>
    <n v="1.6458027650077354"/>
  </r>
  <r>
    <s v="30YrConformingConventional"/>
    <s v="Wells Fargo"/>
    <x v="0"/>
    <s v="MTG"/>
    <x v="162"/>
    <n v="1.612976560734289"/>
  </r>
  <r>
    <s v="30YrConformingConventional"/>
    <s v="Wells Fargo"/>
    <x v="0"/>
    <s v="MTG"/>
    <x v="163"/>
    <n v="1.6402886021160488"/>
  </r>
  <r>
    <s v="30YrConformingConventional"/>
    <s v="Wells Fargo"/>
    <x v="0"/>
    <s v="MTG"/>
    <x v="164"/>
    <n v="1.586377494496169"/>
  </r>
  <r>
    <s v="30YrConformingConventional"/>
    <s v="Wells Fargo"/>
    <x v="0"/>
    <s v="MTG"/>
    <x v="165"/>
    <n v="1.6017952809930489"/>
  </r>
  <r>
    <s v="30YrConformingConventional"/>
    <s v="Wells Fargo"/>
    <x v="0"/>
    <s v="MTG"/>
    <x v="166"/>
    <n v="1.5725312887313887"/>
  </r>
  <r>
    <s v="30YrConformingConventional"/>
    <s v="Wells Fargo"/>
    <x v="0"/>
    <s v="MTG"/>
    <x v="167"/>
    <n v="1.500702552585979"/>
  </r>
  <r>
    <s v="30YrConformingConventional"/>
    <s v="Wells Fargo"/>
    <x v="0"/>
    <s v="MTG"/>
    <x v="168"/>
    <n v="1.4206257973994989"/>
  </r>
  <r>
    <s v="30YrConformingConventional"/>
    <s v="Wells Fargo"/>
    <x v="0"/>
    <s v="MTG"/>
    <x v="169"/>
    <n v="1.5132838842596517"/>
  </r>
  <r>
    <s v="30YrConformingConventional"/>
    <s v="Wells Fargo"/>
    <x v="0"/>
    <s v="MTG"/>
    <x v="170"/>
    <n v="1.4316219636585588"/>
  </r>
  <r>
    <s v="30YrConformingConventional"/>
    <s v="Wells Fargo"/>
    <x v="0"/>
    <s v="MTG"/>
    <x v="171"/>
    <n v="1.4594036015598615"/>
  </r>
  <r>
    <s v="30YrConformingConventional"/>
    <s v="Wells Fargo"/>
    <x v="0"/>
    <s v="MTG"/>
    <x v="172"/>
    <n v="1.4875892539496596"/>
  </r>
  <r>
    <s v="30YrConformingConventional"/>
    <s v="Wells Fargo"/>
    <x v="0"/>
    <s v="MTG"/>
    <x v="173"/>
    <n v="1.6075998724339589"/>
  </r>
  <r>
    <s v="30YrConformingConventional"/>
    <s v="Wells Fargo"/>
    <x v="0"/>
    <s v="MTG"/>
    <x v="174"/>
    <n v="1.4733380969199814"/>
  </r>
  <r>
    <s v="30YrConformingConventional"/>
    <s v="Wells Fargo"/>
    <x v="0"/>
    <s v="MTG"/>
    <x v="175"/>
    <n v="1.5073237318324939"/>
  </r>
  <r>
    <s v="30YrConformingConventional"/>
    <s v="Wells Fargo"/>
    <x v="0"/>
    <s v="MTG"/>
    <x v="176"/>
    <n v="1.586356578904504"/>
  </r>
  <r>
    <s v="30YrConformingConventional"/>
    <s v="Wells Fargo"/>
    <x v="0"/>
    <s v="MTG"/>
    <x v="177"/>
    <n v="1.505244790001014"/>
  </r>
  <r>
    <s v="30YrConformingConventional"/>
    <s v="Wells Fargo"/>
    <x v="0"/>
    <s v="MTG"/>
    <x v="178"/>
    <n v="1.4828157156647814"/>
  </r>
  <r>
    <s v="30YrConformingConventional"/>
    <s v="Wells Fargo"/>
    <x v="0"/>
    <s v="MTG"/>
    <x v="179"/>
    <n v="1.4260306760145118"/>
  </r>
  <r>
    <s v="30YrConformingConventional"/>
    <s v="Wells Fargo"/>
    <x v="0"/>
    <s v="MTG"/>
    <x v="180"/>
    <n v="1.5030872931018513"/>
  </r>
  <r>
    <s v="30YrConformingConventional"/>
    <s v="Wells Fargo"/>
    <x v="0"/>
    <s v="MTG"/>
    <x v="181"/>
    <n v="1.4430429121974415"/>
  </r>
  <r>
    <s v="30YrConformingConventional"/>
    <s v="Wells Fargo"/>
    <x v="0"/>
    <s v="MTG"/>
    <x v="182"/>
    <n v="1.425391343565878"/>
  </r>
  <r>
    <s v="30YrConformingConventional"/>
    <s v="Wells Fargo"/>
    <x v="0"/>
    <s v="MTG"/>
    <x v="183"/>
    <n v="1.5685210167367594"/>
  </r>
  <r>
    <s v="30YrConformingConventional"/>
    <s v="Wells Fargo"/>
    <x v="0"/>
    <s v="MTG"/>
    <x v="184"/>
    <n v="1.4438899609942817"/>
  </r>
  <r>
    <s v="30YrConformingConventional"/>
    <s v="Wells Fargo"/>
    <x v="0"/>
    <s v="MTG"/>
    <x v="185"/>
    <n v="1.4095203211990579"/>
  </r>
  <r>
    <s v="30YrConformingConventional"/>
    <s v="Wells Fargo"/>
    <x v="0"/>
    <s v="MTG"/>
    <x v="186"/>
    <n v="1.4121363408260277"/>
  </r>
  <r>
    <s v="30YrConformingConventional"/>
    <s v="Wells Fargo"/>
    <x v="0"/>
    <s v="MTG"/>
    <x v="187"/>
    <n v="1.583602731145519"/>
  </r>
  <r>
    <s v="30YrConformingConventional"/>
    <s v="Wells Fargo"/>
    <x v="0"/>
    <s v="MTG"/>
    <x v="188"/>
    <n v="1.598935291956989"/>
  </r>
  <r>
    <s v="30YrConformingConventional"/>
    <s v="Wells Fargo"/>
    <x v="0"/>
    <s v="MTG"/>
    <x v="189"/>
    <n v="1.4629721376609215"/>
  </r>
  <r>
    <s v="30YrConformingConventional"/>
    <s v="Wells Fargo"/>
    <x v="0"/>
    <s v="MTG"/>
    <x v="190"/>
    <n v="1.5050929403702489"/>
  </r>
  <r>
    <s v="30YrConformingConventional"/>
    <s v="Wells Fargo"/>
    <x v="0"/>
    <s v="MTG"/>
    <x v="191"/>
    <n v="1.4923644639728642"/>
  </r>
  <r>
    <s v="30YrConformingConventional"/>
    <s v="Wells Fargo"/>
    <x v="0"/>
    <s v="MTG"/>
    <x v="192"/>
    <n v="1.4893979088827214"/>
  </r>
  <r>
    <s v="30YrConformingConventional"/>
    <s v="Wells Fargo"/>
    <x v="0"/>
    <s v="MTG"/>
    <x v="193"/>
    <n v="1.5965038687670492"/>
  </r>
  <r>
    <s v="30YrConformingConventional"/>
    <s v="Wells Fargo"/>
    <x v="0"/>
    <s v="MTG"/>
    <x v="194"/>
    <n v="1.5076469991584396"/>
  </r>
  <r>
    <s v="30YrConformingConventional"/>
    <s v="Wells Fargo"/>
    <x v="0"/>
    <s v="MTG"/>
    <x v="195"/>
    <n v="1.5879462997614093"/>
  </r>
  <r>
    <s v="30YrConformingConventional"/>
    <s v="Wells Fargo"/>
    <x v="0"/>
    <s v="MTG"/>
    <x v="196"/>
    <n v="1.3846075529478279"/>
  </r>
  <r>
    <s v="30YrConformingConventional"/>
    <s v="Wells Fargo"/>
    <x v="0"/>
    <s v="MTG"/>
    <x v="197"/>
    <n v="1.4517476239258378"/>
  </r>
  <r>
    <s v="30YrConformingConventional"/>
    <s v="Wells Fargo"/>
    <x v="0"/>
    <s v="MTG"/>
    <x v="198"/>
    <n v="1.3864436154726978"/>
  </r>
  <r>
    <s v="30YrConformingConventional"/>
    <s v="Wells Fargo"/>
    <x v="0"/>
    <s v="MTG"/>
    <x v="199"/>
    <n v="1.5826902108495644"/>
  </r>
  <r>
    <s v="30YrConformingConventional"/>
    <s v="Wells Fargo"/>
    <x v="0"/>
    <s v="MTG"/>
    <x v="200"/>
    <n v="1.5767376652120544"/>
  </r>
  <r>
    <s v="30YrConformingConventional"/>
    <s v="Wells Fargo"/>
    <x v="0"/>
    <s v="MTG"/>
    <x v="201"/>
    <n v="1.4921818127692914"/>
  </r>
  <r>
    <s v="30YrConformingConventional"/>
    <s v="Wells Fargo"/>
    <x v="0"/>
    <s v="MTG"/>
    <x v="202"/>
    <n v="1.4568201416918514"/>
  </r>
  <r>
    <s v="30YrConformingConventional"/>
    <s v="Wells Fargo"/>
    <x v="0"/>
    <s v="MTG"/>
    <x v="203"/>
    <n v="1.4491482200129313"/>
  </r>
  <r>
    <s v="30YrConformingConventional"/>
    <s v="Wells Fargo"/>
    <x v="0"/>
    <s v="MTG"/>
    <x v="204"/>
    <n v="1.4682763725987411"/>
  </r>
  <r>
    <s v="30YrConformingConventional"/>
    <s v="Wells Fargo"/>
    <x v="0"/>
    <s v="MTG"/>
    <x v="205"/>
    <n v="1.5678366548067841"/>
  </r>
  <r>
    <s v="30YrConformingConventional"/>
    <s v="Wells Fargo"/>
    <x v="0"/>
    <s v="MTG"/>
    <x v="206"/>
    <n v="1.5828680159797839"/>
  </r>
  <r>
    <s v="30YrConformingConventional"/>
    <s v="Wells Fargo"/>
    <x v="0"/>
    <s v="MTG"/>
    <x v="207"/>
    <n v="1.6074802339129644"/>
  </r>
  <r>
    <s v="30YrConformingConventional"/>
    <s v="Wells Fargo"/>
    <x v="0"/>
    <s v="MTG"/>
    <x v="208"/>
    <n v="1.5530563894535645"/>
  </r>
  <r>
    <s v="30YrConformingConventional"/>
    <s v="Wells Fargo"/>
    <x v="0"/>
    <s v="MTG"/>
    <x v="209"/>
    <n v="1.5414057225941038"/>
  </r>
  <r>
    <s v="30YrConformingConventional"/>
    <s v="Wells Fargo"/>
    <x v="0"/>
    <s v="MTG"/>
    <x v="210"/>
    <n v="1.4288129384799915"/>
  </r>
  <r>
    <s v="30YrConformingConventional"/>
    <s v="Wells Fargo"/>
    <x v="0"/>
    <s v="MTG"/>
    <x v="211"/>
    <n v="1.4908988131442615"/>
  </r>
  <r>
    <s v="30YrConformingConventional"/>
    <s v="Wells Fargo"/>
    <x v="0"/>
    <s v="MTG"/>
    <x v="212"/>
    <n v="1.4888651034932316"/>
  </r>
  <r>
    <s v="30YrConformingConventional"/>
    <s v="Wells Fargo"/>
    <x v="0"/>
    <s v="MTG"/>
    <x v="213"/>
    <n v="1.634451857918249"/>
  </r>
  <r>
    <s v="30YrConformingConventional"/>
    <s v="Wells Fargo"/>
    <x v="0"/>
    <s v="MTG"/>
    <x v="214"/>
    <n v="1.6609457499988993"/>
  </r>
  <r>
    <s v="30YrConformingConventional"/>
    <s v="Wells Fargo"/>
    <x v="0"/>
    <s v="MTG"/>
    <x v="215"/>
    <n v="1.6485683268281093"/>
  </r>
  <r>
    <s v="30YrConformingConventional"/>
    <s v="Wells Fargo"/>
    <x v="0"/>
    <s v="MTG"/>
    <x v="216"/>
    <n v="1.5152280978538615"/>
  </r>
  <r>
    <s v="30YrConformingConventional"/>
    <s v="Wells Fargo"/>
    <x v="0"/>
    <s v="MTG"/>
    <x v="217"/>
    <n v="1.6697801347929899"/>
  </r>
  <r>
    <s v="30YrConformingConventional"/>
    <s v="Wells Fargo"/>
    <x v="0"/>
    <s v="MTG"/>
    <x v="218"/>
    <n v="1.5959735193840592"/>
  </r>
  <r>
    <s v="30YrConformingConventional"/>
    <s v="Wells Fargo"/>
    <x v="0"/>
    <s v="MTG"/>
    <x v="219"/>
    <n v="1.4739154736450317"/>
  </r>
  <r>
    <s v="30YrConformingConventional"/>
    <s v="Wells Fargo"/>
    <x v="0"/>
    <s v="MTG"/>
    <x v="220"/>
    <n v="1.5082903058481585"/>
  </r>
  <r>
    <s v="30YrConformingConventional"/>
    <s v="Wells Fargo"/>
    <x v="0"/>
    <s v="MTG"/>
    <x v="221"/>
    <n v="1.6787421783783254"/>
  </r>
  <r>
    <s v="30YrConformingConventional"/>
    <s v="Wells Fargo"/>
    <x v="0"/>
    <s v="MTG"/>
    <x v="222"/>
    <n v="1.6552659723084056"/>
  </r>
  <r>
    <s v="30YrConformingConventional"/>
    <s v="Wells Fargo"/>
    <x v="0"/>
    <s v="MTG"/>
    <x v="223"/>
    <n v="1.5081779725751188"/>
  </r>
  <r>
    <s v="30YrConformingConventional"/>
    <s v="Wells Fargo"/>
    <x v="0"/>
    <s v="MTG"/>
    <x v="224"/>
    <n v="1.6485248198783153"/>
  </r>
  <r>
    <s v="30YrConformingConventional"/>
    <s v="Wells Fargo"/>
    <x v="0"/>
    <s v="MTG"/>
    <x v="225"/>
    <n v="1.6870544821255555"/>
  </r>
  <r>
    <s v="30YrConformingConventional"/>
    <s v="Wells Fargo"/>
    <x v="0"/>
    <s v="MTG"/>
    <x v="226"/>
    <n v="1.6829975552898355"/>
  </r>
  <r>
    <s v="30YrConformingConventional"/>
    <s v="Wells Fargo"/>
    <x v="0"/>
    <s v="MTG"/>
    <x v="227"/>
    <n v="1.650800447810389"/>
  </r>
  <r>
    <s v="30YrConformingConventional"/>
    <s v="Wells Fargo"/>
    <x v="0"/>
    <s v="MTG"/>
    <x v="228"/>
    <n v="1.5847911942574795"/>
  </r>
  <r>
    <s v="30YrConformingConventional"/>
    <s v="Wells Fargo"/>
    <x v="0"/>
    <s v="MTG"/>
    <x v="229"/>
    <n v="1.5271759597894994"/>
  </r>
  <r>
    <s v="30YrConformingConventional"/>
    <s v="Wells Fargo"/>
    <x v="0"/>
    <s v="MTG"/>
    <x v="230"/>
    <n v="1.6823507845627088"/>
  </r>
  <r>
    <s v="FN_CMM_30Yr"/>
    <s v="CELLO"/>
    <x v="1"/>
    <s v="MTG"/>
    <x v="0"/>
    <n v="2.8341999400292899"/>
  </r>
  <r>
    <s v="FN_CMM_30Yr"/>
    <s v="CELLO"/>
    <x v="1"/>
    <s v="MTG"/>
    <x v="1"/>
    <n v="2.8241837227534399"/>
  </r>
  <r>
    <s v="FN_CMM_30Yr"/>
    <s v="CELLO"/>
    <x v="1"/>
    <s v="MTG"/>
    <x v="2"/>
    <n v="2.81556157497667"/>
  </r>
  <r>
    <s v="FN_CMM_30Yr"/>
    <s v="CELLO"/>
    <x v="1"/>
    <s v="MTG"/>
    <x v="3"/>
    <n v="2.9303170109018999"/>
  </r>
  <r>
    <s v="FN_CMM_30Yr"/>
    <s v="CELLO"/>
    <x v="1"/>
    <s v="MTG"/>
    <x v="4"/>
    <n v="2.90222752352993"/>
  </r>
  <r>
    <s v="FN_CMM_30Yr"/>
    <s v="CELLO"/>
    <x v="1"/>
    <s v="MTG"/>
    <x v="5"/>
    <n v="2.84635033680676"/>
  </r>
  <r>
    <s v="FN_CMM_30Yr"/>
    <s v="CELLO"/>
    <x v="1"/>
    <s v="MTG"/>
    <x v="6"/>
    <n v="2.8278353033181198"/>
  </r>
  <r>
    <s v="FN_CMM_30Yr"/>
    <s v="CELLO"/>
    <x v="1"/>
    <s v="MTG"/>
    <x v="7"/>
    <n v="2.8138191102539798"/>
  </r>
  <r>
    <s v="FN_CMM_30Yr"/>
    <s v="CELLO"/>
    <x v="1"/>
    <s v="MTG"/>
    <x v="8"/>
    <n v="2.8315057491425"/>
  </r>
  <r>
    <s v="FN_CMM_30Yr"/>
    <s v="CELLO"/>
    <x v="1"/>
    <s v="MTG"/>
    <x v="9"/>
    <n v="2.8241768518279202"/>
  </r>
  <r>
    <s v="FN_CMM_30Yr"/>
    <s v="CELLO"/>
    <x v="1"/>
    <s v="MTG"/>
    <x v="10"/>
    <n v="2.79584100930466"/>
  </r>
  <r>
    <s v="FN_CMM_30Yr"/>
    <s v="CELLO"/>
    <x v="1"/>
    <s v="MTG"/>
    <x v="11"/>
    <n v="2.6928489030954199"/>
  </r>
  <r>
    <s v="FN_CMM_30Yr"/>
    <s v="CELLO"/>
    <x v="1"/>
    <s v="MTG"/>
    <x v="12"/>
    <n v="2.70955656376128"/>
  </r>
  <r>
    <s v="FN_CMM_30Yr"/>
    <s v="CELLO"/>
    <x v="1"/>
    <s v="MTG"/>
    <x v="13"/>
    <n v="2.6717729385436999"/>
  </r>
  <r>
    <s v="FN_CMM_30Yr"/>
    <s v="CELLO"/>
    <x v="1"/>
    <s v="MTG"/>
    <x v="14"/>
    <n v="2.6575094779916602"/>
  </r>
  <r>
    <s v="FN_CMM_30Yr"/>
    <s v="CELLO"/>
    <x v="1"/>
    <s v="MTG"/>
    <x v="15"/>
    <n v="2.60984671554638"/>
  </r>
  <r>
    <s v="FN_CMM_30Yr"/>
    <s v="CELLO"/>
    <x v="1"/>
    <s v="MTG"/>
    <x v="16"/>
    <n v="2.6641693960453199"/>
  </r>
  <r>
    <s v="FN_CMM_30Yr"/>
    <s v="CELLO"/>
    <x v="1"/>
    <s v="MTG"/>
    <x v="17"/>
    <n v="2.7519990602785001"/>
  </r>
  <r>
    <s v="FN_CMM_30Yr"/>
    <s v="CELLO"/>
    <x v="1"/>
    <s v="MTG"/>
    <x v="18"/>
    <n v="2.6934832462996599"/>
  </r>
  <r>
    <s v="FN_CMM_30Yr"/>
    <s v="CELLO"/>
    <x v="1"/>
    <s v="MTG"/>
    <x v="19"/>
    <n v="2.6906214304432701"/>
  </r>
  <r>
    <s v="FN_CMM_30Yr"/>
    <s v="CELLO"/>
    <x v="1"/>
    <s v="MTG"/>
    <x v="20"/>
    <n v="2.66103516127894"/>
  </r>
  <r>
    <s v="FN_CMM_30Yr"/>
    <s v="CELLO"/>
    <x v="1"/>
    <s v="MTG"/>
    <x v="21"/>
    <n v="2.5992657753902901"/>
  </r>
  <r>
    <s v="FN_CMM_30Yr"/>
    <s v="CELLO"/>
    <x v="1"/>
    <s v="MTG"/>
    <x v="22"/>
    <n v="2.6512826680006101"/>
  </r>
  <r>
    <s v="FN_CMM_30Yr"/>
    <s v="CELLO"/>
    <x v="1"/>
    <s v="MTG"/>
    <x v="23"/>
    <n v="2.5908884215358099"/>
  </r>
  <r>
    <s v="FN_CMM_30Yr"/>
    <s v="CELLO"/>
    <x v="1"/>
    <s v="MTG"/>
    <x v="24"/>
    <n v="2.63391710374052"/>
  </r>
  <r>
    <s v="FN_CMM_30Yr"/>
    <s v="CELLO"/>
    <x v="1"/>
    <s v="MTG"/>
    <x v="25"/>
    <n v="2.6287824588785198"/>
  </r>
  <r>
    <s v="FN_CMM_30Yr"/>
    <s v="CELLO"/>
    <x v="1"/>
    <s v="MTG"/>
    <x v="26"/>
    <n v="2.62032151165119"/>
  </r>
  <r>
    <s v="FN_CMM_30Yr"/>
    <s v="CELLO"/>
    <x v="1"/>
    <s v="MTG"/>
    <x v="27"/>
    <n v="2.6476582784281"/>
  </r>
  <r>
    <s v="FN_CMM_30Yr"/>
    <s v="CELLO"/>
    <x v="1"/>
    <s v="MTG"/>
    <x v="28"/>
    <n v="2.6673945625319102"/>
  </r>
  <r>
    <s v="FN_CMM_30Yr"/>
    <s v="CELLO"/>
    <x v="1"/>
    <s v="MTG"/>
    <x v="29"/>
    <n v="2.64134045041691"/>
  </r>
  <r>
    <s v="FN_CMM_30Yr"/>
    <s v="CELLO"/>
    <x v="1"/>
    <s v="MTG"/>
    <x v="30"/>
    <n v="2.5968587672613901"/>
  </r>
  <r>
    <s v="FN_CMM_30Yr"/>
    <s v="CELLO"/>
    <x v="1"/>
    <s v="MTG"/>
    <x v="31"/>
    <n v="2.58469358456979"/>
  </r>
  <r>
    <s v="FN_CMM_30Yr"/>
    <s v="CELLO"/>
    <x v="1"/>
    <s v="MTG"/>
    <x v="32"/>
    <n v="2.5759029417987498"/>
  </r>
  <r>
    <s v="FN_CMM_30Yr"/>
    <s v="CELLO"/>
    <x v="1"/>
    <s v="MTG"/>
    <x v="33"/>
    <n v="2.56712042045777"/>
  </r>
  <r>
    <s v="FN_CMM_30Yr"/>
    <s v="CELLO"/>
    <x v="1"/>
    <s v="MTG"/>
    <x v="34"/>
    <n v="2.59858921707026"/>
  </r>
  <r>
    <s v="FN_CMM_30Yr"/>
    <s v="CELLO"/>
    <x v="1"/>
    <s v="MTG"/>
    <x v="35"/>
    <n v="2.62252108008507"/>
  </r>
  <r>
    <s v="FN_CMM_30Yr"/>
    <s v="CELLO"/>
    <x v="1"/>
    <s v="MTG"/>
    <x v="36"/>
    <n v="2.6753264137467299"/>
  </r>
  <r>
    <s v="FN_CMM_30Yr"/>
    <s v="CELLO"/>
    <x v="1"/>
    <s v="MTG"/>
    <x v="37"/>
    <n v="2.6562875815293401"/>
  </r>
  <r>
    <s v="FN_CMM_30Yr"/>
    <s v="CELLO"/>
    <x v="1"/>
    <s v="MTG"/>
    <x v="38"/>
    <n v="2.62955921776924"/>
  </r>
  <r>
    <s v="FN_CMM_30Yr"/>
    <s v="CELLO"/>
    <x v="1"/>
    <s v="MTG"/>
    <x v="39"/>
    <n v="2.6437338504186898"/>
  </r>
  <r>
    <s v="FN_CMM_30Yr"/>
    <s v="CELLO"/>
    <x v="1"/>
    <s v="MTG"/>
    <x v="40"/>
    <n v="2.6991414546305501"/>
  </r>
  <r>
    <s v="FN_CMM_30Yr"/>
    <s v="CELLO"/>
    <x v="1"/>
    <s v="MTG"/>
    <x v="41"/>
    <n v="2.7467458715573199"/>
  </r>
  <r>
    <s v="FN_CMM_30Yr"/>
    <s v="CELLO"/>
    <x v="1"/>
    <s v="MTG"/>
    <x v="42"/>
    <n v="2.7480147229669498"/>
  </r>
  <r>
    <s v="FN_CMM_30Yr"/>
    <s v="CELLO"/>
    <x v="1"/>
    <s v="MTG"/>
    <x v="43"/>
    <n v="2.8064099070641602"/>
  </r>
  <r>
    <s v="FN_CMM_30Yr"/>
    <s v="CELLO"/>
    <x v="1"/>
    <s v="MTG"/>
    <x v="44"/>
    <n v="2.8416760056146502"/>
  </r>
  <r>
    <s v="FN_CMM_30Yr"/>
    <s v="CELLO"/>
    <x v="1"/>
    <s v="MTG"/>
    <x v="45"/>
    <n v="2.8756484754346898"/>
  </r>
  <r>
    <s v="FN_CMM_30Yr"/>
    <s v="CELLO"/>
    <x v="1"/>
    <s v="MTG"/>
    <x v="46"/>
    <n v="2.91930519695658"/>
  </r>
  <r>
    <s v="FN_CMM_30Yr"/>
    <s v="CELLO"/>
    <x v="1"/>
    <s v="MTG"/>
    <x v="47"/>
    <n v="2.86177796804412"/>
  </r>
  <r>
    <s v="FN_CMM_30Yr"/>
    <s v="CELLO"/>
    <x v="1"/>
    <s v="MTG"/>
    <x v="48"/>
    <n v="2.8101076932532698"/>
  </r>
  <r>
    <s v="FN_CMM_30Yr"/>
    <s v="CELLO"/>
    <x v="1"/>
    <s v="MTG"/>
    <x v="49"/>
    <n v="2.9199815904284798"/>
  </r>
  <r>
    <s v="FN_CMM_30Yr"/>
    <s v="CELLO"/>
    <x v="1"/>
    <s v="MTG"/>
    <x v="50"/>
    <n v="2.9362897451124002"/>
  </r>
  <r>
    <s v="FN_CMM_30Yr"/>
    <s v="CELLO"/>
    <x v="1"/>
    <s v="MTG"/>
    <x v="51"/>
    <n v="2.9586092652733198"/>
  </r>
  <r>
    <s v="FN_CMM_30Yr"/>
    <s v="CELLO"/>
    <x v="1"/>
    <s v="MTG"/>
    <x v="52"/>
    <n v="2.9068905487933598"/>
  </r>
  <r>
    <s v="FN_CMM_30Yr"/>
    <s v="CELLO"/>
    <x v="1"/>
    <s v="MTG"/>
    <x v="53"/>
    <n v="2.82631669904023"/>
  </r>
  <r>
    <s v="FN_CMM_30Yr"/>
    <s v="CELLO"/>
    <x v="1"/>
    <s v="MTG"/>
    <x v="54"/>
    <n v="2.8896799307946499"/>
  </r>
  <r>
    <s v="FN_CMM_30Yr"/>
    <s v="CELLO"/>
    <x v="1"/>
    <s v="MTG"/>
    <x v="55"/>
    <n v="2.9214483553786899"/>
  </r>
  <r>
    <s v="FN_CMM_30Yr"/>
    <s v="CELLO"/>
    <x v="1"/>
    <s v="MTG"/>
    <x v="56"/>
    <n v="2.9102623265110599"/>
  </r>
  <r>
    <s v="FN_CMM_30Yr"/>
    <s v="CELLO"/>
    <x v="1"/>
    <s v="MTG"/>
    <x v="57"/>
    <n v="2.8599760435846102"/>
  </r>
  <r>
    <s v="FN_CMM_30Yr"/>
    <s v="CELLO"/>
    <x v="1"/>
    <s v="MTG"/>
    <x v="58"/>
    <n v="2.8915210158303699"/>
  </r>
  <r>
    <s v="FN_CMM_30Yr"/>
    <s v="CELLO"/>
    <x v="1"/>
    <s v="MTG"/>
    <x v="59"/>
    <n v="2.8500704386135798"/>
  </r>
  <r>
    <s v="FN_CMM_30Yr"/>
    <s v="CELLO"/>
    <x v="1"/>
    <s v="MTG"/>
    <x v="60"/>
    <n v="2.8460665334928898"/>
  </r>
  <r>
    <s v="FN_CMM_30Yr"/>
    <s v="CELLO"/>
    <x v="1"/>
    <s v="MTG"/>
    <x v="61"/>
    <n v="2.8413672152174398"/>
  </r>
  <r>
    <s v="FN_CMM_30Yr"/>
    <s v="CELLO"/>
    <x v="1"/>
    <s v="MTG"/>
    <x v="62"/>
    <n v="2.8125589424365498"/>
  </r>
  <r>
    <s v="FN_CMM_30Yr"/>
    <s v="CELLO"/>
    <x v="1"/>
    <s v="MTG"/>
    <x v="63"/>
    <n v="2.8873082715202201"/>
  </r>
  <r>
    <s v="FN_CMM_30Yr"/>
    <s v="CELLO"/>
    <x v="1"/>
    <s v="MTG"/>
    <x v="64"/>
    <n v="2.96123512742628"/>
  </r>
  <r>
    <s v="FN_CMM_30Yr"/>
    <s v="CELLO"/>
    <x v="1"/>
    <s v="MTG"/>
    <x v="65"/>
    <n v="3.0744144315737501"/>
  </r>
  <r>
    <s v="FN_CMM_30Yr"/>
    <s v="CELLO"/>
    <x v="1"/>
    <s v="MTG"/>
    <x v="66"/>
    <n v="3.0256748636149999"/>
  </r>
  <r>
    <s v="FN_CMM_30Yr"/>
    <s v="CELLO"/>
    <x v="1"/>
    <s v="MTG"/>
    <x v="67"/>
    <n v="3.1185389251118698"/>
  </r>
  <r>
    <s v="FN_CMM_30Yr"/>
    <s v="CELLO"/>
    <x v="1"/>
    <s v="MTG"/>
    <x v="68"/>
    <n v="3.0852280715370801"/>
  </r>
  <r>
    <s v="FN_CMM_30Yr"/>
    <s v="CELLO"/>
    <x v="1"/>
    <s v="MTG"/>
    <x v="69"/>
    <n v="3.1292995796246399"/>
  </r>
  <r>
    <s v="FN_CMM_30Yr"/>
    <s v="CELLO"/>
    <x v="1"/>
    <s v="MTG"/>
    <x v="70"/>
    <n v="3.1773446759928401"/>
  </r>
  <r>
    <s v="FN_CMM_30Yr"/>
    <s v="CELLO"/>
    <x v="1"/>
    <s v="MTG"/>
    <x v="71"/>
    <n v="3.0761153132050598"/>
  </r>
  <r>
    <s v="FN_CMM_30Yr"/>
    <s v="CELLO"/>
    <x v="1"/>
    <s v="MTG"/>
    <x v="72"/>
    <n v="3.0919401279735599"/>
  </r>
  <r>
    <s v="FN_CMM_30Yr"/>
    <s v="CELLO"/>
    <x v="1"/>
    <s v="MTG"/>
    <x v="73"/>
    <n v="3.0848485059502999"/>
  </r>
  <r>
    <s v="FN_CMM_30Yr"/>
    <s v="CELLO"/>
    <x v="1"/>
    <s v="MTG"/>
    <x v="74"/>
    <n v="3.0537402902567599"/>
  </r>
  <r>
    <s v="FN_CMM_30Yr"/>
    <s v="CELLO"/>
    <x v="1"/>
    <s v="MTG"/>
    <x v="75"/>
    <n v="3.03216152423493"/>
  </r>
  <r>
    <s v="FN_CMM_30Yr"/>
    <s v="CELLO"/>
    <x v="1"/>
    <s v="MTG"/>
    <x v="76"/>
    <n v="3.0468019127231698"/>
  </r>
  <r>
    <s v="FN_CMM_30Yr"/>
    <s v="CELLO"/>
    <x v="1"/>
    <s v="MTG"/>
    <x v="77"/>
    <n v="2.9822174038917302"/>
  </r>
  <r>
    <s v="FN_CMM_30Yr"/>
    <s v="CELLO"/>
    <x v="1"/>
    <s v="MTG"/>
    <x v="78"/>
    <n v="3.0761568887156101"/>
  </r>
  <r>
    <s v="FN_CMM_30Yr"/>
    <s v="CELLO"/>
    <x v="1"/>
    <s v="MTG"/>
    <x v="79"/>
    <n v="3.1219045210798799"/>
  </r>
  <r>
    <s v="FN_CMM_30Yr"/>
    <s v="CELLO"/>
    <x v="1"/>
    <s v="MTG"/>
    <x v="80"/>
    <n v="3.0912606104251101"/>
  </r>
  <r>
    <s v="FN_CMM_30Yr"/>
    <s v="CELLO"/>
    <x v="1"/>
    <s v="MTG"/>
    <x v="81"/>
    <n v="3.1158923075545402"/>
  </r>
  <r>
    <s v="FN_CMM_30Yr"/>
    <s v="CELLO"/>
    <x v="1"/>
    <s v="MTG"/>
    <x v="82"/>
    <n v="3.2022687944333499"/>
  </r>
  <r>
    <s v="FN_CMM_30Yr"/>
    <s v="CELLO"/>
    <x v="1"/>
    <s v="MTG"/>
    <x v="83"/>
    <n v="3.0851869199683102"/>
  </r>
  <r>
    <s v="FN_CMM_30Yr"/>
    <s v="CELLO"/>
    <x v="1"/>
    <s v="MTG"/>
    <x v="84"/>
    <n v="3.0732804432921599"/>
  </r>
  <r>
    <s v="FN_CMM_30Yr"/>
    <s v="CELLO"/>
    <x v="1"/>
    <s v="MTG"/>
    <x v="85"/>
    <n v="3.16276525236256"/>
  </r>
  <r>
    <s v="FN_CMM_30Yr"/>
    <s v="CELLO"/>
    <x v="1"/>
    <s v="MTG"/>
    <x v="86"/>
    <n v="3.1329453977786899"/>
  </r>
  <r>
    <s v="FN_CMM_30Yr"/>
    <s v="CELLO"/>
    <x v="1"/>
    <s v="MTG"/>
    <x v="87"/>
    <n v="3.0409627195865201"/>
  </r>
  <r>
    <s v="FN_CMM_30Yr"/>
    <s v="CELLO"/>
    <x v="1"/>
    <s v="MTG"/>
    <x v="88"/>
    <n v="3.00985191194196"/>
  </r>
  <r>
    <s v="FN_CMM_30Yr"/>
    <s v="CELLO"/>
    <x v="1"/>
    <s v="MTG"/>
    <x v="89"/>
    <n v="2.9791453962399599"/>
  </r>
  <r>
    <s v="FN_CMM_30Yr"/>
    <s v="CELLO"/>
    <x v="1"/>
    <s v="MTG"/>
    <x v="90"/>
    <n v="3.0519928057207899"/>
  </r>
  <r>
    <s v="FN_CMM_30Yr"/>
    <s v="CELLO"/>
    <x v="1"/>
    <s v="MTG"/>
    <x v="91"/>
    <n v="3.1469144966257199"/>
  </r>
  <r>
    <s v="FN_CMM_30Yr"/>
    <s v="CELLO"/>
    <x v="1"/>
    <s v="MTG"/>
    <x v="92"/>
    <n v="3.1440801611331"/>
  </r>
  <r>
    <s v="FN_CMM_30Yr"/>
    <s v="CELLO"/>
    <x v="1"/>
    <s v="MTG"/>
    <x v="93"/>
    <n v="3.1081065530197201"/>
  </r>
  <r>
    <s v="FN_CMM_30Yr"/>
    <s v="CELLO"/>
    <x v="1"/>
    <s v="MTG"/>
    <x v="94"/>
    <n v="3.0651881254767099"/>
  </r>
  <r>
    <s v="FN_CMM_30Yr"/>
    <s v="CELLO"/>
    <x v="1"/>
    <s v="MTG"/>
    <x v="95"/>
    <n v="3.0642370952529001"/>
  </r>
  <r>
    <s v="FN_CMM_30Yr"/>
    <s v="CELLO"/>
    <x v="1"/>
    <s v="MTG"/>
    <x v="96"/>
    <n v="3.0508649511892498"/>
  </r>
  <r>
    <s v="FN_CMM_30Yr"/>
    <s v="CELLO"/>
    <x v="1"/>
    <s v="MTG"/>
    <x v="97"/>
    <n v="3.07026860246684"/>
  </r>
  <r>
    <s v="FN_CMM_30Yr"/>
    <s v="CELLO"/>
    <x v="1"/>
    <s v="MTG"/>
    <x v="98"/>
    <n v="3.04099858929172"/>
  </r>
  <r>
    <s v="FN_CMM_30Yr"/>
    <s v="CELLO"/>
    <x v="1"/>
    <s v="MTG"/>
    <x v="99"/>
    <n v="3.0272722743659699"/>
  </r>
  <r>
    <s v="FN_CMM_30Yr"/>
    <s v="CELLO"/>
    <x v="1"/>
    <s v="MTG"/>
    <x v="100"/>
    <n v="3.00152435884748"/>
  </r>
  <r>
    <s v="FN_CMM_30Yr"/>
    <s v="CELLO"/>
    <x v="1"/>
    <s v="MTG"/>
    <x v="101"/>
    <n v="3.00880742941581"/>
  </r>
  <r>
    <s v="FN_CMM_30Yr"/>
    <s v="CELLO"/>
    <x v="1"/>
    <s v="MTG"/>
    <x v="102"/>
    <n v="2.9768819813504899"/>
  </r>
  <r>
    <s v="FN_CMM_30Yr"/>
    <s v="CELLO"/>
    <x v="1"/>
    <s v="MTG"/>
    <x v="103"/>
    <n v="2.9700273705701301"/>
  </r>
  <r>
    <s v="FN_CMM_30Yr"/>
    <s v="CELLO"/>
    <x v="1"/>
    <s v="MTG"/>
    <x v="104"/>
    <n v="2.9952166878972601"/>
  </r>
  <r>
    <s v="FN_CMM_30Yr"/>
    <s v="CELLO"/>
    <x v="1"/>
    <s v="MTG"/>
    <x v="105"/>
    <n v="2.9944455468035298"/>
  </r>
  <r>
    <s v="FN_CMM_30Yr"/>
    <s v="CELLO"/>
    <x v="1"/>
    <s v="MTG"/>
    <x v="106"/>
    <n v="2.9155081259623699"/>
  </r>
  <r>
    <s v="FN_CMM_30Yr"/>
    <s v="CELLO"/>
    <x v="1"/>
    <s v="MTG"/>
    <x v="107"/>
    <n v="2.8859588833612699"/>
  </r>
  <r>
    <s v="FN_CMM_30Yr"/>
    <s v="CELLO"/>
    <x v="1"/>
    <s v="MTG"/>
    <x v="108"/>
    <n v="2.9592567116727899"/>
  </r>
  <r>
    <s v="FN_CMM_30Yr"/>
    <s v="CELLO"/>
    <x v="1"/>
    <s v="MTG"/>
    <x v="109"/>
    <n v="3.0089114844805001"/>
  </r>
  <r>
    <s v="FN_CMM_30Yr"/>
    <s v="CELLO"/>
    <x v="1"/>
    <s v="MTG"/>
    <x v="110"/>
    <n v="2.9719648499802398"/>
  </r>
  <r>
    <s v="FN_CMM_30Yr"/>
    <s v="CELLO"/>
    <x v="1"/>
    <s v="MTG"/>
    <x v="111"/>
    <n v="2.92350190324946"/>
  </r>
  <r>
    <s v="FN_CMM_30Yr"/>
    <s v="CELLO"/>
    <x v="1"/>
    <s v="MTG"/>
    <x v="112"/>
    <n v="2.9753003706109098"/>
  </r>
  <r>
    <s v="FN_CMM_30Yr"/>
    <s v="CELLO"/>
    <x v="1"/>
    <s v="MTG"/>
    <x v="113"/>
    <n v="2.8894517792115599"/>
  </r>
  <r>
    <s v="FN_CMM_30Yr"/>
    <s v="CELLO"/>
    <x v="1"/>
    <s v="MTG"/>
    <x v="114"/>
    <n v="2.8863432484098199"/>
  </r>
  <r>
    <s v="FN_CMM_30Yr"/>
    <s v="CELLO"/>
    <x v="1"/>
    <s v="MTG"/>
    <x v="115"/>
    <n v="2.94154866689746"/>
  </r>
  <r>
    <s v="FN_CMM_30Yr"/>
    <s v="CELLO"/>
    <x v="1"/>
    <s v="MTG"/>
    <x v="116"/>
    <n v="2.9622833477952701"/>
  </r>
  <r>
    <s v="FN_CMM_30Yr"/>
    <s v="CELLO"/>
    <x v="1"/>
    <s v="MTG"/>
    <x v="117"/>
    <n v="2.9357435322539001"/>
  </r>
  <r>
    <s v="FN_CMM_30Yr"/>
    <s v="CELLO"/>
    <x v="1"/>
    <s v="MTG"/>
    <x v="118"/>
    <n v="2.9596582925735899"/>
  </r>
  <r>
    <s v="FN_CMM_30Yr"/>
    <s v="CELLO"/>
    <x v="1"/>
    <s v="MTG"/>
    <x v="119"/>
    <n v="2.8898853758214198"/>
  </r>
  <r>
    <s v="FN_CMM_30Yr"/>
    <s v="CELLO"/>
    <x v="1"/>
    <s v="MTG"/>
    <x v="120"/>
    <n v="2.85986737962509"/>
  </r>
  <r>
    <s v="FN_CMM_30Yr"/>
    <s v="CELLO"/>
    <x v="1"/>
    <s v="MTG"/>
    <x v="121"/>
    <n v="2.8344803887664098"/>
  </r>
  <r>
    <s v="FN_CMM_30Yr"/>
    <s v="CELLO"/>
    <x v="1"/>
    <s v="MTG"/>
    <x v="122"/>
    <n v="2.79004351105465"/>
  </r>
  <r>
    <s v="FN_CMM_30Yr"/>
    <s v="CELLO"/>
    <x v="1"/>
    <s v="MTG"/>
    <x v="123"/>
    <n v="2.9080768711615201"/>
  </r>
  <r>
    <s v="FN_CMM_30Yr"/>
    <s v="CELLO"/>
    <x v="1"/>
    <s v="MTG"/>
    <x v="124"/>
    <n v="2.9117942461472701"/>
  </r>
  <r>
    <s v="FN_CMM_30Yr"/>
    <s v="CELLO"/>
    <x v="1"/>
    <s v="MTG"/>
    <x v="125"/>
    <n v="2.9085457311755398"/>
  </r>
  <r>
    <s v="FN_CMM_30Yr"/>
    <s v="CELLO"/>
    <x v="1"/>
    <s v="MTG"/>
    <x v="126"/>
    <n v="2.9130814289562301"/>
  </r>
  <r>
    <s v="FN_CMM_30Yr"/>
    <s v="CELLO"/>
    <x v="1"/>
    <s v="MTG"/>
    <x v="127"/>
    <n v="2.9344470402340699"/>
  </r>
  <r>
    <s v="FN_CMM_30Yr"/>
    <s v="CELLO"/>
    <x v="1"/>
    <s v="MTG"/>
    <x v="128"/>
    <n v="2.9096799662845698"/>
  </r>
  <r>
    <s v="FN_CMM_30Yr"/>
    <s v="CELLO"/>
    <x v="1"/>
    <s v="MTG"/>
    <x v="129"/>
    <n v="2.9358931445910401"/>
  </r>
  <r>
    <s v="FN_CMM_30Yr"/>
    <s v="CELLO"/>
    <x v="1"/>
    <s v="MTG"/>
    <x v="130"/>
    <n v="2.90498942377981"/>
  </r>
  <r>
    <s v="FN_CMM_30Yr"/>
    <s v="CELLO"/>
    <x v="1"/>
    <s v="MTG"/>
    <x v="131"/>
    <n v="2.8787744272910301"/>
  </r>
  <r>
    <s v="FN_CMM_30Yr"/>
    <s v="CELLO"/>
    <x v="1"/>
    <s v="MTG"/>
    <x v="132"/>
    <n v="2.9185627226684798"/>
  </r>
  <r>
    <s v="FN_CMM_30Yr"/>
    <s v="CELLO"/>
    <x v="1"/>
    <s v="MTG"/>
    <x v="133"/>
    <n v="2.9027513521030701"/>
  </r>
  <r>
    <s v="FN_CMM_30Yr"/>
    <s v="CELLO"/>
    <x v="1"/>
    <s v="MTG"/>
    <x v="134"/>
    <n v="2.9327229891480799"/>
  </r>
  <r>
    <s v="FN_CMM_30Yr"/>
    <s v="CELLO"/>
    <x v="1"/>
    <s v="MTG"/>
    <x v="135"/>
    <n v="2.9154645829543302"/>
  </r>
  <r>
    <s v="FN_CMM_30Yr"/>
    <s v="CELLO"/>
    <x v="1"/>
    <s v="MTG"/>
    <x v="136"/>
    <n v="2.90800506731745"/>
  </r>
  <r>
    <s v="FN_CMM_30Yr"/>
    <s v="CELLO"/>
    <x v="1"/>
    <s v="MTG"/>
    <x v="137"/>
    <n v="2.9912109118513701"/>
  </r>
  <r>
    <s v="FN_CMM_30Yr"/>
    <s v="CELLO"/>
    <x v="1"/>
    <s v="MTG"/>
    <x v="138"/>
    <n v="2.9926621611582802"/>
  </r>
  <r>
    <s v="FN_CMM_30Yr"/>
    <s v="CELLO"/>
    <x v="1"/>
    <s v="MTG"/>
    <x v="139"/>
    <n v="2.8946199392202701"/>
  </r>
  <r>
    <s v="FN_CMM_30Yr"/>
    <s v="CELLO"/>
    <x v="1"/>
    <s v="MTG"/>
    <x v="140"/>
    <n v="2.8362882018725202"/>
  </r>
  <r>
    <s v="FN_CMM_30Yr"/>
    <s v="CELLO"/>
    <x v="1"/>
    <s v="MTG"/>
    <x v="141"/>
    <n v="2.91486476009828"/>
  </r>
  <r>
    <s v="FN_CMM_30Yr"/>
    <s v="CELLO"/>
    <x v="1"/>
    <s v="MTG"/>
    <x v="142"/>
    <n v="2.8594352216235301"/>
  </r>
  <r>
    <s v="FN_CMM_30Yr"/>
    <s v="CELLO"/>
    <x v="1"/>
    <s v="MTG"/>
    <x v="143"/>
    <n v="2.8734950564364601"/>
  </r>
  <r>
    <s v="FN_CMM_30Yr"/>
    <s v="CELLO"/>
    <x v="1"/>
    <s v="MTG"/>
    <x v="144"/>
    <n v="2.8712695086990299"/>
  </r>
  <r>
    <s v="FN_CMM_30Yr"/>
    <s v="CELLO"/>
    <x v="1"/>
    <s v="MTG"/>
    <x v="145"/>
    <n v="2.8987506443333801"/>
  </r>
  <r>
    <s v="FN_CMM_30Yr"/>
    <s v="CELLO"/>
    <x v="1"/>
    <s v="MTG"/>
    <x v="146"/>
    <n v="2.8546348135519901"/>
  </r>
  <r>
    <s v="FN_CMM_30Yr"/>
    <s v="CELLO"/>
    <x v="1"/>
    <s v="MTG"/>
    <x v="147"/>
    <n v="2.8124515814242899"/>
  </r>
  <r>
    <s v="FN_CMM_30Yr"/>
    <s v="CELLO"/>
    <x v="1"/>
    <s v="MTG"/>
    <x v="148"/>
    <n v="2.8018988061488499"/>
  </r>
  <r>
    <s v="FN_CMM_30Yr"/>
    <s v="CELLO"/>
    <x v="1"/>
    <s v="MTG"/>
    <x v="149"/>
    <n v="2.7784102270308701"/>
  </r>
  <r>
    <s v="FN_CMM_30Yr"/>
    <s v="CELLO"/>
    <x v="1"/>
    <s v="MTG"/>
    <x v="150"/>
    <n v="2.7296334551710499"/>
  </r>
  <r>
    <s v="FN_CMM_30Yr"/>
    <s v="CELLO"/>
    <x v="1"/>
    <s v="MTG"/>
    <x v="151"/>
    <n v="2.7734212235563001"/>
  </r>
  <r>
    <s v="FN_CMM_30Yr"/>
    <s v="CELLO"/>
    <x v="1"/>
    <s v="MTG"/>
    <x v="152"/>
    <n v="2.7570320859498798"/>
  </r>
  <r>
    <s v="FN_CMM_30Yr"/>
    <s v="CELLO"/>
    <x v="1"/>
    <s v="MTG"/>
    <x v="153"/>
    <n v="2.77010275743095"/>
  </r>
  <r>
    <s v="FN_CMM_30Yr"/>
    <s v="CELLO"/>
    <x v="1"/>
    <s v="MTG"/>
    <x v="154"/>
    <n v="2.81486937200697"/>
  </r>
  <r>
    <s v="FN_CMM_30Yr"/>
    <s v="CELLO"/>
    <x v="1"/>
    <s v="MTG"/>
    <x v="155"/>
    <n v="2.8165675160693602"/>
  </r>
  <r>
    <s v="FN_CMM_30Yr"/>
    <s v="CELLO"/>
    <x v="1"/>
    <s v="MTG"/>
    <x v="156"/>
    <n v="2.7891999400544001"/>
  </r>
  <r>
    <s v="FN_CMM_30Yr"/>
    <s v="CELLO"/>
    <x v="1"/>
    <s v="MTG"/>
    <x v="157"/>
    <n v="2.7081035827114999"/>
  </r>
  <r>
    <s v="FN_CMM_30Yr"/>
    <s v="CELLO"/>
    <x v="1"/>
    <s v="MTG"/>
    <x v="158"/>
    <n v="2.73044392273518"/>
  </r>
  <r>
    <s v="FN_CMM_30Yr"/>
    <s v="CELLO"/>
    <x v="1"/>
    <s v="MTG"/>
    <x v="159"/>
    <n v="2.7334728347211201"/>
  </r>
  <r>
    <s v="FN_CMM_30Yr"/>
    <s v="CELLO"/>
    <x v="1"/>
    <s v="MTG"/>
    <x v="160"/>
    <n v="2.7352021596982001"/>
  </r>
  <r>
    <s v="FN_CMM_30Yr"/>
    <s v="CELLO"/>
    <x v="1"/>
    <s v="MTG"/>
    <x v="161"/>
    <n v="2.7729349961757701"/>
  </r>
  <r>
    <s v="FN_CMM_30Yr"/>
    <s v="CELLO"/>
    <x v="1"/>
    <s v="MTG"/>
    <x v="162"/>
    <n v="2.7446763066937101"/>
  </r>
  <r>
    <s v="FN_CMM_30Yr"/>
    <s v="CELLO"/>
    <x v="1"/>
    <s v="MTG"/>
    <x v="163"/>
    <n v="2.7173642653119501"/>
  </r>
  <r>
    <s v="FN_CMM_30Yr"/>
    <s v="CELLO"/>
    <x v="1"/>
    <s v="MTG"/>
    <x v="164"/>
    <n v="2.77127537293183"/>
  </r>
  <r>
    <s v="FN_CMM_30Yr"/>
    <s v="CELLO"/>
    <x v="1"/>
    <s v="MTG"/>
    <x v="165"/>
    <n v="2.7558575864349502"/>
  </r>
  <r>
    <s v="FN_CMM_30Yr"/>
    <s v="CELLO"/>
    <x v="1"/>
    <s v="MTG"/>
    <x v="166"/>
    <n v="2.7239833090670502"/>
  </r>
  <r>
    <s v="FN_CMM_30Yr"/>
    <s v="CELLO"/>
    <x v="1"/>
    <s v="MTG"/>
    <x v="167"/>
    <n v="2.7958120452124602"/>
  </r>
  <r>
    <s v="FN_CMM_30Yr"/>
    <s v="CELLO"/>
    <x v="1"/>
    <s v="MTG"/>
    <x v="168"/>
    <n v="2.8760429870518398"/>
  </r>
  <r>
    <s v="FN_CMM_30Yr"/>
    <s v="CELLO"/>
    <x v="1"/>
    <s v="MTG"/>
    <x v="169"/>
    <n v="2.8444181025455899"/>
  </r>
  <r>
    <s v="FN_CMM_30Yr"/>
    <s v="CELLO"/>
    <x v="1"/>
    <s v="MTG"/>
    <x v="170"/>
    <n v="2.8650468207927799"/>
  </r>
  <r>
    <s v="FN_CMM_30Yr"/>
    <s v="CELLO"/>
    <x v="1"/>
    <s v="MTG"/>
    <x v="171"/>
    <n v="2.8982983852453801"/>
  </r>
  <r>
    <s v="FN_CMM_30Yr"/>
    <s v="CELLO"/>
    <x v="1"/>
    <s v="MTG"/>
    <x v="172"/>
    <n v="2.9340630334667899"/>
  </r>
  <r>
    <s v="FN_CMM_30Yr"/>
    <s v="CELLO"/>
    <x v="1"/>
    <s v="MTG"/>
    <x v="173"/>
    <n v="2.9388026853832501"/>
  </r>
  <r>
    <s v="FN_CMM_30Yr"/>
    <s v="CELLO"/>
    <x v="1"/>
    <s v="MTG"/>
    <x v="174"/>
    <n v="3.0126979954339599"/>
  </r>
  <r>
    <s v="FN_CMM_30Yr"/>
    <s v="CELLO"/>
    <x v="1"/>
    <s v="MTG"/>
    <x v="175"/>
    <n v="3.0394713990433302"/>
  </r>
  <r>
    <s v="FN_CMM_30Yr"/>
    <s v="CELLO"/>
    <x v="1"/>
    <s v="MTG"/>
    <x v="176"/>
    <n v="3.0240881034818901"/>
  </r>
  <r>
    <s v="FN_CMM_30Yr"/>
    <s v="CELLO"/>
    <x v="1"/>
    <s v="MTG"/>
    <x v="177"/>
    <n v="3.0415503408748101"/>
  </r>
  <r>
    <s v="FN_CMM_30Yr"/>
    <s v="CELLO"/>
    <x v="1"/>
    <s v="MTG"/>
    <x v="178"/>
    <n v="3.0032203766891601"/>
  </r>
  <r>
    <s v="FN_CMM_30Yr"/>
    <s v="CELLO"/>
    <x v="1"/>
    <s v="MTG"/>
    <x v="179"/>
    <n v="2.9962349476624799"/>
  </r>
  <r>
    <s v="FN_CMM_30Yr"/>
    <s v="CELLO"/>
    <x v="1"/>
    <s v="MTG"/>
    <x v="180"/>
    <n v="2.9829487992520902"/>
  </r>
  <r>
    <s v="FN_CMM_30Yr"/>
    <s v="CELLO"/>
    <x v="1"/>
    <s v="MTG"/>
    <x v="181"/>
    <n v="2.97922271147955"/>
  </r>
  <r>
    <s v="FN_CMM_30Yr"/>
    <s v="CELLO"/>
    <x v="1"/>
    <s v="MTG"/>
    <x v="182"/>
    <n v="2.9567440380932299"/>
  </r>
  <r>
    <s v="FN_CMM_30Yr"/>
    <s v="CELLO"/>
    <x v="1"/>
    <s v="MTG"/>
    <x v="183"/>
    <n v="2.9778815410804498"/>
  </r>
  <r>
    <s v="FN_CMM_30Yr"/>
    <s v="CELLO"/>
    <x v="1"/>
    <s v="MTG"/>
    <x v="184"/>
    <n v="2.9783756626827098"/>
  </r>
  <r>
    <s v="FN_CMM_30Yr"/>
    <s v="CELLO"/>
    <x v="1"/>
    <s v="MTG"/>
    <x v="185"/>
    <n v="2.9726150604600501"/>
  </r>
  <r>
    <s v="FN_CMM_30Yr"/>
    <s v="CELLO"/>
    <x v="1"/>
    <s v="MTG"/>
    <x v="186"/>
    <n v="2.9699990408330801"/>
  </r>
  <r>
    <s v="FN_CMM_30Yr"/>
    <s v="CELLO"/>
    <x v="1"/>
    <s v="MTG"/>
    <x v="187"/>
    <n v="2.9627998266716902"/>
  </r>
  <r>
    <s v="FN_CMM_30Yr"/>
    <s v="CELLO"/>
    <x v="1"/>
    <s v="MTG"/>
    <x v="188"/>
    <n v="2.9474672658602201"/>
  </r>
  <r>
    <s v="FN_CMM_30Yr"/>
    <s v="CELLO"/>
    <x v="1"/>
    <s v="MTG"/>
    <x v="189"/>
    <n v="2.8947298491443201"/>
  </r>
  <r>
    <s v="FN_CMM_30Yr"/>
    <s v="CELLO"/>
    <x v="1"/>
    <s v="MTG"/>
    <x v="190"/>
    <n v="2.9165593470462001"/>
  </r>
  <r>
    <s v="FN_CMM_30Yr"/>
    <s v="CELLO"/>
    <x v="1"/>
    <s v="MTG"/>
    <x v="191"/>
    <n v="3.0544306669029599"/>
  </r>
  <r>
    <s v="FN_CMM_30Yr"/>
    <s v="CELLO"/>
    <x v="1"/>
    <s v="MTG"/>
    <x v="192"/>
    <n v="2.9966381834712199"/>
  </r>
  <r>
    <s v="FN_CMM_30Yr"/>
    <s v="CELLO"/>
    <x v="1"/>
    <s v="MTG"/>
    <x v="193"/>
    <n v="2.9498986890501602"/>
  </r>
  <r>
    <s v="FN_CMM_30Yr"/>
    <s v="CELLO"/>
    <x v="1"/>
    <s v="MTG"/>
    <x v="194"/>
    <n v="2.97492729888162"/>
  </r>
  <r>
    <s v="FN_CMM_30Yr"/>
    <s v="CELLO"/>
    <x v="1"/>
    <s v="MTG"/>
    <x v="195"/>
    <n v="2.9584562580557998"/>
  </r>
  <r>
    <s v="FN_CMM_30Yr"/>
    <s v="CELLO"/>
    <x v="1"/>
    <s v="MTG"/>
    <x v="196"/>
    <n v="2.9975278287112799"/>
  </r>
  <r>
    <s v="FN_CMM_30Yr"/>
    <s v="CELLO"/>
    <x v="1"/>
    <s v="MTG"/>
    <x v="197"/>
    <n v="2.93038775773327"/>
  </r>
  <r>
    <s v="FN_CMM_30Yr"/>
    <s v="CELLO"/>
    <x v="1"/>
    <s v="MTG"/>
    <x v="198"/>
    <n v="2.9956917661864102"/>
  </r>
  <r>
    <s v="FN_CMM_30Yr"/>
    <s v="CELLO"/>
    <x v="1"/>
    <s v="MTG"/>
    <x v="199"/>
    <n v="3.0277544715368299"/>
  </r>
  <r>
    <s v="FN_CMM_30Yr"/>
    <s v="CELLO"/>
    <x v="1"/>
    <s v="MTG"/>
    <x v="200"/>
    <n v="3.0337070171743399"/>
  </r>
  <r>
    <s v="FN_CMM_30Yr"/>
    <s v="CELLO"/>
    <x v="1"/>
    <s v="MTG"/>
    <x v="201"/>
    <n v="2.9938542795846499"/>
  </r>
  <r>
    <s v="FN_CMM_30Yr"/>
    <s v="CELLO"/>
    <x v="1"/>
    <s v="MTG"/>
    <x v="202"/>
    <n v="2.9654454819851401"/>
  </r>
  <r>
    <s v="FN_CMM_30Yr"/>
    <s v="CELLO"/>
    <x v="1"/>
    <s v="MTG"/>
    <x v="203"/>
    <n v="2.9731174036640602"/>
  </r>
  <r>
    <s v="FN_CMM_30Yr"/>
    <s v="CELLO"/>
    <x v="1"/>
    <s v="MTG"/>
    <x v="204"/>
    <n v="3.0177597197552002"/>
  </r>
  <r>
    <s v="FN_CMM_30Yr"/>
    <s v="CELLO"/>
    <x v="1"/>
    <s v="MTG"/>
    <x v="205"/>
    <n v="3.0426080275796101"/>
  </r>
  <r>
    <s v="FN_CMM_30Yr"/>
    <s v="CELLO"/>
    <x v="1"/>
    <s v="MTG"/>
    <x v="206"/>
    <n v="3.0275766664066102"/>
  </r>
  <r>
    <s v="FN_CMM_30Yr"/>
    <s v="CELLO"/>
    <x v="1"/>
    <s v="MTG"/>
    <x v="207"/>
    <n v="3.0029644484734299"/>
  </r>
  <r>
    <s v="FN_CMM_30Yr"/>
    <s v="CELLO"/>
    <x v="1"/>
    <s v="MTG"/>
    <x v="208"/>
    <n v="3.05738829293283"/>
  </r>
  <r>
    <s v="FN_CMM_30Yr"/>
    <s v="CELLO"/>
    <x v="1"/>
    <s v="MTG"/>
    <x v="231"/>
    <n v="3.0484600868524701"/>
  </r>
  <r>
    <s v="FN_CMM_30Yr"/>
    <s v="CELLO"/>
    <x v="1"/>
    <s v="MTG"/>
    <x v="209"/>
    <n v="3.0053894082817201"/>
  </r>
  <r>
    <s v="FN_CMM_30Yr"/>
    <s v="CELLO"/>
    <x v="1"/>
    <s v="MTG"/>
    <x v="210"/>
    <n v="2.993452685197"/>
  </r>
  <r>
    <s v="FN_CMM_30Yr"/>
    <s v="CELLO"/>
    <x v="1"/>
    <s v="MTG"/>
    <x v="211"/>
    <n v="2.99513727920968"/>
  </r>
  <r>
    <s v="FN_CMM_30Yr"/>
    <s v="CELLO"/>
    <x v="1"/>
    <s v="MTG"/>
    <x v="212"/>
    <n v="2.9334005201837599"/>
  </r>
  <r>
    <s v="FN_CMM_30Yr"/>
    <s v="CELLO"/>
    <x v="1"/>
    <s v="MTG"/>
    <x v="213"/>
    <n v="2.9119506998989602"/>
  </r>
  <r>
    <s v="FN_CMM_30Yr"/>
    <s v="CELLO"/>
    <x v="1"/>
    <s v="MTG"/>
    <x v="214"/>
    <n v="2.88545680781831"/>
  </r>
  <r>
    <s v="FN_CMM_30Yr"/>
    <s v="CELLO"/>
    <x v="1"/>
    <s v="MTG"/>
    <x v="215"/>
    <n v="2.8978342309890999"/>
  </r>
  <r>
    <s v="FN_CMM_30Yr"/>
    <s v="CELLO"/>
    <x v="1"/>
    <s v="MTG"/>
    <x v="216"/>
    <n v="2.8424738889513801"/>
  </r>
  <r>
    <s v="FN_CMM_30Yr"/>
    <s v="CELLO"/>
    <x v="1"/>
    <s v="MTG"/>
    <x v="217"/>
    <n v="2.8127941632470699"/>
  </r>
  <r>
    <s v="FN_CMM_30Yr"/>
    <s v="CELLO"/>
    <x v="1"/>
    <s v="MTG"/>
    <x v="218"/>
    <n v="2.82567876803239"/>
  </r>
  <r>
    <s v="FN_CMM_30Yr"/>
    <s v="CELLO"/>
    <x v="1"/>
    <s v="MTG"/>
    <x v="219"/>
    <n v="2.78255799649583"/>
  </r>
  <r>
    <s v="FN_CMM_30Yr"/>
    <s v="CELLO"/>
    <x v="1"/>
    <s v="MTG"/>
    <x v="220"/>
    <n v="2.78837847860318"/>
  </r>
  <r>
    <s v="FN_CMM_30Yr"/>
    <s v="CELLO"/>
    <x v="1"/>
    <s v="MTG"/>
    <x v="221"/>
    <n v="2.7399955828051801"/>
  </r>
  <r>
    <s v="FN_CMM_30Yr"/>
    <s v="CELLO"/>
    <x v="1"/>
    <s v="MTG"/>
    <x v="222"/>
    <n v="2.7634717888750999"/>
  </r>
  <r>
    <s v="FN_CMM_30Yr"/>
    <s v="CELLO"/>
    <x v="1"/>
    <s v="MTG"/>
    <x v="223"/>
    <n v="2.7884908118762199"/>
  </r>
  <r>
    <s v="FN_CMM_30Yr"/>
    <s v="CELLO"/>
    <x v="1"/>
    <s v="MTG"/>
    <x v="224"/>
    <n v="2.7702129413051901"/>
  </r>
  <r>
    <s v="FN_CMM_30Yr"/>
    <s v="CELLO"/>
    <x v="1"/>
    <s v="MTG"/>
    <x v="225"/>
    <n v="2.7316832790579499"/>
  </r>
  <r>
    <s v="FN_CMM_30Yr"/>
    <s v="CELLO"/>
    <x v="1"/>
    <s v="MTG"/>
    <x v="226"/>
    <n v="2.73574020589367"/>
  </r>
  <r>
    <s v="FN_CMM_30Yr"/>
    <s v="CELLO"/>
    <x v="1"/>
    <s v="MTG"/>
    <x v="227"/>
    <n v="2.70685241961761"/>
  </r>
  <r>
    <s v="FN_CMM_30Yr"/>
    <s v="CELLO"/>
    <x v="1"/>
    <s v="MTG"/>
    <x v="228"/>
    <n v="2.6475345232254401"/>
  </r>
  <r>
    <s v="FN_CMM_30Yr"/>
    <s v="CELLO"/>
    <x v="1"/>
    <s v="MTG"/>
    <x v="229"/>
    <n v="2.7082747576934199"/>
  </r>
  <r>
    <s v="FN_CMM_30Yr"/>
    <s v="CELLO"/>
    <x v="1"/>
    <s v="MTG"/>
    <x v="230"/>
    <n v="2.61728881323573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1938806357020679"/>
  </r>
  <r>
    <x v="0"/>
    <x v="0"/>
    <x v="1"/>
    <s v="MTG"/>
    <x v="0"/>
    <n v="4.149"/>
  </r>
  <r>
    <x v="0"/>
    <x v="0"/>
    <x v="2"/>
    <s v="MTG"/>
    <x v="0"/>
    <n v="0.439"/>
  </r>
  <r>
    <x v="0"/>
    <x v="0"/>
    <x v="3"/>
    <s v="MTG"/>
    <x v="0"/>
    <n v="4"/>
  </r>
  <r>
    <x v="0"/>
    <x v="0"/>
    <x v="4"/>
    <s v="MTG"/>
    <x v="0"/>
    <n v="1.4856058780086481"/>
  </r>
  <r>
    <x v="0"/>
    <x v="1"/>
    <x v="0"/>
    <s v="MTG"/>
    <x v="0"/>
    <n v="3.812592661796018"/>
  </r>
  <r>
    <x v="0"/>
    <x v="1"/>
    <x v="1"/>
    <s v="MTG"/>
    <x v="0"/>
    <n v="3.8530000000000002"/>
  </r>
  <r>
    <x v="0"/>
    <x v="1"/>
    <x v="2"/>
    <s v="MTG"/>
    <x v="0"/>
    <n v="1.25"/>
  </r>
  <r>
    <x v="0"/>
    <x v="1"/>
    <x v="3"/>
    <s v="MTG"/>
    <x v="0"/>
    <n v="3.75"/>
  </r>
  <r>
    <x v="0"/>
    <x v="1"/>
    <x v="4"/>
    <s v="MTG"/>
    <x v="0"/>
    <n v="1.1043179041025981"/>
  </r>
  <r>
    <x v="0"/>
    <x v="2"/>
    <x v="0"/>
    <s v="MTG"/>
    <x v="0"/>
    <n v="4.1871940628292794"/>
  </r>
  <r>
    <x v="0"/>
    <x v="2"/>
    <x v="1"/>
    <s v="MTG"/>
    <x v="0"/>
    <n v="3.9790000000000001"/>
  </r>
  <r>
    <x v="0"/>
    <x v="2"/>
    <x v="2"/>
    <s v="MTG"/>
    <x v="0"/>
    <n v="1.75"/>
  </r>
  <r>
    <x v="0"/>
    <x v="2"/>
    <x v="3"/>
    <s v="MTG"/>
    <x v="0"/>
    <n v="3.75"/>
  </r>
  <r>
    <x v="0"/>
    <x v="2"/>
    <x v="4"/>
    <s v="MTG"/>
    <x v="0"/>
    <n v="1.4789193051358598"/>
  </r>
  <r>
    <x v="0"/>
    <x v="3"/>
    <x v="0"/>
    <s v="MTG"/>
    <x v="0"/>
    <n v="4.2354507174829195"/>
  </r>
  <r>
    <x v="0"/>
    <x v="3"/>
    <x v="1"/>
    <s v="MTG"/>
    <x v="0"/>
    <n v="4.04"/>
  </r>
  <r>
    <x v="0"/>
    <x v="3"/>
    <x v="5"/>
    <s v="MTG"/>
    <x v="0"/>
    <n v="2921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"/>
  </r>
  <r>
    <x v="0"/>
    <x v="3"/>
    <x v="4"/>
    <s v="MTG"/>
    <x v="0"/>
    <n v="1.5271759597894994"/>
  </r>
  <r>
    <x v="1"/>
    <x v="2"/>
    <x v="1"/>
    <s v="MTG"/>
    <x v="0"/>
    <n v="1"/>
  </r>
  <r>
    <x v="1"/>
    <x v="2"/>
    <x v="2"/>
    <s v="MTG"/>
    <x v="0"/>
    <n v="1"/>
  </r>
  <r>
    <x v="1"/>
    <x v="2"/>
    <x v="3"/>
    <s v="MTG"/>
    <x v="0"/>
    <n v="1"/>
  </r>
  <r>
    <x v="1"/>
    <x v="3"/>
    <x v="0"/>
    <s v="MTG"/>
    <x v="0"/>
    <n v="4.0943750000000003"/>
  </r>
  <r>
    <x v="1"/>
    <x v="3"/>
    <x v="1"/>
    <s v="MTG"/>
    <x v="0"/>
    <n v="4.923"/>
  </r>
  <r>
    <x v="1"/>
    <x v="3"/>
    <x v="5"/>
    <s v="MTG"/>
    <x v="0"/>
    <n v="7255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5255715728238399"/>
  </r>
  <r>
    <x v="1"/>
    <x v="3"/>
    <x v="7"/>
    <s v="MTG"/>
    <x v="0"/>
    <n v="3500"/>
  </r>
  <r>
    <x v="2"/>
    <x v="3"/>
    <x v="0"/>
    <s v="MTG"/>
    <x v="0"/>
    <n v="3.9949531909148654"/>
  </r>
  <r>
    <x v="2"/>
    <x v="3"/>
    <x v="1"/>
    <s v="MTG"/>
    <x v="0"/>
    <n v="4.0179999999999998"/>
  </r>
  <r>
    <x v="2"/>
    <x v="3"/>
    <x v="5"/>
    <s v="MTG"/>
    <x v="0"/>
    <n v="3814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"/>
  </r>
  <r>
    <x v="2"/>
    <x v="3"/>
    <x v="4"/>
    <s v="MTG"/>
    <x v="0"/>
    <n v="1.2866784332214456"/>
  </r>
  <r>
    <x v="3"/>
    <x v="3"/>
    <x v="0"/>
    <s v="MTG"/>
    <x v="0"/>
    <n v="3.7454735457080615"/>
  </r>
  <r>
    <x v="3"/>
    <x v="3"/>
    <x v="1"/>
    <s v="MTG"/>
    <x v="0"/>
    <n v="3.8820000000000001"/>
  </r>
  <r>
    <x v="3"/>
    <x v="3"/>
    <x v="5"/>
    <s v="MTG"/>
    <x v="0"/>
    <n v="2976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875"/>
  </r>
  <r>
    <x v="3"/>
    <x v="3"/>
    <x v="4"/>
    <s v="MTG"/>
    <x v="0"/>
    <n v="1.03719878801464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105455800854287"/>
  </r>
  <r>
    <x v="0"/>
    <x v="0"/>
    <x v="1"/>
    <s v="MTG"/>
    <x v="0"/>
    <n v="4.1189999999999998"/>
  </r>
  <r>
    <x v="0"/>
    <x v="0"/>
    <x v="2"/>
    <s v="MTG"/>
    <x v="0"/>
    <n v="0.41199999999999998"/>
  </r>
  <r>
    <x v="0"/>
    <x v="0"/>
    <x v="3"/>
    <s v="MTG"/>
    <x v="0"/>
    <n v="4"/>
  </r>
  <r>
    <x v="0"/>
    <x v="0"/>
    <x v="4"/>
    <s v="MTG"/>
    <x v="0"/>
    <n v="1.4881669876185573"/>
  </r>
  <r>
    <x v="1"/>
    <x v="0"/>
    <x v="0"/>
    <s v="MTG"/>
    <x v="0"/>
    <n v="3.812592661796018"/>
  </r>
  <r>
    <x v="1"/>
    <x v="0"/>
    <x v="1"/>
    <s v="MTG"/>
    <x v="0"/>
    <n v="3.8530000000000002"/>
  </r>
  <r>
    <x v="1"/>
    <x v="0"/>
    <x v="2"/>
    <s v="MTG"/>
    <x v="0"/>
    <n v="1.25"/>
  </r>
  <r>
    <x v="1"/>
    <x v="0"/>
    <x v="3"/>
    <s v="MTG"/>
    <x v="0"/>
    <n v="3.75"/>
  </r>
  <r>
    <x v="1"/>
    <x v="0"/>
    <x v="4"/>
    <s v="MTG"/>
    <x v="0"/>
    <n v="1.195303848560288"/>
  </r>
  <r>
    <x v="2"/>
    <x v="0"/>
    <x v="0"/>
    <s v="MTG"/>
    <x v="0"/>
    <n v="4.1871940628292794"/>
  </r>
  <r>
    <x v="2"/>
    <x v="0"/>
    <x v="1"/>
    <s v="MTG"/>
    <x v="0"/>
    <n v="3.9790000000000001"/>
  </r>
  <r>
    <x v="2"/>
    <x v="0"/>
    <x v="2"/>
    <s v="MTG"/>
    <x v="0"/>
    <n v="1.75"/>
  </r>
  <r>
    <x v="2"/>
    <x v="0"/>
    <x v="3"/>
    <s v="MTG"/>
    <x v="0"/>
    <n v="3.75"/>
  </r>
  <r>
    <x v="2"/>
    <x v="0"/>
    <x v="4"/>
    <s v="MTG"/>
    <x v="0"/>
    <n v="1.5699052495935495"/>
  </r>
  <r>
    <x v="3"/>
    <x v="0"/>
    <x v="0"/>
    <s v="MTG"/>
    <x v="0"/>
    <n v="4.2996395977984392"/>
  </r>
  <r>
    <x v="3"/>
    <x v="0"/>
    <x v="1"/>
    <s v="MTG"/>
    <x v="0"/>
    <n v="4.0510000000000002"/>
  </r>
  <r>
    <x v="3"/>
    <x v="0"/>
    <x v="5"/>
    <s v="MTG"/>
    <x v="0"/>
    <n v="3171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"/>
  </r>
  <r>
    <x v="3"/>
    <x v="0"/>
    <x v="4"/>
    <s v="MTG"/>
    <x v="0"/>
    <n v="1.6823507845627088"/>
  </r>
  <r>
    <x v="2"/>
    <x v="1"/>
    <x v="1"/>
    <s v="MTG"/>
    <x v="0"/>
    <n v="1"/>
  </r>
  <r>
    <x v="2"/>
    <x v="1"/>
    <x v="2"/>
    <s v="MTG"/>
    <x v="0"/>
    <n v="1"/>
  </r>
  <r>
    <x v="2"/>
    <x v="1"/>
    <x v="3"/>
    <s v="MTG"/>
    <x v="0"/>
    <n v="1"/>
  </r>
  <r>
    <x v="3"/>
    <x v="1"/>
    <x v="0"/>
    <s v="MTG"/>
    <x v="0"/>
    <n v="4.0943750000000003"/>
  </r>
  <r>
    <x v="3"/>
    <x v="1"/>
    <x v="1"/>
    <s v="MTG"/>
    <x v="0"/>
    <n v="4.923"/>
  </r>
  <r>
    <x v="3"/>
    <x v="1"/>
    <x v="5"/>
    <s v="MTG"/>
    <x v="0"/>
    <n v="7255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3.875"/>
  </r>
  <r>
    <x v="3"/>
    <x v="1"/>
    <x v="4"/>
    <s v="MTG"/>
    <x v="0"/>
    <n v="1.5946035741745701"/>
  </r>
  <r>
    <x v="3"/>
    <x v="1"/>
    <x v="7"/>
    <s v="MTG"/>
    <x v="0"/>
    <n v="3500"/>
  </r>
  <r>
    <x v="3"/>
    <x v="2"/>
    <x v="0"/>
    <s v="MTG"/>
    <x v="0"/>
    <n v="3.9949531909148654"/>
  </r>
  <r>
    <x v="3"/>
    <x v="2"/>
    <x v="1"/>
    <s v="MTG"/>
    <x v="0"/>
    <n v="4.0179999999999998"/>
  </r>
  <r>
    <x v="3"/>
    <x v="2"/>
    <x v="5"/>
    <s v="MTG"/>
    <x v="0"/>
    <n v="3814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"/>
  </r>
  <r>
    <x v="3"/>
    <x v="2"/>
    <x v="4"/>
    <s v="MTG"/>
    <x v="0"/>
    <n v="1.3776643776791355"/>
  </r>
  <r>
    <x v="3"/>
    <x v="3"/>
    <x v="0"/>
    <s v="MTG"/>
    <x v="0"/>
    <n v="3.7142068790413951"/>
  </r>
  <r>
    <x v="3"/>
    <x v="3"/>
    <x v="1"/>
    <s v="MTG"/>
    <x v="0"/>
    <n v="3.8820000000000001"/>
  </r>
  <r>
    <x v="3"/>
    <x v="3"/>
    <x v="5"/>
    <s v="MTG"/>
    <x v="0"/>
    <n v="2038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3.875"/>
  </r>
  <r>
    <x v="3"/>
    <x v="3"/>
    <x v="4"/>
    <s v="MTG"/>
    <x v="0"/>
    <n v="1.0969180658056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4" cacheId="10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28">
        <item m="1" x="25"/>
        <item m="1" x="1"/>
        <item m="1" x="22"/>
        <item m="1" x="2"/>
        <item m="1" x="5"/>
        <item m="1" x="7"/>
        <item m="1" x="12"/>
        <item m="1" x="11"/>
        <item m="1" x="13"/>
        <item m="1" x="14"/>
        <item m="1" x="15"/>
        <item m="1" x="4"/>
        <item m="1" x="17"/>
        <item m="1" x="20"/>
        <item m="1" x="23"/>
        <item m="1" x="26"/>
        <item m="1" x="19"/>
        <item m="1" x="21"/>
        <item m="1" x="9"/>
        <item m="1" x="8"/>
        <item m="1" x="18"/>
        <item m="1" x="6"/>
        <item m="1" x="3"/>
        <item m="1" x="16"/>
        <item m="1" x="24"/>
        <item m="1" x="10"/>
        <item m="1" x="2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27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1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108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9">
  <location ref="A78:E310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2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t="default"/>
      </items>
    </pivotField>
    <pivotField dataField="1" showAll="0"/>
  </pivotFields>
  <rowFields count="1">
    <field x="4"/>
  </rowFields>
  <rowItems count="2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42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12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10">
  <location ref="M78:O310" firstHeaderRow="1" firstDataRow="2" firstDataCol="1"/>
  <pivotFields count="6">
    <pivotField showAll="0"/>
    <pivotField showAll="0"/>
    <pivotField axis="axisCol" showAll="0">
      <items count="3">
        <item n="FNMA 30-yr Current Coupon" x="1"/>
        <item n="30-Yr Conventional Servicing Spread" x="0"/>
        <item t="default"/>
      </items>
    </pivotField>
    <pivotField showAll="0"/>
    <pivotField axis="axisRow" showAll="0">
      <items count="247">
        <item x="0"/>
        <item x="1"/>
        <item x="2"/>
        <item x="3"/>
        <item x="4"/>
        <item x="5"/>
        <item x="6"/>
        <item x="7"/>
        <item x="8"/>
        <item m="1" x="238"/>
        <item m="1" x="243"/>
        <item m="1" x="234"/>
        <item m="1" x="241"/>
        <item m="1" x="233"/>
        <item m="1" x="240"/>
        <item m="1" x="245"/>
        <item m="1" x="237"/>
        <item m="1" x="239"/>
        <item m="1" x="244"/>
        <item m="1" x="236"/>
        <item m="1" x="242"/>
        <item m="1" x="232"/>
        <item m="1" x="235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h="1" x="231"/>
        <item t="default"/>
      </items>
    </pivotField>
    <pivotField dataField="1" showAll="0"/>
  </pivotFields>
  <rowFields count="1">
    <field x="4"/>
  </rowFields>
  <rowItems count="2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</rowItems>
  <colFields count="1">
    <field x="2"/>
  </colFields>
  <colItems count="2">
    <i>
      <x/>
    </i>
    <i>
      <x v="1"/>
    </i>
  </colItems>
  <dataFields count="1">
    <dataField name="Average of SeriesNumValue" fld="5" subtotal="average" baseField="0" baseItem="0"/>
  </dataFields>
  <formats count="1">
    <format dxfId="43">
      <pivotArea dataOnly="0" labelOnly="1" fieldPosition="0">
        <references count="1">
          <reference field="4" count="0"/>
        </references>
      </pivotArea>
    </format>
  </formats>
  <chartFormats count="2"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18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31">
        <item m="1" x="25"/>
        <item m="1" x="20"/>
        <item m="1" x="1"/>
        <item m="1" x="4"/>
        <item m="1" x="6"/>
        <item m="1" x="14"/>
        <item m="1" x="11"/>
        <item m="1" x="15"/>
        <item m="1" x="17"/>
        <item m="1" x="18"/>
        <item m="1" x="22"/>
        <item m="1" x="27"/>
        <item m="1" x="2"/>
        <item m="1" x="5"/>
        <item m="1" x="13"/>
        <item m="1" x="24"/>
        <item m="1" x="29"/>
        <item m="1" x="7"/>
        <item m="1" x="8"/>
        <item m="1" x="23"/>
        <item m="1" x="9"/>
        <item m="1" x="26"/>
        <item m="1" x="19"/>
        <item m="1" x="30"/>
        <item m="1" x="16"/>
        <item m="1" x="12"/>
        <item m="1" x="28"/>
        <item m="1" x="3"/>
        <item m="1" x="21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30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44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RatesSummaryTable" cacheId="12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33">
        <item m="1" x="26"/>
        <item m="1" x="28"/>
        <item m="1" x="2"/>
        <item m="1" x="1"/>
        <item m="1" x="7"/>
        <item m="1" x="10"/>
        <item m="1" x="18"/>
        <item m="1" x="14"/>
        <item m="1" x="19"/>
        <item m="1" x="22"/>
        <item m="1" x="24"/>
        <item m="1" x="27"/>
        <item m="1" x="31"/>
        <item m="1" x="3"/>
        <item m="1" x="8"/>
        <item m="1" x="4"/>
        <item m="1" x="21"/>
        <item m="1" x="32"/>
        <item m="1" x="12"/>
        <item m="1" x="13"/>
        <item m="1" x="15"/>
        <item m="1" x="9"/>
        <item m="1" x="16"/>
        <item m="1" x="29"/>
        <item m="1" x="25"/>
        <item m="1" x="6"/>
        <item m="1" x="23"/>
        <item m="1" x="20"/>
        <item m="1" x="5"/>
        <item m="1" x="11"/>
        <item m="1" x="30"/>
        <item m="1" x="1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32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5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10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7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9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9.xml><?xml version="1.0" encoding="utf-8"?>
<queryTable xmlns="http://schemas.openxmlformats.org/spreadsheetml/2006/main" name="Query from Agency_9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10.xml><?xml version="1.0" encoding="utf-8"?>
<queryTable xmlns="http://schemas.openxmlformats.org/spreadsheetml/2006/main" name="Query from Agency_10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59" dataDxfId="58">
  <tableColumns count="6">
    <tableColumn id="3" uniqueName="3" name="Source" queryTableFieldId="44" dataDxfId="40" dataCellStyle="Normal 2 7"/>
    <tableColumn id="4" uniqueName="4" name="TickerName" queryTableFieldId="45" dataDxfId="39" dataCellStyle="Normal 2 7"/>
    <tableColumn id="5" uniqueName="5" name="SeriesType" queryTableFieldId="46" dataDxfId="38" dataCellStyle="Normal 2 7"/>
    <tableColumn id="6" uniqueName="6" name="Category" queryTableFieldId="47" dataDxfId="37" dataCellStyle="Normal 2 7"/>
    <tableColumn id="10" uniqueName="10" name="AsOfDate" queryTableFieldId="51" dataDxfId="36" dataCellStyle="Normal 2 7"/>
    <tableColumn id="11" uniqueName="11" name="SeriesNumValue" queryTableFieldId="52" dataDxfId="35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57" dataDxfId="56">
  <tableColumns count="6">
    <tableColumn id="2" uniqueName="2" name="TickerName" queryTableFieldId="57" dataDxfId="34"/>
    <tableColumn id="3" uniqueName="3" name="Source" queryTableFieldId="58" dataDxfId="33"/>
    <tableColumn id="4" uniqueName="4" name="SeriesType" queryTableFieldId="59" dataDxfId="32"/>
    <tableColumn id="5" uniqueName="5" name="Category" queryTableFieldId="60" dataDxfId="31"/>
    <tableColumn id="6" uniqueName="6" name="AsOfDate" queryTableFieldId="61" dataDxfId="30"/>
    <tableColumn id="7" uniqueName="7" name="SeriesNumValue" queryTableFieldId="62" dataDxfId="2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55" dataDxfId="54">
  <tableColumns count="6">
    <tableColumn id="2" uniqueName="2" name="TickerName" queryTableFieldId="57" dataDxfId="28" dataCellStyle="Normal 2 7"/>
    <tableColumn id="3" uniqueName="3" name="Source" queryTableFieldId="58" dataDxfId="27" dataCellStyle="Normal 2 7"/>
    <tableColumn id="4" uniqueName="4" name="SeriesType" queryTableFieldId="59" dataDxfId="26" dataCellStyle="Normal 2 7"/>
    <tableColumn id="5" uniqueName="5" name="Category" queryTableFieldId="60" dataDxfId="25" dataCellStyle="Normal 2 7"/>
    <tableColumn id="6" uniqueName="6" name="AsOfDate" queryTableFieldId="61" dataDxfId="24" dataCellStyle="Normal 2 7"/>
    <tableColumn id="7" uniqueName="7" name="SeriesNumValue" queryTableFieldId="62" dataDxfId="23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53" dataDxfId="52">
  <tableColumns count="3">
    <tableColumn id="2" uniqueName="2" name="TickerName" queryTableFieldId="57" dataDxfId="16" dataCellStyle="Normal 2 7"/>
    <tableColumn id="6" uniqueName="6" name="AsOfDate" queryTableFieldId="61" dataDxfId="15" dataCellStyle="Normal 2 7"/>
    <tableColumn id="7" uniqueName="7" name="SeriesNumValue" queryTableFieldId="62" dataDxfId="14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1623" tableType="queryTable" totalsRowShown="0" headerRowDxfId="51" dataDxfId="50">
  <tableColumns count="6">
    <tableColumn id="2" uniqueName="2" name="TickerName" queryTableFieldId="57" dataDxfId="13" dataCellStyle="Normal 2 7"/>
    <tableColumn id="3" uniqueName="3" name="Source" queryTableFieldId="58" dataDxfId="12" dataCellStyle="Normal 2 7"/>
    <tableColumn id="4" uniqueName="4" name="SeriesType" queryTableFieldId="59" dataDxfId="11" dataCellStyle="Normal 2 7"/>
    <tableColumn id="5" uniqueName="5" name="Category" queryTableFieldId="60" dataDxfId="10" dataCellStyle="Normal 2 7"/>
    <tableColumn id="6" uniqueName="6" name="AsOfDate" queryTableFieldId="61" dataDxfId="9" dataCellStyle="Normal 2 7"/>
    <tableColumn id="7" uniqueName="7" name="SeriesNumValue" queryTableFieldId="62" dataDxfId="8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10" name="OneWeekMtgRatesDataTable911" displayName="OneWeekMtgRatesDataTable911" ref="AJ6:AO1162" tableType="queryTable" totalsRowShown="0" headerRowDxfId="49" dataDxfId="48">
  <tableColumns count="6">
    <tableColumn id="2" uniqueName="2" name="TickerName" queryTableFieldId="57" dataDxfId="6" dataCellStyle="Normal 2 7"/>
    <tableColumn id="3" uniqueName="3" name="Source" queryTableFieldId="58" dataDxfId="5" dataCellStyle="Normal 2 7"/>
    <tableColumn id="4" uniqueName="4" name="SeriesType" queryTableFieldId="59" dataDxfId="4" dataCellStyle="Normal 2 7"/>
    <tableColumn id="5" uniqueName="5" name="Category" queryTableFieldId="60" dataDxfId="3" dataCellStyle="Normal 2 7"/>
    <tableColumn id="6" uniqueName="6" name="AsOfDate" queryTableFieldId="61" dataDxfId="2" dataCellStyle="Normal 2 7"/>
    <tableColumn id="7" uniqueName="7" name="SeriesNumValue" queryTableFieldId="62" dataDxfId="1" dataCellStyle="Normal 2 7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7" name="OneWeekMtgRatesDataTable8" displayName="OneWeekMtgRatesDataTable8" ref="AR6:AW39" tableType="queryTable" totalsRowShown="0" headerRowDxfId="47" dataDxfId="46">
  <tableColumns count="6">
    <tableColumn id="2" uniqueName="2" name="TickerName" queryTableFieldId="57" dataDxfId="22" dataCellStyle="Normal 2 7"/>
    <tableColumn id="3" uniqueName="3" name="Source" queryTableFieldId="58" dataDxfId="21" dataCellStyle="Normal 2 7"/>
    <tableColumn id="4" uniqueName="4" name="SeriesType" queryTableFieldId="59" dataDxfId="20" dataCellStyle="Normal 2 7"/>
    <tableColumn id="5" uniqueName="5" name="Category" queryTableFieldId="60" dataDxfId="19" dataCellStyle="Normal 2 7"/>
    <tableColumn id="6" uniqueName="6" name="AsOfDate" queryTableFieldId="61" dataDxfId="18" dataCellStyle="Normal 2 7"/>
    <tableColumn id="7" uniqueName="7" name="SeriesNumValue" queryTableFieldId="62" dataDxfId="17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quickenloans.com/home-loans/30-year-fixed" TargetMode="External"/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hyperlink" Target="https://www.wellsfargo.com/mortgage/rates/refinance-assumptions/" TargetMode="Externa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hyperlink" Target="https://www.chase.com/mortgage/refinance-rate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://loans.bankofamerica.com/en/tools/todays-rates.html?rateType=refinance&amp;stateCode=CA&amp;update_rates_btn=Update+rates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://www.quickenloans.com/home-loans/30-year-fixed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A75"/>
  <sheetViews>
    <sheetView showGridLines="0" tabSelected="1" zoomScaleNormal="100" workbookViewId="0">
      <selection activeCell="Y42" sqref="Y42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1" width="10.42578125" style="1" customWidth="1"/>
    <col min="12" max="12" width="10.42578125" customWidth="1"/>
    <col min="13" max="13" width="10.42578125" style="1" customWidth="1"/>
    <col min="14" max="16" width="10.42578125" customWidth="1"/>
    <col min="17" max="17" width="9.5703125" style="1" customWidth="1"/>
    <col min="18" max="21" width="10.42578125" style="1" customWidth="1"/>
    <col min="22" max="22" width="7.7109375" customWidth="1"/>
    <col min="24" max="24" width="14.140625" customWidth="1"/>
    <col min="25" max="25" width="17.42578125" customWidth="1"/>
    <col min="26" max="26" width="14.85546875" bestFit="1" customWidth="1"/>
  </cols>
  <sheetData>
    <row r="1" spans="3:27">
      <c r="X1" s="71" t="s">
        <v>57</v>
      </c>
      <c r="Y1" s="126" t="s">
        <v>76</v>
      </c>
      <c r="Z1" t="s">
        <v>75</v>
      </c>
      <c r="AA1" s="72" t="s">
        <v>92</v>
      </c>
    </row>
    <row r="2" spans="3:27">
      <c r="X2" s="71" t="s">
        <v>58</v>
      </c>
      <c r="Y2" s="73">
        <v>42402</v>
      </c>
    </row>
    <row r="3" spans="3:27" s="1" customFormat="1">
      <c r="X3" s="71" t="s">
        <v>93</v>
      </c>
      <c r="Y3" s="126" t="s">
        <v>94</v>
      </c>
    </row>
    <row r="4" spans="3:27" s="1" customFormat="1">
      <c r="X4" s="71" t="s">
        <v>68</v>
      </c>
      <c r="Y4" s="126" t="str">
        <f>PDFReportDir &amp; "\Daily Originator Mortgage Rate Report " &amp; TEXT(CurrentCloseDate, "yyyy-mm-dd") &amp; ".pdf"</f>
        <v>S:\IT\Production\Daily Reports\Primary Market\tmp\\Daily Originator Mortgage Rate Report 2016-02-02.pdf</v>
      </c>
    </row>
    <row r="5" spans="3:27" s="1" customFormat="1">
      <c r="X5" s="41"/>
    </row>
    <row r="6" spans="3:27" s="1" customFormat="1">
      <c r="X6" s="41"/>
    </row>
    <row r="7" spans="3:27">
      <c r="Y7" s="1"/>
    </row>
    <row r="8" spans="3:27">
      <c r="C8" s="74" t="s">
        <v>95</v>
      </c>
    </row>
    <row r="9" spans="3:27" s="43" customFormat="1" ht="30.75" customHeight="1">
      <c r="C9" s="151" t="s">
        <v>16</v>
      </c>
      <c r="D9" s="186" t="s">
        <v>30</v>
      </c>
      <c r="E9" s="187"/>
      <c r="F9" s="187"/>
      <c r="G9" s="187" t="s">
        <v>0</v>
      </c>
      <c r="H9" s="187"/>
      <c r="I9" s="190"/>
      <c r="J9" s="152" t="s">
        <v>29</v>
      </c>
      <c r="K9" s="152" t="s">
        <v>9</v>
      </c>
      <c r="L9" s="152" t="s">
        <v>117</v>
      </c>
      <c r="M9" s="153" t="s">
        <v>115</v>
      </c>
      <c r="N9" s="152" t="s">
        <v>116</v>
      </c>
      <c r="O9" s="154" t="s">
        <v>28</v>
      </c>
      <c r="P9" s="153" t="s">
        <v>122</v>
      </c>
      <c r="Q9" s="152" t="s">
        <v>112</v>
      </c>
      <c r="R9" s="152" t="s">
        <v>121</v>
      </c>
      <c r="S9" s="152" t="s">
        <v>114</v>
      </c>
      <c r="T9" s="152" t="s">
        <v>120</v>
      </c>
      <c r="U9" s="154" t="s">
        <v>113</v>
      </c>
    </row>
    <row r="10" spans="3:27" s="84" customFormat="1" ht="18" customHeight="1">
      <c r="C10" s="118" t="s">
        <v>17</v>
      </c>
      <c r="D10" s="188">
        <f>'BoA - Conventional'!C4</f>
        <v>0.04</v>
      </c>
      <c r="E10" s="189"/>
      <c r="F10" s="189"/>
      <c r="G10" s="189">
        <f>'BoA - Conventional'!C5</f>
        <v>4.1189999999999997E-2</v>
      </c>
      <c r="H10" s="189"/>
      <c r="I10" s="191"/>
      <c r="J10" s="37">
        <f>'BoA - Conventional'!F5</f>
        <v>4.1199999999999995E-3</v>
      </c>
      <c r="K10" s="37">
        <f>'BoA - Conventional'!F6</f>
        <v>1.0098232034171498E-2</v>
      </c>
      <c r="L10" s="37">
        <f>'BoA - Conventional'!F7</f>
        <v>1.4218232034171496E-2</v>
      </c>
      <c r="M10" s="142">
        <f>N10-0.25%</f>
        <v>3.855455800854287E-2</v>
      </c>
      <c r="N10" s="144">
        <f>'BoA - Conventional'!I4</f>
        <v>4.1054558008542873E-2</v>
      </c>
      <c r="O10" s="143">
        <f>N10-D$24</f>
        <v>1.4881669876185572E-2</v>
      </c>
      <c r="P10" s="47">
        <f>(N10-'Historic Result'!C5)*100*100</f>
        <v>-8.8424834847780627</v>
      </c>
      <c r="Q10" s="36">
        <f>(O10-'Historic Result'!D5)*100*100</f>
        <v>0.25611096099092262</v>
      </c>
      <c r="R10" s="36">
        <f>(N10-'Historic Result'!E5)*100*100</f>
        <v>-9.7241333695474719</v>
      </c>
      <c r="S10" s="36">
        <f>(O10-'Historic Result'!F5)*100*100</f>
        <v>1.715313212674527</v>
      </c>
      <c r="T10" s="36" t="e">
        <f>(N10-'Historic Result'!G5)*100*100</f>
        <v>#N/A</v>
      </c>
      <c r="U10" s="44" t="e">
        <f>(O10-'Historic Result'!H5)*100*100</f>
        <v>#N/A</v>
      </c>
    </row>
    <row r="11" spans="3:27" s="84" customFormat="1" ht="18" customHeight="1">
      <c r="C11" s="118" t="s">
        <v>18</v>
      </c>
      <c r="D11" s="188">
        <f>'Chase - Conventional'!C4</f>
        <v>3.7499999999999999E-2</v>
      </c>
      <c r="E11" s="189"/>
      <c r="F11" s="189"/>
      <c r="G11" s="189">
        <f>'Chase - Conventional'!C5</f>
        <v>3.8530000000000002E-2</v>
      </c>
      <c r="H11" s="189"/>
      <c r="I11" s="191"/>
      <c r="J11" s="37" t="s">
        <v>2</v>
      </c>
      <c r="K11" s="37" t="s">
        <v>2</v>
      </c>
      <c r="L11" s="37">
        <f>'Chase - Conventional'!F7</f>
        <v>1.2503706471840736E-2</v>
      </c>
      <c r="M11" s="142">
        <f t="shared" ref="M11:M13" si="0">N11-0.25%</f>
        <v>3.5625926617960178E-2</v>
      </c>
      <c r="N11" s="144">
        <f>'Chase - Conventional'!I4</f>
        <v>3.8125926617960181E-2</v>
      </c>
      <c r="O11" s="143">
        <f>N11-D$24</f>
        <v>1.195303848560288E-2</v>
      </c>
      <c r="P11" s="47">
        <f>(N11-'Historic Result'!C6)*100*100</f>
        <v>0</v>
      </c>
      <c r="Q11" s="36">
        <f>(O11-'Historic Result'!D6)*100*100</f>
        <v>9.0985944457689865</v>
      </c>
      <c r="R11" s="36">
        <f>(N11-'Historic Result'!E6)*100*100</f>
        <v>-9.2870220115306985</v>
      </c>
      <c r="S11" s="36">
        <f>(O11-'Historic Result'!F6)*100*100</f>
        <v>2.1524245706913172</v>
      </c>
      <c r="T11" s="36" t="e">
        <f>(N11-'Historic Result'!G6)*100*100</f>
        <v>#N/A</v>
      </c>
      <c r="U11" s="44" t="e">
        <f>(O11-'Historic Result'!H6)*100*100</f>
        <v>#N/A</v>
      </c>
    </row>
    <row r="12" spans="3:27" s="84" customFormat="1" ht="18" customHeight="1">
      <c r="C12" s="118" t="s">
        <v>19</v>
      </c>
      <c r="D12" s="188">
        <f>'Quicken - Conventional'!C4</f>
        <v>3.7499999999999999E-2</v>
      </c>
      <c r="E12" s="189"/>
      <c r="F12" s="189"/>
      <c r="G12" s="189">
        <f>'Quicken - Conventional'!C5</f>
        <v>3.9789999999999999E-2</v>
      </c>
      <c r="H12" s="189"/>
      <c r="I12" s="191"/>
      <c r="J12" s="37">
        <f>'Quicken - Conventional'!F5</f>
        <v>1.7500000000000002E-2</v>
      </c>
      <c r="K12" s="37">
        <f>'Quicken - Conventional'!F6</f>
        <v>9.9877625131711972E-3</v>
      </c>
      <c r="L12" s="37">
        <f>'Quicken - Conventional'!F7</f>
        <v>2.7487762513171199E-2</v>
      </c>
      <c r="M12" s="142">
        <f t="shared" si="0"/>
        <v>3.9371940628292794E-2</v>
      </c>
      <c r="N12" s="144">
        <f>'Quicken - Conventional'!I4</f>
        <v>4.1871940628292796E-2</v>
      </c>
      <c r="O12" s="143">
        <f>N12-D$24</f>
        <v>1.5699052495935496E-2</v>
      </c>
      <c r="P12" s="47">
        <f>(N12-'Historic Result'!C7)*100*100</f>
        <v>0</v>
      </c>
      <c r="Q12" s="36">
        <f>(O12-'Historic Result'!D7)*100*100</f>
        <v>9.0985944457689865</v>
      </c>
      <c r="R12" s="36">
        <f>(N12-'Historic Result'!E7)*100*100</f>
        <v>-9.3796183684358159</v>
      </c>
      <c r="S12" s="36">
        <f>(O12-'Historic Result'!F7)*100*100</f>
        <v>2.0598282137862003</v>
      </c>
      <c r="T12" s="36" t="e">
        <f>(N12-'Historic Result'!G7)*100*100</f>
        <v>#N/A</v>
      </c>
      <c r="U12" s="44" t="e">
        <f>(O12-'Historic Result'!H7)*100*100</f>
        <v>#N/A</v>
      </c>
    </row>
    <row r="13" spans="3:27" s="84" customFormat="1" ht="18" customHeight="1">
      <c r="C13" s="83" t="s">
        <v>20</v>
      </c>
      <c r="D13" s="188">
        <f>CIR</f>
        <v>0.04</v>
      </c>
      <c r="E13" s="189"/>
      <c r="F13" s="189"/>
      <c r="G13" s="189">
        <f>CAPR</f>
        <v>4.0510000000000004E-2</v>
      </c>
      <c r="H13" s="189"/>
      <c r="I13" s="191"/>
      <c r="J13" s="37">
        <f>'Wells - Conventional'!F6</f>
        <v>6.1305839119375483E-3</v>
      </c>
      <c r="K13" s="37">
        <f>'Wells - Conventional'!F8</f>
        <v>1.5855000000000001E-2</v>
      </c>
      <c r="L13" s="37">
        <f>'Wells - Conventional'!F9</f>
        <v>2.1985583911937549E-2</v>
      </c>
      <c r="M13" s="142">
        <f t="shared" si="0"/>
        <v>4.0496395977984385E-2</v>
      </c>
      <c r="N13" s="144">
        <f>'Wells - Conventional'!I4</f>
        <v>4.2996395977984388E-2</v>
      </c>
      <c r="O13" s="143">
        <f>N13-D$24</f>
        <v>1.6823507845627087E-2</v>
      </c>
      <c r="P13" s="47">
        <f>(N13-'Historic Result'!C8)*100*100</f>
        <v>6.418888031551953</v>
      </c>
      <c r="Q13" s="36">
        <f>(O13-'Historic Result'!D8)*100*100</f>
        <v>15.517482477320938</v>
      </c>
      <c r="R13" s="36">
        <f>(N13-'Historic Result'!E8)*100*100</f>
        <v>-11.909816338506671</v>
      </c>
      <c r="S13" s="36">
        <f>(O13-'Historic Result'!F8)*100*100</f>
        <v>-0.47036975628467204</v>
      </c>
      <c r="T13" s="36" t="e">
        <f>(N13-'Historic Result'!G8)*100*100</f>
        <v>#N/A</v>
      </c>
      <c r="U13" s="44" t="e">
        <f>(O13-'Historic Result'!H8)*100*100</f>
        <v>#N/A</v>
      </c>
    </row>
    <row r="14" spans="3:27" s="84" customFormat="1" ht="18" customHeight="1">
      <c r="C14" s="85" t="s">
        <v>21</v>
      </c>
      <c r="D14" s="176">
        <f>AVERAGE(D10:D13)</f>
        <v>3.875E-2</v>
      </c>
      <c r="E14" s="174"/>
      <c r="F14" s="174"/>
      <c r="G14" s="174">
        <f>AVERAGE(G10:I13)</f>
        <v>4.0004999999999999E-2</v>
      </c>
      <c r="H14" s="174"/>
      <c r="I14" s="175"/>
      <c r="J14" s="58">
        <f>AVERAGE(J10,J12:J13)</f>
        <v>9.2501946373125168E-3</v>
      </c>
      <c r="K14" s="58">
        <f>AVERAGE(K10,K12:K13)</f>
        <v>1.1980331515780899E-2</v>
      </c>
      <c r="L14" s="58">
        <f>AVERAGE(L10,L12:L13)</f>
        <v>2.1230526153093416E-2</v>
      </c>
      <c r="M14" s="133">
        <f t="shared" ref="M14:N14" si="1">AVERAGE(M10:M13)</f>
        <v>3.8512205308195054E-2</v>
      </c>
      <c r="N14" s="131">
        <f t="shared" si="1"/>
        <v>4.1012205308195056E-2</v>
      </c>
      <c r="O14" s="132">
        <f>N14-D$24</f>
        <v>1.4839317175837755E-2</v>
      </c>
      <c r="P14" s="59">
        <f>AVERAGE(P10:P13)</f>
        <v>-0.60589886330652742</v>
      </c>
      <c r="Q14" s="60">
        <f>AVERAGE(Q10:Q13)</f>
        <v>8.4926955824624581</v>
      </c>
      <c r="R14" s="60">
        <f t="shared" ref="R14:U14" si="2">AVERAGE(R10:R13)</f>
        <v>-10.075147522005164</v>
      </c>
      <c r="S14" s="60">
        <f t="shared" si="2"/>
        <v>1.364299060216843</v>
      </c>
      <c r="T14" s="60" t="e">
        <f t="shared" si="2"/>
        <v>#N/A</v>
      </c>
      <c r="U14" s="61" t="e">
        <f t="shared" si="2"/>
        <v>#N/A</v>
      </c>
    </row>
    <row r="15" spans="3:27" s="84" customFormat="1" ht="18" customHeight="1">
      <c r="C15" s="80" t="s">
        <v>31</v>
      </c>
      <c r="D15" s="177" t="s">
        <v>30</v>
      </c>
      <c r="E15" s="178"/>
      <c r="F15" s="178"/>
      <c r="G15" s="178" t="s">
        <v>0</v>
      </c>
      <c r="H15" s="178"/>
      <c r="I15" s="183"/>
      <c r="J15" s="70"/>
      <c r="K15" s="70"/>
      <c r="L15" s="70"/>
      <c r="M15" s="134"/>
      <c r="N15" s="135"/>
      <c r="O15" s="139"/>
      <c r="P15" s="69"/>
      <c r="Q15" s="70"/>
      <c r="R15" s="149"/>
      <c r="S15" s="149"/>
      <c r="T15" s="149"/>
      <c r="U15" s="150"/>
    </row>
    <row r="16" spans="3:27" s="84" customFormat="1" ht="18" customHeight="1">
      <c r="C16" s="86" t="s">
        <v>20</v>
      </c>
      <c r="D16" s="179">
        <f>'Wells - Jumbo conformin'!C4</f>
        <v>0.04</v>
      </c>
      <c r="E16" s="180"/>
      <c r="F16" s="180"/>
      <c r="G16" s="180">
        <f>'Wells - Jumbo conformin'!C5</f>
        <v>4.018E-2</v>
      </c>
      <c r="H16" s="180"/>
      <c r="I16" s="184"/>
      <c r="J16" s="62">
        <f>'Wells - Jumbo conformin'!F5</f>
        <v>2.170127636594632E-3</v>
      </c>
      <c r="K16" s="62">
        <f>'Wells - Jumbo conformin'!F6</f>
        <v>7.6280000000000002E-3</v>
      </c>
      <c r="L16" s="62">
        <f>'Wells - Jumbo conformin'!F7</f>
        <v>9.7981276365946314E-3</v>
      </c>
      <c r="M16" s="136">
        <f t="shared" ref="M16" si="3">N16-0.25%</f>
        <v>3.7449531909148653E-2</v>
      </c>
      <c r="N16" s="145">
        <f>'Wells - Jumbo conformin'!I4</f>
        <v>3.9949531909148656E-2</v>
      </c>
      <c r="O16" s="140">
        <f>N16-D$24</f>
        <v>1.3776643776791355E-2</v>
      </c>
      <c r="P16" s="63">
        <f>(N16-'Historic Result'!C10)*100*100</f>
        <v>0</v>
      </c>
      <c r="Q16" s="64">
        <f>(O16-'Historic Result'!D10)*100*100</f>
        <v>9.0985944457689865</v>
      </c>
      <c r="R16" s="64">
        <f>(N16-'Historic Result'!E10)*100*100</f>
        <v>-1.1231066720143734</v>
      </c>
      <c r="S16" s="64">
        <f>(O16-'Historic Result'!F10)*100*100</f>
        <v>10.316339910207608</v>
      </c>
      <c r="T16" s="64" t="e">
        <f>(N16-'Historic Result'!G10)*100*100</f>
        <v>#N/A</v>
      </c>
      <c r="U16" s="65" t="e">
        <f>(O16-'Historic Result'!H10)*100*100</f>
        <v>#N/A</v>
      </c>
    </row>
    <row r="17" spans="3:21" s="84" customFormat="1" ht="18" customHeight="1">
      <c r="C17" s="81" t="s">
        <v>32</v>
      </c>
      <c r="D17" s="181" t="s">
        <v>30</v>
      </c>
      <c r="E17" s="182"/>
      <c r="F17" s="182"/>
      <c r="G17" s="182" t="s">
        <v>0</v>
      </c>
      <c r="H17" s="182"/>
      <c r="I17" s="185"/>
      <c r="J17" s="49"/>
      <c r="K17" s="49"/>
      <c r="L17" s="49"/>
      <c r="M17" s="137"/>
      <c r="N17" s="138"/>
      <c r="O17" s="141"/>
      <c r="P17" s="50"/>
      <c r="Q17" s="51"/>
      <c r="R17" s="51"/>
      <c r="S17" s="51"/>
      <c r="T17" s="51"/>
      <c r="U17" s="52"/>
    </row>
    <row r="18" spans="3:21" s="84" customFormat="1" ht="18" customHeight="1">
      <c r="C18" s="86" t="s">
        <v>20</v>
      </c>
      <c r="D18" s="179">
        <f>'Wells - Jumbo Non-conforming'!C4</f>
        <v>3.875E-2</v>
      </c>
      <c r="E18" s="180"/>
      <c r="F18" s="180"/>
      <c r="G18" s="180">
        <f>'Wells - Jumbo Non-conforming'!C5</f>
        <v>3.882E-2</v>
      </c>
      <c r="H18" s="180"/>
      <c r="I18" s="184"/>
      <c r="J18" s="62">
        <f>'Wells - Jumbo Non-conforming'!F5</f>
        <v>8.5094182832246013E-4</v>
      </c>
      <c r="K18" s="62">
        <f>'Wells - Jumbo Non-conforming'!F6</f>
        <v>2.7173333333333333E-3</v>
      </c>
      <c r="L18" s="62">
        <f>'Wells - Jumbo Non-conforming'!F7</f>
        <v>3.5682751616557934E-3</v>
      </c>
      <c r="M18" s="136">
        <f t="shared" ref="M18" si="4">N18-0.25%</f>
        <v>3.4642068790413948E-2</v>
      </c>
      <c r="N18" s="145">
        <f>'Wells - Jumbo Non-conforming'!I4</f>
        <v>3.714206879041395E-2</v>
      </c>
      <c r="O18" s="140">
        <f>N18-D$24</f>
        <v>1.0969180658056649E-2</v>
      </c>
      <c r="P18" s="63">
        <f>(N18-'Historic Result'!C12)*100*100</f>
        <v>-3.1266666666666247</v>
      </c>
      <c r="Q18" s="64">
        <f>(O18-'Historic Result'!D12)*100*100</f>
        <v>5.9719277791023613</v>
      </c>
      <c r="R18" s="64">
        <f>(N18-'Historic Result'!E12)*100*100</f>
        <v>-3.0433333333333006</v>
      </c>
      <c r="S18" s="64">
        <f>(O18-'Historic Result'!F12)*100*100</f>
        <v>8.3961132488886818</v>
      </c>
      <c r="T18" s="64" t="e">
        <f>(N18-'Historic Result'!G12)*100*100</f>
        <v>#N/A</v>
      </c>
      <c r="U18" s="65" t="e">
        <f>(O18-'Historic Result'!H12)*100*100</f>
        <v>#N/A</v>
      </c>
    </row>
    <row r="19" spans="3:21" s="84" customFormat="1" ht="18" customHeight="1">
      <c r="C19" s="82" t="s">
        <v>33</v>
      </c>
      <c r="D19" s="171" t="s">
        <v>30</v>
      </c>
      <c r="E19" s="172"/>
      <c r="F19" s="169" t="s">
        <v>34</v>
      </c>
      <c r="G19" s="169"/>
      <c r="H19" s="169" t="s">
        <v>35</v>
      </c>
      <c r="I19" s="170"/>
      <c r="J19" s="53"/>
      <c r="K19" s="53"/>
      <c r="L19" s="53"/>
      <c r="M19" s="129"/>
      <c r="N19" s="130"/>
      <c r="O19" s="54"/>
      <c r="P19" s="55"/>
      <c r="Q19" s="56"/>
      <c r="R19" s="56"/>
      <c r="S19" s="56"/>
      <c r="T19" s="56"/>
      <c r="U19" s="57"/>
    </row>
    <row r="20" spans="3:21" s="84" customFormat="1" ht="18" customHeight="1">
      <c r="C20" s="87" t="s">
        <v>20</v>
      </c>
      <c r="D20" s="167">
        <f>'Wells - FHA'!C4</f>
        <v>3.875E-2</v>
      </c>
      <c r="E20" s="168"/>
      <c r="F20" s="168">
        <f>'Wells - FHA'!F4</f>
        <v>1.7500000000000002E-2</v>
      </c>
      <c r="G20" s="168"/>
      <c r="H20" s="168">
        <v>8.5000000000000006E-3</v>
      </c>
      <c r="I20" s="173"/>
      <c r="J20" s="68">
        <f>'Wells - FHA'!F5</f>
        <v>0</v>
      </c>
      <c r="K20" s="68">
        <f>'Wells - FHA'!F6</f>
        <v>1.8775E-2</v>
      </c>
      <c r="L20" s="68">
        <f>'Wells - FHA'!F7</f>
        <v>1.8775E-2</v>
      </c>
      <c r="M20" s="127">
        <f t="shared" ref="M20" si="5">N20-0.25%</f>
        <v>3.8443749999999999E-2</v>
      </c>
      <c r="N20" s="146">
        <f>'Wells - FHA'!I4</f>
        <v>4.0943750000000001E-2</v>
      </c>
      <c r="O20" s="128">
        <f>N20-D25</f>
        <v>1.59460357417457E-2</v>
      </c>
      <c r="P20" s="48">
        <f>(N20-'Historic Result'!C14)*100*100</f>
        <v>0</v>
      </c>
      <c r="Q20" s="45">
        <f>(O20-'Historic Result'!D14)*100*100</f>
        <v>6.903200135073007</v>
      </c>
      <c r="R20" s="45">
        <f>(N20-'Historic Result'!E14)*100*100</f>
        <v>-3.1749999999999834</v>
      </c>
      <c r="S20" s="45">
        <f>(O20-'Historic Result'!F14)*100*100</f>
        <v>6.0022023589999947</v>
      </c>
      <c r="T20" s="45" t="e">
        <f>(N20-'Historic Result'!G14)*100*100</f>
        <v>#N/A</v>
      </c>
      <c r="U20" s="46" t="e">
        <f>(O20-'Historic Result'!H14)*100*100</f>
        <v>#N/A</v>
      </c>
    </row>
    <row r="21" spans="3:21" ht="13.5" customHeight="1">
      <c r="Q21" s="123" t="s">
        <v>85</v>
      </c>
    </row>
    <row r="22" spans="3:21" ht="13.5" customHeight="1">
      <c r="C22" s="74" t="s">
        <v>23</v>
      </c>
      <c r="D22" s="3"/>
      <c r="E22" s="3"/>
      <c r="F22" s="3"/>
      <c r="G22" s="3"/>
      <c r="H22" s="3"/>
      <c r="I22"/>
      <c r="J22"/>
      <c r="K22"/>
      <c r="P22" s="1"/>
    </row>
    <row r="23" spans="3:21" ht="18" customHeight="1">
      <c r="C23" s="88" t="s">
        <v>24</v>
      </c>
      <c r="D23" s="158" t="s">
        <v>25</v>
      </c>
      <c r="E23" s="159"/>
      <c r="F23" s="160"/>
      <c r="G23"/>
      <c r="H23"/>
      <c r="P23" s="1"/>
    </row>
    <row r="24" spans="3:21" ht="18" customHeight="1">
      <c r="C24" s="66" t="s">
        <v>26</v>
      </c>
      <c r="D24" s="161">
        <f>VLOOKUP(C24,'Time Series Query'!X12:Z13,3,0)</f>
        <v>2.6172888132357301E-2</v>
      </c>
      <c r="E24" s="162"/>
      <c r="F24" s="163"/>
      <c r="G24" s="27"/>
      <c r="H24" s="27"/>
      <c r="P24" s="1"/>
    </row>
    <row r="25" spans="3:21" ht="18" customHeight="1">
      <c r="C25" s="67" t="s">
        <v>27</v>
      </c>
      <c r="D25" s="164">
        <f>VLOOKUP(C25,'Time Series Query'!X13:Z14,3,0)</f>
        <v>2.4997714258254301E-2</v>
      </c>
      <c r="E25" s="165"/>
      <c r="F25" s="166"/>
      <c r="G25" s="27"/>
      <c r="H25" s="27"/>
      <c r="P25" s="1"/>
    </row>
    <row r="72" spans="18:21">
      <c r="R72" s="121" t="s">
        <v>84</v>
      </c>
      <c r="S72" s="120" t="s">
        <v>17</v>
      </c>
      <c r="T72" s="121" t="s">
        <v>84</v>
      </c>
      <c r="U72" s="120" t="s">
        <v>17</v>
      </c>
    </row>
    <row r="73" spans="18:21">
      <c r="R73" s="119"/>
      <c r="S73" s="120" t="s">
        <v>18</v>
      </c>
      <c r="T73" s="119"/>
      <c r="U73" s="120" t="s">
        <v>18</v>
      </c>
    </row>
    <row r="74" spans="18:21">
      <c r="R74" s="119"/>
      <c r="S74" s="120" t="s">
        <v>19</v>
      </c>
      <c r="T74" s="119"/>
      <c r="U74" s="120" t="s">
        <v>19</v>
      </c>
    </row>
    <row r="75" spans="18:21">
      <c r="R75" s="119"/>
      <c r="S75" s="122" t="s">
        <v>20</v>
      </c>
      <c r="T75" s="119"/>
      <c r="U75" s="122" t="s">
        <v>20</v>
      </c>
    </row>
  </sheetData>
  <mergeCells count="29">
    <mergeCell ref="G9:I9"/>
    <mergeCell ref="G10:I10"/>
    <mergeCell ref="G11:I11"/>
    <mergeCell ref="G12:I12"/>
    <mergeCell ref="G13:I13"/>
    <mergeCell ref="D9:F9"/>
    <mergeCell ref="D10:F10"/>
    <mergeCell ref="D11:F11"/>
    <mergeCell ref="D12:F12"/>
    <mergeCell ref="D13:F13"/>
    <mergeCell ref="H19:I19"/>
    <mergeCell ref="F19:G19"/>
    <mergeCell ref="D19:E19"/>
    <mergeCell ref="H20:I20"/>
    <mergeCell ref="G14:I14"/>
    <mergeCell ref="D14:F14"/>
    <mergeCell ref="D15:F15"/>
    <mergeCell ref="D16:F16"/>
    <mergeCell ref="D17:F17"/>
    <mergeCell ref="D18:F18"/>
    <mergeCell ref="G15:I15"/>
    <mergeCell ref="G16:I16"/>
    <mergeCell ref="G17:I17"/>
    <mergeCell ref="G18:I18"/>
    <mergeCell ref="D23:F23"/>
    <mergeCell ref="D24:F24"/>
    <mergeCell ref="D25:F25"/>
    <mergeCell ref="D20:E20"/>
    <mergeCell ref="F20:G20"/>
  </mergeCells>
  <conditionalFormatting sqref="P10:U20">
    <cfRule type="cellIs" dxfId="7" priority="1" operator="lessThan">
      <formula>0</formula>
    </cfRule>
  </conditionalFormatting>
  <dataValidations disablePrompts="1" count="2">
    <dataValidation type="list" allowBlank="1" showInputMessage="1" showErrorMessage="1" sqref="Y1">
      <formula1>"PROD, DEV"</formula1>
    </dataValidation>
    <dataValidation type="list" allowBlank="1" showInputMessage="1" showErrorMessage="1" sqref="AA1">
      <formula1>"Yes, No"</formula1>
    </dataValidation>
  </dataValidations>
  <hyperlinks>
    <hyperlink ref="S72" r:id="rId1" location="closeModal"/>
    <hyperlink ref="S73" r:id="rId2"/>
    <hyperlink ref="S75" r:id="rId3"/>
    <hyperlink ref="S74" r:id="rId4" location="key-benefits"/>
    <hyperlink ref="U72" r:id="rId5" location="closeModal"/>
    <hyperlink ref="U73" r:id="rId6"/>
    <hyperlink ref="U75" r:id="rId7"/>
    <hyperlink ref="U74" r:id="rId8" location="key-benefits"/>
  </hyperlinks>
  <pageMargins left="0.25" right="0.25" top="0.255" bottom="0.25" header="0.1" footer="0.1"/>
  <pageSetup scale="66" orientation="landscape" horizontalDpi="1200" verticalDpi="1200" r:id="rId9"/>
  <headerFooter scaleWithDoc="0">
    <oddHeader>&amp;L&amp;G&amp;C&amp;"-,Bold"&amp;10&amp;K2E398A
&amp;15Daily Originator Mortgage Rates&amp;R&amp;"-,Bold"&amp;10&amp;K2E398A
As of 02/02/2016</oddHeader>
    <oddFooter>&amp;L&amp;10&amp;K2E398AReport created on &amp;D &amp;T&amp;C&amp;G
&amp;8&amp;K2E398APage &amp;P of &amp;N</oddFooter>
  </headerFooter>
  <colBreaks count="1" manualBreakCount="1">
    <brk id="22" max="1048575" man="1"/>
  </colBreaks>
  <drawing r:id="rId10"/>
  <legacyDrawingHF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W1723"/>
  <sheetViews>
    <sheetView topLeftCell="Y1111" workbookViewId="0">
      <selection activeCell="AN1140" sqref="AN1140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40" width="12" style="38" bestFit="1" customWidth="1"/>
    <col min="41" max="41" width="8" style="38" bestFit="1" customWidth="1"/>
    <col min="42" max="42" width="12" style="38" bestFit="1" customWidth="1"/>
    <col min="43" max="43" width="5.7109375" style="38" bestFit="1" customWidth="1"/>
    <col min="44" max="49" width="13.85546875" style="38" customWidth="1"/>
    <col min="50" max="50" width="14.7109375" style="38" bestFit="1" customWidth="1"/>
    <col min="51" max="51" width="16" style="38" bestFit="1" customWidth="1"/>
    <col min="52" max="52" width="17.5703125" style="38" bestFit="1" customWidth="1"/>
    <col min="53" max="53" width="12.140625" style="38" bestFit="1" customWidth="1"/>
    <col min="54" max="54" width="8.5703125" style="38" bestFit="1" customWidth="1"/>
    <col min="55" max="55" width="15.28515625" style="38" customWidth="1"/>
    <col min="56" max="56" width="11.7109375" style="38" bestFit="1" customWidth="1"/>
    <col min="57" max="57" width="10.28515625" style="38" bestFit="1" customWidth="1"/>
    <col min="58" max="58" width="12" style="38" bestFit="1" customWidth="1"/>
    <col min="59" max="59" width="14.42578125" style="38" customWidth="1"/>
    <col min="60" max="60" width="18.5703125" style="38" bestFit="1" customWidth="1"/>
    <col min="61" max="61" width="10.7109375" style="38" bestFit="1" customWidth="1"/>
    <col min="62" max="62" width="16.42578125" style="38" bestFit="1" customWidth="1"/>
    <col min="63" max="63" width="16.140625" style="38" bestFit="1" customWidth="1"/>
    <col min="64" max="64" width="14.42578125" style="38" customWidth="1"/>
    <col min="65" max="65" width="12.28515625" style="38" customWidth="1"/>
    <col min="66" max="16384" width="9.140625" style="38"/>
  </cols>
  <sheetData>
    <row r="1" spans="1:49">
      <c r="G1" s="38" t="s">
        <v>62</v>
      </c>
      <c r="H1" s="38" t="s">
        <v>59</v>
      </c>
      <c r="O1" s="38" t="s">
        <v>61</v>
      </c>
      <c r="P1" s="38" t="s">
        <v>59</v>
      </c>
      <c r="AA1" s="38" t="s">
        <v>83</v>
      </c>
      <c r="AB1" s="38" t="s">
        <v>59</v>
      </c>
      <c r="AD1" s="38" t="s">
        <v>214</v>
      </c>
    </row>
    <row r="2" spans="1:49">
      <c r="H2" s="38" t="s">
        <v>315</v>
      </c>
      <c r="P2" s="38" t="s">
        <v>316</v>
      </c>
      <c r="AB2" s="38" t="s">
        <v>317</v>
      </c>
      <c r="AD2" s="156">
        <v>42066</v>
      </c>
    </row>
    <row r="5" spans="1:49" ht="23.25">
      <c r="A5" s="75" t="s">
        <v>63</v>
      </c>
      <c r="H5" s="75"/>
      <c r="I5" s="75" t="s">
        <v>60</v>
      </c>
      <c r="P5" s="75"/>
      <c r="Q5" s="75" t="s">
        <v>64</v>
      </c>
      <c r="R5" s="75"/>
      <c r="S5" s="75"/>
      <c r="T5" s="75"/>
      <c r="U5" s="75"/>
      <c r="V5" s="75"/>
      <c r="X5" s="75" t="s">
        <v>23</v>
      </c>
      <c r="AC5" s="75" t="s">
        <v>86</v>
      </c>
      <c r="AF5" s="75"/>
      <c r="AJ5" s="75" t="s">
        <v>87</v>
      </c>
      <c r="AM5" s="75"/>
      <c r="AR5" s="75" t="s">
        <v>118</v>
      </c>
      <c r="AS5" s="75"/>
      <c r="AT5" s="75"/>
      <c r="AU5" s="75"/>
      <c r="AV5" s="75"/>
      <c r="AW5" s="75"/>
    </row>
    <row r="6" spans="1:49" s="78" customFormat="1">
      <c r="A6" s="78" t="s">
        <v>45</v>
      </c>
      <c r="B6" s="78" t="s">
        <v>46</v>
      </c>
      <c r="C6" s="78" t="s">
        <v>47</v>
      </c>
      <c r="D6" s="78" t="s">
        <v>48</v>
      </c>
      <c r="E6" s="78" t="s">
        <v>49</v>
      </c>
      <c r="F6" s="78" t="s">
        <v>50</v>
      </c>
      <c r="I6" s="78" t="s">
        <v>46</v>
      </c>
      <c r="J6" s="78" t="s">
        <v>45</v>
      </c>
      <c r="K6" s="78" t="s">
        <v>47</v>
      </c>
      <c r="L6" s="78" t="s">
        <v>48</v>
      </c>
      <c r="M6" s="78" t="s">
        <v>49</v>
      </c>
      <c r="N6" s="78" t="s">
        <v>50</v>
      </c>
      <c r="Q6" s="78" t="s">
        <v>46</v>
      </c>
      <c r="R6" s="78" t="s">
        <v>45</v>
      </c>
      <c r="S6" s="78" t="s">
        <v>47</v>
      </c>
      <c r="T6" s="78" t="s">
        <v>48</v>
      </c>
      <c r="U6" s="78" t="s">
        <v>49</v>
      </c>
      <c r="V6" s="78" t="s">
        <v>50</v>
      </c>
      <c r="X6" s="78" t="s">
        <v>46</v>
      </c>
      <c r="Y6" s="78" t="s">
        <v>49</v>
      </c>
      <c r="Z6" s="78" t="s">
        <v>50</v>
      </c>
      <c r="AC6" s="78" t="s">
        <v>46</v>
      </c>
      <c r="AD6" s="78" t="s">
        <v>45</v>
      </c>
      <c r="AE6" s="78" t="s">
        <v>47</v>
      </c>
      <c r="AF6" s="78" t="s">
        <v>48</v>
      </c>
      <c r="AG6" s="78" t="s">
        <v>49</v>
      </c>
      <c r="AH6" s="78" t="s">
        <v>50</v>
      </c>
      <c r="AJ6" s="78" t="s">
        <v>46</v>
      </c>
      <c r="AK6" s="78" t="s">
        <v>45</v>
      </c>
      <c r="AL6" s="78" t="s">
        <v>47</v>
      </c>
      <c r="AM6" s="78" t="s">
        <v>48</v>
      </c>
      <c r="AN6" s="78" t="s">
        <v>49</v>
      </c>
      <c r="AO6" s="78" t="s">
        <v>50</v>
      </c>
      <c r="AR6" s="78" t="s">
        <v>46</v>
      </c>
      <c r="AS6" s="78" t="s">
        <v>45</v>
      </c>
      <c r="AT6" s="78" t="s">
        <v>47</v>
      </c>
      <c r="AU6" s="78" t="s">
        <v>48</v>
      </c>
      <c r="AV6" s="78" t="s">
        <v>49</v>
      </c>
      <c r="AW6" s="78" t="s">
        <v>50</v>
      </c>
    </row>
    <row r="7" spans="1:49" s="78" customFormat="1">
      <c r="A7" s="78" t="s">
        <v>17</v>
      </c>
      <c r="B7" s="78" t="s">
        <v>52</v>
      </c>
      <c r="C7" s="78" t="s">
        <v>72</v>
      </c>
      <c r="D7" s="78" t="s">
        <v>51</v>
      </c>
      <c r="E7" s="79" t="s">
        <v>318</v>
      </c>
      <c r="F7" s="78">
        <v>4.105455800854287</v>
      </c>
      <c r="I7" s="78" t="s">
        <v>52</v>
      </c>
      <c r="J7" s="78" t="s">
        <v>17</v>
      </c>
      <c r="K7" s="78" t="s">
        <v>72</v>
      </c>
      <c r="L7" s="78" t="s">
        <v>51</v>
      </c>
      <c r="M7" s="78" t="s">
        <v>315</v>
      </c>
      <c r="N7" s="78">
        <v>4.1938806357020679</v>
      </c>
      <c r="Q7" s="78" t="s">
        <v>52</v>
      </c>
      <c r="R7" s="78" t="s">
        <v>17</v>
      </c>
      <c r="S7" s="78" t="s">
        <v>72</v>
      </c>
      <c r="T7" s="78" t="s">
        <v>51</v>
      </c>
      <c r="U7" s="78" t="s">
        <v>316</v>
      </c>
      <c r="V7" s="78">
        <v>4.2026971345497621</v>
      </c>
      <c r="X7" s="78" t="s">
        <v>74</v>
      </c>
      <c r="Y7" s="78" t="s">
        <v>318</v>
      </c>
      <c r="Z7" s="78">
        <v>2.6172888132357301</v>
      </c>
      <c r="AC7" s="78" t="s">
        <v>52</v>
      </c>
      <c r="AD7" s="78" t="s">
        <v>17</v>
      </c>
      <c r="AE7" s="78" t="s">
        <v>72</v>
      </c>
      <c r="AF7" s="78" t="s">
        <v>51</v>
      </c>
      <c r="AG7" s="78" t="s">
        <v>130</v>
      </c>
      <c r="AH7" s="78">
        <v>4.2554972682965033</v>
      </c>
      <c r="AJ7" s="78" t="s">
        <v>52</v>
      </c>
      <c r="AK7" s="78" t="s">
        <v>17</v>
      </c>
      <c r="AL7" s="78" t="s">
        <v>28</v>
      </c>
      <c r="AM7" s="78" t="s">
        <v>51</v>
      </c>
      <c r="AN7" s="78" t="s">
        <v>130</v>
      </c>
      <c r="AO7" s="78">
        <v>1.4212973282672137</v>
      </c>
      <c r="AR7" s="78" t="s">
        <v>52</v>
      </c>
      <c r="AS7" s="78" t="s">
        <v>17</v>
      </c>
      <c r="AT7" s="78" t="s">
        <v>0</v>
      </c>
      <c r="AU7" s="78" t="s">
        <v>51</v>
      </c>
      <c r="AV7" s="78" t="s">
        <v>317</v>
      </c>
      <c r="AW7" s="78">
        <v>4.3920000000000003</v>
      </c>
    </row>
    <row r="8" spans="1:49" s="78" customFormat="1">
      <c r="A8" s="147" t="s">
        <v>17</v>
      </c>
      <c r="B8" s="147" t="s">
        <v>52</v>
      </c>
      <c r="C8" s="147" t="s">
        <v>0</v>
      </c>
      <c r="D8" s="147" t="s">
        <v>51</v>
      </c>
      <c r="E8" s="148" t="s">
        <v>318</v>
      </c>
      <c r="F8" s="147">
        <v>4.1189999999999998</v>
      </c>
      <c r="I8" s="76" t="s">
        <v>52</v>
      </c>
      <c r="J8" s="76" t="s">
        <v>17</v>
      </c>
      <c r="K8" s="76" t="s">
        <v>0</v>
      </c>
      <c r="L8" s="76" t="s">
        <v>51</v>
      </c>
      <c r="M8" s="76" t="s">
        <v>315</v>
      </c>
      <c r="N8" s="76">
        <v>4.149</v>
      </c>
      <c r="Q8" s="78" t="s">
        <v>52</v>
      </c>
      <c r="R8" s="78" t="s">
        <v>17</v>
      </c>
      <c r="S8" s="78" t="s">
        <v>0</v>
      </c>
      <c r="T8" s="78" t="s">
        <v>51</v>
      </c>
      <c r="U8" s="78" t="s">
        <v>316</v>
      </c>
      <c r="V8" s="78">
        <v>4.1520000000000001</v>
      </c>
      <c r="X8" s="155" t="s">
        <v>73</v>
      </c>
      <c r="Y8" s="155" t="s">
        <v>318</v>
      </c>
      <c r="Z8" s="155">
        <v>2.49977142582543</v>
      </c>
      <c r="AA8" s="115"/>
      <c r="AC8" s="78" t="s">
        <v>52</v>
      </c>
      <c r="AD8" s="78" t="s">
        <v>17</v>
      </c>
      <c r="AE8" s="78" t="s">
        <v>72</v>
      </c>
      <c r="AF8" s="78" t="s">
        <v>51</v>
      </c>
      <c r="AG8" s="78" t="s">
        <v>131</v>
      </c>
      <c r="AH8" s="78">
        <v>4.2780642423920208</v>
      </c>
      <c r="AJ8" s="78" t="s">
        <v>52</v>
      </c>
      <c r="AK8" s="78" t="s">
        <v>17</v>
      </c>
      <c r="AL8" s="78" t="s">
        <v>28</v>
      </c>
      <c r="AM8" s="78" t="s">
        <v>51</v>
      </c>
      <c r="AN8" s="78" t="s">
        <v>131</v>
      </c>
      <c r="AO8" s="78">
        <v>1.4538805196385804</v>
      </c>
      <c r="AR8" s="78" t="s">
        <v>52</v>
      </c>
      <c r="AS8" s="78" t="s">
        <v>17</v>
      </c>
      <c r="AT8" s="78" t="s">
        <v>7</v>
      </c>
      <c r="AU8" s="78" t="s">
        <v>51</v>
      </c>
      <c r="AV8" s="78" t="s">
        <v>317</v>
      </c>
      <c r="AW8" s="78">
        <v>0.51300000000000001</v>
      </c>
    </row>
    <row r="9" spans="1:49" s="78" customFormat="1">
      <c r="A9" s="147" t="s">
        <v>17</v>
      </c>
      <c r="B9" s="147" t="s">
        <v>52</v>
      </c>
      <c r="C9" s="147" t="s">
        <v>7</v>
      </c>
      <c r="D9" s="147" t="s">
        <v>51</v>
      </c>
      <c r="E9" s="148" t="s">
        <v>318</v>
      </c>
      <c r="F9" s="147">
        <v>0.41199999999999998</v>
      </c>
      <c r="I9" s="76" t="s">
        <v>52</v>
      </c>
      <c r="J9" s="76" t="s">
        <v>17</v>
      </c>
      <c r="K9" s="76" t="s">
        <v>7</v>
      </c>
      <c r="L9" s="76" t="s">
        <v>51</v>
      </c>
      <c r="M9" s="76" t="s">
        <v>315</v>
      </c>
      <c r="N9" s="76">
        <v>0.439</v>
      </c>
      <c r="Q9" s="78" t="s">
        <v>52</v>
      </c>
      <c r="R9" s="78" t="s">
        <v>17</v>
      </c>
      <c r="S9" s="78" t="s">
        <v>7</v>
      </c>
      <c r="T9" s="78" t="s">
        <v>51</v>
      </c>
      <c r="U9" s="78" t="s">
        <v>316</v>
      </c>
      <c r="V9" s="78">
        <v>0.70499999999999996</v>
      </c>
      <c r="AC9" s="78" t="s">
        <v>52</v>
      </c>
      <c r="AD9" s="78" t="s">
        <v>17</v>
      </c>
      <c r="AE9" s="78" t="s">
        <v>72</v>
      </c>
      <c r="AF9" s="78" t="s">
        <v>51</v>
      </c>
      <c r="AG9" s="78" t="s">
        <v>132</v>
      </c>
      <c r="AH9" s="78">
        <v>4.2751400125465349</v>
      </c>
      <c r="AJ9" s="78" t="s">
        <v>52</v>
      </c>
      <c r="AK9" s="78" t="s">
        <v>17</v>
      </c>
      <c r="AL9" s="78" t="s">
        <v>28</v>
      </c>
      <c r="AM9" s="78" t="s">
        <v>51</v>
      </c>
      <c r="AN9" s="78" t="s">
        <v>132</v>
      </c>
      <c r="AO9" s="78">
        <v>1.4595784375698646</v>
      </c>
      <c r="AR9" s="78" t="s">
        <v>52</v>
      </c>
      <c r="AS9" s="78" t="s">
        <v>17</v>
      </c>
      <c r="AT9" s="78" t="s">
        <v>25</v>
      </c>
      <c r="AU9" s="78" t="s">
        <v>51</v>
      </c>
      <c r="AV9" s="78" t="s">
        <v>317</v>
      </c>
      <c r="AW9" s="78">
        <v>4.25</v>
      </c>
    </row>
    <row r="10" spans="1:49" s="78" customFormat="1">
      <c r="A10" s="147" t="s">
        <v>17</v>
      </c>
      <c r="B10" s="147" t="s">
        <v>52</v>
      </c>
      <c r="C10" s="147" t="s">
        <v>25</v>
      </c>
      <c r="D10" s="147" t="s">
        <v>51</v>
      </c>
      <c r="E10" s="148" t="s">
        <v>318</v>
      </c>
      <c r="F10" s="147">
        <v>4</v>
      </c>
      <c r="I10" s="76" t="s">
        <v>52</v>
      </c>
      <c r="J10" s="76" t="s">
        <v>17</v>
      </c>
      <c r="K10" s="76" t="s">
        <v>25</v>
      </c>
      <c r="L10" s="76" t="s">
        <v>51</v>
      </c>
      <c r="M10" s="76" t="s">
        <v>315</v>
      </c>
      <c r="N10" s="76">
        <v>4</v>
      </c>
      <c r="Q10" s="78" t="s">
        <v>52</v>
      </c>
      <c r="R10" s="78" t="s">
        <v>17</v>
      </c>
      <c r="S10" s="78" t="s">
        <v>25</v>
      </c>
      <c r="T10" s="78" t="s">
        <v>51</v>
      </c>
      <c r="U10" s="78" t="s">
        <v>316</v>
      </c>
      <c r="V10" s="78">
        <v>4</v>
      </c>
      <c r="AC10" s="78" t="s">
        <v>52</v>
      </c>
      <c r="AD10" s="78" t="s">
        <v>17</v>
      </c>
      <c r="AE10" s="78" t="s">
        <v>72</v>
      </c>
      <c r="AF10" s="78" t="s">
        <v>51</v>
      </c>
      <c r="AG10" s="78" t="s">
        <v>133</v>
      </c>
      <c r="AH10" s="78">
        <v>4.3664099742286595</v>
      </c>
      <c r="AJ10" s="78" t="s">
        <v>52</v>
      </c>
      <c r="AK10" s="78" t="s">
        <v>17</v>
      </c>
      <c r="AL10" s="78" t="s">
        <v>28</v>
      </c>
      <c r="AM10" s="78" t="s">
        <v>51</v>
      </c>
      <c r="AN10" s="78" t="s">
        <v>133</v>
      </c>
      <c r="AO10" s="78">
        <v>1.4360929633267601</v>
      </c>
      <c r="AR10" s="78" t="s">
        <v>52</v>
      </c>
      <c r="AS10" s="78" t="s">
        <v>18</v>
      </c>
      <c r="AT10" s="78" t="s">
        <v>0</v>
      </c>
      <c r="AU10" s="78" t="s">
        <v>51</v>
      </c>
      <c r="AV10" s="78" t="s">
        <v>317</v>
      </c>
      <c r="AW10" s="78">
        <v>4.2190000000000003</v>
      </c>
    </row>
    <row r="11" spans="1:49" s="78" customFormat="1">
      <c r="A11" s="147" t="s">
        <v>17</v>
      </c>
      <c r="B11" s="147" t="s">
        <v>52</v>
      </c>
      <c r="C11" s="147" t="s">
        <v>28</v>
      </c>
      <c r="D11" s="147" t="s">
        <v>51</v>
      </c>
      <c r="E11" s="148" t="s">
        <v>318</v>
      </c>
      <c r="F11" s="147">
        <v>1.4881669876185573</v>
      </c>
      <c r="I11" s="76" t="s">
        <v>52</v>
      </c>
      <c r="J11" s="76" t="s">
        <v>17</v>
      </c>
      <c r="K11" s="76" t="s">
        <v>28</v>
      </c>
      <c r="L11" s="76" t="s">
        <v>51</v>
      </c>
      <c r="M11" s="76" t="s">
        <v>315</v>
      </c>
      <c r="N11" s="76">
        <v>1.4856058780086481</v>
      </c>
      <c r="Q11" s="78" t="s">
        <v>52</v>
      </c>
      <c r="R11" s="78" t="s">
        <v>17</v>
      </c>
      <c r="S11" s="78" t="s">
        <v>28</v>
      </c>
      <c r="T11" s="78" t="s">
        <v>51</v>
      </c>
      <c r="U11" s="78" t="s">
        <v>316</v>
      </c>
      <c r="V11" s="78">
        <v>1.471013855491812</v>
      </c>
      <c r="AC11" s="78" t="s">
        <v>52</v>
      </c>
      <c r="AD11" s="78" t="s">
        <v>17</v>
      </c>
      <c r="AE11" s="78" t="s">
        <v>72</v>
      </c>
      <c r="AF11" s="78" t="s">
        <v>51</v>
      </c>
      <c r="AG11" s="78" t="s">
        <v>134</v>
      </c>
      <c r="AH11" s="78">
        <v>4.313965889771076</v>
      </c>
      <c r="AJ11" s="78" t="s">
        <v>52</v>
      </c>
      <c r="AK11" s="78" t="s">
        <v>17</v>
      </c>
      <c r="AL11" s="78" t="s">
        <v>28</v>
      </c>
      <c r="AM11" s="78" t="s">
        <v>51</v>
      </c>
      <c r="AN11" s="78" t="s">
        <v>134</v>
      </c>
      <c r="AO11" s="78">
        <v>1.4117383662411456</v>
      </c>
      <c r="AR11" s="78" t="s">
        <v>52</v>
      </c>
      <c r="AS11" s="78" t="s">
        <v>18</v>
      </c>
      <c r="AT11" s="78" t="s">
        <v>7</v>
      </c>
      <c r="AU11" s="78" t="s">
        <v>51</v>
      </c>
      <c r="AV11" s="78" t="s">
        <v>317</v>
      </c>
      <c r="AW11" s="78">
        <v>1.125</v>
      </c>
    </row>
    <row r="12" spans="1:49" s="78" customFormat="1">
      <c r="A12" s="147" t="s">
        <v>18</v>
      </c>
      <c r="B12" s="147" t="s">
        <v>52</v>
      </c>
      <c r="C12" s="147" t="s">
        <v>72</v>
      </c>
      <c r="D12" s="147" t="s">
        <v>51</v>
      </c>
      <c r="E12" s="148" t="s">
        <v>318</v>
      </c>
      <c r="F12" s="147">
        <v>3.812592661796018</v>
      </c>
      <c r="I12" s="76" t="s">
        <v>52</v>
      </c>
      <c r="J12" s="76" t="s">
        <v>18</v>
      </c>
      <c r="K12" s="76" t="s">
        <v>72</v>
      </c>
      <c r="L12" s="76" t="s">
        <v>51</v>
      </c>
      <c r="M12" s="76" t="s">
        <v>315</v>
      </c>
      <c r="N12" s="76">
        <v>3.812592661796018</v>
      </c>
      <c r="Q12" s="78" t="s">
        <v>52</v>
      </c>
      <c r="R12" s="78" t="s">
        <v>18</v>
      </c>
      <c r="S12" s="78" t="s">
        <v>72</v>
      </c>
      <c r="T12" s="78" t="s">
        <v>51</v>
      </c>
      <c r="U12" s="78" t="s">
        <v>316</v>
      </c>
      <c r="V12" s="78">
        <v>3.9054628819113248</v>
      </c>
      <c r="X12" s="92" t="s">
        <v>26</v>
      </c>
      <c r="Y12" s="93" t="s">
        <v>74</v>
      </c>
      <c r="Z12" s="93">
        <f>VLOOKUP(Y12,OneWeekMtgRatesDataTable7[],3,0)/100</f>
        <v>2.6172888132357301E-2</v>
      </c>
      <c r="AA12" s="116"/>
      <c r="AB12" s="91"/>
      <c r="AC12" s="78" t="s">
        <v>52</v>
      </c>
      <c r="AD12" s="78" t="s">
        <v>17</v>
      </c>
      <c r="AE12" s="78" t="s">
        <v>72</v>
      </c>
      <c r="AF12" s="78" t="s">
        <v>51</v>
      </c>
      <c r="AG12" s="78" t="s">
        <v>135</v>
      </c>
      <c r="AH12" s="78">
        <v>4.2809879501510846</v>
      </c>
      <c r="AJ12" s="78" t="s">
        <v>52</v>
      </c>
      <c r="AK12" s="78" t="s">
        <v>17</v>
      </c>
      <c r="AL12" s="78" t="s">
        <v>28</v>
      </c>
      <c r="AM12" s="78" t="s">
        <v>51</v>
      </c>
      <c r="AN12" s="78" t="s">
        <v>135</v>
      </c>
      <c r="AO12" s="78">
        <v>1.434637613344325</v>
      </c>
      <c r="AR12" s="78" t="s">
        <v>52</v>
      </c>
      <c r="AS12" s="78" t="s">
        <v>18</v>
      </c>
      <c r="AT12" s="78" t="s">
        <v>25</v>
      </c>
      <c r="AU12" s="78" t="s">
        <v>51</v>
      </c>
      <c r="AV12" s="78" t="s">
        <v>317</v>
      </c>
      <c r="AW12" s="78">
        <v>4.125</v>
      </c>
    </row>
    <row r="13" spans="1:49" s="78" customFormat="1">
      <c r="A13" s="147" t="s">
        <v>18</v>
      </c>
      <c r="B13" s="147" t="s">
        <v>52</v>
      </c>
      <c r="C13" s="147" t="s">
        <v>0</v>
      </c>
      <c r="D13" s="147" t="s">
        <v>51</v>
      </c>
      <c r="E13" s="148" t="s">
        <v>318</v>
      </c>
      <c r="F13" s="147">
        <v>3.8530000000000002</v>
      </c>
      <c r="I13" s="76" t="s">
        <v>52</v>
      </c>
      <c r="J13" s="76" t="s">
        <v>18</v>
      </c>
      <c r="K13" s="76" t="s">
        <v>0</v>
      </c>
      <c r="L13" s="76" t="s">
        <v>51</v>
      </c>
      <c r="M13" s="76" t="s">
        <v>315</v>
      </c>
      <c r="N13" s="76">
        <v>3.8530000000000002</v>
      </c>
      <c r="Q13" s="78" t="s">
        <v>52</v>
      </c>
      <c r="R13" s="78" t="s">
        <v>18</v>
      </c>
      <c r="S13" s="78" t="s">
        <v>0</v>
      </c>
      <c r="T13" s="78" t="s">
        <v>51</v>
      </c>
      <c r="U13" s="78" t="s">
        <v>316</v>
      </c>
      <c r="V13" s="78">
        <v>3.968</v>
      </c>
      <c r="X13" s="92" t="s">
        <v>27</v>
      </c>
      <c r="Y13" s="94" t="s">
        <v>73</v>
      </c>
      <c r="Z13" s="93">
        <f>VLOOKUP(Y13,OneWeekMtgRatesDataTable7[],3,0)/100</f>
        <v>2.4997714258254301E-2</v>
      </c>
      <c r="AA13" s="116"/>
      <c r="AB13" s="91"/>
      <c r="AC13" s="78" t="s">
        <v>52</v>
      </c>
      <c r="AD13" s="78" t="s">
        <v>17</v>
      </c>
      <c r="AE13" s="78" t="s">
        <v>72</v>
      </c>
      <c r="AF13" s="78" t="s">
        <v>51</v>
      </c>
      <c r="AG13" s="78" t="s">
        <v>136</v>
      </c>
      <c r="AH13" s="78">
        <v>4.2692899861563207</v>
      </c>
      <c r="AJ13" s="78" t="s">
        <v>52</v>
      </c>
      <c r="AK13" s="78" t="s">
        <v>17</v>
      </c>
      <c r="AL13" s="78" t="s">
        <v>28</v>
      </c>
      <c r="AM13" s="78" t="s">
        <v>51</v>
      </c>
      <c r="AN13" s="78" t="s">
        <v>136</v>
      </c>
      <c r="AO13" s="78">
        <v>1.4414546828382009</v>
      </c>
      <c r="AR13" s="78" t="s">
        <v>52</v>
      </c>
      <c r="AS13" s="78" t="s">
        <v>19</v>
      </c>
      <c r="AT13" s="78" t="s">
        <v>0</v>
      </c>
      <c r="AU13" s="78" t="s">
        <v>51</v>
      </c>
      <c r="AV13" s="78" t="s">
        <v>317</v>
      </c>
      <c r="AW13" s="78">
        <v>4.3170000000000002</v>
      </c>
    </row>
    <row r="14" spans="1:49" s="78" customFormat="1">
      <c r="A14" s="147" t="s">
        <v>18</v>
      </c>
      <c r="B14" s="147" t="s">
        <v>52</v>
      </c>
      <c r="C14" s="147" t="s">
        <v>7</v>
      </c>
      <c r="D14" s="147" t="s">
        <v>51</v>
      </c>
      <c r="E14" s="148" t="s">
        <v>318</v>
      </c>
      <c r="F14" s="147">
        <v>1.25</v>
      </c>
      <c r="I14" s="76" t="s">
        <v>52</v>
      </c>
      <c r="J14" s="76" t="s">
        <v>18</v>
      </c>
      <c r="K14" s="76" t="s">
        <v>7</v>
      </c>
      <c r="L14" s="76" t="s">
        <v>51</v>
      </c>
      <c r="M14" s="76" t="s">
        <v>315</v>
      </c>
      <c r="N14" s="76">
        <v>1.25</v>
      </c>
      <c r="Q14" s="78" t="s">
        <v>52</v>
      </c>
      <c r="R14" s="78" t="s">
        <v>18</v>
      </c>
      <c r="S14" s="78" t="s">
        <v>7</v>
      </c>
      <c r="T14" s="78" t="s">
        <v>51</v>
      </c>
      <c r="U14" s="78" t="s">
        <v>316</v>
      </c>
      <c r="V14" s="78">
        <v>1.125</v>
      </c>
      <c r="AC14" s="78" t="s">
        <v>52</v>
      </c>
      <c r="AD14" s="78" t="s">
        <v>17</v>
      </c>
      <c r="AE14" s="78" t="s">
        <v>72</v>
      </c>
      <c r="AF14" s="78" t="s">
        <v>51</v>
      </c>
      <c r="AG14" s="78" t="s">
        <v>137</v>
      </c>
      <c r="AH14" s="78">
        <v>4.1871698000587845</v>
      </c>
      <c r="AJ14" s="78" t="s">
        <v>52</v>
      </c>
      <c r="AK14" s="78" t="s">
        <v>17</v>
      </c>
      <c r="AL14" s="78" t="s">
        <v>28</v>
      </c>
      <c r="AM14" s="78" t="s">
        <v>51</v>
      </c>
      <c r="AN14" s="78" t="s">
        <v>137</v>
      </c>
      <c r="AO14" s="78">
        <v>1.3733506898048042</v>
      </c>
      <c r="AR14" s="78" t="s">
        <v>52</v>
      </c>
      <c r="AS14" s="78" t="s">
        <v>19</v>
      </c>
      <c r="AT14" s="78" t="s">
        <v>7</v>
      </c>
      <c r="AU14" s="78" t="s">
        <v>51</v>
      </c>
      <c r="AV14" s="78" t="s">
        <v>317</v>
      </c>
      <c r="AW14" s="78">
        <v>2.125</v>
      </c>
    </row>
    <row r="15" spans="1:49" s="78" customFormat="1">
      <c r="A15" s="147" t="s">
        <v>18</v>
      </c>
      <c r="B15" s="147" t="s">
        <v>52</v>
      </c>
      <c r="C15" s="147" t="s">
        <v>25</v>
      </c>
      <c r="D15" s="147" t="s">
        <v>51</v>
      </c>
      <c r="E15" s="148" t="s">
        <v>318</v>
      </c>
      <c r="F15" s="147">
        <v>3.75</v>
      </c>
      <c r="I15" s="76" t="s">
        <v>52</v>
      </c>
      <c r="J15" s="76" t="s">
        <v>18</v>
      </c>
      <c r="K15" s="76" t="s">
        <v>25</v>
      </c>
      <c r="L15" s="76" t="s">
        <v>51</v>
      </c>
      <c r="M15" s="76" t="s">
        <v>315</v>
      </c>
      <c r="N15" s="76">
        <v>3.75</v>
      </c>
      <c r="Q15" s="78" t="s">
        <v>52</v>
      </c>
      <c r="R15" s="78" t="s">
        <v>18</v>
      </c>
      <c r="S15" s="78" t="s">
        <v>25</v>
      </c>
      <c r="T15" s="78" t="s">
        <v>51</v>
      </c>
      <c r="U15" s="78" t="s">
        <v>316</v>
      </c>
      <c r="V15" s="78">
        <v>3.875</v>
      </c>
      <c r="AC15" s="78" t="s">
        <v>52</v>
      </c>
      <c r="AD15" s="78" t="s">
        <v>17</v>
      </c>
      <c r="AE15" s="78" t="s">
        <v>72</v>
      </c>
      <c r="AF15" s="78" t="s">
        <v>51</v>
      </c>
      <c r="AG15" s="78" t="s">
        <v>138</v>
      </c>
      <c r="AH15" s="78">
        <v>4.2517273654617371</v>
      </c>
      <c r="AJ15" s="78" t="s">
        <v>52</v>
      </c>
      <c r="AK15" s="78" t="s">
        <v>17</v>
      </c>
      <c r="AL15" s="78" t="s">
        <v>28</v>
      </c>
      <c r="AM15" s="78" t="s">
        <v>51</v>
      </c>
      <c r="AN15" s="78" t="s">
        <v>138</v>
      </c>
      <c r="AO15" s="78">
        <v>1.4202216163192376</v>
      </c>
      <c r="AR15" s="78" t="s">
        <v>52</v>
      </c>
      <c r="AS15" s="78" t="s">
        <v>19</v>
      </c>
      <c r="AT15" s="78" t="s">
        <v>25</v>
      </c>
      <c r="AU15" s="78" t="s">
        <v>51</v>
      </c>
      <c r="AV15" s="78" t="s">
        <v>317</v>
      </c>
      <c r="AW15" s="78">
        <v>4.05</v>
      </c>
    </row>
    <row r="16" spans="1:49" s="78" customFormat="1">
      <c r="A16" s="147" t="s">
        <v>18</v>
      </c>
      <c r="B16" s="147" t="s">
        <v>52</v>
      </c>
      <c r="C16" s="147" t="s">
        <v>28</v>
      </c>
      <c r="D16" s="147" t="s">
        <v>51</v>
      </c>
      <c r="E16" s="148" t="s">
        <v>318</v>
      </c>
      <c r="F16" s="147">
        <v>1.195303848560288</v>
      </c>
      <c r="I16" s="76" t="s">
        <v>52</v>
      </c>
      <c r="J16" s="76" t="s">
        <v>18</v>
      </c>
      <c r="K16" s="76" t="s">
        <v>28</v>
      </c>
      <c r="L16" s="76" t="s">
        <v>51</v>
      </c>
      <c r="M16" s="76" t="s">
        <v>315</v>
      </c>
      <c r="N16" s="76">
        <v>1.1043179041025981</v>
      </c>
      <c r="Q16" s="78" t="s">
        <v>52</v>
      </c>
      <c r="R16" s="78" t="s">
        <v>18</v>
      </c>
      <c r="S16" s="78" t="s">
        <v>28</v>
      </c>
      <c r="T16" s="78" t="s">
        <v>51</v>
      </c>
      <c r="U16" s="78" t="s">
        <v>316</v>
      </c>
      <c r="V16" s="78">
        <v>1.1737796028533749</v>
      </c>
      <c r="AC16" s="78" t="s">
        <v>52</v>
      </c>
      <c r="AD16" s="78" t="s">
        <v>17</v>
      </c>
      <c r="AE16" s="78" t="s">
        <v>72</v>
      </c>
      <c r="AF16" s="78" t="s">
        <v>51</v>
      </c>
      <c r="AG16" s="78" t="s">
        <v>139</v>
      </c>
      <c r="AH16" s="78">
        <v>4.1695190979670524</v>
      </c>
      <c r="AJ16" s="78" t="s">
        <v>52</v>
      </c>
      <c r="AK16" s="78" t="s">
        <v>17</v>
      </c>
      <c r="AL16" s="78" t="s">
        <v>28</v>
      </c>
      <c r="AM16" s="78" t="s">
        <v>51</v>
      </c>
      <c r="AN16" s="78" t="s">
        <v>139</v>
      </c>
      <c r="AO16" s="78">
        <v>1.3453422461391324</v>
      </c>
      <c r="AR16" s="78" t="s">
        <v>52</v>
      </c>
      <c r="AS16" s="78" t="s">
        <v>20</v>
      </c>
      <c r="AT16" s="78" t="s">
        <v>0</v>
      </c>
      <c r="AU16" s="78" t="s">
        <v>51</v>
      </c>
      <c r="AV16" s="78" t="s">
        <v>317</v>
      </c>
      <c r="AW16" s="78">
        <v>4.3220000000000001</v>
      </c>
    </row>
    <row r="17" spans="1:49" s="78" customFormat="1">
      <c r="A17" s="147" t="s">
        <v>19</v>
      </c>
      <c r="B17" s="147" t="s">
        <v>52</v>
      </c>
      <c r="C17" s="147" t="s">
        <v>72</v>
      </c>
      <c r="D17" s="147" t="s">
        <v>51</v>
      </c>
      <c r="E17" s="148" t="s">
        <v>318</v>
      </c>
      <c r="F17" s="147">
        <v>4.1871940628292794</v>
      </c>
      <c r="I17" s="76" t="s">
        <v>52</v>
      </c>
      <c r="J17" s="76" t="s">
        <v>19</v>
      </c>
      <c r="K17" s="76" t="s">
        <v>72</v>
      </c>
      <c r="L17" s="76" t="s">
        <v>51</v>
      </c>
      <c r="M17" s="76" t="s">
        <v>315</v>
      </c>
      <c r="N17" s="76">
        <v>4.1871940628292794</v>
      </c>
      <c r="Q17" s="78" t="s">
        <v>52</v>
      </c>
      <c r="R17" s="78" t="s">
        <v>19</v>
      </c>
      <c r="S17" s="78" t="s">
        <v>72</v>
      </c>
      <c r="T17" s="78" t="s">
        <v>51</v>
      </c>
      <c r="U17" s="78" t="s">
        <v>316</v>
      </c>
      <c r="V17" s="78">
        <v>4.280990246513638</v>
      </c>
      <c r="AC17" s="78" t="s">
        <v>52</v>
      </c>
      <c r="AD17" s="78" t="s">
        <v>17</v>
      </c>
      <c r="AE17" s="78" t="s">
        <v>72</v>
      </c>
      <c r="AF17" s="78" t="s">
        <v>51</v>
      </c>
      <c r="AG17" s="78" t="s">
        <v>140</v>
      </c>
      <c r="AH17" s="78">
        <v>4.1400591551201122</v>
      </c>
      <c r="AJ17" s="78" t="s">
        <v>52</v>
      </c>
      <c r="AK17" s="78" t="s">
        <v>17</v>
      </c>
      <c r="AL17" s="78" t="s">
        <v>28</v>
      </c>
      <c r="AM17" s="78" t="s">
        <v>51</v>
      </c>
      <c r="AN17" s="78" t="s">
        <v>140</v>
      </c>
      <c r="AO17" s="78">
        <v>1.3442181458154518</v>
      </c>
      <c r="AR17" s="78" t="s">
        <v>52</v>
      </c>
      <c r="AS17" s="78" t="s">
        <v>20</v>
      </c>
      <c r="AT17" s="78" t="s">
        <v>40</v>
      </c>
      <c r="AU17" s="78" t="s">
        <v>51</v>
      </c>
      <c r="AV17" s="78" t="s">
        <v>317</v>
      </c>
      <c r="AW17" s="78">
        <v>3666</v>
      </c>
    </row>
    <row r="18" spans="1:49" s="78" customFormat="1">
      <c r="A18" s="147" t="s">
        <v>19</v>
      </c>
      <c r="B18" s="147" t="s">
        <v>52</v>
      </c>
      <c r="C18" s="147" t="s">
        <v>0</v>
      </c>
      <c r="D18" s="147" t="s">
        <v>51</v>
      </c>
      <c r="E18" s="148" t="s">
        <v>318</v>
      </c>
      <c r="F18" s="147">
        <v>3.9790000000000001</v>
      </c>
      <c r="I18" s="76" t="s">
        <v>52</v>
      </c>
      <c r="J18" s="76" t="s">
        <v>19</v>
      </c>
      <c r="K18" s="76" t="s">
        <v>0</v>
      </c>
      <c r="L18" s="76" t="s">
        <v>51</v>
      </c>
      <c r="M18" s="76" t="s">
        <v>315</v>
      </c>
      <c r="N18" s="76">
        <v>3.9790000000000001</v>
      </c>
      <c r="Q18" s="78" t="s">
        <v>52</v>
      </c>
      <c r="R18" s="78" t="s">
        <v>19</v>
      </c>
      <c r="S18" s="78" t="s">
        <v>0</v>
      </c>
      <c r="T18" s="78" t="s">
        <v>51</v>
      </c>
      <c r="U18" s="78" t="s">
        <v>316</v>
      </c>
      <c r="V18" s="78">
        <v>4.0110000000000001</v>
      </c>
      <c r="AC18" s="78" t="s">
        <v>52</v>
      </c>
      <c r="AD18" s="78" t="s">
        <v>17</v>
      </c>
      <c r="AE18" s="78" t="s">
        <v>72</v>
      </c>
      <c r="AF18" s="78" t="s">
        <v>51</v>
      </c>
      <c r="AG18" s="78" t="s">
        <v>141</v>
      </c>
      <c r="AH18" s="78">
        <v>4.1164532413786334</v>
      </c>
      <c r="AJ18" s="78" t="s">
        <v>52</v>
      </c>
      <c r="AK18" s="78" t="s">
        <v>17</v>
      </c>
      <c r="AL18" s="78" t="s">
        <v>28</v>
      </c>
      <c r="AM18" s="78" t="s">
        <v>51</v>
      </c>
      <c r="AN18" s="78" t="s">
        <v>141</v>
      </c>
      <c r="AO18" s="78">
        <v>1.4236043382832138</v>
      </c>
      <c r="AR18" s="78" t="s">
        <v>52</v>
      </c>
      <c r="AS18" s="78" t="s">
        <v>20</v>
      </c>
      <c r="AT18" s="78" t="s">
        <v>1</v>
      </c>
      <c r="AU18" s="78" t="s">
        <v>51</v>
      </c>
      <c r="AV18" s="78" t="s">
        <v>317</v>
      </c>
      <c r="AW18" s="78">
        <v>200000</v>
      </c>
    </row>
    <row r="19" spans="1:49" s="78" customFormat="1">
      <c r="A19" s="147" t="s">
        <v>19</v>
      </c>
      <c r="B19" s="147" t="s">
        <v>52</v>
      </c>
      <c r="C19" s="147" t="s">
        <v>7</v>
      </c>
      <c r="D19" s="147" t="s">
        <v>51</v>
      </c>
      <c r="E19" s="148" t="s">
        <v>318</v>
      </c>
      <c r="F19" s="147">
        <v>1.75</v>
      </c>
      <c r="I19" s="76" t="s">
        <v>52</v>
      </c>
      <c r="J19" s="76" t="s">
        <v>19</v>
      </c>
      <c r="K19" s="76" t="s">
        <v>7</v>
      </c>
      <c r="L19" s="76" t="s">
        <v>51</v>
      </c>
      <c r="M19" s="76" t="s">
        <v>315</v>
      </c>
      <c r="N19" s="76">
        <v>1.75</v>
      </c>
      <c r="Q19" s="78" t="s">
        <v>52</v>
      </c>
      <c r="R19" s="78" t="s">
        <v>19</v>
      </c>
      <c r="S19" s="78" t="s">
        <v>7</v>
      </c>
      <c r="T19" s="78" t="s">
        <v>51</v>
      </c>
      <c r="U19" s="78" t="s">
        <v>316</v>
      </c>
      <c r="V19" s="78">
        <v>2.125</v>
      </c>
      <c r="AC19" s="78" t="s">
        <v>52</v>
      </c>
      <c r="AD19" s="78" t="s">
        <v>17</v>
      </c>
      <c r="AE19" s="78" t="s">
        <v>72</v>
      </c>
      <c r="AF19" s="78" t="s">
        <v>51</v>
      </c>
      <c r="AG19" s="78" t="s">
        <v>142</v>
      </c>
      <c r="AH19" s="78">
        <v>4.066228818482883</v>
      </c>
      <c r="AJ19" s="78" t="s">
        <v>52</v>
      </c>
      <c r="AK19" s="78" t="s">
        <v>17</v>
      </c>
      <c r="AL19" s="78" t="s">
        <v>28</v>
      </c>
      <c r="AM19" s="78" t="s">
        <v>51</v>
      </c>
      <c r="AN19" s="78" t="s">
        <v>142</v>
      </c>
      <c r="AO19" s="78">
        <v>1.3566722547216032</v>
      </c>
      <c r="AR19" s="78" t="s">
        <v>52</v>
      </c>
      <c r="AS19" s="78" t="s">
        <v>20</v>
      </c>
      <c r="AT19" s="78" t="s">
        <v>7</v>
      </c>
      <c r="AU19" s="78" t="s">
        <v>51</v>
      </c>
      <c r="AV19" s="78" t="s">
        <v>317</v>
      </c>
      <c r="AW19" s="78">
        <v>1</v>
      </c>
    </row>
    <row r="20" spans="1:49" s="78" customFormat="1">
      <c r="A20" s="147" t="s">
        <v>19</v>
      </c>
      <c r="B20" s="147" t="s">
        <v>52</v>
      </c>
      <c r="C20" s="147" t="s">
        <v>25</v>
      </c>
      <c r="D20" s="147" t="s">
        <v>51</v>
      </c>
      <c r="E20" s="148" t="s">
        <v>318</v>
      </c>
      <c r="F20" s="147">
        <v>3.75</v>
      </c>
      <c r="I20" s="76" t="s">
        <v>52</v>
      </c>
      <c r="J20" s="76" t="s">
        <v>19</v>
      </c>
      <c r="K20" s="76" t="s">
        <v>25</v>
      </c>
      <c r="L20" s="76" t="s">
        <v>51</v>
      </c>
      <c r="M20" s="76" t="s">
        <v>315</v>
      </c>
      <c r="N20" s="76">
        <v>3.75</v>
      </c>
      <c r="Q20" s="78" t="s">
        <v>52</v>
      </c>
      <c r="R20" s="78" t="s">
        <v>19</v>
      </c>
      <c r="S20" s="78" t="s">
        <v>25</v>
      </c>
      <c r="T20" s="78" t="s">
        <v>51</v>
      </c>
      <c r="U20" s="78" t="s">
        <v>316</v>
      </c>
      <c r="V20" s="78">
        <v>3.75</v>
      </c>
      <c r="AC20" s="78" t="s">
        <v>52</v>
      </c>
      <c r="AD20" s="78" t="s">
        <v>17</v>
      </c>
      <c r="AE20" s="78" t="s">
        <v>72</v>
      </c>
      <c r="AF20" s="78" t="s">
        <v>51</v>
      </c>
      <c r="AG20" s="78" t="s">
        <v>143</v>
      </c>
      <c r="AH20" s="78">
        <v>4.0425219308185625</v>
      </c>
      <c r="AJ20" s="78" t="s">
        <v>52</v>
      </c>
      <c r="AK20" s="78" t="s">
        <v>17</v>
      </c>
      <c r="AL20" s="78" t="s">
        <v>28</v>
      </c>
      <c r="AM20" s="78" t="s">
        <v>51</v>
      </c>
      <c r="AN20" s="78" t="s">
        <v>143</v>
      </c>
      <c r="AO20" s="78">
        <v>1.3707489922748624</v>
      </c>
      <c r="AR20" s="78" t="s">
        <v>52</v>
      </c>
      <c r="AS20" s="78" t="s">
        <v>20</v>
      </c>
      <c r="AT20" s="78" t="s">
        <v>25</v>
      </c>
      <c r="AU20" s="78" t="s">
        <v>51</v>
      </c>
      <c r="AV20" s="78" t="s">
        <v>317</v>
      </c>
      <c r="AW20" s="78">
        <v>4.25</v>
      </c>
    </row>
    <row r="21" spans="1:49" s="78" customFormat="1">
      <c r="A21" s="147" t="s">
        <v>19</v>
      </c>
      <c r="B21" s="147" t="s">
        <v>52</v>
      </c>
      <c r="C21" s="147" t="s">
        <v>28</v>
      </c>
      <c r="D21" s="147" t="s">
        <v>51</v>
      </c>
      <c r="E21" s="148" t="s">
        <v>318</v>
      </c>
      <c r="F21" s="147">
        <v>1.5699052495935495</v>
      </c>
      <c r="I21" s="76" t="s">
        <v>52</v>
      </c>
      <c r="J21" s="76" t="s">
        <v>19</v>
      </c>
      <c r="K21" s="76" t="s">
        <v>28</v>
      </c>
      <c r="L21" s="76" t="s">
        <v>51</v>
      </c>
      <c r="M21" s="76" t="s">
        <v>315</v>
      </c>
      <c r="N21" s="76">
        <v>1.4789193051358598</v>
      </c>
      <c r="Q21" s="78" t="s">
        <v>52</v>
      </c>
      <c r="R21" s="78" t="s">
        <v>19</v>
      </c>
      <c r="S21" s="78" t="s">
        <v>28</v>
      </c>
      <c r="T21" s="78" t="s">
        <v>51</v>
      </c>
      <c r="U21" s="78" t="s">
        <v>316</v>
      </c>
      <c r="V21" s="78">
        <v>1.5493069674556876</v>
      </c>
      <c r="AC21" s="78" t="s">
        <v>52</v>
      </c>
      <c r="AD21" s="78" t="s">
        <v>17</v>
      </c>
      <c r="AE21" s="78" t="s">
        <v>72</v>
      </c>
      <c r="AF21" s="78" t="s">
        <v>51</v>
      </c>
      <c r="AG21" s="78" t="s">
        <v>144</v>
      </c>
      <c r="AH21" s="78">
        <v>4.0009528680553874</v>
      </c>
      <c r="AJ21" s="78" t="s">
        <v>52</v>
      </c>
      <c r="AK21" s="78" t="s">
        <v>17</v>
      </c>
      <c r="AL21" s="78" t="s">
        <v>28</v>
      </c>
      <c r="AM21" s="78" t="s">
        <v>51</v>
      </c>
      <c r="AN21" s="78" t="s">
        <v>144</v>
      </c>
      <c r="AO21" s="78">
        <v>1.3434433900637273</v>
      </c>
      <c r="AR21" s="78" t="s">
        <v>53</v>
      </c>
      <c r="AS21" s="78" t="s">
        <v>19</v>
      </c>
      <c r="AT21" s="78" t="s">
        <v>0</v>
      </c>
      <c r="AU21" s="78" t="s">
        <v>51</v>
      </c>
      <c r="AV21" s="78" t="s">
        <v>317</v>
      </c>
      <c r="AW21" s="78">
        <v>1</v>
      </c>
    </row>
    <row r="22" spans="1:49" s="78" customFormat="1">
      <c r="A22" s="147" t="s">
        <v>20</v>
      </c>
      <c r="B22" s="147" t="s">
        <v>52</v>
      </c>
      <c r="C22" s="147" t="s">
        <v>72</v>
      </c>
      <c r="D22" s="147" t="s">
        <v>51</v>
      </c>
      <c r="E22" s="148" t="s">
        <v>318</v>
      </c>
      <c r="F22" s="147">
        <v>4.2996395977984392</v>
      </c>
      <c r="I22" s="76" t="s">
        <v>52</v>
      </c>
      <c r="J22" s="76" t="s">
        <v>20</v>
      </c>
      <c r="K22" s="76" t="s">
        <v>72</v>
      </c>
      <c r="L22" s="76" t="s">
        <v>51</v>
      </c>
      <c r="M22" s="76" t="s">
        <v>315</v>
      </c>
      <c r="N22" s="76">
        <v>4.2354507174829195</v>
      </c>
      <c r="Q22" s="78" t="s">
        <v>52</v>
      </c>
      <c r="R22" s="78" t="s">
        <v>20</v>
      </c>
      <c r="S22" s="78" t="s">
        <v>72</v>
      </c>
      <c r="T22" s="78" t="s">
        <v>51</v>
      </c>
      <c r="U22" s="78" t="s">
        <v>316</v>
      </c>
      <c r="V22" s="78">
        <v>4.4187377611835057</v>
      </c>
      <c r="AC22" s="78" t="s">
        <v>52</v>
      </c>
      <c r="AD22" s="78" t="s">
        <v>17</v>
      </c>
      <c r="AE22" s="78" t="s">
        <v>72</v>
      </c>
      <c r="AF22" s="78" t="s">
        <v>51</v>
      </c>
      <c r="AG22" s="78" t="s">
        <v>145</v>
      </c>
      <c r="AH22" s="78">
        <v>3.977152156157012</v>
      </c>
      <c r="AJ22" s="78" t="s">
        <v>52</v>
      </c>
      <c r="AK22" s="78" t="s">
        <v>17</v>
      </c>
      <c r="AL22" s="78" t="s">
        <v>28</v>
      </c>
      <c r="AM22" s="78" t="s">
        <v>51</v>
      </c>
      <c r="AN22" s="78" t="s">
        <v>145</v>
      </c>
      <c r="AO22" s="78">
        <v>1.367305440610632</v>
      </c>
      <c r="AR22" s="78" t="s">
        <v>53</v>
      </c>
      <c r="AS22" s="78" t="s">
        <v>19</v>
      </c>
      <c r="AT22" s="78" t="s">
        <v>7</v>
      </c>
      <c r="AU22" s="78" t="s">
        <v>51</v>
      </c>
      <c r="AV22" s="78" t="s">
        <v>317</v>
      </c>
      <c r="AW22" s="78">
        <v>1</v>
      </c>
    </row>
    <row r="23" spans="1:49" s="78" customFormat="1">
      <c r="A23" s="147" t="s">
        <v>20</v>
      </c>
      <c r="B23" s="147" t="s">
        <v>52</v>
      </c>
      <c r="C23" s="147" t="s">
        <v>0</v>
      </c>
      <c r="D23" s="147" t="s">
        <v>51</v>
      </c>
      <c r="E23" s="148" t="s">
        <v>318</v>
      </c>
      <c r="F23" s="147">
        <v>4.0510000000000002</v>
      </c>
      <c r="I23" s="76" t="s">
        <v>52</v>
      </c>
      <c r="J23" s="76" t="s">
        <v>20</v>
      </c>
      <c r="K23" s="76" t="s">
        <v>0</v>
      </c>
      <c r="L23" s="76" t="s">
        <v>51</v>
      </c>
      <c r="M23" s="76" t="s">
        <v>315</v>
      </c>
      <c r="N23" s="76">
        <v>4.04</v>
      </c>
      <c r="Q23" s="78" t="s">
        <v>52</v>
      </c>
      <c r="R23" s="78" t="s">
        <v>20</v>
      </c>
      <c r="S23" s="78" t="s">
        <v>0</v>
      </c>
      <c r="T23" s="78" t="s">
        <v>51</v>
      </c>
      <c r="U23" s="78" t="s">
        <v>316</v>
      </c>
      <c r="V23" s="78">
        <v>4.0709999999999997</v>
      </c>
      <c r="AC23" s="78" t="s">
        <v>52</v>
      </c>
      <c r="AD23" s="78" t="s">
        <v>17</v>
      </c>
      <c r="AE23" s="78" t="s">
        <v>72</v>
      </c>
      <c r="AF23" s="78" t="s">
        <v>51</v>
      </c>
      <c r="AG23" s="78" t="s">
        <v>146</v>
      </c>
      <c r="AH23" s="78">
        <v>3.9920316083167364</v>
      </c>
      <c r="AJ23" s="78" t="s">
        <v>52</v>
      </c>
      <c r="AK23" s="78" t="s">
        <v>17</v>
      </c>
      <c r="AL23" s="78" t="s">
        <v>28</v>
      </c>
      <c r="AM23" s="78" t="s">
        <v>51</v>
      </c>
      <c r="AN23" s="78" t="s">
        <v>146</v>
      </c>
      <c r="AO23" s="78">
        <v>1.327862212271417</v>
      </c>
      <c r="AR23" s="78" t="s">
        <v>53</v>
      </c>
      <c r="AS23" s="78" t="s">
        <v>19</v>
      </c>
      <c r="AT23" s="78" t="s">
        <v>25</v>
      </c>
      <c r="AU23" s="78" t="s">
        <v>51</v>
      </c>
      <c r="AV23" s="78" t="s">
        <v>317</v>
      </c>
      <c r="AW23" s="78">
        <v>1</v>
      </c>
    </row>
    <row r="24" spans="1:49" s="78" customFormat="1">
      <c r="A24" s="147" t="s">
        <v>20</v>
      </c>
      <c r="B24" s="147" t="s">
        <v>52</v>
      </c>
      <c r="C24" s="147" t="s">
        <v>40</v>
      </c>
      <c r="D24" s="147" t="s">
        <v>51</v>
      </c>
      <c r="E24" s="148" t="s">
        <v>318</v>
      </c>
      <c r="F24" s="147">
        <v>3171</v>
      </c>
      <c r="I24" s="76" t="s">
        <v>52</v>
      </c>
      <c r="J24" s="76" t="s">
        <v>20</v>
      </c>
      <c r="K24" s="76" t="s">
        <v>40</v>
      </c>
      <c r="L24" s="76" t="s">
        <v>51</v>
      </c>
      <c r="M24" s="76" t="s">
        <v>315</v>
      </c>
      <c r="N24" s="76">
        <v>2921</v>
      </c>
      <c r="Q24" s="78" t="s">
        <v>52</v>
      </c>
      <c r="R24" s="78" t="s">
        <v>20</v>
      </c>
      <c r="S24" s="78" t="s">
        <v>40</v>
      </c>
      <c r="T24" s="78" t="s">
        <v>51</v>
      </c>
      <c r="U24" s="78" t="s">
        <v>316</v>
      </c>
      <c r="V24" s="78">
        <v>3646</v>
      </c>
      <c r="AC24" s="78" t="s">
        <v>52</v>
      </c>
      <c r="AD24" s="78" t="s">
        <v>17</v>
      </c>
      <c r="AE24" s="78" t="s">
        <v>72</v>
      </c>
      <c r="AF24" s="78" t="s">
        <v>51</v>
      </c>
      <c r="AG24" s="78" t="s">
        <v>147</v>
      </c>
      <c r="AH24" s="78">
        <v>4.1489026694458522</v>
      </c>
      <c r="AJ24" s="78" t="s">
        <v>52</v>
      </c>
      <c r="AK24" s="78" t="s">
        <v>17</v>
      </c>
      <c r="AL24" s="78" t="s">
        <v>28</v>
      </c>
      <c r="AM24" s="78" t="s">
        <v>51</v>
      </c>
      <c r="AN24" s="78" t="s">
        <v>147</v>
      </c>
      <c r="AO24" s="78">
        <v>1.3969036091673523</v>
      </c>
      <c r="AR24" s="78" t="s">
        <v>53</v>
      </c>
      <c r="AS24" s="78" t="s">
        <v>20</v>
      </c>
      <c r="AT24" s="78" t="s">
        <v>0</v>
      </c>
      <c r="AU24" s="78" t="s">
        <v>51</v>
      </c>
      <c r="AV24" s="78" t="s">
        <v>317</v>
      </c>
      <c r="AW24" s="78">
        <v>5.1879999999999997</v>
      </c>
    </row>
    <row r="25" spans="1:49" s="78" customFormat="1">
      <c r="A25" s="147" t="s">
        <v>20</v>
      </c>
      <c r="B25" s="147" t="s">
        <v>52</v>
      </c>
      <c r="C25" s="147" t="s">
        <v>1</v>
      </c>
      <c r="D25" s="147" t="s">
        <v>51</v>
      </c>
      <c r="E25" s="148" t="s">
        <v>318</v>
      </c>
      <c r="F25" s="147">
        <v>200000</v>
      </c>
      <c r="I25" s="76" t="s">
        <v>52</v>
      </c>
      <c r="J25" s="76" t="s">
        <v>20</v>
      </c>
      <c r="K25" s="76" t="s">
        <v>1</v>
      </c>
      <c r="L25" s="76" t="s">
        <v>51</v>
      </c>
      <c r="M25" s="76" t="s">
        <v>315</v>
      </c>
      <c r="N25" s="76">
        <v>200000</v>
      </c>
      <c r="Q25" s="78" t="s">
        <v>52</v>
      </c>
      <c r="R25" s="78" t="s">
        <v>20</v>
      </c>
      <c r="S25" s="78" t="s">
        <v>1</v>
      </c>
      <c r="T25" s="78" t="s">
        <v>51</v>
      </c>
      <c r="U25" s="78" t="s">
        <v>316</v>
      </c>
      <c r="V25" s="78">
        <v>200000</v>
      </c>
      <c r="AC25" s="78" t="s">
        <v>52</v>
      </c>
      <c r="AD25" s="78" t="s">
        <v>17</v>
      </c>
      <c r="AE25" s="78" t="s">
        <v>72</v>
      </c>
      <c r="AF25" s="78" t="s">
        <v>51</v>
      </c>
      <c r="AG25" s="78" t="s">
        <v>148</v>
      </c>
      <c r="AH25" s="78">
        <v>4.1223578866648536</v>
      </c>
      <c r="AJ25" s="78" t="s">
        <v>52</v>
      </c>
      <c r="AK25" s="78" t="s">
        <v>17</v>
      </c>
      <c r="AL25" s="78" t="s">
        <v>28</v>
      </c>
      <c r="AM25" s="78" t="s">
        <v>51</v>
      </c>
      <c r="AN25" s="78" t="s">
        <v>148</v>
      </c>
      <c r="AO25" s="78">
        <v>1.4288746403651937</v>
      </c>
      <c r="AR25" s="78" t="s">
        <v>53</v>
      </c>
      <c r="AS25" s="78" t="s">
        <v>20</v>
      </c>
      <c r="AT25" s="78" t="s">
        <v>40</v>
      </c>
      <c r="AU25" s="78" t="s">
        <v>51</v>
      </c>
      <c r="AV25" s="78" t="s">
        <v>317</v>
      </c>
      <c r="AW25" s="78">
        <v>7551</v>
      </c>
    </row>
    <row r="26" spans="1:49" s="78" customFormat="1">
      <c r="A26" s="147" t="s">
        <v>20</v>
      </c>
      <c r="B26" s="147" t="s">
        <v>52</v>
      </c>
      <c r="C26" s="147" t="s">
        <v>7</v>
      </c>
      <c r="D26" s="147" t="s">
        <v>51</v>
      </c>
      <c r="E26" s="148" t="s">
        <v>318</v>
      </c>
      <c r="F26" s="147">
        <v>1</v>
      </c>
      <c r="I26" s="76" t="s">
        <v>52</v>
      </c>
      <c r="J26" s="76" t="s">
        <v>20</v>
      </c>
      <c r="K26" s="76" t="s">
        <v>7</v>
      </c>
      <c r="L26" s="76" t="s">
        <v>51</v>
      </c>
      <c r="M26" s="76" t="s">
        <v>315</v>
      </c>
      <c r="N26" s="76">
        <v>1</v>
      </c>
      <c r="Q26" s="78" t="s">
        <v>52</v>
      </c>
      <c r="R26" s="78" t="s">
        <v>20</v>
      </c>
      <c r="S26" s="78" t="s">
        <v>7</v>
      </c>
      <c r="T26" s="78" t="s">
        <v>51</v>
      </c>
      <c r="U26" s="78" t="s">
        <v>316</v>
      </c>
      <c r="V26" s="78">
        <v>1</v>
      </c>
      <c r="AC26" s="78" t="s">
        <v>52</v>
      </c>
      <c r="AD26" s="78" t="s">
        <v>17</v>
      </c>
      <c r="AE26" s="78" t="s">
        <v>72</v>
      </c>
      <c r="AF26" s="78" t="s">
        <v>51</v>
      </c>
      <c r="AG26" s="78" t="s">
        <v>149</v>
      </c>
      <c r="AH26" s="78">
        <v>4.0987266256305297</v>
      </c>
      <c r="AJ26" s="78" t="s">
        <v>52</v>
      </c>
      <c r="AK26" s="78" t="s">
        <v>17</v>
      </c>
      <c r="AL26" s="78" t="s">
        <v>28</v>
      </c>
      <c r="AM26" s="78" t="s">
        <v>51</v>
      </c>
      <c r="AN26" s="78" t="s">
        <v>149</v>
      </c>
      <c r="AO26" s="78">
        <v>1.4081051951872599</v>
      </c>
      <c r="AR26" s="78" t="s">
        <v>53</v>
      </c>
      <c r="AS26" s="78" t="s">
        <v>20</v>
      </c>
      <c r="AT26" s="78" t="s">
        <v>1</v>
      </c>
      <c r="AU26" s="78" t="s">
        <v>51</v>
      </c>
      <c r="AV26" s="78" t="s">
        <v>317</v>
      </c>
      <c r="AW26" s="78">
        <v>200000</v>
      </c>
    </row>
    <row r="27" spans="1:49" s="78" customFormat="1">
      <c r="A27" s="147" t="s">
        <v>20</v>
      </c>
      <c r="B27" s="147" t="s">
        <v>52</v>
      </c>
      <c r="C27" s="147" t="s">
        <v>25</v>
      </c>
      <c r="D27" s="147" t="s">
        <v>51</v>
      </c>
      <c r="E27" s="148" t="s">
        <v>318</v>
      </c>
      <c r="F27" s="147">
        <v>4</v>
      </c>
      <c r="I27" s="76" t="s">
        <v>52</v>
      </c>
      <c r="J27" s="76" t="s">
        <v>20</v>
      </c>
      <c r="K27" s="76" t="s">
        <v>25</v>
      </c>
      <c r="L27" s="76" t="s">
        <v>51</v>
      </c>
      <c r="M27" s="76" t="s">
        <v>315</v>
      </c>
      <c r="N27" s="76">
        <v>4</v>
      </c>
      <c r="Q27" s="78" t="s">
        <v>52</v>
      </c>
      <c r="R27" s="78" t="s">
        <v>20</v>
      </c>
      <c r="S27" s="78" t="s">
        <v>25</v>
      </c>
      <c r="T27" s="78" t="s">
        <v>51</v>
      </c>
      <c r="U27" s="78" t="s">
        <v>316</v>
      </c>
      <c r="V27" s="78">
        <v>4</v>
      </c>
      <c r="AC27" s="78" t="s">
        <v>52</v>
      </c>
      <c r="AD27" s="78" t="s">
        <v>17</v>
      </c>
      <c r="AE27" s="78" t="s">
        <v>72</v>
      </c>
      <c r="AF27" s="78" t="s">
        <v>51</v>
      </c>
      <c r="AG27" s="78" t="s">
        <v>150</v>
      </c>
      <c r="AH27" s="78">
        <v>4.2106746450138894</v>
      </c>
      <c r="AJ27" s="78" t="s">
        <v>52</v>
      </c>
      <c r="AK27" s="78" t="s">
        <v>17</v>
      </c>
      <c r="AL27" s="78" t="s">
        <v>28</v>
      </c>
      <c r="AM27" s="78" t="s">
        <v>51</v>
      </c>
      <c r="AN27" s="78" t="s">
        <v>150</v>
      </c>
      <c r="AO27" s="78">
        <v>1.5496394837349492</v>
      </c>
      <c r="AR27" s="78" t="s">
        <v>53</v>
      </c>
      <c r="AS27" s="78" t="s">
        <v>20</v>
      </c>
      <c r="AT27" s="78" t="s">
        <v>7</v>
      </c>
      <c r="AU27" s="78" t="s">
        <v>51</v>
      </c>
      <c r="AV27" s="78" t="s">
        <v>317</v>
      </c>
      <c r="AW27" s="78">
        <v>1</v>
      </c>
    </row>
    <row r="28" spans="1:49" s="78" customFormat="1">
      <c r="A28" s="147" t="s">
        <v>20</v>
      </c>
      <c r="B28" s="147" t="s">
        <v>52</v>
      </c>
      <c r="C28" s="147" t="s">
        <v>28</v>
      </c>
      <c r="D28" s="147" t="s">
        <v>51</v>
      </c>
      <c r="E28" s="148" t="s">
        <v>318</v>
      </c>
      <c r="F28" s="147">
        <v>1.6823507845627088</v>
      </c>
      <c r="I28" s="76" t="s">
        <v>52</v>
      </c>
      <c r="J28" s="76" t="s">
        <v>20</v>
      </c>
      <c r="K28" s="76" t="s">
        <v>28</v>
      </c>
      <c r="L28" s="76" t="s">
        <v>51</v>
      </c>
      <c r="M28" s="76" t="s">
        <v>315</v>
      </c>
      <c r="N28" s="76">
        <v>1.5271759597894994</v>
      </c>
      <c r="Q28" s="78" t="s">
        <v>52</v>
      </c>
      <c r="R28" s="78" t="s">
        <v>20</v>
      </c>
      <c r="S28" s="78" t="s">
        <v>28</v>
      </c>
      <c r="T28" s="78" t="s">
        <v>51</v>
      </c>
      <c r="U28" s="78" t="s">
        <v>316</v>
      </c>
      <c r="V28" s="78">
        <v>1.6870544821255555</v>
      </c>
      <c r="AC28" s="78" t="s">
        <v>52</v>
      </c>
      <c r="AD28" s="78" t="s">
        <v>17</v>
      </c>
      <c r="AE28" s="78" t="s">
        <v>72</v>
      </c>
      <c r="AF28" s="78" t="s">
        <v>51</v>
      </c>
      <c r="AG28" s="78" t="s">
        <v>151</v>
      </c>
      <c r="AH28" s="78">
        <v>4.1871698000587845</v>
      </c>
      <c r="AJ28" s="78" t="s">
        <v>52</v>
      </c>
      <c r="AK28" s="78" t="s">
        <v>17</v>
      </c>
      <c r="AL28" s="78" t="s">
        <v>28</v>
      </c>
      <c r="AM28" s="78" t="s">
        <v>51</v>
      </c>
      <c r="AN28" s="78" t="s">
        <v>151</v>
      </c>
      <c r="AO28" s="78">
        <v>1.5879040246684941</v>
      </c>
      <c r="AR28" s="78" t="s">
        <v>53</v>
      </c>
      <c r="AS28" s="78" t="s">
        <v>20</v>
      </c>
      <c r="AT28" s="78" t="s">
        <v>25</v>
      </c>
      <c r="AU28" s="78" t="s">
        <v>51</v>
      </c>
      <c r="AV28" s="78" t="s">
        <v>317</v>
      </c>
      <c r="AW28" s="78">
        <v>4.125</v>
      </c>
    </row>
    <row r="29" spans="1:49" s="78" customFormat="1">
      <c r="A29" s="147" t="s">
        <v>19</v>
      </c>
      <c r="B29" s="147" t="s">
        <v>53</v>
      </c>
      <c r="C29" s="147" t="s">
        <v>0</v>
      </c>
      <c r="D29" s="147" t="s">
        <v>51</v>
      </c>
      <c r="E29" s="148" t="s">
        <v>318</v>
      </c>
      <c r="F29" s="147">
        <v>1</v>
      </c>
      <c r="I29" s="76" t="s">
        <v>53</v>
      </c>
      <c r="J29" s="76" t="s">
        <v>19</v>
      </c>
      <c r="K29" s="76" t="s">
        <v>0</v>
      </c>
      <c r="L29" s="76" t="s">
        <v>51</v>
      </c>
      <c r="M29" s="76" t="s">
        <v>315</v>
      </c>
      <c r="N29" s="76">
        <v>1</v>
      </c>
      <c r="Q29" s="78" t="s">
        <v>53</v>
      </c>
      <c r="R29" s="78" t="s">
        <v>19</v>
      </c>
      <c r="S29" s="78" t="s">
        <v>0</v>
      </c>
      <c r="T29" s="78" t="s">
        <v>51</v>
      </c>
      <c r="U29" s="78" t="s">
        <v>316</v>
      </c>
      <c r="V29" s="78">
        <v>1</v>
      </c>
      <c r="AC29" s="78" t="s">
        <v>52</v>
      </c>
      <c r="AD29" s="78" t="s">
        <v>17</v>
      </c>
      <c r="AE29" s="78" t="s">
        <v>72</v>
      </c>
      <c r="AF29" s="78" t="s">
        <v>51</v>
      </c>
      <c r="AG29" s="78" t="s">
        <v>152</v>
      </c>
      <c r="AH29" s="78">
        <v>4.1930491621487036</v>
      </c>
      <c r="AJ29" s="78" t="s">
        <v>52</v>
      </c>
      <c r="AK29" s="78" t="s">
        <v>17</v>
      </c>
      <c r="AL29" s="78" t="s">
        <v>28</v>
      </c>
      <c r="AM29" s="78" t="s">
        <v>51</v>
      </c>
      <c r="AN29" s="78" t="s">
        <v>152</v>
      </c>
      <c r="AO29" s="78">
        <v>1.5417664941480935</v>
      </c>
      <c r="AR29" s="78" t="s">
        <v>53</v>
      </c>
      <c r="AS29" s="78" t="s">
        <v>20</v>
      </c>
      <c r="AT29" s="78" t="s">
        <v>41</v>
      </c>
      <c r="AU29" s="78" t="s">
        <v>51</v>
      </c>
      <c r="AV29" s="78" t="s">
        <v>317</v>
      </c>
      <c r="AW29" s="78">
        <v>3500</v>
      </c>
    </row>
    <row r="30" spans="1:49" s="78" customFormat="1">
      <c r="A30" s="147" t="s">
        <v>19</v>
      </c>
      <c r="B30" s="147" t="s">
        <v>53</v>
      </c>
      <c r="C30" s="147" t="s">
        <v>7</v>
      </c>
      <c r="D30" s="147" t="s">
        <v>51</v>
      </c>
      <c r="E30" s="148" t="s">
        <v>318</v>
      </c>
      <c r="F30" s="147">
        <v>1</v>
      </c>
      <c r="I30" s="76" t="s">
        <v>53</v>
      </c>
      <c r="J30" s="76" t="s">
        <v>19</v>
      </c>
      <c r="K30" s="76" t="s">
        <v>7</v>
      </c>
      <c r="L30" s="76" t="s">
        <v>51</v>
      </c>
      <c r="M30" s="76" t="s">
        <v>315</v>
      </c>
      <c r="N30" s="76">
        <v>1</v>
      </c>
      <c r="Q30" s="78" t="s">
        <v>53</v>
      </c>
      <c r="R30" s="78" t="s">
        <v>19</v>
      </c>
      <c r="S30" s="78" t="s">
        <v>7</v>
      </c>
      <c r="T30" s="78" t="s">
        <v>51</v>
      </c>
      <c r="U30" s="78" t="s">
        <v>316</v>
      </c>
      <c r="V30" s="78">
        <v>1</v>
      </c>
      <c r="AC30" s="78" t="s">
        <v>52</v>
      </c>
      <c r="AD30" s="78" t="s">
        <v>17</v>
      </c>
      <c r="AE30" s="78" t="s">
        <v>72</v>
      </c>
      <c r="AF30" s="78" t="s">
        <v>51</v>
      </c>
      <c r="AG30" s="78" t="s">
        <v>153</v>
      </c>
      <c r="AH30" s="78">
        <v>4.1577414411756237</v>
      </c>
      <c r="AJ30" s="78" t="s">
        <v>52</v>
      </c>
      <c r="AK30" s="78" t="s">
        <v>17</v>
      </c>
      <c r="AL30" s="78" t="s">
        <v>28</v>
      </c>
      <c r="AM30" s="78" t="s">
        <v>51</v>
      </c>
      <c r="AN30" s="78" t="s">
        <v>153</v>
      </c>
      <c r="AO30" s="78">
        <v>1.566853019639814</v>
      </c>
      <c r="AR30" s="78" t="s">
        <v>54</v>
      </c>
      <c r="AS30" s="78" t="s">
        <v>20</v>
      </c>
      <c r="AT30" s="78" t="s">
        <v>0</v>
      </c>
      <c r="AU30" s="78" t="s">
        <v>51</v>
      </c>
      <c r="AV30" s="78" t="s">
        <v>317</v>
      </c>
      <c r="AW30" s="78">
        <v>4.3860000000000001</v>
      </c>
    </row>
    <row r="31" spans="1:49" s="78" customFormat="1">
      <c r="A31" s="147" t="s">
        <v>19</v>
      </c>
      <c r="B31" s="147" t="s">
        <v>53</v>
      </c>
      <c r="C31" s="147" t="s">
        <v>25</v>
      </c>
      <c r="D31" s="147" t="s">
        <v>51</v>
      </c>
      <c r="E31" s="148" t="s">
        <v>318</v>
      </c>
      <c r="F31" s="147">
        <v>1</v>
      </c>
      <c r="I31" s="76" t="s">
        <v>53</v>
      </c>
      <c r="J31" s="76" t="s">
        <v>19</v>
      </c>
      <c r="K31" s="76" t="s">
        <v>25</v>
      </c>
      <c r="L31" s="76" t="s">
        <v>51</v>
      </c>
      <c r="M31" s="76" t="s">
        <v>315</v>
      </c>
      <c r="N31" s="76">
        <v>1</v>
      </c>
      <c r="Q31" s="78" t="s">
        <v>53</v>
      </c>
      <c r="R31" s="78" t="s">
        <v>19</v>
      </c>
      <c r="S31" s="78" t="s">
        <v>25</v>
      </c>
      <c r="T31" s="78" t="s">
        <v>51</v>
      </c>
      <c r="U31" s="78" t="s">
        <v>316</v>
      </c>
      <c r="V31" s="78">
        <v>1</v>
      </c>
      <c r="AC31" s="78" t="s">
        <v>52</v>
      </c>
      <c r="AD31" s="78" t="s">
        <v>17</v>
      </c>
      <c r="AE31" s="78" t="s">
        <v>72</v>
      </c>
      <c r="AF31" s="78" t="s">
        <v>51</v>
      </c>
      <c r="AG31" s="78" t="s">
        <v>154</v>
      </c>
      <c r="AH31" s="78">
        <v>4.2312138395879879</v>
      </c>
      <c r="AJ31" s="78" t="s">
        <v>52</v>
      </c>
      <c r="AK31" s="78" t="s">
        <v>17</v>
      </c>
      <c r="AL31" s="78" t="s">
        <v>28</v>
      </c>
      <c r="AM31" s="78" t="s">
        <v>51</v>
      </c>
      <c r="AN31" s="78" t="s">
        <v>154</v>
      </c>
      <c r="AO31" s="78">
        <v>1.5972967358474679</v>
      </c>
      <c r="AR31" s="78" t="s">
        <v>54</v>
      </c>
      <c r="AS31" s="78" t="s">
        <v>20</v>
      </c>
      <c r="AT31" s="78" t="s">
        <v>40</v>
      </c>
      <c r="AU31" s="78" t="s">
        <v>51</v>
      </c>
      <c r="AV31" s="78" t="s">
        <v>317</v>
      </c>
      <c r="AW31" s="78">
        <v>2641</v>
      </c>
    </row>
    <row r="32" spans="1:49" s="78" customFormat="1">
      <c r="A32" s="147" t="s">
        <v>20</v>
      </c>
      <c r="B32" s="147" t="s">
        <v>53</v>
      </c>
      <c r="C32" s="147" t="s">
        <v>72</v>
      </c>
      <c r="D32" s="147" t="s">
        <v>51</v>
      </c>
      <c r="E32" s="148" t="s">
        <v>318</v>
      </c>
      <c r="F32" s="147">
        <v>4.0943750000000003</v>
      </c>
      <c r="I32" s="76" t="s">
        <v>53</v>
      </c>
      <c r="J32" s="76" t="s">
        <v>20</v>
      </c>
      <c r="K32" s="76" t="s">
        <v>72</v>
      </c>
      <c r="L32" s="76" t="s">
        <v>51</v>
      </c>
      <c r="M32" s="76" t="s">
        <v>315</v>
      </c>
      <c r="N32" s="76">
        <v>4.0943750000000003</v>
      </c>
      <c r="Q32" s="78" t="s">
        <v>53</v>
      </c>
      <c r="R32" s="78" t="s">
        <v>20</v>
      </c>
      <c r="S32" s="78" t="s">
        <v>72</v>
      </c>
      <c r="T32" s="78" t="s">
        <v>51</v>
      </c>
      <c r="U32" s="78" t="s">
        <v>316</v>
      </c>
      <c r="V32" s="78">
        <v>4.126125</v>
      </c>
      <c r="AC32" s="78" t="s">
        <v>52</v>
      </c>
      <c r="AD32" s="78" t="s">
        <v>17</v>
      </c>
      <c r="AE32" s="78" t="s">
        <v>72</v>
      </c>
      <c r="AF32" s="78" t="s">
        <v>51</v>
      </c>
      <c r="AG32" s="78" t="s">
        <v>155</v>
      </c>
      <c r="AH32" s="78">
        <v>4.2605110281721359</v>
      </c>
      <c r="AJ32" s="78" t="s">
        <v>52</v>
      </c>
      <c r="AK32" s="78" t="s">
        <v>17</v>
      </c>
      <c r="AL32" s="78" t="s">
        <v>28</v>
      </c>
      <c r="AM32" s="78" t="s">
        <v>51</v>
      </c>
      <c r="AN32" s="78" t="s">
        <v>155</v>
      </c>
      <c r="AO32" s="78">
        <v>1.6317285692936163</v>
      </c>
      <c r="AR32" s="78" t="s">
        <v>54</v>
      </c>
      <c r="AS32" s="78" t="s">
        <v>20</v>
      </c>
      <c r="AT32" s="78" t="s">
        <v>1</v>
      </c>
      <c r="AU32" s="78" t="s">
        <v>51</v>
      </c>
      <c r="AV32" s="78" t="s">
        <v>317</v>
      </c>
      <c r="AW32" s="78">
        <v>500000</v>
      </c>
    </row>
    <row r="33" spans="1:49" s="78" customFormat="1">
      <c r="A33" s="147" t="s">
        <v>20</v>
      </c>
      <c r="B33" s="147" t="s">
        <v>53</v>
      </c>
      <c r="C33" s="147" t="s">
        <v>0</v>
      </c>
      <c r="D33" s="147" t="s">
        <v>51</v>
      </c>
      <c r="E33" s="148" t="s">
        <v>318</v>
      </c>
      <c r="F33" s="147">
        <v>4.923</v>
      </c>
      <c r="I33" s="76" t="s">
        <v>53</v>
      </c>
      <c r="J33" s="76" t="s">
        <v>20</v>
      </c>
      <c r="K33" s="76" t="s">
        <v>0</v>
      </c>
      <c r="L33" s="76" t="s">
        <v>51</v>
      </c>
      <c r="M33" s="76" t="s">
        <v>315</v>
      </c>
      <c r="N33" s="76">
        <v>4.923</v>
      </c>
      <c r="Q33" s="78" t="s">
        <v>53</v>
      </c>
      <c r="R33" s="78" t="s">
        <v>20</v>
      </c>
      <c r="S33" s="78" t="s">
        <v>0</v>
      </c>
      <c r="T33" s="78" t="s">
        <v>51</v>
      </c>
      <c r="U33" s="78" t="s">
        <v>316</v>
      </c>
      <c r="V33" s="78">
        <v>4.9340000000000002</v>
      </c>
      <c r="AC33" s="78" t="s">
        <v>52</v>
      </c>
      <c r="AD33" s="78" t="s">
        <v>17</v>
      </c>
      <c r="AE33" s="78" t="s">
        <v>72</v>
      </c>
      <c r="AF33" s="78" t="s">
        <v>51</v>
      </c>
      <c r="AG33" s="78" t="s">
        <v>156</v>
      </c>
      <c r="AH33" s="78">
        <v>4.2312138395879879</v>
      </c>
      <c r="AJ33" s="78" t="s">
        <v>52</v>
      </c>
      <c r="AK33" s="78" t="s">
        <v>17</v>
      </c>
      <c r="AL33" s="78" t="s">
        <v>28</v>
      </c>
      <c r="AM33" s="78" t="s">
        <v>51</v>
      </c>
      <c r="AN33" s="78" t="s">
        <v>156</v>
      </c>
      <c r="AO33" s="78">
        <v>1.6108923279367977</v>
      </c>
      <c r="AR33" s="78" t="s">
        <v>54</v>
      </c>
      <c r="AS33" s="78" t="s">
        <v>20</v>
      </c>
      <c r="AT33" s="78" t="s">
        <v>7</v>
      </c>
      <c r="AU33" s="78" t="s">
        <v>51</v>
      </c>
      <c r="AV33" s="78" t="s">
        <v>317</v>
      </c>
      <c r="AW33" s="78">
        <v>1</v>
      </c>
    </row>
    <row r="34" spans="1:49" s="78" customFormat="1">
      <c r="A34" s="155" t="s">
        <v>20</v>
      </c>
      <c r="B34" s="155" t="s">
        <v>53</v>
      </c>
      <c r="C34" s="155" t="s">
        <v>40</v>
      </c>
      <c r="D34" s="155" t="s">
        <v>51</v>
      </c>
      <c r="E34" s="157" t="s">
        <v>318</v>
      </c>
      <c r="F34" s="155">
        <v>7255</v>
      </c>
      <c r="I34" s="76" t="s">
        <v>53</v>
      </c>
      <c r="J34" s="76" t="s">
        <v>20</v>
      </c>
      <c r="K34" s="76" t="s">
        <v>40</v>
      </c>
      <c r="L34" s="76" t="s">
        <v>51</v>
      </c>
      <c r="M34" s="76" t="s">
        <v>315</v>
      </c>
      <c r="N34" s="76">
        <v>7255</v>
      </c>
      <c r="Q34" s="78" t="s">
        <v>53</v>
      </c>
      <c r="R34" s="78" t="s">
        <v>20</v>
      </c>
      <c r="S34" s="78" t="s">
        <v>40</v>
      </c>
      <c r="T34" s="78" t="s">
        <v>51</v>
      </c>
      <c r="U34" s="78" t="s">
        <v>316</v>
      </c>
      <c r="V34" s="78">
        <v>7509</v>
      </c>
      <c r="AC34" s="78" t="s">
        <v>52</v>
      </c>
      <c r="AD34" s="78" t="s">
        <v>17</v>
      </c>
      <c r="AE34" s="78" t="s">
        <v>72</v>
      </c>
      <c r="AF34" s="78" t="s">
        <v>51</v>
      </c>
      <c r="AG34" s="78" t="s">
        <v>157</v>
      </c>
      <c r="AH34" s="78">
        <v>4.225348119194102</v>
      </c>
      <c r="AJ34" s="78" t="s">
        <v>52</v>
      </c>
      <c r="AK34" s="78" t="s">
        <v>17</v>
      </c>
      <c r="AL34" s="78" t="s">
        <v>28</v>
      </c>
      <c r="AM34" s="78" t="s">
        <v>51</v>
      </c>
      <c r="AN34" s="78" t="s">
        <v>157</v>
      </c>
      <c r="AO34" s="78">
        <v>1.577689840766002</v>
      </c>
      <c r="AR34" s="78" t="s">
        <v>54</v>
      </c>
      <c r="AS34" s="78" t="s">
        <v>20</v>
      </c>
      <c r="AT34" s="78" t="s">
        <v>25</v>
      </c>
      <c r="AU34" s="78" t="s">
        <v>51</v>
      </c>
      <c r="AV34" s="78" t="s">
        <v>317</v>
      </c>
      <c r="AW34" s="78">
        <v>4.375</v>
      </c>
    </row>
    <row r="35" spans="1:49" s="78" customFormat="1">
      <c r="A35" s="155" t="s">
        <v>20</v>
      </c>
      <c r="B35" s="155" t="s">
        <v>53</v>
      </c>
      <c r="C35" s="155" t="s">
        <v>1</v>
      </c>
      <c r="D35" s="155" t="s">
        <v>51</v>
      </c>
      <c r="E35" s="157" t="s">
        <v>318</v>
      </c>
      <c r="F35" s="155">
        <v>200000</v>
      </c>
      <c r="I35" s="76" t="s">
        <v>53</v>
      </c>
      <c r="J35" s="76" t="s">
        <v>20</v>
      </c>
      <c r="K35" s="76" t="s">
        <v>1</v>
      </c>
      <c r="L35" s="76" t="s">
        <v>51</v>
      </c>
      <c r="M35" s="76" t="s">
        <v>315</v>
      </c>
      <c r="N35" s="76">
        <v>200000</v>
      </c>
      <c r="Q35" s="78" t="s">
        <v>53</v>
      </c>
      <c r="R35" s="78" t="s">
        <v>20</v>
      </c>
      <c r="S35" s="78" t="s">
        <v>1</v>
      </c>
      <c r="T35" s="78" t="s">
        <v>51</v>
      </c>
      <c r="U35" s="78" t="s">
        <v>316</v>
      </c>
      <c r="V35" s="78">
        <v>200000</v>
      </c>
      <c r="AC35" s="78" t="s">
        <v>52</v>
      </c>
      <c r="AD35" s="78" t="s">
        <v>17</v>
      </c>
      <c r="AE35" s="78" t="s">
        <v>72</v>
      </c>
      <c r="AF35" s="78" t="s">
        <v>51</v>
      </c>
      <c r="AG35" s="78" t="s">
        <v>158</v>
      </c>
      <c r="AH35" s="78">
        <v>4.2370774645785501</v>
      </c>
      <c r="AJ35" s="78" t="s">
        <v>52</v>
      </c>
      <c r="AK35" s="78" t="s">
        <v>17</v>
      </c>
      <c r="AL35" s="78" t="s">
        <v>28</v>
      </c>
      <c r="AM35" s="78" t="s">
        <v>51</v>
      </c>
      <c r="AN35" s="78" t="s">
        <v>158</v>
      </c>
      <c r="AO35" s="78">
        <v>1.5696829020466398</v>
      </c>
      <c r="AR35" s="78" t="s">
        <v>55</v>
      </c>
      <c r="AS35" s="78" t="s">
        <v>20</v>
      </c>
      <c r="AT35" s="78" t="s">
        <v>0</v>
      </c>
      <c r="AU35" s="78" t="s">
        <v>51</v>
      </c>
      <c r="AV35" s="78" t="s">
        <v>317</v>
      </c>
      <c r="AW35" s="78">
        <v>4.1449999999999996</v>
      </c>
    </row>
    <row r="36" spans="1:49" s="78" customFormat="1">
      <c r="A36" s="155" t="s">
        <v>20</v>
      </c>
      <c r="B36" s="155" t="s">
        <v>53</v>
      </c>
      <c r="C36" s="155" t="s">
        <v>7</v>
      </c>
      <c r="D36" s="155" t="s">
        <v>51</v>
      </c>
      <c r="E36" s="157" t="s">
        <v>318</v>
      </c>
      <c r="F36" s="155">
        <v>1</v>
      </c>
      <c r="I36" s="76" t="s">
        <v>53</v>
      </c>
      <c r="J36" s="76" t="s">
        <v>20</v>
      </c>
      <c r="K36" s="76" t="s">
        <v>7</v>
      </c>
      <c r="L36" s="76" t="s">
        <v>51</v>
      </c>
      <c r="M36" s="76" t="s">
        <v>315</v>
      </c>
      <c r="N36" s="76">
        <v>1</v>
      </c>
      <c r="Q36" s="78" t="s">
        <v>53</v>
      </c>
      <c r="R36" s="78" t="s">
        <v>20</v>
      </c>
      <c r="S36" s="78" t="s">
        <v>7</v>
      </c>
      <c r="T36" s="78" t="s">
        <v>51</v>
      </c>
      <c r="U36" s="78" t="s">
        <v>316</v>
      </c>
      <c r="V36" s="78">
        <v>1</v>
      </c>
      <c r="AC36" s="78" t="s">
        <v>52</v>
      </c>
      <c r="AD36" s="78" t="s">
        <v>17</v>
      </c>
      <c r="AE36" s="78" t="s">
        <v>72</v>
      </c>
      <c r="AF36" s="78" t="s">
        <v>51</v>
      </c>
      <c r="AG36" s="78" t="s">
        <v>159</v>
      </c>
      <c r="AH36" s="78">
        <v>4.2282812413722635</v>
      </c>
      <c r="AJ36" s="78" t="s">
        <v>52</v>
      </c>
      <c r="AK36" s="78" t="s">
        <v>17</v>
      </c>
      <c r="AL36" s="78" t="s">
        <v>28</v>
      </c>
      <c r="AM36" s="78" t="s">
        <v>51</v>
      </c>
      <c r="AN36" s="78" t="s">
        <v>159</v>
      </c>
      <c r="AO36" s="78">
        <v>1.5869407909553535</v>
      </c>
      <c r="AR36" s="78" t="s">
        <v>55</v>
      </c>
      <c r="AS36" s="78" t="s">
        <v>20</v>
      </c>
      <c r="AT36" s="78" t="s">
        <v>40</v>
      </c>
      <c r="AU36" s="78" t="s">
        <v>51</v>
      </c>
      <c r="AV36" s="78" t="s">
        <v>317</v>
      </c>
      <c r="AW36" s="78">
        <v>4903</v>
      </c>
    </row>
    <row r="37" spans="1:49" s="78" customFormat="1">
      <c r="A37" s="155" t="s">
        <v>20</v>
      </c>
      <c r="B37" s="155" t="s">
        <v>53</v>
      </c>
      <c r="C37" s="155" t="s">
        <v>25</v>
      </c>
      <c r="D37" s="155" t="s">
        <v>51</v>
      </c>
      <c r="E37" s="157" t="s">
        <v>318</v>
      </c>
      <c r="F37" s="155">
        <v>3.875</v>
      </c>
      <c r="I37" s="76" t="s">
        <v>53</v>
      </c>
      <c r="J37" s="76" t="s">
        <v>20</v>
      </c>
      <c r="K37" s="76" t="s">
        <v>25</v>
      </c>
      <c r="L37" s="76" t="s">
        <v>51</v>
      </c>
      <c r="M37" s="76" t="s">
        <v>315</v>
      </c>
      <c r="N37" s="76">
        <v>3.875</v>
      </c>
      <c r="Q37" s="78" t="s">
        <v>53</v>
      </c>
      <c r="R37" s="78" t="s">
        <v>20</v>
      </c>
      <c r="S37" s="78" t="s">
        <v>25</v>
      </c>
      <c r="T37" s="78" t="s">
        <v>51</v>
      </c>
      <c r="U37" s="78" t="s">
        <v>316</v>
      </c>
      <c r="V37" s="78">
        <v>3.875</v>
      </c>
      <c r="AC37" s="78" t="s">
        <v>52</v>
      </c>
      <c r="AD37" s="78" t="s">
        <v>17</v>
      </c>
      <c r="AE37" s="78" t="s">
        <v>72</v>
      </c>
      <c r="AF37" s="78" t="s">
        <v>51</v>
      </c>
      <c r="AG37" s="78" t="s">
        <v>160</v>
      </c>
      <c r="AH37" s="78">
        <v>4.1724621964444255</v>
      </c>
      <c r="AJ37" s="78" t="s">
        <v>52</v>
      </c>
      <c r="AK37" s="78" t="s">
        <v>17</v>
      </c>
      <c r="AL37" s="78" t="s">
        <v>28</v>
      </c>
      <c r="AM37" s="78" t="s">
        <v>51</v>
      </c>
      <c r="AN37" s="78" t="s">
        <v>160</v>
      </c>
      <c r="AO37" s="78">
        <v>1.5756034291830356</v>
      </c>
      <c r="AR37" s="78" t="s">
        <v>55</v>
      </c>
      <c r="AS37" s="78" t="s">
        <v>20</v>
      </c>
      <c r="AT37" s="78" t="s">
        <v>1</v>
      </c>
      <c r="AU37" s="78" t="s">
        <v>51</v>
      </c>
      <c r="AV37" s="78" t="s">
        <v>317</v>
      </c>
      <c r="AW37" s="78">
        <v>750000</v>
      </c>
    </row>
    <row r="38" spans="1:49" s="78" customFormat="1">
      <c r="A38" s="155" t="s">
        <v>20</v>
      </c>
      <c r="B38" s="155" t="s">
        <v>53</v>
      </c>
      <c r="C38" s="155" t="s">
        <v>28</v>
      </c>
      <c r="D38" s="155" t="s">
        <v>51</v>
      </c>
      <c r="E38" s="157" t="s">
        <v>318</v>
      </c>
      <c r="F38" s="155">
        <v>1.5946035741745701</v>
      </c>
      <c r="I38" s="76" t="s">
        <v>53</v>
      </c>
      <c r="J38" s="76" t="s">
        <v>20</v>
      </c>
      <c r="K38" s="76" t="s">
        <v>28</v>
      </c>
      <c r="L38" s="76" t="s">
        <v>51</v>
      </c>
      <c r="M38" s="76" t="s">
        <v>315</v>
      </c>
      <c r="N38" s="76">
        <v>1.5255715728238399</v>
      </c>
      <c r="Q38" s="78" t="s">
        <v>53</v>
      </c>
      <c r="R38" s="78" t="s">
        <v>20</v>
      </c>
      <c r="S38" s="78" t="s">
        <v>28</v>
      </c>
      <c r="T38" s="78" t="s">
        <v>51</v>
      </c>
      <c r="U38" s="78" t="s">
        <v>316</v>
      </c>
      <c r="V38" s="78">
        <v>1.5345815505845701</v>
      </c>
      <c r="AC38" s="78" t="s">
        <v>52</v>
      </c>
      <c r="AD38" s="78" t="s">
        <v>17</v>
      </c>
      <c r="AE38" s="78" t="s">
        <v>72</v>
      </c>
      <c r="AF38" s="78" t="s">
        <v>51</v>
      </c>
      <c r="AG38" s="78" t="s">
        <v>161</v>
      </c>
      <c r="AH38" s="78">
        <v>4.1754047688553753</v>
      </c>
      <c r="AJ38" s="78" t="s">
        <v>52</v>
      </c>
      <c r="AK38" s="78" t="s">
        <v>17</v>
      </c>
      <c r="AL38" s="78" t="s">
        <v>28</v>
      </c>
      <c r="AM38" s="78" t="s">
        <v>51</v>
      </c>
      <c r="AN38" s="78" t="s">
        <v>161</v>
      </c>
      <c r="AO38" s="78">
        <v>1.590711184285585</v>
      </c>
      <c r="AR38" s="78" t="s">
        <v>55</v>
      </c>
      <c r="AS38" s="78" t="s">
        <v>20</v>
      </c>
      <c r="AT38" s="78" t="s">
        <v>7</v>
      </c>
      <c r="AU38" s="78" t="s">
        <v>51</v>
      </c>
      <c r="AV38" s="78" t="s">
        <v>317</v>
      </c>
      <c r="AW38" s="78">
        <v>1</v>
      </c>
    </row>
    <row r="39" spans="1:49" s="78" customFormat="1">
      <c r="A39" s="155" t="s">
        <v>20</v>
      </c>
      <c r="B39" s="155" t="s">
        <v>53</v>
      </c>
      <c r="C39" s="155" t="s">
        <v>41</v>
      </c>
      <c r="D39" s="155" t="s">
        <v>51</v>
      </c>
      <c r="E39" s="157" t="s">
        <v>318</v>
      </c>
      <c r="F39" s="155">
        <v>3500</v>
      </c>
      <c r="I39" s="76" t="s">
        <v>53</v>
      </c>
      <c r="J39" s="76" t="s">
        <v>20</v>
      </c>
      <c r="K39" s="76" t="s">
        <v>41</v>
      </c>
      <c r="L39" s="76" t="s">
        <v>51</v>
      </c>
      <c r="M39" s="76" t="s">
        <v>315</v>
      </c>
      <c r="N39" s="76">
        <v>3500</v>
      </c>
      <c r="Q39" s="78" t="s">
        <v>53</v>
      </c>
      <c r="R39" s="78" t="s">
        <v>20</v>
      </c>
      <c r="S39" s="78" t="s">
        <v>41</v>
      </c>
      <c r="T39" s="78" t="s">
        <v>51</v>
      </c>
      <c r="U39" s="78" t="s">
        <v>316</v>
      </c>
      <c r="V39" s="78">
        <v>3500</v>
      </c>
      <c r="AC39" s="78" t="s">
        <v>52</v>
      </c>
      <c r="AD39" s="78" t="s">
        <v>17</v>
      </c>
      <c r="AE39" s="78" t="s">
        <v>72</v>
      </c>
      <c r="AF39" s="78" t="s">
        <v>51</v>
      </c>
      <c r="AG39" s="78" t="s">
        <v>162</v>
      </c>
      <c r="AH39" s="78">
        <v>4.160686645028302</v>
      </c>
      <c r="AJ39" s="78" t="s">
        <v>52</v>
      </c>
      <c r="AK39" s="78" t="s">
        <v>17</v>
      </c>
      <c r="AL39" s="78" t="s">
        <v>28</v>
      </c>
      <c r="AM39" s="78" t="s">
        <v>51</v>
      </c>
      <c r="AN39" s="78" t="s">
        <v>162</v>
      </c>
      <c r="AO39" s="78">
        <v>1.584783703229552</v>
      </c>
      <c r="AR39" s="78" t="s">
        <v>55</v>
      </c>
      <c r="AS39" s="78" t="s">
        <v>20</v>
      </c>
      <c r="AT39" s="78" t="s">
        <v>25</v>
      </c>
      <c r="AU39" s="78" t="s">
        <v>51</v>
      </c>
      <c r="AV39" s="78" t="s">
        <v>317</v>
      </c>
      <c r="AW39" s="78">
        <v>4.125</v>
      </c>
    </row>
    <row r="40" spans="1:49" s="78" customFormat="1">
      <c r="A40" s="78" t="s">
        <v>20</v>
      </c>
      <c r="B40" s="78" t="s">
        <v>54</v>
      </c>
      <c r="C40" s="78" t="s">
        <v>72</v>
      </c>
      <c r="D40" s="78" t="s">
        <v>51</v>
      </c>
      <c r="E40" s="79" t="s">
        <v>318</v>
      </c>
      <c r="F40" s="78">
        <v>3.9949531909148654</v>
      </c>
      <c r="I40" s="76" t="s">
        <v>54</v>
      </c>
      <c r="J40" s="76" t="s">
        <v>20</v>
      </c>
      <c r="K40" s="76" t="s">
        <v>72</v>
      </c>
      <c r="L40" s="76" t="s">
        <v>51</v>
      </c>
      <c r="M40" s="76" t="s">
        <v>315</v>
      </c>
      <c r="N40" s="76">
        <v>3.9949531909148654</v>
      </c>
      <c r="Q40" s="78" t="s">
        <v>54</v>
      </c>
      <c r="R40" s="78" t="s">
        <v>20</v>
      </c>
      <c r="S40" s="78" t="s">
        <v>72</v>
      </c>
      <c r="T40" s="78" t="s">
        <v>51</v>
      </c>
      <c r="U40" s="78" t="s">
        <v>316</v>
      </c>
      <c r="V40" s="78">
        <v>4.0061842576350095</v>
      </c>
      <c r="AC40" s="78" t="s">
        <v>52</v>
      </c>
      <c r="AD40" s="78" t="s">
        <v>17</v>
      </c>
      <c r="AE40" s="78" t="s">
        <v>72</v>
      </c>
      <c r="AF40" s="78" t="s">
        <v>51</v>
      </c>
      <c r="AG40" s="78" t="s">
        <v>163</v>
      </c>
      <c r="AH40" s="78">
        <v>4.1253094173164744</v>
      </c>
      <c r="AJ40" s="78" t="s">
        <v>52</v>
      </c>
      <c r="AK40" s="78" t="s">
        <v>17</v>
      </c>
      <c r="AL40" s="78" t="s">
        <v>28</v>
      </c>
      <c r="AM40" s="78" t="s">
        <v>51</v>
      </c>
      <c r="AN40" s="78" t="s">
        <v>163</v>
      </c>
      <c r="AO40" s="78">
        <v>1.5581889968587042</v>
      </c>
    </row>
    <row r="41" spans="1:49" s="78" customFormat="1">
      <c r="A41" s="78" t="s">
        <v>20</v>
      </c>
      <c r="B41" s="78" t="s">
        <v>54</v>
      </c>
      <c r="C41" s="78" t="s">
        <v>0</v>
      </c>
      <c r="D41" s="78" t="s">
        <v>51</v>
      </c>
      <c r="E41" s="79" t="s">
        <v>318</v>
      </c>
      <c r="F41" s="78">
        <v>4.0179999999999998</v>
      </c>
      <c r="I41" s="76" t="s">
        <v>54</v>
      </c>
      <c r="J41" s="76" t="s">
        <v>20</v>
      </c>
      <c r="K41" s="76" t="s">
        <v>0</v>
      </c>
      <c r="L41" s="76" t="s">
        <v>51</v>
      </c>
      <c r="M41" s="76" t="s">
        <v>315</v>
      </c>
      <c r="N41" s="76">
        <v>4.0179999999999998</v>
      </c>
      <c r="Q41" s="78" t="s">
        <v>54</v>
      </c>
      <c r="R41" s="78" t="s">
        <v>20</v>
      </c>
      <c r="S41" s="78" t="s">
        <v>0</v>
      </c>
      <c r="T41" s="78" t="s">
        <v>51</v>
      </c>
      <c r="U41" s="78" t="s">
        <v>316</v>
      </c>
      <c r="V41" s="78">
        <v>4.1360000000000001</v>
      </c>
      <c r="AC41" s="78" t="s">
        <v>52</v>
      </c>
      <c r="AD41" s="78" t="s">
        <v>17</v>
      </c>
      <c r="AE41" s="78" t="s">
        <v>72</v>
      </c>
      <c r="AF41" s="78" t="s">
        <v>51</v>
      </c>
      <c r="AG41" s="78" t="s">
        <v>164</v>
      </c>
      <c r="AH41" s="78">
        <v>4.1518494534957036</v>
      </c>
      <c r="AJ41" s="78" t="s">
        <v>52</v>
      </c>
      <c r="AK41" s="78" t="s">
        <v>17</v>
      </c>
      <c r="AL41" s="78" t="s">
        <v>28</v>
      </c>
      <c r="AM41" s="78" t="s">
        <v>51</v>
      </c>
      <c r="AN41" s="78" t="s">
        <v>164</v>
      </c>
      <c r="AO41" s="78">
        <v>1.5532602364254431</v>
      </c>
    </row>
    <row r="42" spans="1:49" s="78" customFormat="1">
      <c r="A42" s="78" t="s">
        <v>20</v>
      </c>
      <c r="B42" s="78" t="s">
        <v>54</v>
      </c>
      <c r="C42" s="78" t="s">
        <v>40</v>
      </c>
      <c r="D42" s="78" t="s">
        <v>51</v>
      </c>
      <c r="E42" s="79" t="s">
        <v>318</v>
      </c>
      <c r="F42" s="78">
        <v>3814</v>
      </c>
      <c r="I42" s="76" t="s">
        <v>54</v>
      </c>
      <c r="J42" s="76" t="s">
        <v>20</v>
      </c>
      <c r="K42" s="76" t="s">
        <v>40</v>
      </c>
      <c r="L42" s="76" t="s">
        <v>51</v>
      </c>
      <c r="M42" s="76" t="s">
        <v>315</v>
      </c>
      <c r="N42" s="76">
        <v>3814</v>
      </c>
      <c r="Q42" s="78" t="s">
        <v>54</v>
      </c>
      <c r="R42" s="78" t="s">
        <v>20</v>
      </c>
      <c r="S42" s="78" t="s">
        <v>40</v>
      </c>
      <c r="T42" s="78" t="s">
        <v>51</v>
      </c>
      <c r="U42" s="78" t="s">
        <v>316</v>
      </c>
      <c r="V42" s="78">
        <v>1965</v>
      </c>
      <c r="AC42" s="78" t="s">
        <v>52</v>
      </c>
      <c r="AD42" s="78" t="s">
        <v>17</v>
      </c>
      <c r="AE42" s="78" t="s">
        <v>72</v>
      </c>
      <c r="AF42" s="78" t="s">
        <v>51</v>
      </c>
      <c r="AG42" s="78" t="s">
        <v>165</v>
      </c>
      <c r="AH42" s="78">
        <v>4.2018642658889958</v>
      </c>
      <c r="AJ42" s="78" t="s">
        <v>52</v>
      </c>
      <c r="AK42" s="78" t="s">
        <v>17</v>
      </c>
      <c r="AL42" s="78" t="s">
        <v>28</v>
      </c>
      <c r="AM42" s="78" t="s">
        <v>51</v>
      </c>
      <c r="AN42" s="78" t="s">
        <v>165</v>
      </c>
      <c r="AO42" s="78">
        <v>1.5793431858039257</v>
      </c>
    </row>
    <row r="43" spans="1:49" s="78" customFormat="1">
      <c r="A43" s="78" t="s">
        <v>20</v>
      </c>
      <c r="B43" s="78" t="s">
        <v>54</v>
      </c>
      <c r="C43" s="78" t="s">
        <v>1</v>
      </c>
      <c r="D43" s="78" t="s">
        <v>51</v>
      </c>
      <c r="E43" s="79" t="s">
        <v>318</v>
      </c>
      <c r="F43" s="78">
        <v>500000</v>
      </c>
      <c r="I43" s="76" t="s">
        <v>54</v>
      </c>
      <c r="J43" s="76" t="s">
        <v>20</v>
      </c>
      <c r="K43" s="76" t="s">
        <v>1</v>
      </c>
      <c r="L43" s="76" t="s">
        <v>51</v>
      </c>
      <c r="M43" s="76" t="s">
        <v>315</v>
      </c>
      <c r="N43" s="76">
        <v>500000</v>
      </c>
      <c r="Q43" s="78" t="s">
        <v>54</v>
      </c>
      <c r="R43" s="78" t="s">
        <v>20</v>
      </c>
      <c r="S43" s="78" t="s">
        <v>1</v>
      </c>
      <c r="T43" s="78" t="s">
        <v>51</v>
      </c>
      <c r="U43" s="78" t="s">
        <v>316</v>
      </c>
      <c r="V43" s="78">
        <v>500000</v>
      </c>
      <c r="AC43" s="78" t="s">
        <v>52</v>
      </c>
      <c r="AD43" s="78" t="s">
        <v>17</v>
      </c>
      <c r="AE43" s="78" t="s">
        <v>72</v>
      </c>
      <c r="AF43" s="78" t="s">
        <v>51</v>
      </c>
      <c r="AG43" s="78" t="s">
        <v>166</v>
      </c>
      <c r="AH43" s="78">
        <v>4.2106746450138894</v>
      </c>
      <c r="AJ43" s="78" t="s">
        <v>52</v>
      </c>
      <c r="AK43" s="78" t="s">
        <v>17</v>
      </c>
      <c r="AL43" s="78" t="s">
        <v>28</v>
      </c>
      <c r="AM43" s="78" t="s">
        <v>51</v>
      </c>
      <c r="AN43" s="78" t="s">
        <v>166</v>
      </c>
      <c r="AO43" s="78">
        <v>1.5353482312671591</v>
      </c>
    </row>
    <row r="44" spans="1:49" s="78" customFormat="1">
      <c r="A44" s="78" t="s">
        <v>20</v>
      </c>
      <c r="B44" s="78" t="s">
        <v>54</v>
      </c>
      <c r="C44" s="78" t="s">
        <v>7</v>
      </c>
      <c r="D44" s="78" t="s">
        <v>51</v>
      </c>
      <c r="E44" s="79" t="s">
        <v>318</v>
      </c>
      <c r="F44" s="78">
        <v>1</v>
      </c>
      <c r="I44" s="76" t="s">
        <v>54</v>
      </c>
      <c r="J44" s="76" t="s">
        <v>20</v>
      </c>
      <c r="K44" s="76" t="s">
        <v>7</v>
      </c>
      <c r="L44" s="76" t="s">
        <v>51</v>
      </c>
      <c r="M44" s="76" t="s">
        <v>315</v>
      </c>
      <c r="N44" s="76">
        <v>1</v>
      </c>
      <c r="Q44" s="78" t="s">
        <v>54</v>
      </c>
      <c r="R44" s="78" t="s">
        <v>20</v>
      </c>
      <c r="S44" s="78" t="s">
        <v>7</v>
      </c>
      <c r="T44" s="78" t="s">
        <v>51</v>
      </c>
      <c r="U44" s="78" t="s">
        <v>316</v>
      </c>
      <c r="V44" s="78">
        <v>1</v>
      </c>
      <c r="AC44" s="78" t="s">
        <v>52</v>
      </c>
      <c r="AD44" s="78" t="s">
        <v>17</v>
      </c>
      <c r="AE44" s="78" t="s">
        <v>72</v>
      </c>
      <c r="AF44" s="78" t="s">
        <v>51</v>
      </c>
      <c r="AG44" s="78" t="s">
        <v>167</v>
      </c>
      <c r="AH44" s="78">
        <v>4.1959880552043716</v>
      </c>
      <c r="AJ44" s="78" t="s">
        <v>52</v>
      </c>
      <c r="AK44" s="78" t="s">
        <v>17</v>
      </c>
      <c r="AL44" s="78" t="s">
        <v>28</v>
      </c>
      <c r="AM44" s="78" t="s">
        <v>51</v>
      </c>
      <c r="AN44" s="78" t="s">
        <v>167</v>
      </c>
      <c r="AO44" s="78">
        <v>1.5397004736750313</v>
      </c>
    </row>
    <row r="45" spans="1:49" s="78" customFormat="1">
      <c r="A45" s="78" t="s">
        <v>20</v>
      </c>
      <c r="B45" s="78" t="s">
        <v>54</v>
      </c>
      <c r="C45" s="78" t="s">
        <v>25</v>
      </c>
      <c r="D45" s="78" t="s">
        <v>51</v>
      </c>
      <c r="E45" s="79" t="s">
        <v>318</v>
      </c>
      <c r="F45" s="78">
        <v>4</v>
      </c>
      <c r="I45" s="76" t="s">
        <v>54</v>
      </c>
      <c r="J45" s="76" t="s">
        <v>20</v>
      </c>
      <c r="K45" s="76" t="s">
        <v>25</v>
      </c>
      <c r="L45" s="76" t="s">
        <v>51</v>
      </c>
      <c r="M45" s="76" t="s">
        <v>315</v>
      </c>
      <c r="N45" s="76">
        <v>4</v>
      </c>
      <c r="Q45" s="78" t="s">
        <v>54</v>
      </c>
      <c r="R45" s="78" t="s">
        <v>20</v>
      </c>
      <c r="S45" s="78" t="s">
        <v>25</v>
      </c>
      <c r="T45" s="78" t="s">
        <v>51</v>
      </c>
      <c r="U45" s="78" t="s">
        <v>316</v>
      </c>
      <c r="V45" s="78">
        <v>4.125</v>
      </c>
      <c r="AC45" s="78" t="s">
        <v>52</v>
      </c>
      <c r="AD45" s="78" t="s">
        <v>17</v>
      </c>
      <c r="AE45" s="78" t="s">
        <v>72</v>
      </c>
      <c r="AF45" s="78" t="s">
        <v>51</v>
      </c>
      <c r="AG45" s="78" t="s">
        <v>168</v>
      </c>
      <c r="AH45" s="78">
        <v>4.1930491621487036</v>
      </c>
      <c r="AJ45" s="78" t="s">
        <v>52</v>
      </c>
      <c r="AK45" s="78" t="s">
        <v>17</v>
      </c>
      <c r="AL45" s="78" t="s">
        <v>28</v>
      </c>
      <c r="AM45" s="78" t="s">
        <v>51</v>
      </c>
      <c r="AN45" s="78" t="s">
        <v>168</v>
      </c>
      <c r="AO45" s="78">
        <v>1.5634899443794636</v>
      </c>
    </row>
    <row r="46" spans="1:49" s="78" customFormat="1">
      <c r="A46" s="78" t="s">
        <v>20</v>
      </c>
      <c r="B46" s="78" t="s">
        <v>54</v>
      </c>
      <c r="C46" s="78" t="s">
        <v>28</v>
      </c>
      <c r="D46" s="78" t="s">
        <v>51</v>
      </c>
      <c r="E46" s="79" t="s">
        <v>318</v>
      </c>
      <c r="F46" s="78">
        <v>1.3776643776791355</v>
      </c>
      <c r="I46" s="76" t="s">
        <v>54</v>
      </c>
      <c r="J46" s="76" t="s">
        <v>20</v>
      </c>
      <c r="K46" s="76" t="s">
        <v>28</v>
      </c>
      <c r="L46" s="76" t="s">
        <v>51</v>
      </c>
      <c r="M46" s="76" t="s">
        <v>315</v>
      </c>
      <c r="N46" s="76">
        <v>1.2866784332214456</v>
      </c>
      <c r="Q46" s="78" t="s">
        <v>54</v>
      </c>
      <c r="R46" s="78" t="s">
        <v>20</v>
      </c>
      <c r="S46" s="78" t="s">
        <v>28</v>
      </c>
      <c r="T46" s="78" t="s">
        <v>51</v>
      </c>
      <c r="U46" s="78" t="s">
        <v>316</v>
      </c>
      <c r="V46" s="78">
        <v>1.2745009785770594</v>
      </c>
      <c r="AC46" s="78" t="s">
        <v>52</v>
      </c>
      <c r="AD46" s="78" t="s">
        <v>17</v>
      </c>
      <c r="AE46" s="78" t="s">
        <v>72</v>
      </c>
      <c r="AF46" s="78" t="s">
        <v>51</v>
      </c>
      <c r="AG46" s="78" t="s">
        <v>169</v>
      </c>
      <c r="AH46" s="78">
        <v>4.1930491621487036</v>
      </c>
      <c r="AJ46" s="78" t="s">
        <v>52</v>
      </c>
      <c r="AK46" s="78" t="s">
        <v>17</v>
      </c>
      <c r="AL46" s="78" t="s">
        <v>28</v>
      </c>
      <c r="AM46" s="78" t="s">
        <v>51</v>
      </c>
      <c r="AN46" s="78" t="s">
        <v>169</v>
      </c>
      <c r="AO46" s="78">
        <v>1.5493153117300138</v>
      </c>
    </row>
    <row r="47" spans="1:49" s="78" customFormat="1">
      <c r="A47" s="78" t="s">
        <v>20</v>
      </c>
      <c r="B47" s="78" t="s">
        <v>55</v>
      </c>
      <c r="C47" s="78" t="s">
        <v>72</v>
      </c>
      <c r="D47" s="78" t="s">
        <v>51</v>
      </c>
      <c r="E47" s="79" t="s">
        <v>318</v>
      </c>
      <c r="F47" s="78">
        <v>3.7142068790413951</v>
      </c>
      <c r="I47" s="76" t="s">
        <v>55</v>
      </c>
      <c r="J47" s="76" t="s">
        <v>20</v>
      </c>
      <c r="K47" s="76" t="s">
        <v>72</v>
      </c>
      <c r="L47" s="76" t="s">
        <v>51</v>
      </c>
      <c r="M47" s="76" t="s">
        <v>315</v>
      </c>
      <c r="N47" s="76">
        <v>3.7454735457080615</v>
      </c>
      <c r="Q47" s="78" t="s">
        <v>55</v>
      </c>
      <c r="R47" s="78" t="s">
        <v>20</v>
      </c>
      <c r="S47" s="78" t="s">
        <v>72</v>
      </c>
      <c r="T47" s="78" t="s">
        <v>51</v>
      </c>
      <c r="U47" s="78" t="s">
        <v>316</v>
      </c>
      <c r="V47" s="78">
        <v>3.744640212374728</v>
      </c>
      <c r="AC47" s="78" t="s">
        <v>52</v>
      </c>
      <c r="AD47" s="78" t="s">
        <v>17</v>
      </c>
      <c r="AE47" s="78" t="s">
        <v>72</v>
      </c>
      <c r="AF47" s="78" t="s">
        <v>51</v>
      </c>
      <c r="AG47" s="78" t="s">
        <v>170</v>
      </c>
      <c r="AH47" s="78">
        <v>4.2487984318822525</v>
      </c>
      <c r="AJ47" s="78" t="s">
        <v>52</v>
      </c>
      <c r="AK47" s="78" t="s">
        <v>17</v>
      </c>
      <c r="AL47" s="78" t="s">
        <v>28</v>
      </c>
      <c r="AM47" s="78" t="s">
        <v>51</v>
      </c>
      <c r="AN47" s="78" t="s">
        <v>170</v>
      </c>
      <c r="AO47" s="78">
        <v>1.5496569772517022</v>
      </c>
    </row>
    <row r="48" spans="1:49" s="78" customFormat="1">
      <c r="A48" s="78" t="s">
        <v>20</v>
      </c>
      <c r="B48" s="78" t="s">
        <v>55</v>
      </c>
      <c r="C48" s="78" t="s">
        <v>0</v>
      </c>
      <c r="D48" s="78" t="s">
        <v>51</v>
      </c>
      <c r="E48" s="79" t="s">
        <v>318</v>
      </c>
      <c r="F48" s="78">
        <v>3.8820000000000001</v>
      </c>
      <c r="I48" s="76" t="s">
        <v>55</v>
      </c>
      <c r="J48" s="76" t="s">
        <v>20</v>
      </c>
      <c r="K48" s="76" t="s">
        <v>0</v>
      </c>
      <c r="L48" s="76" t="s">
        <v>51</v>
      </c>
      <c r="M48" s="76" t="s">
        <v>315</v>
      </c>
      <c r="N48" s="76">
        <v>3.8820000000000001</v>
      </c>
      <c r="Q48" s="78" t="s">
        <v>55</v>
      </c>
      <c r="R48" s="78" t="s">
        <v>20</v>
      </c>
      <c r="S48" s="78" t="s">
        <v>0</v>
      </c>
      <c r="T48" s="78" t="s">
        <v>51</v>
      </c>
      <c r="U48" s="78" t="s">
        <v>316</v>
      </c>
      <c r="V48" s="78">
        <v>3.8820000000000001</v>
      </c>
      <c r="AC48" s="78" t="s">
        <v>52</v>
      </c>
      <c r="AD48" s="78" t="s">
        <v>17</v>
      </c>
      <c r="AE48" s="78" t="s">
        <v>72</v>
      </c>
      <c r="AF48" s="78" t="s">
        <v>51</v>
      </c>
      <c r="AG48" s="78" t="s">
        <v>171</v>
      </c>
      <c r="AH48" s="78">
        <v>4.2672076568305926</v>
      </c>
      <c r="AJ48" s="78" t="s">
        <v>52</v>
      </c>
      <c r="AK48" s="78" t="s">
        <v>17</v>
      </c>
      <c r="AL48" s="78" t="s">
        <v>28</v>
      </c>
      <c r="AM48" s="78" t="s">
        <v>51</v>
      </c>
      <c r="AN48" s="78" t="s">
        <v>171</v>
      </c>
      <c r="AO48" s="78">
        <v>1.5204617852732729</v>
      </c>
    </row>
    <row r="49" spans="1:41" s="78" customFormat="1">
      <c r="A49" s="78" t="s">
        <v>20</v>
      </c>
      <c r="B49" s="78" t="s">
        <v>55</v>
      </c>
      <c r="C49" s="78" t="s">
        <v>40</v>
      </c>
      <c r="D49" s="78" t="s">
        <v>51</v>
      </c>
      <c r="E49" s="79" t="s">
        <v>318</v>
      </c>
      <c r="F49" s="78">
        <v>2038</v>
      </c>
      <c r="I49" s="76" t="s">
        <v>55</v>
      </c>
      <c r="J49" s="76" t="s">
        <v>20</v>
      </c>
      <c r="K49" s="76" t="s">
        <v>40</v>
      </c>
      <c r="L49" s="76" t="s">
        <v>51</v>
      </c>
      <c r="M49" s="76" t="s">
        <v>315</v>
      </c>
      <c r="N49" s="76">
        <v>2976</v>
      </c>
      <c r="Q49" s="78" t="s">
        <v>55</v>
      </c>
      <c r="R49" s="78" t="s">
        <v>20</v>
      </c>
      <c r="S49" s="78" t="s">
        <v>40</v>
      </c>
      <c r="T49" s="78" t="s">
        <v>51</v>
      </c>
      <c r="U49" s="78" t="s">
        <v>316</v>
      </c>
      <c r="V49" s="78">
        <v>2951</v>
      </c>
      <c r="AC49" s="78" t="s">
        <v>52</v>
      </c>
      <c r="AD49" s="78" t="s">
        <v>17</v>
      </c>
      <c r="AE49" s="78" t="s">
        <v>72</v>
      </c>
      <c r="AF49" s="78" t="s">
        <v>51</v>
      </c>
      <c r="AG49" s="78" t="s">
        <v>172</v>
      </c>
      <c r="AH49" s="78">
        <v>4.2232506437744561</v>
      </c>
      <c r="AJ49" s="78" t="s">
        <v>52</v>
      </c>
      <c r="AK49" s="78" t="s">
        <v>17</v>
      </c>
      <c r="AL49" s="78" t="s">
        <v>28</v>
      </c>
      <c r="AM49" s="78" t="s">
        <v>51</v>
      </c>
      <c r="AN49" s="78" t="s">
        <v>172</v>
      </c>
      <c r="AO49" s="78">
        <v>1.4752359208075061</v>
      </c>
    </row>
    <row r="50" spans="1:41" s="78" customFormat="1">
      <c r="A50" s="78" t="s">
        <v>20</v>
      </c>
      <c r="B50" s="78" t="s">
        <v>55</v>
      </c>
      <c r="C50" s="78" t="s">
        <v>1</v>
      </c>
      <c r="D50" s="78" t="s">
        <v>51</v>
      </c>
      <c r="E50" s="79" t="s">
        <v>318</v>
      </c>
      <c r="F50" s="78">
        <v>750000</v>
      </c>
      <c r="I50" s="76" t="s">
        <v>55</v>
      </c>
      <c r="J50" s="76" t="s">
        <v>20</v>
      </c>
      <c r="K50" s="76" t="s">
        <v>1</v>
      </c>
      <c r="L50" s="76" t="s">
        <v>51</v>
      </c>
      <c r="M50" s="76" t="s">
        <v>315</v>
      </c>
      <c r="N50" s="76">
        <v>750000</v>
      </c>
      <c r="Q50" s="78" t="s">
        <v>55</v>
      </c>
      <c r="R50" s="78" t="s">
        <v>20</v>
      </c>
      <c r="S50" s="78" t="s">
        <v>1</v>
      </c>
      <c r="T50" s="78" t="s">
        <v>51</v>
      </c>
      <c r="U50" s="78" t="s">
        <v>316</v>
      </c>
      <c r="V50" s="78">
        <v>750000</v>
      </c>
      <c r="AC50" s="78" t="s">
        <v>52</v>
      </c>
      <c r="AD50" s="78" t="s">
        <v>17</v>
      </c>
      <c r="AE50" s="78" t="s">
        <v>72</v>
      </c>
      <c r="AF50" s="78" t="s">
        <v>51</v>
      </c>
      <c r="AG50" s="78" t="s">
        <v>173</v>
      </c>
      <c r="AH50" s="78">
        <v>4.2672076568305926</v>
      </c>
      <c r="AJ50" s="78" t="s">
        <v>52</v>
      </c>
      <c r="AK50" s="78" t="s">
        <v>17</v>
      </c>
      <c r="AL50" s="78" t="s">
        <v>28</v>
      </c>
      <c r="AM50" s="78" t="s">
        <v>51</v>
      </c>
      <c r="AN50" s="78" t="s">
        <v>173</v>
      </c>
      <c r="AO50" s="78">
        <v>1.4607977497664324</v>
      </c>
    </row>
    <row r="51" spans="1:41" s="78" customFormat="1">
      <c r="A51" s="78" t="s">
        <v>20</v>
      </c>
      <c r="B51" s="78" t="s">
        <v>55</v>
      </c>
      <c r="C51" s="78" t="s">
        <v>7</v>
      </c>
      <c r="D51" s="78" t="s">
        <v>51</v>
      </c>
      <c r="E51" s="79" t="s">
        <v>318</v>
      </c>
      <c r="F51" s="78">
        <v>1</v>
      </c>
      <c r="I51" s="76" t="s">
        <v>55</v>
      </c>
      <c r="J51" s="76" t="s">
        <v>20</v>
      </c>
      <c r="K51" s="76" t="s">
        <v>7</v>
      </c>
      <c r="L51" s="76" t="s">
        <v>51</v>
      </c>
      <c r="M51" s="76" t="s">
        <v>315</v>
      </c>
      <c r="N51" s="76">
        <v>1</v>
      </c>
      <c r="Q51" s="78" t="s">
        <v>55</v>
      </c>
      <c r="R51" s="78" t="s">
        <v>20</v>
      </c>
      <c r="S51" s="78" t="s">
        <v>7</v>
      </c>
      <c r="T51" s="78" t="s">
        <v>51</v>
      </c>
      <c r="U51" s="78" t="s">
        <v>316</v>
      </c>
      <c r="V51" s="78">
        <v>1</v>
      </c>
      <c r="AC51" s="78" t="s">
        <v>52</v>
      </c>
      <c r="AD51" s="78" t="s">
        <v>17</v>
      </c>
      <c r="AE51" s="78" t="s">
        <v>72</v>
      </c>
      <c r="AF51" s="78" t="s">
        <v>51</v>
      </c>
      <c r="AG51" s="78" t="s">
        <v>174</v>
      </c>
      <c r="AH51" s="78">
        <v>4.3168838594099084</v>
      </c>
      <c r="AJ51" s="78" t="s">
        <v>52</v>
      </c>
      <c r="AK51" s="78" t="s">
        <v>17</v>
      </c>
      <c r="AL51" s="78" t="s">
        <v>28</v>
      </c>
      <c r="AM51" s="78" t="s">
        <v>51</v>
      </c>
      <c r="AN51" s="78" t="s">
        <v>174</v>
      </c>
      <c r="AO51" s="78">
        <v>1.475207853795258</v>
      </c>
    </row>
    <row r="52" spans="1:41" s="78" customFormat="1">
      <c r="A52" s="78" t="s">
        <v>20</v>
      </c>
      <c r="B52" s="78" t="s">
        <v>55</v>
      </c>
      <c r="C52" s="78" t="s">
        <v>25</v>
      </c>
      <c r="D52" s="78" t="s">
        <v>51</v>
      </c>
      <c r="E52" s="79" t="s">
        <v>318</v>
      </c>
      <c r="F52" s="78">
        <v>3.875</v>
      </c>
      <c r="I52" s="76" t="s">
        <v>55</v>
      </c>
      <c r="J52" s="76" t="s">
        <v>20</v>
      </c>
      <c r="K52" s="76" t="s">
        <v>25</v>
      </c>
      <c r="L52" s="76" t="s">
        <v>51</v>
      </c>
      <c r="M52" s="76" t="s">
        <v>315</v>
      </c>
      <c r="N52" s="76">
        <v>3.875</v>
      </c>
      <c r="Q52" s="78" t="s">
        <v>55</v>
      </c>
      <c r="R52" s="78" t="s">
        <v>20</v>
      </c>
      <c r="S52" s="78" t="s">
        <v>25</v>
      </c>
      <c r="T52" s="78" t="s">
        <v>51</v>
      </c>
      <c r="U52" s="78" t="s">
        <v>316</v>
      </c>
      <c r="V52" s="78">
        <v>3.875</v>
      </c>
      <c r="AC52" s="78" t="s">
        <v>52</v>
      </c>
      <c r="AD52" s="78" t="s">
        <v>17</v>
      </c>
      <c r="AE52" s="78" t="s">
        <v>72</v>
      </c>
      <c r="AF52" s="78" t="s">
        <v>51</v>
      </c>
      <c r="AG52" s="78" t="s">
        <v>175</v>
      </c>
      <c r="AH52" s="78">
        <v>4.3022888156892893</v>
      </c>
      <c r="AJ52" s="78" t="s">
        <v>52</v>
      </c>
      <c r="AK52" s="78" t="s">
        <v>17</v>
      </c>
      <c r="AL52" s="78" t="s">
        <v>28</v>
      </c>
      <c r="AM52" s="78" t="s">
        <v>51</v>
      </c>
      <c r="AN52" s="78" t="s">
        <v>175</v>
      </c>
      <c r="AO52" s="78">
        <v>1.4266403402545991</v>
      </c>
    </row>
    <row r="53" spans="1:41" s="78" customFormat="1">
      <c r="A53" s="78" t="s">
        <v>20</v>
      </c>
      <c r="B53" s="78" t="s">
        <v>55</v>
      </c>
      <c r="C53" s="78" t="s">
        <v>28</v>
      </c>
      <c r="D53" s="78" t="s">
        <v>51</v>
      </c>
      <c r="E53" s="79" t="s">
        <v>318</v>
      </c>
      <c r="F53" s="78">
        <v>1.096918065805665</v>
      </c>
      <c r="I53" s="76" t="s">
        <v>55</v>
      </c>
      <c r="J53" s="76" t="s">
        <v>20</v>
      </c>
      <c r="K53" s="76" t="s">
        <v>28</v>
      </c>
      <c r="L53" s="76" t="s">
        <v>51</v>
      </c>
      <c r="M53" s="76" t="s">
        <v>315</v>
      </c>
      <c r="N53" s="76">
        <v>1.0371987880146414</v>
      </c>
      <c r="Q53" s="78" t="s">
        <v>55</v>
      </c>
      <c r="R53" s="78" t="s">
        <v>20</v>
      </c>
      <c r="S53" s="78" t="s">
        <v>28</v>
      </c>
      <c r="T53" s="78" t="s">
        <v>51</v>
      </c>
      <c r="U53" s="78" t="s">
        <v>316</v>
      </c>
      <c r="V53" s="78">
        <v>1.0129569333167781</v>
      </c>
      <c r="AC53" s="78" t="s">
        <v>52</v>
      </c>
      <c r="AD53" s="78" t="s">
        <v>17</v>
      </c>
      <c r="AE53" s="78" t="s">
        <v>72</v>
      </c>
      <c r="AF53" s="78" t="s">
        <v>51</v>
      </c>
      <c r="AG53" s="78" t="s">
        <v>176</v>
      </c>
      <c r="AH53" s="78">
        <v>4.3518590182395505</v>
      </c>
      <c r="AJ53" s="78" t="s">
        <v>52</v>
      </c>
      <c r="AK53" s="78" t="s">
        <v>17</v>
      </c>
      <c r="AL53" s="78" t="s">
        <v>28</v>
      </c>
      <c r="AM53" s="78" t="s">
        <v>51</v>
      </c>
      <c r="AN53" s="78" t="s">
        <v>176</v>
      </c>
      <c r="AO53" s="78">
        <v>1.4325538212829705</v>
      </c>
    </row>
    <row r="54" spans="1:41" s="78" customFormat="1">
      <c r="AC54" s="78" t="s">
        <v>52</v>
      </c>
      <c r="AD54" s="78" t="s">
        <v>17</v>
      </c>
      <c r="AE54" s="78" t="s">
        <v>72</v>
      </c>
      <c r="AF54" s="78" t="s">
        <v>51</v>
      </c>
      <c r="AG54" s="78" t="s">
        <v>177</v>
      </c>
      <c r="AH54" s="78">
        <v>4.3460350104353029</v>
      </c>
      <c r="AJ54" s="78" t="s">
        <v>52</v>
      </c>
      <c r="AK54" s="78" t="s">
        <v>17</v>
      </c>
      <c r="AL54" s="78" t="s">
        <v>28</v>
      </c>
      <c r="AM54" s="78" t="s">
        <v>51</v>
      </c>
      <c r="AN54" s="78" t="s">
        <v>177</v>
      </c>
      <c r="AO54" s="78">
        <v>1.4842570423911829</v>
      </c>
    </row>
    <row r="55" spans="1:41" s="78" customFormat="1">
      <c r="AC55" s="78" t="s">
        <v>52</v>
      </c>
      <c r="AD55" s="78" t="s">
        <v>17</v>
      </c>
      <c r="AE55" s="78" t="s">
        <v>72</v>
      </c>
      <c r="AF55" s="78" t="s">
        <v>51</v>
      </c>
      <c r="AG55" s="78" t="s">
        <v>178</v>
      </c>
      <c r="AH55" s="78">
        <v>4.2897559420131923</v>
      </c>
      <c r="AJ55" s="78" t="s">
        <v>52</v>
      </c>
      <c r="AK55" s="78" t="s">
        <v>17</v>
      </c>
      <c r="AL55" s="78" t="s">
        <v>28</v>
      </c>
      <c r="AM55" s="78" t="s">
        <v>51</v>
      </c>
      <c r="AN55" s="78" t="s">
        <v>178</v>
      </c>
      <c r="AO55" s="78">
        <v>1.4796482487599225</v>
      </c>
    </row>
    <row r="56" spans="1:41" s="78" customFormat="1">
      <c r="AC56" s="78" t="s">
        <v>52</v>
      </c>
      <c r="AD56" s="78" t="s">
        <v>17</v>
      </c>
      <c r="AE56" s="78" t="s">
        <v>72</v>
      </c>
      <c r="AF56" s="78" t="s">
        <v>51</v>
      </c>
      <c r="AG56" s="78" t="s">
        <v>179</v>
      </c>
      <c r="AH56" s="78">
        <v>4.2642808417652107</v>
      </c>
      <c r="AJ56" s="78" t="s">
        <v>52</v>
      </c>
      <c r="AK56" s="78" t="s">
        <v>17</v>
      </c>
      <c r="AL56" s="78" t="s">
        <v>28</v>
      </c>
      <c r="AM56" s="78" t="s">
        <v>51</v>
      </c>
      <c r="AN56" s="78" t="s">
        <v>179</v>
      </c>
      <c r="AO56" s="78">
        <v>1.3442992513367309</v>
      </c>
    </row>
    <row r="57" spans="1:41" s="78" customFormat="1">
      <c r="AC57" s="78" t="s">
        <v>52</v>
      </c>
      <c r="AD57" s="78" t="s">
        <v>17</v>
      </c>
      <c r="AE57" s="78" t="s">
        <v>72</v>
      </c>
      <c r="AF57" s="78" t="s">
        <v>51</v>
      </c>
      <c r="AG57" s="78" t="s">
        <v>180</v>
      </c>
      <c r="AH57" s="78">
        <v>4.2642808417652107</v>
      </c>
      <c r="AJ57" s="78" t="s">
        <v>52</v>
      </c>
      <c r="AK57" s="78" t="s">
        <v>17</v>
      </c>
      <c r="AL57" s="78" t="s">
        <v>28</v>
      </c>
      <c r="AM57" s="78" t="s">
        <v>51</v>
      </c>
      <c r="AN57" s="78" t="s">
        <v>180</v>
      </c>
      <c r="AO57" s="78">
        <v>1.3279910966528103</v>
      </c>
    </row>
    <row r="58" spans="1:41" s="78" customFormat="1">
      <c r="AC58" s="78" t="s">
        <v>52</v>
      </c>
      <c r="AD58" s="78" t="s">
        <v>17</v>
      </c>
      <c r="AE58" s="78" t="s">
        <v>72</v>
      </c>
      <c r="AF58" s="78" t="s">
        <v>51</v>
      </c>
      <c r="AG58" s="78" t="s">
        <v>181</v>
      </c>
      <c r="AH58" s="78">
        <v>4.2642808417652107</v>
      </c>
      <c r="AJ58" s="78" t="s">
        <v>52</v>
      </c>
      <c r="AK58" s="78" t="s">
        <v>17</v>
      </c>
      <c r="AL58" s="78" t="s">
        <v>28</v>
      </c>
      <c r="AM58" s="78" t="s">
        <v>51</v>
      </c>
      <c r="AN58" s="78" t="s">
        <v>181</v>
      </c>
      <c r="AO58" s="78">
        <v>1.3056715764918907</v>
      </c>
    </row>
    <row r="59" spans="1:41" s="78" customFormat="1">
      <c r="AC59" s="78" t="s">
        <v>52</v>
      </c>
      <c r="AD59" s="78" t="s">
        <v>17</v>
      </c>
      <c r="AE59" s="78" t="s">
        <v>72</v>
      </c>
      <c r="AF59" s="78" t="s">
        <v>51</v>
      </c>
      <c r="AG59" s="78" t="s">
        <v>182</v>
      </c>
      <c r="AH59" s="78">
        <v>4.2642808417652107</v>
      </c>
      <c r="AJ59" s="78" t="s">
        <v>52</v>
      </c>
      <c r="AK59" s="78" t="s">
        <v>17</v>
      </c>
      <c r="AL59" s="78" t="s">
        <v>28</v>
      </c>
      <c r="AM59" s="78" t="s">
        <v>51</v>
      </c>
      <c r="AN59" s="78" t="s">
        <v>182</v>
      </c>
      <c r="AO59" s="78">
        <v>1.3573902929718507</v>
      </c>
    </row>
    <row r="60" spans="1:41" s="78" customFormat="1">
      <c r="AC60" s="78" t="s">
        <v>52</v>
      </c>
      <c r="AD60" s="78" t="s">
        <v>17</v>
      </c>
      <c r="AE60" s="78" t="s">
        <v>72</v>
      </c>
      <c r="AF60" s="78" t="s">
        <v>51</v>
      </c>
      <c r="AG60" s="78" t="s">
        <v>183</v>
      </c>
      <c r="AH60" s="78">
        <v>4.2642808417652107</v>
      </c>
      <c r="AJ60" s="78" t="s">
        <v>52</v>
      </c>
      <c r="AK60" s="78" t="s">
        <v>17</v>
      </c>
      <c r="AL60" s="78" t="s">
        <v>28</v>
      </c>
      <c r="AM60" s="78" t="s">
        <v>51</v>
      </c>
      <c r="AN60" s="78" t="s">
        <v>183</v>
      </c>
      <c r="AO60" s="78">
        <v>1.4379641427249803</v>
      </c>
    </row>
    <row r="61" spans="1:41" s="78" customFormat="1">
      <c r="AC61" s="78" t="s">
        <v>52</v>
      </c>
      <c r="AD61" s="78" t="s">
        <v>17</v>
      </c>
      <c r="AE61" s="78" t="s">
        <v>72</v>
      </c>
      <c r="AF61" s="78" t="s">
        <v>51</v>
      </c>
      <c r="AG61" s="78" t="s">
        <v>184</v>
      </c>
      <c r="AH61" s="78">
        <v>4.2554972682965033</v>
      </c>
      <c r="AJ61" s="78" t="s">
        <v>52</v>
      </c>
      <c r="AK61" s="78" t="s">
        <v>17</v>
      </c>
      <c r="AL61" s="78" t="s">
        <v>28</v>
      </c>
      <c r="AM61" s="78" t="s">
        <v>51</v>
      </c>
      <c r="AN61" s="78" t="s">
        <v>184</v>
      </c>
      <c r="AO61" s="78">
        <v>1.3658173375018536</v>
      </c>
    </row>
    <row r="62" spans="1:41" s="78" customFormat="1">
      <c r="AC62" s="78" t="s">
        <v>52</v>
      </c>
      <c r="AD62" s="78" t="s">
        <v>17</v>
      </c>
      <c r="AE62" s="78" t="s">
        <v>72</v>
      </c>
      <c r="AF62" s="78" t="s">
        <v>51</v>
      </c>
      <c r="AG62" s="78" t="s">
        <v>185</v>
      </c>
      <c r="AH62" s="78">
        <v>4.3518590182395505</v>
      </c>
      <c r="AJ62" s="125" t="s">
        <v>52</v>
      </c>
      <c r="AK62" s="125" t="s">
        <v>17</v>
      </c>
      <c r="AL62" s="125" t="s">
        <v>28</v>
      </c>
      <c r="AM62" s="125" t="s">
        <v>51</v>
      </c>
      <c r="AN62" s="125" t="s">
        <v>185</v>
      </c>
      <c r="AO62" s="125">
        <v>1.4304106628608606</v>
      </c>
    </row>
    <row r="63" spans="1:41" s="78" customFormat="1">
      <c r="AC63" s="78" t="s">
        <v>52</v>
      </c>
      <c r="AD63" s="78" t="s">
        <v>17</v>
      </c>
      <c r="AE63" s="78" t="s">
        <v>72</v>
      </c>
      <c r="AF63" s="78" t="s">
        <v>51</v>
      </c>
      <c r="AG63" s="78" t="s">
        <v>186</v>
      </c>
      <c r="AH63" s="78">
        <v>4.3402089296616397</v>
      </c>
      <c r="AJ63" s="125" t="s">
        <v>52</v>
      </c>
      <c r="AK63" s="125" t="s">
        <v>17</v>
      </c>
      <c r="AL63" s="125" t="s">
        <v>28</v>
      </c>
      <c r="AM63" s="125" t="s">
        <v>51</v>
      </c>
      <c r="AN63" s="125" t="s">
        <v>186</v>
      </c>
      <c r="AO63" s="125">
        <v>1.4299466031505799</v>
      </c>
    </row>
    <row r="64" spans="1:41" s="78" customFormat="1">
      <c r="AC64" s="78" t="s">
        <v>52</v>
      </c>
      <c r="AD64" s="78" t="s">
        <v>17</v>
      </c>
      <c r="AE64" s="78" t="s">
        <v>72</v>
      </c>
      <c r="AF64" s="78" t="s">
        <v>51</v>
      </c>
      <c r="AG64" s="78" t="s">
        <v>187</v>
      </c>
      <c r="AH64" s="78">
        <v>4.3168838594099084</v>
      </c>
      <c r="AJ64" s="125" t="s">
        <v>52</v>
      </c>
      <c r="AK64" s="125" t="s">
        <v>17</v>
      </c>
      <c r="AL64" s="125" t="s">
        <v>28</v>
      </c>
      <c r="AM64" s="125" t="s">
        <v>51</v>
      </c>
      <c r="AN64" s="125" t="s">
        <v>187</v>
      </c>
      <c r="AO64" s="125">
        <v>1.4569078158252984</v>
      </c>
    </row>
    <row r="65" spans="29:41" s="78" customFormat="1">
      <c r="AC65" s="78" t="s">
        <v>52</v>
      </c>
      <c r="AD65" s="78" t="s">
        <v>17</v>
      </c>
      <c r="AE65" s="78" t="s">
        <v>72</v>
      </c>
      <c r="AF65" s="78" t="s">
        <v>51</v>
      </c>
      <c r="AG65" s="78" t="s">
        <v>188</v>
      </c>
      <c r="AH65" s="78">
        <v>4.3547702450498376</v>
      </c>
      <c r="AJ65" s="125" t="s">
        <v>52</v>
      </c>
      <c r="AK65" s="125" t="s">
        <v>17</v>
      </c>
      <c r="AL65" s="125" t="s">
        <v>28</v>
      </c>
      <c r="AM65" s="125" t="s">
        <v>51</v>
      </c>
      <c r="AN65" s="125" t="s">
        <v>188</v>
      </c>
      <c r="AO65" s="125">
        <v>1.4632492292194674</v>
      </c>
    </row>
    <row r="66" spans="29:41" s="78" customFormat="1">
      <c r="AC66" s="78" t="s">
        <v>52</v>
      </c>
      <c r="AD66" s="78" t="s">
        <v>17</v>
      </c>
      <c r="AE66" s="78" t="s">
        <v>72</v>
      </c>
      <c r="AF66" s="78" t="s">
        <v>51</v>
      </c>
      <c r="AG66" s="78" t="s">
        <v>189</v>
      </c>
      <c r="AH66" s="78">
        <v>4.3780414237322258</v>
      </c>
      <c r="AJ66" s="125" t="s">
        <v>52</v>
      </c>
      <c r="AK66" s="125" t="s">
        <v>17</v>
      </c>
      <c r="AL66" s="125" t="s">
        <v>28</v>
      </c>
      <c r="AM66" s="125" t="s">
        <v>51</v>
      </c>
      <c r="AN66" s="125" t="s">
        <v>189</v>
      </c>
      <c r="AO66" s="125">
        <v>1.5279709851186456</v>
      </c>
    </row>
    <row r="67" spans="29:41" s="78" customFormat="1">
      <c r="AC67" s="78" t="s">
        <v>52</v>
      </c>
      <c r="AD67" s="78" t="s">
        <v>17</v>
      </c>
      <c r="AE67" s="78" t="s">
        <v>72</v>
      </c>
      <c r="AF67" s="78" t="s">
        <v>51</v>
      </c>
      <c r="AG67" s="78" t="s">
        <v>190</v>
      </c>
      <c r="AH67" s="78">
        <v>4.3489472734036934</v>
      </c>
      <c r="AJ67" s="78" t="s">
        <v>52</v>
      </c>
      <c r="AK67" s="78" t="s">
        <v>17</v>
      </c>
      <c r="AL67" s="78" t="s">
        <v>28</v>
      </c>
      <c r="AM67" s="78" t="s">
        <v>51</v>
      </c>
      <c r="AN67" s="78" t="s">
        <v>190</v>
      </c>
      <c r="AO67" s="78">
        <v>1.5028807399108037</v>
      </c>
    </row>
    <row r="68" spans="29:41" s="78" customFormat="1">
      <c r="AC68" s="78" t="s">
        <v>52</v>
      </c>
      <c r="AD68" s="78" t="s">
        <v>17</v>
      </c>
      <c r="AE68" s="78" t="s">
        <v>72</v>
      </c>
      <c r="AF68" s="78" t="s">
        <v>51</v>
      </c>
      <c r="AG68" s="78" t="s">
        <v>191</v>
      </c>
      <c r="AH68" s="78">
        <v>4.2906034235109347</v>
      </c>
      <c r="AJ68" s="78" t="s">
        <v>52</v>
      </c>
      <c r="AK68" s="78" t="s">
        <v>17</v>
      </c>
      <c r="AL68" s="78" t="s">
        <v>28</v>
      </c>
      <c r="AM68" s="78" t="s">
        <v>51</v>
      </c>
      <c r="AN68" s="78" t="s">
        <v>191</v>
      </c>
      <c r="AO68" s="78">
        <v>1.4492362082934953</v>
      </c>
    </row>
    <row r="69" spans="29:41" s="78" customFormat="1">
      <c r="AC69" s="78" t="s">
        <v>52</v>
      </c>
      <c r="AD69" s="78" t="s">
        <v>17</v>
      </c>
      <c r="AE69" s="78" t="s">
        <v>72</v>
      </c>
      <c r="AF69" s="78" t="s">
        <v>51</v>
      </c>
      <c r="AG69" s="78" t="s">
        <v>192</v>
      </c>
      <c r="AH69" s="78">
        <v>4.2085721821838193</v>
      </c>
      <c r="AJ69" s="78" t="s">
        <v>52</v>
      </c>
      <c r="AK69" s="78" t="s">
        <v>17</v>
      </c>
      <c r="AL69" s="78" t="s">
        <v>28</v>
      </c>
      <c r="AM69" s="78" t="s">
        <v>51</v>
      </c>
      <c r="AN69" s="78" t="s">
        <v>192</v>
      </c>
      <c r="AO69" s="78">
        <v>1.3960132397472698</v>
      </c>
    </row>
    <row r="70" spans="29:41" s="78" customFormat="1">
      <c r="AC70" s="78" t="s">
        <v>52</v>
      </c>
      <c r="AD70" s="78" t="s">
        <v>17</v>
      </c>
      <c r="AE70" s="78" t="s">
        <v>72</v>
      </c>
      <c r="AF70" s="78" t="s">
        <v>51</v>
      </c>
      <c r="AG70" s="78" t="s">
        <v>193</v>
      </c>
      <c r="AH70" s="78">
        <v>4.3751343371947211</v>
      </c>
      <c r="AJ70" s="78" t="s">
        <v>52</v>
      </c>
      <c r="AK70" s="78" t="s">
        <v>17</v>
      </c>
      <c r="AL70" s="78" t="s">
        <v>28</v>
      </c>
      <c r="AM70" s="78" t="s">
        <v>51</v>
      </c>
      <c r="AN70" s="78" t="s">
        <v>193</v>
      </c>
      <c r="AO70" s="78">
        <v>1.4878260656745013</v>
      </c>
    </row>
    <row r="71" spans="29:41" s="78" customFormat="1">
      <c r="AC71" s="78" t="s">
        <v>52</v>
      </c>
      <c r="AD71" s="78" t="s">
        <v>17</v>
      </c>
      <c r="AE71" s="78" t="s">
        <v>72</v>
      </c>
      <c r="AF71" s="78" t="s">
        <v>51</v>
      </c>
      <c r="AG71" s="78" t="s">
        <v>194</v>
      </c>
      <c r="AH71" s="78">
        <v>4.3751343371947211</v>
      </c>
      <c r="AJ71" s="78" t="s">
        <v>52</v>
      </c>
      <c r="AK71" s="78" t="s">
        <v>17</v>
      </c>
      <c r="AL71" s="78" t="s">
        <v>28</v>
      </c>
      <c r="AM71" s="78" t="s">
        <v>51</v>
      </c>
      <c r="AN71" s="78" t="s">
        <v>194</v>
      </c>
      <c r="AO71" s="78">
        <v>1.4138992097684413</v>
      </c>
    </row>
    <row r="72" spans="29:41" s="78" customFormat="1">
      <c r="AC72" s="78" t="s">
        <v>52</v>
      </c>
      <c r="AD72" s="78" t="s">
        <v>17</v>
      </c>
      <c r="AE72" s="78" t="s">
        <v>72</v>
      </c>
      <c r="AF72" s="78" t="s">
        <v>51</v>
      </c>
      <c r="AG72" s="78" t="s">
        <v>195</v>
      </c>
      <c r="AH72" s="78">
        <v>4.4783040201842867</v>
      </c>
      <c r="AJ72" s="78" t="s">
        <v>52</v>
      </c>
      <c r="AK72" s="78" t="s">
        <v>17</v>
      </c>
      <c r="AL72" s="78" t="s">
        <v>28</v>
      </c>
      <c r="AM72" s="78" t="s">
        <v>51</v>
      </c>
      <c r="AN72" s="78" t="s">
        <v>195</v>
      </c>
      <c r="AO72" s="78">
        <v>1.4038895886105365</v>
      </c>
    </row>
    <row r="73" spans="29:41" s="78" customFormat="1">
      <c r="AC73" s="78" t="s">
        <v>52</v>
      </c>
      <c r="AD73" s="78" t="s">
        <v>17</v>
      </c>
      <c r="AE73" s="78" t="s">
        <v>72</v>
      </c>
      <c r="AF73" s="78" t="s">
        <v>51</v>
      </c>
      <c r="AG73" s="78" t="s">
        <v>196</v>
      </c>
      <c r="AH73" s="78">
        <v>4.4204074273666594</v>
      </c>
      <c r="AJ73" s="78" t="s">
        <v>52</v>
      </c>
      <c r="AK73" s="78" t="s">
        <v>17</v>
      </c>
      <c r="AL73" s="78" t="s">
        <v>28</v>
      </c>
      <c r="AM73" s="78" t="s">
        <v>51</v>
      </c>
      <c r="AN73" s="78" t="s">
        <v>196</v>
      </c>
      <c r="AO73" s="78">
        <v>1.3947325637516592</v>
      </c>
    </row>
    <row r="74" spans="29:41" s="78" customFormat="1">
      <c r="AC74" s="78" t="s">
        <v>52</v>
      </c>
      <c r="AD74" s="78" t="s">
        <v>17</v>
      </c>
      <c r="AE74" s="78" t="s">
        <v>72</v>
      </c>
      <c r="AF74" s="78" t="s">
        <v>51</v>
      </c>
      <c r="AG74" s="78" t="s">
        <v>197</v>
      </c>
      <c r="AH74" s="78">
        <v>4.506877778796885</v>
      </c>
      <c r="AJ74" s="78" t="s">
        <v>52</v>
      </c>
      <c r="AK74" s="78" t="s">
        <v>17</v>
      </c>
      <c r="AL74" s="78" t="s">
        <v>28</v>
      </c>
      <c r="AM74" s="78" t="s">
        <v>51</v>
      </c>
      <c r="AN74" s="78" t="s">
        <v>197</v>
      </c>
      <c r="AO74" s="78">
        <v>1.3883388536850154</v>
      </c>
    </row>
    <row r="75" spans="29:41" s="78" customFormat="1">
      <c r="AC75" s="78" t="s">
        <v>52</v>
      </c>
      <c r="AD75" s="78" t="s">
        <v>17</v>
      </c>
      <c r="AE75" s="78" t="s">
        <v>72</v>
      </c>
      <c r="AF75" s="78" t="s">
        <v>51</v>
      </c>
      <c r="AG75" s="78" t="s">
        <v>198</v>
      </c>
      <c r="AH75" s="78">
        <v>4.4982195751567664</v>
      </c>
      <c r="AJ75" s="78" t="s">
        <v>52</v>
      </c>
      <c r="AK75" s="78" t="s">
        <v>17</v>
      </c>
      <c r="AL75" s="78" t="s">
        <v>28</v>
      </c>
      <c r="AM75" s="78" t="s">
        <v>51</v>
      </c>
      <c r="AN75" s="78" t="s">
        <v>198</v>
      </c>
      <c r="AO75" s="78">
        <v>1.4129915036196865</v>
      </c>
    </row>
    <row r="76" spans="29:41" s="78" customFormat="1">
      <c r="AC76" s="78" t="s">
        <v>52</v>
      </c>
      <c r="AD76" s="78" t="s">
        <v>17</v>
      </c>
      <c r="AE76" s="78" t="s">
        <v>72</v>
      </c>
      <c r="AF76" s="78" t="s">
        <v>51</v>
      </c>
      <c r="AG76" s="78" t="s">
        <v>199</v>
      </c>
      <c r="AH76" s="78">
        <v>4.5731051550143587</v>
      </c>
      <c r="AJ76" s="78" t="s">
        <v>52</v>
      </c>
      <c r="AK76" s="78" t="s">
        <v>17</v>
      </c>
      <c r="AL76" s="78" t="s">
        <v>28</v>
      </c>
      <c r="AM76" s="78" t="s">
        <v>51</v>
      </c>
      <c r="AN76" s="78" t="s">
        <v>199</v>
      </c>
      <c r="AO76" s="78">
        <v>1.4438055753897185</v>
      </c>
    </row>
    <row r="77" spans="29:41" s="78" customFormat="1">
      <c r="AC77" s="78" t="s">
        <v>52</v>
      </c>
      <c r="AD77" s="78" t="s">
        <v>17</v>
      </c>
      <c r="AE77" s="78" t="s">
        <v>72</v>
      </c>
      <c r="AF77" s="78" t="s">
        <v>51</v>
      </c>
      <c r="AG77" s="78" t="s">
        <v>200</v>
      </c>
      <c r="AH77" s="78">
        <v>4.6190180362729505</v>
      </c>
      <c r="AJ77" s="78" t="s">
        <v>52</v>
      </c>
      <c r="AK77" s="78" t="s">
        <v>17</v>
      </c>
      <c r="AL77" s="78" t="s">
        <v>28</v>
      </c>
      <c r="AM77" s="78" t="s">
        <v>51</v>
      </c>
      <c r="AN77" s="78" t="s">
        <v>200</v>
      </c>
      <c r="AO77" s="78">
        <v>1.4416733602801102</v>
      </c>
    </row>
    <row r="78" spans="29:41" s="78" customFormat="1">
      <c r="AC78" s="78" t="s">
        <v>52</v>
      </c>
      <c r="AD78" s="78" t="s">
        <v>17</v>
      </c>
      <c r="AE78" s="78" t="s">
        <v>72</v>
      </c>
      <c r="AF78" s="78" t="s">
        <v>51</v>
      </c>
      <c r="AG78" s="78" t="s">
        <v>201</v>
      </c>
      <c r="AH78" s="78">
        <v>4.5446319580999752</v>
      </c>
      <c r="AJ78" s="78" t="s">
        <v>52</v>
      </c>
      <c r="AK78" s="78" t="s">
        <v>17</v>
      </c>
      <c r="AL78" s="78" t="s">
        <v>28</v>
      </c>
      <c r="AM78" s="78" t="s">
        <v>51</v>
      </c>
      <c r="AN78" s="78" t="s">
        <v>201</v>
      </c>
      <c r="AO78" s="78">
        <v>1.4685166448949154</v>
      </c>
    </row>
    <row r="79" spans="29:41" s="78" customFormat="1">
      <c r="AC79" s="78" t="s">
        <v>52</v>
      </c>
      <c r="AD79" s="78" t="s">
        <v>17</v>
      </c>
      <c r="AE79" s="78" t="s">
        <v>72</v>
      </c>
      <c r="AF79" s="78" t="s">
        <v>51</v>
      </c>
      <c r="AG79" s="78" t="s">
        <v>202</v>
      </c>
      <c r="AH79" s="78">
        <v>4.5273550581154201</v>
      </c>
      <c r="AJ79" s="78" t="s">
        <v>52</v>
      </c>
      <c r="AK79" s="78" t="s">
        <v>17</v>
      </c>
      <c r="AL79" s="78" t="s">
        <v>28</v>
      </c>
      <c r="AM79" s="78" t="s">
        <v>51</v>
      </c>
      <c r="AN79" s="78" t="s">
        <v>202</v>
      </c>
      <c r="AO79" s="78">
        <v>1.4354149301418599</v>
      </c>
    </row>
    <row r="80" spans="29:41" s="78" customFormat="1">
      <c r="AC80" s="78" t="s">
        <v>52</v>
      </c>
      <c r="AD80" s="78" t="s">
        <v>17</v>
      </c>
      <c r="AE80" s="78" t="s">
        <v>72</v>
      </c>
      <c r="AF80" s="78" t="s">
        <v>51</v>
      </c>
      <c r="AG80" s="78" t="s">
        <v>203</v>
      </c>
      <c r="AH80" s="78">
        <v>4.5302358163273126</v>
      </c>
      <c r="AJ80" s="78" t="s">
        <v>52</v>
      </c>
      <c r="AK80" s="78" t="s">
        <v>17</v>
      </c>
      <c r="AL80" s="78" t="s">
        <v>28</v>
      </c>
      <c r="AM80" s="78" t="s">
        <v>51</v>
      </c>
      <c r="AN80" s="78" t="s">
        <v>203</v>
      </c>
      <c r="AO80" s="78">
        <v>1.4453873103770127</v>
      </c>
    </row>
    <row r="81" spans="1:49" s="77" customFormat="1">
      <c r="A81" s="78"/>
      <c r="B81" s="78"/>
      <c r="C81" s="78"/>
      <c r="D81" s="78"/>
      <c r="E81" s="78"/>
      <c r="F81" s="78"/>
      <c r="I81" s="78"/>
      <c r="J81" s="78"/>
      <c r="K81" s="78"/>
      <c r="L81" s="78"/>
      <c r="M81" s="78"/>
      <c r="N81" s="78"/>
      <c r="Q81" s="78"/>
      <c r="R81" s="78"/>
      <c r="S81" s="78"/>
      <c r="T81" s="78"/>
      <c r="U81" s="78"/>
      <c r="V81" s="78"/>
      <c r="X81" s="78"/>
      <c r="Y81" s="78"/>
      <c r="Z81" s="78"/>
      <c r="AA81" s="78"/>
      <c r="AC81" s="78" t="s">
        <v>52</v>
      </c>
      <c r="AD81" s="78" t="s">
        <v>17</v>
      </c>
      <c r="AE81" s="78" t="s">
        <v>72</v>
      </c>
      <c r="AF81" s="78" t="s">
        <v>51</v>
      </c>
      <c r="AG81" s="78" t="s">
        <v>204</v>
      </c>
      <c r="AH81" s="78">
        <v>4.4927461331875742</v>
      </c>
      <c r="AJ81" s="78" t="s">
        <v>52</v>
      </c>
      <c r="AK81" s="78" t="s">
        <v>17</v>
      </c>
      <c r="AL81" s="78" t="s">
        <v>28</v>
      </c>
      <c r="AM81" s="78" t="s">
        <v>51</v>
      </c>
      <c r="AN81" s="78" t="s">
        <v>204</v>
      </c>
      <c r="AO81" s="78">
        <v>1.4390058429308146</v>
      </c>
      <c r="AR81" s="78"/>
      <c r="AS81" s="78"/>
      <c r="AT81" s="78"/>
      <c r="AU81" s="78"/>
      <c r="AV81" s="78"/>
      <c r="AW81" s="78"/>
    </row>
    <row r="82" spans="1:49" s="77" customFormat="1">
      <c r="A82" s="78"/>
      <c r="B82" s="78"/>
      <c r="C82" s="78"/>
      <c r="D82" s="78"/>
      <c r="E82" s="78"/>
      <c r="F82" s="78"/>
      <c r="I82" s="78"/>
      <c r="J82" s="78"/>
      <c r="K82" s="78"/>
      <c r="L82" s="78"/>
      <c r="M82" s="78"/>
      <c r="N82" s="78"/>
      <c r="Q82" s="78"/>
      <c r="R82" s="78"/>
      <c r="S82" s="78"/>
      <c r="T82" s="78"/>
      <c r="U82" s="78"/>
      <c r="V82" s="78"/>
      <c r="AC82" s="78" t="s">
        <v>52</v>
      </c>
      <c r="AD82" s="78" t="s">
        <v>17</v>
      </c>
      <c r="AE82" s="78" t="s">
        <v>72</v>
      </c>
      <c r="AF82" s="78" t="s">
        <v>51</v>
      </c>
      <c r="AG82" s="78" t="s">
        <v>205</v>
      </c>
      <c r="AH82" s="78">
        <v>4.5014052622718115</v>
      </c>
      <c r="AJ82" s="78" t="s">
        <v>52</v>
      </c>
      <c r="AK82" s="78" t="s">
        <v>17</v>
      </c>
      <c r="AL82" s="78" t="s">
        <v>28</v>
      </c>
      <c r="AM82" s="78" t="s">
        <v>51</v>
      </c>
      <c r="AN82" s="78" t="s">
        <v>205</v>
      </c>
      <c r="AO82" s="78">
        <v>1.4692437380368819</v>
      </c>
      <c r="AR82" s="78"/>
      <c r="AS82" s="78"/>
      <c r="AT82" s="78"/>
      <c r="AU82" s="78"/>
      <c r="AV82" s="78"/>
      <c r="AW82" s="78"/>
    </row>
    <row r="83" spans="1:49" s="77" customFormat="1">
      <c r="A83" s="78"/>
      <c r="B83" s="78"/>
      <c r="C83" s="78"/>
      <c r="D83" s="78"/>
      <c r="E83" s="78"/>
      <c r="F83" s="78"/>
      <c r="I83" s="78"/>
      <c r="J83" s="78"/>
      <c r="K83" s="78"/>
      <c r="L83" s="78"/>
      <c r="M83" s="78"/>
      <c r="N83" s="78"/>
      <c r="Q83" s="78"/>
      <c r="R83" s="78"/>
      <c r="S83" s="78"/>
      <c r="T83" s="78"/>
      <c r="U83" s="78"/>
      <c r="V83" s="78"/>
      <c r="AC83" s="78" t="s">
        <v>52</v>
      </c>
      <c r="AD83" s="78" t="s">
        <v>17</v>
      </c>
      <c r="AE83" s="78" t="s">
        <v>72</v>
      </c>
      <c r="AF83" s="78" t="s">
        <v>51</v>
      </c>
      <c r="AG83" s="78" t="s">
        <v>206</v>
      </c>
      <c r="AH83" s="78">
        <v>4.4464862944264567</v>
      </c>
      <c r="AJ83" s="78" t="s">
        <v>52</v>
      </c>
      <c r="AK83" s="78" t="s">
        <v>17</v>
      </c>
      <c r="AL83" s="78" t="s">
        <v>28</v>
      </c>
      <c r="AM83" s="78" t="s">
        <v>51</v>
      </c>
      <c r="AN83" s="78" t="s">
        <v>206</v>
      </c>
      <c r="AO83" s="78">
        <v>1.3996843817032874</v>
      </c>
      <c r="AR83" s="78"/>
      <c r="AS83" s="78"/>
      <c r="AT83" s="78"/>
      <c r="AU83" s="78"/>
      <c r="AV83" s="78"/>
      <c r="AW83" s="78"/>
    </row>
    <row r="84" spans="1:49" s="77" customFormat="1">
      <c r="A84" s="78"/>
      <c r="B84" s="78"/>
      <c r="C84" s="78"/>
      <c r="D84" s="78"/>
      <c r="E84" s="78"/>
      <c r="F84" s="78"/>
      <c r="I84" s="78"/>
      <c r="J84" s="78"/>
      <c r="K84" s="78"/>
      <c r="L84" s="78"/>
      <c r="M84" s="78"/>
      <c r="N84" s="78"/>
      <c r="Q84" s="78"/>
      <c r="R84" s="78"/>
      <c r="S84" s="78"/>
      <c r="T84" s="78"/>
      <c r="U84" s="78"/>
      <c r="V84" s="78"/>
      <c r="AC84" s="125" t="s">
        <v>52</v>
      </c>
      <c r="AD84" s="125" t="s">
        <v>17</v>
      </c>
      <c r="AE84" s="125" t="s">
        <v>72</v>
      </c>
      <c r="AF84" s="125" t="s">
        <v>51</v>
      </c>
      <c r="AG84" s="125" t="s">
        <v>207</v>
      </c>
      <c r="AH84" s="125">
        <v>4.4088034557948594</v>
      </c>
      <c r="AJ84" s="78" t="s">
        <v>52</v>
      </c>
      <c r="AK84" s="78" t="s">
        <v>17</v>
      </c>
      <c r="AL84" s="78" t="s">
        <v>28</v>
      </c>
      <c r="AM84" s="78" t="s">
        <v>51</v>
      </c>
      <c r="AN84" s="78" t="s">
        <v>207</v>
      </c>
      <c r="AO84" s="78">
        <v>1.4265860519031293</v>
      </c>
      <c r="AR84" s="78"/>
      <c r="AS84" s="78"/>
      <c r="AT84" s="78"/>
      <c r="AU84" s="78"/>
      <c r="AV84" s="78"/>
      <c r="AW84" s="78"/>
    </row>
    <row r="85" spans="1:49" s="77" customFormat="1">
      <c r="A85" s="78"/>
      <c r="B85" s="78"/>
      <c r="C85" s="78"/>
      <c r="D85" s="78"/>
      <c r="E85" s="78"/>
      <c r="F85" s="78"/>
      <c r="I85" s="78"/>
      <c r="J85" s="78"/>
      <c r="K85" s="78"/>
      <c r="L85" s="78"/>
      <c r="M85" s="78"/>
      <c r="N85" s="78"/>
      <c r="Q85" s="78"/>
      <c r="R85" s="78"/>
      <c r="S85" s="78"/>
      <c r="T85" s="78"/>
      <c r="U85" s="78"/>
      <c r="V85" s="78"/>
      <c r="AC85" s="125" t="s">
        <v>52</v>
      </c>
      <c r="AD85" s="125" t="s">
        <v>17</v>
      </c>
      <c r="AE85" s="125" t="s">
        <v>72</v>
      </c>
      <c r="AF85" s="125" t="s">
        <v>51</v>
      </c>
      <c r="AG85" s="125" t="s">
        <v>208</v>
      </c>
      <c r="AH85" s="125">
        <v>4.4493813788399832</v>
      </c>
      <c r="AJ85" s="78" t="s">
        <v>52</v>
      </c>
      <c r="AK85" s="78" t="s">
        <v>17</v>
      </c>
      <c r="AL85" s="78" t="s">
        <v>28</v>
      </c>
      <c r="AM85" s="78" t="s">
        <v>51</v>
      </c>
      <c r="AN85" s="78" t="s">
        <v>208</v>
      </c>
      <c r="AO85" s="78">
        <v>1.3732244901243731</v>
      </c>
      <c r="AR85" s="78"/>
      <c r="AS85" s="78"/>
      <c r="AT85" s="78"/>
      <c r="AU85" s="78"/>
      <c r="AV85" s="78"/>
      <c r="AW85" s="78"/>
    </row>
    <row r="86" spans="1:49" s="77" customFormat="1">
      <c r="A86" s="78"/>
      <c r="B86" s="78"/>
      <c r="C86" s="78"/>
      <c r="D86" s="78"/>
      <c r="E86" s="78"/>
      <c r="F86" s="78"/>
      <c r="I86" s="78"/>
      <c r="J86" s="78"/>
      <c r="K86" s="78"/>
      <c r="L86" s="78"/>
      <c r="M86" s="78"/>
      <c r="N86" s="78"/>
      <c r="Q86" s="78"/>
      <c r="R86" s="78"/>
      <c r="S86" s="78"/>
      <c r="T86" s="78"/>
      <c r="U86" s="78"/>
      <c r="V86" s="78"/>
      <c r="AC86" s="125" t="s">
        <v>52</v>
      </c>
      <c r="AD86" s="125" t="s">
        <v>17</v>
      </c>
      <c r="AE86" s="125" t="s">
        <v>72</v>
      </c>
      <c r="AF86" s="125" t="s">
        <v>51</v>
      </c>
      <c r="AG86" s="125" t="s">
        <v>209</v>
      </c>
      <c r="AH86" s="125">
        <v>4.5270624197579012</v>
      </c>
      <c r="AJ86" s="78" t="s">
        <v>52</v>
      </c>
      <c r="AK86" s="78" t="s">
        <v>17</v>
      </c>
      <c r="AL86" s="78" t="s">
        <v>28</v>
      </c>
      <c r="AM86" s="78" t="s">
        <v>51</v>
      </c>
      <c r="AN86" s="78" t="s">
        <v>209</v>
      </c>
      <c r="AO86" s="78">
        <v>1.4051578986780211</v>
      </c>
      <c r="AR86" s="78"/>
      <c r="AS86" s="78"/>
      <c r="AT86" s="78"/>
      <c r="AU86" s="78"/>
      <c r="AV86" s="78"/>
      <c r="AW86" s="78"/>
    </row>
    <row r="87" spans="1:49" s="77" customFormat="1">
      <c r="A87" s="78"/>
      <c r="B87" s="78"/>
      <c r="C87" s="78"/>
      <c r="D87" s="78"/>
      <c r="E87" s="78"/>
      <c r="F87" s="78"/>
      <c r="I87" s="78"/>
      <c r="J87" s="78"/>
      <c r="K87" s="78"/>
      <c r="L87" s="78"/>
      <c r="M87" s="78"/>
      <c r="N87" s="78"/>
      <c r="Q87" s="78"/>
      <c r="R87" s="78"/>
      <c r="S87" s="78"/>
      <c r="T87" s="78"/>
      <c r="U87" s="78"/>
      <c r="V87" s="78"/>
      <c r="AC87" s="125" t="s">
        <v>52</v>
      </c>
      <c r="AD87" s="125" t="s">
        <v>17</v>
      </c>
      <c r="AE87" s="125" t="s">
        <v>72</v>
      </c>
      <c r="AF87" s="125" t="s">
        <v>51</v>
      </c>
      <c r="AG87" s="125" t="s">
        <v>210</v>
      </c>
      <c r="AH87" s="125">
        <v>4.4895567814149242</v>
      </c>
      <c r="AJ87" s="78" t="s">
        <v>52</v>
      </c>
      <c r="AK87" s="78" t="s">
        <v>17</v>
      </c>
      <c r="AL87" s="78" t="s">
        <v>28</v>
      </c>
      <c r="AM87" s="78" t="s">
        <v>51</v>
      </c>
      <c r="AN87" s="78" t="s">
        <v>210</v>
      </c>
      <c r="AO87" s="78">
        <v>1.3982961709898136</v>
      </c>
      <c r="AR87" s="78"/>
      <c r="AS87" s="78"/>
      <c r="AT87" s="78"/>
      <c r="AU87" s="78"/>
      <c r="AV87" s="78"/>
      <c r="AW87" s="78"/>
    </row>
    <row r="88" spans="1:49" s="77" customFormat="1">
      <c r="A88" s="78"/>
      <c r="B88" s="78"/>
      <c r="C88" s="78"/>
      <c r="D88" s="78"/>
      <c r="E88" s="78"/>
      <c r="F88" s="78"/>
      <c r="I88" s="78"/>
      <c r="J88" s="78"/>
      <c r="K88" s="78"/>
      <c r="L88" s="78"/>
      <c r="M88" s="78"/>
      <c r="N88" s="78"/>
      <c r="Q88" s="78"/>
      <c r="R88" s="78"/>
      <c r="S88" s="78"/>
      <c r="T88" s="78"/>
      <c r="U88" s="78"/>
      <c r="V88" s="78"/>
      <c r="AC88" s="125" t="s">
        <v>52</v>
      </c>
      <c r="AD88" s="125" t="s">
        <v>17</v>
      </c>
      <c r="AE88" s="125" t="s">
        <v>72</v>
      </c>
      <c r="AF88" s="125" t="s">
        <v>51</v>
      </c>
      <c r="AG88" s="125" t="s">
        <v>211</v>
      </c>
      <c r="AH88" s="125">
        <v>4.5011061529054421</v>
      </c>
      <c r="AJ88" s="78" t="s">
        <v>52</v>
      </c>
      <c r="AK88" s="78" t="s">
        <v>17</v>
      </c>
      <c r="AL88" s="78" t="s">
        <v>28</v>
      </c>
      <c r="AM88" s="78" t="s">
        <v>51</v>
      </c>
      <c r="AN88" s="78" t="s">
        <v>211</v>
      </c>
      <c r="AO88" s="78">
        <v>1.3852138453509022</v>
      </c>
      <c r="AR88" s="78"/>
      <c r="AS88" s="78"/>
      <c r="AT88" s="78"/>
      <c r="AU88" s="78"/>
      <c r="AV88" s="78"/>
      <c r="AW88" s="78"/>
    </row>
    <row r="89" spans="1:49" s="77" customFormat="1">
      <c r="A89" s="78"/>
      <c r="B89" s="78"/>
      <c r="C89" s="78"/>
      <c r="D89" s="78"/>
      <c r="E89" s="78"/>
      <c r="F89" s="78"/>
      <c r="I89" s="78"/>
      <c r="J89" s="78"/>
      <c r="K89" s="78"/>
      <c r="L89" s="78"/>
      <c r="M89" s="78"/>
      <c r="N89" s="78"/>
      <c r="Q89" s="78"/>
      <c r="R89" s="78"/>
      <c r="S89" s="78"/>
      <c r="T89" s="78"/>
      <c r="U89" s="78"/>
      <c r="V89" s="78"/>
      <c r="AC89" s="125" t="s">
        <v>52</v>
      </c>
      <c r="AD89" s="125" t="s">
        <v>17</v>
      </c>
      <c r="AE89" s="125" t="s">
        <v>72</v>
      </c>
      <c r="AF89" s="125" t="s">
        <v>51</v>
      </c>
      <c r="AG89" s="125" t="s">
        <v>212</v>
      </c>
      <c r="AH89" s="125">
        <v>4.6052695045580423</v>
      </c>
      <c r="AJ89" s="78" t="s">
        <v>52</v>
      </c>
      <c r="AK89" s="78" t="s">
        <v>17</v>
      </c>
      <c r="AL89" s="78" t="s">
        <v>28</v>
      </c>
      <c r="AM89" s="78" t="s">
        <v>51</v>
      </c>
      <c r="AN89" s="78" t="s">
        <v>212</v>
      </c>
      <c r="AO89" s="78">
        <v>1.4030007101246917</v>
      </c>
      <c r="AR89" s="78"/>
      <c r="AS89" s="78"/>
      <c r="AT89" s="78"/>
      <c r="AU89" s="78"/>
      <c r="AV89" s="78"/>
      <c r="AW89" s="78"/>
    </row>
    <row r="90" spans="1:49" s="77" customFormat="1">
      <c r="A90" s="78"/>
      <c r="B90" s="78"/>
      <c r="C90" s="78"/>
      <c r="D90" s="78"/>
      <c r="E90" s="78"/>
      <c r="F90" s="78"/>
      <c r="I90" s="78"/>
      <c r="J90" s="78"/>
      <c r="K90" s="78"/>
      <c r="L90" s="78"/>
      <c r="M90" s="78"/>
      <c r="N90" s="78"/>
      <c r="Q90" s="78"/>
      <c r="R90" s="78"/>
      <c r="S90" s="78"/>
      <c r="T90" s="78"/>
      <c r="U90" s="78"/>
      <c r="V90" s="78"/>
      <c r="AC90" s="125" t="s">
        <v>52</v>
      </c>
      <c r="AD90" s="125" t="s">
        <v>17</v>
      </c>
      <c r="AE90" s="125" t="s">
        <v>72</v>
      </c>
      <c r="AF90" s="125" t="s">
        <v>51</v>
      </c>
      <c r="AG90" s="125" t="s">
        <v>213</v>
      </c>
      <c r="AH90" s="125">
        <v>4.5759785098962773</v>
      </c>
      <c r="AJ90" s="78" t="s">
        <v>52</v>
      </c>
      <c r="AK90" s="78" t="s">
        <v>17</v>
      </c>
      <c r="AL90" s="78" t="s">
        <v>28</v>
      </c>
      <c r="AM90" s="78" t="s">
        <v>51</v>
      </c>
      <c r="AN90" s="78" t="s">
        <v>213</v>
      </c>
      <c r="AO90" s="78">
        <v>1.4907915899279671</v>
      </c>
      <c r="AR90" s="78"/>
      <c r="AS90" s="78"/>
      <c r="AT90" s="78"/>
      <c r="AU90" s="78"/>
      <c r="AV90" s="78"/>
      <c r="AW90" s="78"/>
    </row>
    <row r="91" spans="1:49" s="77" customFormat="1">
      <c r="A91" s="78"/>
      <c r="B91" s="78"/>
      <c r="C91" s="78"/>
      <c r="D91" s="78"/>
      <c r="E91" s="78"/>
      <c r="F91" s="78"/>
      <c r="I91" s="78"/>
      <c r="J91" s="78"/>
      <c r="K91" s="78"/>
      <c r="L91" s="78"/>
      <c r="M91" s="78"/>
      <c r="N91" s="78"/>
      <c r="Q91" s="78"/>
      <c r="R91" s="78"/>
      <c r="S91" s="78"/>
      <c r="T91" s="78"/>
      <c r="U91" s="78"/>
      <c r="V91" s="78"/>
      <c r="AC91" s="78" t="s">
        <v>52</v>
      </c>
      <c r="AD91" s="78" t="s">
        <v>17</v>
      </c>
      <c r="AE91" s="78" t="s">
        <v>72</v>
      </c>
      <c r="AF91" s="78" t="s">
        <v>51</v>
      </c>
      <c r="AG91" s="78" t="s">
        <v>98</v>
      </c>
      <c r="AH91" s="78">
        <v>4.4924448895185813</v>
      </c>
      <c r="AJ91" s="78" t="s">
        <v>52</v>
      </c>
      <c r="AK91" s="78" t="s">
        <v>17</v>
      </c>
      <c r="AL91" s="78" t="s">
        <v>28</v>
      </c>
      <c r="AM91" s="78" t="s">
        <v>51</v>
      </c>
      <c r="AN91" s="78" t="s">
        <v>98</v>
      </c>
      <c r="AO91" s="78">
        <v>1.4191644462264212</v>
      </c>
      <c r="AR91" s="78"/>
      <c r="AS91" s="78"/>
      <c r="AT91" s="78"/>
      <c r="AU91" s="78"/>
      <c r="AV91" s="78"/>
      <c r="AW91" s="78"/>
    </row>
    <row r="92" spans="1:49" s="77" customFormat="1">
      <c r="A92" s="78"/>
      <c r="B92" s="78"/>
      <c r="C92" s="78"/>
      <c r="D92" s="78"/>
      <c r="E92" s="78"/>
      <c r="F92" s="78"/>
      <c r="I92" s="78"/>
      <c r="J92" s="78"/>
      <c r="K92" s="78"/>
      <c r="L92" s="78"/>
      <c r="M92" s="78"/>
      <c r="N92" s="78"/>
      <c r="Q92" s="78"/>
      <c r="R92" s="78"/>
      <c r="S92" s="78"/>
      <c r="T92" s="78"/>
      <c r="U92" s="78"/>
      <c r="V92" s="78"/>
      <c r="AC92" s="78" t="s">
        <v>52</v>
      </c>
      <c r="AD92" s="78" t="s">
        <v>17</v>
      </c>
      <c r="AE92" s="78" t="s">
        <v>72</v>
      </c>
      <c r="AF92" s="78" t="s">
        <v>51</v>
      </c>
      <c r="AG92" s="78" t="s">
        <v>96</v>
      </c>
      <c r="AH92" s="78">
        <v>4.6333392501361672</v>
      </c>
      <c r="AJ92" s="78" t="s">
        <v>52</v>
      </c>
      <c r="AK92" s="78" t="s">
        <v>17</v>
      </c>
      <c r="AL92" s="78" t="s">
        <v>28</v>
      </c>
      <c r="AM92" s="78" t="s">
        <v>51</v>
      </c>
      <c r="AN92" s="78" t="s">
        <v>96</v>
      </c>
      <c r="AO92" s="78">
        <v>1.4705739977736068</v>
      </c>
      <c r="AR92" s="78"/>
      <c r="AS92" s="78"/>
      <c r="AT92" s="78"/>
      <c r="AU92" s="78"/>
      <c r="AV92" s="78"/>
      <c r="AW92" s="78"/>
    </row>
    <row r="93" spans="1:49" s="77" customFormat="1">
      <c r="A93" s="78"/>
      <c r="B93" s="78"/>
      <c r="C93" s="78"/>
      <c r="D93" s="78"/>
      <c r="E93" s="78"/>
      <c r="F93" s="78"/>
      <c r="I93" s="78"/>
      <c r="J93" s="78"/>
      <c r="K93" s="78"/>
      <c r="L93" s="78"/>
      <c r="M93" s="78"/>
      <c r="N93" s="78"/>
      <c r="Q93" s="78"/>
      <c r="R93" s="78"/>
      <c r="S93" s="78"/>
      <c r="T93" s="78"/>
      <c r="U93" s="78"/>
      <c r="V93" s="78"/>
      <c r="AC93" s="78" t="s">
        <v>52</v>
      </c>
      <c r="AD93" s="78" t="s">
        <v>17</v>
      </c>
      <c r="AE93" s="78" t="s">
        <v>72</v>
      </c>
      <c r="AF93" s="78" t="s">
        <v>51</v>
      </c>
      <c r="AG93" s="78" t="s">
        <v>97</v>
      </c>
      <c r="AH93" s="78">
        <v>4.5673569234199736</v>
      </c>
      <c r="AJ93" s="78" t="s">
        <v>52</v>
      </c>
      <c r="AK93" s="78" t="s">
        <v>17</v>
      </c>
      <c r="AL93" s="78" t="s">
        <v>28</v>
      </c>
      <c r="AM93" s="78" t="s">
        <v>51</v>
      </c>
      <c r="AN93" s="78" t="s">
        <v>97</v>
      </c>
      <c r="AO93" s="78">
        <v>1.4344115256412833</v>
      </c>
      <c r="AR93" s="78"/>
      <c r="AS93" s="78"/>
      <c r="AT93" s="78"/>
      <c r="AU93" s="78"/>
      <c r="AV93" s="78"/>
      <c r="AW93" s="78"/>
    </row>
    <row r="94" spans="1:49" s="77" customFormat="1">
      <c r="A94" s="78"/>
      <c r="B94" s="78"/>
      <c r="C94" s="78"/>
      <c r="D94" s="78"/>
      <c r="E94" s="78"/>
      <c r="F94" s="78"/>
      <c r="I94" s="78"/>
      <c r="J94" s="78"/>
      <c r="K94" s="78"/>
      <c r="L94" s="78"/>
      <c r="M94" s="78"/>
      <c r="N94" s="78"/>
      <c r="Q94" s="78"/>
      <c r="R94" s="78"/>
      <c r="S94" s="78"/>
      <c r="T94" s="78"/>
      <c r="U94" s="78"/>
      <c r="V94" s="78"/>
      <c r="AC94" s="78" t="s">
        <v>52</v>
      </c>
      <c r="AD94" s="78" t="s">
        <v>17</v>
      </c>
      <c r="AE94" s="78" t="s">
        <v>72</v>
      </c>
      <c r="AF94" s="78" t="s">
        <v>51</v>
      </c>
      <c r="AG94" s="78" t="s">
        <v>101</v>
      </c>
      <c r="AH94" s="78">
        <v>4.4953324873966052</v>
      </c>
      <c r="AJ94" s="78" t="s">
        <v>52</v>
      </c>
      <c r="AK94" s="78" t="s">
        <v>17</v>
      </c>
      <c r="AL94" s="78" t="s">
        <v>28</v>
      </c>
      <c r="AM94" s="78" t="s">
        <v>51</v>
      </c>
      <c r="AN94" s="78" t="s">
        <v>101</v>
      </c>
      <c r="AO94" s="78">
        <v>1.4543697678100846</v>
      </c>
      <c r="AR94" s="78"/>
      <c r="AS94" s="78"/>
      <c r="AT94" s="78"/>
      <c r="AU94" s="78"/>
      <c r="AV94" s="78"/>
      <c r="AW94" s="78"/>
    </row>
    <row r="95" spans="1:49" s="77" customFormat="1">
      <c r="I95" s="78"/>
      <c r="J95" s="78"/>
      <c r="K95" s="78"/>
      <c r="L95" s="78"/>
      <c r="M95" s="78"/>
      <c r="N95" s="78"/>
      <c r="Q95" s="78"/>
      <c r="R95" s="78"/>
      <c r="S95" s="78"/>
      <c r="T95" s="78"/>
      <c r="U95" s="78"/>
      <c r="V95" s="78"/>
      <c r="AC95" s="78" t="s">
        <v>52</v>
      </c>
      <c r="AD95" s="78" t="s">
        <v>17</v>
      </c>
      <c r="AE95" s="78" t="s">
        <v>72</v>
      </c>
      <c r="AF95" s="78" t="s">
        <v>51</v>
      </c>
      <c r="AG95" s="78" t="s">
        <v>102</v>
      </c>
      <c r="AH95" s="78">
        <v>4.4985193972193684</v>
      </c>
      <c r="AJ95" s="78" t="s">
        <v>52</v>
      </c>
      <c r="AK95" s="78" t="s">
        <v>17</v>
      </c>
      <c r="AL95" s="78" t="s">
        <v>28</v>
      </c>
      <c r="AM95" s="78" t="s">
        <v>51</v>
      </c>
      <c r="AN95" s="78" t="s">
        <v>102</v>
      </c>
      <c r="AO95" s="78">
        <v>1.4886674852774087</v>
      </c>
      <c r="AR95" s="78"/>
      <c r="AS95" s="78"/>
      <c r="AT95" s="78"/>
      <c r="AU95" s="78"/>
      <c r="AV95" s="78"/>
      <c r="AW95" s="78"/>
    </row>
    <row r="96" spans="1:49" s="77" customFormat="1">
      <c r="I96" s="78"/>
      <c r="J96" s="78"/>
      <c r="K96" s="78"/>
      <c r="L96" s="78"/>
      <c r="M96" s="78"/>
      <c r="N96" s="78"/>
      <c r="Q96" s="78"/>
      <c r="R96" s="78"/>
      <c r="S96" s="78"/>
      <c r="T96" s="78"/>
      <c r="U96" s="78"/>
      <c r="V96" s="78"/>
      <c r="AC96" s="78" t="s">
        <v>52</v>
      </c>
      <c r="AD96" s="78" t="s">
        <v>17</v>
      </c>
      <c r="AE96" s="78" t="s">
        <v>72</v>
      </c>
      <c r="AF96" s="78" t="s">
        <v>51</v>
      </c>
      <c r="AG96" s="78" t="s">
        <v>103</v>
      </c>
      <c r="AH96" s="78">
        <v>4.5446319580999752</v>
      </c>
      <c r="AJ96" s="78" t="s">
        <v>52</v>
      </c>
      <c r="AK96" s="78" t="s">
        <v>17</v>
      </c>
      <c r="AL96" s="78" t="s">
        <v>28</v>
      </c>
      <c r="AM96" s="78" t="s">
        <v>51</v>
      </c>
      <c r="AN96" s="78" t="s">
        <v>103</v>
      </c>
      <c r="AO96" s="78">
        <v>1.5654865618600153</v>
      </c>
      <c r="AR96" s="78"/>
      <c r="AS96" s="78"/>
      <c r="AT96" s="78"/>
      <c r="AU96" s="78"/>
      <c r="AV96" s="78"/>
      <c r="AW96" s="78"/>
    </row>
    <row r="97" spans="9:49" s="77" customFormat="1">
      <c r="I97" s="78"/>
      <c r="J97" s="78"/>
      <c r="K97" s="78"/>
      <c r="L97" s="78"/>
      <c r="M97" s="78"/>
      <c r="N97" s="78"/>
      <c r="Q97" s="78"/>
      <c r="R97" s="78"/>
      <c r="S97" s="78"/>
      <c r="T97" s="78"/>
      <c r="U97" s="78"/>
      <c r="V97" s="78"/>
      <c r="AC97" s="78" t="s">
        <v>52</v>
      </c>
      <c r="AD97" s="78" t="s">
        <v>17</v>
      </c>
      <c r="AE97" s="78" t="s">
        <v>72</v>
      </c>
      <c r="AF97" s="78" t="s">
        <v>51</v>
      </c>
      <c r="AG97" s="78" t="s">
        <v>104</v>
      </c>
      <c r="AH97" s="78">
        <v>4.5446319580999752</v>
      </c>
      <c r="AJ97" s="78" t="s">
        <v>52</v>
      </c>
      <c r="AK97" s="78" t="s">
        <v>17</v>
      </c>
      <c r="AL97" s="78" t="s">
        <v>28</v>
      </c>
      <c r="AM97" s="78" t="s">
        <v>51</v>
      </c>
      <c r="AN97" s="78" t="s">
        <v>104</v>
      </c>
      <c r="AO97" s="78">
        <v>1.4926391523791853</v>
      </c>
      <c r="AR97" s="78"/>
      <c r="AS97" s="78"/>
      <c r="AT97" s="78"/>
      <c r="AU97" s="78"/>
      <c r="AV97" s="78"/>
      <c r="AW97" s="78"/>
    </row>
    <row r="98" spans="9:49" s="77" customFormat="1">
      <c r="I98" s="78"/>
      <c r="J98" s="78"/>
      <c r="K98" s="78"/>
      <c r="L98" s="78"/>
      <c r="M98" s="78"/>
      <c r="N98" s="78"/>
      <c r="Q98" s="78"/>
      <c r="R98" s="78"/>
      <c r="S98" s="78"/>
      <c r="T98" s="78"/>
      <c r="U98" s="78"/>
      <c r="V98" s="78"/>
      <c r="AC98" s="78" t="s">
        <v>52</v>
      </c>
      <c r="AD98" s="78" t="s">
        <v>17</v>
      </c>
      <c r="AE98" s="78" t="s">
        <v>72</v>
      </c>
      <c r="AF98" s="78" t="s">
        <v>51</v>
      </c>
      <c r="AG98" s="78" t="s">
        <v>105</v>
      </c>
      <c r="AH98" s="78">
        <v>4.5960778002180591</v>
      </c>
      <c r="AJ98" s="78" t="s">
        <v>52</v>
      </c>
      <c r="AK98" s="78" t="s">
        <v>17</v>
      </c>
      <c r="AL98" s="78" t="s">
        <v>28</v>
      </c>
      <c r="AM98" s="78" t="s">
        <v>51</v>
      </c>
      <c r="AN98" s="78" t="s">
        <v>105</v>
      </c>
      <c r="AO98" s="78">
        <v>1.4491633035923392</v>
      </c>
      <c r="AR98" s="78"/>
      <c r="AS98" s="78"/>
      <c r="AT98" s="78"/>
      <c r="AU98" s="78"/>
      <c r="AV98" s="78"/>
      <c r="AW98" s="78"/>
    </row>
    <row r="99" spans="9:49" s="77" customFormat="1">
      <c r="I99" s="78"/>
      <c r="J99" s="78"/>
      <c r="K99" s="78"/>
      <c r="L99" s="78"/>
      <c r="M99" s="78"/>
      <c r="N99" s="78"/>
      <c r="Q99" s="78"/>
      <c r="R99" s="78"/>
      <c r="S99" s="78"/>
      <c r="T99" s="78"/>
      <c r="U99" s="78"/>
      <c r="V99" s="78"/>
      <c r="AC99" s="78" t="s">
        <v>52</v>
      </c>
      <c r="AD99" s="78" t="s">
        <v>17</v>
      </c>
      <c r="AE99" s="78" t="s">
        <v>72</v>
      </c>
      <c r="AF99" s="78" t="s">
        <v>51</v>
      </c>
      <c r="AG99" s="78" t="s">
        <v>106</v>
      </c>
      <c r="AH99" s="78">
        <v>4.6425186326748173</v>
      </c>
      <c r="AJ99" s="78" t="s">
        <v>52</v>
      </c>
      <c r="AK99" s="78" t="s">
        <v>17</v>
      </c>
      <c r="AL99" s="78" t="s">
        <v>28</v>
      </c>
      <c r="AM99" s="78" t="s">
        <v>51</v>
      </c>
      <c r="AN99" s="78" t="s">
        <v>106</v>
      </c>
      <c r="AO99" s="78">
        <v>1.4984384715417181</v>
      </c>
      <c r="AR99" s="78"/>
      <c r="AS99" s="78"/>
      <c r="AT99" s="78"/>
      <c r="AU99" s="78"/>
      <c r="AV99" s="78"/>
      <c r="AW99" s="78"/>
    </row>
    <row r="100" spans="9:49" s="77" customFormat="1">
      <c r="I100" s="78"/>
      <c r="J100" s="78"/>
      <c r="K100" s="78"/>
      <c r="L100" s="78"/>
      <c r="M100" s="78"/>
      <c r="N100" s="78"/>
      <c r="Q100" s="78"/>
      <c r="R100" s="78"/>
      <c r="S100" s="78"/>
      <c r="T100" s="78"/>
      <c r="U100" s="78"/>
      <c r="V100" s="78"/>
      <c r="AC100" s="78" t="s">
        <v>52</v>
      </c>
      <c r="AD100" s="78" t="s">
        <v>17</v>
      </c>
      <c r="AE100" s="78" t="s">
        <v>72</v>
      </c>
      <c r="AF100" s="78" t="s">
        <v>51</v>
      </c>
      <c r="AG100" s="78" t="s">
        <v>107</v>
      </c>
      <c r="AH100" s="78">
        <v>4.5472221224551266</v>
      </c>
      <c r="AJ100" s="78" t="s">
        <v>52</v>
      </c>
      <c r="AK100" s="78" t="s">
        <v>17</v>
      </c>
      <c r="AL100" s="78" t="s">
        <v>28</v>
      </c>
      <c r="AM100" s="78" t="s">
        <v>51</v>
      </c>
      <c r="AN100" s="78" t="s">
        <v>107</v>
      </c>
      <c r="AO100" s="78">
        <v>1.4391155694354067</v>
      </c>
      <c r="AR100" s="78"/>
      <c r="AS100" s="78"/>
      <c r="AT100" s="78"/>
      <c r="AU100" s="78"/>
      <c r="AV100" s="78"/>
      <c r="AW100" s="78"/>
    </row>
    <row r="101" spans="9:49" s="77" customFormat="1">
      <c r="Q101" s="78"/>
      <c r="R101" s="78"/>
      <c r="S101" s="78"/>
      <c r="T101" s="78"/>
      <c r="U101" s="78"/>
      <c r="V101" s="78"/>
      <c r="AC101" s="78" t="s">
        <v>52</v>
      </c>
      <c r="AD101" s="78" t="s">
        <v>17</v>
      </c>
      <c r="AE101" s="78" t="s">
        <v>72</v>
      </c>
      <c r="AF101" s="78" t="s">
        <v>51</v>
      </c>
      <c r="AG101" s="78" t="s">
        <v>108</v>
      </c>
      <c r="AH101" s="78">
        <v>4.5472221224551266</v>
      </c>
      <c r="AJ101" s="78" t="s">
        <v>52</v>
      </c>
      <c r="AK101" s="78" t="s">
        <v>17</v>
      </c>
      <c r="AL101" s="78" t="s">
        <v>28</v>
      </c>
      <c r="AM101" s="78" t="s">
        <v>51</v>
      </c>
      <c r="AN101" s="78" t="s">
        <v>108</v>
      </c>
      <c r="AO101" s="78">
        <v>1.4820339969784169</v>
      </c>
      <c r="AR101" s="78"/>
      <c r="AS101" s="78"/>
      <c r="AT101" s="78"/>
      <c r="AU101" s="78"/>
      <c r="AV101" s="78"/>
      <c r="AW101" s="78"/>
    </row>
    <row r="102" spans="9:49" s="77" customFormat="1">
      <c r="Q102" s="78"/>
      <c r="R102" s="78"/>
      <c r="S102" s="78"/>
      <c r="T102" s="78"/>
      <c r="U102" s="78"/>
      <c r="V102" s="78"/>
      <c r="AC102" s="78" t="s">
        <v>52</v>
      </c>
      <c r="AD102" s="78" t="s">
        <v>17</v>
      </c>
      <c r="AE102" s="78" t="s">
        <v>72</v>
      </c>
      <c r="AF102" s="78" t="s">
        <v>51</v>
      </c>
      <c r="AG102" s="78" t="s">
        <v>100</v>
      </c>
      <c r="AH102" s="78">
        <v>4.4779992446135664</v>
      </c>
      <c r="AJ102" s="78" t="s">
        <v>52</v>
      </c>
      <c r="AK102" s="78" t="s">
        <v>17</v>
      </c>
      <c r="AL102" s="78" t="s">
        <v>28</v>
      </c>
      <c r="AM102" s="78" t="s">
        <v>51</v>
      </c>
      <c r="AN102" s="78" t="s">
        <v>100</v>
      </c>
      <c r="AO102" s="78">
        <v>1.4137621493606665</v>
      </c>
      <c r="AR102" s="78"/>
      <c r="AS102" s="78"/>
      <c r="AT102" s="78"/>
      <c r="AU102" s="78"/>
      <c r="AV102" s="78"/>
      <c r="AW102" s="78"/>
    </row>
    <row r="103" spans="9:49" s="77" customFormat="1">
      <c r="Q103" s="78"/>
      <c r="R103" s="78"/>
      <c r="S103" s="78"/>
      <c r="T103" s="78"/>
      <c r="U103" s="78"/>
      <c r="V103" s="78"/>
      <c r="AC103" s="78" t="s">
        <v>52</v>
      </c>
      <c r="AD103" s="78" t="s">
        <v>17</v>
      </c>
      <c r="AE103" s="78" t="s">
        <v>72</v>
      </c>
      <c r="AF103" s="78" t="s">
        <v>51</v>
      </c>
      <c r="AG103" s="78" t="s">
        <v>109</v>
      </c>
      <c r="AH103" s="78">
        <v>4.4461738601142571</v>
      </c>
      <c r="AJ103" s="78" t="s">
        <v>52</v>
      </c>
      <c r="AK103" s="78" t="s">
        <v>17</v>
      </c>
      <c r="AL103" s="78" t="s">
        <v>28</v>
      </c>
      <c r="AM103" s="78" t="s">
        <v>51</v>
      </c>
      <c r="AN103" s="78" t="s">
        <v>109</v>
      </c>
      <c r="AO103" s="78">
        <v>1.3953089089250075</v>
      </c>
      <c r="AR103" s="78"/>
      <c r="AS103" s="78"/>
      <c r="AT103" s="78"/>
      <c r="AU103" s="78"/>
      <c r="AV103" s="78"/>
      <c r="AW103" s="78"/>
    </row>
    <row r="104" spans="9:49" s="77" customFormat="1">
      <c r="Q104" s="78"/>
      <c r="R104" s="78"/>
      <c r="S104" s="78"/>
      <c r="T104" s="78"/>
      <c r="U104" s="78"/>
      <c r="V104" s="78"/>
      <c r="AC104" s="78" t="s">
        <v>52</v>
      </c>
      <c r="AD104" s="78" t="s">
        <v>17</v>
      </c>
      <c r="AE104" s="78" t="s">
        <v>72</v>
      </c>
      <c r="AF104" s="78" t="s">
        <v>51</v>
      </c>
      <c r="AG104" s="78" t="s">
        <v>110</v>
      </c>
      <c r="AH104" s="78">
        <v>4.4461738601142571</v>
      </c>
      <c r="AJ104" s="78" t="s">
        <v>52</v>
      </c>
      <c r="AK104" s="78" t="s">
        <v>17</v>
      </c>
      <c r="AL104" s="78" t="s">
        <v>28</v>
      </c>
      <c r="AM104" s="78" t="s">
        <v>51</v>
      </c>
      <c r="AN104" s="78" t="s">
        <v>110</v>
      </c>
      <c r="AO104" s="78">
        <v>1.3759052576474176</v>
      </c>
      <c r="AR104" s="78"/>
      <c r="AS104" s="78"/>
      <c r="AT104" s="78"/>
      <c r="AU104" s="78"/>
      <c r="AV104" s="78"/>
      <c r="AW104" s="78"/>
    </row>
    <row r="105" spans="9:49" s="77" customFormat="1">
      <c r="Q105" s="78"/>
      <c r="R105" s="78"/>
      <c r="S105" s="78"/>
      <c r="T105" s="78"/>
      <c r="U105" s="78"/>
      <c r="V105" s="78"/>
      <c r="AC105" s="78" t="s">
        <v>52</v>
      </c>
      <c r="AD105" s="78" t="s">
        <v>17</v>
      </c>
      <c r="AE105" s="78" t="s">
        <v>72</v>
      </c>
      <c r="AF105" s="78" t="s">
        <v>51</v>
      </c>
      <c r="AG105" s="78" t="s">
        <v>111</v>
      </c>
      <c r="AH105" s="78">
        <v>4.4696326089388583</v>
      </c>
      <c r="AJ105" s="78" t="s">
        <v>52</v>
      </c>
      <c r="AK105" s="78" t="s">
        <v>17</v>
      </c>
      <c r="AL105" s="78" t="s">
        <v>28</v>
      </c>
      <c r="AM105" s="78" t="s">
        <v>51</v>
      </c>
      <c r="AN105" s="78" t="s">
        <v>111</v>
      </c>
      <c r="AO105" s="78">
        <v>1.4286340196471383</v>
      </c>
      <c r="AR105" s="78"/>
      <c r="AS105" s="78"/>
      <c r="AT105" s="78"/>
      <c r="AU105" s="78"/>
      <c r="AV105" s="78"/>
      <c r="AW105" s="78"/>
    </row>
    <row r="106" spans="9:49" s="77" customFormat="1">
      <c r="Q106" s="78"/>
      <c r="R106" s="78"/>
      <c r="S106" s="78"/>
      <c r="T106" s="78"/>
      <c r="U106" s="78"/>
      <c r="V106" s="78"/>
      <c r="AC106" s="78" t="s">
        <v>52</v>
      </c>
      <c r="AD106" s="78" t="s">
        <v>17</v>
      </c>
      <c r="AE106" s="78" t="s">
        <v>72</v>
      </c>
      <c r="AF106" s="78" t="s">
        <v>51</v>
      </c>
      <c r="AG106" s="78" t="s">
        <v>99</v>
      </c>
      <c r="AH106" s="78">
        <v>4.4811934664059407</v>
      </c>
      <c r="AJ106" s="78" t="s">
        <v>52</v>
      </c>
      <c r="AK106" s="78" t="s">
        <v>17</v>
      </c>
      <c r="AL106" s="78" t="s">
        <v>28</v>
      </c>
      <c r="AM106" s="78" t="s">
        <v>51</v>
      </c>
      <c r="AN106" s="78" t="s">
        <v>99</v>
      </c>
      <c r="AO106" s="78">
        <v>1.4539211920399711</v>
      </c>
      <c r="AR106" s="78"/>
      <c r="AS106" s="78"/>
      <c r="AT106" s="78"/>
      <c r="AU106" s="78"/>
      <c r="AV106" s="78"/>
      <c r="AW106" s="78"/>
    </row>
    <row r="107" spans="9:49" s="77" customFormat="1">
      <c r="Q107" s="78"/>
      <c r="R107" s="78"/>
      <c r="S107" s="78"/>
      <c r="T107" s="78"/>
      <c r="U107" s="78"/>
      <c r="V107" s="78"/>
      <c r="AC107" s="78" t="s">
        <v>52</v>
      </c>
      <c r="AD107" s="78" t="s">
        <v>17</v>
      </c>
      <c r="AE107" s="78" t="s">
        <v>72</v>
      </c>
      <c r="AF107" s="78" t="s">
        <v>51</v>
      </c>
      <c r="AG107" s="78" t="s">
        <v>126</v>
      </c>
      <c r="AH107" s="78">
        <v>4.4522759501537079</v>
      </c>
      <c r="AJ107" s="78" t="s">
        <v>52</v>
      </c>
      <c r="AK107" s="78" t="s">
        <v>17</v>
      </c>
      <c r="AL107" s="78" t="s">
        <v>28</v>
      </c>
      <c r="AM107" s="78" t="s">
        <v>51</v>
      </c>
      <c r="AN107" s="78" t="s">
        <v>126</v>
      </c>
      <c r="AO107" s="78">
        <v>1.4507515913062277</v>
      </c>
      <c r="AR107" s="78"/>
      <c r="AS107" s="78"/>
      <c r="AT107" s="78"/>
      <c r="AU107" s="78"/>
      <c r="AV107" s="78"/>
      <c r="AW107" s="78"/>
    </row>
    <row r="108" spans="9:49" s="77" customFormat="1">
      <c r="Q108" s="78"/>
      <c r="R108" s="78"/>
      <c r="S108" s="78"/>
      <c r="T108" s="78"/>
      <c r="U108" s="78"/>
      <c r="V108" s="78"/>
      <c r="AC108" s="78" t="s">
        <v>52</v>
      </c>
      <c r="AD108" s="78" t="s">
        <v>17</v>
      </c>
      <c r="AE108" s="78" t="s">
        <v>72</v>
      </c>
      <c r="AF108" s="78" t="s">
        <v>51</v>
      </c>
      <c r="AG108" s="78" t="s">
        <v>124</v>
      </c>
      <c r="AH108" s="78">
        <v>4.4204074273666594</v>
      </c>
      <c r="AJ108" s="78" t="s">
        <v>52</v>
      </c>
      <c r="AK108" s="78" t="s">
        <v>17</v>
      </c>
      <c r="AL108" s="78" t="s">
        <v>28</v>
      </c>
      <c r="AM108" s="78" t="s">
        <v>51</v>
      </c>
      <c r="AN108" s="78" t="s">
        <v>124</v>
      </c>
      <c r="AO108" s="78">
        <v>1.4115999979508493</v>
      </c>
      <c r="AR108" s="78"/>
      <c r="AS108" s="78"/>
      <c r="AT108" s="78"/>
      <c r="AU108" s="78"/>
      <c r="AV108" s="78"/>
      <c r="AW108" s="78"/>
    </row>
    <row r="109" spans="9:49" s="77" customFormat="1">
      <c r="Q109" s="78"/>
      <c r="R109" s="78"/>
      <c r="S109" s="78"/>
      <c r="T109" s="78"/>
      <c r="U109" s="78"/>
      <c r="V109" s="78"/>
      <c r="AC109" s="78" t="s">
        <v>52</v>
      </c>
      <c r="AD109" s="78" t="s">
        <v>17</v>
      </c>
      <c r="AE109" s="78" t="s">
        <v>72</v>
      </c>
      <c r="AF109" s="78" t="s">
        <v>51</v>
      </c>
      <c r="AG109" s="78" t="s">
        <v>127</v>
      </c>
      <c r="AH109" s="78">
        <v>4.4406945858636773</v>
      </c>
      <c r="AJ109" s="78" t="s">
        <v>52</v>
      </c>
      <c r="AK109" s="78" t="s">
        <v>17</v>
      </c>
      <c r="AL109" s="78" t="s">
        <v>28</v>
      </c>
      <c r="AM109" s="78" t="s">
        <v>51</v>
      </c>
      <c r="AN109" s="78" t="s">
        <v>127</v>
      </c>
      <c r="AO109" s="78">
        <v>1.4638126045131872</v>
      </c>
      <c r="AR109" s="78"/>
      <c r="AS109" s="78"/>
      <c r="AT109" s="78"/>
      <c r="AU109" s="78"/>
      <c r="AV109" s="78"/>
      <c r="AW109" s="78"/>
    </row>
    <row r="110" spans="9:49" s="77" customFormat="1">
      <c r="Q110" s="78"/>
      <c r="R110" s="78"/>
      <c r="S110" s="78"/>
      <c r="T110" s="78"/>
      <c r="U110" s="78"/>
      <c r="V110" s="78"/>
      <c r="AC110" s="78" t="s">
        <v>52</v>
      </c>
      <c r="AD110" s="78" t="s">
        <v>17</v>
      </c>
      <c r="AE110" s="78" t="s">
        <v>72</v>
      </c>
      <c r="AF110" s="78" t="s">
        <v>51</v>
      </c>
      <c r="AG110" s="78" t="s">
        <v>128</v>
      </c>
      <c r="AH110" s="78">
        <v>4.4493813788399832</v>
      </c>
      <c r="AJ110" s="78" t="s">
        <v>52</v>
      </c>
      <c r="AK110" s="78" t="s">
        <v>17</v>
      </c>
      <c r="AL110" s="78" t="s">
        <v>28</v>
      </c>
      <c r="AM110" s="78" t="s">
        <v>51</v>
      </c>
      <c r="AN110" s="78" t="s">
        <v>128</v>
      </c>
      <c r="AO110" s="78">
        <v>1.4793540082698529</v>
      </c>
      <c r="AR110" s="78"/>
      <c r="AS110" s="78"/>
      <c r="AT110" s="78"/>
      <c r="AU110" s="78"/>
      <c r="AV110" s="78"/>
      <c r="AW110" s="78"/>
    </row>
    <row r="111" spans="9:49" s="77" customFormat="1">
      <c r="Q111" s="78"/>
      <c r="R111" s="78"/>
      <c r="S111" s="78"/>
      <c r="T111" s="78"/>
      <c r="U111" s="78"/>
      <c r="V111" s="78"/>
      <c r="AC111" s="78" t="s">
        <v>52</v>
      </c>
      <c r="AD111" s="78" t="s">
        <v>17</v>
      </c>
      <c r="AE111" s="78" t="s">
        <v>72</v>
      </c>
      <c r="AF111" s="78" t="s">
        <v>51</v>
      </c>
      <c r="AG111" s="78" t="s">
        <v>129</v>
      </c>
      <c r="AH111" s="78">
        <v>4.4609565865630021</v>
      </c>
      <c r="AJ111" s="78" t="s">
        <v>52</v>
      </c>
      <c r="AK111" s="78" t="s">
        <v>17</v>
      </c>
      <c r="AL111" s="78" t="s">
        <v>28</v>
      </c>
      <c r="AM111" s="78" t="s">
        <v>51</v>
      </c>
      <c r="AN111" s="78" t="s">
        <v>129</v>
      </c>
      <c r="AO111" s="78">
        <v>1.4657398986657422</v>
      </c>
      <c r="AR111" s="78"/>
      <c r="AS111" s="78"/>
      <c r="AT111" s="78"/>
      <c r="AU111" s="78"/>
      <c r="AV111" s="78"/>
      <c r="AW111" s="78"/>
    </row>
    <row r="112" spans="9:49" s="77" customFormat="1">
      <c r="Q112" s="78"/>
      <c r="R112" s="78"/>
      <c r="S112" s="78"/>
      <c r="T112" s="78"/>
      <c r="U112" s="78"/>
      <c r="V112" s="78"/>
      <c r="AC112" s="78" t="s">
        <v>52</v>
      </c>
      <c r="AD112" s="78" t="s">
        <v>17</v>
      </c>
      <c r="AE112" s="78" t="s">
        <v>72</v>
      </c>
      <c r="AF112" s="78" t="s">
        <v>51</v>
      </c>
      <c r="AG112" s="78" t="s">
        <v>123</v>
      </c>
      <c r="AH112" s="78">
        <v>4.4898587339935672</v>
      </c>
      <c r="AJ112" s="78" t="s">
        <v>52</v>
      </c>
      <c r="AK112" s="78" t="s">
        <v>17</v>
      </c>
      <c r="AL112" s="78" t="s">
        <v>28</v>
      </c>
      <c r="AM112" s="78" t="s">
        <v>51</v>
      </c>
      <c r="AN112" s="78" t="s">
        <v>123</v>
      </c>
      <c r="AO112" s="78">
        <v>1.4954131871900374</v>
      </c>
      <c r="AR112" s="78"/>
      <c r="AS112" s="78"/>
      <c r="AT112" s="78"/>
      <c r="AU112" s="78"/>
      <c r="AV112" s="78"/>
      <c r="AW112" s="78"/>
    </row>
    <row r="113" spans="17:41" s="77" customFormat="1">
      <c r="Q113" s="78"/>
      <c r="R113" s="78"/>
      <c r="S113" s="78"/>
      <c r="T113" s="78"/>
      <c r="U113" s="78"/>
      <c r="V113" s="78"/>
      <c r="AC113" s="78" t="s">
        <v>52</v>
      </c>
      <c r="AD113" s="78" t="s">
        <v>17</v>
      </c>
      <c r="AE113" s="78" t="s">
        <v>72</v>
      </c>
      <c r="AF113" s="78" t="s">
        <v>51</v>
      </c>
      <c r="AG113" s="78" t="s">
        <v>125</v>
      </c>
      <c r="AH113" s="78">
        <v>4.3739421106982554</v>
      </c>
      <c r="AJ113" s="78" t="s">
        <v>52</v>
      </c>
      <c r="AK113" s="78" t="s">
        <v>17</v>
      </c>
      <c r="AL113" s="78" t="s">
        <v>28</v>
      </c>
      <c r="AM113" s="78" t="s">
        <v>51</v>
      </c>
      <c r="AN113" s="78" t="s">
        <v>125</v>
      </c>
      <c r="AO113" s="78">
        <v>1.4584339847358858</v>
      </c>
    </row>
    <row r="114" spans="17:41" s="77" customFormat="1">
      <c r="Q114" s="78"/>
      <c r="R114" s="78"/>
      <c r="S114" s="78"/>
      <c r="T114" s="78"/>
      <c r="U114" s="78"/>
      <c r="V114" s="78"/>
      <c r="AC114" s="78" t="s">
        <v>52</v>
      </c>
      <c r="AD114" s="78" t="s">
        <v>17</v>
      </c>
      <c r="AE114" s="78" t="s">
        <v>72</v>
      </c>
      <c r="AF114" s="78" t="s">
        <v>51</v>
      </c>
      <c r="AG114" s="78" t="s">
        <v>215</v>
      </c>
      <c r="AH114" s="78">
        <v>4.3855708043827342</v>
      </c>
      <c r="AJ114" s="78" t="s">
        <v>52</v>
      </c>
      <c r="AK114" s="78" t="s">
        <v>17</v>
      </c>
      <c r="AL114" s="78" t="s">
        <v>28</v>
      </c>
      <c r="AM114" s="78" t="s">
        <v>51</v>
      </c>
      <c r="AN114" s="78" t="s">
        <v>215</v>
      </c>
      <c r="AO114" s="78">
        <v>1.4996119210214647</v>
      </c>
    </row>
    <row r="115" spans="17:41" s="77" customFormat="1">
      <c r="Q115" s="78"/>
      <c r="R115" s="78"/>
      <c r="S115" s="78"/>
      <c r="T115" s="78"/>
      <c r="U115" s="78"/>
      <c r="V115" s="78"/>
      <c r="AC115" s="78" t="s">
        <v>52</v>
      </c>
      <c r="AD115" s="78" t="s">
        <v>17</v>
      </c>
      <c r="AE115" s="78" t="s">
        <v>72</v>
      </c>
      <c r="AF115" s="78" t="s">
        <v>51</v>
      </c>
      <c r="AG115" s="78" t="s">
        <v>219</v>
      </c>
      <c r="AH115" s="78">
        <v>4.4146064703713783</v>
      </c>
      <c r="AJ115" s="78" t="s">
        <v>52</v>
      </c>
      <c r="AK115" s="78" t="s">
        <v>17</v>
      </c>
      <c r="AL115" s="78" t="s">
        <v>28</v>
      </c>
      <c r="AM115" s="78" t="s">
        <v>51</v>
      </c>
      <c r="AN115" s="78" t="s">
        <v>219</v>
      </c>
      <c r="AO115" s="78">
        <v>1.4553497586985888</v>
      </c>
    </row>
    <row r="116" spans="17:41" s="77" customFormat="1">
      <c r="Q116" s="78"/>
      <c r="R116" s="78"/>
      <c r="S116" s="78"/>
      <c r="T116" s="78"/>
      <c r="U116" s="78"/>
      <c r="V116" s="78"/>
      <c r="AC116" s="78" t="s">
        <v>52</v>
      </c>
      <c r="AD116" s="78" t="s">
        <v>17</v>
      </c>
      <c r="AE116" s="78" t="s">
        <v>72</v>
      </c>
      <c r="AF116" s="78" t="s">
        <v>51</v>
      </c>
      <c r="AG116" s="78" t="s">
        <v>220</v>
      </c>
      <c r="AH116" s="78">
        <v>4.5014052622718115</v>
      </c>
      <c r="AJ116" s="78" t="s">
        <v>52</v>
      </c>
      <c r="AK116" s="78" t="s">
        <v>17</v>
      </c>
      <c r="AL116" s="78" t="s">
        <v>28</v>
      </c>
      <c r="AM116" s="78" t="s">
        <v>51</v>
      </c>
      <c r="AN116" s="78" t="s">
        <v>220</v>
      </c>
      <c r="AO116" s="78">
        <v>1.4924937777913119</v>
      </c>
    </row>
    <row r="117" spans="17:41" s="77" customFormat="1">
      <c r="Q117" s="78"/>
      <c r="R117" s="78"/>
      <c r="S117" s="78"/>
      <c r="T117" s="78"/>
      <c r="U117" s="78"/>
      <c r="V117" s="78"/>
      <c r="AC117" s="78" t="s">
        <v>52</v>
      </c>
      <c r="AD117" s="78" t="s">
        <v>17</v>
      </c>
      <c r="AE117" s="78" t="s">
        <v>72</v>
      </c>
      <c r="AF117" s="78" t="s">
        <v>51</v>
      </c>
      <c r="AG117" s="78" t="s">
        <v>221</v>
      </c>
      <c r="AH117" s="78">
        <v>4.5129436118874455</v>
      </c>
      <c r="AJ117" s="78" t="s">
        <v>52</v>
      </c>
      <c r="AK117" s="78" t="s">
        <v>17</v>
      </c>
      <c r="AL117" s="78" t="s">
        <v>28</v>
      </c>
      <c r="AM117" s="78" t="s">
        <v>51</v>
      </c>
      <c r="AN117" s="78" t="s">
        <v>221</v>
      </c>
      <c r="AO117" s="78">
        <v>1.5409787619072055</v>
      </c>
    </row>
    <row r="118" spans="17:41" s="77" customFormat="1">
      <c r="Q118" s="78"/>
      <c r="R118" s="78"/>
      <c r="S118" s="78"/>
      <c r="T118" s="78"/>
      <c r="U118" s="78"/>
      <c r="V118" s="78"/>
      <c r="AC118" s="78" t="s">
        <v>52</v>
      </c>
      <c r="AD118" s="78" t="s">
        <v>17</v>
      </c>
      <c r="AE118" s="78" t="s">
        <v>72</v>
      </c>
      <c r="AF118" s="78" t="s">
        <v>51</v>
      </c>
      <c r="AG118" s="78" t="s">
        <v>222</v>
      </c>
      <c r="AH118" s="78">
        <v>4.3477473586080162</v>
      </c>
      <c r="AJ118" s="78" t="s">
        <v>52</v>
      </c>
      <c r="AK118" s="78" t="s">
        <v>17</v>
      </c>
      <c r="AL118" s="78" t="s">
        <v>28</v>
      </c>
      <c r="AM118" s="78" t="s">
        <v>51</v>
      </c>
      <c r="AN118" s="78" t="s">
        <v>222</v>
      </c>
      <c r="AO118" s="78">
        <v>1.4242454553585564</v>
      </c>
    </row>
    <row r="119" spans="17:41" s="77" customFormat="1">
      <c r="Q119" s="78"/>
      <c r="R119" s="78"/>
      <c r="S119" s="78"/>
      <c r="T119" s="78"/>
      <c r="U119" s="78"/>
      <c r="V119" s="78"/>
      <c r="AC119" s="78" t="s">
        <v>52</v>
      </c>
      <c r="AD119" s="78" t="s">
        <v>17</v>
      </c>
      <c r="AE119" s="78" t="s">
        <v>72</v>
      </c>
      <c r="AF119" s="78" t="s">
        <v>51</v>
      </c>
      <c r="AG119" s="78" t="s">
        <v>223</v>
      </c>
      <c r="AH119" s="78">
        <v>4.4175072060123801</v>
      </c>
      <c r="AJ119" s="78" t="s">
        <v>52</v>
      </c>
      <c r="AK119" s="78" t="s">
        <v>17</v>
      </c>
      <c r="AL119" s="78" t="s">
        <v>28</v>
      </c>
      <c r="AM119" s="78" t="s">
        <v>51</v>
      </c>
      <c r="AN119" s="78" t="s">
        <v>223</v>
      </c>
      <c r="AO119" s="78">
        <v>1.4422068354014699</v>
      </c>
    </row>
    <row r="120" spans="17:41" s="77" customFormat="1">
      <c r="Q120" s="78"/>
      <c r="R120" s="78"/>
      <c r="S120" s="78"/>
      <c r="T120" s="78"/>
      <c r="U120" s="78"/>
      <c r="V120" s="78"/>
      <c r="AC120" s="78" t="s">
        <v>52</v>
      </c>
      <c r="AD120" s="78" t="s">
        <v>17</v>
      </c>
      <c r="AE120" s="78" t="s">
        <v>72</v>
      </c>
      <c r="AF120" s="78" t="s">
        <v>51</v>
      </c>
      <c r="AG120" s="78" t="s">
        <v>224</v>
      </c>
      <c r="AH120" s="78">
        <v>4.3652151737597782</v>
      </c>
      <c r="AJ120" s="78" t="s">
        <v>52</v>
      </c>
      <c r="AK120" s="78" t="s">
        <v>17</v>
      </c>
      <c r="AL120" s="78" t="s">
        <v>28</v>
      </c>
      <c r="AM120" s="78" t="s">
        <v>51</v>
      </c>
      <c r="AN120" s="78" t="s">
        <v>224</v>
      </c>
      <c r="AO120" s="78">
        <v>1.475763394548218</v>
      </c>
    </row>
    <row r="121" spans="17:41" s="77" customFormat="1">
      <c r="Q121" s="78"/>
      <c r="R121" s="78"/>
      <c r="S121" s="78"/>
      <c r="T121" s="78"/>
      <c r="U121" s="78"/>
      <c r="V121" s="78"/>
      <c r="AC121" s="78" t="s">
        <v>52</v>
      </c>
      <c r="AD121" s="78" t="s">
        <v>17</v>
      </c>
      <c r="AE121" s="78" t="s">
        <v>72</v>
      </c>
      <c r="AF121" s="78" t="s">
        <v>51</v>
      </c>
      <c r="AG121" s="78" t="s">
        <v>225</v>
      </c>
      <c r="AH121" s="78">
        <v>4.4070838695955894</v>
      </c>
      <c r="AJ121" s="78" t="s">
        <v>52</v>
      </c>
      <c r="AK121" s="78" t="s">
        <v>17</v>
      </c>
      <c r="AL121" s="78" t="s">
        <v>28</v>
      </c>
      <c r="AM121" s="78" t="s">
        <v>51</v>
      </c>
      <c r="AN121" s="78" t="s">
        <v>225</v>
      </c>
      <c r="AO121" s="78">
        <v>1.5207406211857697</v>
      </c>
    </row>
    <row r="122" spans="17:41" s="77" customFormat="1">
      <c r="Q122" s="78"/>
      <c r="R122" s="78"/>
      <c r="S122" s="78"/>
      <c r="T122" s="78"/>
      <c r="U122" s="78"/>
      <c r="V122" s="78"/>
      <c r="AC122" s="78" t="s">
        <v>52</v>
      </c>
      <c r="AD122" s="78" t="s">
        <v>17</v>
      </c>
      <c r="AE122" s="78" t="s">
        <v>72</v>
      </c>
      <c r="AF122" s="78" t="s">
        <v>51</v>
      </c>
      <c r="AG122" s="78" t="s">
        <v>226</v>
      </c>
      <c r="AH122" s="78">
        <v>4.3623051624544651</v>
      </c>
      <c r="AJ122" s="155" t="s">
        <v>52</v>
      </c>
      <c r="AK122" s="155" t="s">
        <v>17</v>
      </c>
      <c r="AL122" s="155" t="s">
        <v>28</v>
      </c>
      <c r="AM122" s="155" t="s">
        <v>51</v>
      </c>
      <c r="AN122" s="155" t="s">
        <v>226</v>
      </c>
      <c r="AO122" s="155">
        <v>1.4207564955570056</v>
      </c>
    </row>
    <row r="123" spans="17:41" s="77" customFormat="1">
      <c r="Q123" s="78"/>
      <c r="R123" s="78"/>
      <c r="S123" s="78"/>
      <c r="T123" s="78"/>
      <c r="U123" s="78"/>
      <c r="V123" s="78"/>
      <c r="AC123" s="78" t="s">
        <v>52</v>
      </c>
      <c r="AD123" s="78" t="s">
        <v>17</v>
      </c>
      <c r="AE123" s="78" t="s">
        <v>72</v>
      </c>
      <c r="AF123" s="78" t="s">
        <v>51</v>
      </c>
      <c r="AG123" s="78" t="s">
        <v>227</v>
      </c>
      <c r="AH123" s="78">
        <v>4.4320031720673221</v>
      </c>
      <c r="AJ123" s="155" t="s">
        <v>52</v>
      </c>
      <c r="AK123" s="155" t="s">
        <v>17</v>
      </c>
      <c r="AL123" s="155" t="s">
        <v>28</v>
      </c>
      <c r="AM123" s="155" t="s">
        <v>51</v>
      </c>
      <c r="AN123" s="155" t="s">
        <v>227</v>
      </c>
      <c r="AO123" s="155">
        <v>1.4697198242720515</v>
      </c>
    </row>
    <row r="124" spans="17:41" s="77" customFormat="1">
      <c r="Q124" s="78"/>
      <c r="R124" s="78"/>
      <c r="S124" s="78"/>
      <c r="T124" s="78"/>
      <c r="U124" s="78"/>
      <c r="V124" s="78"/>
      <c r="AC124" s="78" t="s">
        <v>52</v>
      </c>
      <c r="AD124" s="78" t="s">
        <v>17</v>
      </c>
      <c r="AE124" s="78" t="s">
        <v>72</v>
      </c>
      <c r="AF124" s="78" t="s">
        <v>51</v>
      </c>
      <c r="AG124" s="78" t="s">
        <v>228</v>
      </c>
      <c r="AH124" s="78">
        <v>4.3185929708734827</v>
      </c>
      <c r="AJ124" s="155" t="s">
        <v>52</v>
      </c>
      <c r="AK124" s="155" t="s">
        <v>17</v>
      </c>
      <c r="AL124" s="155" t="s">
        <v>28</v>
      </c>
      <c r="AM124" s="155" t="s">
        <v>51</v>
      </c>
      <c r="AN124" s="155" t="s">
        <v>228</v>
      </c>
      <c r="AO124" s="155">
        <v>1.3828494386195826</v>
      </c>
    </row>
    <row r="125" spans="17:41" s="77" customFormat="1">
      <c r="Q125" s="78"/>
      <c r="R125" s="78"/>
      <c r="S125" s="78"/>
      <c r="T125" s="78"/>
      <c r="U125" s="78"/>
      <c r="V125" s="78"/>
      <c r="AC125" s="78" t="s">
        <v>52</v>
      </c>
      <c r="AD125" s="78" t="s">
        <v>17</v>
      </c>
      <c r="AE125" s="78" t="s">
        <v>72</v>
      </c>
      <c r="AF125" s="78" t="s">
        <v>51</v>
      </c>
      <c r="AG125" s="78" t="s">
        <v>229</v>
      </c>
      <c r="AH125" s="78">
        <v>4.3623051624544651</v>
      </c>
      <c r="AJ125" s="155" t="s">
        <v>52</v>
      </c>
      <c r="AK125" s="155" t="s">
        <v>17</v>
      </c>
      <c r="AL125" s="155" t="s">
        <v>28</v>
      </c>
      <c r="AM125" s="155" t="s">
        <v>51</v>
      </c>
      <c r="AN125" s="155" t="s">
        <v>229</v>
      </c>
      <c r="AO125" s="155">
        <v>1.4026468698808754</v>
      </c>
    </row>
    <row r="126" spans="17:41" s="77" customFormat="1">
      <c r="Q126" s="78"/>
      <c r="R126" s="78"/>
      <c r="S126" s="78"/>
      <c r="T126" s="78"/>
      <c r="U126" s="78"/>
      <c r="V126" s="78"/>
      <c r="AC126" s="78" t="s">
        <v>52</v>
      </c>
      <c r="AD126" s="78" t="s">
        <v>17</v>
      </c>
      <c r="AE126" s="78" t="s">
        <v>72</v>
      </c>
      <c r="AF126" s="78" t="s">
        <v>51</v>
      </c>
      <c r="AG126" s="78" t="s">
        <v>230</v>
      </c>
      <c r="AH126" s="78">
        <v>4.3739421106982554</v>
      </c>
      <c r="AJ126" s="155" t="s">
        <v>52</v>
      </c>
      <c r="AK126" s="155" t="s">
        <v>17</v>
      </c>
      <c r="AL126" s="155" t="s">
        <v>28</v>
      </c>
      <c r="AM126" s="155" t="s">
        <v>51</v>
      </c>
      <c r="AN126" s="155" t="s">
        <v>230</v>
      </c>
      <c r="AO126" s="155">
        <v>1.4840567348768356</v>
      </c>
    </row>
    <row r="127" spans="17:41" s="77" customFormat="1">
      <c r="AC127" s="78" t="s">
        <v>52</v>
      </c>
      <c r="AD127" s="78" t="s">
        <v>17</v>
      </c>
      <c r="AE127" s="78" t="s">
        <v>72</v>
      </c>
      <c r="AF127" s="78" t="s">
        <v>51</v>
      </c>
      <c r="AG127" s="78" t="s">
        <v>217</v>
      </c>
      <c r="AH127" s="78">
        <v>4.3402089296616397</v>
      </c>
      <c r="AJ127" s="155" t="s">
        <v>52</v>
      </c>
      <c r="AK127" s="155" t="s">
        <v>17</v>
      </c>
      <c r="AL127" s="155" t="s">
        <v>28</v>
      </c>
      <c r="AM127" s="155" t="s">
        <v>51</v>
      </c>
      <c r="AN127" s="155" t="s">
        <v>217</v>
      </c>
      <c r="AO127" s="155">
        <v>1.4803415500365495</v>
      </c>
    </row>
    <row r="128" spans="17:41" s="77" customFormat="1">
      <c r="AC128" s="78" t="s">
        <v>52</v>
      </c>
      <c r="AD128" s="78" t="s">
        <v>17</v>
      </c>
      <c r="AE128" s="78" t="s">
        <v>72</v>
      </c>
      <c r="AF128" s="78" t="s">
        <v>51</v>
      </c>
      <c r="AG128" s="78" t="s">
        <v>231</v>
      </c>
      <c r="AH128" s="78">
        <v>4.2964471598000369</v>
      </c>
      <c r="AJ128" s="155" t="s">
        <v>52</v>
      </c>
      <c r="AK128" s="155" t="s">
        <v>17</v>
      </c>
      <c r="AL128" s="155" t="s">
        <v>28</v>
      </c>
      <c r="AM128" s="155" t="s">
        <v>51</v>
      </c>
      <c r="AN128" s="155" t="s">
        <v>231</v>
      </c>
      <c r="AO128" s="155">
        <v>1.4619667710336273</v>
      </c>
    </row>
    <row r="129" spans="29:41" s="77" customFormat="1">
      <c r="AC129" s="78" t="s">
        <v>52</v>
      </c>
      <c r="AD129" s="78" t="s">
        <v>17</v>
      </c>
      <c r="AE129" s="78" t="s">
        <v>72</v>
      </c>
      <c r="AF129" s="78" t="s">
        <v>51</v>
      </c>
      <c r="AG129" s="78" t="s">
        <v>232</v>
      </c>
      <c r="AH129" s="78">
        <v>4.2341459139538875</v>
      </c>
      <c r="AJ129" s="155" t="s">
        <v>52</v>
      </c>
      <c r="AK129" s="155" t="s">
        <v>17</v>
      </c>
      <c r="AL129" s="155" t="s">
        <v>28</v>
      </c>
      <c r="AM129" s="155" t="s">
        <v>51</v>
      </c>
      <c r="AN129" s="155" t="s">
        <v>232</v>
      </c>
      <c r="AO129" s="155">
        <v>1.4441024028992371</v>
      </c>
    </row>
    <row r="130" spans="29:41" s="77" customFormat="1">
      <c r="AC130" s="78" t="s">
        <v>52</v>
      </c>
      <c r="AD130" s="78" t="s">
        <v>17</v>
      </c>
      <c r="AE130" s="78" t="s">
        <v>72</v>
      </c>
      <c r="AF130" s="78" t="s">
        <v>51</v>
      </c>
      <c r="AG130" s="78" t="s">
        <v>233</v>
      </c>
      <c r="AH130" s="78">
        <v>4.2935255517595659</v>
      </c>
      <c r="AJ130" s="155" t="s">
        <v>52</v>
      </c>
      <c r="AK130" s="155" t="s">
        <v>17</v>
      </c>
      <c r="AL130" s="155" t="s">
        <v>28</v>
      </c>
      <c r="AM130" s="155" t="s">
        <v>51</v>
      </c>
      <c r="AN130" s="155" t="s">
        <v>233</v>
      </c>
      <c r="AO130" s="155">
        <v>1.3854486805980459</v>
      </c>
    </row>
    <row r="131" spans="29:41" s="77" customFormat="1">
      <c r="AC131" s="78" t="s">
        <v>52</v>
      </c>
      <c r="AD131" s="78" t="s">
        <v>17</v>
      </c>
      <c r="AE131" s="78" t="s">
        <v>72</v>
      </c>
      <c r="AF131" s="78" t="s">
        <v>51</v>
      </c>
      <c r="AG131" s="78" t="s">
        <v>216</v>
      </c>
      <c r="AH131" s="78">
        <v>4.3605911450345749</v>
      </c>
      <c r="AJ131" s="155" t="s">
        <v>52</v>
      </c>
      <c r="AK131" s="155" t="s">
        <v>17</v>
      </c>
      <c r="AL131" s="155" t="s">
        <v>28</v>
      </c>
      <c r="AM131" s="155" t="s">
        <v>51</v>
      </c>
      <c r="AN131" s="155" t="s">
        <v>216</v>
      </c>
      <c r="AO131" s="155">
        <v>1.448796898887305</v>
      </c>
    </row>
    <row r="132" spans="29:41" s="77" customFormat="1">
      <c r="AC132" s="78" t="s">
        <v>52</v>
      </c>
      <c r="AD132" s="78" t="s">
        <v>17</v>
      </c>
      <c r="AE132" s="78" t="s">
        <v>72</v>
      </c>
      <c r="AF132" s="78" t="s">
        <v>51</v>
      </c>
      <c r="AG132" s="78" t="s">
        <v>218</v>
      </c>
      <c r="AH132" s="78">
        <v>4.2659844704607144</v>
      </c>
      <c r="AJ132" s="155" t="s">
        <v>52</v>
      </c>
      <c r="AK132" s="155" t="s">
        <v>17</v>
      </c>
      <c r="AL132" s="155" t="s">
        <v>28</v>
      </c>
      <c r="AM132" s="155" t="s">
        <v>51</v>
      </c>
      <c r="AN132" s="155" t="s">
        <v>218</v>
      </c>
      <c r="AO132" s="155">
        <v>1.3574387392851748</v>
      </c>
    </row>
    <row r="133" spans="29:41" s="77" customFormat="1">
      <c r="AC133" s="78" t="s">
        <v>52</v>
      </c>
      <c r="AD133" s="78" t="s">
        <v>17</v>
      </c>
      <c r="AE133" s="78" t="s">
        <v>72</v>
      </c>
      <c r="AF133" s="78" t="s">
        <v>51</v>
      </c>
      <c r="AG133" s="78" t="s">
        <v>238</v>
      </c>
      <c r="AH133" s="78">
        <v>4.2132075105238744</v>
      </c>
      <c r="AJ133" s="155" t="s">
        <v>52</v>
      </c>
      <c r="AK133" s="155" t="s">
        <v>17</v>
      </c>
      <c r="AL133" s="155" t="s">
        <v>28</v>
      </c>
      <c r="AM133" s="155" t="s">
        <v>51</v>
      </c>
      <c r="AN133" s="155" t="s">
        <v>238</v>
      </c>
      <c r="AO133" s="155">
        <v>1.3001260815676443</v>
      </c>
    </row>
    <row r="134" spans="29:41" s="77" customFormat="1">
      <c r="AC134" s="78" t="s">
        <v>52</v>
      </c>
      <c r="AD134" s="78" t="s">
        <v>17</v>
      </c>
      <c r="AE134" s="78" t="s">
        <v>72</v>
      </c>
      <c r="AF134" s="78" t="s">
        <v>51</v>
      </c>
      <c r="AG134" s="78" t="s">
        <v>239</v>
      </c>
      <c r="AH134" s="78">
        <v>4.2073329774115562</v>
      </c>
      <c r="AJ134" s="155" t="s">
        <v>52</v>
      </c>
      <c r="AK134" s="155" t="s">
        <v>17</v>
      </c>
      <c r="AL134" s="155" t="s">
        <v>28</v>
      </c>
      <c r="AM134" s="155" t="s">
        <v>51</v>
      </c>
      <c r="AN134" s="155" t="s">
        <v>239</v>
      </c>
      <c r="AO134" s="155">
        <v>1.2728859371774863</v>
      </c>
    </row>
    <row r="135" spans="29:41" s="77" customFormat="1">
      <c r="AC135" s="78" t="s">
        <v>52</v>
      </c>
      <c r="AD135" s="78" t="s">
        <v>17</v>
      </c>
      <c r="AE135" s="78" t="s">
        <v>72</v>
      </c>
      <c r="AF135" s="78" t="s">
        <v>51</v>
      </c>
      <c r="AG135" s="78" t="s">
        <v>240</v>
      </c>
      <c r="AH135" s="78">
        <v>4.2484108996908265</v>
      </c>
      <c r="AJ135" s="155" t="s">
        <v>52</v>
      </c>
      <c r="AK135" s="155" t="s">
        <v>17</v>
      </c>
      <c r="AL135" s="155" t="s">
        <v>28</v>
      </c>
      <c r="AM135" s="155" t="s">
        <v>51</v>
      </c>
      <c r="AN135" s="155" t="s">
        <v>240</v>
      </c>
      <c r="AO135" s="155">
        <v>1.3387309334062565</v>
      </c>
    </row>
    <row r="136" spans="29:41" s="77" customFormat="1">
      <c r="AC136" s="78" t="s">
        <v>52</v>
      </c>
      <c r="AD136" s="78" t="s">
        <v>17</v>
      </c>
      <c r="AE136" s="78" t="s">
        <v>72</v>
      </c>
      <c r="AF136" s="78" t="s">
        <v>51</v>
      </c>
      <c r="AG136" s="78" t="s">
        <v>241</v>
      </c>
      <c r="AH136" s="78">
        <v>4.2981540865235441</v>
      </c>
      <c r="AJ136" s="155" t="s">
        <v>52</v>
      </c>
      <c r="AK136" s="155" t="s">
        <v>17</v>
      </c>
      <c r="AL136" s="155" t="s">
        <v>28</v>
      </c>
      <c r="AM136" s="155" t="s">
        <v>51</v>
      </c>
      <c r="AN136" s="155" t="s">
        <v>241</v>
      </c>
      <c r="AO136" s="155">
        <v>1.3622609419325045</v>
      </c>
    </row>
    <row r="137" spans="29:41" s="77" customFormat="1">
      <c r="AC137" s="78" t="s">
        <v>52</v>
      </c>
      <c r="AD137" s="78" t="s">
        <v>17</v>
      </c>
      <c r="AE137" s="78" t="s">
        <v>72</v>
      </c>
      <c r="AF137" s="78" t="s">
        <v>51</v>
      </c>
      <c r="AG137" s="78" t="s">
        <v>242</v>
      </c>
      <c r="AH137" s="78">
        <v>4.1896968435167041</v>
      </c>
      <c r="AJ137" s="155" t="s">
        <v>52</v>
      </c>
      <c r="AK137" s="155" t="s">
        <v>17</v>
      </c>
      <c r="AL137" s="155" t="s">
        <v>28</v>
      </c>
      <c r="AM137" s="155" t="s">
        <v>51</v>
      </c>
      <c r="AN137" s="155" t="s">
        <v>242</v>
      </c>
      <c r="AO137" s="155">
        <v>1.2847074197368942</v>
      </c>
    </row>
    <row r="138" spans="29:41" s="77" customFormat="1">
      <c r="AC138" s="78" t="s">
        <v>52</v>
      </c>
      <c r="AD138" s="78" t="s">
        <v>17</v>
      </c>
      <c r="AE138" s="78" t="s">
        <v>72</v>
      </c>
      <c r="AF138" s="78" t="s">
        <v>51</v>
      </c>
      <c r="AG138" s="78" t="s">
        <v>243</v>
      </c>
      <c r="AH138" s="78">
        <v>4.1661527181973517</v>
      </c>
      <c r="AJ138" s="155" t="s">
        <v>52</v>
      </c>
      <c r="AK138" s="155" t="s">
        <v>17</v>
      </c>
      <c r="AL138" s="155" t="s">
        <v>28</v>
      </c>
      <c r="AM138" s="155" t="s">
        <v>51</v>
      </c>
      <c r="AN138" s="155" t="s">
        <v>243</v>
      </c>
      <c r="AO138" s="155">
        <v>1.2873782909063218</v>
      </c>
    </row>
    <row r="139" spans="29:41" s="77" customFormat="1">
      <c r="AC139" s="78" t="s">
        <v>52</v>
      </c>
      <c r="AD139" s="78" t="s">
        <v>17</v>
      </c>
      <c r="AE139" s="78" t="s">
        <v>72</v>
      </c>
      <c r="AF139" s="78" t="s">
        <v>51</v>
      </c>
      <c r="AG139" s="78" t="s">
        <v>244</v>
      </c>
      <c r="AH139" s="78">
        <v>4.2513411289951666</v>
      </c>
      <c r="AJ139" s="155" t="s">
        <v>52</v>
      </c>
      <c r="AK139" s="155" t="s">
        <v>17</v>
      </c>
      <c r="AL139" s="155" t="s">
        <v>28</v>
      </c>
      <c r="AM139" s="155" t="s">
        <v>51</v>
      </c>
      <c r="AN139" s="155" t="s">
        <v>244</v>
      </c>
      <c r="AO139" s="155">
        <v>1.332778406326687</v>
      </c>
    </row>
    <row r="140" spans="29:41" s="77" customFormat="1">
      <c r="AC140" s="78" t="s">
        <v>52</v>
      </c>
      <c r="AD140" s="78" t="s">
        <v>17</v>
      </c>
      <c r="AE140" s="78" t="s">
        <v>72</v>
      </c>
      <c r="AF140" s="78" t="s">
        <v>51</v>
      </c>
      <c r="AG140" s="78" t="s">
        <v>245</v>
      </c>
      <c r="AH140" s="78">
        <v>4.2689115785087015</v>
      </c>
      <c r="AJ140" s="155" t="s">
        <v>52</v>
      </c>
      <c r="AK140" s="155" t="s">
        <v>17</v>
      </c>
      <c r="AL140" s="155" t="s">
        <v>28</v>
      </c>
      <c r="AM140" s="155" t="s">
        <v>51</v>
      </c>
      <c r="AN140" s="155" t="s">
        <v>245</v>
      </c>
      <c r="AO140" s="155">
        <v>1.3661602264056314</v>
      </c>
    </row>
    <row r="141" spans="29:41" s="77" customFormat="1">
      <c r="AC141" s="78" t="s">
        <v>52</v>
      </c>
      <c r="AD141" s="78" t="s">
        <v>17</v>
      </c>
      <c r="AE141" s="78" t="s">
        <v>72</v>
      </c>
      <c r="AF141" s="78" t="s">
        <v>51</v>
      </c>
      <c r="AG141" s="78" t="s">
        <v>246</v>
      </c>
      <c r="AH141" s="78">
        <v>4.2484108996908265</v>
      </c>
      <c r="AJ141" s="155" t="s">
        <v>52</v>
      </c>
      <c r="AK141" s="155" t="s">
        <v>17</v>
      </c>
      <c r="AL141" s="155" t="s">
        <v>28</v>
      </c>
      <c r="AM141" s="155" t="s">
        <v>51</v>
      </c>
      <c r="AN141" s="155" t="s">
        <v>246</v>
      </c>
      <c r="AO141" s="155">
        <v>1.3156879105427466</v>
      </c>
    </row>
    <row r="142" spans="29:41" s="77" customFormat="1">
      <c r="AC142" s="78" t="s">
        <v>52</v>
      </c>
      <c r="AD142" s="78" t="s">
        <v>17</v>
      </c>
      <c r="AE142" s="78" t="s">
        <v>72</v>
      </c>
      <c r="AF142" s="78" t="s">
        <v>51</v>
      </c>
      <c r="AG142" s="78" t="s">
        <v>247</v>
      </c>
      <c r="AH142" s="78">
        <v>4.2278847118467544</v>
      </c>
      <c r="AJ142" s="155" t="s">
        <v>52</v>
      </c>
      <c r="AK142" s="155" t="s">
        <v>17</v>
      </c>
      <c r="AL142" s="155" t="s">
        <v>28</v>
      </c>
      <c r="AM142" s="155" t="s">
        <v>51</v>
      </c>
      <c r="AN142" s="155" t="s">
        <v>247</v>
      </c>
      <c r="AO142" s="155">
        <v>1.312420128892424</v>
      </c>
    </row>
    <row r="143" spans="29:41" s="77" customFormat="1">
      <c r="AC143" s="78" t="s">
        <v>52</v>
      </c>
      <c r="AD143" s="78" t="s">
        <v>17</v>
      </c>
      <c r="AE143" s="78" t="s">
        <v>72</v>
      </c>
      <c r="AF143" s="78" t="s">
        <v>51</v>
      </c>
      <c r="AG143" s="78" t="s">
        <v>248</v>
      </c>
      <c r="AH143" s="78">
        <v>4.2220153961616571</v>
      </c>
      <c r="AJ143" s="155" t="s">
        <v>52</v>
      </c>
      <c r="AK143" s="155" t="s">
        <v>17</v>
      </c>
      <c r="AL143" s="155" t="s">
        <v>28</v>
      </c>
      <c r="AM143" s="155" t="s">
        <v>51</v>
      </c>
      <c r="AN143" s="155" t="s">
        <v>248</v>
      </c>
      <c r="AO143" s="155">
        <v>1.3140103288442069</v>
      </c>
    </row>
    <row r="144" spans="29:41" s="77" customFormat="1">
      <c r="AC144" s="78" t="s">
        <v>52</v>
      </c>
      <c r="AD144" s="78" t="s">
        <v>17</v>
      </c>
      <c r="AE144" s="78" t="s">
        <v>72</v>
      </c>
      <c r="AF144" s="78" t="s">
        <v>51</v>
      </c>
      <c r="AG144" s="78" t="s">
        <v>249</v>
      </c>
      <c r="AH144" s="78">
        <v>4.2659844704607144</v>
      </c>
      <c r="AJ144" s="155" t="s">
        <v>52</v>
      </c>
      <c r="AK144" s="155" t="s">
        <v>17</v>
      </c>
      <c r="AL144" s="155" t="s">
        <v>28</v>
      </c>
      <c r="AM144" s="155" t="s">
        <v>51</v>
      </c>
      <c r="AN144" s="155" t="s">
        <v>249</v>
      </c>
      <c r="AO144" s="155">
        <v>1.2747735586093445</v>
      </c>
    </row>
    <row r="145" spans="1:49" s="77" customFormat="1">
      <c r="AC145" s="78" t="s">
        <v>52</v>
      </c>
      <c r="AD145" s="78" t="s">
        <v>17</v>
      </c>
      <c r="AE145" s="78" t="s">
        <v>72</v>
      </c>
      <c r="AF145" s="78" t="s">
        <v>51</v>
      </c>
      <c r="AG145" s="78" t="s">
        <v>250</v>
      </c>
      <c r="AH145" s="78">
        <v>4.3065726711167507</v>
      </c>
      <c r="AJ145" s="155" t="s">
        <v>52</v>
      </c>
      <c r="AK145" s="155" t="s">
        <v>17</v>
      </c>
      <c r="AL145" s="155" t="s">
        <v>28</v>
      </c>
      <c r="AM145" s="155" t="s">
        <v>51</v>
      </c>
      <c r="AN145" s="155" t="s">
        <v>250</v>
      </c>
      <c r="AO145" s="155">
        <v>1.3139105099584703</v>
      </c>
    </row>
    <row r="146" spans="1:49" s="77" customFormat="1">
      <c r="AC146" s="78" t="s">
        <v>52</v>
      </c>
      <c r="AD146" s="78" t="s">
        <v>17</v>
      </c>
      <c r="AE146" s="78" t="s">
        <v>72</v>
      </c>
      <c r="AF146" s="78" t="s">
        <v>51</v>
      </c>
      <c r="AG146" s="78" t="s">
        <v>251</v>
      </c>
      <c r="AH146" s="78">
        <v>4.2981540865235441</v>
      </c>
      <c r="AJ146" s="155" t="s">
        <v>52</v>
      </c>
      <c r="AK146" s="155" t="s">
        <v>17</v>
      </c>
      <c r="AL146" s="155" t="s">
        <v>28</v>
      </c>
      <c r="AM146" s="155" t="s">
        <v>51</v>
      </c>
      <c r="AN146" s="155" t="s">
        <v>251</v>
      </c>
      <c r="AO146" s="155">
        <v>1.4035341473032745</v>
      </c>
    </row>
    <row r="147" spans="1:49" s="77" customFormat="1">
      <c r="AC147" s="78" t="s">
        <v>52</v>
      </c>
      <c r="AD147" s="78" t="s">
        <v>17</v>
      </c>
      <c r="AE147" s="78" t="s">
        <v>72</v>
      </c>
      <c r="AF147" s="78" t="s">
        <v>51</v>
      </c>
      <c r="AG147" s="78" t="s">
        <v>252</v>
      </c>
      <c r="AH147" s="78">
        <v>4.2085721821838193</v>
      </c>
      <c r="AJ147" s="155" t="s">
        <v>52</v>
      </c>
      <c r="AK147" s="155" t="s">
        <v>17</v>
      </c>
      <c r="AL147" s="155" t="s">
        <v>28</v>
      </c>
      <c r="AM147" s="155" t="s">
        <v>51</v>
      </c>
      <c r="AN147" s="155" t="s">
        <v>252</v>
      </c>
      <c r="AO147" s="155">
        <v>1.3722839803112994</v>
      </c>
    </row>
    <row r="148" spans="1:49" s="77" customFormat="1">
      <c r="AC148" s="78" t="s">
        <v>52</v>
      </c>
      <c r="AD148" s="78" t="s">
        <v>17</v>
      </c>
      <c r="AE148" s="78" t="s">
        <v>72</v>
      </c>
      <c r="AF148" s="78" t="s">
        <v>51</v>
      </c>
      <c r="AG148" s="78" t="s">
        <v>253</v>
      </c>
      <c r="AH148" s="78">
        <v>4.1543680910694123</v>
      </c>
      <c r="AJ148" s="155" t="s">
        <v>52</v>
      </c>
      <c r="AK148" s="155" t="s">
        <v>17</v>
      </c>
      <c r="AL148" s="155" t="s">
        <v>28</v>
      </c>
      <c r="AM148" s="155" t="s">
        <v>51</v>
      </c>
      <c r="AN148" s="155" t="s">
        <v>253</v>
      </c>
      <c r="AO148" s="155">
        <v>1.2395033309711323</v>
      </c>
    </row>
    <row r="149" spans="1:49" s="77" customFormat="1">
      <c r="AC149" s="78" t="s">
        <v>52</v>
      </c>
      <c r="AD149" s="78" t="s">
        <v>17</v>
      </c>
      <c r="AE149" s="78" t="s">
        <v>72</v>
      </c>
      <c r="AF149" s="78" t="s">
        <v>51</v>
      </c>
      <c r="AG149" s="78" t="s">
        <v>254</v>
      </c>
      <c r="AH149" s="78">
        <v>4.1749856896618471</v>
      </c>
      <c r="AJ149" s="155" t="s">
        <v>52</v>
      </c>
      <c r="AK149" s="155" t="s">
        <v>17</v>
      </c>
      <c r="AL149" s="155" t="s">
        <v>28</v>
      </c>
      <c r="AM149" s="155" t="s">
        <v>51</v>
      </c>
      <c r="AN149" s="155" t="s">
        <v>254</v>
      </c>
      <c r="AO149" s="155">
        <v>1.3155504680383168</v>
      </c>
    </row>
    <row r="150" spans="1:49" s="77" customFormat="1">
      <c r="AC150" s="78" t="s">
        <v>52</v>
      </c>
      <c r="AD150" s="78" t="s">
        <v>17</v>
      </c>
      <c r="AE150" s="78" t="s">
        <v>72</v>
      </c>
      <c r="AF150" s="78" t="s">
        <v>51</v>
      </c>
      <c r="AG150" s="78" t="s">
        <v>255</v>
      </c>
      <c r="AH150" s="78">
        <v>4.1690975655386646</v>
      </c>
      <c r="AJ150" s="155" t="s">
        <v>52</v>
      </c>
      <c r="AK150" s="155" t="s">
        <v>17</v>
      </c>
      <c r="AL150" s="155" t="s">
        <v>28</v>
      </c>
      <c r="AM150" s="155" t="s">
        <v>51</v>
      </c>
      <c r="AN150" s="155" t="s">
        <v>255</v>
      </c>
      <c r="AO150" s="155">
        <v>1.2956025091022043</v>
      </c>
    </row>
    <row r="151" spans="1:49" s="77" customFormat="1">
      <c r="AC151" s="78" t="s">
        <v>52</v>
      </c>
      <c r="AD151" s="78" t="s">
        <v>17</v>
      </c>
      <c r="AE151" s="78" t="s">
        <v>72</v>
      </c>
      <c r="AF151" s="78" t="s">
        <v>51</v>
      </c>
      <c r="AG151" s="78" t="s">
        <v>256</v>
      </c>
      <c r="AH151" s="78">
        <v>4.2291183677260413</v>
      </c>
      <c r="AJ151" s="155" t="s">
        <v>52</v>
      </c>
      <c r="AK151" s="155" t="s">
        <v>17</v>
      </c>
      <c r="AL151" s="155" t="s">
        <v>28</v>
      </c>
      <c r="AM151" s="155" t="s">
        <v>51</v>
      </c>
      <c r="AN151" s="155" t="s">
        <v>256</v>
      </c>
      <c r="AO151" s="155">
        <v>1.3578488590270117</v>
      </c>
    </row>
    <row r="152" spans="1:49" s="77" customFormat="1">
      <c r="AC152" s="78" t="s">
        <v>52</v>
      </c>
      <c r="AD152" s="78" t="s">
        <v>17</v>
      </c>
      <c r="AE152" s="78" t="s">
        <v>72</v>
      </c>
      <c r="AF152" s="78" t="s">
        <v>51</v>
      </c>
      <c r="AG152" s="78" t="s">
        <v>257</v>
      </c>
      <c r="AH152" s="78">
        <v>4.1955776447865043</v>
      </c>
      <c r="AJ152" s="155" t="s">
        <v>52</v>
      </c>
      <c r="AK152" s="155" t="s">
        <v>17</v>
      </c>
      <c r="AL152" s="155" t="s">
        <v>28</v>
      </c>
      <c r="AM152" s="155" t="s">
        <v>51</v>
      </c>
      <c r="AN152" s="155" t="s">
        <v>257</v>
      </c>
      <c r="AO152" s="155">
        <v>1.2968270004531244</v>
      </c>
    </row>
    <row r="153" spans="1:49" s="77" customFormat="1">
      <c r="AC153" s="78" t="s">
        <v>52</v>
      </c>
      <c r="AD153" s="78" t="s">
        <v>17</v>
      </c>
      <c r="AE153" s="78" t="s">
        <v>72</v>
      </c>
      <c r="AF153" s="78" t="s">
        <v>51</v>
      </c>
      <c r="AG153" s="78" t="s">
        <v>258</v>
      </c>
      <c r="AH153" s="78">
        <v>4.1867556587570789</v>
      </c>
      <c r="AJ153" s="155" t="s">
        <v>52</v>
      </c>
      <c r="AK153" s="155" t="s">
        <v>17</v>
      </c>
      <c r="AL153" s="155" t="s">
        <v>28</v>
      </c>
      <c r="AM153" s="155" t="s">
        <v>51</v>
      </c>
      <c r="AN153" s="155" t="s">
        <v>258</v>
      </c>
      <c r="AO153" s="155">
        <v>1.332120845205089</v>
      </c>
    </row>
    <row r="154" spans="1:49">
      <c r="A154" s="77"/>
      <c r="B154" s="77"/>
      <c r="C154" s="77"/>
      <c r="D154" s="77"/>
      <c r="E154" s="77"/>
      <c r="F154" s="77"/>
      <c r="I154" s="77"/>
      <c r="J154" s="77"/>
      <c r="K154" s="77"/>
      <c r="L154" s="77"/>
      <c r="M154" s="77"/>
      <c r="N154" s="77"/>
      <c r="Q154" s="77"/>
      <c r="R154" s="77"/>
      <c r="S154" s="77"/>
      <c r="T154" s="77"/>
      <c r="U154" s="77"/>
      <c r="V154" s="77"/>
      <c r="X154" s="77"/>
      <c r="Y154" s="77"/>
      <c r="Z154" s="77"/>
      <c r="AA154" s="77"/>
      <c r="AC154" s="78" t="s">
        <v>52</v>
      </c>
      <c r="AD154" s="78" t="s">
        <v>17</v>
      </c>
      <c r="AE154" s="78" t="s">
        <v>72</v>
      </c>
      <c r="AF154" s="78" t="s">
        <v>51</v>
      </c>
      <c r="AG154" s="78" t="s">
        <v>259</v>
      </c>
      <c r="AH154" s="78">
        <v>4.1720418893230349</v>
      </c>
      <c r="AJ154" s="155" t="s">
        <v>52</v>
      </c>
      <c r="AK154" s="155" t="s">
        <v>17</v>
      </c>
      <c r="AL154" s="155" t="s">
        <v>28</v>
      </c>
      <c r="AM154" s="155" t="s">
        <v>51</v>
      </c>
      <c r="AN154" s="155" t="s">
        <v>259</v>
      </c>
      <c r="AO154" s="155">
        <v>1.3595903078987455</v>
      </c>
      <c r="AR154" s="77"/>
      <c r="AS154" s="77"/>
      <c r="AT154" s="77"/>
      <c r="AU154" s="77"/>
      <c r="AV154" s="77"/>
      <c r="AW154" s="77"/>
    </row>
    <row r="155" spans="1:49">
      <c r="A155" s="77"/>
      <c r="B155" s="77"/>
      <c r="C155" s="77"/>
      <c r="D155" s="77"/>
      <c r="E155" s="77"/>
      <c r="F155" s="77"/>
      <c r="I155" s="77"/>
      <c r="J155" s="77"/>
      <c r="K155" s="77"/>
      <c r="L155" s="77"/>
      <c r="M155" s="77"/>
      <c r="N155" s="77"/>
      <c r="Q155" s="77"/>
      <c r="R155" s="77"/>
      <c r="S155" s="77"/>
      <c r="T155" s="77"/>
      <c r="U155" s="77"/>
      <c r="V155" s="77"/>
      <c r="AC155" s="78" t="s">
        <v>52</v>
      </c>
      <c r="AD155" s="78" t="s">
        <v>17</v>
      </c>
      <c r="AE155" s="78" t="s">
        <v>72</v>
      </c>
      <c r="AF155" s="78" t="s">
        <v>51</v>
      </c>
      <c r="AG155" s="78" t="s">
        <v>260</v>
      </c>
      <c r="AH155" s="78">
        <v>4.2349840011791029</v>
      </c>
      <c r="AJ155" s="155" t="s">
        <v>52</v>
      </c>
      <c r="AK155" s="155" t="s">
        <v>17</v>
      </c>
      <c r="AL155" s="155" t="s">
        <v>28</v>
      </c>
      <c r="AM155" s="155" t="s">
        <v>51</v>
      </c>
      <c r="AN155" s="155" t="s">
        <v>260</v>
      </c>
      <c r="AO155" s="155">
        <v>1.4330851950302532</v>
      </c>
      <c r="AR155" s="77"/>
      <c r="AS155" s="77"/>
      <c r="AT155" s="77"/>
      <c r="AU155" s="77"/>
      <c r="AV155" s="77"/>
      <c r="AW155" s="77"/>
    </row>
    <row r="156" spans="1:49">
      <c r="A156" s="77"/>
      <c r="B156" s="77"/>
      <c r="C156" s="77"/>
      <c r="D156" s="77"/>
      <c r="E156" s="77"/>
      <c r="F156" s="77"/>
      <c r="I156" s="77"/>
      <c r="J156" s="77"/>
      <c r="K156" s="77"/>
      <c r="L156" s="77"/>
      <c r="M156" s="77"/>
      <c r="N156" s="77"/>
      <c r="Q156" s="77"/>
      <c r="R156" s="77"/>
      <c r="S156" s="77"/>
      <c r="T156" s="77"/>
      <c r="U156" s="77"/>
      <c r="V156" s="77"/>
      <c r="AC156" s="78" t="s">
        <v>52</v>
      </c>
      <c r="AD156" s="78" t="s">
        <v>17</v>
      </c>
      <c r="AE156" s="78" t="s">
        <v>72</v>
      </c>
      <c r="AF156" s="78" t="s">
        <v>51</v>
      </c>
      <c r="AG156" s="78" t="s">
        <v>261</v>
      </c>
      <c r="AH156" s="78">
        <v>4.1674028340858227</v>
      </c>
      <c r="AJ156" s="155" t="s">
        <v>52</v>
      </c>
      <c r="AK156" s="155" t="s">
        <v>17</v>
      </c>
      <c r="AL156" s="155" t="s">
        <v>28</v>
      </c>
      <c r="AM156" s="155" t="s">
        <v>51</v>
      </c>
      <c r="AN156" s="155" t="s">
        <v>261</v>
      </c>
      <c r="AO156" s="155">
        <v>1.3889926070549525</v>
      </c>
      <c r="AR156" s="77"/>
      <c r="AS156" s="77"/>
      <c r="AT156" s="77"/>
      <c r="AU156" s="77"/>
      <c r="AV156" s="77"/>
      <c r="AW156" s="77"/>
    </row>
    <row r="157" spans="1:49">
      <c r="A157" s="77"/>
      <c r="B157" s="77"/>
      <c r="C157" s="77"/>
      <c r="D157" s="77"/>
      <c r="E157" s="77"/>
      <c r="F157" s="77"/>
      <c r="I157" s="77"/>
      <c r="J157" s="77"/>
      <c r="K157" s="77"/>
      <c r="L157" s="77"/>
      <c r="M157" s="77"/>
      <c r="N157" s="77"/>
      <c r="Q157" s="77"/>
      <c r="R157" s="77"/>
      <c r="S157" s="77"/>
      <c r="T157" s="77"/>
      <c r="U157" s="77"/>
      <c r="V157" s="77"/>
      <c r="AC157" s="78" t="s">
        <v>52</v>
      </c>
      <c r="AD157" s="78" t="s">
        <v>17</v>
      </c>
      <c r="AE157" s="78" t="s">
        <v>72</v>
      </c>
      <c r="AF157" s="78" t="s">
        <v>51</v>
      </c>
      <c r="AG157" s="78" t="s">
        <v>262</v>
      </c>
      <c r="AH157" s="78">
        <v>4.126130597381807</v>
      </c>
      <c r="AJ157" s="155" t="s">
        <v>52</v>
      </c>
      <c r="AK157" s="155" t="s">
        <v>17</v>
      </c>
      <c r="AL157" s="155" t="s">
        <v>28</v>
      </c>
      <c r="AM157" s="155" t="s">
        <v>51</v>
      </c>
      <c r="AN157" s="155" t="s">
        <v>262</v>
      </c>
      <c r="AO157" s="155">
        <v>1.3964971422107575</v>
      </c>
      <c r="AR157" s="77"/>
      <c r="AS157" s="77"/>
      <c r="AT157" s="77"/>
      <c r="AU157" s="77"/>
      <c r="AV157" s="77"/>
      <c r="AW157" s="77"/>
    </row>
    <row r="158" spans="1:49">
      <c r="A158" s="77"/>
      <c r="B158" s="77"/>
      <c r="C158" s="77"/>
      <c r="D158" s="77"/>
      <c r="E158" s="77"/>
      <c r="F158" s="77"/>
      <c r="I158" s="77"/>
      <c r="J158" s="77"/>
      <c r="K158" s="77"/>
      <c r="L158" s="77"/>
      <c r="M158" s="77"/>
      <c r="N158" s="77"/>
      <c r="Q158" s="77"/>
      <c r="R158" s="77"/>
      <c r="S158" s="77"/>
      <c r="T158" s="77"/>
      <c r="U158" s="77"/>
      <c r="V158" s="77"/>
      <c r="AC158" s="78" t="s">
        <v>52</v>
      </c>
      <c r="AD158" s="78" t="s">
        <v>17</v>
      </c>
      <c r="AE158" s="78" t="s">
        <v>72</v>
      </c>
      <c r="AF158" s="78" t="s">
        <v>51</v>
      </c>
      <c r="AG158" s="78" t="s">
        <v>263</v>
      </c>
      <c r="AH158" s="78">
        <v>4.1143195893331752</v>
      </c>
      <c r="AJ158" s="155" t="s">
        <v>52</v>
      </c>
      <c r="AK158" s="155" t="s">
        <v>17</v>
      </c>
      <c r="AL158" s="155" t="s">
        <v>28</v>
      </c>
      <c r="AM158" s="155" t="s">
        <v>51</v>
      </c>
      <c r="AN158" s="155" t="s">
        <v>263</v>
      </c>
      <c r="AO158" s="155">
        <v>1.3408983657768756</v>
      </c>
      <c r="AR158" s="77"/>
      <c r="AS158" s="77"/>
      <c r="AT158" s="77"/>
      <c r="AU158" s="77"/>
      <c r="AV158" s="77"/>
      <c r="AW158" s="77"/>
    </row>
    <row r="159" spans="1:49">
      <c r="A159" s="77"/>
      <c r="B159" s="77"/>
      <c r="C159" s="77"/>
      <c r="D159" s="77"/>
      <c r="E159" s="77"/>
      <c r="F159" s="77"/>
      <c r="I159" s="77"/>
      <c r="J159" s="77"/>
      <c r="K159" s="77"/>
      <c r="L159" s="77"/>
      <c r="M159" s="77"/>
      <c r="N159" s="77"/>
      <c r="Q159" s="77"/>
      <c r="R159" s="77"/>
      <c r="S159" s="77"/>
      <c r="T159" s="77"/>
      <c r="U159" s="77"/>
      <c r="V159" s="77"/>
      <c r="AC159" s="78" t="s">
        <v>52</v>
      </c>
      <c r="AD159" s="78" t="s">
        <v>17</v>
      </c>
      <c r="AE159" s="78" t="s">
        <v>72</v>
      </c>
      <c r="AF159" s="78" t="s">
        <v>51</v>
      </c>
      <c r="AG159" s="78" t="s">
        <v>264</v>
      </c>
      <c r="AH159" s="78">
        <v>4.1674028340858227</v>
      </c>
      <c r="AJ159" s="155" t="s">
        <v>52</v>
      </c>
      <c r="AK159" s="155" t="s">
        <v>17</v>
      </c>
      <c r="AL159" s="155" t="s">
        <v>28</v>
      </c>
      <c r="AM159" s="155" t="s">
        <v>51</v>
      </c>
      <c r="AN159" s="155" t="s">
        <v>264</v>
      </c>
      <c r="AO159" s="155">
        <v>1.4103707481359429</v>
      </c>
      <c r="AR159" s="77"/>
      <c r="AS159" s="77"/>
      <c r="AT159" s="77"/>
      <c r="AU159" s="77"/>
      <c r="AV159" s="77"/>
      <c r="AW159" s="77"/>
    </row>
    <row r="160" spans="1:49">
      <c r="A160" s="77"/>
      <c r="B160" s="77"/>
      <c r="C160" s="77"/>
      <c r="D160" s="77"/>
      <c r="E160" s="77"/>
      <c r="F160" s="77"/>
      <c r="I160" s="77"/>
      <c r="J160" s="77"/>
      <c r="K160" s="77"/>
      <c r="L160" s="77"/>
      <c r="M160" s="77"/>
      <c r="N160" s="77"/>
      <c r="Q160" s="77"/>
      <c r="R160" s="77"/>
      <c r="S160" s="77"/>
      <c r="T160" s="77"/>
      <c r="U160" s="77"/>
      <c r="V160" s="77"/>
      <c r="AC160" s="78" t="s">
        <v>52</v>
      </c>
      <c r="AD160" s="78" t="s">
        <v>17</v>
      </c>
      <c r="AE160" s="78" t="s">
        <v>72</v>
      </c>
      <c r="AF160" s="78" t="s">
        <v>51</v>
      </c>
      <c r="AG160" s="78" t="s">
        <v>265</v>
      </c>
      <c r="AH160" s="78">
        <v>4.1703469103349287</v>
      </c>
      <c r="AJ160" s="155" t="s">
        <v>52</v>
      </c>
      <c r="AK160" s="155" t="s">
        <v>17</v>
      </c>
      <c r="AL160" s="155" t="s">
        <v>28</v>
      </c>
      <c r="AM160" s="155" t="s">
        <v>51</v>
      </c>
      <c r="AN160" s="155" t="s">
        <v>265</v>
      </c>
      <c r="AO160" s="155">
        <v>1.4002441529039789</v>
      </c>
      <c r="AR160" s="77"/>
      <c r="AS160" s="77"/>
      <c r="AT160" s="77"/>
      <c r="AU160" s="77"/>
      <c r="AV160" s="77"/>
      <c r="AW160" s="77"/>
    </row>
    <row r="161" spans="1:49">
      <c r="A161" s="77"/>
      <c r="B161" s="77"/>
      <c r="C161" s="77"/>
      <c r="D161" s="77"/>
      <c r="E161" s="77"/>
      <c r="F161" s="77"/>
      <c r="I161" s="77"/>
      <c r="J161" s="77"/>
      <c r="K161" s="77"/>
      <c r="L161" s="77"/>
      <c r="M161" s="77"/>
      <c r="N161" s="77"/>
      <c r="Q161" s="77"/>
      <c r="R161" s="77"/>
      <c r="S161" s="77"/>
      <c r="T161" s="77"/>
      <c r="U161" s="77"/>
      <c r="V161" s="77"/>
      <c r="AC161" s="78" t="s">
        <v>52</v>
      </c>
      <c r="AD161" s="78" t="s">
        <v>17</v>
      </c>
      <c r="AE161" s="78" t="s">
        <v>72</v>
      </c>
      <c r="AF161" s="78" t="s">
        <v>51</v>
      </c>
      <c r="AG161" s="78" t="s">
        <v>266</v>
      </c>
      <c r="AH161" s="78">
        <v>4.1762334884512189</v>
      </c>
      <c r="AJ161" s="155" t="s">
        <v>52</v>
      </c>
      <c r="AK161" s="155" t="s">
        <v>17</v>
      </c>
      <c r="AL161" s="155" t="s">
        <v>28</v>
      </c>
      <c r="AM161" s="155" t="s">
        <v>51</v>
      </c>
      <c r="AN161" s="155" t="s">
        <v>266</v>
      </c>
      <c r="AO161" s="155">
        <v>1.3613641164442489</v>
      </c>
      <c r="AR161" s="77"/>
      <c r="AS161" s="77"/>
      <c r="AT161" s="77"/>
      <c r="AU161" s="77"/>
      <c r="AV161" s="77"/>
      <c r="AW161" s="77"/>
    </row>
    <row r="162" spans="1:49">
      <c r="A162" s="77"/>
      <c r="B162" s="77"/>
      <c r="C162" s="77"/>
      <c r="D162" s="77"/>
      <c r="E162" s="77"/>
      <c r="F162" s="77"/>
      <c r="I162" s="77"/>
      <c r="J162" s="77"/>
      <c r="K162" s="77"/>
      <c r="L162" s="77"/>
      <c r="M162" s="77"/>
      <c r="N162" s="77"/>
      <c r="Q162" s="77"/>
      <c r="R162" s="77"/>
      <c r="S162" s="77"/>
      <c r="T162" s="77"/>
      <c r="U162" s="77"/>
      <c r="V162" s="77"/>
      <c r="AC162" s="78" t="s">
        <v>52</v>
      </c>
      <c r="AD162" s="78" t="s">
        <v>17</v>
      </c>
      <c r="AE162" s="78" t="s">
        <v>72</v>
      </c>
      <c r="AF162" s="78" t="s">
        <v>51</v>
      </c>
      <c r="AG162" s="78" t="s">
        <v>267</v>
      </c>
      <c r="AH162" s="78">
        <v>4.1968199924512142</v>
      </c>
      <c r="AJ162" s="155" t="s">
        <v>52</v>
      </c>
      <c r="AK162" s="155" t="s">
        <v>17</v>
      </c>
      <c r="AL162" s="155" t="s">
        <v>28</v>
      </c>
      <c r="AM162" s="155" t="s">
        <v>51</v>
      </c>
      <c r="AN162" s="155" t="s">
        <v>267</v>
      </c>
      <c r="AO162" s="155">
        <v>1.3802524763818536</v>
      </c>
      <c r="AR162" s="77"/>
      <c r="AS162" s="77"/>
      <c r="AT162" s="77"/>
      <c r="AU162" s="77"/>
      <c r="AV162" s="77"/>
      <c r="AW162" s="77"/>
    </row>
    <row r="163" spans="1:49">
      <c r="A163" s="77"/>
      <c r="B163" s="77"/>
      <c r="C163" s="77"/>
      <c r="D163" s="77"/>
      <c r="E163" s="77"/>
      <c r="F163" s="77"/>
      <c r="I163" s="77"/>
      <c r="J163" s="77"/>
      <c r="K163" s="77"/>
      <c r="L163" s="77"/>
      <c r="M163" s="77"/>
      <c r="N163" s="77"/>
      <c r="Q163" s="77"/>
      <c r="R163" s="77"/>
      <c r="S163" s="77"/>
      <c r="T163" s="77"/>
      <c r="U163" s="77"/>
      <c r="V163" s="77"/>
      <c r="AC163" s="78" t="s">
        <v>52</v>
      </c>
      <c r="AD163" s="78" t="s">
        <v>17</v>
      </c>
      <c r="AE163" s="78" t="s">
        <v>72</v>
      </c>
      <c r="AF163" s="78" t="s">
        <v>51</v>
      </c>
      <c r="AG163" s="78" t="s">
        <v>268</v>
      </c>
      <c r="AH163" s="78">
        <v>4.1674028340858227</v>
      </c>
      <c r="AJ163" s="155" t="s">
        <v>52</v>
      </c>
      <c r="AK163" s="155" t="s">
        <v>17</v>
      </c>
      <c r="AL163" s="155" t="s">
        <v>28</v>
      </c>
      <c r="AM163" s="155" t="s">
        <v>51</v>
      </c>
      <c r="AN163" s="155" t="s">
        <v>268</v>
      </c>
      <c r="AO163" s="155">
        <v>1.3782028940314224</v>
      </c>
      <c r="AR163" s="77"/>
      <c r="AS163" s="77"/>
      <c r="AT163" s="77"/>
      <c r="AU163" s="77"/>
      <c r="AV163" s="77"/>
      <c r="AW163" s="77"/>
    </row>
    <row r="164" spans="1:49">
      <c r="A164" s="77"/>
      <c r="B164" s="77"/>
      <c r="C164" s="77"/>
      <c r="D164" s="77"/>
      <c r="E164" s="77"/>
      <c r="F164" s="77"/>
      <c r="I164" s="77"/>
      <c r="J164" s="77"/>
      <c r="K164" s="77"/>
      <c r="L164" s="77"/>
      <c r="M164" s="77"/>
      <c r="N164" s="77"/>
      <c r="Q164" s="77"/>
      <c r="R164" s="77"/>
      <c r="S164" s="77"/>
      <c r="T164" s="77"/>
      <c r="U164" s="77"/>
      <c r="V164" s="77"/>
      <c r="AC164" s="78" t="s">
        <v>52</v>
      </c>
      <c r="AD164" s="78" t="s">
        <v>17</v>
      </c>
      <c r="AE164" s="78" t="s">
        <v>72</v>
      </c>
      <c r="AF164" s="78" t="s">
        <v>51</v>
      </c>
      <c r="AG164" s="78" t="s">
        <v>269</v>
      </c>
      <c r="AH164" s="78">
        <v>4.1379331815548976</v>
      </c>
      <c r="AJ164" s="155" t="s">
        <v>52</v>
      </c>
      <c r="AK164" s="155" t="s">
        <v>17</v>
      </c>
      <c r="AL164" s="155" t="s">
        <v>28</v>
      </c>
      <c r="AM164" s="155" t="s">
        <v>51</v>
      </c>
      <c r="AN164" s="155" t="s">
        <v>269</v>
      </c>
      <c r="AO164" s="155">
        <v>1.4298295988433976</v>
      </c>
      <c r="AR164" s="77"/>
      <c r="AS164" s="77"/>
      <c r="AT164" s="77"/>
      <c r="AU164" s="77"/>
      <c r="AV164" s="77"/>
      <c r="AW164" s="77"/>
    </row>
    <row r="165" spans="1:49">
      <c r="A165" s="77"/>
      <c r="B165" s="77"/>
      <c r="C165" s="77"/>
      <c r="D165" s="77"/>
      <c r="E165" s="77"/>
      <c r="F165" s="77"/>
      <c r="I165" s="77"/>
      <c r="J165" s="77"/>
      <c r="K165" s="77"/>
      <c r="L165" s="77"/>
      <c r="M165" s="77"/>
      <c r="N165" s="77"/>
      <c r="Q165" s="77"/>
      <c r="R165" s="77"/>
      <c r="S165" s="77"/>
      <c r="T165" s="77"/>
      <c r="U165" s="77"/>
      <c r="V165" s="77"/>
      <c r="AC165" s="78" t="s">
        <v>52</v>
      </c>
      <c r="AD165" s="78" t="s">
        <v>17</v>
      </c>
      <c r="AE165" s="78" t="s">
        <v>72</v>
      </c>
      <c r="AF165" s="78" t="s">
        <v>51</v>
      </c>
      <c r="AG165" s="78" t="s">
        <v>270</v>
      </c>
      <c r="AH165" s="78">
        <v>4.1231786353861342</v>
      </c>
      <c r="AJ165" s="155" t="s">
        <v>52</v>
      </c>
      <c r="AK165" s="155" t="s">
        <v>17</v>
      </c>
      <c r="AL165" s="155" t="s">
        <v>28</v>
      </c>
      <c r="AM165" s="155" t="s">
        <v>51</v>
      </c>
      <c r="AN165" s="155" t="s">
        <v>270</v>
      </c>
      <c r="AO165" s="155">
        <v>1.3927347126509542</v>
      </c>
      <c r="AR165" s="77"/>
      <c r="AS165" s="77"/>
      <c r="AT165" s="77"/>
      <c r="AU165" s="77"/>
      <c r="AV165" s="77"/>
      <c r="AW165" s="77"/>
    </row>
    <row r="166" spans="1:49">
      <c r="A166" s="77"/>
      <c r="B166" s="77"/>
      <c r="C166" s="77"/>
      <c r="D166" s="77"/>
      <c r="E166" s="77"/>
      <c r="F166" s="77"/>
      <c r="I166" s="77"/>
      <c r="J166" s="77"/>
      <c r="K166" s="77"/>
      <c r="L166" s="77"/>
      <c r="M166" s="77"/>
      <c r="N166" s="77"/>
      <c r="Q166" s="77"/>
      <c r="R166" s="77"/>
      <c r="S166" s="77"/>
      <c r="T166" s="77"/>
      <c r="U166" s="77"/>
      <c r="V166" s="77"/>
      <c r="AC166" s="78" t="s">
        <v>52</v>
      </c>
      <c r="AD166" s="78" t="s">
        <v>17</v>
      </c>
      <c r="AE166" s="78" t="s">
        <v>72</v>
      </c>
      <c r="AF166" s="78" t="s">
        <v>51</v>
      </c>
      <c r="AG166" s="78" t="s">
        <v>271</v>
      </c>
      <c r="AH166" s="78">
        <v>4.1290820328863767</v>
      </c>
      <c r="AJ166" s="155" t="s">
        <v>52</v>
      </c>
      <c r="AK166" s="155" t="s">
        <v>17</v>
      </c>
      <c r="AL166" s="155" t="s">
        <v>28</v>
      </c>
      <c r="AM166" s="155" t="s">
        <v>51</v>
      </c>
      <c r="AN166" s="155" t="s">
        <v>271</v>
      </c>
      <c r="AO166" s="155">
        <v>1.395609198165257</v>
      </c>
      <c r="AR166" s="77"/>
      <c r="AS166" s="77"/>
      <c r="AT166" s="77"/>
      <c r="AU166" s="77"/>
      <c r="AV166" s="77"/>
      <c r="AW166" s="77"/>
    </row>
    <row r="167" spans="1:49">
      <c r="A167" s="77"/>
      <c r="B167" s="77"/>
      <c r="C167" s="77"/>
      <c r="D167" s="77"/>
      <c r="E167" s="77"/>
      <c r="F167" s="77"/>
      <c r="I167" s="77"/>
      <c r="J167" s="77"/>
      <c r="K167" s="77"/>
      <c r="L167" s="77"/>
      <c r="M167" s="77"/>
      <c r="N167" s="77"/>
      <c r="Q167" s="77"/>
      <c r="R167" s="77"/>
      <c r="S167" s="77"/>
      <c r="T167" s="77"/>
      <c r="U167" s="77"/>
      <c r="V167" s="77"/>
      <c r="AC167" s="78" t="s">
        <v>52</v>
      </c>
      <c r="AD167" s="78" t="s">
        <v>17</v>
      </c>
      <c r="AE167" s="78" t="s">
        <v>72</v>
      </c>
      <c r="AF167" s="78" t="s">
        <v>51</v>
      </c>
      <c r="AG167" s="78" t="s">
        <v>272</v>
      </c>
      <c r="AH167" s="78">
        <v>4.1113655202581336</v>
      </c>
      <c r="AJ167" s="155" t="s">
        <v>52</v>
      </c>
      <c r="AK167" s="155" t="s">
        <v>17</v>
      </c>
      <c r="AL167" s="155" t="s">
        <v>28</v>
      </c>
      <c r="AM167" s="155" t="s">
        <v>51</v>
      </c>
      <c r="AN167" s="155" t="s">
        <v>272</v>
      </c>
      <c r="AO167" s="155">
        <v>1.376163360559933</v>
      </c>
      <c r="AR167" s="77"/>
      <c r="AS167" s="77"/>
      <c r="AT167" s="77"/>
      <c r="AU167" s="77"/>
      <c r="AV167" s="77"/>
      <c r="AW167" s="77"/>
    </row>
    <row r="168" spans="1:49">
      <c r="I168" s="77"/>
      <c r="J168" s="77"/>
      <c r="K168" s="77"/>
      <c r="L168" s="77"/>
      <c r="M168" s="77"/>
      <c r="N168" s="77"/>
      <c r="Q168" s="77"/>
      <c r="R168" s="77"/>
      <c r="S168" s="77"/>
      <c r="T168" s="77"/>
      <c r="U168" s="77"/>
      <c r="V168" s="77"/>
      <c r="AC168" s="155" t="s">
        <v>52</v>
      </c>
      <c r="AD168" s="155" t="s">
        <v>17</v>
      </c>
      <c r="AE168" s="155" t="s">
        <v>72</v>
      </c>
      <c r="AF168" s="155" t="s">
        <v>51</v>
      </c>
      <c r="AG168" s="155" t="s">
        <v>273</v>
      </c>
      <c r="AH168" s="155">
        <v>4.1202261467859813</v>
      </c>
      <c r="AJ168" s="155" t="s">
        <v>52</v>
      </c>
      <c r="AK168" s="155" t="s">
        <v>17</v>
      </c>
      <c r="AL168" s="155" t="s">
        <v>28</v>
      </c>
      <c r="AM168" s="155" t="s">
        <v>51</v>
      </c>
      <c r="AN168" s="155" t="s">
        <v>273</v>
      </c>
      <c r="AO168" s="155">
        <v>1.3472911506102117</v>
      </c>
      <c r="AR168" s="77"/>
      <c r="AS168" s="77"/>
      <c r="AT168" s="77"/>
      <c r="AU168" s="77"/>
      <c r="AV168" s="77"/>
      <c r="AW168" s="77"/>
    </row>
    <row r="169" spans="1:49">
      <c r="I169" s="77"/>
      <c r="J169" s="77"/>
      <c r="K169" s="77"/>
      <c r="L169" s="77"/>
      <c r="M169" s="77"/>
      <c r="N169" s="77"/>
      <c r="Q169" s="77"/>
      <c r="R169" s="77"/>
      <c r="S169" s="77"/>
      <c r="T169" s="77"/>
      <c r="U169" s="77"/>
      <c r="V169" s="77"/>
      <c r="AC169" s="155" t="s">
        <v>52</v>
      </c>
      <c r="AD169" s="155" t="s">
        <v>17</v>
      </c>
      <c r="AE169" s="155" t="s">
        <v>72</v>
      </c>
      <c r="AF169" s="155" t="s">
        <v>51</v>
      </c>
      <c r="AG169" s="155" t="s">
        <v>274</v>
      </c>
      <c r="AH169" s="155">
        <v>4.102500150302923</v>
      </c>
      <c r="AJ169" s="155" t="s">
        <v>52</v>
      </c>
      <c r="AK169" s="155" t="s">
        <v>17</v>
      </c>
      <c r="AL169" s="155" t="s">
        <v>28</v>
      </c>
      <c r="AM169" s="155" t="s">
        <v>51</v>
      </c>
      <c r="AN169" s="155" t="s">
        <v>274</v>
      </c>
      <c r="AO169" s="155">
        <v>1.3578238436092127</v>
      </c>
      <c r="AR169" s="77"/>
      <c r="AS169" s="77"/>
      <c r="AT169" s="77"/>
      <c r="AU169" s="77"/>
      <c r="AV169" s="77"/>
      <c r="AW169" s="77"/>
    </row>
    <row r="170" spans="1:49">
      <c r="I170" s="77"/>
      <c r="J170" s="77"/>
      <c r="K170" s="77"/>
      <c r="L170" s="77"/>
      <c r="M170" s="77"/>
      <c r="N170" s="77"/>
      <c r="Q170" s="77"/>
      <c r="R170" s="77"/>
      <c r="S170" s="77"/>
      <c r="T170" s="77"/>
      <c r="U170" s="77"/>
      <c r="V170" s="77"/>
      <c r="AC170" s="155" t="s">
        <v>52</v>
      </c>
      <c r="AD170" s="155" t="s">
        <v>17</v>
      </c>
      <c r="AE170" s="155" t="s">
        <v>72</v>
      </c>
      <c r="AF170" s="155" t="s">
        <v>51</v>
      </c>
      <c r="AG170" s="155" t="s">
        <v>275</v>
      </c>
      <c r="AH170" s="155">
        <v>4.0758755498697496</v>
      </c>
      <c r="AJ170" s="155" t="s">
        <v>52</v>
      </c>
      <c r="AK170" s="155" t="s">
        <v>17</v>
      </c>
      <c r="AL170" s="155" t="s">
        <v>28</v>
      </c>
      <c r="AM170" s="155" t="s">
        <v>51</v>
      </c>
      <c r="AN170" s="155" t="s">
        <v>275</v>
      </c>
      <c r="AO170" s="155">
        <v>1.3585112845578</v>
      </c>
      <c r="AR170" s="77"/>
      <c r="AS170" s="77"/>
      <c r="AT170" s="77"/>
      <c r="AU170" s="77"/>
      <c r="AV170" s="77"/>
      <c r="AW170" s="77"/>
    </row>
    <row r="171" spans="1:49">
      <c r="I171" s="77"/>
      <c r="J171" s="77"/>
      <c r="K171" s="77"/>
      <c r="L171" s="77"/>
      <c r="M171" s="77"/>
      <c r="N171" s="77"/>
      <c r="Q171" s="77"/>
      <c r="R171" s="77"/>
      <c r="S171" s="77"/>
      <c r="T171" s="77"/>
      <c r="U171" s="77"/>
      <c r="V171" s="77"/>
      <c r="AC171" s="155" t="s">
        <v>52</v>
      </c>
      <c r="AD171" s="155" t="s">
        <v>17</v>
      </c>
      <c r="AE171" s="155" t="s">
        <v>72</v>
      </c>
      <c r="AF171" s="155" t="s">
        <v>51</v>
      </c>
      <c r="AG171" s="155" t="s">
        <v>276</v>
      </c>
      <c r="AH171" s="155">
        <v>4.0758755498697496</v>
      </c>
      <c r="AJ171" s="155" t="s">
        <v>52</v>
      </c>
      <c r="AK171" s="155" t="s">
        <v>17</v>
      </c>
      <c r="AL171" s="155" t="s">
        <v>28</v>
      </c>
      <c r="AM171" s="155" t="s">
        <v>51</v>
      </c>
      <c r="AN171" s="155" t="s">
        <v>276</v>
      </c>
      <c r="AO171" s="155">
        <v>1.3046001769379201</v>
      </c>
      <c r="AR171" s="77"/>
      <c r="AS171" s="77"/>
      <c r="AT171" s="77"/>
      <c r="AU171" s="77"/>
      <c r="AV171" s="77"/>
      <c r="AW171" s="77"/>
    </row>
    <row r="172" spans="1:49">
      <c r="I172" s="77"/>
      <c r="J172" s="77"/>
      <c r="K172" s="77"/>
      <c r="L172" s="77"/>
      <c r="M172" s="77"/>
      <c r="N172" s="77"/>
      <c r="Q172" s="77"/>
      <c r="R172" s="77"/>
      <c r="S172" s="77"/>
      <c r="T172" s="77"/>
      <c r="U172" s="77"/>
      <c r="V172" s="77"/>
      <c r="AC172" s="155" t="s">
        <v>52</v>
      </c>
      <c r="AD172" s="155" t="s">
        <v>17</v>
      </c>
      <c r="AE172" s="155" t="s">
        <v>72</v>
      </c>
      <c r="AF172" s="155" t="s">
        <v>51</v>
      </c>
      <c r="AG172" s="155" t="s">
        <v>277</v>
      </c>
      <c r="AH172" s="155">
        <v>4.105455800854287</v>
      </c>
      <c r="AJ172" s="155" t="s">
        <v>52</v>
      </c>
      <c r="AK172" s="155" t="s">
        <v>17</v>
      </c>
      <c r="AL172" s="155" t="s">
        <v>28</v>
      </c>
      <c r="AM172" s="155" t="s">
        <v>51</v>
      </c>
      <c r="AN172" s="155" t="s">
        <v>277</v>
      </c>
      <c r="AO172" s="155">
        <v>1.3495982144193372</v>
      </c>
      <c r="AR172" s="77"/>
      <c r="AS172" s="77"/>
      <c r="AT172" s="77"/>
      <c r="AU172" s="77"/>
      <c r="AV172" s="77"/>
      <c r="AW172" s="77"/>
    </row>
    <row r="173" spans="1:49">
      <c r="I173" s="77"/>
      <c r="J173" s="77"/>
      <c r="K173" s="77"/>
      <c r="L173" s="77"/>
      <c r="M173" s="77"/>
      <c r="N173" s="77"/>
      <c r="Q173" s="77"/>
      <c r="R173" s="77"/>
      <c r="S173" s="77"/>
      <c r="T173" s="77"/>
      <c r="U173" s="77"/>
      <c r="V173" s="77"/>
      <c r="AC173" s="155" t="s">
        <v>52</v>
      </c>
      <c r="AD173" s="155" t="s">
        <v>17</v>
      </c>
      <c r="AE173" s="155" t="s">
        <v>72</v>
      </c>
      <c r="AF173" s="155" t="s">
        <v>51</v>
      </c>
      <c r="AG173" s="155" t="s">
        <v>278</v>
      </c>
      <c r="AH173" s="155">
        <v>4.0847551681119691</v>
      </c>
      <c r="AJ173" s="155" t="s">
        <v>52</v>
      </c>
      <c r="AK173" s="155" t="s">
        <v>17</v>
      </c>
      <c r="AL173" s="155" t="s">
        <v>28</v>
      </c>
      <c r="AM173" s="155" t="s">
        <v>51</v>
      </c>
      <c r="AN173" s="155" t="s">
        <v>278</v>
      </c>
      <c r="AO173" s="155">
        <v>1.3607718590449187</v>
      </c>
      <c r="AR173" s="77"/>
      <c r="AS173" s="77"/>
      <c r="AT173" s="77"/>
      <c r="AU173" s="77"/>
      <c r="AV173" s="77"/>
      <c r="AW173" s="77"/>
    </row>
    <row r="174" spans="1:49">
      <c r="Q174" s="77"/>
      <c r="R174" s="77"/>
      <c r="S174" s="77"/>
      <c r="T174" s="77"/>
      <c r="U174" s="77"/>
      <c r="V174" s="77"/>
      <c r="AC174" s="155" t="s">
        <v>52</v>
      </c>
      <c r="AD174" s="155" t="s">
        <v>17</v>
      </c>
      <c r="AE174" s="155" t="s">
        <v>72</v>
      </c>
      <c r="AF174" s="155" t="s">
        <v>51</v>
      </c>
      <c r="AG174" s="155" t="s">
        <v>279</v>
      </c>
      <c r="AH174" s="155">
        <v>4.0817958235616114</v>
      </c>
      <c r="AJ174" s="155" t="s">
        <v>52</v>
      </c>
      <c r="AK174" s="155" t="s">
        <v>17</v>
      </c>
      <c r="AL174" s="155" t="s">
        <v>28</v>
      </c>
      <c r="AM174" s="155" t="s">
        <v>51</v>
      </c>
      <c r="AN174" s="155" t="s">
        <v>279</v>
      </c>
      <c r="AO174" s="155">
        <v>1.2859837783491517</v>
      </c>
      <c r="AR174" s="77"/>
      <c r="AS174" s="77"/>
      <c r="AT174" s="77"/>
      <c r="AU174" s="77"/>
      <c r="AV174" s="77"/>
      <c r="AW174" s="77"/>
    </row>
    <row r="175" spans="1:49">
      <c r="Q175" s="77"/>
      <c r="R175" s="77"/>
      <c r="S175" s="77"/>
      <c r="T175" s="77"/>
      <c r="U175" s="77"/>
      <c r="V175" s="77"/>
      <c r="AC175" s="155" t="s">
        <v>52</v>
      </c>
      <c r="AD175" s="155" t="s">
        <v>17</v>
      </c>
      <c r="AE175" s="155" t="s">
        <v>72</v>
      </c>
      <c r="AF175" s="155" t="s">
        <v>51</v>
      </c>
      <c r="AG175" s="155" t="s">
        <v>280</v>
      </c>
      <c r="AH175" s="155">
        <v>4.2144451362355886</v>
      </c>
      <c r="AJ175" s="155" t="s">
        <v>52</v>
      </c>
      <c r="AK175" s="155" t="s">
        <v>17</v>
      </c>
      <c r="AL175" s="155" t="s">
        <v>28</v>
      </c>
      <c r="AM175" s="155" t="s">
        <v>51</v>
      </c>
      <c r="AN175" s="155" t="s">
        <v>280</v>
      </c>
      <c r="AO175" s="155">
        <v>1.338402149183749</v>
      </c>
      <c r="AR175" s="77"/>
      <c r="AS175" s="77"/>
      <c r="AT175" s="77"/>
      <c r="AU175" s="77"/>
      <c r="AV175" s="77"/>
      <c r="AW175" s="77"/>
    </row>
    <row r="176" spans="1:49">
      <c r="Q176" s="77"/>
      <c r="R176" s="77"/>
      <c r="S176" s="77"/>
      <c r="T176" s="77"/>
      <c r="U176" s="77"/>
      <c r="V176" s="77"/>
      <c r="AC176" s="155" t="s">
        <v>52</v>
      </c>
      <c r="AD176" s="155" t="s">
        <v>17</v>
      </c>
      <c r="AE176" s="155" t="s">
        <v>72</v>
      </c>
      <c r="AF176" s="155" t="s">
        <v>51</v>
      </c>
      <c r="AG176" s="155" t="s">
        <v>281</v>
      </c>
      <c r="AH176" s="155">
        <v>4.2320514457091392</v>
      </c>
      <c r="AJ176" s="155" t="s">
        <v>52</v>
      </c>
      <c r="AK176" s="155" t="s">
        <v>17</v>
      </c>
      <c r="AL176" s="155" t="s">
        <v>28</v>
      </c>
      <c r="AM176" s="155" t="s">
        <v>51</v>
      </c>
      <c r="AN176" s="155" t="s">
        <v>281</v>
      </c>
      <c r="AO176" s="155">
        <v>1.3876333431635488</v>
      </c>
      <c r="AR176" s="77"/>
      <c r="AS176" s="77"/>
      <c r="AT176" s="77"/>
      <c r="AU176" s="77"/>
      <c r="AV176" s="77"/>
      <c r="AW176" s="77"/>
    </row>
    <row r="177" spans="17:49">
      <c r="Q177" s="77"/>
      <c r="R177" s="77"/>
      <c r="S177" s="77"/>
      <c r="T177" s="77"/>
      <c r="U177" s="77"/>
      <c r="V177" s="77"/>
      <c r="AC177" s="155" t="s">
        <v>52</v>
      </c>
      <c r="AD177" s="155" t="s">
        <v>17</v>
      </c>
      <c r="AE177" s="155" t="s">
        <v>72</v>
      </c>
      <c r="AF177" s="155" t="s">
        <v>51</v>
      </c>
      <c r="AG177" s="155" t="s">
        <v>282</v>
      </c>
      <c r="AH177" s="155">
        <v>4.1850594213293615</v>
      </c>
      <c r="AJ177" s="155" t="s">
        <v>52</v>
      </c>
      <c r="AK177" s="155" t="s">
        <v>17</v>
      </c>
      <c r="AL177" s="155" t="s">
        <v>28</v>
      </c>
      <c r="AM177" s="155" t="s">
        <v>51</v>
      </c>
      <c r="AN177" s="155" t="s">
        <v>282</v>
      </c>
      <c r="AO177" s="155">
        <v>1.3200126005365818</v>
      </c>
      <c r="AR177" s="77"/>
      <c r="AS177" s="77"/>
      <c r="AT177" s="77"/>
      <c r="AU177" s="77"/>
      <c r="AV177" s="77"/>
      <c r="AW177" s="77"/>
    </row>
    <row r="178" spans="17:49">
      <c r="Q178" s="77"/>
      <c r="R178" s="77"/>
      <c r="S178" s="77"/>
      <c r="T178" s="77"/>
      <c r="U178" s="77"/>
      <c r="V178" s="77"/>
      <c r="AC178" s="155" t="s">
        <v>52</v>
      </c>
      <c r="AD178" s="155" t="s">
        <v>17</v>
      </c>
      <c r="AE178" s="155" t="s">
        <v>72</v>
      </c>
      <c r="AF178" s="155" t="s">
        <v>51</v>
      </c>
      <c r="AG178" s="155" t="s">
        <v>283</v>
      </c>
      <c r="AH178" s="155">
        <v>4.1821179681285399</v>
      </c>
      <c r="AJ178" s="155" t="s">
        <v>52</v>
      </c>
      <c r="AK178" s="155" t="s">
        <v>17</v>
      </c>
      <c r="AL178" s="155" t="s">
        <v>28</v>
      </c>
      <c r="AM178" s="155" t="s">
        <v>51</v>
      </c>
      <c r="AN178" s="155" t="s">
        <v>283</v>
      </c>
      <c r="AO178" s="155">
        <v>1.2838195828831593</v>
      </c>
      <c r="AR178" s="77"/>
      <c r="AS178" s="77"/>
      <c r="AT178" s="77"/>
      <c r="AU178" s="77"/>
      <c r="AV178" s="77"/>
      <c r="AW178" s="77"/>
    </row>
    <row r="179" spans="17:49">
      <c r="Q179" s="77"/>
      <c r="R179" s="77"/>
      <c r="S179" s="77"/>
      <c r="T179" s="77"/>
      <c r="U179" s="77"/>
      <c r="V179" s="77"/>
      <c r="AC179" s="155" t="s">
        <v>52</v>
      </c>
      <c r="AD179" s="155" t="s">
        <v>17</v>
      </c>
      <c r="AE179" s="155" t="s">
        <v>72</v>
      </c>
      <c r="AF179" s="155" t="s">
        <v>51</v>
      </c>
      <c r="AG179" s="155" t="s">
        <v>284</v>
      </c>
      <c r="AH179" s="155">
        <v>4.1484726333034283</v>
      </c>
      <c r="AJ179" s="155" t="s">
        <v>52</v>
      </c>
      <c r="AK179" s="155" t="s">
        <v>17</v>
      </c>
      <c r="AL179" s="155" t="s">
        <v>28</v>
      </c>
      <c r="AM179" s="155" t="s">
        <v>51</v>
      </c>
      <c r="AN179" s="155" t="s">
        <v>284</v>
      </c>
      <c r="AO179" s="155">
        <v>1.2144095998366391</v>
      </c>
      <c r="AR179" s="77"/>
      <c r="AS179" s="77"/>
      <c r="AT179" s="77"/>
      <c r="AU179" s="77"/>
      <c r="AV179" s="77"/>
      <c r="AW179" s="77"/>
    </row>
    <row r="180" spans="17:49">
      <c r="Q180" s="77"/>
      <c r="R180" s="77"/>
      <c r="S180" s="77"/>
      <c r="T180" s="77"/>
      <c r="U180" s="77"/>
      <c r="V180" s="77"/>
      <c r="AC180" s="155" t="s">
        <v>52</v>
      </c>
      <c r="AD180" s="155" t="s">
        <v>17</v>
      </c>
      <c r="AE180" s="155" t="s">
        <v>72</v>
      </c>
      <c r="AF180" s="155" t="s">
        <v>51</v>
      </c>
      <c r="AG180" s="155" t="s">
        <v>285</v>
      </c>
      <c r="AH180" s="155">
        <v>4.2073329774115562</v>
      </c>
      <c r="AJ180" s="155" t="s">
        <v>52</v>
      </c>
      <c r="AK180" s="155" t="s">
        <v>17</v>
      </c>
      <c r="AL180" s="155" t="s">
        <v>28</v>
      </c>
      <c r="AM180" s="155" t="s">
        <v>51</v>
      </c>
      <c r="AN180" s="155" t="s">
        <v>285</v>
      </c>
      <c r="AO180" s="155">
        <v>1.2685302920283061</v>
      </c>
      <c r="AR180" s="77"/>
      <c r="AS180" s="77"/>
      <c r="AT180" s="77"/>
      <c r="AU180" s="77"/>
      <c r="AV180" s="77"/>
      <c r="AW180" s="77"/>
    </row>
    <row r="181" spans="17:49">
      <c r="Q181" s="77"/>
      <c r="R181" s="77"/>
      <c r="S181" s="77"/>
      <c r="T181" s="77"/>
      <c r="U181" s="77"/>
      <c r="V181" s="77"/>
      <c r="AC181" s="155" t="s">
        <v>52</v>
      </c>
      <c r="AD181" s="155" t="s">
        <v>17</v>
      </c>
      <c r="AE181" s="155" t="s">
        <v>72</v>
      </c>
      <c r="AF181" s="155" t="s">
        <v>51</v>
      </c>
      <c r="AG181" s="155" t="s">
        <v>286</v>
      </c>
      <c r="AH181" s="155">
        <v>4.2923097382949242</v>
      </c>
      <c r="AJ181" s="155" t="s">
        <v>52</v>
      </c>
      <c r="AK181" s="155" t="s">
        <v>17</v>
      </c>
      <c r="AL181" s="155" t="s">
        <v>28</v>
      </c>
      <c r="AM181" s="155" t="s">
        <v>51</v>
      </c>
      <c r="AN181" s="155" t="s">
        <v>286</v>
      </c>
      <c r="AO181" s="155">
        <v>1.2796117428609644</v>
      </c>
      <c r="AR181" s="77"/>
      <c r="AS181" s="77"/>
      <c r="AT181" s="77"/>
      <c r="AU181" s="77"/>
      <c r="AV181" s="77"/>
      <c r="AW181" s="77"/>
    </row>
    <row r="182" spans="17:49">
      <c r="Q182" s="77"/>
      <c r="R182" s="77"/>
      <c r="S182" s="77"/>
      <c r="T182" s="77"/>
      <c r="U182" s="77"/>
      <c r="V182" s="77"/>
      <c r="AC182" s="155" t="s">
        <v>52</v>
      </c>
      <c r="AD182" s="155" t="s">
        <v>17</v>
      </c>
      <c r="AE182" s="155" t="s">
        <v>72</v>
      </c>
      <c r="AF182" s="155" t="s">
        <v>51</v>
      </c>
      <c r="AG182" s="155" t="s">
        <v>287</v>
      </c>
      <c r="AH182" s="155">
        <v>4.2831902952287439</v>
      </c>
      <c r="AJ182" s="155" t="s">
        <v>52</v>
      </c>
      <c r="AK182" s="155" t="s">
        <v>17</v>
      </c>
      <c r="AL182" s="155" t="s">
        <v>28</v>
      </c>
      <c r="AM182" s="155" t="s">
        <v>51</v>
      </c>
      <c r="AN182" s="155" t="s">
        <v>287</v>
      </c>
      <c r="AO182" s="155">
        <v>1.243718896185414</v>
      </c>
      <c r="AR182" s="77"/>
      <c r="AS182" s="77"/>
      <c r="AT182" s="77"/>
      <c r="AU182" s="77"/>
      <c r="AV182" s="77"/>
      <c r="AW182" s="77"/>
    </row>
    <row r="183" spans="17:49">
      <c r="Q183" s="77"/>
      <c r="R183" s="77"/>
      <c r="S183" s="77"/>
      <c r="T183" s="77"/>
      <c r="U183" s="77"/>
      <c r="V183" s="77"/>
      <c r="AC183" s="155" t="s">
        <v>52</v>
      </c>
      <c r="AD183" s="155" t="s">
        <v>17</v>
      </c>
      <c r="AE183" s="155" t="s">
        <v>72</v>
      </c>
      <c r="AF183" s="155" t="s">
        <v>51</v>
      </c>
      <c r="AG183" s="155" t="s">
        <v>288</v>
      </c>
      <c r="AH183" s="155">
        <v>4.2978081615169801</v>
      </c>
      <c r="AJ183" s="155" t="s">
        <v>52</v>
      </c>
      <c r="AK183" s="155" t="s">
        <v>17</v>
      </c>
      <c r="AL183" s="155" t="s">
        <v>28</v>
      </c>
      <c r="AM183" s="155" t="s">
        <v>51</v>
      </c>
      <c r="AN183" s="155" t="s">
        <v>288</v>
      </c>
      <c r="AO183" s="155">
        <v>1.2737200580350896</v>
      </c>
      <c r="AR183" s="77"/>
      <c r="AS183" s="77"/>
      <c r="AT183" s="77"/>
      <c r="AU183" s="77"/>
      <c r="AV183" s="77"/>
      <c r="AW183" s="77"/>
    </row>
    <row r="184" spans="17:49">
      <c r="Q184" s="77"/>
      <c r="R184" s="77"/>
      <c r="S184" s="77"/>
      <c r="T184" s="77"/>
      <c r="U184" s="77"/>
      <c r="V184" s="77"/>
      <c r="AC184" s="155" t="s">
        <v>52</v>
      </c>
      <c r="AD184" s="155" t="s">
        <v>17</v>
      </c>
      <c r="AE184" s="155" t="s">
        <v>72</v>
      </c>
      <c r="AF184" s="155" t="s">
        <v>51</v>
      </c>
      <c r="AG184" s="155" t="s">
        <v>289</v>
      </c>
      <c r="AH184" s="155">
        <v>4.2802651684494641</v>
      </c>
      <c r="AJ184" s="155" t="s">
        <v>52</v>
      </c>
      <c r="AK184" s="155" t="s">
        <v>17</v>
      </c>
      <c r="AL184" s="155" t="s">
        <v>28</v>
      </c>
      <c r="AM184" s="155" t="s">
        <v>51</v>
      </c>
      <c r="AN184" s="155" t="s">
        <v>289</v>
      </c>
      <c r="AO184" s="155">
        <v>1.2387148275746545</v>
      </c>
      <c r="AR184" s="77"/>
      <c r="AS184" s="77"/>
      <c r="AT184" s="77"/>
      <c r="AU184" s="77"/>
      <c r="AV184" s="77"/>
      <c r="AW184" s="77"/>
    </row>
    <row r="185" spans="17:49">
      <c r="Q185" s="77"/>
      <c r="R185" s="77"/>
      <c r="S185" s="77"/>
      <c r="T185" s="77"/>
      <c r="U185" s="77"/>
      <c r="V185" s="77"/>
      <c r="AC185" s="155" t="s">
        <v>52</v>
      </c>
      <c r="AD185" s="155" t="s">
        <v>17</v>
      </c>
      <c r="AE185" s="155" t="s">
        <v>72</v>
      </c>
      <c r="AF185" s="155" t="s">
        <v>51</v>
      </c>
      <c r="AG185" s="155" t="s">
        <v>290</v>
      </c>
      <c r="AH185" s="155">
        <v>4.3039963598094522</v>
      </c>
      <c r="AJ185" s="155" t="s">
        <v>52</v>
      </c>
      <c r="AK185" s="155" t="s">
        <v>17</v>
      </c>
      <c r="AL185" s="155" t="s">
        <v>28</v>
      </c>
      <c r="AM185" s="155" t="s">
        <v>51</v>
      </c>
      <c r="AN185" s="155" t="s">
        <v>290</v>
      </c>
      <c r="AO185" s="155">
        <v>1.3007759831202927</v>
      </c>
      <c r="AR185" s="77"/>
      <c r="AS185" s="77"/>
      <c r="AT185" s="77"/>
      <c r="AU185" s="77"/>
      <c r="AV185" s="77"/>
      <c r="AW185" s="77"/>
    </row>
    <row r="186" spans="17:49">
      <c r="Q186" s="77"/>
      <c r="R186" s="77"/>
      <c r="S186" s="77"/>
      <c r="T186" s="77"/>
      <c r="U186" s="77"/>
      <c r="V186" s="77"/>
      <c r="AC186" s="155" t="s">
        <v>52</v>
      </c>
      <c r="AD186" s="155" t="s">
        <v>17</v>
      </c>
      <c r="AE186" s="155" t="s">
        <v>72</v>
      </c>
      <c r="AF186" s="155" t="s">
        <v>51</v>
      </c>
      <c r="AG186" s="155" t="s">
        <v>291</v>
      </c>
      <c r="AH186" s="155">
        <v>4.2864633142523001</v>
      </c>
      <c r="AJ186" s="155" t="s">
        <v>52</v>
      </c>
      <c r="AK186" s="155" t="s">
        <v>17</v>
      </c>
      <c r="AL186" s="155" t="s">
        <v>28</v>
      </c>
      <c r="AM186" s="155" t="s">
        <v>51</v>
      </c>
      <c r="AN186" s="155" t="s">
        <v>291</v>
      </c>
      <c r="AO186" s="155">
        <v>1.2902283665898202</v>
      </c>
    </row>
    <row r="187" spans="17:49">
      <c r="Q187" s="77"/>
      <c r="R187" s="77"/>
      <c r="S187" s="77"/>
      <c r="T187" s="77"/>
      <c r="U187" s="77"/>
      <c r="V187" s="77"/>
      <c r="AC187" s="155" t="s">
        <v>52</v>
      </c>
      <c r="AD187" s="155" t="s">
        <v>17</v>
      </c>
      <c r="AE187" s="155" t="s">
        <v>72</v>
      </c>
      <c r="AF187" s="155" t="s">
        <v>51</v>
      </c>
      <c r="AG187" s="155" t="s">
        <v>292</v>
      </c>
      <c r="AH187" s="155">
        <v>4.2806148135221429</v>
      </c>
      <c r="AJ187" s="155" t="s">
        <v>52</v>
      </c>
      <c r="AK187" s="155" t="s">
        <v>17</v>
      </c>
      <c r="AL187" s="155" t="s">
        <v>28</v>
      </c>
      <c r="AM187" s="155" t="s">
        <v>51</v>
      </c>
      <c r="AN187" s="155" t="s">
        <v>292</v>
      </c>
      <c r="AO187" s="155">
        <v>1.2976660142700527</v>
      </c>
    </row>
    <row r="188" spans="17:49">
      <c r="Q188" s="77"/>
      <c r="R188" s="77"/>
      <c r="S188" s="77"/>
      <c r="T188" s="77"/>
      <c r="U188" s="77"/>
      <c r="V188" s="77"/>
      <c r="AC188" s="155" t="s">
        <v>52</v>
      </c>
      <c r="AD188" s="155" t="s">
        <v>17</v>
      </c>
      <c r="AE188" s="155" t="s">
        <v>72</v>
      </c>
      <c r="AF188" s="155" t="s">
        <v>51</v>
      </c>
      <c r="AG188" s="155" t="s">
        <v>293</v>
      </c>
      <c r="AH188" s="155">
        <v>4.2689115785087015</v>
      </c>
      <c r="AJ188" s="155" t="s">
        <v>52</v>
      </c>
      <c r="AK188" s="155" t="s">
        <v>17</v>
      </c>
      <c r="AL188" s="155" t="s">
        <v>28</v>
      </c>
      <c r="AM188" s="155" t="s">
        <v>51</v>
      </c>
      <c r="AN188" s="155" t="s">
        <v>293</v>
      </c>
      <c r="AO188" s="155">
        <v>1.2896888670291515</v>
      </c>
    </row>
    <row r="189" spans="17:49">
      <c r="Q189" s="77"/>
      <c r="R189" s="77"/>
      <c r="S189" s="77"/>
      <c r="T189" s="77"/>
      <c r="U189" s="77"/>
      <c r="V189" s="77"/>
      <c r="AC189" s="155" t="s">
        <v>52</v>
      </c>
      <c r="AD189" s="155" t="s">
        <v>17</v>
      </c>
      <c r="AE189" s="155" t="s">
        <v>72</v>
      </c>
      <c r="AF189" s="155" t="s">
        <v>51</v>
      </c>
      <c r="AG189" s="155" t="s">
        <v>294</v>
      </c>
      <c r="AH189" s="155">
        <v>4.2278847118467544</v>
      </c>
      <c r="AJ189" s="155" t="s">
        <v>52</v>
      </c>
      <c r="AK189" s="155" t="s">
        <v>17</v>
      </c>
      <c r="AL189" s="155" t="s">
        <v>28</v>
      </c>
      <c r="AM189" s="155" t="s">
        <v>51</v>
      </c>
      <c r="AN189" s="155" t="s">
        <v>294</v>
      </c>
      <c r="AO189" s="155">
        <v>1.2711406737535242</v>
      </c>
    </row>
    <row r="190" spans="17:49">
      <c r="Q190" s="77"/>
      <c r="R190" s="77"/>
      <c r="S190" s="77"/>
      <c r="T190" s="77"/>
      <c r="U190" s="77"/>
      <c r="V190" s="77"/>
      <c r="AC190" s="155" t="s">
        <v>52</v>
      </c>
      <c r="AD190" s="155" t="s">
        <v>17</v>
      </c>
      <c r="AE190" s="155" t="s">
        <v>72</v>
      </c>
      <c r="AF190" s="155" t="s">
        <v>51</v>
      </c>
      <c r="AG190" s="155" t="s">
        <v>295</v>
      </c>
      <c r="AH190" s="155">
        <v>4.224950314738753</v>
      </c>
      <c r="AJ190" s="155" t="s">
        <v>52</v>
      </c>
      <c r="AK190" s="155" t="s">
        <v>17</v>
      </c>
      <c r="AL190" s="155" t="s">
        <v>28</v>
      </c>
      <c r="AM190" s="155" t="s">
        <v>51</v>
      </c>
      <c r="AN190" s="155" t="s">
        <v>295</v>
      </c>
      <c r="AO190" s="155">
        <v>1.2470687736583035</v>
      </c>
    </row>
    <row r="191" spans="17:49">
      <c r="Q191" s="77"/>
      <c r="R191" s="77"/>
      <c r="S191" s="77"/>
      <c r="T191" s="77"/>
      <c r="U191" s="77"/>
      <c r="V191" s="77"/>
      <c r="AC191" s="155" t="s">
        <v>52</v>
      </c>
      <c r="AD191" s="155" t="s">
        <v>17</v>
      </c>
      <c r="AE191" s="155" t="s">
        <v>72</v>
      </c>
      <c r="AF191" s="155" t="s">
        <v>51</v>
      </c>
      <c r="AG191" s="155" t="s">
        <v>236</v>
      </c>
      <c r="AH191" s="155">
        <v>4.2776897841265393</v>
      </c>
      <c r="AJ191" s="155" t="s">
        <v>52</v>
      </c>
      <c r="AK191" s="155" t="s">
        <v>17</v>
      </c>
      <c r="AL191" s="155" t="s">
        <v>28</v>
      </c>
      <c r="AM191" s="155" t="s">
        <v>51</v>
      </c>
      <c r="AN191" s="155" t="s">
        <v>236</v>
      </c>
      <c r="AO191" s="155">
        <v>1.2993141214438293</v>
      </c>
    </row>
    <row r="192" spans="17:49">
      <c r="Q192" s="77"/>
      <c r="R192" s="77"/>
      <c r="S192" s="77"/>
      <c r="T192" s="77"/>
      <c r="U192" s="77"/>
      <c r="V192" s="77"/>
      <c r="AC192" s="155" t="s">
        <v>52</v>
      </c>
      <c r="AD192" s="155" t="s">
        <v>17</v>
      </c>
      <c r="AE192" s="155" t="s">
        <v>72</v>
      </c>
      <c r="AF192" s="155" t="s">
        <v>51</v>
      </c>
      <c r="AG192" s="155" t="s">
        <v>296</v>
      </c>
      <c r="AH192" s="155">
        <v>4.2689115785087015</v>
      </c>
      <c r="AJ192" s="155" t="s">
        <v>52</v>
      </c>
      <c r="AK192" s="155" t="s">
        <v>17</v>
      </c>
      <c r="AL192" s="155" t="s">
        <v>28</v>
      </c>
      <c r="AM192" s="155" t="s">
        <v>51</v>
      </c>
      <c r="AN192" s="155" t="s">
        <v>296</v>
      </c>
      <c r="AO192" s="155">
        <v>1.2962965180486514</v>
      </c>
    </row>
    <row r="193" spans="17:41">
      <c r="Q193" s="77"/>
      <c r="R193" s="77"/>
      <c r="S193" s="77"/>
      <c r="T193" s="77"/>
      <c r="U193" s="77"/>
      <c r="V193" s="77"/>
      <c r="AC193" s="155" t="s">
        <v>52</v>
      </c>
      <c r="AD193" s="155" t="s">
        <v>17</v>
      </c>
      <c r="AE193" s="155" t="s">
        <v>72</v>
      </c>
      <c r="AF193" s="155" t="s">
        <v>51</v>
      </c>
      <c r="AG193" s="155" t="s">
        <v>297</v>
      </c>
      <c r="AH193" s="155">
        <v>4.3069167186221247</v>
      </c>
      <c r="AJ193" s="155" t="s">
        <v>52</v>
      </c>
      <c r="AK193" s="155" t="s">
        <v>17</v>
      </c>
      <c r="AL193" s="155" t="s">
        <v>28</v>
      </c>
      <c r="AM193" s="155" t="s">
        <v>51</v>
      </c>
      <c r="AN193" s="155" t="s">
        <v>297</v>
      </c>
      <c r="AO193" s="155">
        <v>1.3369176777890444</v>
      </c>
    </row>
    <row r="194" spans="17:41">
      <c r="Q194" s="77"/>
      <c r="R194" s="77"/>
      <c r="S194" s="77"/>
      <c r="T194" s="77"/>
      <c r="U194" s="77"/>
      <c r="V194" s="77"/>
      <c r="AC194" s="155" t="s">
        <v>52</v>
      </c>
      <c r="AD194" s="155" t="s">
        <v>17</v>
      </c>
      <c r="AE194" s="155" t="s">
        <v>72</v>
      </c>
      <c r="AF194" s="155" t="s">
        <v>51</v>
      </c>
      <c r="AG194" s="155" t="s">
        <v>298</v>
      </c>
      <c r="AH194" s="155">
        <v>4.2981540865235441</v>
      </c>
      <c r="AJ194" s="155" t="s">
        <v>52</v>
      </c>
      <c r="AK194" s="155" t="s">
        <v>17</v>
      </c>
      <c r="AL194" s="155" t="s">
        <v>28</v>
      </c>
      <c r="AM194" s="155" t="s">
        <v>51</v>
      </c>
      <c r="AN194" s="155" t="s">
        <v>298</v>
      </c>
      <c r="AO194" s="155">
        <v>1.3353542598518544</v>
      </c>
    </row>
    <row r="195" spans="17:41">
      <c r="Q195" s="77"/>
      <c r="R195" s="77"/>
      <c r="S195" s="77"/>
      <c r="T195" s="77"/>
      <c r="U195" s="77"/>
      <c r="V195" s="77"/>
      <c r="AC195" s="155" t="s">
        <v>52</v>
      </c>
      <c r="AD195" s="155" t="s">
        <v>17</v>
      </c>
      <c r="AE195" s="155" t="s">
        <v>72</v>
      </c>
      <c r="AF195" s="155" t="s">
        <v>51</v>
      </c>
      <c r="AG195" s="155" t="s">
        <v>299</v>
      </c>
      <c r="AH195" s="155">
        <v>4.3010754824792077</v>
      </c>
      <c r="AJ195" s="155" t="s">
        <v>52</v>
      </c>
      <c r="AK195" s="155" t="s">
        <v>17</v>
      </c>
      <c r="AL195" s="155" t="s">
        <v>28</v>
      </c>
      <c r="AM195" s="155" t="s">
        <v>51</v>
      </c>
      <c r="AN195" s="155" t="s">
        <v>299</v>
      </c>
      <c r="AO195" s="155">
        <v>1.3536082166189871</v>
      </c>
    </row>
    <row r="196" spans="17:41">
      <c r="Q196" s="77"/>
      <c r="R196" s="77"/>
      <c r="S196" s="77"/>
      <c r="T196" s="77"/>
      <c r="U196" s="77"/>
      <c r="V196" s="77"/>
      <c r="AC196" s="155" t="s">
        <v>52</v>
      </c>
      <c r="AD196" s="155" t="s">
        <v>17</v>
      </c>
      <c r="AE196" s="155" t="s">
        <v>72</v>
      </c>
      <c r="AF196" s="155" t="s">
        <v>51</v>
      </c>
      <c r="AG196" s="155" t="s">
        <v>300</v>
      </c>
      <c r="AH196" s="155">
        <v>4.2747642352322801</v>
      </c>
      <c r="AJ196" s="155" t="s">
        <v>52</v>
      </c>
      <c r="AK196" s="155" t="s">
        <v>17</v>
      </c>
      <c r="AL196" s="155" t="s">
        <v>28</v>
      </c>
      <c r="AM196" s="155" t="s">
        <v>51</v>
      </c>
      <c r="AN196" s="155" t="s">
        <v>300</v>
      </c>
      <c r="AO196" s="155">
        <v>1.3800343860879603</v>
      </c>
    </row>
    <row r="197" spans="17:41">
      <c r="Q197" s="77"/>
      <c r="R197" s="77"/>
      <c r="S197" s="77"/>
      <c r="T197" s="77"/>
      <c r="U197" s="77"/>
      <c r="V197" s="77"/>
      <c r="AC197" s="155" t="s">
        <v>52</v>
      </c>
      <c r="AD197" s="155" t="s">
        <v>17</v>
      </c>
      <c r="AE197" s="155" t="s">
        <v>72</v>
      </c>
      <c r="AF197" s="155" t="s">
        <v>51</v>
      </c>
      <c r="AG197" s="155" t="s">
        <v>301</v>
      </c>
      <c r="AH197" s="155">
        <v>4.2454801497938641</v>
      </c>
      <c r="AJ197" s="155" t="s">
        <v>52</v>
      </c>
      <c r="AK197" s="155" t="s">
        <v>17</v>
      </c>
      <c r="AL197" s="155" t="s">
        <v>28</v>
      </c>
      <c r="AM197" s="155" t="s">
        <v>51</v>
      </c>
      <c r="AN197" s="155" t="s">
        <v>301</v>
      </c>
      <c r="AO197" s="155">
        <v>1.328920802747664</v>
      </c>
    </row>
    <row r="198" spans="17:41">
      <c r="Q198" s="77"/>
      <c r="R198" s="77"/>
      <c r="S198" s="77"/>
      <c r="T198" s="77"/>
      <c r="U198" s="77"/>
      <c r="V198" s="77"/>
      <c r="AC198" s="155" t="s">
        <v>52</v>
      </c>
      <c r="AD198" s="155" t="s">
        <v>17</v>
      </c>
      <c r="AE198" s="155" t="s">
        <v>72</v>
      </c>
      <c r="AF198" s="155" t="s">
        <v>51</v>
      </c>
      <c r="AG198" s="155" t="s">
        <v>302</v>
      </c>
      <c r="AH198" s="155">
        <v>4.3270050994940847</v>
      </c>
      <c r="AJ198" s="155" t="s">
        <v>52</v>
      </c>
      <c r="AK198" s="155" t="s">
        <v>17</v>
      </c>
      <c r="AL198" s="155" t="s">
        <v>28</v>
      </c>
      <c r="AM198" s="155" t="s">
        <v>51</v>
      </c>
      <c r="AN198" s="155" t="s">
        <v>302</v>
      </c>
      <c r="AO198" s="155">
        <v>1.272574432591125</v>
      </c>
    </row>
    <row r="199" spans="17:41">
      <c r="Q199" s="77"/>
      <c r="R199" s="77"/>
      <c r="S199" s="77"/>
      <c r="T199" s="77"/>
      <c r="U199" s="77"/>
      <c r="V199" s="77"/>
      <c r="AC199" s="155" t="s">
        <v>52</v>
      </c>
      <c r="AD199" s="155" t="s">
        <v>17</v>
      </c>
      <c r="AE199" s="155" t="s">
        <v>72</v>
      </c>
      <c r="AF199" s="155" t="s">
        <v>51</v>
      </c>
      <c r="AG199" s="155" t="s">
        <v>303</v>
      </c>
      <c r="AH199" s="155">
        <v>4.2627035239995106</v>
      </c>
      <c r="AJ199" s="155" t="s">
        <v>52</v>
      </c>
      <c r="AK199" s="155" t="s">
        <v>17</v>
      </c>
      <c r="AL199" s="155" t="s">
        <v>28</v>
      </c>
      <c r="AM199" s="155" t="s">
        <v>51</v>
      </c>
      <c r="AN199" s="155" t="s">
        <v>303</v>
      </c>
      <c r="AO199" s="155">
        <v>1.2660653405282909</v>
      </c>
    </row>
    <row r="200" spans="17:41">
      <c r="AC200" s="155" t="s">
        <v>52</v>
      </c>
      <c r="AD200" s="155" t="s">
        <v>17</v>
      </c>
      <c r="AE200" s="155" t="s">
        <v>72</v>
      </c>
      <c r="AF200" s="155" t="s">
        <v>51</v>
      </c>
      <c r="AG200" s="155" t="s">
        <v>304</v>
      </c>
      <c r="AH200" s="155">
        <v>4.3069167186221247</v>
      </c>
      <c r="AJ200" s="155" t="s">
        <v>52</v>
      </c>
      <c r="AK200" s="155" t="s">
        <v>17</v>
      </c>
      <c r="AL200" s="155" t="s">
        <v>28</v>
      </c>
      <c r="AM200" s="155" t="s">
        <v>51</v>
      </c>
      <c r="AN200" s="155" t="s">
        <v>304</v>
      </c>
      <c r="AO200" s="155">
        <v>1.3570180295719645</v>
      </c>
    </row>
    <row r="201" spans="17:41">
      <c r="AC201" s="155" t="s">
        <v>52</v>
      </c>
      <c r="AD201" s="155" t="s">
        <v>17</v>
      </c>
      <c r="AE201" s="155" t="s">
        <v>72</v>
      </c>
      <c r="AF201" s="155" t="s">
        <v>51</v>
      </c>
      <c r="AG201" s="155" t="s">
        <v>305</v>
      </c>
      <c r="AH201" s="155">
        <v>4.2484108996908265</v>
      </c>
      <c r="AJ201" s="155" t="s">
        <v>52</v>
      </c>
      <c r="AK201" s="155" t="s">
        <v>17</v>
      </c>
      <c r="AL201" s="155" t="s">
        <v>28</v>
      </c>
      <c r="AM201" s="155" t="s">
        <v>51</v>
      </c>
      <c r="AN201" s="155" t="s">
        <v>305</v>
      </c>
      <c r="AO201" s="155">
        <v>1.2734836008092065</v>
      </c>
    </row>
    <row r="202" spans="17:41">
      <c r="AC202" s="155" t="s">
        <v>52</v>
      </c>
      <c r="AD202" s="155" t="s">
        <v>17</v>
      </c>
      <c r="AE202" s="155" t="s">
        <v>72</v>
      </c>
      <c r="AF202" s="155" t="s">
        <v>51</v>
      </c>
      <c r="AG202" s="155" t="s">
        <v>306</v>
      </c>
      <c r="AH202" s="155">
        <v>4.2659844704607144</v>
      </c>
      <c r="AJ202" s="155" t="s">
        <v>52</v>
      </c>
      <c r="AK202" s="155" t="s">
        <v>17</v>
      </c>
      <c r="AL202" s="155" t="s">
        <v>28</v>
      </c>
      <c r="AM202" s="155" t="s">
        <v>51</v>
      </c>
      <c r="AN202" s="155" t="s">
        <v>306</v>
      </c>
      <c r="AO202" s="155">
        <v>1.3075282124049146</v>
      </c>
    </row>
    <row r="203" spans="17:41">
      <c r="AC203" s="155" t="s">
        <v>52</v>
      </c>
      <c r="AD203" s="155" t="s">
        <v>17</v>
      </c>
      <c r="AE203" s="155" t="s">
        <v>72</v>
      </c>
      <c r="AF203" s="155" t="s">
        <v>51</v>
      </c>
      <c r="AG203" s="155" t="s">
        <v>307</v>
      </c>
      <c r="AH203" s="155">
        <v>4.2718381667285747</v>
      </c>
      <c r="AJ203" s="155" t="s">
        <v>52</v>
      </c>
      <c r="AK203" s="155" t="s">
        <v>17</v>
      </c>
      <c r="AL203" s="155" t="s">
        <v>28</v>
      </c>
      <c r="AM203" s="155" t="s">
        <v>51</v>
      </c>
      <c r="AN203" s="155" t="s">
        <v>307</v>
      </c>
      <c r="AO203" s="155">
        <v>1.2743103380172947</v>
      </c>
    </row>
    <row r="204" spans="17:41">
      <c r="AC204" s="155" t="s">
        <v>52</v>
      </c>
      <c r="AD204" s="155" t="s">
        <v>17</v>
      </c>
      <c r="AE204" s="155" t="s">
        <v>72</v>
      </c>
      <c r="AF204" s="155" t="s">
        <v>51</v>
      </c>
      <c r="AG204" s="155" t="s">
        <v>308</v>
      </c>
      <c r="AH204" s="155">
        <v>4.2981540865235441</v>
      </c>
      <c r="AJ204" s="155" t="s">
        <v>52</v>
      </c>
      <c r="AK204" s="155" t="s">
        <v>17</v>
      </c>
      <c r="AL204" s="155" t="s">
        <v>28</v>
      </c>
      <c r="AM204" s="155" t="s">
        <v>51</v>
      </c>
      <c r="AN204" s="155" t="s">
        <v>308</v>
      </c>
      <c r="AO204" s="155">
        <v>1.3677663287902744</v>
      </c>
    </row>
    <row r="205" spans="17:41">
      <c r="AC205" s="155" t="s">
        <v>52</v>
      </c>
      <c r="AD205" s="155" t="s">
        <v>17</v>
      </c>
      <c r="AE205" s="155" t="s">
        <v>72</v>
      </c>
      <c r="AF205" s="155" t="s">
        <v>51</v>
      </c>
      <c r="AG205" s="155" t="s">
        <v>309</v>
      </c>
      <c r="AH205" s="155">
        <v>4.321169846229119</v>
      </c>
      <c r="AJ205" s="155" t="s">
        <v>52</v>
      </c>
      <c r="AK205" s="155" t="s">
        <v>17</v>
      </c>
      <c r="AL205" s="155" t="s">
        <v>28</v>
      </c>
      <c r="AM205" s="155" t="s">
        <v>51</v>
      </c>
      <c r="AN205" s="155" t="s">
        <v>309</v>
      </c>
      <c r="AO205" s="155">
        <v>1.3254780800427091</v>
      </c>
    </row>
    <row r="206" spans="17:41">
      <c r="AC206" s="155" t="s">
        <v>52</v>
      </c>
      <c r="AD206" s="155" t="s">
        <v>17</v>
      </c>
      <c r="AE206" s="155" t="s">
        <v>72</v>
      </c>
      <c r="AF206" s="155" t="s">
        <v>51</v>
      </c>
      <c r="AG206" s="155" t="s">
        <v>310</v>
      </c>
      <c r="AH206" s="155">
        <v>4.432241325153659</v>
      </c>
      <c r="AJ206" s="155" t="s">
        <v>52</v>
      </c>
      <c r="AK206" s="155" t="s">
        <v>17</v>
      </c>
      <c r="AL206" s="155" t="s">
        <v>28</v>
      </c>
      <c r="AM206" s="155" t="s">
        <v>51</v>
      </c>
      <c r="AN206" s="155" t="s">
        <v>310</v>
      </c>
      <c r="AO206" s="155">
        <v>1.4044868536168289</v>
      </c>
    </row>
    <row r="207" spans="17:41">
      <c r="AC207" s="155" t="s">
        <v>52</v>
      </c>
      <c r="AD207" s="155" t="s">
        <v>17</v>
      </c>
      <c r="AE207" s="155" t="s">
        <v>72</v>
      </c>
      <c r="AF207" s="155" t="s">
        <v>51</v>
      </c>
      <c r="AG207" s="155" t="s">
        <v>311</v>
      </c>
      <c r="AH207" s="155">
        <v>4.3881507237947863</v>
      </c>
      <c r="AJ207" s="155" t="s">
        <v>52</v>
      </c>
      <c r="AK207" s="155" t="s">
        <v>17</v>
      </c>
      <c r="AL207" s="155" t="s">
        <v>28</v>
      </c>
      <c r="AM207" s="155" t="s">
        <v>51</v>
      </c>
      <c r="AN207" s="155" t="s">
        <v>311</v>
      </c>
      <c r="AO207" s="155">
        <v>1.3544437066204464</v>
      </c>
    </row>
    <row r="208" spans="17:41">
      <c r="AC208" s="155" t="s">
        <v>52</v>
      </c>
      <c r="AD208" s="155" t="s">
        <v>17</v>
      </c>
      <c r="AE208" s="155" t="s">
        <v>72</v>
      </c>
      <c r="AF208" s="155" t="s">
        <v>51</v>
      </c>
      <c r="AG208" s="155" t="s">
        <v>235</v>
      </c>
      <c r="AH208" s="155">
        <v>4.309493139938624</v>
      </c>
      <c r="AJ208" s="155" t="s">
        <v>52</v>
      </c>
      <c r="AK208" s="155" t="s">
        <v>17</v>
      </c>
      <c r="AL208" s="155" t="s">
        <v>28</v>
      </c>
      <c r="AM208" s="155" t="s">
        <v>51</v>
      </c>
      <c r="AN208" s="155" t="s">
        <v>235</v>
      </c>
      <c r="AO208" s="155">
        <v>1.3156388603539744</v>
      </c>
    </row>
    <row r="209" spans="29:41">
      <c r="AC209" s="155" t="s">
        <v>52</v>
      </c>
      <c r="AD209" s="155" t="s">
        <v>17</v>
      </c>
      <c r="AE209" s="155" t="s">
        <v>72</v>
      </c>
      <c r="AF209" s="155" t="s">
        <v>51</v>
      </c>
      <c r="AG209" s="155" t="s">
        <v>312</v>
      </c>
      <c r="AH209" s="155">
        <v>4.3039963598094522</v>
      </c>
      <c r="AJ209" s="155" t="s">
        <v>52</v>
      </c>
      <c r="AK209" s="155" t="s">
        <v>17</v>
      </c>
      <c r="AL209" s="155" t="s">
        <v>28</v>
      </c>
      <c r="AM209" s="155" t="s">
        <v>51</v>
      </c>
      <c r="AN209" s="155" t="s">
        <v>312</v>
      </c>
      <c r="AO209" s="155">
        <v>1.3385508778243123</v>
      </c>
    </row>
    <row r="210" spans="29:41">
      <c r="AC210" s="155" t="s">
        <v>52</v>
      </c>
      <c r="AD210" s="155" t="s">
        <v>17</v>
      </c>
      <c r="AE210" s="155" t="s">
        <v>72</v>
      </c>
      <c r="AF210" s="155" t="s">
        <v>51</v>
      </c>
      <c r="AG210" s="155" t="s">
        <v>313</v>
      </c>
      <c r="AH210" s="155">
        <v>4.2601286944480448</v>
      </c>
      <c r="AJ210" s="155" t="s">
        <v>52</v>
      </c>
      <c r="AK210" s="155" t="s">
        <v>17</v>
      </c>
      <c r="AL210" s="155" t="s">
        <v>28</v>
      </c>
      <c r="AM210" s="155" t="s">
        <v>51</v>
      </c>
      <c r="AN210" s="155" t="s">
        <v>313</v>
      </c>
      <c r="AO210" s="155">
        <v>1.2870112907839844</v>
      </c>
    </row>
    <row r="211" spans="29:41">
      <c r="AC211" s="155" t="s">
        <v>52</v>
      </c>
      <c r="AD211" s="155" t="s">
        <v>17</v>
      </c>
      <c r="AE211" s="155" t="s">
        <v>72</v>
      </c>
      <c r="AF211" s="155" t="s">
        <v>51</v>
      </c>
      <c r="AG211" s="155" t="s">
        <v>314</v>
      </c>
      <c r="AH211" s="155">
        <v>4.2714866791154122</v>
      </c>
      <c r="AJ211" s="155" t="s">
        <v>52</v>
      </c>
      <c r="AK211" s="155" t="s">
        <v>17</v>
      </c>
      <c r="AL211" s="155" t="s">
        <v>28</v>
      </c>
      <c r="AM211" s="155" t="s">
        <v>51</v>
      </c>
      <c r="AN211" s="155" t="s">
        <v>314</v>
      </c>
      <c r="AO211" s="155">
        <v>1.2537269593602123</v>
      </c>
    </row>
    <row r="212" spans="29:41">
      <c r="AC212" s="155" t="s">
        <v>52</v>
      </c>
      <c r="AD212" s="155" t="s">
        <v>17</v>
      </c>
      <c r="AE212" s="155" t="s">
        <v>72</v>
      </c>
      <c r="AF212" s="155" t="s">
        <v>51</v>
      </c>
      <c r="AG212" s="155" t="s">
        <v>234</v>
      </c>
      <c r="AH212" s="155">
        <v>4.3677940887453044</v>
      </c>
      <c r="AJ212" s="155" t="s">
        <v>52</v>
      </c>
      <c r="AK212" s="155" t="s">
        <v>17</v>
      </c>
      <c r="AL212" s="155" t="s">
        <v>28</v>
      </c>
      <c r="AM212" s="155" t="s">
        <v>51</v>
      </c>
      <c r="AN212" s="155" t="s">
        <v>234</v>
      </c>
      <c r="AO212" s="155">
        <v>1.3251860611656945</v>
      </c>
    </row>
    <row r="213" spans="29:41">
      <c r="AC213" s="155" t="s">
        <v>52</v>
      </c>
      <c r="AD213" s="155" t="s">
        <v>17</v>
      </c>
      <c r="AE213" s="155" t="s">
        <v>72</v>
      </c>
      <c r="AF213" s="155" t="s">
        <v>51</v>
      </c>
      <c r="AG213" s="155" t="s">
        <v>237</v>
      </c>
      <c r="AH213" s="155">
        <v>4.3648839395113539</v>
      </c>
      <c r="AJ213" s="155" t="s">
        <v>52</v>
      </c>
      <c r="AK213" s="155" t="s">
        <v>17</v>
      </c>
      <c r="AL213" s="155" t="s">
        <v>28</v>
      </c>
      <c r="AM213" s="155" t="s">
        <v>51</v>
      </c>
      <c r="AN213" s="155" t="s">
        <v>237</v>
      </c>
      <c r="AO213" s="155">
        <v>1.3373072731047437</v>
      </c>
    </row>
    <row r="214" spans="29:41">
      <c r="AC214" s="155" t="s">
        <v>52</v>
      </c>
      <c r="AD214" s="155" t="s">
        <v>17</v>
      </c>
      <c r="AE214" s="155" t="s">
        <v>72</v>
      </c>
      <c r="AF214" s="155" t="s">
        <v>51</v>
      </c>
      <c r="AG214" s="155" t="s">
        <v>319</v>
      </c>
      <c r="AH214" s="155">
        <v>4.3794295383213715</v>
      </c>
      <c r="AJ214" s="155" t="s">
        <v>52</v>
      </c>
      <c r="AK214" s="155" t="s">
        <v>17</v>
      </c>
      <c r="AL214" s="155" t="s">
        <v>28</v>
      </c>
      <c r="AM214" s="155" t="s">
        <v>51</v>
      </c>
      <c r="AN214" s="155" t="s">
        <v>319</v>
      </c>
      <c r="AO214" s="155">
        <v>1.3764650898479416</v>
      </c>
    </row>
    <row r="215" spans="29:41">
      <c r="AC215" s="155" t="s">
        <v>52</v>
      </c>
      <c r="AD215" s="155" t="s">
        <v>17</v>
      </c>
      <c r="AE215" s="155" t="s">
        <v>72</v>
      </c>
      <c r="AF215" s="155" t="s">
        <v>51</v>
      </c>
      <c r="AG215" s="155" t="s">
        <v>320</v>
      </c>
      <c r="AH215" s="155">
        <v>4.3619732753244458</v>
      </c>
      <c r="AJ215" s="155" t="s">
        <v>52</v>
      </c>
      <c r="AK215" s="155" t="s">
        <v>17</v>
      </c>
      <c r="AL215" s="155" t="s">
        <v>28</v>
      </c>
      <c r="AM215" s="155" t="s">
        <v>51</v>
      </c>
      <c r="AN215" s="155" t="s">
        <v>320</v>
      </c>
      <c r="AO215" s="155">
        <v>1.3045849823916156</v>
      </c>
    </row>
    <row r="216" spans="29:41">
      <c r="AC216" s="155" t="s">
        <v>52</v>
      </c>
      <c r="AD216" s="155" t="s">
        <v>17</v>
      </c>
      <c r="AE216" s="155" t="s">
        <v>72</v>
      </c>
      <c r="AF216" s="155" t="s">
        <v>51</v>
      </c>
      <c r="AG216" s="155" t="s">
        <v>321</v>
      </c>
      <c r="AH216" s="155">
        <v>4.3590620960775004</v>
      </c>
      <c r="AJ216" s="155" t="s">
        <v>52</v>
      </c>
      <c r="AK216" s="155" t="s">
        <v>17</v>
      </c>
      <c r="AL216" s="155" t="s">
        <v>28</v>
      </c>
      <c r="AM216" s="155" t="s">
        <v>51</v>
      </c>
      <c r="AN216" s="155" t="s">
        <v>321</v>
      </c>
      <c r="AO216" s="155">
        <v>1.3536726877957803</v>
      </c>
    </row>
    <row r="217" spans="29:41">
      <c r="AC217" s="155" t="s">
        <v>52</v>
      </c>
      <c r="AD217" s="155" t="s">
        <v>17</v>
      </c>
      <c r="AE217" s="155" t="s">
        <v>72</v>
      </c>
      <c r="AF217" s="155" t="s">
        <v>51</v>
      </c>
      <c r="AG217" s="155" t="s">
        <v>322</v>
      </c>
      <c r="AH217" s="155">
        <v>4.3069167186221247</v>
      </c>
      <c r="AJ217" s="155" t="s">
        <v>52</v>
      </c>
      <c r="AK217" s="155" t="s">
        <v>17</v>
      </c>
      <c r="AL217" s="155" t="s">
        <v>28</v>
      </c>
      <c r="AM217" s="155" t="s">
        <v>51</v>
      </c>
      <c r="AN217" s="155" t="s">
        <v>322</v>
      </c>
      <c r="AO217" s="155">
        <v>1.3134640334251244</v>
      </c>
    </row>
    <row r="218" spans="29:41">
      <c r="AC218" s="155" t="s">
        <v>52</v>
      </c>
      <c r="AD218" s="155" t="s">
        <v>17</v>
      </c>
      <c r="AE218" s="155" t="s">
        <v>72</v>
      </c>
      <c r="AF218" s="155" t="s">
        <v>51</v>
      </c>
      <c r="AG218" s="155" t="s">
        <v>323</v>
      </c>
      <c r="AH218" s="155">
        <v>4.309493139938624</v>
      </c>
      <c r="AJ218" s="155" t="s">
        <v>52</v>
      </c>
      <c r="AK218" s="155" t="s">
        <v>17</v>
      </c>
      <c r="AL218" s="155" t="s">
        <v>28</v>
      </c>
      <c r="AM218" s="155" t="s">
        <v>51</v>
      </c>
      <c r="AN218" s="155" t="s">
        <v>323</v>
      </c>
      <c r="AO218" s="155">
        <v>1.3143558607289445</v>
      </c>
    </row>
    <row r="219" spans="29:41">
      <c r="AC219" s="155" t="s">
        <v>52</v>
      </c>
      <c r="AD219" s="155" t="s">
        <v>17</v>
      </c>
      <c r="AE219" s="155" t="s">
        <v>72</v>
      </c>
      <c r="AF219" s="155" t="s">
        <v>51</v>
      </c>
      <c r="AG219" s="155" t="s">
        <v>324</v>
      </c>
      <c r="AH219" s="155">
        <v>4.3039963598094522</v>
      </c>
      <c r="AJ219" s="155" t="s">
        <v>52</v>
      </c>
      <c r="AK219" s="155" t="s">
        <v>17</v>
      </c>
      <c r="AL219" s="155" t="s">
        <v>28</v>
      </c>
      <c r="AM219" s="155" t="s">
        <v>51</v>
      </c>
      <c r="AN219" s="155" t="s">
        <v>324</v>
      </c>
      <c r="AO219" s="155">
        <v>1.3705958396256928</v>
      </c>
    </row>
    <row r="220" spans="29:41">
      <c r="AC220" s="155" t="s">
        <v>52</v>
      </c>
      <c r="AD220" s="155" t="s">
        <v>17</v>
      </c>
      <c r="AE220" s="155" t="s">
        <v>72</v>
      </c>
      <c r="AF220" s="155" t="s">
        <v>51</v>
      </c>
      <c r="AG220" s="155" t="s">
        <v>325</v>
      </c>
      <c r="AH220" s="155">
        <v>4.2542708378161587</v>
      </c>
      <c r="AJ220" s="155" t="s">
        <v>52</v>
      </c>
      <c r="AK220" s="155" t="s">
        <v>17</v>
      </c>
      <c r="AL220" s="155" t="s">
        <v>28</v>
      </c>
      <c r="AM220" s="155" t="s">
        <v>51</v>
      </c>
      <c r="AN220" s="155" t="s">
        <v>325</v>
      </c>
      <c r="AO220" s="155">
        <v>1.3423201379171987</v>
      </c>
    </row>
    <row r="221" spans="29:41">
      <c r="AC221" s="155" t="s">
        <v>52</v>
      </c>
      <c r="AD221" s="155" t="s">
        <v>17</v>
      </c>
      <c r="AE221" s="155" t="s">
        <v>72</v>
      </c>
      <c r="AF221" s="155" t="s">
        <v>51</v>
      </c>
      <c r="AG221" s="155" t="s">
        <v>326</v>
      </c>
      <c r="AH221" s="155">
        <v>4.2718381667285747</v>
      </c>
      <c r="AJ221" s="155" t="s">
        <v>52</v>
      </c>
      <c r="AK221" s="155" t="s">
        <v>17</v>
      </c>
      <c r="AL221" s="155" t="s">
        <v>28</v>
      </c>
      <c r="AM221" s="155" t="s">
        <v>51</v>
      </c>
      <c r="AN221" s="155" t="s">
        <v>326</v>
      </c>
      <c r="AO221" s="155">
        <v>1.3863813589102647</v>
      </c>
    </row>
    <row r="222" spans="29:41">
      <c r="AC222" s="155" t="s">
        <v>52</v>
      </c>
      <c r="AD222" s="155" t="s">
        <v>17</v>
      </c>
      <c r="AE222" s="155" t="s">
        <v>72</v>
      </c>
      <c r="AF222" s="155" t="s">
        <v>51</v>
      </c>
      <c r="AG222" s="155" t="s">
        <v>327</v>
      </c>
      <c r="AH222" s="155">
        <v>4.2864633142523001</v>
      </c>
      <c r="AJ222" s="155" t="s">
        <v>52</v>
      </c>
      <c r="AK222" s="155" t="s">
        <v>17</v>
      </c>
      <c r="AL222" s="155" t="s">
        <v>28</v>
      </c>
      <c r="AM222" s="155" t="s">
        <v>51</v>
      </c>
      <c r="AN222" s="155" t="s">
        <v>327</v>
      </c>
      <c r="AO222" s="155">
        <v>1.3886290832632</v>
      </c>
    </row>
    <row r="223" spans="29:41">
      <c r="AC223" s="155" t="s">
        <v>52</v>
      </c>
      <c r="AD223" s="155" t="s">
        <v>17</v>
      </c>
      <c r="AE223" s="155" t="s">
        <v>72</v>
      </c>
      <c r="AF223" s="155" t="s">
        <v>51</v>
      </c>
      <c r="AG223" s="155" t="s">
        <v>328</v>
      </c>
      <c r="AH223" s="155">
        <v>4.2278847118467544</v>
      </c>
      <c r="AJ223" s="155" t="s">
        <v>52</v>
      </c>
      <c r="AK223" s="155" t="s">
        <v>17</v>
      </c>
      <c r="AL223" s="155" t="s">
        <v>28</v>
      </c>
      <c r="AM223" s="155" t="s">
        <v>51</v>
      </c>
      <c r="AN223" s="155" t="s">
        <v>328</v>
      </c>
      <c r="AO223" s="155">
        <v>1.3854108228953741</v>
      </c>
    </row>
    <row r="224" spans="29:41">
      <c r="AC224" s="155" t="s">
        <v>52</v>
      </c>
      <c r="AD224" s="155" t="s">
        <v>17</v>
      </c>
      <c r="AE224" s="155" t="s">
        <v>72</v>
      </c>
      <c r="AF224" s="155" t="s">
        <v>51</v>
      </c>
      <c r="AG224" s="155" t="s">
        <v>329</v>
      </c>
      <c r="AH224" s="155">
        <v>4.2601286944480448</v>
      </c>
      <c r="AJ224" s="155" t="s">
        <v>52</v>
      </c>
      <c r="AK224" s="155" t="s">
        <v>17</v>
      </c>
      <c r="AL224" s="155" t="s">
        <v>28</v>
      </c>
      <c r="AM224" s="155" t="s">
        <v>51</v>
      </c>
      <c r="AN224" s="155" t="s">
        <v>329</v>
      </c>
      <c r="AO224" s="155">
        <v>1.4473345312009749</v>
      </c>
    </row>
    <row r="225" spans="29:41">
      <c r="AC225" s="155" t="s">
        <v>52</v>
      </c>
      <c r="AD225" s="155" t="s">
        <v>17</v>
      </c>
      <c r="AE225" s="155" t="s">
        <v>72</v>
      </c>
      <c r="AF225" s="155" t="s">
        <v>51</v>
      </c>
      <c r="AG225" s="155" t="s">
        <v>330</v>
      </c>
      <c r="AH225" s="155">
        <v>4.2337519420959611</v>
      </c>
      <c r="AJ225" s="155" t="s">
        <v>52</v>
      </c>
      <c r="AK225" s="155" t="s">
        <v>17</v>
      </c>
      <c r="AL225" s="155" t="s">
        <v>28</v>
      </c>
      <c r="AM225" s="155" t="s">
        <v>51</v>
      </c>
      <c r="AN225" s="155" t="s">
        <v>330</v>
      </c>
      <c r="AO225" s="155">
        <v>1.4080731740635712</v>
      </c>
    </row>
    <row r="226" spans="29:41">
      <c r="AC226" s="155" t="s">
        <v>52</v>
      </c>
      <c r="AD226" s="155" t="s">
        <v>17</v>
      </c>
      <c r="AE226" s="155" t="s">
        <v>72</v>
      </c>
      <c r="AF226" s="155" t="s">
        <v>51</v>
      </c>
      <c r="AG226" s="155" t="s">
        <v>331</v>
      </c>
      <c r="AH226" s="155">
        <v>4.2320514457091392</v>
      </c>
      <c r="AJ226" s="155" t="s">
        <v>52</v>
      </c>
      <c r="AK226" s="155" t="s">
        <v>17</v>
      </c>
      <c r="AL226" s="155" t="s">
        <v>28</v>
      </c>
      <c r="AM226" s="155" t="s">
        <v>51</v>
      </c>
      <c r="AN226" s="155" t="s">
        <v>331</v>
      </c>
      <c r="AO226" s="155">
        <v>1.4494934492133089</v>
      </c>
    </row>
    <row r="227" spans="29:41">
      <c r="AC227" s="155" t="s">
        <v>52</v>
      </c>
      <c r="AD227" s="155" t="s">
        <v>17</v>
      </c>
      <c r="AE227" s="155" t="s">
        <v>72</v>
      </c>
      <c r="AF227" s="155" t="s">
        <v>51</v>
      </c>
      <c r="AG227" s="155" t="s">
        <v>332</v>
      </c>
      <c r="AH227" s="155">
        <v>4.1720418893230349</v>
      </c>
      <c r="AJ227" s="155" t="s">
        <v>52</v>
      </c>
      <c r="AK227" s="155" t="s">
        <v>17</v>
      </c>
      <c r="AL227" s="155" t="s">
        <v>28</v>
      </c>
      <c r="AM227" s="155" t="s">
        <v>51</v>
      </c>
      <c r="AN227" s="155" t="s">
        <v>332</v>
      </c>
      <c r="AO227" s="155">
        <v>1.3836634107198553</v>
      </c>
    </row>
    <row r="228" spans="29:41">
      <c r="AC228" s="155" t="s">
        <v>52</v>
      </c>
      <c r="AD228" s="155" t="s">
        <v>17</v>
      </c>
      <c r="AE228" s="155" t="s">
        <v>72</v>
      </c>
      <c r="AF228" s="155" t="s">
        <v>51</v>
      </c>
      <c r="AG228" s="155" t="s">
        <v>333</v>
      </c>
      <c r="AH228" s="155">
        <v>4.1997588253638858</v>
      </c>
      <c r="AJ228" s="155" t="s">
        <v>52</v>
      </c>
      <c r="AK228" s="155" t="s">
        <v>17</v>
      </c>
      <c r="AL228" s="155" t="s">
        <v>28</v>
      </c>
      <c r="AM228" s="155" t="s">
        <v>51</v>
      </c>
      <c r="AN228" s="155" t="s">
        <v>333</v>
      </c>
      <c r="AO228" s="155">
        <v>1.4597632425587055</v>
      </c>
    </row>
    <row r="229" spans="29:41">
      <c r="AC229" s="155" t="s">
        <v>52</v>
      </c>
      <c r="AD229" s="155" t="s">
        <v>17</v>
      </c>
      <c r="AE229" s="155" t="s">
        <v>72</v>
      </c>
      <c r="AF229" s="155" t="s">
        <v>51</v>
      </c>
      <c r="AG229" s="155" t="s">
        <v>334</v>
      </c>
      <c r="AH229" s="155">
        <v>4.1349833248614178</v>
      </c>
      <c r="AJ229" s="155" t="s">
        <v>52</v>
      </c>
      <c r="AK229" s="155" t="s">
        <v>17</v>
      </c>
      <c r="AL229" s="155" t="s">
        <v>28</v>
      </c>
      <c r="AM229" s="155" t="s">
        <v>51</v>
      </c>
      <c r="AN229" s="155" t="s">
        <v>334</v>
      </c>
      <c r="AO229" s="155">
        <v>1.3715115359863181</v>
      </c>
    </row>
    <row r="230" spans="29:41">
      <c r="AC230" s="155" t="s">
        <v>52</v>
      </c>
      <c r="AD230" s="155" t="s">
        <v>17</v>
      </c>
      <c r="AE230" s="155" t="s">
        <v>72</v>
      </c>
      <c r="AF230" s="155" t="s">
        <v>51</v>
      </c>
      <c r="AG230" s="155" t="s">
        <v>335</v>
      </c>
      <c r="AH230" s="155">
        <v>4.2190799560072145</v>
      </c>
      <c r="AJ230" s="155" t="s">
        <v>52</v>
      </c>
      <c r="AK230" s="155" t="s">
        <v>17</v>
      </c>
      <c r="AL230" s="155" t="s">
        <v>28</v>
      </c>
      <c r="AM230" s="155" t="s">
        <v>51</v>
      </c>
      <c r="AN230" s="155" t="s">
        <v>335</v>
      </c>
      <c r="AO230" s="155">
        <v>1.4305891441309952</v>
      </c>
    </row>
    <row r="231" spans="29:41">
      <c r="AC231" s="155" t="s">
        <v>52</v>
      </c>
      <c r="AD231" s="155" t="s">
        <v>17</v>
      </c>
      <c r="AE231" s="155" t="s">
        <v>72</v>
      </c>
      <c r="AF231" s="155" t="s">
        <v>51</v>
      </c>
      <c r="AG231" s="155" t="s">
        <v>336</v>
      </c>
      <c r="AH231" s="155">
        <v>4.1955776447865043</v>
      </c>
      <c r="AJ231" s="155" t="s">
        <v>52</v>
      </c>
      <c r="AK231" s="155" t="s">
        <v>17</v>
      </c>
      <c r="AL231" s="155" t="s">
        <v>28</v>
      </c>
      <c r="AM231" s="155" t="s">
        <v>51</v>
      </c>
      <c r="AN231" s="155" t="s">
        <v>336</v>
      </c>
      <c r="AO231" s="155">
        <v>1.4253647034813144</v>
      </c>
    </row>
    <row r="232" spans="29:41">
      <c r="AC232" s="155" t="s">
        <v>52</v>
      </c>
      <c r="AD232" s="155" t="s">
        <v>17</v>
      </c>
      <c r="AE232" s="155" t="s">
        <v>72</v>
      </c>
      <c r="AF232" s="155" t="s">
        <v>51</v>
      </c>
      <c r="AG232" s="155" t="s">
        <v>316</v>
      </c>
      <c r="AH232" s="155">
        <v>4.2026971345497621</v>
      </c>
      <c r="AJ232" s="155" t="s">
        <v>52</v>
      </c>
      <c r="AK232" s="155" t="s">
        <v>17</v>
      </c>
      <c r="AL232" s="155" t="s">
        <v>28</v>
      </c>
      <c r="AM232" s="155" t="s">
        <v>51</v>
      </c>
      <c r="AN232" s="155" t="s">
        <v>316</v>
      </c>
      <c r="AO232" s="155">
        <v>1.471013855491812</v>
      </c>
    </row>
    <row r="233" spans="29:41">
      <c r="AC233" s="155" t="s">
        <v>52</v>
      </c>
      <c r="AD233" s="155" t="s">
        <v>17</v>
      </c>
      <c r="AE233" s="155" t="s">
        <v>72</v>
      </c>
      <c r="AF233" s="155" t="s">
        <v>51</v>
      </c>
      <c r="AG233" s="155" t="s">
        <v>337</v>
      </c>
      <c r="AH233" s="155">
        <v>4.2026971345497621</v>
      </c>
      <c r="AJ233" s="155" t="s">
        <v>52</v>
      </c>
      <c r="AK233" s="155" t="s">
        <v>17</v>
      </c>
      <c r="AL233" s="155" t="s">
        <v>28</v>
      </c>
      <c r="AM233" s="155" t="s">
        <v>51</v>
      </c>
      <c r="AN233" s="155" t="s">
        <v>337</v>
      </c>
      <c r="AO233" s="155">
        <v>1.4669569286560922</v>
      </c>
    </row>
    <row r="234" spans="29:41">
      <c r="AC234" s="155" t="s">
        <v>52</v>
      </c>
      <c r="AD234" s="155" t="s">
        <v>17</v>
      </c>
      <c r="AE234" s="155" t="s">
        <v>72</v>
      </c>
      <c r="AF234" s="155" t="s">
        <v>51</v>
      </c>
      <c r="AG234" s="155" t="s">
        <v>338</v>
      </c>
      <c r="AH234" s="155">
        <v>4.1690975655386646</v>
      </c>
      <c r="AJ234" s="155" t="s">
        <v>52</v>
      </c>
      <c r="AK234" s="155" t="s">
        <v>17</v>
      </c>
      <c r="AL234" s="155" t="s">
        <v>28</v>
      </c>
      <c r="AM234" s="155" t="s">
        <v>51</v>
      </c>
      <c r="AN234" s="155" t="s">
        <v>338</v>
      </c>
      <c r="AO234" s="155">
        <v>1.4622451459210546</v>
      </c>
    </row>
    <row r="235" spans="29:41">
      <c r="AC235" s="155" t="s">
        <v>52</v>
      </c>
      <c r="AD235" s="155" t="s">
        <v>17</v>
      </c>
      <c r="AE235" s="155" t="s">
        <v>72</v>
      </c>
      <c r="AF235" s="155" t="s">
        <v>51</v>
      </c>
      <c r="AG235" s="155" t="s">
        <v>339</v>
      </c>
      <c r="AH235" s="155">
        <v>4.1556212785682742</v>
      </c>
      <c r="AJ235" s="155" t="s">
        <v>52</v>
      </c>
      <c r="AK235" s="155" t="s">
        <v>17</v>
      </c>
      <c r="AL235" s="155" t="s">
        <v>28</v>
      </c>
      <c r="AM235" s="155" t="s">
        <v>51</v>
      </c>
      <c r="AN235" s="155" t="s">
        <v>339</v>
      </c>
      <c r="AO235" s="155">
        <v>1.5080867553428343</v>
      </c>
    </row>
    <row r="236" spans="29:41">
      <c r="AC236" s="155" t="s">
        <v>52</v>
      </c>
      <c r="AD236" s="155" t="s">
        <v>17</v>
      </c>
      <c r="AE236" s="155" t="s">
        <v>72</v>
      </c>
      <c r="AF236" s="155" t="s">
        <v>51</v>
      </c>
      <c r="AG236" s="155" t="s">
        <v>315</v>
      </c>
      <c r="AH236" s="155">
        <v>4.1938806357020679</v>
      </c>
      <c r="AJ236" s="155" t="s">
        <v>52</v>
      </c>
      <c r="AK236" s="155" t="s">
        <v>17</v>
      </c>
      <c r="AL236" s="155" t="s">
        <v>28</v>
      </c>
      <c r="AM236" s="155" t="s">
        <v>51</v>
      </c>
      <c r="AN236" s="155" t="s">
        <v>315</v>
      </c>
      <c r="AO236" s="155">
        <v>1.4856058780086481</v>
      </c>
    </row>
    <row r="237" spans="29:41">
      <c r="AC237" s="155" t="s">
        <v>52</v>
      </c>
      <c r="AD237" s="155" t="s">
        <v>17</v>
      </c>
      <c r="AE237" s="155" t="s">
        <v>72</v>
      </c>
      <c r="AF237" s="155" t="s">
        <v>51</v>
      </c>
      <c r="AG237" s="155" t="s">
        <v>318</v>
      </c>
      <c r="AH237" s="155">
        <v>4.105455800854287</v>
      </c>
      <c r="AJ237" s="155" t="s">
        <v>52</v>
      </c>
      <c r="AK237" s="155" t="s">
        <v>17</v>
      </c>
      <c r="AL237" s="155" t="s">
        <v>28</v>
      </c>
      <c r="AM237" s="155" t="s">
        <v>51</v>
      </c>
      <c r="AN237" s="155" t="s">
        <v>318</v>
      </c>
      <c r="AO237" s="155">
        <v>1.4881669876185573</v>
      </c>
    </row>
    <row r="238" spans="29:41">
      <c r="AC238" s="155" t="s">
        <v>52</v>
      </c>
      <c r="AD238" s="155" t="s">
        <v>18</v>
      </c>
      <c r="AE238" s="155" t="s">
        <v>72</v>
      </c>
      <c r="AF238" s="155" t="s">
        <v>51</v>
      </c>
      <c r="AG238" s="155" t="s">
        <v>130</v>
      </c>
      <c r="AH238" s="155">
        <v>4.1543680910694123</v>
      </c>
      <c r="AJ238" s="155" t="s">
        <v>52</v>
      </c>
      <c r="AK238" s="155" t="s">
        <v>18</v>
      </c>
      <c r="AL238" s="155" t="s">
        <v>28</v>
      </c>
      <c r="AM238" s="155" t="s">
        <v>51</v>
      </c>
      <c r="AN238" s="155" t="s">
        <v>130</v>
      </c>
      <c r="AO238" s="155">
        <v>1.3201681510401224</v>
      </c>
    </row>
    <row r="239" spans="29:41">
      <c r="AC239" s="155" t="s">
        <v>52</v>
      </c>
      <c r="AD239" s="155" t="s">
        <v>18</v>
      </c>
      <c r="AE239" s="155" t="s">
        <v>72</v>
      </c>
      <c r="AF239" s="155" t="s">
        <v>51</v>
      </c>
      <c r="AG239" s="155" t="s">
        <v>131</v>
      </c>
      <c r="AH239" s="155">
        <v>4.1248698203088709</v>
      </c>
      <c r="AJ239" s="155" t="s">
        <v>52</v>
      </c>
      <c r="AK239" s="155" t="s">
        <v>18</v>
      </c>
      <c r="AL239" s="155" t="s">
        <v>28</v>
      </c>
      <c r="AM239" s="155" t="s">
        <v>51</v>
      </c>
      <c r="AN239" s="155" t="s">
        <v>131</v>
      </c>
      <c r="AO239" s="155">
        <v>1.3006860975554306</v>
      </c>
    </row>
    <row r="240" spans="29:41">
      <c r="AC240" s="155" t="s">
        <v>52</v>
      </c>
      <c r="AD240" s="155" t="s">
        <v>18</v>
      </c>
      <c r="AE240" s="155" t="s">
        <v>72</v>
      </c>
      <c r="AF240" s="155" t="s">
        <v>51</v>
      </c>
      <c r="AG240" s="155" t="s">
        <v>132</v>
      </c>
      <c r="AH240" s="155">
        <v>4.0301218665618999</v>
      </c>
      <c r="AJ240" s="155" t="s">
        <v>52</v>
      </c>
      <c r="AK240" s="155" t="s">
        <v>18</v>
      </c>
      <c r="AL240" s="155" t="s">
        <v>28</v>
      </c>
      <c r="AM240" s="155" t="s">
        <v>51</v>
      </c>
      <c r="AN240" s="155" t="s">
        <v>132</v>
      </c>
      <c r="AO240" s="155">
        <v>1.2145602915852296</v>
      </c>
    </row>
    <row r="241" spans="29:41">
      <c r="AC241" s="155" t="s">
        <v>52</v>
      </c>
      <c r="AD241" s="155" t="s">
        <v>18</v>
      </c>
      <c r="AE241" s="155" t="s">
        <v>72</v>
      </c>
      <c r="AF241" s="155" t="s">
        <v>51</v>
      </c>
      <c r="AG241" s="155" t="s">
        <v>133</v>
      </c>
      <c r="AH241" s="155">
        <v>4.0301218665618999</v>
      </c>
      <c r="AJ241" s="155" t="s">
        <v>52</v>
      </c>
      <c r="AK241" s="155" t="s">
        <v>18</v>
      </c>
      <c r="AL241" s="155" t="s">
        <v>28</v>
      </c>
      <c r="AM241" s="155" t="s">
        <v>51</v>
      </c>
      <c r="AN241" s="155" t="s">
        <v>133</v>
      </c>
      <c r="AO241" s="155">
        <v>1.09980485566</v>
      </c>
    </row>
    <row r="242" spans="29:41">
      <c r="AC242" s="155" t="s">
        <v>52</v>
      </c>
      <c r="AD242" s="155" t="s">
        <v>18</v>
      </c>
      <c r="AE242" s="155" t="s">
        <v>72</v>
      </c>
      <c r="AF242" s="155" t="s">
        <v>51</v>
      </c>
      <c r="AG242" s="155" t="s">
        <v>134</v>
      </c>
      <c r="AH242" s="155">
        <v>3.9987193359155064</v>
      </c>
      <c r="AJ242" s="155" t="s">
        <v>52</v>
      </c>
      <c r="AK242" s="155" t="s">
        <v>18</v>
      </c>
      <c r="AL242" s="155" t="s">
        <v>28</v>
      </c>
      <c r="AM242" s="155" t="s">
        <v>51</v>
      </c>
      <c r="AN242" s="155" t="s">
        <v>134</v>
      </c>
      <c r="AO242" s="155">
        <v>1.0964918123855762</v>
      </c>
    </row>
    <row r="243" spans="29:41">
      <c r="AC243" s="155" t="s">
        <v>52</v>
      </c>
      <c r="AD243" s="155" t="s">
        <v>18</v>
      </c>
      <c r="AE243" s="155" t="s">
        <v>72</v>
      </c>
      <c r="AF243" s="155" t="s">
        <v>51</v>
      </c>
      <c r="AG243" s="155" t="s">
        <v>135</v>
      </c>
      <c r="AH243" s="155">
        <v>3.968948344733974</v>
      </c>
      <c r="AJ243" s="155" t="s">
        <v>52</v>
      </c>
      <c r="AK243" s="155" t="s">
        <v>18</v>
      </c>
      <c r="AL243" s="155" t="s">
        <v>28</v>
      </c>
      <c r="AM243" s="155" t="s">
        <v>51</v>
      </c>
      <c r="AN243" s="155" t="s">
        <v>135</v>
      </c>
      <c r="AO243" s="155">
        <v>1.122598007927214</v>
      </c>
    </row>
    <row r="244" spans="29:41">
      <c r="AC244" s="155" t="s">
        <v>52</v>
      </c>
      <c r="AD244" s="155" t="s">
        <v>18</v>
      </c>
      <c r="AE244" s="155" t="s">
        <v>72</v>
      </c>
      <c r="AF244" s="155" t="s">
        <v>51</v>
      </c>
      <c r="AG244" s="155" t="s">
        <v>136</v>
      </c>
      <c r="AH244" s="155">
        <v>3.968948344733974</v>
      </c>
      <c r="AJ244" s="155" t="s">
        <v>52</v>
      </c>
      <c r="AK244" s="155" t="s">
        <v>18</v>
      </c>
      <c r="AL244" s="155" t="s">
        <v>28</v>
      </c>
      <c r="AM244" s="155" t="s">
        <v>51</v>
      </c>
      <c r="AN244" s="155" t="s">
        <v>136</v>
      </c>
      <c r="AO244" s="155">
        <v>1.1411130414158539</v>
      </c>
    </row>
    <row r="245" spans="29:41">
      <c r="AC245" s="155" t="s">
        <v>52</v>
      </c>
      <c r="AD245" s="155" t="s">
        <v>18</v>
      </c>
      <c r="AE245" s="155" t="s">
        <v>72</v>
      </c>
      <c r="AF245" s="155" t="s">
        <v>51</v>
      </c>
      <c r="AG245" s="155" t="s">
        <v>137</v>
      </c>
      <c r="AH245" s="155">
        <v>3.8725334437312955</v>
      </c>
      <c r="AJ245" s="155" t="s">
        <v>52</v>
      </c>
      <c r="AK245" s="155" t="s">
        <v>18</v>
      </c>
      <c r="AL245" s="155" t="s">
        <v>28</v>
      </c>
      <c r="AM245" s="155" t="s">
        <v>51</v>
      </c>
      <c r="AN245" s="155" t="s">
        <v>137</v>
      </c>
      <c r="AO245" s="155">
        <v>1.0587143334773157</v>
      </c>
    </row>
    <row r="246" spans="29:41">
      <c r="AC246" s="155" t="s">
        <v>52</v>
      </c>
      <c r="AD246" s="155" t="s">
        <v>18</v>
      </c>
      <c r="AE246" s="155" t="s">
        <v>72</v>
      </c>
      <c r="AF246" s="155" t="s">
        <v>51</v>
      </c>
      <c r="AG246" s="155" t="s">
        <v>138</v>
      </c>
      <c r="AH246" s="155">
        <v>3.9353424338077225</v>
      </c>
      <c r="AJ246" s="155" t="s">
        <v>52</v>
      </c>
      <c r="AK246" s="155" t="s">
        <v>18</v>
      </c>
      <c r="AL246" s="155" t="s">
        <v>28</v>
      </c>
      <c r="AM246" s="155" t="s">
        <v>51</v>
      </c>
      <c r="AN246" s="155" t="s">
        <v>138</v>
      </c>
      <c r="AO246" s="155">
        <v>1.1038366846652226</v>
      </c>
    </row>
    <row r="247" spans="29:41">
      <c r="AC247" s="155" t="s">
        <v>52</v>
      </c>
      <c r="AD247" s="155" t="s">
        <v>18</v>
      </c>
      <c r="AE247" s="155" t="s">
        <v>72</v>
      </c>
      <c r="AF247" s="155" t="s">
        <v>51</v>
      </c>
      <c r="AG247" s="155" t="s">
        <v>139</v>
      </c>
      <c r="AH247" s="155">
        <v>3.9361387568601574</v>
      </c>
      <c r="AJ247" s="155" t="s">
        <v>52</v>
      </c>
      <c r="AK247" s="155" t="s">
        <v>18</v>
      </c>
      <c r="AL247" s="155" t="s">
        <v>28</v>
      </c>
      <c r="AM247" s="155" t="s">
        <v>51</v>
      </c>
      <c r="AN247" s="155" t="s">
        <v>139</v>
      </c>
      <c r="AO247" s="155">
        <v>1.1119619050322371</v>
      </c>
    </row>
    <row r="248" spans="29:41">
      <c r="AC248" s="155" t="s">
        <v>52</v>
      </c>
      <c r="AD248" s="155" t="s">
        <v>18</v>
      </c>
      <c r="AE248" s="155" t="s">
        <v>72</v>
      </c>
      <c r="AF248" s="155" t="s">
        <v>51</v>
      </c>
      <c r="AG248" s="155" t="s">
        <v>140</v>
      </c>
      <c r="AH248" s="155">
        <v>3.9353424338077225</v>
      </c>
      <c r="AJ248" s="155" t="s">
        <v>52</v>
      </c>
      <c r="AK248" s="155" t="s">
        <v>18</v>
      </c>
      <c r="AL248" s="155" t="s">
        <v>28</v>
      </c>
      <c r="AM248" s="155" t="s">
        <v>51</v>
      </c>
      <c r="AN248" s="155" t="s">
        <v>140</v>
      </c>
      <c r="AO248" s="155">
        <v>1.1395014245030624</v>
      </c>
    </row>
    <row r="249" spans="29:41">
      <c r="AC249" s="155" t="s">
        <v>52</v>
      </c>
      <c r="AD249" s="155" t="s">
        <v>18</v>
      </c>
      <c r="AE249" s="155" t="s">
        <v>72</v>
      </c>
      <c r="AF249" s="155" t="s">
        <v>51</v>
      </c>
      <c r="AG249" s="155" t="s">
        <v>141</v>
      </c>
      <c r="AH249" s="155">
        <v>3.8425411667081901</v>
      </c>
      <c r="AJ249" s="155" t="s">
        <v>52</v>
      </c>
      <c r="AK249" s="155" t="s">
        <v>18</v>
      </c>
      <c r="AL249" s="155" t="s">
        <v>28</v>
      </c>
      <c r="AM249" s="155" t="s">
        <v>51</v>
      </c>
      <c r="AN249" s="155" t="s">
        <v>141</v>
      </c>
      <c r="AO249" s="155">
        <v>1.1496922636127707</v>
      </c>
    </row>
    <row r="250" spans="29:41">
      <c r="AC250" s="155" t="s">
        <v>52</v>
      </c>
      <c r="AD250" s="155" t="s">
        <v>18</v>
      </c>
      <c r="AE250" s="155" t="s">
        <v>72</v>
      </c>
      <c r="AF250" s="155" t="s">
        <v>51</v>
      </c>
      <c r="AG250" s="155" t="s">
        <v>142</v>
      </c>
      <c r="AH250" s="155">
        <v>3.812592661796018</v>
      </c>
      <c r="AJ250" s="155" t="s">
        <v>52</v>
      </c>
      <c r="AK250" s="155" t="s">
        <v>18</v>
      </c>
      <c r="AL250" s="155" t="s">
        <v>28</v>
      </c>
      <c r="AM250" s="155" t="s">
        <v>51</v>
      </c>
      <c r="AN250" s="155" t="s">
        <v>142</v>
      </c>
      <c r="AO250" s="155">
        <v>1.1030360980347382</v>
      </c>
    </row>
    <row r="251" spans="29:41">
      <c r="AC251" s="155" t="s">
        <v>52</v>
      </c>
      <c r="AD251" s="155" t="s">
        <v>18</v>
      </c>
      <c r="AE251" s="155" t="s">
        <v>72</v>
      </c>
      <c r="AF251" s="155" t="s">
        <v>51</v>
      </c>
      <c r="AG251" s="155" t="s">
        <v>143</v>
      </c>
      <c r="AH251" s="155">
        <v>3.8425411667081901</v>
      </c>
      <c r="AJ251" s="155" t="s">
        <v>52</v>
      </c>
      <c r="AK251" s="155" t="s">
        <v>18</v>
      </c>
      <c r="AL251" s="155" t="s">
        <v>28</v>
      </c>
      <c r="AM251" s="155" t="s">
        <v>51</v>
      </c>
      <c r="AN251" s="155" t="s">
        <v>143</v>
      </c>
      <c r="AO251" s="155">
        <v>1.1707682281644907</v>
      </c>
    </row>
    <row r="252" spans="29:41">
      <c r="AC252" s="155" t="s">
        <v>52</v>
      </c>
      <c r="AD252" s="155" t="s">
        <v>18</v>
      </c>
      <c r="AE252" s="155" t="s">
        <v>72</v>
      </c>
      <c r="AF252" s="155" t="s">
        <v>51</v>
      </c>
      <c r="AG252" s="155" t="s">
        <v>144</v>
      </c>
      <c r="AH252" s="155">
        <v>3.8425411667081901</v>
      </c>
      <c r="AJ252" s="155" t="s">
        <v>52</v>
      </c>
      <c r="AK252" s="155" t="s">
        <v>18</v>
      </c>
      <c r="AL252" s="155" t="s">
        <v>28</v>
      </c>
      <c r="AM252" s="155" t="s">
        <v>51</v>
      </c>
      <c r="AN252" s="155" t="s">
        <v>144</v>
      </c>
      <c r="AO252" s="155">
        <v>1.1850316887165302</v>
      </c>
    </row>
    <row r="253" spans="29:41">
      <c r="AC253" s="155" t="s">
        <v>52</v>
      </c>
      <c r="AD253" s="155" t="s">
        <v>18</v>
      </c>
      <c r="AE253" s="155" t="s">
        <v>72</v>
      </c>
      <c r="AF253" s="155" t="s">
        <v>51</v>
      </c>
      <c r="AG253" s="155" t="s">
        <v>145</v>
      </c>
      <c r="AH253" s="155">
        <v>3.8124950348616728</v>
      </c>
      <c r="AJ253" s="155" t="s">
        <v>52</v>
      </c>
      <c r="AK253" s="155" t="s">
        <v>18</v>
      </c>
      <c r="AL253" s="155" t="s">
        <v>28</v>
      </c>
      <c r="AM253" s="155" t="s">
        <v>51</v>
      </c>
      <c r="AN253" s="155" t="s">
        <v>145</v>
      </c>
      <c r="AO253" s="155">
        <v>1.2026483193152928</v>
      </c>
    </row>
    <row r="254" spans="29:41">
      <c r="AC254" s="155" t="s">
        <v>52</v>
      </c>
      <c r="AD254" s="155" t="s">
        <v>18</v>
      </c>
      <c r="AE254" s="155" t="s">
        <v>72</v>
      </c>
      <c r="AF254" s="155" t="s">
        <v>51</v>
      </c>
      <c r="AG254" s="155" t="s">
        <v>146</v>
      </c>
      <c r="AH254" s="155">
        <v>3.812592661796018</v>
      </c>
      <c r="AJ254" s="155" t="s">
        <v>52</v>
      </c>
      <c r="AK254" s="155" t="s">
        <v>18</v>
      </c>
      <c r="AL254" s="155" t="s">
        <v>28</v>
      </c>
      <c r="AM254" s="155" t="s">
        <v>51</v>
      </c>
      <c r="AN254" s="155" t="s">
        <v>146</v>
      </c>
      <c r="AO254" s="155">
        <v>1.1484232657506983</v>
      </c>
    </row>
    <row r="255" spans="29:41">
      <c r="AC255" s="155" t="s">
        <v>52</v>
      </c>
      <c r="AD255" s="155" t="s">
        <v>18</v>
      </c>
      <c r="AE255" s="155" t="s">
        <v>72</v>
      </c>
      <c r="AF255" s="155" t="s">
        <v>51</v>
      </c>
      <c r="AG255" s="155" t="s">
        <v>147</v>
      </c>
      <c r="AH255" s="155">
        <v>3.9054628819113248</v>
      </c>
      <c r="AJ255" s="155" t="s">
        <v>52</v>
      </c>
      <c r="AK255" s="155" t="s">
        <v>18</v>
      </c>
      <c r="AL255" s="155" t="s">
        <v>28</v>
      </c>
      <c r="AM255" s="155" t="s">
        <v>51</v>
      </c>
      <c r="AN255" s="155" t="s">
        <v>147</v>
      </c>
      <c r="AO255" s="155">
        <v>1.153463821632825</v>
      </c>
    </row>
    <row r="256" spans="29:41">
      <c r="AC256" s="155" t="s">
        <v>52</v>
      </c>
      <c r="AD256" s="155" t="s">
        <v>18</v>
      </c>
      <c r="AE256" s="155" t="s">
        <v>72</v>
      </c>
      <c r="AF256" s="155" t="s">
        <v>51</v>
      </c>
      <c r="AG256" s="155" t="s">
        <v>148</v>
      </c>
      <c r="AH256" s="155">
        <v>3.8725334437312955</v>
      </c>
      <c r="AJ256" s="155" t="s">
        <v>52</v>
      </c>
      <c r="AK256" s="155" t="s">
        <v>18</v>
      </c>
      <c r="AL256" s="155" t="s">
        <v>28</v>
      </c>
      <c r="AM256" s="155" t="s">
        <v>51</v>
      </c>
      <c r="AN256" s="155" t="s">
        <v>148</v>
      </c>
      <c r="AO256" s="155">
        <v>1.1790501974316359</v>
      </c>
    </row>
    <row r="257" spans="29:41">
      <c r="AC257" s="155" t="s">
        <v>52</v>
      </c>
      <c r="AD257" s="155" t="s">
        <v>18</v>
      </c>
      <c r="AE257" s="155" t="s">
        <v>72</v>
      </c>
      <c r="AF257" s="155" t="s">
        <v>51</v>
      </c>
      <c r="AG257" s="155" t="s">
        <v>149</v>
      </c>
      <c r="AH257" s="155">
        <v>3.8425411667081901</v>
      </c>
      <c r="AJ257" s="155" t="s">
        <v>52</v>
      </c>
      <c r="AK257" s="155" t="s">
        <v>18</v>
      </c>
      <c r="AL257" s="155" t="s">
        <v>28</v>
      </c>
      <c r="AM257" s="155" t="s">
        <v>51</v>
      </c>
      <c r="AN257" s="155" t="s">
        <v>149</v>
      </c>
      <c r="AO257" s="155">
        <v>1.1519197362649205</v>
      </c>
    </row>
    <row r="258" spans="29:41">
      <c r="AC258" s="155" t="s">
        <v>52</v>
      </c>
      <c r="AD258" s="155" t="s">
        <v>18</v>
      </c>
      <c r="AE258" s="155" t="s">
        <v>72</v>
      </c>
      <c r="AF258" s="155" t="s">
        <v>51</v>
      </c>
      <c r="AG258" s="155" t="s">
        <v>150</v>
      </c>
      <c r="AH258" s="155">
        <v>3.812592661796018</v>
      </c>
      <c r="AJ258" s="155" t="s">
        <v>52</v>
      </c>
      <c r="AK258" s="155" t="s">
        <v>18</v>
      </c>
      <c r="AL258" s="155" t="s">
        <v>28</v>
      </c>
      <c r="AM258" s="155" t="s">
        <v>51</v>
      </c>
      <c r="AN258" s="155" t="s">
        <v>150</v>
      </c>
      <c r="AO258" s="155">
        <v>1.1515575005170779</v>
      </c>
    </row>
    <row r="259" spans="29:41">
      <c r="AC259" s="155" t="s">
        <v>52</v>
      </c>
      <c r="AD259" s="155" t="s">
        <v>18</v>
      </c>
      <c r="AE259" s="155" t="s">
        <v>72</v>
      </c>
      <c r="AF259" s="155" t="s">
        <v>51</v>
      </c>
      <c r="AG259" s="155" t="s">
        <v>151</v>
      </c>
      <c r="AH259" s="155">
        <v>3.7493301282064344</v>
      </c>
      <c r="AJ259" s="155" t="s">
        <v>52</v>
      </c>
      <c r="AK259" s="155" t="s">
        <v>18</v>
      </c>
      <c r="AL259" s="155" t="s">
        <v>28</v>
      </c>
      <c r="AM259" s="155" t="s">
        <v>51</v>
      </c>
      <c r="AN259" s="155" t="s">
        <v>151</v>
      </c>
      <c r="AO259" s="155">
        <v>1.1500643528161443</v>
      </c>
    </row>
    <row r="260" spans="29:41">
      <c r="AC260" s="155" t="s">
        <v>52</v>
      </c>
      <c r="AD260" s="155" t="s">
        <v>18</v>
      </c>
      <c r="AE260" s="155" t="s">
        <v>72</v>
      </c>
      <c r="AF260" s="155" t="s">
        <v>51</v>
      </c>
      <c r="AG260" s="155" t="s">
        <v>152</v>
      </c>
      <c r="AH260" s="155">
        <v>3.7794849694083221</v>
      </c>
      <c r="AJ260" s="155" t="s">
        <v>52</v>
      </c>
      <c r="AK260" s="155" t="s">
        <v>18</v>
      </c>
      <c r="AL260" s="155" t="s">
        <v>28</v>
      </c>
      <c r="AM260" s="155" t="s">
        <v>51</v>
      </c>
      <c r="AN260" s="155" t="s">
        <v>152</v>
      </c>
      <c r="AO260" s="155">
        <v>1.128202301407712</v>
      </c>
    </row>
    <row r="261" spans="29:41">
      <c r="AC261" s="155" t="s">
        <v>52</v>
      </c>
      <c r="AD261" s="155" t="s">
        <v>18</v>
      </c>
      <c r="AE261" s="155" t="s">
        <v>72</v>
      </c>
      <c r="AF261" s="155" t="s">
        <v>51</v>
      </c>
      <c r="AG261" s="155" t="s">
        <v>153</v>
      </c>
      <c r="AH261" s="155">
        <v>3.7493301282064344</v>
      </c>
      <c r="AJ261" s="155" t="s">
        <v>52</v>
      </c>
      <c r="AK261" s="155" t="s">
        <v>18</v>
      </c>
      <c r="AL261" s="155" t="s">
        <v>28</v>
      </c>
      <c r="AM261" s="155" t="s">
        <v>51</v>
      </c>
      <c r="AN261" s="155" t="s">
        <v>153</v>
      </c>
      <c r="AO261" s="155">
        <v>1.1584417066706245</v>
      </c>
    </row>
    <row r="262" spans="29:41">
      <c r="AC262" s="155" t="s">
        <v>52</v>
      </c>
      <c r="AD262" s="155" t="s">
        <v>18</v>
      </c>
      <c r="AE262" s="155" t="s">
        <v>72</v>
      </c>
      <c r="AF262" s="155" t="s">
        <v>51</v>
      </c>
      <c r="AG262" s="155" t="s">
        <v>154</v>
      </c>
      <c r="AH262" s="155">
        <v>3.812592661796018</v>
      </c>
      <c r="AJ262" s="155" t="s">
        <v>52</v>
      </c>
      <c r="AK262" s="155" t="s">
        <v>18</v>
      </c>
      <c r="AL262" s="155" t="s">
        <v>28</v>
      </c>
      <c r="AM262" s="155" t="s">
        <v>51</v>
      </c>
      <c r="AN262" s="155" t="s">
        <v>154</v>
      </c>
      <c r="AO262" s="155">
        <v>1.1786755580554982</v>
      </c>
    </row>
    <row r="263" spans="29:41">
      <c r="AC263" s="155" t="s">
        <v>52</v>
      </c>
      <c r="AD263" s="155" t="s">
        <v>18</v>
      </c>
      <c r="AE263" s="155" t="s">
        <v>72</v>
      </c>
      <c r="AF263" s="155" t="s">
        <v>51</v>
      </c>
      <c r="AG263" s="155" t="s">
        <v>155</v>
      </c>
      <c r="AH263" s="155">
        <v>3.8425411667081901</v>
      </c>
      <c r="AJ263" s="155" t="s">
        <v>52</v>
      </c>
      <c r="AK263" s="155" t="s">
        <v>18</v>
      </c>
      <c r="AL263" s="155" t="s">
        <v>28</v>
      </c>
      <c r="AM263" s="155" t="s">
        <v>51</v>
      </c>
      <c r="AN263" s="155" t="s">
        <v>155</v>
      </c>
      <c r="AO263" s="155">
        <v>1.2137587078296703</v>
      </c>
    </row>
    <row r="264" spans="29:41">
      <c r="AC264" s="155" t="s">
        <v>52</v>
      </c>
      <c r="AD264" s="155" t="s">
        <v>18</v>
      </c>
      <c r="AE264" s="155" t="s">
        <v>72</v>
      </c>
      <c r="AF264" s="155" t="s">
        <v>51</v>
      </c>
      <c r="AG264" s="155" t="s">
        <v>156</v>
      </c>
      <c r="AH264" s="155">
        <v>3.8124950348616728</v>
      </c>
      <c r="AJ264" s="155" t="s">
        <v>52</v>
      </c>
      <c r="AK264" s="155" t="s">
        <v>18</v>
      </c>
      <c r="AL264" s="155" t="s">
        <v>28</v>
      </c>
      <c r="AM264" s="155" t="s">
        <v>51</v>
      </c>
      <c r="AN264" s="155" t="s">
        <v>156</v>
      </c>
      <c r="AO264" s="155">
        <v>1.1921735232104831</v>
      </c>
    </row>
    <row r="265" spans="29:41">
      <c r="AC265" s="155" t="s">
        <v>52</v>
      </c>
      <c r="AD265" s="155" t="s">
        <v>18</v>
      </c>
      <c r="AE265" s="155" t="s">
        <v>72</v>
      </c>
      <c r="AF265" s="155" t="s">
        <v>51</v>
      </c>
      <c r="AG265" s="155" t="s">
        <v>157</v>
      </c>
      <c r="AH265" s="155">
        <v>3.812592661796018</v>
      </c>
      <c r="AJ265" s="155" t="s">
        <v>52</v>
      </c>
      <c r="AK265" s="155" t="s">
        <v>18</v>
      </c>
      <c r="AL265" s="155" t="s">
        <v>28</v>
      </c>
      <c r="AM265" s="155" t="s">
        <v>51</v>
      </c>
      <c r="AN265" s="155" t="s">
        <v>157</v>
      </c>
      <c r="AO265" s="155">
        <v>1.164934383367918</v>
      </c>
    </row>
    <row r="266" spans="29:41">
      <c r="AC266" s="155" t="s">
        <v>52</v>
      </c>
      <c r="AD266" s="155" t="s">
        <v>18</v>
      </c>
      <c r="AE266" s="155" t="s">
        <v>72</v>
      </c>
      <c r="AF266" s="155" t="s">
        <v>51</v>
      </c>
      <c r="AG266" s="155" t="s">
        <v>158</v>
      </c>
      <c r="AH266" s="155">
        <v>3.8124950348616728</v>
      </c>
      <c r="AJ266" s="155" t="s">
        <v>52</v>
      </c>
      <c r="AK266" s="155" t="s">
        <v>18</v>
      </c>
      <c r="AL266" s="155" t="s">
        <v>28</v>
      </c>
      <c r="AM266" s="155" t="s">
        <v>51</v>
      </c>
      <c r="AN266" s="155" t="s">
        <v>158</v>
      </c>
      <c r="AO266" s="155">
        <v>1.1451004723297626</v>
      </c>
    </row>
    <row r="267" spans="29:41">
      <c r="AC267" s="155" t="s">
        <v>52</v>
      </c>
      <c r="AD267" s="155" t="s">
        <v>18</v>
      </c>
      <c r="AE267" s="155" t="s">
        <v>72</v>
      </c>
      <c r="AF267" s="155" t="s">
        <v>51</v>
      </c>
      <c r="AG267" s="155" t="s">
        <v>159</v>
      </c>
      <c r="AH267" s="155">
        <v>3.8425411667081901</v>
      </c>
      <c r="AJ267" s="155" t="s">
        <v>52</v>
      </c>
      <c r="AK267" s="155" t="s">
        <v>18</v>
      </c>
      <c r="AL267" s="155" t="s">
        <v>28</v>
      </c>
      <c r="AM267" s="155" t="s">
        <v>51</v>
      </c>
      <c r="AN267" s="155" t="s">
        <v>159</v>
      </c>
      <c r="AO267" s="155">
        <v>1.2012007162912803</v>
      </c>
    </row>
    <row r="268" spans="29:41">
      <c r="AC268" s="155" t="s">
        <v>52</v>
      </c>
      <c r="AD268" s="155" t="s">
        <v>18</v>
      </c>
      <c r="AE268" s="155" t="s">
        <v>72</v>
      </c>
      <c r="AF268" s="155" t="s">
        <v>51</v>
      </c>
      <c r="AG268" s="155" t="s">
        <v>160</v>
      </c>
      <c r="AH268" s="155">
        <v>3.7794849694083221</v>
      </c>
      <c r="AJ268" s="155" t="s">
        <v>52</v>
      </c>
      <c r="AK268" s="155" t="s">
        <v>18</v>
      </c>
      <c r="AL268" s="155" t="s">
        <v>28</v>
      </c>
      <c r="AM268" s="155" t="s">
        <v>51</v>
      </c>
      <c r="AN268" s="155" t="s">
        <v>160</v>
      </c>
      <c r="AO268" s="155">
        <v>1.182626202146932</v>
      </c>
    </row>
    <row r="269" spans="29:41">
      <c r="AC269" s="155" t="s">
        <v>52</v>
      </c>
      <c r="AD269" s="155" t="s">
        <v>18</v>
      </c>
      <c r="AE269" s="155" t="s">
        <v>72</v>
      </c>
      <c r="AF269" s="155" t="s">
        <v>51</v>
      </c>
      <c r="AG269" s="155" t="s">
        <v>161</v>
      </c>
      <c r="AH269" s="155">
        <v>3.812592661796018</v>
      </c>
      <c r="AJ269" s="155" t="s">
        <v>52</v>
      </c>
      <c r="AK269" s="155" t="s">
        <v>18</v>
      </c>
      <c r="AL269" s="155" t="s">
        <v>28</v>
      </c>
      <c r="AM269" s="155" t="s">
        <v>51</v>
      </c>
      <c r="AN269" s="155" t="s">
        <v>161</v>
      </c>
      <c r="AO269" s="155">
        <v>1.2278990772262279</v>
      </c>
    </row>
    <row r="270" spans="29:41">
      <c r="AC270" s="155" t="s">
        <v>52</v>
      </c>
      <c r="AD270" s="155" t="s">
        <v>18</v>
      </c>
      <c r="AE270" s="155" t="s">
        <v>72</v>
      </c>
      <c r="AF270" s="155" t="s">
        <v>51</v>
      </c>
      <c r="AG270" s="155" t="s">
        <v>162</v>
      </c>
      <c r="AH270" s="155">
        <v>3.812592661796018</v>
      </c>
      <c r="AJ270" s="155" t="s">
        <v>52</v>
      </c>
      <c r="AK270" s="155" t="s">
        <v>18</v>
      </c>
      <c r="AL270" s="155" t="s">
        <v>28</v>
      </c>
      <c r="AM270" s="155" t="s">
        <v>51</v>
      </c>
      <c r="AN270" s="155" t="s">
        <v>162</v>
      </c>
      <c r="AO270" s="155">
        <v>1.2366897199972682</v>
      </c>
    </row>
    <row r="271" spans="29:41">
      <c r="AC271" s="155" t="s">
        <v>52</v>
      </c>
      <c r="AD271" s="155" t="s">
        <v>18</v>
      </c>
      <c r="AE271" s="155" t="s">
        <v>72</v>
      </c>
      <c r="AF271" s="155" t="s">
        <v>51</v>
      </c>
      <c r="AG271" s="155" t="s">
        <v>163</v>
      </c>
      <c r="AH271" s="155">
        <v>3.812592661796018</v>
      </c>
      <c r="AJ271" s="155" t="s">
        <v>52</v>
      </c>
      <c r="AK271" s="155" t="s">
        <v>18</v>
      </c>
      <c r="AL271" s="155" t="s">
        <v>28</v>
      </c>
      <c r="AM271" s="155" t="s">
        <v>51</v>
      </c>
      <c r="AN271" s="155" t="s">
        <v>163</v>
      </c>
      <c r="AO271" s="155">
        <v>1.245472241338248</v>
      </c>
    </row>
    <row r="272" spans="29:41">
      <c r="AC272" s="155" t="s">
        <v>52</v>
      </c>
      <c r="AD272" s="155" t="s">
        <v>18</v>
      </c>
      <c r="AE272" s="155" t="s">
        <v>72</v>
      </c>
      <c r="AF272" s="155" t="s">
        <v>51</v>
      </c>
      <c r="AG272" s="155" t="s">
        <v>164</v>
      </c>
      <c r="AH272" s="155">
        <v>3.7794849694083221</v>
      </c>
      <c r="AJ272" s="155" t="s">
        <v>52</v>
      </c>
      <c r="AK272" s="155" t="s">
        <v>18</v>
      </c>
      <c r="AL272" s="155" t="s">
        <v>28</v>
      </c>
      <c r="AM272" s="155" t="s">
        <v>51</v>
      </c>
      <c r="AN272" s="155" t="s">
        <v>164</v>
      </c>
      <c r="AO272" s="155">
        <v>1.1808957523380619</v>
      </c>
    </row>
    <row r="273" spans="29:41">
      <c r="AC273" s="155" t="s">
        <v>52</v>
      </c>
      <c r="AD273" s="155" t="s">
        <v>18</v>
      </c>
      <c r="AE273" s="155" t="s">
        <v>72</v>
      </c>
      <c r="AF273" s="155" t="s">
        <v>51</v>
      </c>
      <c r="AG273" s="155" t="s">
        <v>165</v>
      </c>
      <c r="AH273" s="155">
        <v>3.7794849694083221</v>
      </c>
      <c r="AJ273" s="155" t="s">
        <v>52</v>
      </c>
      <c r="AK273" s="155" t="s">
        <v>18</v>
      </c>
      <c r="AL273" s="155" t="s">
        <v>28</v>
      </c>
      <c r="AM273" s="155" t="s">
        <v>51</v>
      </c>
      <c r="AN273" s="155" t="s">
        <v>165</v>
      </c>
      <c r="AO273" s="155">
        <v>1.1569638893232519</v>
      </c>
    </row>
    <row r="274" spans="29:41">
      <c r="AC274" s="155" t="s">
        <v>52</v>
      </c>
      <c r="AD274" s="155" t="s">
        <v>18</v>
      </c>
      <c r="AE274" s="155" t="s">
        <v>72</v>
      </c>
      <c r="AF274" s="155" t="s">
        <v>51</v>
      </c>
      <c r="AG274" s="155" t="s">
        <v>166</v>
      </c>
      <c r="AH274" s="155">
        <v>3.812592661796018</v>
      </c>
      <c r="AJ274" s="155" t="s">
        <v>52</v>
      </c>
      <c r="AK274" s="155" t="s">
        <v>18</v>
      </c>
      <c r="AL274" s="155" t="s">
        <v>28</v>
      </c>
      <c r="AM274" s="155" t="s">
        <v>51</v>
      </c>
      <c r="AN274" s="155" t="s">
        <v>166</v>
      </c>
      <c r="AO274" s="155">
        <v>1.1372662480492881</v>
      </c>
    </row>
    <row r="275" spans="29:41">
      <c r="AC275" s="155" t="s">
        <v>52</v>
      </c>
      <c r="AD275" s="155" t="s">
        <v>18</v>
      </c>
      <c r="AE275" s="155" t="s">
        <v>72</v>
      </c>
      <c r="AF275" s="155" t="s">
        <v>51</v>
      </c>
      <c r="AG275" s="155" t="s">
        <v>167</v>
      </c>
      <c r="AH275" s="155">
        <v>3.8425411667081901</v>
      </c>
      <c r="AJ275" s="155" t="s">
        <v>52</v>
      </c>
      <c r="AK275" s="155" t="s">
        <v>18</v>
      </c>
      <c r="AL275" s="155" t="s">
        <v>28</v>
      </c>
      <c r="AM275" s="155" t="s">
        <v>51</v>
      </c>
      <c r="AN275" s="155" t="s">
        <v>167</v>
      </c>
      <c r="AO275" s="155">
        <v>1.18625358517885</v>
      </c>
    </row>
    <row r="276" spans="29:41">
      <c r="AC276" s="155" t="s">
        <v>52</v>
      </c>
      <c r="AD276" s="155" t="s">
        <v>18</v>
      </c>
      <c r="AE276" s="155" t="s">
        <v>72</v>
      </c>
      <c r="AF276" s="155" t="s">
        <v>51</v>
      </c>
      <c r="AG276" s="155" t="s">
        <v>168</v>
      </c>
      <c r="AH276" s="155">
        <v>3.8425411667081901</v>
      </c>
      <c r="AJ276" s="155" t="s">
        <v>52</v>
      </c>
      <c r="AK276" s="155" t="s">
        <v>18</v>
      </c>
      <c r="AL276" s="155" t="s">
        <v>28</v>
      </c>
      <c r="AM276" s="155" t="s">
        <v>51</v>
      </c>
      <c r="AN276" s="155" t="s">
        <v>168</v>
      </c>
      <c r="AO276" s="155">
        <v>1.2129819489389504</v>
      </c>
    </row>
    <row r="277" spans="29:41">
      <c r="AC277" s="155" t="s">
        <v>52</v>
      </c>
      <c r="AD277" s="155" t="s">
        <v>18</v>
      </c>
      <c r="AE277" s="155" t="s">
        <v>72</v>
      </c>
      <c r="AF277" s="155" t="s">
        <v>51</v>
      </c>
      <c r="AG277" s="155" t="s">
        <v>169</v>
      </c>
      <c r="AH277" s="155">
        <v>3.8124950348616728</v>
      </c>
      <c r="AJ277" s="155" t="s">
        <v>52</v>
      </c>
      <c r="AK277" s="155" t="s">
        <v>18</v>
      </c>
      <c r="AL277" s="155" t="s">
        <v>28</v>
      </c>
      <c r="AM277" s="155" t="s">
        <v>51</v>
      </c>
      <c r="AN277" s="155" t="s">
        <v>169</v>
      </c>
      <c r="AO277" s="155">
        <v>1.1687611844429833</v>
      </c>
    </row>
    <row r="278" spans="29:41">
      <c r="AC278" s="155" t="s">
        <v>52</v>
      </c>
      <c r="AD278" s="155" t="s">
        <v>18</v>
      </c>
      <c r="AE278" s="155" t="s">
        <v>72</v>
      </c>
      <c r="AF278" s="155" t="s">
        <v>51</v>
      </c>
      <c r="AG278" s="155" t="s">
        <v>170</v>
      </c>
      <c r="AH278" s="155">
        <v>3.8425411667081901</v>
      </c>
      <c r="AJ278" s="155" t="s">
        <v>52</v>
      </c>
      <c r="AK278" s="155" t="s">
        <v>18</v>
      </c>
      <c r="AL278" s="155" t="s">
        <v>28</v>
      </c>
      <c r="AM278" s="155" t="s">
        <v>51</v>
      </c>
      <c r="AN278" s="155" t="s">
        <v>170</v>
      </c>
      <c r="AO278" s="155">
        <v>1.14339971207764</v>
      </c>
    </row>
    <row r="279" spans="29:41">
      <c r="AC279" s="155" t="s">
        <v>52</v>
      </c>
      <c r="AD279" s="155" t="s">
        <v>18</v>
      </c>
      <c r="AE279" s="155" t="s">
        <v>72</v>
      </c>
      <c r="AF279" s="155" t="s">
        <v>51</v>
      </c>
      <c r="AG279" s="155" t="s">
        <v>171</v>
      </c>
      <c r="AH279" s="155">
        <v>3.9062558298878747</v>
      </c>
      <c r="AJ279" s="155" t="s">
        <v>52</v>
      </c>
      <c r="AK279" s="155" t="s">
        <v>18</v>
      </c>
      <c r="AL279" s="155" t="s">
        <v>28</v>
      </c>
      <c r="AM279" s="155" t="s">
        <v>51</v>
      </c>
      <c r="AN279" s="155" t="s">
        <v>171</v>
      </c>
      <c r="AO279" s="155">
        <v>1.1595099583305548</v>
      </c>
    </row>
    <row r="280" spans="29:41">
      <c r="AC280" s="155" t="s">
        <v>52</v>
      </c>
      <c r="AD280" s="155" t="s">
        <v>18</v>
      </c>
      <c r="AE280" s="155" t="s">
        <v>72</v>
      </c>
      <c r="AF280" s="155" t="s">
        <v>51</v>
      </c>
      <c r="AG280" s="155" t="s">
        <v>172</v>
      </c>
      <c r="AH280" s="155">
        <v>3.9353424338077225</v>
      </c>
      <c r="AJ280" s="155" t="s">
        <v>52</v>
      </c>
      <c r="AK280" s="155" t="s">
        <v>18</v>
      </c>
      <c r="AL280" s="155" t="s">
        <v>28</v>
      </c>
      <c r="AM280" s="155" t="s">
        <v>51</v>
      </c>
      <c r="AN280" s="155" t="s">
        <v>172</v>
      </c>
      <c r="AO280" s="155">
        <v>1.1873277108407725</v>
      </c>
    </row>
    <row r="281" spans="29:41">
      <c r="AC281" s="155" t="s">
        <v>52</v>
      </c>
      <c r="AD281" s="155" t="s">
        <v>18</v>
      </c>
      <c r="AE281" s="155" t="s">
        <v>72</v>
      </c>
      <c r="AF281" s="155" t="s">
        <v>51</v>
      </c>
      <c r="AG281" s="155" t="s">
        <v>173</v>
      </c>
      <c r="AH281" s="155">
        <v>3.9353424338077225</v>
      </c>
      <c r="AJ281" s="155" t="s">
        <v>52</v>
      </c>
      <c r="AK281" s="155" t="s">
        <v>18</v>
      </c>
      <c r="AL281" s="155" t="s">
        <v>28</v>
      </c>
      <c r="AM281" s="155" t="s">
        <v>51</v>
      </c>
      <c r="AN281" s="155" t="s">
        <v>173</v>
      </c>
      <c r="AO281" s="155">
        <v>1.1289325267435621</v>
      </c>
    </row>
    <row r="282" spans="29:41">
      <c r="AC282" s="155" t="s">
        <v>52</v>
      </c>
      <c r="AD282" s="155" t="s">
        <v>18</v>
      </c>
      <c r="AE282" s="155" t="s">
        <v>72</v>
      </c>
      <c r="AF282" s="155" t="s">
        <v>51</v>
      </c>
      <c r="AG282" s="155" t="s">
        <v>174</v>
      </c>
      <c r="AH282" s="155">
        <v>3.968948344733974</v>
      </c>
      <c r="AJ282" s="155" t="s">
        <v>52</v>
      </c>
      <c r="AK282" s="155" t="s">
        <v>18</v>
      </c>
      <c r="AL282" s="155" t="s">
        <v>28</v>
      </c>
      <c r="AM282" s="155" t="s">
        <v>51</v>
      </c>
      <c r="AN282" s="155" t="s">
        <v>174</v>
      </c>
      <c r="AO282" s="155">
        <v>1.1272723391193236</v>
      </c>
    </row>
    <row r="283" spans="29:41">
      <c r="AC283" s="155" t="s">
        <v>52</v>
      </c>
      <c r="AD283" s="155" t="s">
        <v>18</v>
      </c>
      <c r="AE283" s="155" t="s">
        <v>72</v>
      </c>
      <c r="AF283" s="155" t="s">
        <v>51</v>
      </c>
      <c r="AG283" s="155" t="s">
        <v>175</v>
      </c>
      <c r="AH283" s="155">
        <v>4.0610656170015185</v>
      </c>
      <c r="AJ283" s="155" t="s">
        <v>52</v>
      </c>
      <c r="AK283" s="155" t="s">
        <v>18</v>
      </c>
      <c r="AL283" s="155" t="s">
        <v>28</v>
      </c>
      <c r="AM283" s="155" t="s">
        <v>51</v>
      </c>
      <c r="AN283" s="155" t="s">
        <v>175</v>
      </c>
      <c r="AO283" s="155">
        <v>1.1854171415668284</v>
      </c>
    </row>
    <row r="284" spans="29:41">
      <c r="AC284" s="155" t="s">
        <v>52</v>
      </c>
      <c r="AD284" s="155" t="s">
        <v>18</v>
      </c>
      <c r="AE284" s="155" t="s">
        <v>72</v>
      </c>
      <c r="AF284" s="155" t="s">
        <v>51</v>
      </c>
      <c r="AG284" s="155" t="s">
        <v>176</v>
      </c>
      <c r="AH284" s="155">
        <v>4.0610656170015185</v>
      </c>
      <c r="AJ284" s="155" t="s">
        <v>52</v>
      </c>
      <c r="AK284" s="155" t="s">
        <v>18</v>
      </c>
      <c r="AL284" s="155" t="s">
        <v>28</v>
      </c>
      <c r="AM284" s="155" t="s">
        <v>51</v>
      </c>
      <c r="AN284" s="155" t="s">
        <v>176</v>
      </c>
      <c r="AO284" s="155">
        <v>1.1417604200449385</v>
      </c>
    </row>
    <row r="285" spans="29:41">
      <c r="AC285" s="155" t="s">
        <v>52</v>
      </c>
      <c r="AD285" s="155" t="s">
        <v>18</v>
      </c>
      <c r="AE285" s="155" t="s">
        <v>72</v>
      </c>
      <c r="AF285" s="155" t="s">
        <v>51</v>
      </c>
      <c r="AG285" s="155" t="s">
        <v>177</v>
      </c>
      <c r="AH285" s="155">
        <v>4.0284371983798186</v>
      </c>
      <c r="AJ285" s="155" t="s">
        <v>52</v>
      </c>
      <c r="AK285" s="155" t="s">
        <v>18</v>
      </c>
      <c r="AL285" s="155" t="s">
        <v>28</v>
      </c>
      <c r="AM285" s="155" t="s">
        <v>51</v>
      </c>
      <c r="AN285" s="155" t="s">
        <v>177</v>
      </c>
      <c r="AO285" s="155">
        <v>1.1666592303356988</v>
      </c>
    </row>
    <row r="286" spans="29:41">
      <c r="AC286" s="155" t="s">
        <v>52</v>
      </c>
      <c r="AD286" s="155" t="s">
        <v>18</v>
      </c>
      <c r="AE286" s="155" t="s">
        <v>72</v>
      </c>
      <c r="AF286" s="155" t="s">
        <v>51</v>
      </c>
      <c r="AG286" s="155" t="s">
        <v>178</v>
      </c>
      <c r="AH286" s="155">
        <v>3.9361387568601574</v>
      </c>
      <c r="AJ286" s="155" t="s">
        <v>52</v>
      </c>
      <c r="AK286" s="155" t="s">
        <v>18</v>
      </c>
      <c r="AL286" s="155" t="s">
        <v>28</v>
      </c>
      <c r="AM286" s="155" t="s">
        <v>51</v>
      </c>
      <c r="AN286" s="155" t="s">
        <v>178</v>
      </c>
      <c r="AO286" s="155">
        <v>1.1260310636068873</v>
      </c>
    </row>
    <row r="287" spans="29:41">
      <c r="AC287" s="155" t="s">
        <v>52</v>
      </c>
      <c r="AD287" s="155" t="s">
        <v>18</v>
      </c>
      <c r="AE287" s="155" t="s">
        <v>72</v>
      </c>
      <c r="AF287" s="155" t="s">
        <v>51</v>
      </c>
      <c r="AG287" s="155" t="s">
        <v>179</v>
      </c>
      <c r="AH287" s="155">
        <v>3.9987193359155064</v>
      </c>
      <c r="AJ287" s="155" t="s">
        <v>52</v>
      </c>
      <c r="AK287" s="155" t="s">
        <v>18</v>
      </c>
      <c r="AL287" s="155" t="s">
        <v>28</v>
      </c>
      <c r="AM287" s="155" t="s">
        <v>51</v>
      </c>
      <c r="AN287" s="155" t="s">
        <v>179</v>
      </c>
      <c r="AO287" s="155">
        <v>1.0787377454870266</v>
      </c>
    </row>
    <row r="288" spans="29:41">
      <c r="AC288" s="155" t="s">
        <v>52</v>
      </c>
      <c r="AD288" s="155" t="s">
        <v>18</v>
      </c>
      <c r="AE288" s="155" t="s">
        <v>72</v>
      </c>
      <c r="AF288" s="155" t="s">
        <v>51</v>
      </c>
      <c r="AG288" s="155" t="s">
        <v>180</v>
      </c>
      <c r="AH288" s="155">
        <v>4.0284371983798186</v>
      </c>
      <c r="AJ288" s="155" t="s">
        <v>52</v>
      </c>
      <c r="AK288" s="155" t="s">
        <v>18</v>
      </c>
      <c r="AL288" s="155" t="s">
        <v>28</v>
      </c>
      <c r="AM288" s="155" t="s">
        <v>51</v>
      </c>
      <c r="AN288" s="155" t="s">
        <v>180</v>
      </c>
      <c r="AO288" s="155">
        <v>1.0921474532674187</v>
      </c>
    </row>
    <row r="289" spans="29:41">
      <c r="AC289" s="155" t="s">
        <v>52</v>
      </c>
      <c r="AD289" s="155" t="s">
        <v>18</v>
      </c>
      <c r="AE289" s="155" t="s">
        <v>72</v>
      </c>
      <c r="AF289" s="155" t="s">
        <v>51</v>
      </c>
      <c r="AG289" s="155" t="s">
        <v>181</v>
      </c>
      <c r="AH289" s="155">
        <v>4.0610656170015185</v>
      </c>
      <c r="AJ289" s="155" t="s">
        <v>52</v>
      </c>
      <c r="AK289" s="155" t="s">
        <v>18</v>
      </c>
      <c r="AL289" s="155" t="s">
        <v>28</v>
      </c>
      <c r="AM289" s="155" t="s">
        <v>51</v>
      </c>
      <c r="AN289" s="155" t="s">
        <v>181</v>
      </c>
      <c r="AO289" s="155">
        <v>1.1024563517281987</v>
      </c>
    </row>
    <row r="290" spans="29:41">
      <c r="AC290" s="155" t="s">
        <v>52</v>
      </c>
      <c r="AD290" s="155" t="s">
        <v>18</v>
      </c>
      <c r="AE290" s="155" t="s">
        <v>72</v>
      </c>
      <c r="AF290" s="155" t="s">
        <v>51</v>
      </c>
      <c r="AG290" s="155" t="s">
        <v>182</v>
      </c>
      <c r="AH290" s="155">
        <v>4.0301218665618999</v>
      </c>
      <c r="AJ290" s="155" t="s">
        <v>52</v>
      </c>
      <c r="AK290" s="155" t="s">
        <v>18</v>
      </c>
      <c r="AL290" s="155" t="s">
        <v>28</v>
      </c>
      <c r="AM290" s="155" t="s">
        <v>51</v>
      </c>
      <c r="AN290" s="155" t="s">
        <v>182</v>
      </c>
      <c r="AO290" s="155">
        <v>1.1232313177685398</v>
      </c>
    </row>
    <row r="291" spans="29:41">
      <c r="AC291" s="155" t="s">
        <v>52</v>
      </c>
      <c r="AD291" s="155" t="s">
        <v>18</v>
      </c>
      <c r="AE291" s="155" t="s">
        <v>72</v>
      </c>
      <c r="AF291" s="155" t="s">
        <v>51</v>
      </c>
      <c r="AG291" s="155" t="s">
        <v>183</v>
      </c>
      <c r="AH291" s="155">
        <v>4.0284371983798186</v>
      </c>
      <c r="AJ291" s="155" t="s">
        <v>52</v>
      </c>
      <c r="AK291" s="155" t="s">
        <v>18</v>
      </c>
      <c r="AL291" s="155" t="s">
        <v>28</v>
      </c>
      <c r="AM291" s="155" t="s">
        <v>51</v>
      </c>
      <c r="AN291" s="155" t="s">
        <v>183</v>
      </c>
      <c r="AO291" s="155">
        <v>1.2021204993395886</v>
      </c>
    </row>
    <row r="292" spans="29:41">
      <c r="AC292" s="155" t="s">
        <v>52</v>
      </c>
      <c r="AD292" s="155" t="s">
        <v>18</v>
      </c>
      <c r="AE292" s="155" t="s">
        <v>72</v>
      </c>
      <c r="AF292" s="155" t="s">
        <v>51</v>
      </c>
      <c r="AG292" s="155" t="s">
        <v>184</v>
      </c>
      <c r="AH292" s="155">
        <v>3.9987193359155064</v>
      </c>
      <c r="AJ292" s="155" t="s">
        <v>52</v>
      </c>
      <c r="AK292" s="155" t="s">
        <v>18</v>
      </c>
      <c r="AL292" s="155" t="s">
        <v>28</v>
      </c>
      <c r="AM292" s="155" t="s">
        <v>51</v>
      </c>
      <c r="AN292" s="155" t="s">
        <v>184</v>
      </c>
      <c r="AO292" s="155">
        <v>1.1090394051208565</v>
      </c>
    </row>
    <row r="293" spans="29:41">
      <c r="AC293" s="155" t="s">
        <v>52</v>
      </c>
      <c r="AD293" s="155" t="s">
        <v>18</v>
      </c>
      <c r="AE293" s="155" t="s">
        <v>72</v>
      </c>
      <c r="AF293" s="155" t="s">
        <v>51</v>
      </c>
      <c r="AG293" s="155" t="s">
        <v>185</v>
      </c>
      <c r="AH293" s="155">
        <v>4.0936300339223344</v>
      </c>
      <c r="AJ293" s="155" t="s">
        <v>52</v>
      </c>
      <c r="AK293" s="155" t="s">
        <v>18</v>
      </c>
      <c r="AL293" s="155" t="s">
        <v>28</v>
      </c>
      <c r="AM293" s="155" t="s">
        <v>51</v>
      </c>
      <c r="AN293" s="155" t="s">
        <v>185</v>
      </c>
      <c r="AO293" s="155">
        <v>1.1721816785436447</v>
      </c>
    </row>
    <row r="294" spans="29:41">
      <c r="AC294" s="155" t="s">
        <v>52</v>
      </c>
      <c r="AD294" s="155" t="s">
        <v>18</v>
      </c>
      <c r="AE294" s="155" t="s">
        <v>72</v>
      </c>
      <c r="AF294" s="155" t="s">
        <v>51</v>
      </c>
      <c r="AG294" s="155" t="s">
        <v>186</v>
      </c>
      <c r="AH294" s="155">
        <v>4.0936300339223344</v>
      </c>
      <c r="AJ294" s="155" t="s">
        <v>52</v>
      </c>
      <c r="AK294" s="155" t="s">
        <v>18</v>
      </c>
      <c r="AL294" s="155" t="s">
        <v>28</v>
      </c>
      <c r="AM294" s="155" t="s">
        <v>51</v>
      </c>
      <c r="AN294" s="155" t="s">
        <v>186</v>
      </c>
      <c r="AO294" s="155">
        <v>1.1833677074112747</v>
      </c>
    </row>
    <row r="295" spans="29:41">
      <c r="AC295" s="155" t="s">
        <v>52</v>
      </c>
      <c r="AD295" s="155" t="s">
        <v>18</v>
      </c>
      <c r="AE295" s="155" t="s">
        <v>72</v>
      </c>
      <c r="AF295" s="155" t="s">
        <v>51</v>
      </c>
      <c r="AG295" s="155" t="s">
        <v>187</v>
      </c>
      <c r="AH295" s="155">
        <v>3.9987193359155064</v>
      </c>
      <c r="AJ295" s="155" t="s">
        <v>52</v>
      </c>
      <c r="AK295" s="155" t="s">
        <v>18</v>
      </c>
      <c r="AL295" s="155" t="s">
        <v>28</v>
      </c>
      <c r="AM295" s="155" t="s">
        <v>51</v>
      </c>
      <c r="AN295" s="155" t="s">
        <v>187</v>
      </c>
      <c r="AO295" s="155">
        <v>1.1387432923308964</v>
      </c>
    </row>
    <row r="296" spans="29:41">
      <c r="AC296" s="155" t="s">
        <v>52</v>
      </c>
      <c r="AD296" s="155" t="s">
        <v>18</v>
      </c>
      <c r="AE296" s="155" t="s">
        <v>72</v>
      </c>
      <c r="AF296" s="155" t="s">
        <v>51</v>
      </c>
      <c r="AG296" s="155" t="s">
        <v>188</v>
      </c>
      <c r="AH296" s="155">
        <v>4.0936300339223344</v>
      </c>
      <c r="AJ296" s="155" t="s">
        <v>52</v>
      </c>
      <c r="AK296" s="155" t="s">
        <v>18</v>
      </c>
      <c r="AL296" s="155" t="s">
        <v>28</v>
      </c>
      <c r="AM296" s="155" t="s">
        <v>51</v>
      </c>
      <c r="AN296" s="155" t="s">
        <v>188</v>
      </c>
      <c r="AO296" s="155">
        <v>1.2021090180919645</v>
      </c>
    </row>
    <row r="297" spans="29:41">
      <c r="AC297" s="155" t="s">
        <v>52</v>
      </c>
      <c r="AD297" s="155" t="s">
        <v>18</v>
      </c>
      <c r="AE297" s="155" t="s">
        <v>72</v>
      </c>
      <c r="AF297" s="155" t="s">
        <v>51</v>
      </c>
      <c r="AG297" s="155" t="s">
        <v>189</v>
      </c>
      <c r="AH297" s="155">
        <v>4.0284371983798186</v>
      </c>
      <c r="AJ297" s="155" t="s">
        <v>52</v>
      </c>
      <c r="AK297" s="155" t="s">
        <v>18</v>
      </c>
      <c r="AL297" s="155" t="s">
        <v>28</v>
      </c>
      <c r="AM297" s="155" t="s">
        <v>51</v>
      </c>
      <c r="AN297" s="155" t="s">
        <v>189</v>
      </c>
      <c r="AO297" s="155">
        <v>1.1783667597662388</v>
      </c>
    </row>
    <row r="298" spans="29:41">
      <c r="AC298" s="155" t="s">
        <v>52</v>
      </c>
      <c r="AD298" s="155" t="s">
        <v>18</v>
      </c>
      <c r="AE298" s="155" t="s">
        <v>72</v>
      </c>
      <c r="AF298" s="155" t="s">
        <v>51</v>
      </c>
      <c r="AG298" s="155" t="s">
        <v>190</v>
      </c>
      <c r="AH298" s="155">
        <v>3.9659683192190758</v>
      </c>
      <c r="AJ298" s="155" t="s">
        <v>52</v>
      </c>
      <c r="AK298" s="155" t="s">
        <v>18</v>
      </c>
      <c r="AL298" s="155" t="s">
        <v>28</v>
      </c>
      <c r="AM298" s="155" t="s">
        <v>51</v>
      </c>
      <c r="AN298" s="155" t="s">
        <v>190</v>
      </c>
      <c r="AO298" s="155">
        <v>1.1199017857261857</v>
      </c>
    </row>
    <row r="299" spans="29:41">
      <c r="AC299" s="155" t="s">
        <v>52</v>
      </c>
      <c r="AD299" s="155" t="s">
        <v>18</v>
      </c>
      <c r="AE299" s="155" t="s">
        <v>72</v>
      </c>
      <c r="AF299" s="155" t="s">
        <v>51</v>
      </c>
      <c r="AG299" s="155" t="s">
        <v>191</v>
      </c>
      <c r="AH299" s="155">
        <v>3.9659683192190758</v>
      </c>
      <c r="AJ299" s="155" t="s">
        <v>52</v>
      </c>
      <c r="AK299" s="155" t="s">
        <v>18</v>
      </c>
      <c r="AL299" s="155" t="s">
        <v>28</v>
      </c>
      <c r="AM299" s="155" t="s">
        <v>51</v>
      </c>
      <c r="AN299" s="155" t="s">
        <v>191</v>
      </c>
      <c r="AO299" s="155">
        <v>1.1246011040016359</v>
      </c>
    </row>
    <row r="300" spans="29:41">
      <c r="AC300" s="155" t="s">
        <v>52</v>
      </c>
      <c r="AD300" s="155" t="s">
        <v>18</v>
      </c>
      <c r="AE300" s="155" t="s">
        <v>72</v>
      </c>
      <c r="AF300" s="155" t="s">
        <v>51</v>
      </c>
      <c r="AG300" s="155" t="s">
        <v>192</v>
      </c>
      <c r="AH300" s="155">
        <v>3.9361387568601574</v>
      </c>
      <c r="AJ300" s="155" t="s">
        <v>52</v>
      </c>
      <c r="AK300" s="155" t="s">
        <v>18</v>
      </c>
      <c r="AL300" s="155" t="s">
        <v>28</v>
      </c>
      <c r="AM300" s="155" t="s">
        <v>51</v>
      </c>
      <c r="AN300" s="155" t="s">
        <v>192</v>
      </c>
      <c r="AO300" s="155">
        <v>1.1235798144236075</v>
      </c>
    </row>
    <row r="301" spans="29:41">
      <c r="AC301" s="155" t="s">
        <v>52</v>
      </c>
      <c r="AD301" s="155" t="s">
        <v>18</v>
      </c>
      <c r="AE301" s="155" t="s">
        <v>72</v>
      </c>
      <c r="AF301" s="155" t="s">
        <v>51</v>
      </c>
      <c r="AG301" s="155" t="s">
        <v>193</v>
      </c>
      <c r="AH301" s="155">
        <v>4.0284371983798186</v>
      </c>
      <c r="AJ301" s="155" t="s">
        <v>52</v>
      </c>
      <c r="AK301" s="155" t="s">
        <v>18</v>
      </c>
      <c r="AL301" s="155" t="s">
        <v>28</v>
      </c>
      <c r="AM301" s="155" t="s">
        <v>51</v>
      </c>
      <c r="AN301" s="155" t="s">
        <v>193</v>
      </c>
      <c r="AO301" s="155">
        <v>1.1411289268595988</v>
      </c>
    </row>
    <row r="302" spans="29:41">
      <c r="AC302" s="155" t="s">
        <v>52</v>
      </c>
      <c r="AD302" s="155" t="s">
        <v>18</v>
      </c>
      <c r="AE302" s="155" t="s">
        <v>72</v>
      </c>
      <c r="AF302" s="155" t="s">
        <v>51</v>
      </c>
      <c r="AG302" s="155" t="s">
        <v>194</v>
      </c>
      <c r="AH302" s="155">
        <v>4.0284371983798186</v>
      </c>
      <c r="AJ302" s="155" t="s">
        <v>52</v>
      </c>
      <c r="AK302" s="155" t="s">
        <v>18</v>
      </c>
      <c r="AL302" s="155" t="s">
        <v>28</v>
      </c>
      <c r="AM302" s="155" t="s">
        <v>51</v>
      </c>
      <c r="AN302" s="155" t="s">
        <v>194</v>
      </c>
      <c r="AO302" s="155">
        <v>1.0672020709535386</v>
      </c>
    </row>
    <row r="303" spans="29:41">
      <c r="AC303" s="155" t="s">
        <v>52</v>
      </c>
      <c r="AD303" s="155" t="s">
        <v>18</v>
      </c>
      <c r="AE303" s="155" t="s">
        <v>72</v>
      </c>
      <c r="AF303" s="155" t="s">
        <v>51</v>
      </c>
      <c r="AG303" s="155" t="s">
        <v>195</v>
      </c>
      <c r="AH303" s="155">
        <v>4.1248698203088709</v>
      </c>
      <c r="AJ303" s="155" t="s">
        <v>52</v>
      </c>
      <c r="AK303" s="155" t="s">
        <v>18</v>
      </c>
      <c r="AL303" s="155" t="s">
        <v>28</v>
      </c>
      <c r="AM303" s="155" t="s">
        <v>51</v>
      </c>
      <c r="AN303" s="155" t="s">
        <v>195</v>
      </c>
      <c r="AO303" s="155">
        <v>1.0504553887351207</v>
      </c>
    </row>
    <row r="304" spans="29:41">
      <c r="AC304" s="155" t="s">
        <v>52</v>
      </c>
      <c r="AD304" s="155" t="s">
        <v>18</v>
      </c>
      <c r="AE304" s="155" t="s">
        <v>72</v>
      </c>
      <c r="AF304" s="155" t="s">
        <v>51</v>
      </c>
      <c r="AG304" s="155" t="s">
        <v>196</v>
      </c>
      <c r="AH304" s="155">
        <v>4.1248698203088709</v>
      </c>
      <c r="AJ304" s="155" t="s">
        <v>52</v>
      </c>
      <c r="AK304" s="155" t="s">
        <v>18</v>
      </c>
      <c r="AL304" s="155" t="s">
        <v>28</v>
      </c>
      <c r="AM304" s="155" t="s">
        <v>51</v>
      </c>
      <c r="AN304" s="155" t="s">
        <v>196</v>
      </c>
      <c r="AO304" s="155">
        <v>1.0991949566938706</v>
      </c>
    </row>
    <row r="305" spans="29:41">
      <c r="AC305" s="155" t="s">
        <v>52</v>
      </c>
      <c r="AD305" s="155" t="s">
        <v>18</v>
      </c>
      <c r="AE305" s="155" t="s">
        <v>72</v>
      </c>
      <c r="AF305" s="155" t="s">
        <v>51</v>
      </c>
      <c r="AG305" s="155" t="s">
        <v>197</v>
      </c>
      <c r="AH305" s="155">
        <v>4.1539931569602002</v>
      </c>
      <c r="AJ305" s="155" t="s">
        <v>52</v>
      </c>
      <c r="AK305" s="155" t="s">
        <v>18</v>
      </c>
      <c r="AL305" s="155" t="s">
        <v>28</v>
      </c>
      <c r="AM305" s="155" t="s">
        <v>51</v>
      </c>
      <c r="AN305" s="155" t="s">
        <v>197</v>
      </c>
      <c r="AO305" s="155">
        <v>1.03545423184833</v>
      </c>
    </row>
    <row r="306" spans="29:41">
      <c r="AC306" s="155" t="s">
        <v>52</v>
      </c>
      <c r="AD306" s="155" t="s">
        <v>18</v>
      </c>
      <c r="AE306" s="155" t="s">
        <v>72</v>
      </c>
      <c r="AF306" s="155" t="s">
        <v>51</v>
      </c>
      <c r="AG306" s="155" t="s">
        <v>198</v>
      </c>
      <c r="AH306" s="155">
        <v>4.1248698203088709</v>
      </c>
      <c r="AJ306" s="155" t="s">
        <v>52</v>
      </c>
      <c r="AK306" s="155" t="s">
        <v>18</v>
      </c>
      <c r="AL306" s="155" t="s">
        <v>28</v>
      </c>
      <c r="AM306" s="155" t="s">
        <v>51</v>
      </c>
      <c r="AN306" s="155" t="s">
        <v>198</v>
      </c>
      <c r="AO306" s="155">
        <v>1.0396417487717906</v>
      </c>
    </row>
    <row r="307" spans="29:41">
      <c r="AC307" s="155" t="s">
        <v>52</v>
      </c>
      <c r="AD307" s="155" t="s">
        <v>18</v>
      </c>
      <c r="AE307" s="155" t="s">
        <v>72</v>
      </c>
      <c r="AF307" s="155" t="s">
        <v>51</v>
      </c>
      <c r="AG307" s="155" t="s">
        <v>199</v>
      </c>
      <c r="AH307" s="155">
        <v>4.2161439941639536</v>
      </c>
      <c r="AJ307" s="155" t="s">
        <v>52</v>
      </c>
      <c r="AK307" s="155" t="s">
        <v>18</v>
      </c>
      <c r="AL307" s="155" t="s">
        <v>28</v>
      </c>
      <c r="AM307" s="155" t="s">
        <v>51</v>
      </c>
      <c r="AN307" s="155" t="s">
        <v>199</v>
      </c>
      <c r="AO307" s="155">
        <v>1.0868444145393132</v>
      </c>
    </row>
    <row r="308" spans="29:41">
      <c r="AC308" s="155" t="s">
        <v>52</v>
      </c>
      <c r="AD308" s="155" t="s">
        <v>18</v>
      </c>
      <c r="AE308" s="155" t="s">
        <v>72</v>
      </c>
      <c r="AF308" s="155" t="s">
        <v>51</v>
      </c>
      <c r="AG308" s="155" t="s">
        <v>200</v>
      </c>
      <c r="AH308" s="155">
        <v>4.2802651684494641</v>
      </c>
      <c r="AJ308" s="155" t="s">
        <v>52</v>
      </c>
      <c r="AK308" s="155" t="s">
        <v>18</v>
      </c>
      <c r="AL308" s="155" t="s">
        <v>28</v>
      </c>
      <c r="AM308" s="155" t="s">
        <v>51</v>
      </c>
      <c r="AN308" s="155" t="s">
        <v>200</v>
      </c>
      <c r="AO308" s="155">
        <v>1.1029204924566245</v>
      </c>
    </row>
    <row r="309" spans="29:41">
      <c r="AC309" s="155" t="s">
        <v>52</v>
      </c>
      <c r="AD309" s="155" t="s">
        <v>18</v>
      </c>
      <c r="AE309" s="155" t="s">
        <v>72</v>
      </c>
      <c r="AF309" s="155" t="s">
        <v>51</v>
      </c>
      <c r="AG309" s="155" t="s">
        <v>201</v>
      </c>
      <c r="AH309" s="155">
        <v>4.1867556587570789</v>
      </c>
      <c r="AJ309" s="155" t="s">
        <v>52</v>
      </c>
      <c r="AK309" s="155" t="s">
        <v>18</v>
      </c>
      <c r="AL309" s="155" t="s">
        <v>28</v>
      </c>
      <c r="AM309" s="155" t="s">
        <v>51</v>
      </c>
      <c r="AN309" s="155" t="s">
        <v>201</v>
      </c>
      <c r="AO309" s="155">
        <v>1.1106403455520191</v>
      </c>
    </row>
    <row r="310" spans="29:41">
      <c r="AC310" s="155" t="s">
        <v>52</v>
      </c>
      <c r="AD310" s="155" t="s">
        <v>18</v>
      </c>
      <c r="AE310" s="155" t="s">
        <v>72</v>
      </c>
      <c r="AF310" s="155" t="s">
        <v>51</v>
      </c>
      <c r="AG310" s="155" t="s">
        <v>202</v>
      </c>
      <c r="AH310" s="155">
        <v>4.2161439941639536</v>
      </c>
      <c r="AJ310" s="155" t="s">
        <v>52</v>
      </c>
      <c r="AK310" s="155" t="s">
        <v>18</v>
      </c>
      <c r="AL310" s="155" t="s">
        <v>28</v>
      </c>
      <c r="AM310" s="155" t="s">
        <v>51</v>
      </c>
      <c r="AN310" s="155" t="s">
        <v>202</v>
      </c>
      <c r="AO310" s="155">
        <v>1.1242038661903935</v>
      </c>
    </row>
    <row r="311" spans="29:41">
      <c r="AC311" s="155" t="s">
        <v>52</v>
      </c>
      <c r="AD311" s="155" t="s">
        <v>18</v>
      </c>
      <c r="AE311" s="155" t="s">
        <v>72</v>
      </c>
      <c r="AF311" s="155" t="s">
        <v>51</v>
      </c>
      <c r="AG311" s="155" t="s">
        <v>203</v>
      </c>
      <c r="AH311" s="155">
        <v>4.1543680910694123</v>
      </c>
      <c r="AJ311" s="155" t="s">
        <v>52</v>
      </c>
      <c r="AK311" s="155" t="s">
        <v>18</v>
      </c>
      <c r="AL311" s="155" t="s">
        <v>28</v>
      </c>
      <c r="AM311" s="155" t="s">
        <v>51</v>
      </c>
      <c r="AN311" s="155" t="s">
        <v>203</v>
      </c>
      <c r="AO311" s="155">
        <v>1.0695195851191126</v>
      </c>
    </row>
    <row r="312" spans="29:41">
      <c r="AC312" s="155" t="s">
        <v>52</v>
      </c>
      <c r="AD312" s="155" t="s">
        <v>18</v>
      </c>
      <c r="AE312" s="155" t="s">
        <v>72</v>
      </c>
      <c r="AF312" s="155" t="s">
        <v>51</v>
      </c>
      <c r="AG312" s="155" t="s">
        <v>204</v>
      </c>
      <c r="AH312" s="155">
        <v>4.1543680910694123</v>
      </c>
      <c r="AJ312" s="155" t="s">
        <v>52</v>
      </c>
      <c r="AK312" s="155" t="s">
        <v>18</v>
      </c>
      <c r="AL312" s="155" t="s">
        <v>28</v>
      </c>
      <c r="AM312" s="155" t="s">
        <v>51</v>
      </c>
      <c r="AN312" s="155" t="s">
        <v>204</v>
      </c>
      <c r="AO312" s="155">
        <v>1.1006278008126524</v>
      </c>
    </row>
    <row r="313" spans="29:41">
      <c r="AC313" s="155" t="s">
        <v>52</v>
      </c>
      <c r="AD313" s="155" t="s">
        <v>18</v>
      </c>
      <c r="AE313" s="155" t="s">
        <v>72</v>
      </c>
      <c r="AF313" s="155" t="s">
        <v>51</v>
      </c>
      <c r="AG313" s="155" t="s">
        <v>205</v>
      </c>
      <c r="AH313" s="155">
        <v>4.1543680910694123</v>
      </c>
      <c r="AJ313" s="155" t="s">
        <v>52</v>
      </c>
      <c r="AK313" s="155" t="s">
        <v>18</v>
      </c>
      <c r="AL313" s="155" t="s">
        <v>28</v>
      </c>
      <c r="AM313" s="155" t="s">
        <v>51</v>
      </c>
      <c r="AN313" s="155" t="s">
        <v>205</v>
      </c>
      <c r="AO313" s="155">
        <v>1.1222065668344823</v>
      </c>
    </row>
    <row r="314" spans="29:41">
      <c r="AC314" s="155" t="s">
        <v>52</v>
      </c>
      <c r="AD314" s="155" t="s">
        <v>18</v>
      </c>
      <c r="AE314" s="155" t="s">
        <v>72</v>
      </c>
      <c r="AF314" s="155" t="s">
        <v>51</v>
      </c>
      <c r="AG314" s="155" t="s">
        <v>206</v>
      </c>
      <c r="AH314" s="155">
        <v>4.1248698203088709</v>
      </c>
      <c r="AJ314" s="155" t="s">
        <v>52</v>
      </c>
      <c r="AK314" s="155" t="s">
        <v>18</v>
      </c>
      <c r="AL314" s="155" t="s">
        <v>28</v>
      </c>
      <c r="AM314" s="155" t="s">
        <v>51</v>
      </c>
      <c r="AN314" s="155" t="s">
        <v>206</v>
      </c>
      <c r="AO314" s="155">
        <v>1.0780679075857009</v>
      </c>
    </row>
    <row r="315" spans="29:41">
      <c r="AC315" s="155" t="s">
        <v>52</v>
      </c>
      <c r="AD315" s="155" t="s">
        <v>18</v>
      </c>
      <c r="AE315" s="155" t="s">
        <v>72</v>
      </c>
      <c r="AF315" s="155" t="s">
        <v>51</v>
      </c>
      <c r="AG315" s="155" t="s">
        <v>207</v>
      </c>
      <c r="AH315" s="155">
        <v>4.0627523635008007</v>
      </c>
      <c r="AJ315" s="155" t="s">
        <v>52</v>
      </c>
      <c r="AK315" s="155" t="s">
        <v>18</v>
      </c>
      <c r="AL315" s="155" t="s">
        <v>28</v>
      </c>
      <c r="AM315" s="155" t="s">
        <v>51</v>
      </c>
      <c r="AN315" s="155" t="s">
        <v>207</v>
      </c>
      <c r="AO315" s="155">
        <v>1.0805349596090708</v>
      </c>
    </row>
    <row r="316" spans="29:41">
      <c r="AC316" s="155" t="s">
        <v>52</v>
      </c>
      <c r="AD316" s="155" t="s">
        <v>18</v>
      </c>
      <c r="AE316" s="155" t="s">
        <v>72</v>
      </c>
      <c r="AF316" s="155" t="s">
        <v>51</v>
      </c>
      <c r="AG316" s="155" t="s">
        <v>208</v>
      </c>
      <c r="AH316" s="155">
        <v>4.1867556587570789</v>
      </c>
      <c r="AJ316" s="155" t="s">
        <v>52</v>
      </c>
      <c r="AK316" s="155" t="s">
        <v>18</v>
      </c>
      <c r="AL316" s="155" t="s">
        <v>28</v>
      </c>
      <c r="AM316" s="155" t="s">
        <v>51</v>
      </c>
      <c r="AN316" s="155" t="s">
        <v>208</v>
      </c>
      <c r="AO316" s="155">
        <v>1.110598770041469</v>
      </c>
    </row>
    <row r="317" spans="29:41">
      <c r="AC317" s="155" t="s">
        <v>52</v>
      </c>
      <c r="AD317" s="155" t="s">
        <v>18</v>
      </c>
      <c r="AE317" s="155" t="s">
        <v>72</v>
      </c>
      <c r="AF317" s="155" t="s">
        <v>51</v>
      </c>
      <c r="AG317" s="155" t="s">
        <v>209</v>
      </c>
      <c r="AH317" s="155">
        <v>4.1539931569602002</v>
      </c>
      <c r="AJ317" s="155" t="s">
        <v>52</v>
      </c>
      <c r="AK317" s="155" t="s">
        <v>18</v>
      </c>
      <c r="AL317" s="155" t="s">
        <v>28</v>
      </c>
      <c r="AM317" s="155" t="s">
        <v>51</v>
      </c>
      <c r="AN317" s="155" t="s">
        <v>209</v>
      </c>
      <c r="AO317" s="155">
        <v>1.0320886358803201</v>
      </c>
    </row>
    <row r="318" spans="29:41">
      <c r="AC318" s="155" t="s">
        <v>52</v>
      </c>
      <c r="AD318" s="155" t="s">
        <v>18</v>
      </c>
      <c r="AE318" s="155" t="s">
        <v>72</v>
      </c>
      <c r="AF318" s="155" t="s">
        <v>51</v>
      </c>
      <c r="AG318" s="155" t="s">
        <v>210</v>
      </c>
      <c r="AH318" s="155">
        <v>4.2161439941639536</v>
      </c>
      <c r="AJ318" s="155" t="s">
        <v>52</v>
      </c>
      <c r="AK318" s="155" t="s">
        <v>18</v>
      </c>
      <c r="AL318" s="155" t="s">
        <v>28</v>
      </c>
      <c r="AM318" s="155" t="s">
        <v>51</v>
      </c>
      <c r="AN318" s="155" t="s">
        <v>210</v>
      </c>
      <c r="AO318" s="155">
        <v>1.124883383738843</v>
      </c>
    </row>
    <row r="319" spans="29:41">
      <c r="AC319" s="155" t="s">
        <v>52</v>
      </c>
      <c r="AD319" s="155" t="s">
        <v>18</v>
      </c>
      <c r="AE319" s="155" t="s">
        <v>72</v>
      </c>
      <c r="AF319" s="155" t="s">
        <v>51</v>
      </c>
      <c r="AG319" s="155" t="s">
        <v>211</v>
      </c>
      <c r="AH319" s="155">
        <v>4.2161439941639536</v>
      </c>
      <c r="AJ319" s="155" t="s">
        <v>52</v>
      </c>
      <c r="AK319" s="155" t="s">
        <v>18</v>
      </c>
      <c r="AL319" s="155" t="s">
        <v>28</v>
      </c>
      <c r="AM319" s="155" t="s">
        <v>51</v>
      </c>
      <c r="AN319" s="155" t="s">
        <v>211</v>
      </c>
      <c r="AO319" s="155">
        <v>1.100251686609413</v>
      </c>
    </row>
    <row r="320" spans="29:41">
      <c r="AC320" s="155" t="s">
        <v>52</v>
      </c>
      <c r="AD320" s="155" t="s">
        <v>18</v>
      </c>
      <c r="AE320" s="155" t="s">
        <v>72</v>
      </c>
      <c r="AF320" s="155" t="s">
        <v>51</v>
      </c>
      <c r="AG320" s="155" t="s">
        <v>212</v>
      </c>
      <c r="AH320" s="155">
        <v>4.1863869638007634</v>
      </c>
      <c r="AJ320" s="155" t="s">
        <v>52</v>
      </c>
      <c r="AK320" s="155" t="s">
        <v>18</v>
      </c>
      <c r="AL320" s="155" t="s">
        <v>28</v>
      </c>
      <c r="AM320" s="155" t="s">
        <v>51</v>
      </c>
      <c r="AN320" s="155" t="s">
        <v>212</v>
      </c>
      <c r="AO320" s="155">
        <v>0.9841181693674137</v>
      </c>
    </row>
    <row r="321" spans="29:41">
      <c r="AC321" s="155" t="s">
        <v>52</v>
      </c>
      <c r="AD321" s="155" t="s">
        <v>18</v>
      </c>
      <c r="AE321" s="155" t="s">
        <v>72</v>
      </c>
      <c r="AF321" s="155" t="s">
        <v>51</v>
      </c>
      <c r="AG321" s="155" t="s">
        <v>213</v>
      </c>
      <c r="AH321" s="155">
        <v>4.1539931569602002</v>
      </c>
      <c r="AJ321" s="155" t="s">
        <v>52</v>
      </c>
      <c r="AK321" s="155" t="s">
        <v>18</v>
      </c>
      <c r="AL321" s="155" t="s">
        <v>28</v>
      </c>
      <c r="AM321" s="155" t="s">
        <v>51</v>
      </c>
      <c r="AN321" s="155" t="s">
        <v>213</v>
      </c>
      <c r="AO321" s="155">
        <v>1.06880623699189</v>
      </c>
    </row>
    <row r="322" spans="29:41">
      <c r="AC322" s="155" t="s">
        <v>52</v>
      </c>
      <c r="AD322" s="155" t="s">
        <v>18</v>
      </c>
      <c r="AE322" s="155" t="s">
        <v>72</v>
      </c>
      <c r="AF322" s="155" t="s">
        <v>51</v>
      </c>
      <c r="AG322" s="155" t="s">
        <v>98</v>
      </c>
      <c r="AH322" s="155">
        <v>4.1539931569602002</v>
      </c>
      <c r="AJ322" s="155" t="s">
        <v>52</v>
      </c>
      <c r="AK322" s="155" t="s">
        <v>18</v>
      </c>
      <c r="AL322" s="155" t="s">
        <v>28</v>
      </c>
      <c r="AM322" s="155" t="s">
        <v>51</v>
      </c>
      <c r="AN322" s="155" t="s">
        <v>98</v>
      </c>
      <c r="AO322" s="155">
        <v>1.0807127136680399</v>
      </c>
    </row>
    <row r="323" spans="29:41">
      <c r="AC323" s="155" t="s">
        <v>52</v>
      </c>
      <c r="AD323" s="155" t="s">
        <v>18</v>
      </c>
      <c r="AE323" s="155" t="s">
        <v>72</v>
      </c>
      <c r="AF323" s="155" t="s">
        <v>51</v>
      </c>
      <c r="AG323" s="155" t="s">
        <v>96</v>
      </c>
      <c r="AH323" s="155">
        <v>4.1863869638007634</v>
      </c>
      <c r="AJ323" s="155" t="s">
        <v>52</v>
      </c>
      <c r="AK323" s="155" t="s">
        <v>18</v>
      </c>
      <c r="AL323" s="155" t="s">
        <v>28</v>
      </c>
      <c r="AM323" s="155" t="s">
        <v>51</v>
      </c>
      <c r="AN323" s="155" t="s">
        <v>96</v>
      </c>
      <c r="AO323" s="155">
        <v>1.0236217114382038</v>
      </c>
    </row>
    <row r="324" spans="29:41">
      <c r="AC324" s="155" t="s">
        <v>52</v>
      </c>
      <c r="AD324" s="155" t="s">
        <v>18</v>
      </c>
      <c r="AE324" s="155" t="s">
        <v>72</v>
      </c>
      <c r="AF324" s="155" t="s">
        <v>51</v>
      </c>
      <c r="AG324" s="155" t="s">
        <v>97</v>
      </c>
      <c r="AH324" s="155">
        <v>4.2161439941639536</v>
      </c>
      <c r="AJ324" s="155" t="s">
        <v>52</v>
      </c>
      <c r="AK324" s="155" t="s">
        <v>18</v>
      </c>
      <c r="AL324" s="155" t="s">
        <v>28</v>
      </c>
      <c r="AM324" s="155" t="s">
        <v>51</v>
      </c>
      <c r="AN324" s="155" t="s">
        <v>97</v>
      </c>
      <c r="AO324" s="155">
        <v>1.0831985963852633</v>
      </c>
    </row>
    <row r="325" spans="29:41">
      <c r="AC325" s="155" t="s">
        <v>52</v>
      </c>
      <c r="AD325" s="155" t="s">
        <v>18</v>
      </c>
      <c r="AE325" s="155" t="s">
        <v>72</v>
      </c>
      <c r="AF325" s="155" t="s">
        <v>51</v>
      </c>
      <c r="AG325" s="155" t="s">
        <v>101</v>
      </c>
      <c r="AH325" s="155">
        <v>4.1543680910694123</v>
      </c>
      <c r="AJ325" s="155" t="s">
        <v>52</v>
      </c>
      <c r="AK325" s="155" t="s">
        <v>18</v>
      </c>
      <c r="AL325" s="155" t="s">
        <v>28</v>
      </c>
      <c r="AM325" s="155" t="s">
        <v>51</v>
      </c>
      <c r="AN325" s="155" t="s">
        <v>101</v>
      </c>
      <c r="AO325" s="155">
        <v>1.1134053714828922</v>
      </c>
    </row>
    <row r="326" spans="29:41">
      <c r="AC326" s="155" t="s">
        <v>52</v>
      </c>
      <c r="AD326" s="155" t="s">
        <v>18</v>
      </c>
      <c r="AE326" s="155" t="s">
        <v>72</v>
      </c>
      <c r="AF326" s="155" t="s">
        <v>51</v>
      </c>
      <c r="AG326" s="155" t="s">
        <v>102</v>
      </c>
      <c r="AH326" s="155">
        <v>4.0923610563473902</v>
      </c>
      <c r="AJ326" s="155" t="s">
        <v>52</v>
      </c>
      <c r="AK326" s="155" t="s">
        <v>18</v>
      </c>
      <c r="AL326" s="155" t="s">
        <v>28</v>
      </c>
      <c r="AM326" s="155" t="s">
        <v>51</v>
      </c>
      <c r="AN326" s="155" t="s">
        <v>102</v>
      </c>
      <c r="AO326" s="155">
        <v>1.0825091444054298</v>
      </c>
    </row>
    <row r="327" spans="29:41">
      <c r="AC327" s="155" t="s">
        <v>52</v>
      </c>
      <c r="AD327" s="155" t="s">
        <v>18</v>
      </c>
      <c r="AE327" s="155" t="s">
        <v>72</v>
      </c>
      <c r="AF327" s="155" t="s">
        <v>51</v>
      </c>
      <c r="AG327" s="155" t="s">
        <v>103</v>
      </c>
      <c r="AH327" s="155">
        <v>4.0627523635008007</v>
      </c>
      <c r="AJ327" s="155" t="s">
        <v>52</v>
      </c>
      <c r="AK327" s="155" t="s">
        <v>18</v>
      </c>
      <c r="AL327" s="155" t="s">
        <v>28</v>
      </c>
      <c r="AM327" s="155" t="s">
        <v>51</v>
      </c>
      <c r="AN327" s="155" t="s">
        <v>103</v>
      </c>
      <c r="AO327" s="155">
        <v>1.083606967260841</v>
      </c>
    </row>
    <row r="328" spans="29:41">
      <c r="AC328" s="155" t="s">
        <v>52</v>
      </c>
      <c r="AD328" s="155" t="s">
        <v>18</v>
      </c>
      <c r="AE328" s="155" t="s">
        <v>72</v>
      </c>
      <c r="AF328" s="155" t="s">
        <v>51</v>
      </c>
      <c r="AG328" s="155" t="s">
        <v>104</v>
      </c>
      <c r="AH328" s="155">
        <v>4.0627523635008007</v>
      </c>
      <c r="AJ328" s="155" t="s">
        <v>52</v>
      </c>
      <c r="AK328" s="155" t="s">
        <v>18</v>
      </c>
      <c r="AL328" s="155" t="s">
        <v>28</v>
      </c>
      <c r="AM328" s="155" t="s">
        <v>51</v>
      </c>
      <c r="AN328" s="155" t="s">
        <v>104</v>
      </c>
      <c r="AO328" s="155">
        <v>1.010759557780011</v>
      </c>
    </row>
    <row r="329" spans="29:41">
      <c r="AC329" s="155" t="s">
        <v>52</v>
      </c>
      <c r="AD329" s="155" t="s">
        <v>18</v>
      </c>
      <c r="AE329" s="155" t="s">
        <v>72</v>
      </c>
      <c r="AF329" s="155" t="s">
        <v>51</v>
      </c>
      <c r="AG329" s="155" t="s">
        <v>105</v>
      </c>
      <c r="AH329" s="155">
        <v>4.1867556587570789</v>
      </c>
      <c r="AJ329" s="155" t="s">
        <v>52</v>
      </c>
      <c r="AK329" s="155" t="s">
        <v>18</v>
      </c>
      <c r="AL329" s="155" t="s">
        <v>28</v>
      </c>
      <c r="AM329" s="155" t="s">
        <v>51</v>
      </c>
      <c r="AN329" s="155" t="s">
        <v>105</v>
      </c>
      <c r="AO329" s="155">
        <v>1.0398411621313595</v>
      </c>
    </row>
    <row r="330" spans="29:41">
      <c r="AC330" s="155" t="s">
        <v>52</v>
      </c>
      <c r="AD330" s="155" t="s">
        <v>18</v>
      </c>
      <c r="AE330" s="155" t="s">
        <v>72</v>
      </c>
      <c r="AF330" s="155" t="s">
        <v>51</v>
      </c>
      <c r="AG330" s="155" t="s">
        <v>106</v>
      </c>
      <c r="AH330" s="155">
        <v>4.1863869638007634</v>
      </c>
      <c r="AJ330" s="155" t="s">
        <v>52</v>
      </c>
      <c r="AK330" s="155" t="s">
        <v>18</v>
      </c>
      <c r="AL330" s="155" t="s">
        <v>28</v>
      </c>
      <c r="AM330" s="155" t="s">
        <v>51</v>
      </c>
      <c r="AN330" s="155" t="s">
        <v>106</v>
      </c>
      <c r="AO330" s="155">
        <v>1.0423068026676641</v>
      </c>
    </row>
    <row r="331" spans="29:41">
      <c r="AC331" s="155" t="s">
        <v>52</v>
      </c>
      <c r="AD331" s="155" t="s">
        <v>18</v>
      </c>
      <c r="AE331" s="155" t="s">
        <v>72</v>
      </c>
      <c r="AF331" s="155" t="s">
        <v>51</v>
      </c>
      <c r="AG331" s="155" t="s">
        <v>107</v>
      </c>
      <c r="AH331" s="155">
        <v>4.1867556587570789</v>
      </c>
      <c r="AJ331" s="155" t="s">
        <v>52</v>
      </c>
      <c r="AK331" s="155" t="s">
        <v>18</v>
      </c>
      <c r="AL331" s="155" t="s">
        <v>28</v>
      </c>
      <c r="AM331" s="155" t="s">
        <v>51</v>
      </c>
      <c r="AN331" s="155" t="s">
        <v>107</v>
      </c>
      <c r="AO331" s="155">
        <v>1.0786491057373591</v>
      </c>
    </row>
    <row r="332" spans="29:41">
      <c r="AC332" s="155" t="s">
        <v>52</v>
      </c>
      <c r="AD332" s="155" t="s">
        <v>18</v>
      </c>
      <c r="AE332" s="155" t="s">
        <v>72</v>
      </c>
      <c r="AF332" s="155" t="s">
        <v>51</v>
      </c>
      <c r="AG332" s="155" t="s">
        <v>108</v>
      </c>
      <c r="AH332" s="155">
        <v>4.1543680910694123</v>
      </c>
      <c r="AJ332" s="155" t="s">
        <v>52</v>
      </c>
      <c r="AK332" s="155" t="s">
        <v>18</v>
      </c>
      <c r="AL332" s="155" t="s">
        <v>28</v>
      </c>
      <c r="AM332" s="155" t="s">
        <v>51</v>
      </c>
      <c r="AN332" s="155" t="s">
        <v>108</v>
      </c>
      <c r="AO332" s="155">
        <v>1.0891799655927026</v>
      </c>
    </row>
    <row r="333" spans="29:41">
      <c r="AC333" s="155" t="s">
        <v>52</v>
      </c>
      <c r="AD333" s="155" t="s">
        <v>18</v>
      </c>
      <c r="AE333" s="155" t="s">
        <v>72</v>
      </c>
      <c r="AF333" s="155" t="s">
        <v>51</v>
      </c>
      <c r="AG333" s="155" t="s">
        <v>100</v>
      </c>
      <c r="AH333" s="155">
        <v>4.1248698203088709</v>
      </c>
      <c r="AJ333" s="155" t="s">
        <v>52</v>
      </c>
      <c r="AK333" s="155" t="s">
        <v>18</v>
      </c>
      <c r="AL333" s="155" t="s">
        <v>28</v>
      </c>
      <c r="AM333" s="155" t="s">
        <v>51</v>
      </c>
      <c r="AN333" s="155" t="s">
        <v>100</v>
      </c>
      <c r="AO333" s="155">
        <v>1.0606327250559704</v>
      </c>
    </row>
    <row r="334" spans="29:41">
      <c r="AC334" s="155" t="s">
        <v>52</v>
      </c>
      <c r="AD334" s="155" t="s">
        <v>18</v>
      </c>
      <c r="AE334" s="155" t="s">
        <v>72</v>
      </c>
      <c r="AF334" s="155" t="s">
        <v>51</v>
      </c>
      <c r="AG334" s="155" t="s">
        <v>109</v>
      </c>
      <c r="AH334" s="155">
        <v>4.0627523635008007</v>
      </c>
      <c r="AJ334" s="155" t="s">
        <v>52</v>
      </c>
      <c r="AK334" s="155" t="s">
        <v>18</v>
      </c>
      <c r="AL334" s="155" t="s">
        <v>28</v>
      </c>
      <c r="AM334" s="155" t="s">
        <v>51</v>
      </c>
      <c r="AN334" s="155" t="s">
        <v>109</v>
      </c>
      <c r="AO334" s="155">
        <v>1.0118874123115511</v>
      </c>
    </row>
    <row r="335" spans="29:41">
      <c r="AC335" s="155" t="s">
        <v>52</v>
      </c>
      <c r="AD335" s="155" t="s">
        <v>18</v>
      </c>
      <c r="AE335" s="155" t="s">
        <v>72</v>
      </c>
      <c r="AF335" s="155" t="s">
        <v>51</v>
      </c>
      <c r="AG335" s="155" t="s">
        <v>110</v>
      </c>
      <c r="AH335" s="155">
        <v>4.0923610563473902</v>
      </c>
      <c r="AJ335" s="155" t="s">
        <v>52</v>
      </c>
      <c r="AK335" s="155" t="s">
        <v>18</v>
      </c>
      <c r="AL335" s="155" t="s">
        <v>28</v>
      </c>
      <c r="AM335" s="155" t="s">
        <v>51</v>
      </c>
      <c r="AN335" s="155" t="s">
        <v>110</v>
      </c>
      <c r="AO335" s="155">
        <v>1.02209245388055</v>
      </c>
    </row>
    <row r="336" spans="29:41">
      <c r="AC336" s="155" t="s">
        <v>52</v>
      </c>
      <c r="AD336" s="155" t="s">
        <v>18</v>
      </c>
      <c r="AE336" s="155" t="s">
        <v>72</v>
      </c>
      <c r="AF336" s="155" t="s">
        <v>51</v>
      </c>
      <c r="AG336" s="155" t="s">
        <v>111</v>
      </c>
      <c r="AH336" s="155">
        <v>4.0923610563473902</v>
      </c>
      <c r="AJ336" s="155" t="s">
        <v>52</v>
      </c>
      <c r="AK336" s="155" t="s">
        <v>18</v>
      </c>
      <c r="AL336" s="155" t="s">
        <v>28</v>
      </c>
      <c r="AM336" s="155" t="s">
        <v>51</v>
      </c>
      <c r="AN336" s="155" t="s">
        <v>111</v>
      </c>
      <c r="AO336" s="155">
        <v>1.05136246705567</v>
      </c>
    </row>
    <row r="337" spans="29:41">
      <c r="AC337" s="155" t="s">
        <v>52</v>
      </c>
      <c r="AD337" s="155" t="s">
        <v>18</v>
      </c>
      <c r="AE337" s="155" t="s">
        <v>72</v>
      </c>
      <c r="AF337" s="155" t="s">
        <v>51</v>
      </c>
      <c r="AG337" s="155" t="s">
        <v>99</v>
      </c>
      <c r="AH337" s="155">
        <v>4.1231786353861342</v>
      </c>
      <c r="AJ337" s="155" t="s">
        <v>52</v>
      </c>
      <c r="AK337" s="155" t="s">
        <v>18</v>
      </c>
      <c r="AL337" s="155" t="s">
        <v>28</v>
      </c>
      <c r="AM337" s="155" t="s">
        <v>51</v>
      </c>
      <c r="AN337" s="155" t="s">
        <v>99</v>
      </c>
      <c r="AO337" s="155">
        <v>1.0959063610201645</v>
      </c>
    </row>
    <row r="338" spans="29:41">
      <c r="AC338" s="155" t="s">
        <v>52</v>
      </c>
      <c r="AD338" s="155" t="s">
        <v>18</v>
      </c>
      <c r="AE338" s="155" t="s">
        <v>72</v>
      </c>
      <c r="AF338" s="155" t="s">
        <v>51</v>
      </c>
      <c r="AG338" s="155" t="s">
        <v>126</v>
      </c>
      <c r="AH338" s="155">
        <v>4.1231786353861342</v>
      </c>
      <c r="AJ338" s="155" t="s">
        <v>52</v>
      </c>
      <c r="AK338" s="155" t="s">
        <v>18</v>
      </c>
      <c r="AL338" s="155" t="s">
        <v>28</v>
      </c>
      <c r="AM338" s="155" t="s">
        <v>51</v>
      </c>
      <c r="AN338" s="155" t="s">
        <v>126</v>
      </c>
      <c r="AO338" s="155">
        <v>1.1216542765386541</v>
      </c>
    </row>
    <row r="339" spans="29:41">
      <c r="AC339" s="155" t="s">
        <v>52</v>
      </c>
      <c r="AD339" s="155" t="s">
        <v>18</v>
      </c>
      <c r="AE339" s="155" t="s">
        <v>72</v>
      </c>
      <c r="AF339" s="155" t="s">
        <v>51</v>
      </c>
      <c r="AG339" s="155" t="s">
        <v>124</v>
      </c>
      <c r="AH339" s="155">
        <v>4.0936300339223344</v>
      </c>
      <c r="AJ339" s="155" t="s">
        <v>52</v>
      </c>
      <c r="AK339" s="155" t="s">
        <v>18</v>
      </c>
      <c r="AL339" s="155" t="s">
        <v>28</v>
      </c>
      <c r="AM339" s="155" t="s">
        <v>51</v>
      </c>
      <c r="AN339" s="155" t="s">
        <v>124</v>
      </c>
      <c r="AO339" s="155">
        <v>1.0848226045065246</v>
      </c>
    </row>
    <row r="340" spans="29:41">
      <c r="AC340" s="155" t="s">
        <v>52</v>
      </c>
      <c r="AD340" s="155" t="s">
        <v>18</v>
      </c>
      <c r="AE340" s="155" t="s">
        <v>72</v>
      </c>
      <c r="AF340" s="155" t="s">
        <v>51</v>
      </c>
      <c r="AG340" s="155" t="s">
        <v>127</v>
      </c>
      <c r="AH340" s="155">
        <v>4.0610656170015185</v>
      </c>
      <c r="AJ340" s="155" t="s">
        <v>52</v>
      </c>
      <c r="AK340" s="155" t="s">
        <v>18</v>
      </c>
      <c r="AL340" s="155" t="s">
        <v>28</v>
      </c>
      <c r="AM340" s="155" t="s">
        <v>51</v>
      </c>
      <c r="AN340" s="155" t="s">
        <v>127</v>
      </c>
      <c r="AO340" s="155">
        <v>1.0841836356510286</v>
      </c>
    </row>
    <row r="341" spans="29:41">
      <c r="AC341" s="155" t="s">
        <v>52</v>
      </c>
      <c r="AD341" s="155" t="s">
        <v>18</v>
      </c>
      <c r="AE341" s="155" t="s">
        <v>72</v>
      </c>
      <c r="AF341" s="155" t="s">
        <v>51</v>
      </c>
      <c r="AG341" s="155" t="s">
        <v>128</v>
      </c>
      <c r="AH341" s="155">
        <v>4.0936300339223344</v>
      </c>
      <c r="AJ341" s="155" t="s">
        <v>52</v>
      </c>
      <c r="AK341" s="155" t="s">
        <v>18</v>
      </c>
      <c r="AL341" s="155" t="s">
        <v>28</v>
      </c>
      <c r="AM341" s="155" t="s">
        <v>51</v>
      </c>
      <c r="AN341" s="155" t="s">
        <v>128</v>
      </c>
      <c r="AO341" s="155">
        <v>1.1236026633522043</v>
      </c>
    </row>
    <row r="342" spans="29:41">
      <c r="AC342" s="155" t="s">
        <v>52</v>
      </c>
      <c r="AD342" s="155" t="s">
        <v>18</v>
      </c>
      <c r="AE342" s="155" t="s">
        <v>72</v>
      </c>
      <c r="AF342" s="155" t="s">
        <v>51</v>
      </c>
      <c r="AG342" s="155" t="s">
        <v>129</v>
      </c>
      <c r="AH342" s="155">
        <v>4.0936300339223344</v>
      </c>
      <c r="AJ342" s="155" t="s">
        <v>52</v>
      </c>
      <c r="AK342" s="155" t="s">
        <v>18</v>
      </c>
      <c r="AL342" s="155" t="s">
        <v>28</v>
      </c>
      <c r="AM342" s="155" t="s">
        <v>51</v>
      </c>
      <c r="AN342" s="155" t="s">
        <v>129</v>
      </c>
      <c r="AO342" s="155">
        <v>1.0984133460250745</v>
      </c>
    </row>
    <row r="343" spans="29:41">
      <c r="AC343" s="155" t="s">
        <v>52</v>
      </c>
      <c r="AD343" s="155" t="s">
        <v>18</v>
      </c>
      <c r="AE343" s="155" t="s">
        <v>72</v>
      </c>
      <c r="AF343" s="155" t="s">
        <v>51</v>
      </c>
      <c r="AG343" s="155" t="s">
        <v>123</v>
      </c>
      <c r="AH343" s="155">
        <v>4.0936300339223344</v>
      </c>
      <c r="AJ343" s="155" t="s">
        <v>52</v>
      </c>
      <c r="AK343" s="155" t="s">
        <v>18</v>
      </c>
      <c r="AL343" s="155" t="s">
        <v>28</v>
      </c>
      <c r="AM343" s="155" t="s">
        <v>51</v>
      </c>
      <c r="AN343" s="155" t="s">
        <v>123</v>
      </c>
      <c r="AO343" s="155">
        <v>1.0991844871188046</v>
      </c>
    </row>
    <row r="344" spans="29:41">
      <c r="AC344" s="155" t="s">
        <v>52</v>
      </c>
      <c r="AD344" s="155" t="s">
        <v>18</v>
      </c>
      <c r="AE344" s="155" t="s">
        <v>72</v>
      </c>
      <c r="AF344" s="155" t="s">
        <v>51</v>
      </c>
      <c r="AG344" s="155" t="s">
        <v>125</v>
      </c>
      <c r="AH344" s="155">
        <v>3.968948344733974</v>
      </c>
      <c r="AJ344" s="155" t="s">
        <v>52</v>
      </c>
      <c r="AK344" s="155" t="s">
        <v>18</v>
      </c>
      <c r="AL344" s="155" t="s">
        <v>28</v>
      </c>
      <c r="AM344" s="155" t="s">
        <v>51</v>
      </c>
      <c r="AN344" s="155" t="s">
        <v>125</v>
      </c>
      <c r="AO344" s="155">
        <v>1.0534402187716043</v>
      </c>
    </row>
    <row r="345" spans="29:41">
      <c r="AC345" s="155" t="s">
        <v>52</v>
      </c>
      <c r="AD345" s="155" t="s">
        <v>18</v>
      </c>
      <c r="AE345" s="155" t="s">
        <v>72</v>
      </c>
      <c r="AF345" s="155" t="s">
        <v>51</v>
      </c>
      <c r="AG345" s="155" t="s">
        <v>215</v>
      </c>
      <c r="AH345" s="155">
        <v>3.968948344733974</v>
      </c>
      <c r="AJ345" s="155" t="s">
        <v>52</v>
      </c>
      <c r="AK345" s="155" t="s">
        <v>18</v>
      </c>
      <c r="AL345" s="155" t="s">
        <v>28</v>
      </c>
      <c r="AM345" s="155" t="s">
        <v>51</v>
      </c>
      <c r="AN345" s="155" t="s">
        <v>215</v>
      </c>
      <c r="AO345" s="155">
        <v>1.082989461372704</v>
      </c>
    </row>
    <row r="346" spans="29:41">
      <c r="AC346" s="155" t="s">
        <v>52</v>
      </c>
      <c r="AD346" s="155" t="s">
        <v>18</v>
      </c>
      <c r="AE346" s="155" t="s">
        <v>72</v>
      </c>
      <c r="AF346" s="155" t="s">
        <v>51</v>
      </c>
      <c r="AG346" s="155" t="s">
        <v>219</v>
      </c>
      <c r="AH346" s="155">
        <v>3.968948344733974</v>
      </c>
      <c r="AJ346" s="155" t="s">
        <v>52</v>
      </c>
      <c r="AK346" s="155" t="s">
        <v>18</v>
      </c>
      <c r="AL346" s="155" t="s">
        <v>28</v>
      </c>
      <c r="AM346" s="155" t="s">
        <v>51</v>
      </c>
      <c r="AN346" s="155" t="s">
        <v>219</v>
      </c>
      <c r="AO346" s="155">
        <v>1.009691633061184</v>
      </c>
    </row>
    <row r="347" spans="29:41">
      <c r="AC347" s="155" t="s">
        <v>52</v>
      </c>
      <c r="AD347" s="155" t="s">
        <v>18</v>
      </c>
      <c r="AE347" s="155" t="s">
        <v>72</v>
      </c>
      <c r="AF347" s="155" t="s">
        <v>51</v>
      </c>
      <c r="AG347" s="155" t="s">
        <v>220</v>
      </c>
      <c r="AH347" s="155">
        <v>4.0936300339223344</v>
      </c>
      <c r="AJ347" s="155" t="s">
        <v>52</v>
      </c>
      <c r="AK347" s="155" t="s">
        <v>18</v>
      </c>
      <c r="AL347" s="155" t="s">
        <v>28</v>
      </c>
      <c r="AM347" s="155" t="s">
        <v>51</v>
      </c>
      <c r="AN347" s="155" t="s">
        <v>220</v>
      </c>
      <c r="AO347" s="155">
        <v>1.0847185494418345</v>
      </c>
    </row>
    <row r="348" spans="29:41">
      <c r="AC348" s="155" t="s">
        <v>52</v>
      </c>
      <c r="AD348" s="155" t="s">
        <v>18</v>
      </c>
      <c r="AE348" s="155" t="s">
        <v>72</v>
      </c>
      <c r="AF348" s="155" t="s">
        <v>51</v>
      </c>
      <c r="AG348" s="155" t="s">
        <v>221</v>
      </c>
      <c r="AH348" s="155">
        <v>4.0610656170015185</v>
      </c>
      <c r="AJ348" s="155" t="s">
        <v>52</v>
      </c>
      <c r="AK348" s="155" t="s">
        <v>18</v>
      </c>
      <c r="AL348" s="155" t="s">
        <v>28</v>
      </c>
      <c r="AM348" s="155" t="s">
        <v>51</v>
      </c>
      <c r="AN348" s="155" t="s">
        <v>221</v>
      </c>
      <c r="AO348" s="155">
        <v>1.0891007670212787</v>
      </c>
    </row>
    <row r="349" spans="29:41">
      <c r="AC349" s="155" t="s">
        <v>52</v>
      </c>
      <c r="AD349" s="155" t="s">
        <v>18</v>
      </c>
      <c r="AE349" s="155" t="s">
        <v>72</v>
      </c>
      <c r="AF349" s="155" t="s">
        <v>51</v>
      </c>
      <c r="AG349" s="155" t="s">
        <v>222</v>
      </c>
      <c r="AH349" s="155">
        <v>3.9987193359155064</v>
      </c>
      <c r="AJ349" s="155" t="s">
        <v>52</v>
      </c>
      <c r="AK349" s="155" t="s">
        <v>18</v>
      </c>
      <c r="AL349" s="155" t="s">
        <v>28</v>
      </c>
      <c r="AM349" s="155" t="s">
        <v>51</v>
      </c>
      <c r="AN349" s="155" t="s">
        <v>222</v>
      </c>
      <c r="AO349" s="155">
        <v>1.0752174326660462</v>
      </c>
    </row>
    <row r="350" spans="29:41">
      <c r="AC350" s="155" t="s">
        <v>52</v>
      </c>
      <c r="AD350" s="155" t="s">
        <v>18</v>
      </c>
      <c r="AE350" s="155" t="s">
        <v>72</v>
      </c>
      <c r="AF350" s="155" t="s">
        <v>51</v>
      </c>
      <c r="AG350" s="155" t="s">
        <v>223</v>
      </c>
      <c r="AH350" s="155">
        <v>4.0284371983798186</v>
      </c>
      <c r="AJ350" s="155" t="s">
        <v>52</v>
      </c>
      <c r="AK350" s="155" t="s">
        <v>18</v>
      </c>
      <c r="AL350" s="155" t="s">
        <v>28</v>
      </c>
      <c r="AM350" s="155" t="s">
        <v>51</v>
      </c>
      <c r="AN350" s="155" t="s">
        <v>223</v>
      </c>
      <c r="AO350" s="155">
        <v>1.053136827768909</v>
      </c>
    </row>
    <row r="351" spans="29:41">
      <c r="AC351" s="155" t="s">
        <v>52</v>
      </c>
      <c r="AD351" s="155" t="s">
        <v>18</v>
      </c>
      <c r="AE351" s="155" t="s">
        <v>72</v>
      </c>
      <c r="AF351" s="155" t="s">
        <v>51</v>
      </c>
      <c r="AG351" s="155" t="s">
        <v>224</v>
      </c>
      <c r="AH351" s="155">
        <v>3.968948344733974</v>
      </c>
      <c r="AJ351" s="155" t="s">
        <v>52</v>
      </c>
      <c r="AK351" s="155" t="s">
        <v>18</v>
      </c>
      <c r="AL351" s="155" t="s">
        <v>28</v>
      </c>
      <c r="AM351" s="155" t="s">
        <v>51</v>
      </c>
      <c r="AN351" s="155" t="s">
        <v>224</v>
      </c>
      <c r="AO351" s="155">
        <v>1.0794965655224138</v>
      </c>
    </row>
    <row r="352" spans="29:41">
      <c r="AC352" s="155" t="s">
        <v>52</v>
      </c>
      <c r="AD352" s="155" t="s">
        <v>18</v>
      </c>
      <c r="AE352" s="155" t="s">
        <v>72</v>
      </c>
      <c r="AF352" s="155" t="s">
        <v>51</v>
      </c>
      <c r="AG352" s="155" t="s">
        <v>225</v>
      </c>
      <c r="AH352" s="155">
        <v>3.9361387568601574</v>
      </c>
      <c r="AJ352" s="155" t="s">
        <v>52</v>
      </c>
      <c r="AK352" s="155" t="s">
        <v>18</v>
      </c>
      <c r="AL352" s="155" t="s">
        <v>28</v>
      </c>
      <c r="AM352" s="155" t="s">
        <v>51</v>
      </c>
      <c r="AN352" s="155" t="s">
        <v>225</v>
      </c>
      <c r="AO352" s="155">
        <v>1.0497955084503372</v>
      </c>
    </row>
    <row r="353" spans="29:41">
      <c r="AC353" s="155" t="s">
        <v>52</v>
      </c>
      <c r="AD353" s="155" t="s">
        <v>18</v>
      </c>
      <c r="AE353" s="155" t="s">
        <v>72</v>
      </c>
      <c r="AF353" s="155" t="s">
        <v>51</v>
      </c>
      <c r="AG353" s="155" t="s">
        <v>226</v>
      </c>
      <c r="AH353" s="155">
        <v>3.9987193359155064</v>
      </c>
      <c r="AJ353" s="155" t="s">
        <v>52</v>
      </c>
      <c r="AK353" s="155" t="s">
        <v>18</v>
      </c>
      <c r="AL353" s="155" t="s">
        <v>28</v>
      </c>
      <c r="AM353" s="155" t="s">
        <v>51</v>
      </c>
      <c r="AN353" s="155" t="s">
        <v>226</v>
      </c>
      <c r="AO353" s="155">
        <v>1.0571706690180465</v>
      </c>
    </row>
    <row r="354" spans="29:41">
      <c r="AC354" s="155" t="s">
        <v>52</v>
      </c>
      <c r="AD354" s="155" t="s">
        <v>18</v>
      </c>
      <c r="AE354" s="155" t="s">
        <v>72</v>
      </c>
      <c r="AF354" s="155" t="s">
        <v>51</v>
      </c>
      <c r="AG354" s="155" t="s">
        <v>227</v>
      </c>
      <c r="AH354" s="155">
        <v>4.0284371983798186</v>
      </c>
      <c r="AJ354" s="155" t="s">
        <v>52</v>
      </c>
      <c r="AK354" s="155" t="s">
        <v>18</v>
      </c>
      <c r="AL354" s="155" t="s">
        <v>28</v>
      </c>
      <c r="AM354" s="155" t="s">
        <v>51</v>
      </c>
      <c r="AN354" s="155" t="s">
        <v>227</v>
      </c>
      <c r="AO354" s="155">
        <v>1.0661538505845485</v>
      </c>
    </row>
    <row r="355" spans="29:41">
      <c r="AC355" s="155" t="s">
        <v>52</v>
      </c>
      <c r="AD355" s="155" t="s">
        <v>18</v>
      </c>
      <c r="AE355" s="155" t="s">
        <v>72</v>
      </c>
      <c r="AF355" s="155" t="s">
        <v>51</v>
      </c>
      <c r="AG355" s="155" t="s">
        <v>228</v>
      </c>
      <c r="AH355" s="155">
        <v>4.0284371983798186</v>
      </c>
      <c r="AJ355" s="155" t="s">
        <v>52</v>
      </c>
      <c r="AK355" s="155" t="s">
        <v>18</v>
      </c>
      <c r="AL355" s="155" t="s">
        <v>28</v>
      </c>
      <c r="AM355" s="155" t="s">
        <v>51</v>
      </c>
      <c r="AN355" s="155" t="s">
        <v>228</v>
      </c>
      <c r="AO355" s="155">
        <v>1.0926936661259188</v>
      </c>
    </row>
    <row r="356" spans="29:41">
      <c r="AC356" s="155" t="s">
        <v>52</v>
      </c>
      <c r="AD356" s="155" t="s">
        <v>18</v>
      </c>
      <c r="AE356" s="155" t="s">
        <v>72</v>
      </c>
      <c r="AF356" s="155" t="s">
        <v>51</v>
      </c>
      <c r="AG356" s="155" t="s">
        <v>229</v>
      </c>
      <c r="AH356" s="155">
        <v>4.0610656170015185</v>
      </c>
      <c r="AJ356" s="155" t="s">
        <v>52</v>
      </c>
      <c r="AK356" s="155" t="s">
        <v>18</v>
      </c>
      <c r="AL356" s="155" t="s">
        <v>28</v>
      </c>
      <c r="AM356" s="155" t="s">
        <v>51</v>
      </c>
      <c r="AN356" s="155" t="s">
        <v>229</v>
      </c>
      <c r="AO356" s="155">
        <v>1.1014073244279283</v>
      </c>
    </row>
    <row r="357" spans="29:41">
      <c r="AC357" s="155" t="s">
        <v>52</v>
      </c>
      <c r="AD357" s="155" t="s">
        <v>18</v>
      </c>
      <c r="AE357" s="155" t="s">
        <v>72</v>
      </c>
      <c r="AF357" s="155" t="s">
        <v>51</v>
      </c>
      <c r="AG357" s="155" t="s">
        <v>230</v>
      </c>
      <c r="AH357" s="155">
        <v>3.9361387568601574</v>
      </c>
      <c r="AJ357" s="155" t="s">
        <v>52</v>
      </c>
      <c r="AK357" s="155" t="s">
        <v>18</v>
      </c>
      <c r="AL357" s="155" t="s">
        <v>28</v>
      </c>
      <c r="AM357" s="155" t="s">
        <v>51</v>
      </c>
      <c r="AN357" s="155" t="s">
        <v>230</v>
      </c>
      <c r="AO357" s="155">
        <v>1.0462533810387376</v>
      </c>
    </row>
    <row r="358" spans="29:41">
      <c r="AC358" s="155" t="s">
        <v>52</v>
      </c>
      <c r="AD358" s="155" t="s">
        <v>18</v>
      </c>
      <c r="AE358" s="155" t="s">
        <v>72</v>
      </c>
      <c r="AF358" s="155" t="s">
        <v>51</v>
      </c>
      <c r="AG358" s="155" t="s">
        <v>217</v>
      </c>
      <c r="AH358" s="155">
        <v>3.9361387568601574</v>
      </c>
      <c r="AJ358" s="155" t="s">
        <v>52</v>
      </c>
      <c r="AK358" s="155" t="s">
        <v>18</v>
      </c>
      <c r="AL358" s="155" t="s">
        <v>28</v>
      </c>
      <c r="AM358" s="155" t="s">
        <v>51</v>
      </c>
      <c r="AN358" s="155" t="s">
        <v>217</v>
      </c>
      <c r="AO358" s="155">
        <v>1.0762713772350674</v>
      </c>
    </row>
    <row r="359" spans="29:41">
      <c r="AC359" s="155" t="s">
        <v>52</v>
      </c>
      <c r="AD359" s="155" t="s">
        <v>18</v>
      </c>
      <c r="AE359" s="155" t="s">
        <v>72</v>
      </c>
      <c r="AF359" s="155" t="s">
        <v>51</v>
      </c>
      <c r="AG359" s="155" t="s">
        <v>231</v>
      </c>
      <c r="AH359" s="155">
        <v>3.9353424338077225</v>
      </c>
      <c r="AJ359" s="155" t="s">
        <v>52</v>
      </c>
      <c r="AK359" s="155" t="s">
        <v>18</v>
      </c>
      <c r="AL359" s="155" t="s">
        <v>28</v>
      </c>
      <c r="AM359" s="155" t="s">
        <v>51</v>
      </c>
      <c r="AN359" s="155" t="s">
        <v>231</v>
      </c>
      <c r="AO359" s="155">
        <v>1.1008620450413127</v>
      </c>
    </row>
    <row r="360" spans="29:41">
      <c r="AC360" s="155" t="s">
        <v>52</v>
      </c>
      <c r="AD360" s="155" t="s">
        <v>18</v>
      </c>
      <c r="AE360" s="155" t="s">
        <v>72</v>
      </c>
      <c r="AF360" s="155" t="s">
        <v>51</v>
      </c>
      <c r="AG360" s="155" t="s">
        <v>232</v>
      </c>
      <c r="AH360" s="155">
        <v>3.8124950348616728</v>
      </c>
      <c r="AJ360" s="155" t="s">
        <v>52</v>
      </c>
      <c r="AK360" s="155" t="s">
        <v>18</v>
      </c>
      <c r="AL360" s="155" t="s">
        <v>28</v>
      </c>
      <c r="AM360" s="155" t="s">
        <v>51</v>
      </c>
      <c r="AN360" s="155" t="s">
        <v>232</v>
      </c>
      <c r="AO360" s="155">
        <v>1.0224515238070231</v>
      </c>
    </row>
    <row r="361" spans="29:41">
      <c r="AC361" s="155" t="s">
        <v>52</v>
      </c>
      <c r="AD361" s="155" t="s">
        <v>18</v>
      </c>
      <c r="AE361" s="155" t="s">
        <v>72</v>
      </c>
      <c r="AF361" s="155" t="s">
        <v>51</v>
      </c>
      <c r="AG361" s="155" t="s">
        <v>233</v>
      </c>
      <c r="AH361" s="155">
        <v>3.9659683192190758</v>
      </c>
      <c r="AJ361" s="155" t="s">
        <v>52</v>
      </c>
      <c r="AK361" s="155" t="s">
        <v>18</v>
      </c>
      <c r="AL361" s="155" t="s">
        <v>28</v>
      </c>
      <c r="AM361" s="155" t="s">
        <v>51</v>
      </c>
      <c r="AN361" s="155" t="s">
        <v>233</v>
      </c>
      <c r="AO361" s="155">
        <v>1.0578914480575556</v>
      </c>
    </row>
    <row r="362" spans="29:41">
      <c r="AC362" s="155" t="s">
        <v>52</v>
      </c>
      <c r="AD362" s="155" t="s">
        <v>18</v>
      </c>
      <c r="AE362" s="155" t="s">
        <v>72</v>
      </c>
      <c r="AF362" s="155" t="s">
        <v>51</v>
      </c>
      <c r="AG362" s="155" t="s">
        <v>216</v>
      </c>
      <c r="AH362" s="155">
        <v>3.9987193359155064</v>
      </c>
      <c r="AJ362" s="155" t="s">
        <v>52</v>
      </c>
      <c r="AK362" s="155" t="s">
        <v>18</v>
      </c>
      <c r="AL362" s="155" t="s">
        <v>28</v>
      </c>
      <c r="AM362" s="155" t="s">
        <v>51</v>
      </c>
      <c r="AN362" s="155" t="s">
        <v>216</v>
      </c>
      <c r="AO362" s="155">
        <v>1.0869250897682363</v>
      </c>
    </row>
    <row r="363" spans="29:41">
      <c r="AC363" s="155" t="s">
        <v>52</v>
      </c>
      <c r="AD363" s="155" t="s">
        <v>18</v>
      </c>
      <c r="AE363" s="155" t="s">
        <v>72</v>
      </c>
      <c r="AF363" s="155" t="s">
        <v>51</v>
      </c>
      <c r="AG363" s="155" t="s">
        <v>218</v>
      </c>
      <c r="AH363" s="155">
        <v>4.0284371983798186</v>
      </c>
      <c r="AJ363" s="155" t="s">
        <v>52</v>
      </c>
      <c r="AK363" s="155" t="s">
        <v>18</v>
      </c>
      <c r="AL363" s="155" t="s">
        <v>28</v>
      </c>
      <c r="AM363" s="155" t="s">
        <v>51</v>
      </c>
      <c r="AN363" s="155" t="s">
        <v>218</v>
      </c>
      <c r="AO363" s="155">
        <v>1.119891467204279</v>
      </c>
    </row>
    <row r="364" spans="29:41">
      <c r="AC364" s="155" t="s">
        <v>52</v>
      </c>
      <c r="AD364" s="155" t="s">
        <v>18</v>
      </c>
      <c r="AE364" s="155" t="s">
        <v>72</v>
      </c>
      <c r="AF364" s="155" t="s">
        <v>51</v>
      </c>
      <c r="AG364" s="155" t="s">
        <v>238</v>
      </c>
      <c r="AH364" s="155">
        <v>3.9659683192190758</v>
      </c>
      <c r="AJ364" s="155" t="s">
        <v>52</v>
      </c>
      <c r="AK364" s="155" t="s">
        <v>18</v>
      </c>
      <c r="AL364" s="155" t="s">
        <v>28</v>
      </c>
      <c r="AM364" s="155" t="s">
        <v>51</v>
      </c>
      <c r="AN364" s="155" t="s">
        <v>238</v>
      </c>
      <c r="AO364" s="155">
        <v>1.0528868902628454</v>
      </c>
    </row>
    <row r="365" spans="29:41">
      <c r="AC365" s="155" t="s">
        <v>52</v>
      </c>
      <c r="AD365" s="155" t="s">
        <v>18</v>
      </c>
      <c r="AE365" s="155" t="s">
        <v>72</v>
      </c>
      <c r="AF365" s="155" t="s">
        <v>51</v>
      </c>
      <c r="AG365" s="155" t="s">
        <v>239</v>
      </c>
      <c r="AH365" s="155">
        <v>3.9659683192190758</v>
      </c>
      <c r="AJ365" s="155" t="s">
        <v>52</v>
      </c>
      <c r="AK365" s="155" t="s">
        <v>18</v>
      </c>
      <c r="AL365" s="155" t="s">
        <v>28</v>
      </c>
      <c r="AM365" s="155" t="s">
        <v>51</v>
      </c>
      <c r="AN365" s="155" t="s">
        <v>239</v>
      </c>
      <c r="AO365" s="155">
        <v>1.0315212789850057</v>
      </c>
    </row>
    <row r="366" spans="29:41">
      <c r="AC366" s="155" t="s">
        <v>52</v>
      </c>
      <c r="AD366" s="155" t="s">
        <v>18</v>
      </c>
      <c r="AE366" s="155" t="s">
        <v>72</v>
      </c>
      <c r="AF366" s="155" t="s">
        <v>51</v>
      </c>
      <c r="AG366" s="155" t="s">
        <v>240</v>
      </c>
      <c r="AH366" s="155">
        <v>3.9659683192190758</v>
      </c>
      <c r="AJ366" s="155" t="s">
        <v>52</v>
      </c>
      <c r="AK366" s="155" t="s">
        <v>18</v>
      </c>
      <c r="AL366" s="155" t="s">
        <v>28</v>
      </c>
      <c r="AM366" s="155" t="s">
        <v>51</v>
      </c>
      <c r="AN366" s="155" t="s">
        <v>240</v>
      </c>
      <c r="AO366" s="155">
        <v>1.056288352934506</v>
      </c>
    </row>
    <row r="367" spans="29:41">
      <c r="AC367" s="155" t="s">
        <v>52</v>
      </c>
      <c r="AD367" s="155" t="s">
        <v>18</v>
      </c>
      <c r="AE367" s="155" t="s">
        <v>72</v>
      </c>
      <c r="AF367" s="155" t="s">
        <v>51</v>
      </c>
      <c r="AG367" s="155" t="s">
        <v>241</v>
      </c>
      <c r="AH367" s="155">
        <v>3.9987193359155064</v>
      </c>
      <c r="AJ367" s="155" t="s">
        <v>52</v>
      </c>
      <c r="AK367" s="155" t="s">
        <v>18</v>
      </c>
      <c r="AL367" s="155" t="s">
        <v>28</v>
      </c>
      <c r="AM367" s="155" t="s">
        <v>51</v>
      </c>
      <c r="AN367" s="155" t="s">
        <v>241</v>
      </c>
      <c r="AO367" s="155">
        <v>1.0628261913244663</v>
      </c>
    </row>
    <row r="368" spans="29:41">
      <c r="AC368" s="155" t="s">
        <v>52</v>
      </c>
      <c r="AD368" s="155" t="s">
        <v>18</v>
      </c>
      <c r="AE368" s="155" t="s">
        <v>72</v>
      </c>
      <c r="AF368" s="155" t="s">
        <v>51</v>
      </c>
      <c r="AG368" s="155" t="s">
        <v>242</v>
      </c>
      <c r="AH368" s="155">
        <v>3.9659683192190758</v>
      </c>
      <c r="AJ368" s="155" t="s">
        <v>52</v>
      </c>
      <c r="AK368" s="155" t="s">
        <v>18</v>
      </c>
      <c r="AL368" s="155" t="s">
        <v>28</v>
      </c>
      <c r="AM368" s="155" t="s">
        <v>51</v>
      </c>
      <c r="AN368" s="155" t="s">
        <v>242</v>
      </c>
      <c r="AO368" s="155">
        <v>1.0609788954392658</v>
      </c>
    </row>
    <row r="369" spans="29:41">
      <c r="AC369" s="155" t="s">
        <v>52</v>
      </c>
      <c r="AD369" s="155" t="s">
        <v>18</v>
      </c>
      <c r="AE369" s="155" t="s">
        <v>72</v>
      </c>
      <c r="AF369" s="155" t="s">
        <v>51</v>
      </c>
      <c r="AG369" s="155" t="s">
        <v>243</v>
      </c>
      <c r="AH369" s="155">
        <v>3.9361387568601574</v>
      </c>
      <c r="AJ369" s="155" t="s">
        <v>52</v>
      </c>
      <c r="AK369" s="155" t="s">
        <v>18</v>
      </c>
      <c r="AL369" s="155" t="s">
        <v>28</v>
      </c>
      <c r="AM369" s="155" t="s">
        <v>51</v>
      </c>
      <c r="AN369" s="155" t="s">
        <v>243</v>
      </c>
      <c r="AO369" s="155">
        <v>1.0573643295691275</v>
      </c>
    </row>
    <row r="370" spans="29:41">
      <c r="AC370" s="155" t="s">
        <v>52</v>
      </c>
      <c r="AD370" s="155" t="s">
        <v>18</v>
      </c>
      <c r="AE370" s="155" t="s">
        <v>72</v>
      </c>
      <c r="AF370" s="155" t="s">
        <v>51</v>
      </c>
      <c r="AG370" s="155" t="s">
        <v>244</v>
      </c>
      <c r="AH370" s="155">
        <v>4.0284371983798186</v>
      </c>
      <c r="AJ370" s="155" t="s">
        <v>52</v>
      </c>
      <c r="AK370" s="155" t="s">
        <v>18</v>
      </c>
      <c r="AL370" s="155" t="s">
        <v>28</v>
      </c>
      <c r="AM370" s="155" t="s">
        <v>51</v>
      </c>
      <c r="AN370" s="155" t="s">
        <v>244</v>
      </c>
      <c r="AO370" s="155">
        <v>1.109874475711339</v>
      </c>
    </row>
    <row r="371" spans="29:41">
      <c r="AC371" s="155" t="s">
        <v>52</v>
      </c>
      <c r="AD371" s="155" t="s">
        <v>18</v>
      </c>
      <c r="AE371" s="155" t="s">
        <v>72</v>
      </c>
      <c r="AF371" s="155" t="s">
        <v>51</v>
      </c>
      <c r="AG371" s="155" t="s">
        <v>245</v>
      </c>
      <c r="AH371" s="155">
        <v>4.0284371983798186</v>
      </c>
      <c r="AJ371" s="155" t="s">
        <v>52</v>
      </c>
      <c r="AK371" s="155" t="s">
        <v>18</v>
      </c>
      <c r="AL371" s="155" t="s">
        <v>28</v>
      </c>
      <c r="AM371" s="155" t="s">
        <v>51</v>
      </c>
      <c r="AN371" s="155" t="s">
        <v>245</v>
      </c>
      <c r="AO371" s="155">
        <v>1.1256858462767485</v>
      </c>
    </row>
    <row r="372" spans="29:41">
      <c r="AC372" s="155" t="s">
        <v>52</v>
      </c>
      <c r="AD372" s="155" t="s">
        <v>18</v>
      </c>
      <c r="AE372" s="155" t="s">
        <v>72</v>
      </c>
      <c r="AF372" s="155" t="s">
        <v>51</v>
      </c>
      <c r="AG372" s="155" t="s">
        <v>246</v>
      </c>
      <c r="AH372" s="155">
        <v>3.9361387568601574</v>
      </c>
      <c r="AJ372" s="155" t="s">
        <v>52</v>
      </c>
      <c r="AK372" s="155" t="s">
        <v>18</v>
      </c>
      <c r="AL372" s="155" t="s">
        <v>28</v>
      </c>
      <c r="AM372" s="155" t="s">
        <v>51</v>
      </c>
      <c r="AN372" s="155" t="s">
        <v>246</v>
      </c>
      <c r="AO372" s="155">
        <v>1.0034157677120774</v>
      </c>
    </row>
    <row r="373" spans="29:41">
      <c r="AC373" s="155" t="s">
        <v>52</v>
      </c>
      <c r="AD373" s="155" t="s">
        <v>18</v>
      </c>
      <c r="AE373" s="155" t="s">
        <v>72</v>
      </c>
      <c r="AF373" s="155" t="s">
        <v>51</v>
      </c>
      <c r="AG373" s="155" t="s">
        <v>247</v>
      </c>
      <c r="AH373" s="155">
        <v>3.9361387568601574</v>
      </c>
      <c r="AJ373" s="155" t="s">
        <v>52</v>
      </c>
      <c r="AK373" s="155" t="s">
        <v>18</v>
      </c>
      <c r="AL373" s="155" t="s">
        <v>28</v>
      </c>
      <c r="AM373" s="155" t="s">
        <v>51</v>
      </c>
      <c r="AN373" s="155" t="s">
        <v>247</v>
      </c>
      <c r="AO373" s="155">
        <v>1.0206741739058272</v>
      </c>
    </row>
    <row r="374" spans="29:41">
      <c r="AC374" s="155" t="s">
        <v>52</v>
      </c>
      <c r="AD374" s="155" t="s">
        <v>18</v>
      </c>
      <c r="AE374" s="155" t="s">
        <v>72</v>
      </c>
      <c r="AF374" s="155" t="s">
        <v>51</v>
      </c>
      <c r="AG374" s="155" t="s">
        <v>248</v>
      </c>
      <c r="AH374" s="155">
        <v>3.9659683192190758</v>
      </c>
      <c r="AJ374" s="155" t="s">
        <v>52</v>
      </c>
      <c r="AK374" s="155" t="s">
        <v>18</v>
      </c>
      <c r="AL374" s="155" t="s">
        <v>28</v>
      </c>
      <c r="AM374" s="155" t="s">
        <v>51</v>
      </c>
      <c r="AN374" s="155" t="s">
        <v>248</v>
      </c>
      <c r="AO374" s="155">
        <v>1.057963251901626</v>
      </c>
    </row>
    <row r="375" spans="29:41">
      <c r="AC375" s="155" t="s">
        <v>52</v>
      </c>
      <c r="AD375" s="155" t="s">
        <v>18</v>
      </c>
      <c r="AE375" s="155" t="s">
        <v>72</v>
      </c>
      <c r="AF375" s="155" t="s">
        <v>51</v>
      </c>
      <c r="AG375" s="155" t="s">
        <v>249</v>
      </c>
      <c r="AH375" s="155">
        <v>4.0610656170015185</v>
      </c>
      <c r="AJ375" s="155" t="s">
        <v>52</v>
      </c>
      <c r="AK375" s="155" t="s">
        <v>18</v>
      </c>
      <c r="AL375" s="155" t="s">
        <v>28</v>
      </c>
      <c r="AM375" s="155" t="s">
        <v>51</v>
      </c>
      <c r="AN375" s="155" t="s">
        <v>249</v>
      </c>
      <c r="AO375" s="155">
        <v>1.0698547051501484</v>
      </c>
    </row>
    <row r="376" spans="29:41">
      <c r="AC376" s="155" t="s">
        <v>52</v>
      </c>
      <c r="AD376" s="155" t="s">
        <v>18</v>
      </c>
      <c r="AE376" s="155" t="s">
        <v>72</v>
      </c>
      <c r="AF376" s="155" t="s">
        <v>51</v>
      </c>
      <c r="AG376" s="155" t="s">
        <v>250</v>
      </c>
      <c r="AH376" s="155">
        <v>4.0936300339223344</v>
      </c>
      <c r="AJ376" s="155" t="s">
        <v>52</v>
      </c>
      <c r="AK376" s="155" t="s">
        <v>18</v>
      </c>
      <c r="AL376" s="155" t="s">
        <v>28</v>
      </c>
      <c r="AM376" s="155" t="s">
        <v>51</v>
      </c>
      <c r="AN376" s="155" t="s">
        <v>250</v>
      </c>
      <c r="AO376" s="155">
        <v>1.1009678727640544</v>
      </c>
    </row>
    <row r="377" spans="29:41">
      <c r="AC377" s="155" t="s">
        <v>52</v>
      </c>
      <c r="AD377" s="155" t="s">
        <v>18</v>
      </c>
      <c r="AE377" s="155" t="s">
        <v>72</v>
      </c>
      <c r="AF377" s="155" t="s">
        <v>51</v>
      </c>
      <c r="AG377" s="155" t="s">
        <v>251</v>
      </c>
      <c r="AH377" s="155">
        <v>3.9353424338077225</v>
      </c>
      <c r="AJ377" s="155" t="s">
        <v>52</v>
      </c>
      <c r="AK377" s="155" t="s">
        <v>18</v>
      </c>
      <c r="AL377" s="155" t="s">
        <v>28</v>
      </c>
      <c r="AM377" s="155" t="s">
        <v>51</v>
      </c>
      <c r="AN377" s="155" t="s">
        <v>251</v>
      </c>
      <c r="AO377" s="155">
        <v>1.0407224945874525</v>
      </c>
    </row>
    <row r="378" spans="29:41">
      <c r="AC378" s="155" t="s">
        <v>52</v>
      </c>
      <c r="AD378" s="155" t="s">
        <v>18</v>
      </c>
      <c r="AE378" s="155" t="s">
        <v>72</v>
      </c>
      <c r="AF378" s="155" t="s">
        <v>51</v>
      </c>
      <c r="AG378" s="155" t="s">
        <v>252</v>
      </c>
      <c r="AH378" s="155">
        <v>3.8725334437312955</v>
      </c>
      <c r="AJ378" s="155" t="s">
        <v>52</v>
      </c>
      <c r="AK378" s="155" t="s">
        <v>18</v>
      </c>
      <c r="AL378" s="155" t="s">
        <v>28</v>
      </c>
      <c r="AM378" s="155" t="s">
        <v>51</v>
      </c>
      <c r="AN378" s="155" t="s">
        <v>252</v>
      </c>
      <c r="AO378" s="155">
        <v>1.0362452418587755</v>
      </c>
    </row>
    <row r="379" spans="29:41">
      <c r="AC379" s="155" t="s">
        <v>52</v>
      </c>
      <c r="AD379" s="155" t="s">
        <v>18</v>
      </c>
      <c r="AE379" s="155" t="s">
        <v>72</v>
      </c>
      <c r="AF379" s="155" t="s">
        <v>51</v>
      </c>
      <c r="AG379" s="155" t="s">
        <v>253</v>
      </c>
      <c r="AH379" s="155">
        <v>3.9353424338077225</v>
      </c>
      <c r="AJ379" s="155" t="s">
        <v>52</v>
      </c>
      <c r="AK379" s="155" t="s">
        <v>18</v>
      </c>
      <c r="AL379" s="155" t="s">
        <v>28</v>
      </c>
      <c r="AM379" s="155" t="s">
        <v>51</v>
      </c>
      <c r="AN379" s="155" t="s">
        <v>253</v>
      </c>
      <c r="AO379" s="155">
        <v>1.0204776737094423</v>
      </c>
    </row>
    <row r="380" spans="29:41">
      <c r="AC380" s="155" t="s">
        <v>52</v>
      </c>
      <c r="AD380" s="155" t="s">
        <v>18</v>
      </c>
      <c r="AE380" s="155" t="s">
        <v>72</v>
      </c>
      <c r="AF380" s="155" t="s">
        <v>51</v>
      </c>
      <c r="AG380" s="155" t="s">
        <v>254</v>
      </c>
      <c r="AH380" s="155">
        <v>3.9353424338077225</v>
      </c>
      <c r="AJ380" s="155" t="s">
        <v>52</v>
      </c>
      <c r="AK380" s="155" t="s">
        <v>18</v>
      </c>
      <c r="AL380" s="155" t="s">
        <v>28</v>
      </c>
      <c r="AM380" s="155" t="s">
        <v>51</v>
      </c>
      <c r="AN380" s="155" t="s">
        <v>254</v>
      </c>
      <c r="AO380" s="155">
        <v>1.0759072121841924</v>
      </c>
    </row>
    <row r="381" spans="29:41">
      <c r="AC381" s="155" t="s">
        <v>52</v>
      </c>
      <c r="AD381" s="155" t="s">
        <v>18</v>
      </c>
      <c r="AE381" s="155" t="s">
        <v>72</v>
      </c>
      <c r="AF381" s="155" t="s">
        <v>51</v>
      </c>
      <c r="AG381" s="155" t="s">
        <v>255</v>
      </c>
      <c r="AH381" s="155">
        <v>3.9054628819113248</v>
      </c>
      <c r="AJ381" s="155" t="s">
        <v>52</v>
      </c>
      <c r="AK381" s="155" t="s">
        <v>18</v>
      </c>
      <c r="AL381" s="155" t="s">
        <v>28</v>
      </c>
      <c r="AM381" s="155" t="s">
        <v>51</v>
      </c>
      <c r="AN381" s="155" t="s">
        <v>255</v>
      </c>
      <c r="AO381" s="155">
        <v>1.0319678254748648</v>
      </c>
    </row>
    <row r="382" spans="29:41">
      <c r="AC382" s="155" t="s">
        <v>52</v>
      </c>
      <c r="AD382" s="155" t="s">
        <v>18</v>
      </c>
      <c r="AE382" s="155" t="s">
        <v>72</v>
      </c>
      <c r="AF382" s="155" t="s">
        <v>51</v>
      </c>
      <c r="AG382" s="155" t="s">
        <v>256</v>
      </c>
      <c r="AH382" s="155">
        <v>3.9054628819113248</v>
      </c>
      <c r="AJ382" s="155" t="s">
        <v>52</v>
      </c>
      <c r="AK382" s="155" t="s">
        <v>18</v>
      </c>
      <c r="AL382" s="155" t="s">
        <v>28</v>
      </c>
      <c r="AM382" s="155" t="s">
        <v>51</v>
      </c>
      <c r="AN382" s="155" t="s">
        <v>256</v>
      </c>
      <c r="AO382" s="155">
        <v>1.034193373212295</v>
      </c>
    </row>
    <row r="383" spans="29:41">
      <c r="AC383" s="155" t="s">
        <v>52</v>
      </c>
      <c r="AD383" s="155" t="s">
        <v>18</v>
      </c>
      <c r="AE383" s="155" t="s">
        <v>72</v>
      </c>
      <c r="AF383" s="155" t="s">
        <v>51</v>
      </c>
      <c r="AG383" s="155" t="s">
        <v>257</v>
      </c>
      <c r="AH383" s="155">
        <v>3.968948344733974</v>
      </c>
      <c r="AJ383" s="155" t="s">
        <v>52</v>
      </c>
      <c r="AK383" s="155" t="s">
        <v>18</v>
      </c>
      <c r="AL383" s="155" t="s">
        <v>28</v>
      </c>
      <c r="AM383" s="155" t="s">
        <v>51</v>
      </c>
      <c r="AN383" s="155" t="s">
        <v>257</v>
      </c>
      <c r="AO383" s="155">
        <v>1.070197700400594</v>
      </c>
    </row>
    <row r="384" spans="29:41">
      <c r="AC384" s="155" t="s">
        <v>52</v>
      </c>
      <c r="AD384" s="155" t="s">
        <v>18</v>
      </c>
      <c r="AE384" s="155" t="s">
        <v>72</v>
      </c>
      <c r="AF384" s="155" t="s">
        <v>51</v>
      </c>
      <c r="AG384" s="155" t="s">
        <v>258</v>
      </c>
      <c r="AH384" s="155">
        <v>3.9353424338077225</v>
      </c>
      <c r="AJ384" s="155" t="s">
        <v>52</v>
      </c>
      <c r="AK384" s="155" t="s">
        <v>18</v>
      </c>
      <c r="AL384" s="155" t="s">
        <v>28</v>
      </c>
      <c r="AM384" s="155" t="s">
        <v>51</v>
      </c>
      <c r="AN384" s="155" t="s">
        <v>258</v>
      </c>
      <c r="AO384" s="155">
        <v>1.0807076202557324</v>
      </c>
    </row>
    <row r="385" spans="29:41">
      <c r="AC385" s="155" t="s">
        <v>52</v>
      </c>
      <c r="AD385" s="155" t="s">
        <v>18</v>
      </c>
      <c r="AE385" s="155" t="s">
        <v>72</v>
      </c>
      <c r="AF385" s="155" t="s">
        <v>51</v>
      </c>
      <c r="AG385" s="155" t="s">
        <v>259</v>
      </c>
      <c r="AH385" s="155">
        <v>3.9054628819113248</v>
      </c>
      <c r="AJ385" s="155" t="s">
        <v>52</v>
      </c>
      <c r="AK385" s="155" t="s">
        <v>18</v>
      </c>
      <c r="AL385" s="155" t="s">
        <v>28</v>
      </c>
      <c r="AM385" s="155" t="s">
        <v>51</v>
      </c>
      <c r="AN385" s="155" t="s">
        <v>259</v>
      </c>
      <c r="AO385" s="155">
        <v>1.0930113004870352</v>
      </c>
    </row>
    <row r="386" spans="29:41">
      <c r="AC386" s="155" t="s">
        <v>52</v>
      </c>
      <c r="AD386" s="155" t="s">
        <v>18</v>
      </c>
      <c r="AE386" s="155" t="s">
        <v>72</v>
      </c>
      <c r="AF386" s="155" t="s">
        <v>51</v>
      </c>
      <c r="AG386" s="155" t="s">
        <v>260</v>
      </c>
      <c r="AH386" s="155">
        <v>3.8425411667081901</v>
      </c>
      <c r="AJ386" s="155" t="s">
        <v>52</v>
      </c>
      <c r="AK386" s="155" t="s">
        <v>18</v>
      </c>
      <c r="AL386" s="155" t="s">
        <v>28</v>
      </c>
      <c r="AM386" s="155" t="s">
        <v>51</v>
      </c>
      <c r="AN386" s="155" t="s">
        <v>260</v>
      </c>
      <c r="AO386" s="155">
        <v>1.0406423605593402</v>
      </c>
    </row>
    <row r="387" spans="29:41">
      <c r="AC387" s="155" t="s">
        <v>52</v>
      </c>
      <c r="AD387" s="155" t="s">
        <v>18</v>
      </c>
      <c r="AE387" s="155" t="s">
        <v>72</v>
      </c>
      <c r="AF387" s="155" t="s">
        <v>51</v>
      </c>
      <c r="AG387" s="155" t="s">
        <v>261</v>
      </c>
      <c r="AH387" s="155">
        <v>3.8124950348616728</v>
      </c>
      <c r="AJ387" s="155" t="s">
        <v>52</v>
      </c>
      <c r="AK387" s="155" t="s">
        <v>18</v>
      </c>
      <c r="AL387" s="155" t="s">
        <v>28</v>
      </c>
      <c r="AM387" s="155" t="s">
        <v>51</v>
      </c>
      <c r="AN387" s="155" t="s">
        <v>261</v>
      </c>
      <c r="AO387" s="155">
        <v>1.0340848078308029</v>
      </c>
    </row>
    <row r="388" spans="29:41">
      <c r="AC388" s="155" t="s">
        <v>52</v>
      </c>
      <c r="AD388" s="155" t="s">
        <v>18</v>
      </c>
      <c r="AE388" s="155" t="s">
        <v>72</v>
      </c>
      <c r="AF388" s="155" t="s">
        <v>51</v>
      </c>
      <c r="AG388" s="155" t="s">
        <v>262</v>
      </c>
      <c r="AH388" s="155">
        <v>3.7160970281867178</v>
      </c>
      <c r="AJ388" s="155" t="s">
        <v>52</v>
      </c>
      <c r="AK388" s="155" t="s">
        <v>18</v>
      </c>
      <c r="AL388" s="155" t="s">
        <v>28</v>
      </c>
      <c r="AM388" s="155" t="s">
        <v>51</v>
      </c>
      <c r="AN388" s="155" t="s">
        <v>262</v>
      </c>
      <c r="AO388" s="155">
        <v>0.98646357301566778</v>
      </c>
    </row>
    <row r="389" spans="29:41">
      <c r="AC389" s="155" t="s">
        <v>52</v>
      </c>
      <c r="AD389" s="155" t="s">
        <v>18</v>
      </c>
      <c r="AE389" s="155" t="s">
        <v>72</v>
      </c>
      <c r="AF389" s="155" t="s">
        <v>51</v>
      </c>
      <c r="AG389" s="155" t="s">
        <v>263</v>
      </c>
      <c r="AH389" s="155">
        <v>3.812592661796018</v>
      </c>
      <c r="AJ389" s="155" t="s">
        <v>52</v>
      </c>
      <c r="AK389" s="155" t="s">
        <v>18</v>
      </c>
      <c r="AL389" s="155" t="s">
        <v>28</v>
      </c>
      <c r="AM389" s="155" t="s">
        <v>51</v>
      </c>
      <c r="AN389" s="155" t="s">
        <v>263</v>
      </c>
      <c r="AO389" s="155">
        <v>1.0391714382397179</v>
      </c>
    </row>
    <row r="390" spans="29:41">
      <c r="AC390" s="155" t="s">
        <v>52</v>
      </c>
      <c r="AD390" s="155" t="s">
        <v>18</v>
      </c>
      <c r="AE390" s="155" t="s">
        <v>72</v>
      </c>
      <c r="AF390" s="155" t="s">
        <v>51</v>
      </c>
      <c r="AG390" s="155" t="s">
        <v>264</v>
      </c>
      <c r="AH390" s="155">
        <v>3.8124950348616728</v>
      </c>
      <c r="AJ390" s="155" t="s">
        <v>52</v>
      </c>
      <c r="AK390" s="155" t="s">
        <v>18</v>
      </c>
      <c r="AL390" s="155" t="s">
        <v>28</v>
      </c>
      <c r="AM390" s="155" t="s">
        <v>51</v>
      </c>
      <c r="AN390" s="155" t="s">
        <v>264</v>
      </c>
      <c r="AO390" s="155">
        <v>1.0554629489117933</v>
      </c>
    </row>
    <row r="391" spans="29:41">
      <c r="AC391" s="155" t="s">
        <v>52</v>
      </c>
      <c r="AD391" s="155" t="s">
        <v>18</v>
      </c>
      <c r="AE391" s="155" t="s">
        <v>72</v>
      </c>
      <c r="AF391" s="155" t="s">
        <v>51</v>
      </c>
      <c r="AG391" s="155" t="s">
        <v>265</v>
      </c>
      <c r="AH391" s="155">
        <v>3.8124950348616728</v>
      </c>
      <c r="AJ391" s="155" t="s">
        <v>52</v>
      </c>
      <c r="AK391" s="155" t="s">
        <v>18</v>
      </c>
      <c r="AL391" s="155" t="s">
        <v>28</v>
      </c>
      <c r="AM391" s="155" t="s">
        <v>51</v>
      </c>
      <c r="AN391" s="155" t="s">
        <v>265</v>
      </c>
      <c r="AO391" s="155">
        <v>1.0423922774307233</v>
      </c>
    </row>
    <row r="392" spans="29:41">
      <c r="AC392" s="155" t="s">
        <v>52</v>
      </c>
      <c r="AD392" s="155" t="s">
        <v>18</v>
      </c>
      <c r="AE392" s="155" t="s">
        <v>72</v>
      </c>
      <c r="AF392" s="155" t="s">
        <v>51</v>
      </c>
      <c r="AG392" s="155" t="s">
        <v>266</v>
      </c>
      <c r="AH392" s="155">
        <v>3.8425411667081901</v>
      </c>
      <c r="AJ392" s="155" t="s">
        <v>52</v>
      </c>
      <c r="AK392" s="155" t="s">
        <v>18</v>
      </c>
      <c r="AL392" s="155" t="s">
        <v>28</v>
      </c>
      <c r="AM392" s="155" t="s">
        <v>51</v>
      </c>
      <c r="AN392" s="155" t="s">
        <v>266</v>
      </c>
      <c r="AO392" s="155">
        <v>1.0276717947012202</v>
      </c>
    </row>
    <row r="393" spans="29:41">
      <c r="AC393" s="155" t="s">
        <v>52</v>
      </c>
      <c r="AD393" s="155" t="s">
        <v>18</v>
      </c>
      <c r="AE393" s="155" t="s">
        <v>72</v>
      </c>
      <c r="AF393" s="155" t="s">
        <v>51</v>
      </c>
      <c r="AG393" s="155" t="s">
        <v>267</v>
      </c>
      <c r="AH393" s="155">
        <v>3.9353424338077225</v>
      </c>
      <c r="AJ393" s="155" t="s">
        <v>52</v>
      </c>
      <c r="AK393" s="155" t="s">
        <v>18</v>
      </c>
      <c r="AL393" s="155" t="s">
        <v>28</v>
      </c>
      <c r="AM393" s="155" t="s">
        <v>51</v>
      </c>
      <c r="AN393" s="155" t="s">
        <v>267</v>
      </c>
      <c r="AO393" s="155">
        <v>1.1187749177383621</v>
      </c>
    </row>
    <row r="394" spans="29:41">
      <c r="AC394" s="155" t="s">
        <v>52</v>
      </c>
      <c r="AD394" s="155" t="s">
        <v>18</v>
      </c>
      <c r="AE394" s="155" t="s">
        <v>72</v>
      </c>
      <c r="AF394" s="155" t="s">
        <v>51</v>
      </c>
      <c r="AG394" s="155" t="s">
        <v>268</v>
      </c>
      <c r="AH394" s="155">
        <v>3.8725334437312955</v>
      </c>
      <c r="AJ394" s="155" t="s">
        <v>52</v>
      </c>
      <c r="AK394" s="155" t="s">
        <v>18</v>
      </c>
      <c r="AL394" s="155" t="s">
        <v>28</v>
      </c>
      <c r="AM394" s="155" t="s">
        <v>51</v>
      </c>
      <c r="AN394" s="155" t="s">
        <v>268</v>
      </c>
      <c r="AO394" s="155">
        <v>1.0833335036768956</v>
      </c>
    </row>
    <row r="395" spans="29:41">
      <c r="AC395" s="155" t="s">
        <v>52</v>
      </c>
      <c r="AD395" s="155" t="s">
        <v>18</v>
      </c>
      <c r="AE395" s="155" t="s">
        <v>72</v>
      </c>
      <c r="AF395" s="155" t="s">
        <v>51</v>
      </c>
      <c r="AG395" s="155" t="s">
        <v>269</v>
      </c>
      <c r="AH395" s="155">
        <v>3.8124950348616728</v>
      </c>
      <c r="AJ395" s="155" t="s">
        <v>52</v>
      </c>
      <c r="AK395" s="155" t="s">
        <v>18</v>
      </c>
      <c r="AL395" s="155" t="s">
        <v>28</v>
      </c>
      <c r="AM395" s="155" t="s">
        <v>51</v>
      </c>
      <c r="AN395" s="155" t="s">
        <v>269</v>
      </c>
      <c r="AO395" s="155">
        <v>1.1043914521501732</v>
      </c>
    </row>
    <row r="396" spans="29:41">
      <c r="AC396" s="155" t="s">
        <v>52</v>
      </c>
      <c r="AD396" s="155" t="s">
        <v>18</v>
      </c>
      <c r="AE396" s="155" t="s">
        <v>72</v>
      </c>
      <c r="AF396" s="155" t="s">
        <v>51</v>
      </c>
      <c r="AG396" s="155" t="s">
        <v>270</v>
      </c>
      <c r="AH396" s="155">
        <v>3.8124950348616728</v>
      </c>
      <c r="AJ396" s="155" t="s">
        <v>52</v>
      </c>
      <c r="AK396" s="155" t="s">
        <v>18</v>
      </c>
      <c r="AL396" s="155" t="s">
        <v>28</v>
      </c>
      <c r="AM396" s="155" t="s">
        <v>51</v>
      </c>
      <c r="AN396" s="155" t="s">
        <v>270</v>
      </c>
      <c r="AO396" s="155">
        <v>1.0820511121264931</v>
      </c>
    </row>
    <row r="397" spans="29:41">
      <c r="AC397" s="155" t="s">
        <v>52</v>
      </c>
      <c r="AD397" s="155" t="s">
        <v>18</v>
      </c>
      <c r="AE397" s="155" t="s">
        <v>72</v>
      </c>
      <c r="AF397" s="155" t="s">
        <v>51</v>
      </c>
      <c r="AG397" s="155" t="s">
        <v>271</v>
      </c>
      <c r="AH397" s="155">
        <v>3.812592661796018</v>
      </c>
      <c r="AJ397" s="155" t="s">
        <v>52</v>
      </c>
      <c r="AK397" s="155" t="s">
        <v>18</v>
      </c>
      <c r="AL397" s="155" t="s">
        <v>28</v>
      </c>
      <c r="AM397" s="155" t="s">
        <v>51</v>
      </c>
      <c r="AN397" s="155" t="s">
        <v>271</v>
      </c>
      <c r="AO397" s="155">
        <v>1.0791198270748981</v>
      </c>
    </row>
    <row r="398" spans="29:41">
      <c r="AC398" s="155" t="s">
        <v>52</v>
      </c>
      <c r="AD398" s="155" t="s">
        <v>18</v>
      </c>
      <c r="AE398" s="155" t="s">
        <v>72</v>
      </c>
      <c r="AF398" s="155" t="s">
        <v>51</v>
      </c>
      <c r="AG398" s="155" t="s">
        <v>272</v>
      </c>
      <c r="AH398" s="155">
        <v>3.8425411667081901</v>
      </c>
      <c r="AJ398" s="155" t="s">
        <v>52</v>
      </c>
      <c r="AK398" s="155" t="s">
        <v>18</v>
      </c>
      <c r="AL398" s="155" t="s">
        <v>28</v>
      </c>
      <c r="AM398" s="155" t="s">
        <v>51</v>
      </c>
      <c r="AN398" s="155" t="s">
        <v>272</v>
      </c>
      <c r="AO398" s="155">
        <v>1.10733900700999</v>
      </c>
    </row>
    <row r="399" spans="29:41">
      <c r="AC399" s="155" t="s">
        <v>52</v>
      </c>
      <c r="AD399" s="155" t="s">
        <v>18</v>
      </c>
      <c r="AE399" s="155" t="s">
        <v>72</v>
      </c>
      <c r="AF399" s="155" t="s">
        <v>51</v>
      </c>
      <c r="AG399" s="155" t="s">
        <v>273</v>
      </c>
      <c r="AH399" s="155">
        <v>3.8425411667081901</v>
      </c>
      <c r="AJ399" s="155" t="s">
        <v>52</v>
      </c>
      <c r="AK399" s="155" t="s">
        <v>18</v>
      </c>
      <c r="AL399" s="155" t="s">
        <v>28</v>
      </c>
      <c r="AM399" s="155" t="s">
        <v>51</v>
      </c>
      <c r="AN399" s="155" t="s">
        <v>273</v>
      </c>
      <c r="AO399" s="155">
        <v>1.0696061705324202</v>
      </c>
    </row>
    <row r="400" spans="29:41">
      <c r="AC400" s="155" t="s">
        <v>52</v>
      </c>
      <c r="AD400" s="155" t="s">
        <v>18</v>
      </c>
      <c r="AE400" s="155" t="s">
        <v>72</v>
      </c>
      <c r="AF400" s="155" t="s">
        <v>51</v>
      </c>
      <c r="AG400" s="155" t="s">
        <v>274</v>
      </c>
      <c r="AH400" s="155">
        <v>3.8425411667081901</v>
      </c>
      <c r="AJ400" s="155" t="s">
        <v>52</v>
      </c>
      <c r="AK400" s="155" t="s">
        <v>18</v>
      </c>
      <c r="AL400" s="155" t="s">
        <v>28</v>
      </c>
      <c r="AM400" s="155" t="s">
        <v>51</v>
      </c>
      <c r="AN400" s="155" t="s">
        <v>274</v>
      </c>
      <c r="AO400" s="155">
        <v>1.0978648600144802</v>
      </c>
    </row>
    <row r="401" spans="29:41">
      <c r="AC401" s="155" t="s">
        <v>52</v>
      </c>
      <c r="AD401" s="155" t="s">
        <v>18</v>
      </c>
      <c r="AE401" s="155" t="s">
        <v>72</v>
      </c>
      <c r="AF401" s="155" t="s">
        <v>51</v>
      </c>
      <c r="AG401" s="155" t="s">
        <v>275</v>
      </c>
      <c r="AH401" s="155">
        <v>3.8425411667081901</v>
      </c>
      <c r="AJ401" s="155" t="s">
        <v>52</v>
      </c>
      <c r="AK401" s="155" t="s">
        <v>18</v>
      </c>
      <c r="AL401" s="155" t="s">
        <v>28</v>
      </c>
      <c r="AM401" s="155" t="s">
        <v>51</v>
      </c>
      <c r="AN401" s="155" t="s">
        <v>275</v>
      </c>
      <c r="AO401" s="155">
        <v>1.1251769013962403</v>
      </c>
    </row>
    <row r="402" spans="29:41">
      <c r="AC402" s="155" t="s">
        <v>52</v>
      </c>
      <c r="AD402" s="155" t="s">
        <v>18</v>
      </c>
      <c r="AE402" s="155" t="s">
        <v>72</v>
      </c>
      <c r="AF402" s="155" t="s">
        <v>51</v>
      </c>
      <c r="AG402" s="155" t="s">
        <v>276</v>
      </c>
      <c r="AH402" s="155">
        <v>3.8425411667081901</v>
      </c>
      <c r="AJ402" s="155" t="s">
        <v>52</v>
      </c>
      <c r="AK402" s="155" t="s">
        <v>18</v>
      </c>
      <c r="AL402" s="155" t="s">
        <v>28</v>
      </c>
      <c r="AM402" s="155" t="s">
        <v>51</v>
      </c>
      <c r="AN402" s="155" t="s">
        <v>276</v>
      </c>
      <c r="AO402" s="155">
        <v>1.0712657937763603</v>
      </c>
    </row>
    <row r="403" spans="29:41">
      <c r="AC403" s="155" t="s">
        <v>52</v>
      </c>
      <c r="AD403" s="155" t="s">
        <v>18</v>
      </c>
      <c r="AE403" s="155" t="s">
        <v>72</v>
      </c>
      <c r="AF403" s="155" t="s">
        <v>51</v>
      </c>
      <c r="AG403" s="155" t="s">
        <v>277</v>
      </c>
      <c r="AH403" s="155">
        <v>3.8425411667081901</v>
      </c>
      <c r="AJ403" s="155" t="s">
        <v>52</v>
      </c>
      <c r="AK403" s="155" t="s">
        <v>18</v>
      </c>
      <c r="AL403" s="155" t="s">
        <v>28</v>
      </c>
      <c r="AM403" s="155" t="s">
        <v>51</v>
      </c>
      <c r="AN403" s="155" t="s">
        <v>277</v>
      </c>
      <c r="AO403" s="155">
        <v>1.0866835802732404</v>
      </c>
    </row>
    <row r="404" spans="29:41">
      <c r="AC404" s="155" t="s">
        <v>52</v>
      </c>
      <c r="AD404" s="155" t="s">
        <v>18</v>
      </c>
      <c r="AE404" s="155" t="s">
        <v>72</v>
      </c>
      <c r="AF404" s="155" t="s">
        <v>51</v>
      </c>
      <c r="AG404" s="155" t="s">
        <v>278</v>
      </c>
      <c r="AH404" s="155">
        <v>3.8124950348616728</v>
      </c>
      <c r="AJ404" s="155" t="s">
        <v>52</v>
      </c>
      <c r="AK404" s="155" t="s">
        <v>18</v>
      </c>
      <c r="AL404" s="155" t="s">
        <v>28</v>
      </c>
      <c r="AM404" s="155" t="s">
        <v>51</v>
      </c>
      <c r="AN404" s="155" t="s">
        <v>278</v>
      </c>
      <c r="AO404" s="155">
        <v>1.0885117257946226</v>
      </c>
    </row>
    <row r="405" spans="29:41">
      <c r="AC405" s="155" t="s">
        <v>52</v>
      </c>
      <c r="AD405" s="155" t="s">
        <v>18</v>
      </c>
      <c r="AE405" s="155" t="s">
        <v>72</v>
      </c>
      <c r="AF405" s="155" t="s">
        <v>51</v>
      </c>
      <c r="AG405" s="155" t="s">
        <v>279</v>
      </c>
      <c r="AH405" s="155">
        <v>3.8425411667081901</v>
      </c>
      <c r="AJ405" s="155" t="s">
        <v>52</v>
      </c>
      <c r="AK405" s="155" t="s">
        <v>18</v>
      </c>
      <c r="AL405" s="155" t="s">
        <v>28</v>
      </c>
      <c r="AM405" s="155" t="s">
        <v>51</v>
      </c>
      <c r="AN405" s="155" t="s">
        <v>279</v>
      </c>
      <c r="AO405" s="155">
        <v>1.0467291214957302</v>
      </c>
    </row>
    <row r="406" spans="29:41">
      <c r="AC406" s="155" t="s">
        <v>52</v>
      </c>
      <c r="AD406" s="155" t="s">
        <v>18</v>
      </c>
      <c r="AE406" s="155" t="s">
        <v>72</v>
      </c>
      <c r="AF406" s="155" t="s">
        <v>51</v>
      </c>
      <c r="AG406" s="155" t="s">
        <v>280</v>
      </c>
      <c r="AH406" s="155">
        <v>3.8725334437312955</v>
      </c>
      <c r="AJ406" s="155" t="s">
        <v>52</v>
      </c>
      <c r="AK406" s="155" t="s">
        <v>18</v>
      </c>
      <c r="AL406" s="155" t="s">
        <v>28</v>
      </c>
      <c r="AM406" s="155" t="s">
        <v>51</v>
      </c>
      <c r="AN406" s="155" t="s">
        <v>280</v>
      </c>
      <c r="AO406" s="155">
        <v>0.9964904566794559</v>
      </c>
    </row>
    <row r="407" spans="29:41">
      <c r="AC407" s="155" t="s">
        <v>52</v>
      </c>
      <c r="AD407" s="155" t="s">
        <v>18</v>
      </c>
      <c r="AE407" s="155" t="s">
        <v>72</v>
      </c>
      <c r="AF407" s="155" t="s">
        <v>51</v>
      </c>
      <c r="AG407" s="155" t="s">
        <v>281</v>
      </c>
      <c r="AH407" s="155">
        <v>3.9353424338077225</v>
      </c>
      <c r="AJ407" s="155" t="s">
        <v>52</v>
      </c>
      <c r="AK407" s="155" t="s">
        <v>18</v>
      </c>
      <c r="AL407" s="155" t="s">
        <v>28</v>
      </c>
      <c r="AM407" s="155" t="s">
        <v>51</v>
      </c>
      <c r="AN407" s="155" t="s">
        <v>281</v>
      </c>
      <c r="AO407" s="155">
        <v>1.0909243312621324</v>
      </c>
    </row>
    <row r="408" spans="29:41">
      <c r="AC408" s="155" t="s">
        <v>52</v>
      </c>
      <c r="AD408" s="155" t="s">
        <v>18</v>
      </c>
      <c r="AE408" s="155" t="s">
        <v>72</v>
      </c>
      <c r="AF408" s="155" t="s">
        <v>51</v>
      </c>
      <c r="AG408" s="155" t="s">
        <v>282</v>
      </c>
      <c r="AH408" s="155">
        <v>3.9353424338077225</v>
      </c>
      <c r="AJ408" s="155" t="s">
        <v>52</v>
      </c>
      <c r="AK408" s="155" t="s">
        <v>18</v>
      </c>
      <c r="AL408" s="155" t="s">
        <v>28</v>
      </c>
      <c r="AM408" s="155" t="s">
        <v>51</v>
      </c>
      <c r="AN408" s="155" t="s">
        <v>282</v>
      </c>
      <c r="AO408" s="155">
        <v>1.0702956130149426</v>
      </c>
    </row>
    <row r="409" spans="29:41">
      <c r="AC409" s="155" t="s">
        <v>52</v>
      </c>
      <c r="AD409" s="155" t="s">
        <v>18</v>
      </c>
      <c r="AE409" s="155" t="s">
        <v>72</v>
      </c>
      <c r="AF409" s="155" t="s">
        <v>51</v>
      </c>
      <c r="AG409" s="155" t="s">
        <v>283</v>
      </c>
      <c r="AH409" s="155">
        <v>3.9062558298878747</v>
      </c>
      <c r="AJ409" s="155" t="s">
        <v>52</v>
      </c>
      <c r="AK409" s="155" t="s">
        <v>18</v>
      </c>
      <c r="AL409" s="155" t="s">
        <v>28</v>
      </c>
      <c r="AM409" s="155" t="s">
        <v>51</v>
      </c>
      <c r="AN409" s="155" t="s">
        <v>283</v>
      </c>
      <c r="AO409" s="155">
        <v>1.0079574446424944</v>
      </c>
    </row>
    <row r="410" spans="29:41">
      <c r="AC410" s="155" t="s">
        <v>52</v>
      </c>
      <c r="AD410" s="155" t="s">
        <v>18</v>
      </c>
      <c r="AE410" s="155" t="s">
        <v>72</v>
      </c>
      <c r="AF410" s="155" t="s">
        <v>51</v>
      </c>
      <c r="AG410" s="155" t="s">
        <v>284</v>
      </c>
      <c r="AH410" s="155">
        <v>3.9361387568601574</v>
      </c>
      <c r="AJ410" s="155" t="s">
        <v>52</v>
      </c>
      <c r="AK410" s="155" t="s">
        <v>18</v>
      </c>
      <c r="AL410" s="155" t="s">
        <v>28</v>
      </c>
      <c r="AM410" s="155" t="s">
        <v>51</v>
      </c>
      <c r="AN410" s="155" t="s">
        <v>284</v>
      </c>
      <c r="AO410" s="155">
        <v>1.0020757233933677</v>
      </c>
    </row>
    <row r="411" spans="29:41">
      <c r="AC411" s="155" t="s">
        <v>52</v>
      </c>
      <c r="AD411" s="155" t="s">
        <v>18</v>
      </c>
      <c r="AE411" s="155" t="s">
        <v>72</v>
      </c>
      <c r="AF411" s="155" t="s">
        <v>51</v>
      </c>
      <c r="AG411" s="155" t="s">
        <v>285</v>
      </c>
      <c r="AH411" s="155">
        <v>3.9659683192190758</v>
      </c>
      <c r="AJ411" s="155" t="s">
        <v>52</v>
      </c>
      <c r="AK411" s="155" t="s">
        <v>18</v>
      </c>
      <c r="AL411" s="155" t="s">
        <v>28</v>
      </c>
      <c r="AM411" s="155" t="s">
        <v>51</v>
      </c>
      <c r="AN411" s="155" t="s">
        <v>285</v>
      </c>
      <c r="AO411" s="155">
        <v>1.0271656338358255</v>
      </c>
    </row>
    <row r="412" spans="29:41">
      <c r="AC412" s="155" t="s">
        <v>52</v>
      </c>
      <c r="AD412" s="155" t="s">
        <v>18</v>
      </c>
      <c r="AE412" s="155" t="s">
        <v>72</v>
      </c>
      <c r="AF412" s="155" t="s">
        <v>51</v>
      </c>
      <c r="AG412" s="155" t="s">
        <v>286</v>
      </c>
      <c r="AH412" s="155">
        <v>4.0284371983798186</v>
      </c>
      <c r="AJ412" s="155" t="s">
        <v>52</v>
      </c>
      <c r="AK412" s="155" t="s">
        <v>18</v>
      </c>
      <c r="AL412" s="155" t="s">
        <v>28</v>
      </c>
      <c r="AM412" s="155" t="s">
        <v>51</v>
      </c>
      <c r="AN412" s="155" t="s">
        <v>286</v>
      </c>
      <c r="AO412" s="155">
        <v>1.015739202945859</v>
      </c>
    </row>
    <row r="413" spans="29:41">
      <c r="AC413" s="155" t="s">
        <v>52</v>
      </c>
      <c r="AD413" s="155" t="s">
        <v>18</v>
      </c>
      <c r="AE413" s="155" t="s">
        <v>72</v>
      </c>
      <c r="AF413" s="155" t="s">
        <v>51</v>
      </c>
      <c r="AG413" s="155" t="s">
        <v>287</v>
      </c>
      <c r="AH413" s="155">
        <v>4.0936300339223344</v>
      </c>
      <c r="AJ413" s="155" t="s">
        <v>52</v>
      </c>
      <c r="AK413" s="155" t="s">
        <v>18</v>
      </c>
      <c r="AL413" s="155" t="s">
        <v>28</v>
      </c>
      <c r="AM413" s="155" t="s">
        <v>51</v>
      </c>
      <c r="AN413" s="155" t="s">
        <v>287</v>
      </c>
      <c r="AO413" s="155">
        <v>1.0541586348790044</v>
      </c>
    </row>
    <row r="414" spans="29:41">
      <c r="AC414" s="155" t="s">
        <v>52</v>
      </c>
      <c r="AD414" s="155" t="s">
        <v>18</v>
      </c>
      <c r="AE414" s="155" t="s">
        <v>72</v>
      </c>
      <c r="AF414" s="155" t="s">
        <v>51</v>
      </c>
      <c r="AG414" s="155" t="s">
        <v>288</v>
      </c>
      <c r="AH414" s="155">
        <v>4.0936300339223344</v>
      </c>
      <c r="AJ414" s="155" t="s">
        <v>52</v>
      </c>
      <c r="AK414" s="155" t="s">
        <v>18</v>
      </c>
      <c r="AL414" s="155" t="s">
        <v>28</v>
      </c>
      <c r="AM414" s="155" t="s">
        <v>51</v>
      </c>
      <c r="AN414" s="155" t="s">
        <v>288</v>
      </c>
      <c r="AO414" s="155">
        <v>1.0695419304404443</v>
      </c>
    </row>
    <row r="415" spans="29:41">
      <c r="AC415" s="155" t="s">
        <v>52</v>
      </c>
      <c r="AD415" s="155" t="s">
        <v>18</v>
      </c>
      <c r="AE415" s="155" t="s">
        <v>72</v>
      </c>
      <c r="AF415" s="155" t="s">
        <v>51</v>
      </c>
      <c r="AG415" s="155" t="s">
        <v>289</v>
      </c>
      <c r="AH415" s="155">
        <v>4.0936300339223344</v>
      </c>
      <c r="AJ415" s="155" t="s">
        <v>52</v>
      </c>
      <c r="AK415" s="155" t="s">
        <v>18</v>
      </c>
      <c r="AL415" s="155" t="s">
        <v>28</v>
      </c>
      <c r="AM415" s="155" t="s">
        <v>51</v>
      </c>
      <c r="AN415" s="155" t="s">
        <v>289</v>
      </c>
      <c r="AO415" s="155">
        <v>1.0520796930475245</v>
      </c>
    </row>
    <row r="416" spans="29:41">
      <c r="AC416" s="155" t="s">
        <v>52</v>
      </c>
      <c r="AD416" s="155" t="s">
        <v>18</v>
      </c>
      <c r="AE416" s="155" t="s">
        <v>72</v>
      </c>
      <c r="AF416" s="155" t="s">
        <v>51</v>
      </c>
      <c r="AG416" s="155" t="s">
        <v>290</v>
      </c>
      <c r="AH416" s="155">
        <v>4.0936300339223344</v>
      </c>
      <c r="AJ416" s="155" t="s">
        <v>52</v>
      </c>
      <c r="AK416" s="155" t="s">
        <v>18</v>
      </c>
      <c r="AL416" s="155" t="s">
        <v>28</v>
      </c>
      <c r="AM416" s="155" t="s">
        <v>51</v>
      </c>
      <c r="AN416" s="155" t="s">
        <v>290</v>
      </c>
      <c r="AO416" s="155">
        <v>1.0904096572331747</v>
      </c>
    </row>
    <row r="417" spans="29:41">
      <c r="AC417" s="155" t="s">
        <v>52</v>
      </c>
      <c r="AD417" s="155" t="s">
        <v>18</v>
      </c>
      <c r="AE417" s="155" t="s">
        <v>72</v>
      </c>
      <c r="AF417" s="155" t="s">
        <v>51</v>
      </c>
      <c r="AG417" s="155" t="s">
        <v>291</v>
      </c>
      <c r="AH417" s="155">
        <v>4.0610656170015185</v>
      </c>
      <c r="AJ417" s="155" t="s">
        <v>52</v>
      </c>
      <c r="AK417" s="155" t="s">
        <v>18</v>
      </c>
      <c r="AL417" s="155" t="s">
        <v>28</v>
      </c>
      <c r="AM417" s="155" t="s">
        <v>51</v>
      </c>
      <c r="AN417" s="155" t="s">
        <v>291</v>
      </c>
      <c r="AO417" s="155">
        <v>1.0648306693390386</v>
      </c>
    </row>
    <row r="418" spans="29:41">
      <c r="AC418" s="155" t="s">
        <v>52</v>
      </c>
      <c r="AD418" s="155" t="s">
        <v>18</v>
      </c>
      <c r="AE418" s="155" t="s">
        <v>72</v>
      </c>
      <c r="AF418" s="155" t="s">
        <v>51</v>
      </c>
      <c r="AG418" s="155" t="s">
        <v>292</v>
      </c>
      <c r="AH418" s="155">
        <v>4.0610656170015185</v>
      </c>
      <c r="AJ418" s="155" t="s">
        <v>52</v>
      </c>
      <c r="AK418" s="155" t="s">
        <v>18</v>
      </c>
      <c r="AL418" s="155" t="s">
        <v>28</v>
      </c>
      <c r="AM418" s="155" t="s">
        <v>51</v>
      </c>
      <c r="AN418" s="155" t="s">
        <v>292</v>
      </c>
      <c r="AO418" s="155">
        <v>1.0781168177494285</v>
      </c>
    </row>
    <row r="419" spans="29:41">
      <c r="AC419" s="155" t="s">
        <v>52</v>
      </c>
      <c r="AD419" s="155" t="s">
        <v>18</v>
      </c>
      <c r="AE419" s="155" t="s">
        <v>72</v>
      </c>
      <c r="AF419" s="155" t="s">
        <v>51</v>
      </c>
      <c r="AG419" s="155" t="s">
        <v>293</v>
      </c>
      <c r="AH419" s="155">
        <v>4.0610656170015185</v>
      </c>
      <c r="AJ419" s="155" t="s">
        <v>52</v>
      </c>
      <c r="AK419" s="155" t="s">
        <v>18</v>
      </c>
      <c r="AL419" s="155" t="s">
        <v>28</v>
      </c>
      <c r="AM419" s="155" t="s">
        <v>51</v>
      </c>
      <c r="AN419" s="155" t="s">
        <v>293</v>
      </c>
      <c r="AO419" s="155">
        <v>1.0818429055219685</v>
      </c>
    </row>
    <row r="420" spans="29:41">
      <c r="AC420" s="155" t="s">
        <v>52</v>
      </c>
      <c r="AD420" s="155" t="s">
        <v>18</v>
      </c>
      <c r="AE420" s="155" t="s">
        <v>72</v>
      </c>
      <c r="AF420" s="155" t="s">
        <v>51</v>
      </c>
      <c r="AG420" s="155" t="s">
        <v>294</v>
      </c>
      <c r="AH420" s="155">
        <v>4.0284371983798186</v>
      </c>
      <c r="AJ420" s="155" t="s">
        <v>52</v>
      </c>
      <c r="AK420" s="155" t="s">
        <v>18</v>
      </c>
      <c r="AL420" s="155" t="s">
        <v>28</v>
      </c>
      <c r="AM420" s="155" t="s">
        <v>51</v>
      </c>
      <c r="AN420" s="155" t="s">
        <v>294</v>
      </c>
      <c r="AO420" s="155">
        <v>1.0716931602865889</v>
      </c>
    </row>
    <row r="421" spans="29:41">
      <c r="AC421" s="155" t="s">
        <v>52</v>
      </c>
      <c r="AD421" s="155" t="s">
        <v>18</v>
      </c>
      <c r="AE421" s="155" t="s">
        <v>72</v>
      </c>
      <c r="AF421" s="155" t="s">
        <v>51</v>
      </c>
      <c r="AG421" s="155" t="s">
        <v>295</v>
      </c>
      <c r="AH421" s="155">
        <v>4.0284371983798186</v>
      </c>
      <c r="AJ421" s="155" t="s">
        <v>52</v>
      </c>
      <c r="AK421" s="155" t="s">
        <v>18</v>
      </c>
      <c r="AL421" s="155" t="s">
        <v>28</v>
      </c>
      <c r="AM421" s="155" t="s">
        <v>51</v>
      </c>
      <c r="AN421" s="155" t="s">
        <v>295</v>
      </c>
      <c r="AO421" s="155">
        <v>1.0505556572993691</v>
      </c>
    </row>
    <row r="422" spans="29:41">
      <c r="AC422" s="155" t="s">
        <v>52</v>
      </c>
      <c r="AD422" s="155" t="s">
        <v>18</v>
      </c>
      <c r="AE422" s="155" t="s">
        <v>72</v>
      </c>
      <c r="AF422" s="155" t="s">
        <v>51</v>
      </c>
      <c r="AG422" s="155" t="s">
        <v>236</v>
      </c>
      <c r="AH422" s="155">
        <v>4.0936300339223344</v>
      </c>
      <c r="AJ422" s="155" t="s">
        <v>52</v>
      </c>
      <c r="AK422" s="155" t="s">
        <v>18</v>
      </c>
      <c r="AL422" s="155" t="s">
        <v>28</v>
      </c>
      <c r="AM422" s="155" t="s">
        <v>51</v>
      </c>
      <c r="AN422" s="155" t="s">
        <v>236</v>
      </c>
      <c r="AO422" s="155">
        <v>1.1152543712396248</v>
      </c>
    </row>
    <row r="423" spans="29:41">
      <c r="AC423" s="155" t="s">
        <v>52</v>
      </c>
      <c r="AD423" s="155" t="s">
        <v>18</v>
      </c>
      <c r="AE423" s="155" t="s">
        <v>72</v>
      </c>
      <c r="AF423" s="155" t="s">
        <v>51</v>
      </c>
      <c r="AG423" s="155" t="s">
        <v>296</v>
      </c>
      <c r="AH423" s="155">
        <v>4.0284371983798186</v>
      </c>
      <c r="AJ423" s="155" t="s">
        <v>52</v>
      </c>
      <c r="AK423" s="155" t="s">
        <v>18</v>
      </c>
      <c r="AL423" s="155" t="s">
        <v>28</v>
      </c>
      <c r="AM423" s="155" t="s">
        <v>51</v>
      </c>
      <c r="AN423" s="155" t="s">
        <v>296</v>
      </c>
      <c r="AO423" s="155">
        <v>1.0558221379197688</v>
      </c>
    </row>
    <row r="424" spans="29:41">
      <c r="AC424" s="155" t="s">
        <v>52</v>
      </c>
      <c r="AD424" s="155" t="s">
        <v>18</v>
      </c>
      <c r="AE424" s="155" t="s">
        <v>72</v>
      </c>
      <c r="AF424" s="155" t="s">
        <v>51</v>
      </c>
      <c r="AG424" s="155" t="s">
        <v>297</v>
      </c>
      <c r="AH424" s="155">
        <v>4.0610656170015185</v>
      </c>
      <c r="AJ424" s="155" t="s">
        <v>52</v>
      </c>
      <c r="AK424" s="155" t="s">
        <v>18</v>
      </c>
      <c r="AL424" s="155" t="s">
        <v>28</v>
      </c>
      <c r="AM424" s="155" t="s">
        <v>51</v>
      </c>
      <c r="AN424" s="155" t="s">
        <v>297</v>
      </c>
      <c r="AO424" s="155">
        <v>1.0910665761684382</v>
      </c>
    </row>
    <row r="425" spans="29:41">
      <c r="AC425" s="155" t="s">
        <v>52</v>
      </c>
      <c r="AD425" s="155" t="s">
        <v>18</v>
      </c>
      <c r="AE425" s="155" t="s">
        <v>72</v>
      </c>
      <c r="AF425" s="155" t="s">
        <v>51</v>
      </c>
      <c r="AG425" s="155" t="s">
        <v>298</v>
      </c>
      <c r="AH425" s="155">
        <v>4.0610656170015185</v>
      </c>
      <c r="AJ425" s="155" t="s">
        <v>52</v>
      </c>
      <c r="AK425" s="155" t="s">
        <v>18</v>
      </c>
      <c r="AL425" s="155" t="s">
        <v>28</v>
      </c>
      <c r="AM425" s="155" t="s">
        <v>51</v>
      </c>
      <c r="AN425" s="155" t="s">
        <v>298</v>
      </c>
      <c r="AO425" s="155">
        <v>1.0982657903298283</v>
      </c>
    </row>
    <row r="426" spans="29:41">
      <c r="AC426" s="155" t="s">
        <v>52</v>
      </c>
      <c r="AD426" s="155" t="s">
        <v>18</v>
      </c>
      <c r="AE426" s="155" t="s">
        <v>72</v>
      </c>
      <c r="AF426" s="155" t="s">
        <v>51</v>
      </c>
      <c r="AG426" s="155" t="s">
        <v>299</v>
      </c>
      <c r="AH426" s="155">
        <v>4.0610656170015185</v>
      </c>
      <c r="AJ426" s="155" t="s">
        <v>52</v>
      </c>
      <c r="AK426" s="155" t="s">
        <v>18</v>
      </c>
      <c r="AL426" s="155" t="s">
        <v>28</v>
      </c>
      <c r="AM426" s="155" t="s">
        <v>51</v>
      </c>
      <c r="AN426" s="155" t="s">
        <v>299</v>
      </c>
      <c r="AO426" s="155">
        <v>1.1135983511412983</v>
      </c>
    </row>
    <row r="427" spans="29:41">
      <c r="AC427" s="155" t="s">
        <v>52</v>
      </c>
      <c r="AD427" s="155" t="s">
        <v>18</v>
      </c>
      <c r="AE427" s="155" t="s">
        <v>72</v>
      </c>
      <c r="AF427" s="155" t="s">
        <v>51</v>
      </c>
      <c r="AG427" s="155" t="s">
        <v>300</v>
      </c>
      <c r="AH427" s="155">
        <v>4.0284371983798186</v>
      </c>
      <c r="AJ427" s="155" t="s">
        <v>52</v>
      </c>
      <c r="AK427" s="155" t="s">
        <v>18</v>
      </c>
      <c r="AL427" s="155" t="s">
        <v>28</v>
      </c>
      <c r="AM427" s="155" t="s">
        <v>51</v>
      </c>
      <c r="AN427" s="155" t="s">
        <v>300</v>
      </c>
      <c r="AO427" s="155">
        <v>1.1337073492354985</v>
      </c>
    </row>
    <row r="428" spans="29:41">
      <c r="AC428" s="155" t="s">
        <v>52</v>
      </c>
      <c r="AD428" s="155" t="s">
        <v>18</v>
      </c>
      <c r="AE428" s="155" t="s">
        <v>72</v>
      </c>
      <c r="AF428" s="155" t="s">
        <v>51</v>
      </c>
      <c r="AG428" s="155" t="s">
        <v>301</v>
      </c>
      <c r="AH428" s="155">
        <v>3.9659683192190758</v>
      </c>
      <c r="AJ428" s="155" t="s">
        <v>52</v>
      </c>
      <c r="AK428" s="155" t="s">
        <v>18</v>
      </c>
      <c r="AL428" s="155" t="s">
        <v>28</v>
      </c>
      <c r="AM428" s="155" t="s">
        <v>51</v>
      </c>
      <c r="AN428" s="155" t="s">
        <v>301</v>
      </c>
      <c r="AO428" s="155">
        <v>1.0494089721728754</v>
      </c>
    </row>
    <row r="429" spans="29:41">
      <c r="AC429" s="155" t="s">
        <v>52</v>
      </c>
      <c r="AD429" s="155" t="s">
        <v>18</v>
      </c>
      <c r="AE429" s="155" t="s">
        <v>72</v>
      </c>
      <c r="AF429" s="155" t="s">
        <v>51</v>
      </c>
      <c r="AG429" s="155" t="s">
        <v>302</v>
      </c>
      <c r="AH429" s="155">
        <v>4.0936300339223344</v>
      </c>
      <c r="AJ429" s="155" t="s">
        <v>52</v>
      </c>
      <c r="AK429" s="155" t="s">
        <v>18</v>
      </c>
      <c r="AL429" s="155" t="s">
        <v>28</v>
      </c>
      <c r="AM429" s="155" t="s">
        <v>51</v>
      </c>
      <c r="AN429" s="155" t="s">
        <v>302</v>
      </c>
      <c r="AO429" s="155">
        <v>1.0391993670193747</v>
      </c>
    </row>
    <row r="430" spans="29:41">
      <c r="AC430" s="155" t="s">
        <v>52</v>
      </c>
      <c r="AD430" s="155" t="s">
        <v>18</v>
      </c>
      <c r="AE430" s="155" t="s">
        <v>72</v>
      </c>
      <c r="AF430" s="155" t="s">
        <v>51</v>
      </c>
      <c r="AG430" s="155" t="s">
        <v>303</v>
      </c>
      <c r="AH430" s="155">
        <v>4.0936300339223344</v>
      </c>
      <c r="AJ430" s="155" t="s">
        <v>52</v>
      </c>
      <c r="AK430" s="155" t="s">
        <v>18</v>
      </c>
      <c r="AL430" s="155" t="s">
        <v>28</v>
      </c>
      <c r="AM430" s="155" t="s">
        <v>51</v>
      </c>
      <c r="AN430" s="155" t="s">
        <v>303</v>
      </c>
      <c r="AO430" s="155">
        <v>1.0969918504511147</v>
      </c>
    </row>
    <row r="431" spans="29:41">
      <c r="AC431" s="155" t="s">
        <v>52</v>
      </c>
      <c r="AD431" s="155" t="s">
        <v>18</v>
      </c>
      <c r="AE431" s="155" t="s">
        <v>72</v>
      </c>
      <c r="AF431" s="155" t="s">
        <v>51</v>
      </c>
      <c r="AG431" s="155" t="s">
        <v>304</v>
      </c>
      <c r="AH431" s="155">
        <v>4.0936300339223344</v>
      </c>
      <c r="AJ431" s="155" t="s">
        <v>52</v>
      </c>
      <c r="AK431" s="155" t="s">
        <v>18</v>
      </c>
      <c r="AL431" s="155" t="s">
        <v>28</v>
      </c>
      <c r="AM431" s="155" t="s">
        <v>51</v>
      </c>
      <c r="AN431" s="155" t="s">
        <v>304</v>
      </c>
      <c r="AO431" s="155">
        <v>1.1437313448721744</v>
      </c>
    </row>
    <row r="432" spans="29:41">
      <c r="AC432" s="155" t="s">
        <v>52</v>
      </c>
      <c r="AD432" s="155" t="s">
        <v>18</v>
      </c>
      <c r="AE432" s="155" t="s">
        <v>72</v>
      </c>
      <c r="AF432" s="155" t="s">
        <v>51</v>
      </c>
      <c r="AG432" s="155" t="s">
        <v>305</v>
      </c>
      <c r="AH432" s="155">
        <v>3.9987193359155064</v>
      </c>
      <c r="AJ432" s="155" t="s">
        <v>52</v>
      </c>
      <c r="AK432" s="155" t="s">
        <v>18</v>
      </c>
      <c r="AL432" s="155" t="s">
        <v>28</v>
      </c>
      <c r="AM432" s="155" t="s">
        <v>51</v>
      </c>
      <c r="AN432" s="155" t="s">
        <v>305</v>
      </c>
      <c r="AO432" s="155">
        <v>1.0237920370338864</v>
      </c>
    </row>
    <row r="433" spans="29:41">
      <c r="AC433" s="155" t="s">
        <v>52</v>
      </c>
      <c r="AD433" s="155" t="s">
        <v>18</v>
      </c>
      <c r="AE433" s="155" t="s">
        <v>72</v>
      </c>
      <c r="AF433" s="155" t="s">
        <v>51</v>
      </c>
      <c r="AG433" s="155" t="s">
        <v>306</v>
      </c>
      <c r="AH433" s="155">
        <v>4.0284371983798186</v>
      </c>
      <c r="AJ433" s="155" t="s">
        <v>52</v>
      </c>
      <c r="AK433" s="155" t="s">
        <v>18</v>
      </c>
      <c r="AL433" s="155" t="s">
        <v>28</v>
      </c>
      <c r="AM433" s="155" t="s">
        <v>51</v>
      </c>
      <c r="AN433" s="155" t="s">
        <v>306</v>
      </c>
      <c r="AO433" s="155">
        <v>1.0699809403240188</v>
      </c>
    </row>
    <row r="434" spans="29:41">
      <c r="AC434" s="155" t="s">
        <v>52</v>
      </c>
      <c r="AD434" s="155" t="s">
        <v>18</v>
      </c>
      <c r="AE434" s="155" t="s">
        <v>72</v>
      </c>
      <c r="AF434" s="155" t="s">
        <v>51</v>
      </c>
      <c r="AG434" s="155" t="s">
        <v>307</v>
      </c>
      <c r="AH434" s="155">
        <v>4.0284371983798186</v>
      </c>
      <c r="AJ434" s="155" t="s">
        <v>52</v>
      </c>
      <c r="AK434" s="155" t="s">
        <v>18</v>
      </c>
      <c r="AL434" s="155" t="s">
        <v>28</v>
      </c>
      <c r="AM434" s="155" t="s">
        <v>51</v>
      </c>
      <c r="AN434" s="155" t="s">
        <v>307</v>
      </c>
      <c r="AO434" s="155">
        <v>1.0309093696685387</v>
      </c>
    </row>
    <row r="435" spans="29:41">
      <c r="AC435" s="155" t="s">
        <v>52</v>
      </c>
      <c r="AD435" s="155" t="s">
        <v>18</v>
      </c>
      <c r="AE435" s="155" t="s">
        <v>72</v>
      </c>
      <c r="AF435" s="155" t="s">
        <v>51</v>
      </c>
      <c r="AG435" s="155" t="s">
        <v>308</v>
      </c>
      <c r="AH435" s="155">
        <v>4.0284371983798186</v>
      </c>
      <c r="AJ435" s="155" t="s">
        <v>52</v>
      </c>
      <c r="AK435" s="155" t="s">
        <v>18</v>
      </c>
      <c r="AL435" s="155" t="s">
        <v>28</v>
      </c>
      <c r="AM435" s="155" t="s">
        <v>51</v>
      </c>
      <c r="AN435" s="155" t="s">
        <v>308</v>
      </c>
      <c r="AO435" s="155">
        <v>1.0980494406465486</v>
      </c>
    </row>
    <row r="436" spans="29:41">
      <c r="AC436" s="155" t="s">
        <v>52</v>
      </c>
      <c r="AD436" s="155" t="s">
        <v>18</v>
      </c>
      <c r="AE436" s="155" t="s">
        <v>72</v>
      </c>
      <c r="AF436" s="155" t="s">
        <v>51</v>
      </c>
      <c r="AG436" s="155" t="s">
        <v>309</v>
      </c>
      <c r="AH436" s="155">
        <v>4.0610656170015185</v>
      </c>
      <c r="AJ436" s="155" t="s">
        <v>52</v>
      </c>
      <c r="AK436" s="155" t="s">
        <v>18</v>
      </c>
      <c r="AL436" s="155" t="s">
        <v>28</v>
      </c>
      <c r="AM436" s="155" t="s">
        <v>51</v>
      </c>
      <c r="AN436" s="155" t="s">
        <v>309</v>
      </c>
      <c r="AO436" s="155">
        <v>1.0653738508151083</v>
      </c>
    </row>
    <row r="437" spans="29:41">
      <c r="AC437" s="155" t="s">
        <v>52</v>
      </c>
      <c r="AD437" s="155" t="s">
        <v>18</v>
      </c>
      <c r="AE437" s="155" t="s">
        <v>72</v>
      </c>
      <c r="AF437" s="155" t="s">
        <v>51</v>
      </c>
      <c r="AG437" s="155" t="s">
        <v>310</v>
      </c>
      <c r="AH437" s="155">
        <v>4.0627523635008007</v>
      </c>
      <c r="AJ437" s="155" t="s">
        <v>52</v>
      </c>
      <c r="AK437" s="155" t="s">
        <v>18</v>
      </c>
      <c r="AL437" s="155" t="s">
        <v>28</v>
      </c>
      <c r="AM437" s="155" t="s">
        <v>51</v>
      </c>
      <c r="AN437" s="155" t="s">
        <v>310</v>
      </c>
      <c r="AO437" s="155">
        <v>1.0349978919639711</v>
      </c>
    </row>
    <row r="438" spans="29:41">
      <c r="AC438" s="155" t="s">
        <v>52</v>
      </c>
      <c r="AD438" s="155" t="s">
        <v>18</v>
      </c>
      <c r="AE438" s="155" t="s">
        <v>72</v>
      </c>
      <c r="AF438" s="155" t="s">
        <v>51</v>
      </c>
      <c r="AG438" s="155" t="s">
        <v>311</v>
      </c>
      <c r="AH438" s="155">
        <v>4.0923610563473902</v>
      </c>
      <c r="AJ438" s="155" t="s">
        <v>52</v>
      </c>
      <c r="AK438" s="155" t="s">
        <v>18</v>
      </c>
      <c r="AL438" s="155" t="s">
        <v>28</v>
      </c>
      <c r="AM438" s="155" t="s">
        <v>51</v>
      </c>
      <c r="AN438" s="155" t="s">
        <v>311</v>
      </c>
      <c r="AO438" s="155">
        <v>1.0586540391730501</v>
      </c>
    </row>
    <row r="439" spans="29:41">
      <c r="AC439" s="155" t="s">
        <v>52</v>
      </c>
      <c r="AD439" s="155" t="s">
        <v>18</v>
      </c>
      <c r="AE439" s="155" t="s">
        <v>72</v>
      </c>
      <c r="AF439" s="155" t="s">
        <v>51</v>
      </c>
      <c r="AG439" s="155" t="s">
        <v>235</v>
      </c>
      <c r="AH439" s="155">
        <v>4.0627523635008007</v>
      </c>
      <c r="AJ439" s="155" t="s">
        <v>52</v>
      </c>
      <c r="AK439" s="155" t="s">
        <v>18</v>
      </c>
      <c r="AL439" s="155" t="s">
        <v>28</v>
      </c>
      <c r="AM439" s="155" t="s">
        <v>51</v>
      </c>
      <c r="AN439" s="155" t="s">
        <v>235</v>
      </c>
      <c r="AO439" s="155">
        <v>1.0688980839161513</v>
      </c>
    </row>
    <row r="440" spans="29:41">
      <c r="AC440" s="155" t="s">
        <v>52</v>
      </c>
      <c r="AD440" s="155" t="s">
        <v>18</v>
      </c>
      <c r="AE440" s="155" t="s">
        <v>72</v>
      </c>
      <c r="AF440" s="155" t="s">
        <v>51</v>
      </c>
      <c r="AG440" s="155" t="s">
        <v>312</v>
      </c>
      <c r="AH440" s="155">
        <v>4.0610656170015185</v>
      </c>
      <c r="AJ440" s="155" t="s">
        <v>52</v>
      </c>
      <c r="AK440" s="155" t="s">
        <v>18</v>
      </c>
      <c r="AL440" s="155" t="s">
        <v>28</v>
      </c>
      <c r="AM440" s="155" t="s">
        <v>51</v>
      </c>
      <c r="AN440" s="155" t="s">
        <v>312</v>
      </c>
      <c r="AO440" s="155">
        <v>1.0956201350163781</v>
      </c>
    </row>
    <row r="441" spans="29:41">
      <c r="AC441" s="155" t="s">
        <v>52</v>
      </c>
      <c r="AD441" s="155" t="s">
        <v>18</v>
      </c>
      <c r="AE441" s="155" t="s">
        <v>72</v>
      </c>
      <c r="AF441" s="155" t="s">
        <v>51</v>
      </c>
      <c r="AG441" s="155" t="s">
        <v>313</v>
      </c>
      <c r="AH441" s="155">
        <v>4.0610656170015185</v>
      </c>
      <c r="AJ441" s="155" t="s">
        <v>52</v>
      </c>
      <c r="AK441" s="155" t="s">
        <v>18</v>
      </c>
      <c r="AL441" s="155" t="s">
        <v>28</v>
      </c>
      <c r="AM441" s="155" t="s">
        <v>51</v>
      </c>
      <c r="AN441" s="155" t="s">
        <v>313</v>
      </c>
      <c r="AO441" s="155">
        <v>1.0879482133374581</v>
      </c>
    </row>
    <row r="442" spans="29:41">
      <c r="AC442" s="155" t="s">
        <v>52</v>
      </c>
      <c r="AD442" s="155" t="s">
        <v>18</v>
      </c>
      <c r="AE442" s="155" t="s">
        <v>72</v>
      </c>
      <c r="AF442" s="155" t="s">
        <v>51</v>
      </c>
      <c r="AG442" s="155" t="s">
        <v>314</v>
      </c>
      <c r="AH442" s="155">
        <v>4.0936300339223344</v>
      </c>
      <c r="AJ442" s="155" t="s">
        <v>52</v>
      </c>
      <c r="AK442" s="155" t="s">
        <v>18</v>
      </c>
      <c r="AL442" s="155" t="s">
        <v>28</v>
      </c>
      <c r="AM442" s="155" t="s">
        <v>51</v>
      </c>
      <c r="AN442" s="155" t="s">
        <v>314</v>
      </c>
      <c r="AO442" s="155">
        <v>1.0758703141671342</v>
      </c>
    </row>
    <row r="443" spans="29:41">
      <c r="AC443" s="155" t="s">
        <v>52</v>
      </c>
      <c r="AD443" s="155" t="s">
        <v>18</v>
      </c>
      <c r="AE443" s="155" t="s">
        <v>72</v>
      </c>
      <c r="AF443" s="155" t="s">
        <v>51</v>
      </c>
      <c r="AG443" s="155" t="s">
        <v>234</v>
      </c>
      <c r="AH443" s="155">
        <v>4.0923610563473902</v>
      </c>
      <c r="AJ443" s="155" t="s">
        <v>52</v>
      </c>
      <c r="AK443" s="155" t="s">
        <v>18</v>
      </c>
      <c r="AL443" s="155" t="s">
        <v>28</v>
      </c>
      <c r="AM443" s="155" t="s">
        <v>51</v>
      </c>
      <c r="AN443" s="155" t="s">
        <v>234</v>
      </c>
      <c r="AO443" s="155">
        <v>1.0497530287677797</v>
      </c>
    </row>
    <row r="444" spans="29:41">
      <c r="AC444" s="155" t="s">
        <v>52</v>
      </c>
      <c r="AD444" s="155" t="s">
        <v>18</v>
      </c>
      <c r="AE444" s="155" t="s">
        <v>72</v>
      </c>
      <c r="AF444" s="155" t="s">
        <v>51</v>
      </c>
      <c r="AG444" s="155" t="s">
        <v>237</v>
      </c>
      <c r="AH444" s="155">
        <v>4.1248698203088709</v>
      </c>
      <c r="AJ444" s="155" t="s">
        <v>52</v>
      </c>
      <c r="AK444" s="155" t="s">
        <v>18</v>
      </c>
      <c r="AL444" s="155" t="s">
        <v>28</v>
      </c>
      <c r="AM444" s="155" t="s">
        <v>51</v>
      </c>
      <c r="AN444" s="155" t="s">
        <v>237</v>
      </c>
      <c r="AO444" s="155">
        <v>1.0972931539022603</v>
      </c>
    </row>
    <row r="445" spans="29:41">
      <c r="AC445" s="155" t="s">
        <v>52</v>
      </c>
      <c r="AD445" s="155" t="s">
        <v>18</v>
      </c>
      <c r="AE445" s="155" t="s">
        <v>72</v>
      </c>
      <c r="AF445" s="155" t="s">
        <v>51</v>
      </c>
      <c r="AG445" s="155" t="s">
        <v>319</v>
      </c>
      <c r="AH445" s="155">
        <v>4.0923610563473902</v>
      </c>
      <c r="AJ445" s="155" t="s">
        <v>52</v>
      </c>
      <c r="AK445" s="155" t="s">
        <v>18</v>
      </c>
      <c r="AL445" s="155" t="s">
        <v>28</v>
      </c>
      <c r="AM445" s="155" t="s">
        <v>51</v>
      </c>
      <c r="AN445" s="155" t="s">
        <v>319</v>
      </c>
      <c r="AO445" s="155">
        <v>1.0893966078739599</v>
      </c>
    </row>
    <row r="446" spans="29:41">
      <c r="AC446" s="155" t="s">
        <v>52</v>
      </c>
      <c r="AD446" s="155" t="s">
        <v>18</v>
      </c>
      <c r="AE446" s="155" t="s">
        <v>72</v>
      </c>
      <c r="AF446" s="155" t="s">
        <v>51</v>
      </c>
      <c r="AG446" s="155" t="s">
        <v>320</v>
      </c>
      <c r="AH446" s="155">
        <v>4.0923610563473902</v>
      </c>
      <c r="AJ446" s="155" t="s">
        <v>52</v>
      </c>
      <c r="AK446" s="155" t="s">
        <v>18</v>
      </c>
      <c r="AL446" s="155" t="s">
        <v>28</v>
      </c>
      <c r="AM446" s="155" t="s">
        <v>51</v>
      </c>
      <c r="AN446" s="155" t="s">
        <v>320</v>
      </c>
      <c r="AO446" s="155">
        <v>1.03497276341456</v>
      </c>
    </row>
    <row r="447" spans="29:41">
      <c r="AC447" s="155" t="s">
        <v>52</v>
      </c>
      <c r="AD447" s="155" t="s">
        <v>18</v>
      </c>
      <c r="AE447" s="155" t="s">
        <v>72</v>
      </c>
      <c r="AF447" s="155" t="s">
        <v>51</v>
      </c>
      <c r="AG447" s="155" t="s">
        <v>321</v>
      </c>
      <c r="AH447" s="155">
        <v>4.0627523635008007</v>
      </c>
      <c r="AJ447" s="155" t="s">
        <v>52</v>
      </c>
      <c r="AK447" s="155" t="s">
        <v>18</v>
      </c>
      <c r="AL447" s="155" t="s">
        <v>28</v>
      </c>
      <c r="AM447" s="155" t="s">
        <v>51</v>
      </c>
      <c r="AN447" s="155" t="s">
        <v>321</v>
      </c>
      <c r="AO447" s="155">
        <v>1.0573629552190809</v>
      </c>
    </row>
    <row r="448" spans="29:41">
      <c r="AC448" s="155" t="s">
        <v>52</v>
      </c>
      <c r="AD448" s="155" t="s">
        <v>18</v>
      </c>
      <c r="AE448" s="155" t="s">
        <v>72</v>
      </c>
      <c r="AF448" s="155" t="s">
        <v>51</v>
      </c>
      <c r="AG448" s="155" t="s">
        <v>322</v>
      </c>
      <c r="AH448" s="155">
        <v>4.0936300339223344</v>
      </c>
      <c r="AJ448" s="155" t="s">
        <v>52</v>
      </c>
      <c r="AK448" s="155" t="s">
        <v>18</v>
      </c>
      <c r="AL448" s="155" t="s">
        <v>28</v>
      </c>
      <c r="AM448" s="155" t="s">
        <v>51</v>
      </c>
      <c r="AN448" s="155" t="s">
        <v>322</v>
      </c>
      <c r="AO448" s="155">
        <v>1.1001773487253346</v>
      </c>
    </row>
    <row r="449" spans="29:41">
      <c r="AC449" s="155" t="s">
        <v>52</v>
      </c>
      <c r="AD449" s="155" t="s">
        <v>18</v>
      </c>
      <c r="AE449" s="155" t="s">
        <v>72</v>
      </c>
      <c r="AF449" s="155" t="s">
        <v>51</v>
      </c>
      <c r="AG449" s="155" t="s">
        <v>323</v>
      </c>
      <c r="AH449" s="155">
        <v>4.0936300339223344</v>
      </c>
      <c r="AJ449" s="155" t="s">
        <v>52</v>
      </c>
      <c r="AK449" s="155" t="s">
        <v>18</v>
      </c>
      <c r="AL449" s="155" t="s">
        <v>28</v>
      </c>
      <c r="AM449" s="155" t="s">
        <v>51</v>
      </c>
      <c r="AN449" s="155" t="s">
        <v>323</v>
      </c>
      <c r="AO449" s="155">
        <v>1.0984927547126548</v>
      </c>
    </row>
    <row r="450" spans="29:41">
      <c r="AC450" s="155" t="s">
        <v>52</v>
      </c>
      <c r="AD450" s="155" t="s">
        <v>18</v>
      </c>
      <c r="AE450" s="155" t="s">
        <v>72</v>
      </c>
      <c r="AF450" s="155" t="s">
        <v>51</v>
      </c>
      <c r="AG450" s="155" t="s">
        <v>324</v>
      </c>
      <c r="AH450" s="155">
        <v>4.0610656170015185</v>
      </c>
      <c r="AJ450" s="155" t="s">
        <v>52</v>
      </c>
      <c r="AK450" s="155" t="s">
        <v>18</v>
      </c>
      <c r="AL450" s="155" t="s">
        <v>28</v>
      </c>
      <c r="AM450" s="155" t="s">
        <v>51</v>
      </c>
      <c r="AN450" s="155" t="s">
        <v>324</v>
      </c>
      <c r="AO450" s="155">
        <v>1.1276650968177586</v>
      </c>
    </row>
    <row r="451" spans="29:41">
      <c r="AC451" s="155" t="s">
        <v>52</v>
      </c>
      <c r="AD451" s="155" t="s">
        <v>18</v>
      </c>
      <c r="AE451" s="155" t="s">
        <v>72</v>
      </c>
      <c r="AF451" s="155" t="s">
        <v>51</v>
      </c>
      <c r="AG451" s="155" t="s">
        <v>325</v>
      </c>
      <c r="AH451" s="155">
        <v>3.9987193359155064</v>
      </c>
      <c r="AJ451" s="155" t="s">
        <v>52</v>
      </c>
      <c r="AK451" s="155" t="s">
        <v>18</v>
      </c>
      <c r="AL451" s="155" t="s">
        <v>28</v>
      </c>
      <c r="AM451" s="155" t="s">
        <v>51</v>
      </c>
      <c r="AN451" s="155" t="s">
        <v>325</v>
      </c>
      <c r="AO451" s="155">
        <v>1.0867686360165461</v>
      </c>
    </row>
    <row r="452" spans="29:41">
      <c r="AC452" s="155" t="s">
        <v>52</v>
      </c>
      <c r="AD452" s="155" t="s">
        <v>18</v>
      </c>
      <c r="AE452" s="155" t="s">
        <v>72</v>
      </c>
      <c r="AF452" s="155" t="s">
        <v>51</v>
      </c>
      <c r="AG452" s="155" t="s">
        <v>326</v>
      </c>
      <c r="AH452" s="155">
        <v>3.9987193359155064</v>
      </c>
      <c r="AJ452" s="155" t="s">
        <v>52</v>
      </c>
      <c r="AK452" s="155" t="s">
        <v>18</v>
      </c>
      <c r="AL452" s="155" t="s">
        <v>28</v>
      </c>
      <c r="AM452" s="155" t="s">
        <v>51</v>
      </c>
      <c r="AN452" s="155" t="s">
        <v>326</v>
      </c>
      <c r="AO452" s="155">
        <v>1.1132625280971964</v>
      </c>
    </row>
    <row r="453" spans="29:41">
      <c r="AC453" s="155" t="s">
        <v>52</v>
      </c>
      <c r="AD453" s="155" t="s">
        <v>18</v>
      </c>
      <c r="AE453" s="155" t="s">
        <v>72</v>
      </c>
      <c r="AF453" s="155" t="s">
        <v>51</v>
      </c>
      <c r="AG453" s="155" t="s">
        <v>327</v>
      </c>
      <c r="AH453" s="155">
        <v>3.968948344733974</v>
      </c>
      <c r="AJ453" s="155" t="s">
        <v>52</v>
      </c>
      <c r="AK453" s="155" t="s">
        <v>18</v>
      </c>
      <c r="AL453" s="155" t="s">
        <v>28</v>
      </c>
      <c r="AM453" s="155" t="s">
        <v>51</v>
      </c>
      <c r="AN453" s="155" t="s">
        <v>327</v>
      </c>
      <c r="AO453" s="155">
        <v>1.0711141137448741</v>
      </c>
    </row>
    <row r="454" spans="29:41">
      <c r="AC454" s="155" t="s">
        <v>52</v>
      </c>
      <c r="AD454" s="155" t="s">
        <v>18</v>
      </c>
      <c r="AE454" s="155" t="s">
        <v>72</v>
      </c>
      <c r="AF454" s="155" t="s">
        <v>51</v>
      </c>
      <c r="AG454" s="155" t="s">
        <v>328</v>
      </c>
      <c r="AH454" s="155">
        <v>3.9681481492823516</v>
      </c>
      <c r="AJ454" s="155" t="s">
        <v>52</v>
      </c>
      <c r="AK454" s="155" t="s">
        <v>18</v>
      </c>
      <c r="AL454" s="155" t="s">
        <v>28</v>
      </c>
      <c r="AM454" s="155" t="s">
        <v>51</v>
      </c>
      <c r="AN454" s="155" t="s">
        <v>328</v>
      </c>
      <c r="AO454" s="155">
        <v>1.1256742603309715</v>
      </c>
    </row>
    <row r="455" spans="29:41">
      <c r="AC455" s="155" t="s">
        <v>52</v>
      </c>
      <c r="AD455" s="155" t="s">
        <v>18</v>
      </c>
      <c r="AE455" s="155" t="s">
        <v>72</v>
      </c>
      <c r="AF455" s="155" t="s">
        <v>51</v>
      </c>
      <c r="AG455" s="155" t="s">
        <v>329</v>
      </c>
      <c r="AH455" s="155">
        <v>3.968948344733974</v>
      </c>
      <c r="AJ455" s="155" t="s">
        <v>52</v>
      </c>
      <c r="AK455" s="155" t="s">
        <v>18</v>
      </c>
      <c r="AL455" s="155" t="s">
        <v>28</v>
      </c>
      <c r="AM455" s="155" t="s">
        <v>51</v>
      </c>
      <c r="AN455" s="155" t="s">
        <v>329</v>
      </c>
      <c r="AO455" s="155">
        <v>1.1561541814869041</v>
      </c>
    </row>
    <row r="456" spans="29:41">
      <c r="AC456" s="155" t="s">
        <v>52</v>
      </c>
      <c r="AD456" s="155" t="s">
        <v>18</v>
      </c>
      <c r="AE456" s="155" t="s">
        <v>72</v>
      </c>
      <c r="AF456" s="155" t="s">
        <v>51</v>
      </c>
      <c r="AG456" s="155" t="s">
        <v>330</v>
      </c>
      <c r="AH456" s="155">
        <v>3.968948344733974</v>
      </c>
      <c r="AJ456" s="155" t="s">
        <v>52</v>
      </c>
      <c r="AK456" s="155" t="s">
        <v>18</v>
      </c>
      <c r="AL456" s="155" t="s">
        <v>28</v>
      </c>
      <c r="AM456" s="155" t="s">
        <v>51</v>
      </c>
      <c r="AN456" s="155" t="s">
        <v>330</v>
      </c>
      <c r="AO456" s="155">
        <v>1.1432695767015839</v>
      </c>
    </row>
    <row r="457" spans="29:41">
      <c r="AC457" s="155" t="s">
        <v>52</v>
      </c>
      <c r="AD457" s="155" t="s">
        <v>18</v>
      </c>
      <c r="AE457" s="155" t="s">
        <v>72</v>
      </c>
      <c r="AF457" s="155" t="s">
        <v>51</v>
      </c>
      <c r="AG457" s="155" t="s">
        <v>331</v>
      </c>
      <c r="AH457" s="155">
        <v>3.8755297138005318</v>
      </c>
      <c r="AJ457" s="155" t="s">
        <v>52</v>
      </c>
      <c r="AK457" s="155" t="s">
        <v>18</v>
      </c>
      <c r="AL457" s="155" t="s">
        <v>28</v>
      </c>
      <c r="AM457" s="155" t="s">
        <v>51</v>
      </c>
      <c r="AN457" s="155" t="s">
        <v>331</v>
      </c>
      <c r="AO457" s="155">
        <v>1.0929717173047016</v>
      </c>
    </row>
    <row r="458" spans="29:41">
      <c r="AC458" s="155" t="s">
        <v>52</v>
      </c>
      <c r="AD458" s="155" t="s">
        <v>18</v>
      </c>
      <c r="AE458" s="155" t="s">
        <v>72</v>
      </c>
      <c r="AF458" s="155" t="s">
        <v>51</v>
      </c>
      <c r="AG458" s="155" t="s">
        <v>332</v>
      </c>
      <c r="AH458" s="155">
        <v>3.9353424338077225</v>
      </c>
      <c r="AJ458" s="155" t="s">
        <v>52</v>
      </c>
      <c r="AK458" s="155" t="s">
        <v>18</v>
      </c>
      <c r="AL458" s="155" t="s">
        <v>28</v>
      </c>
      <c r="AM458" s="155" t="s">
        <v>51</v>
      </c>
      <c r="AN458" s="155" t="s">
        <v>332</v>
      </c>
      <c r="AO458" s="155">
        <v>1.1469639552045423</v>
      </c>
    </row>
    <row r="459" spans="29:41">
      <c r="AC459" s="155" t="s">
        <v>52</v>
      </c>
      <c r="AD459" s="155" t="s">
        <v>18</v>
      </c>
      <c r="AE459" s="155" t="s">
        <v>72</v>
      </c>
      <c r="AF459" s="155" t="s">
        <v>51</v>
      </c>
      <c r="AG459" s="155" t="s">
        <v>333</v>
      </c>
      <c r="AH459" s="155">
        <v>3.9054628819113248</v>
      </c>
      <c r="AJ459" s="155" t="s">
        <v>52</v>
      </c>
      <c r="AK459" s="155" t="s">
        <v>18</v>
      </c>
      <c r="AL459" s="155" t="s">
        <v>28</v>
      </c>
      <c r="AM459" s="155" t="s">
        <v>51</v>
      </c>
      <c r="AN459" s="155" t="s">
        <v>333</v>
      </c>
      <c r="AO459" s="155">
        <v>1.165467299106145</v>
      </c>
    </row>
    <row r="460" spans="29:41">
      <c r="AC460" s="155" t="s">
        <v>52</v>
      </c>
      <c r="AD460" s="155" t="s">
        <v>18</v>
      </c>
      <c r="AE460" s="155" t="s">
        <v>72</v>
      </c>
      <c r="AF460" s="155" t="s">
        <v>51</v>
      </c>
      <c r="AG460" s="155" t="s">
        <v>334</v>
      </c>
      <c r="AH460" s="155">
        <v>3.9361387568601574</v>
      </c>
      <c r="AJ460" s="155" t="s">
        <v>52</v>
      </c>
      <c r="AK460" s="155" t="s">
        <v>18</v>
      </c>
      <c r="AL460" s="155" t="s">
        <v>28</v>
      </c>
      <c r="AM460" s="155" t="s">
        <v>51</v>
      </c>
      <c r="AN460" s="155" t="s">
        <v>334</v>
      </c>
      <c r="AO460" s="155">
        <v>1.1726669679850574</v>
      </c>
    </row>
    <row r="461" spans="29:41">
      <c r="AC461" s="155" t="s">
        <v>52</v>
      </c>
      <c r="AD461" s="155" t="s">
        <v>18</v>
      </c>
      <c r="AE461" s="155" t="s">
        <v>72</v>
      </c>
      <c r="AF461" s="155" t="s">
        <v>51</v>
      </c>
      <c r="AG461" s="155" t="s">
        <v>335</v>
      </c>
      <c r="AH461" s="155">
        <v>3.9361387568601574</v>
      </c>
      <c r="AJ461" s="155" t="s">
        <v>52</v>
      </c>
      <c r="AK461" s="155" t="s">
        <v>18</v>
      </c>
      <c r="AL461" s="155" t="s">
        <v>28</v>
      </c>
      <c r="AM461" s="155" t="s">
        <v>51</v>
      </c>
      <c r="AN461" s="155" t="s">
        <v>335</v>
      </c>
      <c r="AO461" s="155">
        <v>1.1476479449839376</v>
      </c>
    </row>
    <row r="462" spans="29:41">
      <c r="AC462" s="155" t="s">
        <v>52</v>
      </c>
      <c r="AD462" s="155" t="s">
        <v>18</v>
      </c>
      <c r="AE462" s="155" t="s">
        <v>72</v>
      </c>
      <c r="AF462" s="155" t="s">
        <v>51</v>
      </c>
      <c r="AG462" s="155" t="s">
        <v>336</v>
      </c>
      <c r="AH462" s="155">
        <v>3.9353424338077225</v>
      </c>
      <c r="AJ462" s="155" t="s">
        <v>52</v>
      </c>
      <c r="AK462" s="155" t="s">
        <v>18</v>
      </c>
      <c r="AL462" s="155" t="s">
        <v>28</v>
      </c>
      <c r="AM462" s="155" t="s">
        <v>51</v>
      </c>
      <c r="AN462" s="155" t="s">
        <v>336</v>
      </c>
      <c r="AO462" s="155">
        <v>1.1651294925025324</v>
      </c>
    </row>
    <row r="463" spans="29:41">
      <c r="AC463" s="155" t="s">
        <v>52</v>
      </c>
      <c r="AD463" s="155" t="s">
        <v>18</v>
      </c>
      <c r="AE463" s="155" t="s">
        <v>72</v>
      </c>
      <c r="AF463" s="155" t="s">
        <v>51</v>
      </c>
      <c r="AG463" s="155" t="s">
        <v>316</v>
      </c>
      <c r="AH463" s="155">
        <v>3.9054628819113248</v>
      </c>
      <c r="AJ463" s="155" t="s">
        <v>52</v>
      </c>
      <c r="AK463" s="155" t="s">
        <v>18</v>
      </c>
      <c r="AL463" s="155" t="s">
        <v>28</v>
      </c>
      <c r="AM463" s="155" t="s">
        <v>51</v>
      </c>
      <c r="AN463" s="155" t="s">
        <v>316</v>
      </c>
      <c r="AO463" s="155">
        <v>1.1737796028533749</v>
      </c>
    </row>
    <row r="464" spans="29:41">
      <c r="AC464" s="155" t="s">
        <v>52</v>
      </c>
      <c r="AD464" s="155" t="s">
        <v>18</v>
      </c>
      <c r="AE464" s="155" t="s">
        <v>72</v>
      </c>
      <c r="AF464" s="155" t="s">
        <v>51</v>
      </c>
      <c r="AG464" s="155" t="s">
        <v>337</v>
      </c>
      <c r="AH464" s="155">
        <v>3.9054628819113248</v>
      </c>
      <c r="AJ464" s="155" t="s">
        <v>52</v>
      </c>
      <c r="AK464" s="155" t="s">
        <v>18</v>
      </c>
      <c r="AL464" s="155" t="s">
        <v>28</v>
      </c>
      <c r="AM464" s="155" t="s">
        <v>51</v>
      </c>
      <c r="AN464" s="155" t="s">
        <v>337</v>
      </c>
      <c r="AO464" s="155">
        <v>1.1697226760176551</v>
      </c>
    </row>
    <row r="465" spans="29:41">
      <c r="AC465" s="155" t="s">
        <v>52</v>
      </c>
      <c r="AD465" s="155" t="s">
        <v>18</v>
      </c>
      <c r="AE465" s="155" t="s">
        <v>72</v>
      </c>
      <c r="AF465" s="155" t="s">
        <v>51</v>
      </c>
      <c r="AG465" s="155" t="s">
        <v>338</v>
      </c>
      <c r="AH465" s="155">
        <v>3.8425411667081901</v>
      </c>
      <c r="AJ465" s="155" t="s">
        <v>52</v>
      </c>
      <c r="AK465" s="155" t="s">
        <v>18</v>
      </c>
      <c r="AL465" s="155" t="s">
        <v>28</v>
      </c>
      <c r="AM465" s="155" t="s">
        <v>51</v>
      </c>
      <c r="AN465" s="155" t="s">
        <v>338</v>
      </c>
      <c r="AO465" s="155">
        <v>1.1356887470905803</v>
      </c>
    </row>
    <row r="466" spans="29:41">
      <c r="AC466" s="155" t="s">
        <v>52</v>
      </c>
      <c r="AD466" s="155" t="s">
        <v>18</v>
      </c>
      <c r="AE466" s="155" t="s">
        <v>72</v>
      </c>
      <c r="AF466" s="155" t="s">
        <v>51</v>
      </c>
      <c r="AG466" s="155" t="s">
        <v>339</v>
      </c>
      <c r="AH466" s="155">
        <v>3.812592661796018</v>
      </c>
      <c r="AJ466" s="155" t="s">
        <v>52</v>
      </c>
      <c r="AK466" s="155" t="s">
        <v>18</v>
      </c>
      <c r="AL466" s="155" t="s">
        <v>28</v>
      </c>
      <c r="AM466" s="155" t="s">
        <v>51</v>
      </c>
      <c r="AN466" s="155" t="s">
        <v>339</v>
      </c>
      <c r="AO466" s="155">
        <v>1.1650581385705781</v>
      </c>
    </row>
    <row r="467" spans="29:41">
      <c r="AC467" s="155" t="s">
        <v>52</v>
      </c>
      <c r="AD467" s="155" t="s">
        <v>18</v>
      </c>
      <c r="AE467" s="155" t="s">
        <v>72</v>
      </c>
      <c r="AF467" s="155" t="s">
        <v>51</v>
      </c>
      <c r="AG467" s="155" t="s">
        <v>315</v>
      </c>
      <c r="AH467" s="155">
        <v>3.812592661796018</v>
      </c>
      <c r="AJ467" s="155" t="s">
        <v>52</v>
      </c>
      <c r="AK467" s="155" t="s">
        <v>18</v>
      </c>
      <c r="AL467" s="155" t="s">
        <v>28</v>
      </c>
      <c r="AM467" s="155" t="s">
        <v>51</v>
      </c>
      <c r="AN467" s="155" t="s">
        <v>315</v>
      </c>
      <c r="AO467" s="155">
        <v>1.1043179041025981</v>
      </c>
    </row>
    <row r="468" spans="29:41">
      <c r="AC468" s="155" t="s">
        <v>52</v>
      </c>
      <c r="AD468" s="155" t="s">
        <v>18</v>
      </c>
      <c r="AE468" s="155" t="s">
        <v>72</v>
      </c>
      <c r="AF468" s="155" t="s">
        <v>51</v>
      </c>
      <c r="AG468" s="155" t="s">
        <v>318</v>
      </c>
      <c r="AH468" s="155">
        <v>3.812592661796018</v>
      </c>
      <c r="AJ468" s="155" t="s">
        <v>52</v>
      </c>
      <c r="AK468" s="155" t="s">
        <v>18</v>
      </c>
      <c r="AL468" s="155" t="s">
        <v>28</v>
      </c>
      <c r="AM468" s="155" t="s">
        <v>51</v>
      </c>
      <c r="AN468" s="155" t="s">
        <v>318</v>
      </c>
      <c r="AO468" s="155">
        <v>1.195303848560288</v>
      </c>
    </row>
    <row r="469" spans="29:41">
      <c r="AC469" s="155" t="s">
        <v>52</v>
      </c>
      <c r="AD469" s="155" t="s">
        <v>19</v>
      </c>
      <c r="AE469" s="155" t="s">
        <v>72</v>
      </c>
      <c r="AF469" s="155" t="s">
        <v>51</v>
      </c>
      <c r="AG469" s="155" t="s">
        <v>130</v>
      </c>
      <c r="AH469" s="155">
        <v>4.2722196725487462</v>
      </c>
      <c r="AJ469" s="155" t="s">
        <v>52</v>
      </c>
      <c r="AK469" s="155" t="s">
        <v>19</v>
      </c>
      <c r="AL469" s="155" t="s">
        <v>28</v>
      </c>
      <c r="AM469" s="155" t="s">
        <v>51</v>
      </c>
      <c r="AN469" s="155" t="s">
        <v>130</v>
      </c>
      <c r="AO469" s="155">
        <v>1.4380197325194559</v>
      </c>
    </row>
    <row r="470" spans="29:41">
      <c r="AC470" s="155" t="s">
        <v>52</v>
      </c>
      <c r="AD470" s="155" t="s">
        <v>19</v>
      </c>
      <c r="AE470" s="155" t="s">
        <v>72</v>
      </c>
      <c r="AF470" s="155" t="s">
        <v>51</v>
      </c>
      <c r="AG470" s="155" t="s">
        <v>131</v>
      </c>
      <c r="AH470" s="155">
        <v>4.2722152605049795</v>
      </c>
      <c r="AJ470" s="155" t="s">
        <v>52</v>
      </c>
      <c r="AK470" s="155" t="s">
        <v>19</v>
      </c>
      <c r="AL470" s="155" t="s">
        <v>28</v>
      </c>
      <c r="AM470" s="155" t="s">
        <v>51</v>
      </c>
      <c r="AN470" s="155" t="s">
        <v>131</v>
      </c>
      <c r="AO470" s="155">
        <v>1.4480315377515394</v>
      </c>
    </row>
    <row r="471" spans="29:41">
      <c r="AC471" s="155" t="s">
        <v>52</v>
      </c>
      <c r="AD471" s="155" t="s">
        <v>19</v>
      </c>
      <c r="AE471" s="155" t="s">
        <v>72</v>
      </c>
      <c r="AF471" s="155" t="s">
        <v>51</v>
      </c>
      <c r="AG471" s="155" t="s">
        <v>132</v>
      </c>
      <c r="AH471" s="155">
        <v>4.2722152605049795</v>
      </c>
      <c r="AJ471" s="155" t="s">
        <v>52</v>
      </c>
      <c r="AK471" s="155" t="s">
        <v>19</v>
      </c>
      <c r="AL471" s="155" t="s">
        <v>28</v>
      </c>
      <c r="AM471" s="155" t="s">
        <v>51</v>
      </c>
      <c r="AN471" s="155" t="s">
        <v>132</v>
      </c>
      <c r="AO471" s="155">
        <v>1.4566536855283092</v>
      </c>
    </row>
    <row r="472" spans="29:41">
      <c r="AC472" s="155" t="s">
        <v>52</v>
      </c>
      <c r="AD472" s="155" t="s">
        <v>19</v>
      </c>
      <c r="AE472" s="155" t="s">
        <v>72</v>
      </c>
      <c r="AF472" s="155" t="s">
        <v>51</v>
      </c>
      <c r="AG472" s="155" t="s">
        <v>133</v>
      </c>
      <c r="AH472" s="155">
        <v>4.356765969784167</v>
      </c>
      <c r="AJ472" s="155" t="s">
        <v>52</v>
      </c>
      <c r="AK472" s="155" t="s">
        <v>19</v>
      </c>
      <c r="AL472" s="155" t="s">
        <v>28</v>
      </c>
      <c r="AM472" s="155" t="s">
        <v>51</v>
      </c>
      <c r="AN472" s="155" t="s">
        <v>133</v>
      </c>
      <c r="AO472" s="155">
        <v>1.4264489588822669</v>
      </c>
    </row>
    <row r="473" spans="29:41">
      <c r="AC473" s="155" t="s">
        <v>52</v>
      </c>
      <c r="AD473" s="155" t="s">
        <v>19</v>
      </c>
      <c r="AE473" s="155" t="s">
        <v>72</v>
      </c>
      <c r="AF473" s="155" t="s">
        <v>51</v>
      </c>
      <c r="AG473" s="155" t="s">
        <v>134</v>
      </c>
      <c r="AH473" s="155">
        <v>4.3975094107446839</v>
      </c>
      <c r="AJ473" s="155" t="s">
        <v>52</v>
      </c>
      <c r="AK473" s="155" t="s">
        <v>19</v>
      </c>
      <c r="AL473" s="155" t="s">
        <v>28</v>
      </c>
      <c r="AM473" s="155" t="s">
        <v>51</v>
      </c>
      <c r="AN473" s="155" t="s">
        <v>134</v>
      </c>
      <c r="AO473" s="155">
        <v>1.4952818872147542</v>
      </c>
    </row>
    <row r="474" spans="29:41">
      <c r="AC474" s="155" t="s">
        <v>52</v>
      </c>
      <c r="AD474" s="155" t="s">
        <v>19</v>
      </c>
      <c r="AE474" s="155" t="s">
        <v>72</v>
      </c>
      <c r="AF474" s="155" t="s">
        <v>51</v>
      </c>
      <c r="AG474" s="155" t="s">
        <v>135</v>
      </c>
      <c r="AH474" s="155">
        <v>4.3364393474588088</v>
      </c>
      <c r="AJ474" s="155" t="s">
        <v>52</v>
      </c>
      <c r="AK474" s="155" t="s">
        <v>19</v>
      </c>
      <c r="AL474" s="155" t="s">
        <v>28</v>
      </c>
      <c r="AM474" s="155" t="s">
        <v>51</v>
      </c>
      <c r="AN474" s="155" t="s">
        <v>135</v>
      </c>
      <c r="AO474" s="155">
        <v>1.4900890106520488</v>
      </c>
    </row>
    <row r="475" spans="29:41">
      <c r="AC475" s="155" t="s">
        <v>52</v>
      </c>
      <c r="AD475" s="155" t="s">
        <v>19</v>
      </c>
      <c r="AE475" s="155" t="s">
        <v>72</v>
      </c>
      <c r="AF475" s="155" t="s">
        <v>51</v>
      </c>
      <c r="AG475" s="155" t="s">
        <v>136</v>
      </c>
      <c r="AH475" s="155">
        <v>4.3043588303271259</v>
      </c>
      <c r="AJ475" s="155" t="s">
        <v>52</v>
      </c>
      <c r="AK475" s="155" t="s">
        <v>19</v>
      </c>
      <c r="AL475" s="155" t="s">
        <v>28</v>
      </c>
      <c r="AM475" s="155" t="s">
        <v>51</v>
      </c>
      <c r="AN475" s="155" t="s">
        <v>136</v>
      </c>
      <c r="AO475" s="155">
        <v>1.4765235270090056</v>
      </c>
    </row>
    <row r="476" spans="29:41">
      <c r="AC476" s="155" t="s">
        <v>52</v>
      </c>
      <c r="AD476" s="155" t="s">
        <v>19</v>
      </c>
      <c r="AE476" s="155" t="s">
        <v>72</v>
      </c>
      <c r="AF476" s="155" t="s">
        <v>51</v>
      </c>
      <c r="AG476" s="155" t="s">
        <v>137</v>
      </c>
      <c r="AH476" s="155">
        <v>4.2722196725487462</v>
      </c>
      <c r="AJ476" s="155" t="s">
        <v>52</v>
      </c>
      <c r="AK476" s="155" t="s">
        <v>19</v>
      </c>
      <c r="AL476" s="155" t="s">
        <v>28</v>
      </c>
      <c r="AM476" s="155" t="s">
        <v>51</v>
      </c>
      <c r="AN476" s="155" t="s">
        <v>137</v>
      </c>
      <c r="AO476" s="155">
        <v>1.458400562294766</v>
      </c>
    </row>
    <row r="477" spans="29:41">
      <c r="AC477" s="155" t="s">
        <v>52</v>
      </c>
      <c r="AD477" s="155" t="s">
        <v>19</v>
      </c>
      <c r="AE477" s="155" t="s">
        <v>72</v>
      </c>
      <c r="AF477" s="155" t="s">
        <v>51</v>
      </c>
      <c r="AG477" s="155" t="s">
        <v>138</v>
      </c>
      <c r="AH477" s="155">
        <v>4.3043588303271259</v>
      </c>
      <c r="AJ477" s="155" t="s">
        <v>52</v>
      </c>
      <c r="AK477" s="155" t="s">
        <v>19</v>
      </c>
      <c r="AL477" s="155" t="s">
        <v>28</v>
      </c>
      <c r="AM477" s="155" t="s">
        <v>51</v>
      </c>
      <c r="AN477" s="155" t="s">
        <v>138</v>
      </c>
      <c r="AO477" s="155">
        <v>1.4728530811846257</v>
      </c>
    </row>
    <row r="478" spans="29:41">
      <c r="AC478" s="155" t="s">
        <v>52</v>
      </c>
      <c r="AD478" s="155" t="s">
        <v>19</v>
      </c>
      <c r="AE478" s="155" t="s">
        <v>72</v>
      </c>
      <c r="AF478" s="155" t="s">
        <v>51</v>
      </c>
      <c r="AG478" s="155" t="s">
        <v>139</v>
      </c>
      <c r="AH478" s="155">
        <v>4.2722152605049795</v>
      </c>
      <c r="AJ478" s="155" t="s">
        <v>52</v>
      </c>
      <c r="AK478" s="155" t="s">
        <v>19</v>
      </c>
      <c r="AL478" s="155" t="s">
        <v>28</v>
      </c>
      <c r="AM478" s="155" t="s">
        <v>51</v>
      </c>
      <c r="AN478" s="155" t="s">
        <v>139</v>
      </c>
      <c r="AO478" s="155">
        <v>1.4480384086770592</v>
      </c>
    </row>
    <row r="479" spans="29:41">
      <c r="AC479" s="155" t="s">
        <v>52</v>
      </c>
      <c r="AD479" s="155" t="s">
        <v>19</v>
      </c>
      <c r="AE479" s="155" t="s">
        <v>72</v>
      </c>
      <c r="AF479" s="155" t="s">
        <v>51</v>
      </c>
      <c r="AG479" s="155" t="s">
        <v>140</v>
      </c>
      <c r="AH479" s="155">
        <v>4.2722196725487462</v>
      </c>
      <c r="AJ479" s="155" t="s">
        <v>52</v>
      </c>
      <c r="AK479" s="155" t="s">
        <v>19</v>
      </c>
      <c r="AL479" s="155" t="s">
        <v>28</v>
      </c>
      <c r="AM479" s="155" t="s">
        <v>51</v>
      </c>
      <c r="AN479" s="155" t="s">
        <v>140</v>
      </c>
      <c r="AO479" s="155">
        <v>1.4763786632440858</v>
      </c>
    </row>
    <row r="480" spans="29:41">
      <c r="AC480" s="155" t="s">
        <v>52</v>
      </c>
      <c r="AD480" s="155" t="s">
        <v>19</v>
      </c>
      <c r="AE480" s="155" t="s">
        <v>72</v>
      </c>
      <c r="AF480" s="155" t="s">
        <v>51</v>
      </c>
      <c r="AG480" s="155" t="s">
        <v>141</v>
      </c>
      <c r="AH480" s="155">
        <v>4.1164931032788781</v>
      </c>
      <c r="AJ480" s="155" t="s">
        <v>52</v>
      </c>
      <c r="AK480" s="155" t="s">
        <v>19</v>
      </c>
      <c r="AL480" s="155" t="s">
        <v>28</v>
      </c>
      <c r="AM480" s="155" t="s">
        <v>51</v>
      </c>
      <c r="AN480" s="155" t="s">
        <v>141</v>
      </c>
      <c r="AO480" s="155">
        <v>1.4236442001834584</v>
      </c>
    </row>
    <row r="481" spans="29:41">
      <c r="AC481" s="155" t="s">
        <v>52</v>
      </c>
      <c r="AD481" s="155" t="s">
        <v>19</v>
      </c>
      <c r="AE481" s="155" t="s">
        <v>72</v>
      </c>
      <c r="AF481" s="155" t="s">
        <v>51</v>
      </c>
      <c r="AG481" s="155" t="s">
        <v>142</v>
      </c>
      <c r="AH481" s="155">
        <v>4.1164931032788781</v>
      </c>
      <c r="AJ481" s="155" t="s">
        <v>52</v>
      </c>
      <c r="AK481" s="155" t="s">
        <v>19</v>
      </c>
      <c r="AL481" s="155" t="s">
        <v>28</v>
      </c>
      <c r="AM481" s="155" t="s">
        <v>51</v>
      </c>
      <c r="AN481" s="155" t="s">
        <v>142</v>
      </c>
      <c r="AO481" s="155">
        <v>1.4069365395175983</v>
      </c>
    </row>
    <row r="482" spans="29:41">
      <c r="AC482" s="155" t="s">
        <v>52</v>
      </c>
      <c r="AD482" s="155" t="s">
        <v>19</v>
      </c>
      <c r="AE482" s="155" t="s">
        <v>72</v>
      </c>
      <c r="AF482" s="155" t="s">
        <v>51</v>
      </c>
      <c r="AG482" s="155" t="s">
        <v>143</v>
      </c>
      <c r="AH482" s="155">
        <v>4.1489354754111796</v>
      </c>
      <c r="AJ482" s="155" t="s">
        <v>52</v>
      </c>
      <c r="AK482" s="155" t="s">
        <v>19</v>
      </c>
      <c r="AL482" s="155" t="s">
        <v>28</v>
      </c>
      <c r="AM482" s="155" t="s">
        <v>51</v>
      </c>
      <c r="AN482" s="155" t="s">
        <v>143</v>
      </c>
      <c r="AO482" s="155">
        <v>1.4771625368674803</v>
      </c>
    </row>
    <row r="483" spans="29:41">
      <c r="AC483" s="155" t="s">
        <v>52</v>
      </c>
      <c r="AD483" s="155" t="s">
        <v>19</v>
      </c>
      <c r="AE483" s="155" t="s">
        <v>72</v>
      </c>
      <c r="AF483" s="155" t="s">
        <v>51</v>
      </c>
      <c r="AG483" s="155" t="s">
        <v>144</v>
      </c>
      <c r="AH483" s="155">
        <v>4.1164931032788781</v>
      </c>
      <c r="AJ483" s="155" t="s">
        <v>52</v>
      </c>
      <c r="AK483" s="155" t="s">
        <v>19</v>
      </c>
      <c r="AL483" s="155" t="s">
        <v>28</v>
      </c>
      <c r="AM483" s="155" t="s">
        <v>51</v>
      </c>
      <c r="AN483" s="155" t="s">
        <v>144</v>
      </c>
      <c r="AO483" s="155">
        <v>1.4589836252872179</v>
      </c>
    </row>
    <row r="484" spans="29:41">
      <c r="AC484" s="155" t="s">
        <v>52</v>
      </c>
      <c r="AD484" s="155" t="s">
        <v>19</v>
      </c>
      <c r="AE484" s="155" t="s">
        <v>72</v>
      </c>
      <c r="AF484" s="155" t="s">
        <v>51</v>
      </c>
      <c r="AG484" s="155" t="s">
        <v>145</v>
      </c>
      <c r="AH484" s="155">
        <v>4.0839866621698553</v>
      </c>
      <c r="AJ484" s="155" t="s">
        <v>52</v>
      </c>
      <c r="AK484" s="155" t="s">
        <v>19</v>
      </c>
      <c r="AL484" s="155" t="s">
        <v>28</v>
      </c>
      <c r="AM484" s="155" t="s">
        <v>51</v>
      </c>
      <c r="AN484" s="155" t="s">
        <v>145</v>
      </c>
      <c r="AO484" s="155">
        <v>1.4741399466234748</v>
      </c>
    </row>
    <row r="485" spans="29:41">
      <c r="AC485" s="155" t="s">
        <v>52</v>
      </c>
      <c r="AD485" s="155" t="s">
        <v>19</v>
      </c>
      <c r="AE485" s="155" t="s">
        <v>72</v>
      </c>
      <c r="AF485" s="155" t="s">
        <v>51</v>
      </c>
      <c r="AG485" s="155" t="s">
        <v>146</v>
      </c>
      <c r="AH485" s="155">
        <v>4.1164931032788781</v>
      </c>
      <c r="AJ485" s="155" t="s">
        <v>52</v>
      </c>
      <c r="AK485" s="155" t="s">
        <v>19</v>
      </c>
      <c r="AL485" s="155" t="s">
        <v>28</v>
      </c>
      <c r="AM485" s="155" t="s">
        <v>51</v>
      </c>
      <c r="AN485" s="155" t="s">
        <v>146</v>
      </c>
      <c r="AO485" s="155">
        <v>1.4523237072335584</v>
      </c>
    </row>
    <row r="486" spans="29:41">
      <c r="AC486" s="155" t="s">
        <v>52</v>
      </c>
      <c r="AD486" s="155" t="s">
        <v>19</v>
      </c>
      <c r="AE486" s="155" t="s">
        <v>72</v>
      </c>
      <c r="AF486" s="155" t="s">
        <v>51</v>
      </c>
      <c r="AG486" s="155" t="s">
        <v>147</v>
      </c>
      <c r="AH486" s="155">
        <v>4.2429503753802189</v>
      </c>
      <c r="AJ486" s="155" t="s">
        <v>52</v>
      </c>
      <c r="AK486" s="155" t="s">
        <v>19</v>
      </c>
      <c r="AL486" s="155" t="s">
        <v>28</v>
      </c>
      <c r="AM486" s="155" t="s">
        <v>51</v>
      </c>
      <c r="AN486" s="155" t="s">
        <v>147</v>
      </c>
      <c r="AO486" s="155">
        <v>1.4909513151017189</v>
      </c>
    </row>
    <row r="487" spans="29:41">
      <c r="AC487" s="155" t="s">
        <v>52</v>
      </c>
      <c r="AD487" s="155" t="s">
        <v>19</v>
      </c>
      <c r="AE487" s="155" t="s">
        <v>72</v>
      </c>
      <c r="AF487" s="155" t="s">
        <v>51</v>
      </c>
      <c r="AG487" s="155" t="s">
        <v>148</v>
      </c>
      <c r="AH487" s="155">
        <v>4.1783730691905516</v>
      </c>
      <c r="AJ487" s="155" t="s">
        <v>52</v>
      </c>
      <c r="AK487" s="155" t="s">
        <v>19</v>
      </c>
      <c r="AL487" s="155" t="s">
        <v>28</v>
      </c>
      <c r="AM487" s="155" t="s">
        <v>51</v>
      </c>
      <c r="AN487" s="155" t="s">
        <v>148</v>
      </c>
      <c r="AO487" s="155">
        <v>1.4848898228908918</v>
      </c>
    </row>
    <row r="488" spans="29:41">
      <c r="AC488" s="155" t="s">
        <v>52</v>
      </c>
      <c r="AD488" s="155" t="s">
        <v>19</v>
      </c>
      <c r="AE488" s="155" t="s">
        <v>72</v>
      </c>
      <c r="AF488" s="155" t="s">
        <v>51</v>
      </c>
      <c r="AG488" s="155" t="s">
        <v>149</v>
      </c>
      <c r="AH488" s="155">
        <v>4.1783730691905516</v>
      </c>
      <c r="AJ488" s="155" t="s">
        <v>52</v>
      </c>
      <c r="AK488" s="155" t="s">
        <v>19</v>
      </c>
      <c r="AL488" s="155" t="s">
        <v>28</v>
      </c>
      <c r="AM488" s="155" t="s">
        <v>51</v>
      </c>
      <c r="AN488" s="155" t="s">
        <v>149</v>
      </c>
      <c r="AO488" s="155">
        <v>1.4877516387472818</v>
      </c>
    </row>
    <row r="489" spans="29:41">
      <c r="AC489" s="155" t="s">
        <v>52</v>
      </c>
      <c r="AD489" s="155" t="s">
        <v>19</v>
      </c>
      <c r="AE489" s="155" t="s">
        <v>72</v>
      </c>
      <c r="AF489" s="155" t="s">
        <v>51</v>
      </c>
      <c r="AG489" s="155" t="s">
        <v>150</v>
      </c>
      <c r="AH489" s="155">
        <v>4.1489354754111796</v>
      </c>
      <c r="AJ489" s="155" t="s">
        <v>52</v>
      </c>
      <c r="AK489" s="155" t="s">
        <v>19</v>
      </c>
      <c r="AL489" s="155" t="s">
        <v>28</v>
      </c>
      <c r="AM489" s="155" t="s">
        <v>51</v>
      </c>
      <c r="AN489" s="155" t="s">
        <v>150</v>
      </c>
      <c r="AO489" s="155">
        <v>1.48790031413224</v>
      </c>
    </row>
    <row r="490" spans="29:41">
      <c r="AC490" s="155" t="s">
        <v>52</v>
      </c>
      <c r="AD490" s="155" t="s">
        <v>19</v>
      </c>
      <c r="AE490" s="155" t="s">
        <v>72</v>
      </c>
      <c r="AF490" s="155" t="s">
        <v>51</v>
      </c>
      <c r="AG490" s="155" t="s">
        <v>151</v>
      </c>
      <c r="AH490" s="155">
        <v>4.0543796294704109</v>
      </c>
      <c r="AJ490" s="155" t="s">
        <v>52</v>
      </c>
      <c r="AK490" s="155" t="s">
        <v>19</v>
      </c>
      <c r="AL490" s="155" t="s">
        <v>28</v>
      </c>
      <c r="AM490" s="155" t="s">
        <v>51</v>
      </c>
      <c r="AN490" s="155" t="s">
        <v>151</v>
      </c>
      <c r="AO490" s="155">
        <v>1.4551138540801207</v>
      </c>
    </row>
    <row r="491" spans="29:41">
      <c r="AC491" s="155" t="s">
        <v>52</v>
      </c>
      <c r="AD491" s="155" t="s">
        <v>19</v>
      </c>
      <c r="AE491" s="155" t="s">
        <v>72</v>
      </c>
      <c r="AF491" s="155" t="s">
        <v>51</v>
      </c>
      <c r="AG491" s="155" t="s">
        <v>152</v>
      </c>
      <c r="AH491" s="155">
        <v>4.0543796294704109</v>
      </c>
      <c r="AJ491" s="155" t="s">
        <v>52</v>
      </c>
      <c r="AK491" s="155" t="s">
        <v>19</v>
      </c>
      <c r="AL491" s="155" t="s">
        <v>28</v>
      </c>
      <c r="AM491" s="155" t="s">
        <v>51</v>
      </c>
      <c r="AN491" s="155" t="s">
        <v>152</v>
      </c>
      <c r="AO491" s="155">
        <v>1.4030969614698008</v>
      </c>
    </row>
    <row r="492" spans="29:41">
      <c r="AC492" s="155" t="s">
        <v>52</v>
      </c>
      <c r="AD492" s="155" t="s">
        <v>19</v>
      </c>
      <c r="AE492" s="155" t="s">
        <v>72</v>
      </c>
      <c r="AF492" s="155" t="s">
        <v>51</v>
      </c>
      <c r="AG492" s="155" t="s">
        <v>153</v>
      </c>
      <c r="AH492" s="155">
        <v>4.1173811756101593</v>
      </c>
      <c r="AJ492" s="155" t="s">
        <v>52</v>
      </c>
      <c r="AK492" s="155" t="s">
        <v>19</v>
      </c>
      <c r="AL492" s="155" t="s">
        <v>28</v>
      </c>
      <c r="AM492" s="155" t="s">
        <v>51</v>
      </c>
      <c r="AN492" s="155" t="s">
        <v>153</v>
      </c>
      <c r="AO492" s="155">
        <v>1.5264927540743496</v>
      </c>
    </row>
    <row r="493" spans="29:41">
      <c r="AC493" s="155" t="s">
        <v>52</v>
      </c>
      <c r="AD493" s="155" t="s">
        <v>19</v>
      </c>
      <c r="AE493" s="155" t="s">
        <v>72</v>
      </c>
      <c r="AF493" s="155" t="s">
        <v>51</v>
      </c>
      <c r="AG493" s="155" t="s">
        <v>154</v>
      </c>
      <c r="AH493" s="155">
        <v>4.1173811756101593</v>
      </c>
      <c r="AJ493" s="155" t="s">
        <v>52</v>
      </c>
      <c r="AK493" s="155" t="s">
        <v>19</v>
      </c>
      <c r="AL493" s="155" t="s">
        <v>28</v>
      </c>
      <c r="AM493" s="155" t="s">
        <v>51</v>
      </c>
      <c r="AN493" s="155" t="s">
        <v>154</v>
      </c>
      <c r="AO493" s="155">
        <v>1.4834640718696397</v>
      </c>
    </row>
    <row r="494" spans="29:41">
      <c r="AC494" s="155" t="s">
        <v>52</v>
      </c>
      <c r="AD494" s="155" t="s">
        <v>19</v>
      </c>
      <c r="AE494" s="155" t="s">
        <v>72</v>
      </c>
      <c r="AF494" s="155" t="s">
        <v>51</v>
      </c>
      <c r="AG494" s="155" t="s">
        <v>155</v>
      </c>
      <c r="AH494" s="155">
        <v>4.1164931032788781</v>
      </c>
      <c r="AJ494" s="155" t="s">
        <v>52</v>
      </c>
      <c r="AK494" s="155" t="s">
        <v>19</v>
      </c>
      <c r="AL494" s="155" t="s">
        <v>28</v>
      </c>
      <c r="AM494" s="155" t="s">
        <v>51</v>
      </c>
      <c r="AN494" s="155" t="s">
        <v>155</v>
      </c>
      <c r="AO494" s="155">
        <v>1.4877106444003581</v>
      </c>
    </row>
    <row r="495" spans="29:41">
      <c r="AC495" s="155" t="s">
        <v>52</v>
      </c>
      <c r="AD495" s="155" t="s">
        <v>19</v>
      </c>
      <c r="AE495" s="155" t="s">
        <v>72</v>
      </c>
      <c r="AF495" s="155" t="s">
        <v>51</v>
      </c>
      <c r="AG495" s="155" t="s">
        <v>156</v>
      </c>
      <c r="AH495" s="155">
        <v>4.0839866621698553</v>
      </c>
      <c r="AJ495" s="155" t="s">
        <v>52</v>
      </c>
      <c r="AK495" s="155" t="s">
        <v>19</v>
      </c>
      <c r="AL495" s="155" t="s">
        <v>28</v>
      </c>
      <c r="AM495" s="155" t="s">
        <v>51</v>
      </c>
      <c r="AN495" s="155" t="s">
        <v>156</v>
      </c>
      <c r="AO495" s="155">
        <v>1.4636651505186651</v>
      </c>
    </row>
    <row r="496" spans="29:41">
      <c r="AC496" s="155" t="s">
        <v>52</v>
      </c>
      <c r="AD496" s="155" t="s">
        <v>19</v>
      </c>
      <c r="AE496" s="155" t="s">
        <v>72</v>
      </c>
      <c r="AF496" s="155" t="s">
        <v>51</v>
      </c>
      <c r="AG496" s="155" t="s">
        <v>157</v>
      </c>
      <c r="AH496" s="155">
        <v>4.1164931032788781</v>
      </c>
      <c r="AJ496" s="155" t="s">
        <v>52</v>
      </c>
      <c r="AK496" s="155" t="s">
        <v>19</v>
      </c>
      <c r="AL496" s="155" t="s">
        <v>28</v>
      </c>
      <c r="AM496" s="155" t="s">
        <v>51</v>
      </c>
      <c r="AN496" s="155" t="s">
        <v>157</v>
      </c>
      <c r="AO496" s="155">
        <v>1.4688348248507781</v>
      </c>
    </row>
    <row r="497" spans="29:41">
      <c r="AC497" s="155" t="s">
        <v>52</v>
      </c>
      <c r="AD497" s="155" t="s">
        <v>19</v>
      </c>
      <c r="AE497" s="155" t="s">
        <v>72</v>
      </c>
      <c r="AF497" s="155" t="s">
        <v>51</v>
      </c>
      <c r="AG497" s="155" t="s">
        <v>158</v>
      </c>
      <c r="AH497" s="155">
        <v>4.1468684016219548</v>
      </c>
      <c r="AJ497" s="155" t="s">
        <v>52</v>
      </c>
      <c r="AK497" s="155" t="s">
        <v>19</v>
      </c>
      <c r="AL497" s="155" t="s">
        <v>28</v>
      </c>
      <c r="AM497" s="155" t="s">
        <v>51</v>
      </c>
      <c r="AN497" s="155" t="s">
        <v>158</v>
      </c>
      <c r="AO497" s="155">
        <v>1.4794738390900448</v>
      </c>
    </row>
    <row r="498" spans="29:41">
      <c r="AC498" s="155" t="s">
        <v>52</v>
      </c>
      <c r="AD498" s="155" t="s">
        <v>19</v>
      </c>
      <c r="AE498" s="155" t="s">
        <v>72</v>
      </c>
      <c r="AF498" s="155" t="s">
        <v>51</v>
      </c>
      <c r="AG498" s="155" t="s">
        <v>159</v>
      </c>
      <c r="AH498" s="155">
        <v>4.0839866621698553</v>
      </c>
      <c r="AJ498" s="155" t="s">
        <v>52</v>
      </c>
      <c r="AK498" s="155" t="s">
        <v>19</v>
      </c>
      <c r="AL498" s="155" t="s">
        <v>28</v>
      </c>
      <c r="AM498" s="155" t="s">
        <v>51</v>
      </c>
      <c r="AN498" s="155" t="s">
        <v>159</v>
      </c>
      <c r="AO498" s="155">
        <v>1.4426462117529448</v>
      </c>
    </row>
    <row r="499" spans="29:41">
      <c r="AC499" s="155" t="s">
        <v>52</v>
      </c>
      <c r="AD499" s="155" t="s">
        <v>19</v>
      </c>
      <c r="AE499" s="155" t="s">
        <v>72</v>
      </c>
      <c r="AF499" s="155" t="s">
        <v>51</v>
      </c>
      <c r="AG499" s="155" t="s">
        <v>160</v>
      </c>
      <c r="AH499" s="155">
        <v>4.0848839185997514</v>
      </c>
      <c r="AJ499" s="155" t="s">
        <v>52</v>
      </c>
      <c r="AK499" s="155" t="s">
        <v>19</v>
      </c>
      <c r="AL499" s="155" t="s">
        <v>28</v>
      </c>
      <c r="AM499" s="155" t="s">
        <v>51</v>
      </c>
      <c r="AN499" s="155" t="s">
        <v>160</v>
      </c>
      <c r="AO499" s="155">
        <v>1.4880251513383613</v>
      </c>
    </row>
    <row r="500" spans="29:41">
      <c r="AC500" s="155" t="s">
        <v>52</v>
      </c>
      <c r="AD500" s="155" t="s">
        <v>19</v>
      </c>
      <c r="AE500" s="155" t="s">
        <v>72</v>
      </c>
      <c r="AF500" s="155" t="s">
        <v>51</v>
      </c>
      <c r="AG500" s="155" t="s">
        <v>161</v>
      </c>
      <c r="AH500" s="155">
        <v>4.0848839185997514</v>
      </c>
      <c r="AJ500" s="155" t="s">
        <v>52</v>
      </c>
      <c r="AK500" s="155" t="s">
        <v>19</v>
      </c>
      <c r="AL500" s="155" t="s">
        <v>28</v>
      </c>
      <c r="AM500" s="155" t="s">
        <v>51</v>
      </c>
      <c r="AN500" s="155" t="s">
        <v>161</v>
      </c>
      <c r="AO500" s="155">
        <v>1.5001903340299612</v>
      </c>
    </row>
    <row r="501" spans="29:41">
      <c r="AC501" s="155" t="s">
        <v>52</v>
      </c>
      <c r="AD501" s="155" t="s">
        <v>19</v>
      </c>
      <c r="AE501" s="155" t="s">
        <v>72</v>
      </c>
      <c r="AF501" s="155" t="s">
        <v>51</v>
      </c>
      <c r="AG501" s="155" t="s">
        <v>162</v>
      </c>
      <c r="AH501" s="155">
        <v>4.0848839185997514</v>
      </c>
      <c r="AJ501" s="155" t="s">
        <v>52</v>
      </c>
      <c r="AK501" s="155" t="s">
        <v>19</v>
      </c>
      <c r="AL501" s="155" t="s">
        <v>28</v>
      </c>
      <c r="AM501" s="155" t="s">
        <v>51</v>
      </c>
      <c r="AN501" s="155" t="s">
        <v>162</v>
      </c>
      <c r="AO501" s="155">
        <v>1.5089809768010016</v>
      </c>
    </row>
    <row r="502" spans="29:41">
      <c r="AC502" s="155" t="s">
        <v>52</v>
      </c>
      <c r="AD502" s="155" t="s">
        <v>19</v>
      </c>
      <c r="AE502" s="155" t="s">
        <v>72</v>
      </c>
      <c r="AF502" s="155" t="s">
        <v>51</v>
      </c>
      <c r="AG502" s="155" t="s">
        <v>163</v>
      </c>
      <c r="AH502" s="155">
        <v>4.0848839185997514</v>
      </c>
      <c r="AJ502" s="155" t="s">
        <v>52</v>
      </c>
      <c r="AK502" s="155" t="s">
        <v>19</v>
      </c>
      <c r="AL502" s="155" t="s">
        <v>28</v>
      </c>
      <c r="AM502" s="155" t="s">
        <v>51</v>
      </c>
      <c r="AN502" s="155" t="s">
        <v>163</v>
      </c>
      <c r="AO502" s="155">
        <v>1.5177634981419812</v>
      </c>
    </row>
    <row r="503" spans="29:41">
      <c r="AC503" s="155" t="s">
        <v>52</v>
      </c>
      <c r="AD503" s="155" t="s">
        <v>19</v>
      </c>
      <c r="AE503" s="155" t="s">
        <v>72</v>
      </c>
      <c r="AF503" s="155" t="s">
        <v>51</v>
      </c>
      <c r="AG503" s="155" t="s">
        <v>164</v>
      </c>
      <c r="AH503" s="155">
        <v>4.0848839185997514</v>
      </c>
      <c r="AJ503" s="155" t="s">
        <v>52</v>
      </c>
      <c r="AK503" s="155" t="s">
        <v>19</v>
      </c>
      <c r="AL503" s="155" t="s">
        <v>28</v>
      </c>
      <c r="AM503" s="155" t="s">
        <v>51</v>
      </c>
      <c r="AN503" s="155" t="s">
        <v>164</v>
      </c>
      <c r="AO503" s="155">
        <v>1.4862947015294912</v>
      </c>
    </row>
    <row r="504" spans="29:41">
      <c r="AC504" s="155" t="s">
        <v>52</v>
      </c>
      <c r="AD504" s="155" t="s">
        <v>19</v>
      </c>
      <c r="AE504" s="155" t="s">
        <v>72</v>
      </c>
      <c r="AF504" s="155" t="s">
        <v>51</v>
      </c>
      <c r="AG504" s="155" t="s">
        <v>165</v>
      </c>
      <c r="AH504" s="155">
        <v>4.1173811756101593</v>
      </c>
      <c r="AJ504" s="155" t="s">
        <v>52</v>
      </c>
      <c r="AK504" s="155" t="s">
        <v>19</v>
      </c>
      <c r="AL504" s="155" t="s">
        <v>28</v>
      </c>
      <c r="AM504" s="155" t="s">
        <v>51</v>
      </c>
      <c r="AN504" s="155" t="s">
        <v>165</v>
      </c>
      <c r="AO504" s="155">
        <v>1.4948600955250895</v>
      </c>
    </row>
    <row r="505" spans="29:41">
      <c r="AC505" s="155" t="s">
        <v>52</v>
      </c>
      <c r="AD505" s="155" t="s">
        <v>19</v>
      </c>
      <c r="AE505" s="155" t="s">
        <v>72</v>
      </c>
      <c r="AF505" s="155" t="s">
        <v>51</v>
      </c>
      <c r="AG505" s="155" t="s">
        <v>166</v>
      </c>
      <c r="AH505" s="155">
        <v>4.1468684016219548</v>
      </c>
      <c r="AJ505" s="155" t="s">
        <v>52</v>
      </c>
      <c r="AK505" s="155" t="s">
        <v>19</v>
      </c>
      <c r="AL505" s="155" t="s">
        <v>28</v>
      </c>
      <c r="AM505" s="155" t="s">
        <v>51</v>
      </c>
      <c r="AN505" s="155" t="s">
        <v>166</v>
      </c>
      <c r="AO505" s="155">
        <v>1.4715419878752252</v>
      </c>
    </row>
    <row r="506" spans="29:41">
      <c r="AC506" s="155" t="s">
        <v>52</v>
      </c>
      <c r="AD506" s="155" t="s">
        <v>19</v>
      </c>
      <c r="AE506" s="155" t="s">
        <v>72</v>
      </c>
      <c r="AF506" s="155" t="s">
        <v>51</v>
      </c>
      <c r="AG506" s="155" t="s">
        <v>167</v>
      </c>
      <c r="AH506" s="155">
        <v>4.0839866621698553</v>
      </c>
      <c r="AJ506" s="155" t="s">
        <v>52</v>
      </c>
      <c r="AK506" s="155" t="s">
        <v>19</v>
      </c>
      <c r="AL506" s="155" t="s">
        <v>28</v>
      </c>
      <c r="AM506" s="155" t="s">
        <v>51</v>
      </c>
      <c r="AN506" s="155" t="s">
        <v>167</v>
      </c>
      <c r="AO506" s="155">
        <v>1.4276990806405148</v>
      </c>
    </row>
    <row r="507" spans="29:41">
      <c r="AC507" s="155" t="s">
        <v>52</v>
      </c>
      <c r="AD507" s="155" t="s">
        <v>19</v>
      </c>
      <c r="AE507" s="155" t="s">
        <v>72</v>
      </c>
      <c r="AF507" s="155" t="s">
        <v>51</v>
      </c>
      <c r="AG507" s="155" t="s">
        <v>168</v>
      </c>
      <c r="AH507" s="155">
        <v>4.0839866621698553</v>
      </c>
      <c r="AJ507" s="155" t="s">
        <v>52</v>
      </c>
      <c r="AK507" s="155" t="s">
        <v>19</v>
      </c>
      <c r="AL507" s="155" t="s">
        <v>28</v>
      </c>
      <c r="AM507" s="155" t="s">
        <v>51</v>
      </c>
      <c r="AN507" s="155" t="s">
        <v>168</v>
      </c>
      <c r="AO507" s="155">
        <v>1.4544274444006151</v>
      </c>
    </row>
    <row r="508" spans="29:41">
      <c r="AC508" s="155" t="s">
        <v>52</v>
      </c>
      <c r="AD508" s="155" t="s">
        <v>19</v>
      </c>
      <c r="AE508" s="155" t="s">
        <v>72</v>
      </c>
      <c r="AF508" s="155" t="s">
        <v>51</v>
      </c>
      <c r="AG508" s="155" t="s">
        <v>169</v>
      </c>
      <c r="AH508" s="155">
        <v>4.0543796294704109</v>
      </c>
      <c r="AJ508" s="155" t="s">
        <v>52</v>
      </c>
      <c r="AK508" s="155" t="s">
        <v>19</v>
      </c>
      <c r="AL508" s="155" t="s">
        <v>28</v>
      </c>
      <c r="AM508" s="155" t="s">
        <v>51</v>
      </c>
      <c r="AN508" s="155" t="s">
        <v>169</v>
      </c>
      <c r="AO508" s="155">
        <v>1.4106457790517211</v>
      </c>
    </row>
    <row r="509" spans="29:41">
      <c r="AC509" s="155" t="s">
        <v>52</v>
      </c>
      <c r="AD509" s="155" t="s">
        <v>19</v>
      </c>
      <c r="AE509" s="155" t="s">
        <v>72</v>
      </c>
      <c r="AF509" s="155" t="s">
        <v>51</v>
      </c>
      <c r="AG509" s="155" t="s">
        <v>170</v>
      </c>
      <c r="AH509" s="155">
        <v>4.1164931032788781</v>
      </c>
      <c r="AJ509" s="155" t="s">
        <v>52</v>
      </c>
      <c r="AK509" s="155" t="s">
        <v>19</v>
      </c>
      <c r="AL509" s="155" t="s">
        <v>28</v>
      </c>
      <c r="AM509" s="155" t="s">
        <v>51</v>
      </c>
      <c r="AN509" s="155" t="s">
        <v>170</v>
      </c>
      <c r="AO509" s="155">
        <v>1.4173516486483277</v>
      </c>
    </row>
    <row r="510" spans="29:41">
      <c r="AC510" s="155" t="s">
        <v>52</v>
      </c>
      <c r="AD510" s="155" t="s">
        <v>19</v>
      </c>
      <c r="AE510" s="155" t="s">
        <v>72</v>
      </c>
      <c r="AF510" s="155" t="s">
        <v>51</v>
      </c>
      <c r="AG510" s="155" t="s">
        <v>171</v>
      </c>
      <c r="AH510" s="155">
        <v>4.2722196725487462</v>
      </c>
      <c r="AJ510" s="155" t="s">
        <v>52</v>
      </c>
      <c r="AK510" s="155" t="s">
        <v>19</v>
      </c>
      <c r="AL510" s="155" t="s">
        <v>28</v>
      </c>
      <c r="AM510" s="155" t="s">
        <v>51</v>
      </c>
      <c r="AN510" s="155" t="s">
        <v>171</v>
      </c>
      <c r="AO510" s="155">
        <v>1.5254738009914262</v>
      </c>
    </row>
    <row r="511" spans="29:41">
      <c r="AC511" s="155" t="s">
        <v>52</v>
      </c>
      <c r="AD511" s="155" t="s">
        <v>19</v>
      </c>
      <c r="AE511" s="155" t="s">
        <v>72</v>
      </c>
      <c r="AF511" s="155" t="s">
        <v>51</v>
      </c>
      <c r="AG511" s="155" t="s">
        <v>172</v>
      </c>
      <c r="AH511" s="155">
        <v>4.2722196725487462</v>
      </c>
      <c r="AJ511" s="155" t="s">
        <v>52</v>
      </c>
      <c r="AK511" s="155" t="s">
        <v>19</v>
      </c>
      <c r="AL511" s="155" t="s">
        <v>28</v>
      </c>
      <c r="AM511" s="155" t="s">
        <v>51</v>
      </c>
      <c r="AN511" s="155" t="s">
        <v>172</v>
      </c>
      <c r="AO511" s="155">
        <v>1.524204949581796</v>
      </c>
    </row>
    <row r="512" spans="29:41">
      <c r="AC512" s="155" t="s">
        <v>52</v>
      </c>
      <c r="AD512" s="155" t="s">
        <v>19</v>
      </c>
      <c r="AE512" s="155" t="s">
        <v>72</v>
      </c>
      <c r="AF512" s="155" t="s">
        <v>51</v>
      </c>
      <c r="AG512" s="155" t="s">
        <v>173</v>
      </c>
      <c r="AH512" s="155">
        <v>4.2429503753802189</v>
      </c>
      <c r="AJ512" s="155" t="s">
        <v>52</v>
      </c>
      <c r="AK512" s="155" t="s">
        <v>19</v>
      </c>
      <c r="AL512" s="155" t="s">
        <v>28</v>
      </c>
      <c r="AM512" s="155" t="s">
        <v>51</v>
      </c>
      <c r="AN512" s="155" t="s">
        <v>173</v>
      </c>
      <c r="AO512" s="155">
        <v>1.4365404683160585</v>
      </c>
    </row>
    <row r="513" spans="29:41">
      <c r="AC513" s="155" t="s">
        <v>52</v>
      </c>
      <c r="AD513" s="155" t="s">
        <v>19</v>
      </c>
      <c r="AE513" s="155" t="s">
        <v>72</v>
      </c>
      <c r="AF513" s="155" t="s">
        <v>51</v>
      </c>
      <c r="AG513" s="155" t="s">
        <v>174</v>
      </c>
      <c r="AH513" s="155">
        <v>4.2722152605049795</v>
      </c>
      <c r="AJ513" s="155" t="s">
        <v>52</v>
      </c>
      <c r="AK513" s="155" t="s">
        <v>19</v>
      </c>
      <c r="AL513" s="155" t="s">
        <v>28</v>
      </c>
      <c r="AM513" s="155" t="s">
        <v>51</v>
      </c>
      <c r="AN513" s="155" t="s">
        <v>174</v>
      </c>
      <c r="AO513" s="155">
        <v>1.4305392548903291</v>
      </c>
    </row>
    <row r="514" spans="29:41">
      <c r="AC514" s="155" t="s">
        <v>52</v>
      </c>
      <c r="AD514" s="155" t="s">
        <v>19</v>
      </c>
      <c r="AE514" s="155" t="s">
        <v>72</v>
      </c>
      <c r="AF514" s="155" t="s">
        <v>51</v>
      </c>
      <c r="AG514" s="155" t="s">
        <v>175</v>
      </c>
      <c r="AH514" s="155">
        <v>4.3364393474588088</v>
      </c>
      <c r="AJ514" s="155" t="s">
        <v>52</v>
      </c>
      <c r="AK514" s="155" t="s">
        <v>19</v>
      </c>
      <c r="AL514" s="155" t="s">
        <v>28</v>
      </c>
      <c r="AM514" s="155" t="s">
        <v>51</v>
      </c>
      <c r="AN514" s="155" t="s">
        <v>175</v>
      </c>
      <c r="AO514" s="155">
        <v>1.4607908720241185</v>
      </c>
    </row>
    <row r="515" spans="29:41">
      <c r="AC515" s="155" t="s">
        <v>52</v>
      </c>
      <c r="AD515" s="155" t="s">
        <v>19</v>
      </c>
      <c r="AE515" s="155" t="s">
        <v>72</v>
      </c>
      <c r="AF515" s="155" t="s">
        <v>51</v>
      </c>
      <c r="AG515" s="155" t="s">
        <v>176</v>
      </c>
      <c r="AH515" s="155">
        <v>4.2955298466319416</v>
      </c>
      <c r="AJ515" s="155" t="s">
        <v>52</v>
      </c>
      <c r="AK515" s="155" t="s">
        <v>19</v>
      </c>
      <c r="AL515" s="155" t="s">
        <v>28</v>
      </c>
      <c r="AM515" s="155" t="s">
        <v>51</v>
      </c>
      <c r="AN515" s="155" t="s">
        <v>176</v>
      </c>
      <c r="AO515" s="155">
        <v>1.3762246496753616</v>
      </c>
    </row>
    <row r="516" spans="29:41">
      <c r="AC516" s="155" t="s">
        <v>52</v>
      </c>
      <c r="AD516" s="155" t="s">
        <v>19</v>
      </c>
      <c r="AE516" s="155" t="s">
        <v>72</v>
      </c>
      <c r="AF516" s="155" t="s">
        <v>51</v>
      </c>
      <c r="AG516" s="155" t="s">
        <v>177</v>
      </c>
      <c r="AH516" s="155">
        <v>4.3247184562130432</v>
      </c>
      <c r="AJ516" s="155" t="s">
        <v>52</v>
      </c>
      <c r="AK516" s="155" t="s">
        <v>19</v>
      </c>
      <c r="AL516" s="155" t="s">
        <v>28</v>
      </c>
      <c r="AM516" s="155" t="s">
        <v>51</v>
      </c>
      <c r="AN516" s="155" t="s">
        <v>177</v>
      </c>
      <c r="AO516" s="155">
        <v>1.4629404881689234</v>
      </c>
    </row>
    <row r="517" spans="29:41">
      <c r="AC517" s="155" t="s">
        <v>52</v>
      </c>
      <c r="AD517" s="155" t="s">
        <v>19</v>
      </c>
      <c r="AE517" s="155" t="s">
        <v>72</v>
      </c>
      <c r="AF517" s="155" t="s">
        <v>51</v>
      </c>
      <c r="AG517" s="155" t="s">
        <v>178</v>
      </c>
      <c r="AH517" s="155">
        <v>4.2722196725487462</v>
      </c>
      <c r="AJ517" s="155" t="s">
        <v>52</v>
      </c>
      <c r="AK517" s="155" t="s">
        <v>19</v>
      </c>
      <c r="AL517" s="155" t="s">
        <v>28</v>
      </c>
      <c r="AM517" s="155" t="s">
        <v>51</v>
      </c>
      <c r="AN517" s="155" t="s">
        <v>178</v>
      </c>
      <c r="AO517" s="155">
        <v>1.462111979295476</v>
      </c>
    </row>
    <row r="518" spans="29:41">
      <c r="AC518" s="155" t="s">
        <v>52</v>
      </c>
      <c r="AD518" s="155" t="s">
        <v>19</v>
      </c>
      <c r="AE518" s="155" t="s">
        <v>72</v>
      </c>
      <c r="AF518" s="155" t="s">
        <v>51</v>
      </c>
      <c r="AG518" s="155" t="s">
        <v>179</v>
      </c>
      <c r="AH518" s="155">
        <v>4.3247184562130432</v>
      </c>
      <c r="AJ518" s="155" t="s">
        <v>52</v>
      </c>
      <c r="AK518" s="155" t="s">
        <v>19</v>
      </c>
      <c r="AL518" s="155" t="s">
        <v>28</v>
      </c>
      <c r="AM518" s="155" t="s">
        <v>51</v>
      </c>
      <c r="AN518" s="155" t="s">
        <v>179</v>
      </c>
      <c r="AO518" s="155">
        <v>1.4047368657845636</v>
      </c>
    </row>
    <row r="519" spans="29:41">
      <c r="AC519" s="155" t="s">
        <v>52</v>
      </c>
      <c r="AD519" s="155" t="s">
        <v>19</v>
      </c>
      <c r="AE519" s="155" t="s">
        <v>72</v>
      </c>
      <c r="AF519" s="155" t="s">
        <v>51</v>
      </c>
      <c r="AG519" s="155" t="s">
        <v>180</v>
      </c>
      <c r="AH519" s="155">
        <v>4.356765969784167</v>
      </c>
      <c r="AJ519" s="155" t="s">
        <v>52</v>
      </c>
      <c r="AK519" s="155" t="s">
        <v>19</v>
      </c>
      <c r="AL519" s="155" t="s">
        <v>28</v>
      </c>
      <c r="AM519" s="155" t="s">
        <v>51</v>
      </c>
      <c r="AN519" s="155" t="s">
        <v>180</v>
      </c>
      <c r="AO519" s="155">
        <v>1.4204762246717666</v>
      </c>
    </row>
    <row r="520" spans="29:41">
      <c r="AC520" s="155" t="s">
        <v>52</v>
      </c>
      <c r="AD520" s="155" t="s">
        <v>19</v>
      </c>
      <c r="AE520" s="155" t="s">
        <v>72</v>
      </c>
      <c r="AF520" s="155" t="s">
        <v>51</v>
      </c>
      <c r="AG520" s="155" t="s">
        <v>181</v>
      </c>
      <c r="AH520" s="155">
        <v>4.3247184562130432</v>
      </c>
      <c r="AJ520" s="155" t="s">
        <v>52</v>
      </c>
      <c r="AK520" s="155" t="s">
        <v>19</v>
      </c>
      <c r="AL520" s="155" t="s">
        <v>28</v>
      </c>
      <c r="AM520" s="155" t="s">
        <v>51</v>
      </c>
      <c r="AN520" s="155" t="s">
        <v>181</v>
      </c>
      <c r="AO520" s="155">
        <v>1.3661091909397234</v>
      </c>
    </row>
    <row r="521" spans="29:41">
      <c r="AC521" s="155" t="s">
        <v>52</v>
      </c>
      <c r="AD521" s="155" t="s">
        <v>19</v>
      </c>
      <c r="AE521" s="155" t="s">
        <v>72</v>
      </c>
      <c r="AF521" s="155" t="s">
        <v>51</v>
      </c>
      <c r="AG521" s="155" t="s">
        <v>182</v>
      </c>
      <c r="AH521" s="155">
        <v>4.356765969784167</v>
      </c>
      <c r="AJ521" s="155" t="s">
        <v>52</v>
      </c>
      <c r="AK521" s="155" t="s">
        <v>19</v>
      </c>
      <c r="AL521" s="155" t="s">
        <v>28</v>
      </c>
      <c r="AM521" s="155" t="s">
        <v>51</v>
      </c>
      <c r="AN521" s="155" t="s">
        <v>182</v>
      </c>
      <c r="AO521" s="155">
        <v>1.4498754209908069</v>
      </c>
    </row>
    <row r="522" spans="29:41">
      <c r="AC522" s="155" t="s">
        <v>52</v>
      </c>
      <c r="AD522" s="155" t="s">
        <v>19</v>
      </c>
      <c r="AE522" s="155" t="s">
        <v>72</v>
      </c>
      <c r="AF522" s="155" t="s">
        <v>51</v>
      </c>
      <c r="AG522" s="155" t="s">
        <v>183</v>
      </c>
      <c r="AH522" s="155">
        <v>4.3364393474588088</v>
      </c>
      <c r="AJ522" s="155" t="s">
        <v>52</v>
      </c>
      <c r="AK522" s="155" t="s">
        <v>19</v>
      </c>
      <c r="AL522" s="155" t="s">
        <v>28</v>
      </c>
      <c r="AM522" s="155" t="s">
        <v>51</v>
      </c>
      <c r="AN522" s="155" t="s">
        <v>183</v>
      </c>
      <c r="AO522" s="155">
        <v>1.5101226484185784</v>
      </c>
    </row>
    <row r="523" spans="29:41">
      <c r="AC523" s="155" t="s">
        <v>52</v>
      </c>
      <c r="AD523" s="155" t="s">
        <v>19</v>
      </c>
      <c r="AE523" s="155" t="s">
        <v>72</v>
      </c>
      <c r="AF523" s="155" t="s">
        <v>51</v>
      </c>
      <c r="AG523" s="155" t="s">
        <v>184</v>
      </c>
      <c r="AH523" s="155">
        <v>4.3655488616966043</v>
      </c>
      <c r="AJ523" s="155" t="s">
        <v>52</v>
      </c>
      <c r="AK523" s="155" t="s">
        <v>19</v>
      </c>
      <c r="AL523" s="155" t="s">
        <v>28</v>
      </c>
      <c r="AM523" s="155" t="s">
        <v>51</v>
      </c>
      <c r="AN523" s="155" t="s">
        <v>184</v>
      </c>
      <c r="AO523" s="155">
        <v>1.4758689309019548</v>
      </c>
    </row>
    <row r="524" spans="29:41">
      <c r="AC524" s="155" t="s">
        <v>52</v>
      </c>
      <c r="AD524" s="155" t="s">
        <v>19</v>
      </c>
      <c r="AE524" s="155" t="s">
        <v>72</v>
      </c>
      <c r="AF524" s="155" t="s">
        <v>51</v>
      </c>
      <c r="AG524" s="155" t="s">
        <v>185</v>
      </c>
      <c r="AH524" s="155">
        <v>4.356765969784167</v>
      </c>
      <c r="AJ524" s="155" t="s">
        <v>52</v>
      </c>
      <c r="AK524" s="155" t="s">
        <v>19</v>
      </c>
      <c r="AL524" s="155" t="s">
        <v>28</v>
      </c>
      <c r="AM524" s="155" t="s">
        <v>51</v>
      </c>
      <c r="AN524" s="155" t="s">
        <v>185</v>
      </c>
      <c r="AO524" s="155">
        <v>1.4353176144054771</v>
      </c>
    </row>
    <row r="525" spans="29:41">
      <c r="AC525" s="155" t="s">
        <v>52</v>
      </c>
      <c r="AD525" s="155" t="s">
        <v>19</v>
      </c>
      <c r="AE525" s="155" t="s">
        <v>72</v>
      </c>
      <c r="AF525" s="155" t="s">
        <v>51</v>
      </c>
      <c r="AG525" s="155" t="s">
        <v>186</v>
      </c>
      <c r="AH525" s="155">
        <v>4.3247184562130432</v>
      </c>
      <c r="AJ525" s="155" t="s">
        <v>52</v>
      </c>
      <c r="AK525" s="155" t="s">
        <v>19</v>
      </c>
      <c r="AL525" s="155" t="s">
        <v>28</v>
      </c>
      <c r="AM525" s="155" t="s">
        <v>51</v>
      </c>
      <c r="AN525" s="155" t="s">
        <v>186</v>
      </c>
      <c r="AO525" s="155">
        <v>1.4144561297019835</v>
      </c>
    </row>
    <row r="526" spans="29:41">
      <c r="AC526" s="155" t="s">
        <v>52</v>
      </c>
      <c r="AD526" s="155" t="s">
        <v>19</v>
      </c>
      <c r="AE526" s="155" t="s">
        <v>72</v>
      </c>
      <c r="AF526" s="155" t="s">
        <v>51</v>
      </c>
      <c r="AG526" s="155" t="s">
        <v>187</v>
      </c>
      <c r="AH526" s="155">
        <v>4.3247184562130432</v>
      </c>
      <c r="AJ526" s="155" t="s">
        <v>52</v>
      </c>
      <c r="AK526" s="155" t="s">
        <v>19</v>
      </c>
      <c r="AL526" s="155" t="s">
        <v>28</v>
      </c>
      <c r="AM526" s="155" t="s">
        <v>51</v>
      </c>
      <c r="AN526" s="155" t="s">
        <v>187</v>
      </c>
      <c r="AO526" s="155">
        <v>1.4647424126284332</v>
      </c>
    </row>
    <row r="527" spans="29:41">
      <c r="AC527" s="155" t="s">
        <v>52</v>
      </c>
      <c r="AD527" s="155" t="s">
        <v>19</v>
      </c>
      <c r="AE527" s="155" t="s">
        <v>72</v>
      </c>
      <c r="AF527" s="155" t="s">
        <v>51</v>
      </c>
      <c r="AG527" s="155" t="s">
        <v>188</v>
      </c>
      <c r="AH527" s="155">
        <v>4.3655488616966043</v>
      </c>
      <c r="AJ527" s="155" t="s">
        <v>52</v>
      </c>
      <c r="AK527" s="155" t="s">
        <v>19</v>
      </c>
      <c r="AL527" s="155" t="s">
        <v>28</v>
      </c>
      <c r="AM527" s="155" t="s">
        <v>51</v>
      </c>
      <c r="AN527" s="155" t="s">
        <v>188</v>
      </c>
      <c r="AO527" s="155">
        <v>1.4740278458662346</v>
      </c>
    </row>
    <row r="528" spans="29:41">
      <c r="AC528" s="155" t="s">
        <v>52</v>
      </c>
      <c r="AD528" s="155" t="s">
        <v>19</v>
      </c>
      <c r="AE528" s="155" t="s">
        <v>72</v>
      </c>
      <c r="AF528" s="155" t="s">
        <v>51</v>
      </c>
      <c r="AG528" s="155" t="s">
        <v>189</v>
      </c>
      <c r="AH528" s="155">
        <v>4.3975094107446839</v>
      </c>
      <c r="AJ528" s="155" t="s">
        <v>52</v>
      </c>
      <c r="AK528" s="155" t="s">
        <v>19</v>
      </c>
      <c r="AL528" s="155" t="s">
        <v>28</v>
      </c>
      <c r="AM528" s="155" t="s">
        <v>51</v>
      </c>
      <c r="AN528" s="155" t="s">
        <v>189</v>
      </c>
      <c r="AO528" s="155">
        <v>1.5474389721311044</v>
      </c>
    </row>
    <row r="529" spans="29:41">
      <c r="AC529" s="155" t="s">
        <v>52</v>
      </c>
      <c r="AD529" s="155" t="s">
        <v>19</v>
      </c>
      <c r="AE529" s="155" t="s">
        <v>72</v>
      </c>
      <c r="AF529" s="155" t="s">
        <v>51</v>
      </c>
      <c r="AG529" s="155" t="s">
        <v>190</v>
      </c>
      <c r="AH529" s="155">
        <v>4.3364393474588088</v>
      </c>
      <c r="AJ529" s="155" t="s">
        <v>52</v>
      </c>
      <c r="AK529" s="155" t="s">
        <v>19</v>
      </c>
      <c r="AL529" s="155" t="s">
        <v>28</v>
      </c>
      <c r="AM529" s="155" t="s">
        <v>51</v>
      </c>
      <c r="AN529" s="155" t="s">
        <v>190</v>
      </c>
      <c r="AO529" s="155">
        <v>1.4903728139659185</v>
      </c>
    </row>
    <row r="530" spans="29:41">
      <c r="AC530" s="155" t="s">
        <v>52</v>
      </c>
      <c r="AD530" s="155" t="s">
        <v>19</v>
      </c>
      <c r="AE530" s="155" t="s">
        <v>72</v>
      </c>
      <c r="AF530" s="155" t="s">
        <v>51</v>
      </c>
      <c r="AG530" s="155" t="s">
        <v>191</v>
      </c>
      <c r="AH530" s="155">
        <v>4.3364393474588088</v>
      </c>
      <c r="AJ530" s="155" t="s">
        <v>52</v>
      </c>
      <c r="AK530" s="155" t="s">
        <v>19</v>
      </c>
      <c r="AL530" s="155" t="s">
        <v>28</v>
      </c>
      <c r="AM530" s="155" t="s">
        <v>51</v>
      </c>
      <c r="AN530" s="155" t="s">
        <v>191</v>
      </c>
      <c r="AO530" s="155">
        <v>1.4950721322413687</v>
      </c>
    </row>
    <row r="531" spans="29:41">
      <c r="AC531" s="155" t="s">
        <v>52</v>
      </c>
      <c r="AD531" s="155" t="s">
        <v>19</v>
      </c>
      <c r="AE531" s="155" t="s">
        <v>72</v>
      </c>
      <c r="AF531" s="155" t="s">
        <v>51</v>
      </c>
      <c r="AG531" s="155" t="s">
        <v>192</v>
      </c>
      <c r="AH531" s="155">
        <v>4.3043588303271259</v>
      </c>
      <c r="AJ531" s="155" t="s">
        <v>52</v>
      </c>
      <c r="AK531" s="155" t="s">
        <v>19</v>
      </c>
      <c r="AL531" s="155" t="s">
        <v>28</v>
      </c>
      <c r="AM531" s="155" t="s">
        <v>51</v>
      </c>
      <c r="AN531" s="155" t="s">
        <v>192</v>
      </c>
      <c r="AO531" s="155">
        <v>1.4917998878905758</v>
      </c>
    </row>
    <row r="532" spans="29:41">
      <c r="AC532" s="155" t="s">
        <v>52</v>
      </c>
      <c r="AD532" s="155" t="s">
        <v>19</v>
      </c>
      <c r="AE532" s="155" t="s">
        <v>72</v>
      </c>
      <c r="AF532" s="155" t="s">
        <v>51</v>
      </c>
      <c r="AG532" s="155" t="s">
        <v>193</v>
      </c>
      <c r="AH532" s="155">
        <v>4.4177736793579685</v>
      </c>
      <c r="AJ532" s="155" t="s">
        <v>52</v>
      </c>
      <c r="AK532" s="155" t="s">
        <v>19</v>
      </c>
      <c r="AL532" s="155" t="s">
        <v>28</v>
      </c>
      <c r="AM532" s="155" t="s">
        <v>51</v>
      </c>
      <c r="AN532" s="155" t="s">
        <v>193</v>
      </c>
      <c r="AO532" s="155">
        <v>1.5304654078377482</v>
      </c>
    </row>
    <row r="533" spans="29:41">
      <c r="AC533" s="155" t="s">
        <v>52</v>
      </c>
      <c r="AD533" s="155" t="s">
        <v>19</v>
      </c>
      <c r="AE533" s="155" t="s">
        <v>72</v>
      </c>
      <c r="AF533" s="155" t="s">
        <v>51</v>
      </c>
      <c r="AG533" s="155" t="s">
        <v>194</v>
      </c>
      <c r="AH533" s="155">
        <v>4.4177736793579685</v>
      </c>
      <c r="AJ533" s="155" t="s">
        <v>52</v>
      </c>
      <c r="AK533" s="155" t="s">
        <v>19</v>
      </c>
      <c r="AL533" s="155" t="s">
        <v>28</v>
      </c>
      <c r="AM533" s="155" t="s">
        <v>51</v>
      </c>
      <c r="AN533" s="155" t="s">
        <v>194</v>
      </c>
      <c r="AO533" s="155">
        <v>1.456538551931688</v>
      </c>
    </row>
    <row r="534" spans="29:41">
      <c r="AC534" s="155" t="s">
        <v>52</v>
      </c>
      <c r="AD534" s="155" t="s">
        <v>19</v>
      </c>
      <c r="AE534" s="155" t="s">
        <v>72</v>
      </c>
      <c r="AF534" s="155" t="s">
        <v>51</v>
      </c>
      <c r="AG534" s="155" t="s">
        <v>195</v>
      </c>
      <c r="AH534" s="155">
        <v>4.5215920109797576</v>
      </c>
      <c r="AJ534" s="155" t="s">
        <v>52</v>
      </c>
      <c r="AK534" s="155" t="s">
        <v>19</v>
      </c>
      <c r="AL534" s="155" t="s">
        <v>28</v>
      </c>
      <c r="AM534" s="155" t="s">
        <v>51</v>
      </c>
      <c r="AN534" s="155" t="s">
        <v>195</v>
      </c>
      <c r="AO534" s="155">
        <v>1.4471775794060073</v>
      </c>
    </row>
    <row r="535" spans="29:41">
      <c r="AC535" s="155" t="s">
        <v>52</v>
      </c>
      <c r="AD535" s="155" t="s">
        <v>19</v>
      </c>
      <c r="AE535" s="155" t="s">
        <v>72</v>
      </c>
      <c r="AF535" s="155" t="s">
        <v>51</v>
      </c>
      <c r="AG535" s="155" t="s">
        <v>196</v>
      </c>
      <c r="AH535" s="155">
        <v>4.51007164418104</v>
      </c>
      <c r="AJ535" s="155" t="s">
        <v>52</v>
      </c>
      <c r="AK535" s="155" t="s">
        <v>19</v>
      </c>
      <c r="AL535" s="155" t="s">
        <v>28</v>
      </c>
      <c r="AM535" s="155" t="s">
        <v>51</v>
      </c>
      <c r="AN535" s="155" t="s">
        <v>196</v>
      </c>
      <c r="AO535" s="155">
        <v>1.4843967805660399</v>
      </c>
    </row>
    <row r="536" spans="29:41">
      <c r="AC536" s="155" t="s">
        <v>52</v>
      </c>
      <c r="AD536" s="155" t="s">
        <v>19</v>
      </c>
      <c r="AE536" s="155" t="s">
        <v>72</v>
      </c>
      <c r="AF536" s="155" t="s">
        <v>51</v>
      </c>
      <c r="AG536" s="155" t="s">
        <v>197</v>
      </c>
      <c r="AH536" s="155">
        <v>4.5733883757567257</v>
      </c>
      <c r="AJ536" s="155" t="s">
        <v>52</v>
      </c>
      <c r="AK536" s="155" t="s">
        <v>19</v>
      </c>
      <c r="AL536" s="155" t="s">
        <v>28</v>
      </c>
      <c r="AM536" s="155" t="s">
        <v>51</v>
      </c>
      <c r="AN536" s="155" t="s">
        <v>197</v>
      </c>
      <c r="AO536" s="155">
        <v>1.4548494506448555</v>
      </c>
    </row>
    <row r="537" spans="29:41">
      <c r="AC537" s="155" t="s">
        <v>52</v>
      </c>
      <c r="AD537" s="155" t="s">
        <v>19</v>
      </c>
      <c r="AE537" s="155" t="s">
        <v>72</v>
      </c>
      <c r="AF537" s="155" t="s">
        <v>51</v>
      </c>
      <c r="AG537" s="155" t="s">
        <v>198</v>
      </c>
      <c r="AH537" s="155">
        <v>4.5733883757567257</v>
      </c>
      <c r="AJ537" s="155" t="s">
        <v>52</v>
      </c>
      <c r="AK537" s="155" t="s">
        <v>19</v>
      </c>
      <c r="AL537" s="155" t="s">
        <v>28</v>
      </c>
      <c r="AM537" s="155" t="s">
        <v>51</v>
      </c>
      <c r="AN537" s="155" t="s">
        <v>198</v>
      </c>
      <c r="AO537" s="155">
        <v>1.4881603042196454</v>
      </c>
    </row>
    <row r="538" spans="29:41">
      <c r="AC538" s="155" t="s">
        <v>52</v>
      </c>
      <c r="AD538" s="155" t="s">
        <v>19</v>
      </c>
      <c r="AE538" s="155" t="s">
        <v>72</v>
      </c>
      <c r="AF538" s="155" t="s">
        <v>51</v>
      </c>
      <c r="AG538" s="155" t="s">
        <v>199</v>
      </c>
      <c r="AH538" s="155">
        <v>4.5733883757567257</v>
      </c>
      <c r="AJ538" s="155" t="s">
        <v>52</v>
      </c>
      <c r="AK538" s="155" t="s">
        <v>19</v>
      </c>
      <c r="AL538" s="155" t="s">
        <v>28</v>
      </c>
      <c r="AM538" s="155" t="s">
        <v>51</v>
      </c>
      <c r="AN538" s="155" t="s">
        <v>199</v>
      </c>
      <c r="AO538" s="155">
        <v>1.4440887961320856</v>
      </c>
    </row>
    <row r="539" spans="29:41">
      <c r="AC539" s="155" t="s">
        <v>52</v>
      </c>
      <c r="AD539" s="155" t="s">
        <v>19</v>
      </c>
      <c r="AE539" s="155" t="s">
        <v>72</v>
      </c>
      <c r="AF539" s="155" t="s">
        <v>51</v>
      </c>
      <c r="AG539" s="155" t="s">
        <v>200</v>
      </c>
      <c r="AH539" s="155">
        <v>4.58487342616412</v>
      </c>
      <c r="AJ539" s="155" t="s">
        <v>52</v>
      </c>
      <c r="AK539" s="155" t="s">
        <v>19</v>
      </c>
      <c r="AL539" s="155" t="s">
        <v>28</v>
      </c>
      <c r="AM539" s="155" t="s">
        <v>51</v>
      </c>
      <c r="AN539" s="155" t="s">
        <v>200</v>
      </c>
      <c r="AO539" s="155">
        <v>1.4075287501712803</v>
      </c>
    </row>
    <row r="540" spans="29:41">
      <c r="AC540" s="155" t="s">
        <v>52</v>
      </c>
      <c r="AD540" s="155" t="s">
        <v>19</v>
      </c>
      <c r="AE540" s="155" t="s">
        <v>72</v>
      </c>
      <c r="AF540" s="155" t="s">
        <v>51</v>
      </c>
      <c r="AG540" s="155" t="s">
        <v>201</v>
      </c>
      <c r="AH540" s="155">
        <v>4.5733883757567257</v>
      </c>
      <c r="AJ540" s="155" t="s">
        <v>52</v>
      </c>
      <c r="AK540" s="155" t="s">
        <v>19</v>
      </c>
      <c r="AL540" s="155" t="s">
        <v>28</v>
      </c>
      <c r="AM540" s="155" t="s">
        <v>51</v>
      </c>
      <c r="AN540" s="155" t="s">
        <v>201</v>
      </c>
      <c r="AO540" s="155">
        <v>1.4972730625516655</v>
      </c>
    </row>
    <row r="541" spans="29:41">
      <c r="AC541" s="155" t="s">
        <v>52</v>
      </c>
      <c r="AD541" s="155" t="s">
        <v>19</v>
      </c>
      <c r="AE541" s="155" t="s">
        <v>72</v>
      </c>
      <c r="AF541" s="155" t="s">
        <v>51</v>
      </c>
      <c r="AG541" s="155" t="s">
        <v>202</v>
      </c>
      <c r="AH541" s="155">
        <v>4.5417608906253868</v>
      </c>
      <c r="AJ541" s="155" t="s">
        <v>52</v>
      </c>
      <c r="AK541" s="155" t="s">
        <v>19</v>
      </c>
      <c r="AL541" s="155" t="s">
        <v>28</v>
      </c>
      <c r="AM541" s="155" t="s">
        <v>51</v>
      </c>
      <c r="AN541" s="155" t="s">
        <v>202</v>
      </c>
      <c r="AO541" s="155">
        <v>1.4498207626518271</v>
      </c>
    </row>
    <row r="542" spans="29:41">
      <c r="AC542" s="155" t="s">
        <v>52</v>
      </c>
      <c r="AD542" s="155" t="s">
        <v>19</v>
      </c>
      <c r="AE542" s="155" t="s">
        <v>72</v>
      </c>
      <c r="AF542" s="155" t="s">
        <v>51</v>
      </c>
      <c r="AG542" s="155" t="s">
        <v>203</v>
      </c>
      <c r="AH542" s="155">
        <v>4.51007164418104</v>
      </c>
      <c r="AJ542" s="155" t="s">
        <v>52</v>
      </c>
      <c r="AK542" s="155" t="s">
        <v>19</v>
      </c>
      <c r="AL542" s="155" t="s">
        <v>28</v>
      </c>
      <c r="AM542" s="155" t="s">
        <v>51</v>
      </c>
      <c r="AN542" s="155" t="s">
        <v>203</v>
      </c>
      <c r="AO542" s="155">
        <v>1.4252231382307401</v>
      </c>
    </row>
    <row r="543" spans="29:41">
      <c r="AC543" s="155" t="s">
        <v>52</v>
      </c>
      <c r="AD543" s="155" t="s">
        <v>19</v>
      </c>
      <c r="AE543" s="155" t="s">
        <v>72</v>
      </c>
      <c r="AF543" s="155" t="s">
        <v>51</v>
      </c>
      <c r="AG543" s="155" t="s">
        <v>204</v>
      </c>
      <c r="AH543" s="155">
        <v>4.5417608906253868</v>
      </c>
      <c r="AJ543" s="155" t="s">
        <v>52</v>
      </c>
      <c r="AK543" s="155" t="s">
        <v>19</v>
      </c>
      <c r="AL543" s="155" t="s">
        <v>28</v>
      </c>
      <c r="AM543" s="155" t="s">
        <v>51</v>
      </c>
      <c r="AN543" s="155" t="s">
        <v>204</v>
      </c>
      <c r="AO543" s="155">
        <v>1.4880206003686269</v>
      </c>
    </row>
    <row r="544" spans="29:41">
      <c r="AC544" s="155" t="s">
        <v>52</v>
      </c>
      <c r="AD544" s="155" t="s">
        <v>19</v>
      </c>
      <c r="AE544" s="155" t="s">
        <v>72</v>
      </c>
      <c r="AF544" s="155" t="s">
        <v>51</v>
      </c>
      <c r="AG544" s="155" t="s">
        <v>205</v>
      </c>
      <c r="AH544" s="155">
        <v>4.5417608906253868</v>
      </c>
      <c r="AJ544" s="155" t="s">
        <v>52</v>
      </c>
      <c r="AK544" s="155" t="s">
        <v>19</v>
      </c>
      <c r="AL544" s="155" t="s">
        <v>28</v>
      </c>
      <c r="AM544" s="155" t="s">
        <v>51</v>
      </c>
      <c r="AN544" s="155" t="s">
        <v>205</v>
      </c>
      <c r="AO544" s="155">
        <v>1.5095993663904568</v>
      </c>
    </row>
    <row r="545" spans="29:41">
      <c r="AC545" s="155" t="s">
        <v>52</v>
      </c>
      <c r="AD545" s="155" t="s">
        <v>19</v>
      </c>
      <c r="AE545" s="155" t="s">
        <v>72</v>
      </c>
      <c r="AF545" s="155" t="s">
        <v>51</v>
      </c>
      <c r="AG545" s="155" t="s">
        <v>206</v>
      </c>
      <c r="AH545" s="155">
        <v>4.5131838688757515</v>
      </c>
      <c r="AJ545" s="155" t="s">
        <v>52</v>
      </c>
      <c r="AK545" s="155" t="s">
        <v>19</v>
      </c>
      <c r="AL545" s="155" t="s">
        <v>28</v>
      </c>
      <c r="AM545" s="155" t="s">
        <v>51</v>
      </c>
      <c r="AN545" s="155" t="s">
        <v>206</v>
      </c>
      <c r="AO545" s="155">
        <v>1.4663819561525822</v>
      </c>
    </row>
    <row r="546" spans="29:41">
      <c r="AC546" s="155" t="s">
        <v>52</v>
      </c>
      <c r="AD546" s="155" t="s">
        <v>19</v>
      </c>
      <c r="AE546" s="155" t="s">
        <v>72</v>
      </c>
      <c r="AF546" s="155" t="s">
        <v>51</v>
      </c>
      <c r="AG546" s="155" t="s">
        <v>207</v>
      </c>
      <c r="AH546" s="155">
        <v>4.449639278675031</v>
      </c>
      <c r="AJ546" s="155" t="s">
        <v>52</v>
      </c>
      <c r="AK546" s="155" t="s">
        <v>19</v>
      </c>
      <c r="AL546" s="155" t="s">
        <v>28</v>
      </c>
      <c r="AM546" s="155" t="s">
        <v>51</v>
      </c>
      <c r="AN546" s="155" t="s">
        <v>207</v>
      </c>
      <c r="AO546" s="155">
        <v>1.467421874783301</v>
      </c>
    </row>
    <row r="547" spans="29:41">
      <c r="AC547" s="155" t="s">
        <v>52</v>
      </c>
      <c r="AD547" s="155" t="s">
        <v>19</v>
      </c>
      <c r="AE547" s="155" t="s">
        <v>72</v>
      </c>
      <c r="AF547" s="155" t="s">
        <v>51</v>
      </c>
      <c r="AG547" s="155" t="s">
        <v>208</v>
      </c>
      <c r="AH547" s="155">
        <v>4.4783204935797372</v>
      </c>
      <c r="AJ547" s="155" t="s">
        <v>52</v>
      </c>
      <c r="AK547" s="155" t="s">
        <v>19</v>
      </c>
      <c r="AL547" s="155" t="s">
        <v>28</v>
      </c>
      <c r="AM547" s="155" t="s">
        <v>51</v>
      </c>
      <c r="AN547" s="155" t="s">
        <v>208</v>
      </c>
      <c r="AO547" s="155">
        <v>1.4021636048641268</v>
      </c>
    </row>
    <row r="548" spans="29:41">
      <c r="AC548" s="155" t="s">
        <v>52</v>
      </c>
      <c r="AD548" s="155" t="s">
        <v>19</v>
      </c>
      <c r="AE548" s="155" t="s">
        <v>72</v>
      </c>
      <c r="AF548" s="155" t="s">
        <v>51</v>
      </c>
      <c r="AG548" s="155" t="s">
        <v>209</v>
      </c>
      <c r="AH548" s="155">
        <v>4.5215920109797576</v>
      </c>
      <c r="AJ548" s="155" t="s">
        <v>52</v>
      </c>
      <c r="AK548" s="155" t="s">
        <v>19</v>
      </c>
      <c r="AL548" s="155" t="s">
        <v>28</v>
      </c>
      <c r="AM548" s="155" t="s">
        <v>51</v>
      </c>
      <c r="AN548" s="155" t="s">
        <v>209</v>
      </c>
      <c r="AO548" s="155">
        <v>1.3996874898998775</v>
      </c>
    </row>
    <row r="549" spans="29:41">
      <c r="AC549" s="155" t="s">
        <v>52</v>
      </c>
      <c r="AD549" s="155" t="s">
        <v>19</v>
      </c>
      <c r="AE549" s="155" t="s">
        <v>72</v>
      </c>
      <c r="AF549" s="155" t="s">
        <v>51</v>
      </c>
      <c r="AG549" s="155" t="s">
        <v>210</v>
      </c>
      <c r="AH549" s="155">
        <v>4.5215920109797576</v>
      </c>
      <c r="AJ549" s="155" t="s">
        <v>52</v>
      </c>
      <c r="AK549" s="155" t="s">
        <v>19</v>
      </c>
      <c r="AL549" s="155" t="s">
        <v>28</v>
      </c>
      <c r="AM549" s="155" t="s">
        <v>51</v>
      </c>
      <c r="AN549" s="155" t="s">
        <v>210</v>
      </c>
      <c r="AO549" s="155">
        <v>1.430331400554647</v>
      </c>
    </row>
    <row r="550" spans="29:41">
      <c r="AC550" s="155" t="s">
        <v>52</v>
      </c>
      <c r="AD550" s="155" t="s">
        <v>19</v>
      </c>
      <c r="AE550" s="155" t="s">
        <v>72</v>
      </c>
      <c r="AF550" s="155" t="s">
        <v>51</v>
      </c>
      <c r="AG550" s="155" t="s">
        <v>211</v>
      </c>
      <c r="AH550" s="155">
        <v>4.5215920109797576</v>
      </c>
      <c r="AJ550" s="155" t="s">
        <v>52</v>
      </c>
      <c r="AK550" s="155" t="s">
        <v>19</v>
      </c>
      <c r="AL550" s="155" t="s">
        <v>28</v>
      </c>
      <c r="AM550" s="155" t="s">
        <v>51</v>
      </c>
      <c r="AN550" s="155" t="s">
        <v>211</v>
      </c>
      <c r="AO550" s="155">
        <v>1.4056997034252172</v>
      </c>
    </row>
    <row r="551" spans="29:41">
      <c r="AC551" s="155" t="s">
        <v>52</v>
      </c>
      <c r="AD551" s="155" t="s">
        <v>19</v>
      </c>
      <c r="AE551" s="155" t="s">
        <v>72</v>
      </c>
      <c r="AF551" s="155" t="s">
        <v>51</v>
      </c>
      <c r="AG551" s="155" t="s">
        <v>212</v>
      </c>
      <c r="AH551" s="155">
        <v>4.58487342616412</v>
      </c>
      <c r="AJ551" s="155" t="s">
        <v>52</v>
      </c>
      <c r="AK551" s="155" t="s">
        <v>19</v>
      </c>
      <c r="AL551" s="155" t="s">
        <v>28</v>
      </c>
      <c r="AM551" s="155" t="s">
        <v>51</v>
      </c>
      <c r="AN551" s="155" t="s">
        <v>212</v>
      </c>
      <c r="AO551" s="155">
        <v>1.3826046317307703</v>
      </c>
    </row>
    <row r="552" spans="29:41">
      <c r="AC552" s="155" t="s">
        <v>52</v>
      </c>
      <c r="AD552" s="155" t="s">
        <v>19</v>
      </c>
      <c r="AE552" s="155" t="s">
        <v>72</v>
      </c>
      <c r="AF552" s="155" t="s">
        <v>51</v>
      </c>
      <c r="AG552" s="155" t="s">
        <v>213</v>
      </c>
      <c r="AH552" s="155">
        <v>4.5215920109797576</v>
      </c>
      <c r="AJ552" s="155" t="s">
        <v>52</v>
      </c>
      <c r="AK552" s="155" t="s">
        <v>19</v>
      </c>
      <c r="AL552" s="155" t="s">
        <v>28</v>
      </c>
      <c r="AM552" s="155" t="s">
        <v>51</v>
      </c>
      <c r="AN552" s="155" t="s">
        <v>213</v>
      </c>
      <c r="AO552" s="155">
        <v>1.4364050910114474</v>
      </c>
    </row>
    <row r="553" spans="29:41">
      <c r="AC553" s="155" t="s">
        <v>52</v>
      </c>
      <c r="AD553" s="155" t="s">
        <v>19</v>
      </c>
      <c r="AE553" s="155" t="s">
        <v>72</v>
      </c>
      <c r="AF553" s="155" t="s">
        <v>51</v>
      </c>
      <c r="AG553" s="155" t="s">
        <v>98</v>
      </c>
      <c r="AH553" s="155">
        <v>4.5215920109797576</v>
      </c>
      <c r="AJ553" s="155" t="s">
        <v>52</v>
      </c>
      <c r="AK553" s="155" t="s">
        <v>19</v>
      </c>
      <c r="AL553" s="155" t="s">
        <v>28</v>
      </c>
      <c r="AM553" s="155" t="s">
        <v>51</v>
      </c>
      <c r="AN553" s="155" t="s">
        <v>98</v>
      </c>
      <c r="AO553" s="155">
        <v>1.4483115676875973</v>
      </c>
    </row>
    <row r="554" spans="29:41">
      <c r="AC554" s="155" t="s">
        <v>52</v>
      </c>
      <c r="AD554" s="155" t="s">
        <v>19</v>
      </c>
      <c r="AE554" s="155" t="s">
        <v>72</v>
      </c>
      <c r="AF554" s="155" t="s">
        <v>51</v>
      </c>
      <c r="AG554" s="155" t="s">
        <v>96</v>
      </c>
      <c r="AH554" s="155">
        <v>4.58487342616412</v>
      </c>
      <c r="AJ554" s="155" t="s">
        <v>52</v>
      </c>
      <c r="AK554" s="155" t="s">
        <v>19</v>
      </c>
      <c r="AL554" s="155" t="s">
        <v>28</v>
      </c>
      <c r="AM554" s="155" t="s">
        <v>51</v>
      </c>
      <c r="AN554" s="155" t="s">
        <v>96</v>
      </c>
      <c r="AO554" s="155">
        <v>1.4221081738015604</v>
      </c>
    </row>
    <row r="555" spans="29:41">
      <c r="AC555" s="155" t="s">
        <v>52</v>
      </c>
      <c r="AD555" s="155" t="s">
        <v>19</v>
      </c>
      <c r="AE555" s="155" t="s">
        <v>72</v>
      </c>
      <c r="AF555" s="155" t="s">
        <v>51</v>
      </c>
      <c r="AG555" s="155" t="s">
        <v>97</v>
      </c>
      <c r="AH555" s="155">
        <v>4.5215920109797576</v>
      </c>
      <c r="AJ555" s="155" t="s">
        <v>52</v>
      </c>
      <c r="AK555" s="155" t="s">
        <v>19</v>
      </c>
      <c r="AL555" s="155" t="s">
        <v>28</v>
      </c>
      <c r="AM555" s="155" t="s">
        <v>51</v>
      </c>
      <c r="AN555" s="155" t="s">
        <v>97</v>
      </c>
      <c r="AO555" s="155">
        <v>1.3886466132010673</v>
      </c>
    </row>
    <row r="556" spans="29:41">
      <c r="AC556" s="155" t="s">
        <v>52</v>
      </c>
      <c r="AD556" s="155" t="s">
        <v>19</v>
      </c>
      <c r="AE556" s="155" t="s">
        <v>72</v>
      </c>
      <c r="AF556" s="155" t="s">
        <v>51</v>
      </c>
      <c r="AG556" s="155" t="s">
        <v>101</v>
      </c>
      <c r="AH556" s="155">
        <v>4.5733883757567257</v>
      </c>
      <c r="AJ556" s="155" t="s">
        <v>52</v>
      </c>
      <c r="AK556" s="155" t="s">
        <v>19</v>
      </c>
      <c r="AL556" s="155" t="s">
        <v>28</v>
      </c>
      <c r="AM556" s="155" t="s">
        <v>51</v>
      </c>
      <c r="AN556" s="155" t="s">
        <v>101</v>
      </c>
      <c r="AO556" s="155">
        <v>1.5324256561702054</v>
      </c>
    </row>
    <row r="557" spans="29:41">
      <c r="AC557" s="155" t="s">
        <v>52</v>
      </c>
      <c r="AD557" s="155" t="s">
        <v>19</v>
      </c>
      <c r="AE557" s="155" t="s">
        <v>72</v>
      </c>
      <c r="AF557" s="155" t="s">
        <v>51</v>
      </c>
      <c r="AG557" s="155" t="s">
        <v>102</v>
      </c>
      <c r="AH557" s="155">
        <v>4.5131838688757515</v>
      </c>
      <c r="AJ557" s="155" t="s">
        <v>52</v>
      </c>
      <c r="AK557" s="155" t="s">
        <v>19</v>
      </c>
      <c r="AL557" s="155" t="s">
        <v>28</v>
      </c>
      <c r="AM557" s="155" t="s">
        <v>51</v>
      </c>
      <c r="AN557" s="155" t="s">
        <v>102</v>
      </c>
      <c r="AO557" s="155">
        <v>1.5033319569337917</v>
      </c>
    </row>
    <row r="558" spans="29:41">
      <c r="AC558" s="155" t="s">
        <v>52</v>
      </c>
      <c r="AD558" s="155" t="s">
        <v>19</v>
      </c>
      <c r="AE558" s="155" t="s">
        <v>72</v>
      </c>
      <c r="AF558" s="155" t="s">
        <v>51</v>
      </c>
      <c r="AG558" s="155" t="s">
        <v>103</v>
      </c>
      <c r="AH558" s="155">
        <v>4.5417608906253868</v>
      </c>
      <c r="AJ558" s="155" t="s">
        <v>52</v>
      </c>
      <c r="AK558" s="155" t="s">
        <v>19</v>
      </c>
      <c r="AL558" s="155" t="s">
        <v>28</v>
      </c>
      <c r="AM558" s="155" t="s">
        <v>51</v>
      </c>
      <c r="AN558" s="155" t="s">
        <v>103</v>
      </c>
      <c r="AO558" s="155">
        <v>1.5626154943854269</v>
      </c>
    </row>
    <row r="559" spans="29:41">
      <c r="AC559" s="155" t="s">
        <v>52</v>
      </c>
      <c r="AD559" s="155" t="s">
        <v>19</v>
      </c>
      <c r="AE559" s="155" t="s">
        <v>72</v>
      </c>
      <c r="AF559" s="155" t="s">
        <v>51</v>
      </c>
      <c r="AG559" s="155" t="s">
        <v>104</v>
      </c>
      <c r="AH559" s="155">
        <v>4.6278726141585871</v>
      </c>
      <c r="AJ559" s="155" t="s">
        <v>52</v>
      </c>
      <c r="AK559" s="155" t="s">
        <v>19</v>
      </c>
      <c r="AL559" s="155" t="s">
        <v>28</v>
      </c>
      <c r="AM559" s="155" t="s">
        <v>51</v>
      </c>
      <c r="AN559" s="155" t="s">
        <v>104</v>
      </c>
      <c r="AO559" s="155">
        <v>1.5758798084377967</v>
      </c>
    </row>
    <row r="560" spans="29:41">
      <c r="AC560" s="155" t="s">
        <v>52</v>
      </c>
      <c r="AD560" s="155" t="s">
        <v>19</v>
      </c>
      <c r="AE560" s="155" t="s">
        <v>72</v>
      </c>
      <c r="AF560" s="155" t="s">
        <v>51</v>
      </c>
      <c r="AG560" s="155" t="s">
        <v>105</v>
      </c>
      <c r="AH560" s="155">
        <v>4.6393276238687271</v>
      </c>
      <c r="AJ560" s="155" t="s">
        <v>52</v>
      </c>
      <c r="AK560" s="155" t="s">
        <v>19</v>
      </c>
      <c r="AL560" s="155" t="s">
        <v>28</v>
      </c>
      <c r="AM560" s="155" t="s">
        <v>51</v>
      </c>
      <c r="AN560" s="155" t="s">
        <v>105</v>
      </c>
      <c r="AO560" s="155">
        <v>1.4924131272430072</v>
      </c>
    </row>
    <row r="561" spans="29:41">
      <c r="AC561" s="155" t="s">
        <v>52</v>
      </c>
      <c r="AD561" s="155" t="s">
        <v>19</v>
      </c>
      <c r="AE561" s="155" t="s">
        <v>72</v>
      </c>
      <c r="AF561" s="155" t="s">
        <v>51</v>
      </c>
      <c r="AG561" s="155" t="s">
        <v>106</v>
      </c>
      <c r="AH561" s="155">
        <v>4.623303488160051</v>
      </c>
      <c r="AJ561" s="155" t="s">
        <v>52</v>
      </c>
      <c r="AK561" s="155" t="s">
        <v>19</v>
      </c>
      <c r="AL561" s="155" t="s">
        <v>28</v>
      </c>
      <c r="AM561" s="155" t="s">
        <v>51</v>
      </c>
      <c r="AN561" s="155" t="s">
        <v>106</v>
      </c>
      <c r="AO561" s="155">
        <v>1.4792233270269517</v>
      </c>
    </row>
    <row r="562" spans="29:41">
      <c r="AC562" s="155" t="s">
        <v>52</v>
      </c>
      <c r="AD562" s="155" t="s">
        <v>19</v>
      </c>
      <c r="AE562" s="155" t="s">
        <v>72</v>
      </c>
      <c r="AF562" s="155" t="s">
        <v>51</v>
      </c>
      <c r="AG562" s="155" t="s">
        <v>107</v>
      </c>
      <c r="AH562" s="155">
        <v>4.5647651580417525</v>
      </c>
      <c r="AJ562" s="155" t="s">
        <v>52</v>
      </c>
      <c r="AK562" s="155" t="s">
        <v>19</v>
      </c>
      <c r="AL562" s="155" t="s">
        <v>28</v>
      </c>
      <c r="AM562" s="155" t="s">
        <v>51</v>
      </c>
      <c r="AN562" s="155" t="s">
        <v>107</v>
      </c>
      <c r="AO562" s="155">
        <v>1.4566586050220325</v>
      </c>
    </row>
    <row r="563" spans="29:41">
      <c r="AC563" s="155" t="s">
        <v>52</v>
      </c>
      <c r="AD563" s="155" t="s">
        <v>19</v>
      </c>
      <c r="AE563" s="155" t="s">
        <v>72</v>
      </c>
      <c r="AF563" s="155" t="s">
        <v>51</v>
      </c>
      <c r="AG563" s="155" t="s">
        <v>108</v>
      </c>
      <c r="AH563" s="155">
        <v>4.61355243920144</v>
      </c>
      <c r="AJ563" s="155" t="s">
        <v>52</v>
      </c>
      <c r="AK563" s="155" t="s">
        <v>19</v>
      </c>
      <c r="AL563" s="155" t="s">
        <v>28</v>
      </c>
      <c r="AM563" s="155" t="s">
        <v>51</v>
      </c>
      <c r="AN563" s="155" t="s">
        <v>108</v>
      </c>
      <c r="AO563" s="155">
        <v>1.5483643137247298</v>
      </c>
    </row>
    <row r="564" spans="29:41">
      <c r="AC564" s="155" t="s">
        <v>52</v>
      </c>
      <c r="AD564" s="155" t="s">
        <v>19</v>
      </c>
      <c r="AE564" s="155" t="s">
        <v>72</v>
      </c>
      <c r="AF564" s="155" t="s">
        <v>51</v>
      </c>
      <c r="AG564" s="155" t="s">
        <v>100</v>
      </c>
      <c r="AH564" s="155">
        <v>4.5590153608656223</v>
      </c>
      <c r="AJ564" s="155" t="s">
        <v>52</v>
      </c>
      <c r="AK564" s="155" t="s">
        <v>19</v>
      </c>
      <c r="AL564" s="155" t="s">
        <v>28</v>
      </c>
      <c r="AM564" s="155" t="s">
        <v>51</v>
      </c>
      <c r="AN564" s="155" t="s">
        <v>100</v>
      </c>
      <c r="AO564" s="155">
        <v>1.4947782656127222</v>
      </c>
    </row>
    <row r="565" spans="29:41">
      <c r="AC565" s="155" t="s">
        <v>52</v>
      </c>
      <c r="AD565" s="155" t="s">
        <v>19</v>
      </c>
      <c r="AE565" s="155" t="s">
        <v>72</v>
      </c>
      <c r="AF565" s="155" t="s">
        <v>51</v>
      </c>
      <c r="AG565" s="155" t="s">
        <v>109</v>
      </c>
      <c r="AH565" s="155">
        <v>4.5244737897027454</v>
      </c>
      <c r="AJ565" s="155" t="s">
        <v>52</v>
      </c>
      <c r="AK565" s="155" t="s">
        <v>19</v>
      </c>
      <c r="AL565" s="155" t="s">
        <v>28</v>
      </c>
      <c r="AM565" s="155" t="s">
        <v>51</v>
      </c>
      <c r="AN565" s="155" t="s">
        <v>109</v>
      </c>
      <c r="AO565" s="155">
        <v>1.4736088385134953</v>
      </c>
    </row>
    <row r="566" spans="29:41">
      <c r="AC566" s="155" t="s">
        <v>52</v>
      </c>
      <c r="AD566" s="155" t="s">
        <v>19</v>
      </c>
      <c r="AE566" s="155" t="s">
        <v>72</v>
      </c>
      <c r="AF566" s="155" t="s">
        <v>51</v>
      </c>
      <c r="AG566" s="155" t="s">
        <v>110</v>
      </c>
      <c r="AH566" s="155">
        <v>4.6020892685877657</v>
      </c>
      <c r="AJ566" s="155" t="s">
        <v>52</v>
      </c>
      <c r="AK566" s="155" t="s">
        <v>19</v>
      </c>
      <c r="AL566" s="155" t="s">
        <v>28</v>
      </c>
      <c r="AM566" s="155" t="s">
        <v>51</v>
      </c>
      <c r="AN566" s="155" t="s">
        <v>110</v>
      </c>
      <c r="AO566" s="155">
        <v>1.5318206661209262</v>
      </c>
    </row>
    <row r="567" spans="29:41">
      <c r="AC567" s="155" t="s">
        <v>52</v>
      </c>
      <c r="AD567" s="155" t="s">
        <v>19</v>
      </c>
      <c r="AE567" s="155" t="s">
        <v>72</v>
      </c>
      <c r="AF567" s="155" t="s">
        <v>51</v>
      </c>
      <c r="AG567" s="155" t="s">
        <v>111</v>
      </c>
      <c r="AH567" s="155">
        <v>4.6307417564501678</v>
      </c>
      <c r="AJ567" s="155" t="s">
        <v>52</v>
      </c>
      <c r="AK567" s="155" t="s">
        <v>19</v>
      </c>
      <c r="AL567" s="155" t="s">
        <v>28</v>
      </c>
      <c r="AM567" s="155" t="s">
        <v>51</v>
      </c>
      <c r="AN567" s="155" t="s">
        <v>111</v>
      </c>
      <c r="AO567" s="155">
        <v>1.5897431671584479</v>
      </c>
    </row>
    <row r="568" spans="29:41">
      <c r="AC568" s="155" t="s">
        <v>52</v>
      </c>
      <c r="AD568" s="155" t="s">
        <v>19</v>
      </c>
      <c r="AE568" s="155" t="s">
        <v>72</v>
      </c>
      <c r="AF568" s="155" t="s">
        <v>51</v>
      </c>
      <c r="AG568" s="155" t="s">
        <v>99</v>
      </c>
      <c r="AH568" s="155">
        <v>4.61355243920144</v>
      </c>
      <c r="AJ568" s="155" t="s">
        <v>52</v>
      </c>
      <c r="AK568" s="155" t="s">
        <v>19</v>
      </c>
      <c r="AL568" s="155" t="s">
        <v>28</v>
      </c>
      <c r="AM568" s="155" t="s">
        <v>51</v>
      </c>
      <c r="AN568" s="155" t="s">
        <v>99</v>
      </c>
      <c r="AO568" s="155">
        <v>1.5862801648354699</v>
      </c>
    </row>
    <row r="569" spans="29:41">
      <c r="AC569" s="155" t="s">
        <v>52</v>
      </c>
      <c r="AD569" s="155" t="s">
        <v>19</v>
      </c>
      <c r="AE569" s="155" t="s">
        <v>72</v>
      </c>
      <c r="AF569" s="155" t="s">
        <v>51</v>
      </c>
      <c r="AG569" s="155" t="s">
        <v>126</v>
      </c>
      <c r="AH569" s="155">
        <v>4.6421801086296943</v>
      </c>
      <c r="AJ569" s="155" t="s">
        <v>52</v>
      </c>
      <c r="AK569" s="155" t="s">
        <v>19</v>
      </c>
      <c r="AL569" s="155" t="s">
        <v>28</v>
      </c>
      <c r="AM569" s="155" t="s">
        <v>51</v>
      </c>
      <c r="AN569" s="155" t="s">
        <v>126</v>
      </c>
      <c r="AO569" s="155">
        <v>1.6406557497822147</v>
      </c>
    </row>
    <row r="570" spans="29:41">
      <c r="AC570" s="155" t="s">
        <v>52</v>
      </c>
      <c r="AD570" s="155" t="s">
        <v>19</v>
      </c>
      <c r="AE570" s="155" t="s">
        <v>72</v>
      </c>
      <c r="AF570" s="155" t="s">
        <v>51</v>
      </c>
      <c r="AG570" s="155" t="s">
        <v>124</v>
      </c>
      <c r="AH570" s="155">
        <v>4.5388826043032733</v>
      </c>
      <c r="AJ570" s="155" t="s">
        <v>52</v>
      </c>
      <c r="AK570" s="155" t="s">
        <v>19</v>
      </c>
      <c r="AL570" s="155" t="s">
        <v>28</v>
      </c>
      <c r="AM570" s="155" t="s">
        <v>51</v>
      </c>
      <c r="AN570" s="155" t="s">
        <v>124</v>
      </c>
      <c r="AO570" s="155">
        <v>1.530075174887463</v>
      </c>
    </row>
    <row r="571" spans="29:41">
      <c r="AC571" s="155" t="s">
        <v>52</v>
      </c>
      <c r="AD571" s="155" t="s">
        <v>19</v>
      </c>
      <c r="AE571" s="155" t="s">
        <v>72</v>
      </c>
      <c r="AF571" s="155" t="s">
        <v>51</v>
      </c>
      <c r="AG571" s="155" t="s">
        <v>127</v>
      </c>
      <c r="AH571" s="155">
        <v>4.5391078806773386</v>
      </c>
      <c r="AJ571" s="155" t="s">
        <v>52</v>
      </c>
      <c r="AK571" s="155" t="s">
        <v>19</v>
      </c>
      <c r="AL571" s="155" t="s">
        <v>28</v>
      </c>
      <c r="AM571" s="155" t="s">
        <v>51</v>
      </c>
      <c r="AN571" s="155" t="s">
        <v>127</v>
      </c>
      <c r="AO571" s="155">
        <v>1.5622258993268487</v>
      </c>
    </row>
    <row r="572" spans="29:41">
      <c r="AC572" s="155" t="s">
        <v>52</v>
      </c>
      <c r="AD572" s="155" t="s">
        <v>19</v>
      </c>
      <c r="AE572" s="155" t="s">
        <v>72</v>
      </c>
      <c r="AF572" s="155" t="s">
        <v>51</v>
      </c>
      <c r="AG572" s="155" t="s">
        <v>128</v>
      </c>
      <c r="AH572" s="155">
        <v>4.5360038074512801</v>
      </c>
      <c r="AJ572" s="155" t="s">
        <v>52</v>
      </c>
      <c r="AK572" s="155" t="s">
        <v>19</v>
      </c>
      <c r="AL572" s="155" t="s">
        <v>28</v>
      </c>
      <c r="AM572" s="155" t="s">
        <v>51</v>
      </c>
      <c r="AN572" s="155" t="s">
        <v>128</v>
      </c>
      <c r="AO572" s="155">
        <v>1.5659764368811495</v>
      </c>
    </row>
    <row r="573" spans="29:41">
      <c r="AC573" s="155" t="s">
        <v>52</v>
      </c>
      <c r="AD573" s="155" t="s">
        <v>19</v>
      </c>
      <c r="AE573" s="155" t="s">
        <v>72</v>
      </c>
      <c r="AF573" s="155" t="s">
        <v>51</v>
      </c>
      <c r="AG573" s="155" t="s">
        <v>129</v>
      </c>
      <c r="AH573" s="155">
        <v>4.5331244999599418</v>
      </c>
      <c r="AJ573" s="155" t="s">
        <v>52</v>
      </c>
      <c r="AK573" s="155" t="s">
        <v>19</v>
      </c>
      <c r="AL573" s="155" t="s">
        <v>28</v>
      </c>
      <c r="AM573" s="155" t="s">
        <v>51</v>
      </c>
      <c r="AN573" s="155" t="s">
        <v>129</v>
      </c>
      <c r="AO573" s="155">
        <v>1.5379078120626815</v>
      </c>
    </row>
    <row r="574" spans="29:41">
      <c r="AC574" s="155" t="s">
        <v>52</v>
      </c>
      <c r="AD574" s="155" t="s">
        <v>19</v>
      </c>
      <c r="AE574" s="155" t="s">
        <v>72</v>
      </c>
      <c r="AF574" s="155" t="s">
        <v>51</v>
      </c>
      <c r="AG574" s="155" t="s">
        <v>123</v>
      </c>
      <c r="AH574" s="155">
        <v>4.5618946090091974</v>
      </c>
      <c r="AJ574" s="155" t="s">
        <v>52</v>
      </c>
      <c r="AK574" s="155" t="s">
        <v>19</v>
      </c>
      <c r="AL574" s="155" t="s">
        <v>28</v>
      </c>
      <c r="AM574" s="155" t="s">
        <v>51</v>
      </c>
      <c r="AN574" s="155" t="s">
        <v>123</v>
      </c>
      <c r="AO574" s="155">
        <v>1.5674490622056676</v>
      </c>
    </row>
    <row r="575" spans="29:41">
      <c r="AC575" s="155" t="s">
        <v>52</v>
      </c>
      <c r="AD575" s="155" t="s">
        <v>19</v>
      </c>
      <c r="AE575" s="155" t="s">
        <v>72</v>
      </c>
      <c r="AF575" s="155" t="s">
        <v>51</v>
      </c>
      <c r="AG575" s="155" t="s">
        <v>125</v>
      </c>
      <c r="AH575" s="155">
        <v>4.4987637218053917</v>
      </c>
      <c r="AJ575" s="155" t="s">
        <v>52</v>
      </c>
      <c r="AK575" s="155" t="s">
        <v>19</v>
      </c>
      <c r="AL575" s="155" t="s">
        <v>28</v>
      </c>
      <c r="AM575" s="155" t="s">
        <v>51</v>
      </c>
      <c r="AN575" s="155" t="s">
        <v>125</v>
      </c>
      <c r="AO575" s="155">
        <v>1.5832555958430223</v>
      </c>
    </row>
    <row r="576" spans="29:41">
      <c r="AC576" s="155" t="s">
        <v>52</v>
      </c>
      <c r="AD576" s="155" t="s">
        <v>19</v>
      </c>
      <c r="AE576" s="155" t="s">
        <v>72</v>
      </c>
      <c r="AF576" s="155" t="s">
        <v>51</v>
      </c>
      <c r="AG576" s="155" t="s">
        <v>215</v>
      </c>
      <c r="AH576" s="155">
        <v>4.455426331689484</v>
      </c>
      <c r="AJ576" s="155" t="s">
        <v>52</v>
      </c>
      <c r="AK576" s="155" t="s">
        <v>19</v>
      </c>
      <c r="AL576" s="155" t="s">
        <v>28</v>
      </c>
      <c r="AM576" s="155" t="s">
        <v>51</v>
      </c>
      <c r="AN576" s="155" t="s">
        <v>215</v>
      </c>
      <c r="AO576" s="155">
        <v>1.5694674483282143</v>
      </c>
    </row>
    <row r="577" spans="29:41">
      <c r="AC577" s="155" t="s">
        <v>52</v>
      </c>
      <c r="AD577" s="155" t="s">
        <v>19</v>
      </c>
      <c r="AE577" s="155" t="s">
        <v>72</v>
      </c>
      <c r="AF577" s="155" t="s">
        <v>51</v>
      </c>
      <c r="AG577" s="155" t="s">
        <v>219</v>
      </c>
      <c r="AH577" s="155">
        <v>4.455426331689484</v>
      </c>
      <c r="AJ577" s="155" t="s">
        <v>52</v>
      </c>
      <c r="AK577" s="155" t="s">
        <v>19</v>
      </c>
      <c r="AL577" s="155" t="s">
        <v>28</v>
      </c>
      <c r="AM577" s="155" t="s">
        <v>51</v>
      </c>
      <c r="AN577" s="155" t="s">
        <v>219</v>
      </c>
      <c r="AO577" s="155">
        <v>1.4961696200166943</v>
      </c>
    </row>
    <row r="578" spans="29:41">
      <c r="AC578" s="155" t="s">
        <v>52</v>
      </c>
      <c r="AD578" s="155" t="s">
        <v>19</v>
      </c>
      <c r="AE578" s="155" t="s">
        <v>72</v>
      </c>
      <c r="AF578" s="155" t="s">
        <v>51</v>
      </c>
      <c r="AG578" s="155" t="s">
        <v>220</v>
      </c>
      <c r="AH578" s="155">
        <v>4.51007164418104</v>
      </c>
      <c r="AJ578" s="155" t="s">
        <v>52</v>
      </c>
      <c r="AK578" s="155" t="s">
        <v>19</v>
      </c>
      <c r="AL578" s="155" t="s">
        <v>28</v>
      </c>
      <c r="AM578" s="155" t="s">
        <v>51</v>
      </c>
      <c r="AN578" s="155" t="s">
        <v>220</v>
      </c>
      <c r="AO578" s="155">
        <v>1.50116015970054</v>
      </c>
    </row>
    <row r="579" spans="29:41">
      <c r="AC579" s="155" t="s">
        <v>52</v>
      </c>
      <c r="AD579" s="155" t="s">
        <v>19</v>
      </c>
      <c r="AE579" s="155" t="s">
        <v>72</v>
      </c>
      <c r="AF579" s="155" t="s">
        <v>51</v>
      </c>
      <c r="AG579" s="155" t="s">
        <v>221</v>
      </c>
      <c r="AH579" s="155">
        <v>4.51007164418104</v>
      </c>
      <c r="AJ579" s="155" t="s">
        <v>52</v>
      </c>
      <c r="AK579" s="155" t="s">
        <v>19</v>
      </c>
      <c r="AL579" s="155" t="s">
        <v>28</v>
      </c>
      <c r="AM579" s="155" t="s">
        <v>51</v>
      </c>
      <c r="AN579" s="155" t="s">
        <v>221</v>
      </c>
      <c r="AO579" s="155">
        <v>1.5381067942008002</v>
      </c>
    </row>
    <row r="580" spans="29:41">
      <c r="AC580" s="155" t="s">
        <v>52</v>
      </c>
      <c r="AD580" s="155" t="s">
        <v>19</v>
      </c>
      <c r="AE580" s="155" t="s">
        <v>72</v>
      </c>
      <c r="AF580" s="155" t="s">
        <v>51</v>
      </c>
      <c r="AG580" s="155" t="s">
        <v>222</v>
      </c>
      <c r="AH580" s="155">
        <v>4.5103008640814553</v>
      </c>
      <c r="AJ580" s="155" t="s">
        <v>52</v>
      </c>
      <c r="AK580" s="155" t="s">
        <v>19</v>
      </c>
      <c r="AL580" s="155" t="s">
        <v>28</v>
      </c>
      <c r="AM580" s="155" t="s">
        <v>51</v>
      </c>
      <c r="AN580" s="155" t="s">
        <v>222</v>
      </c>
      <c r="AO580" s="155">
        <v>1.5867989608319952</v>
      </c>
    </row>
    <row r="581" spans="29:41">
      <c r="AC581" s="155" t="s">
        <v>52</v>
      </c>
      <c r="AD581" s="155" t="s">
        <v>19</v>
      </c>
      <c r="AE581" s="155" t="s">
        <v>72</v>
      </c>
      <c r="AF581" s="155" t="s">
        <v>51</v>
      </c>
      <c r="AG581" s="155" t="s">
        <v>223</v>
      </c>
      <c r="AH581" s="155">
        <v>4.5016487760545134</v>
      </c>
      <c r="AJ581" s="155" t="s">
        <v>52</v>
      </c>
      <c r="AK581" s="155" t="s">
        <v>19</v>
      </c>
      <c r="AL581" s="155" t="s">
        <v>28</v>
      </c>
      <c r="AM581" s="155" t="s">
        <v>51</v>
      </c>
      <c r="AN581" s="155" t="s">
        <v>223</v>
      </c>
      <c r="AO581" s="155">
        <v>1.5263484054436036</v>
      </c>
    </row>
    <row r="582" spans="29:41">
      <c r="AC582" s="155" t="s">
        <v>52</v>
      </c>
      <c r="AD582" s="155" t="s">
        <v>19</v>
      </c>
      <c r="AE582" s="155" t="s">
        <v>72</v>
      </c>
      <c r="AF582" s="155" t="s">
        <v>51</v>
      </c>
      <c r="AG582" s="155" t="s">
        <v>224</v>
      </c>
      <c r="AH582" s="155">
        <v>4.4032686982864488</v>
      </c>
      <c r="AJ582" s="155" t="s">
        <v>52</v>
      </c>
      <c r="AK582" s="155" t="s">
        <v>19</v>
      </c>
      <c r="AL582" s="155" t="s">
        <v>28</v>
      </c>
      <c r="AM582" s="155" t="s">
        <v>51</v>
      </c>
      <c r="AN582" s="155" t="s">
        <v>224</v>
      </c>
      <c r="AO582" s="155">
        <v>1.5138169190748885</v>
      </c>
    </row>
    <row r="583" spans="29:41">
      <c r="AC583" s="155" t="s">
        <v>52</v>
      </c>
      <c r="AD583" s="155" t="s">
        <v>19</v>
      </c>
      <c r="AE583" s="155" t="s">
        <v>72</v>
      </c>
      <c r="AF583" s="155" t="s">
        <v>51</v>
      </c>
      <c r="AG583" s="155" t="s">
        <v>225</v>
      </c>
      <c r="AH583" s="155">
        <v>4.4120162205622693</v>
      </c>
      <c r="AJ583" s="155" t="s">
        <v>52</v>
      </c>
      <c r="AK583" s="155" t="s">
        <v>19</v>
      </c>
      <c r="AL583" s="155" t="s">
        <v>28</v>
      </c>
      <c r="AM583" s="155" t="s">
        <v>51</v>
      </c>
      <c r="AN583" s="155" t="s">
        <v>225</v>
      </c>
      <c r="AO583" s="155">
        <v>1.5256729721524496</v>
      </c>
    </row>
    <row r="584" spans="29:41">
      <c r="AC584" s="155" t="s">
        <v>52</v>
      </c>
      <c r="AD584" s="155" t="s">
        <v>19</v>
      </c>
      <c r="AE584" s="155" t="s">
        <v>72</v>
      </c>
      <c r="AF584" s="155" t="s">
        <v>51</v>
      </c>
      <c r="AG584" s="155" t="s">
        <v>226</v>
      </c>
      <c r="AH584" s="155">
        <v>4.3974630931963619</v>
      </c>
      <c r="AJ584" s="155" t="s">
        <v>52</v>
      </c>
      <c r="AK584" s="155" t="s">
        <v>19</v>
      </c>
      <c r="AL584" s="155" t="s">
        <v>28</v>
      </c>
      <c r="AM584" s="155" t="s">
        <v>51</v>
      </c>
      <c r="AN584" s="155" t="s">
        <v>226</v>
      </c>
      <c r="AO584" s="155">
        <v>1.4559144262989019</v>
      </c>
    </row>
    <row r="585" spans="29:41">
      <c r="AC585" s="155" t="s">
        <v>52</v>
      </c>
      <c r="AD585" s="155" t="s">
        <v>19</v>
      </c>
      <c r="AE585" s="155" t="s">
        <v>72</v>
      </c>
      <c r="AF585" s="155" t="s">
        <v>51</v>
      </c>
      <c r="AG585" s="155" t="s">
        <v>227</v>
      </c>
      <c r="AH585" s="155">
        <v>4.4583190867639022</v>
      </c>
      <c r="AJ585" s="155" t="s">
        <v>52</v>
      </c>
      <c r="AK585" s="155" t="s">
        <v>19</v>
      </c>
      <c r="AL585" s="155" t="s">
        <v>28</v>
      </c>
      <c r="AM585" s="155" t="s">
        <v>51</v>
      </c>
      <c r="AN585" s="155" t="s">
        <v>227</v>
      </c>
      <c r="AO585" s="155">
        <v>1.4960357389686323</v>
      </c>
    </row>
    <row r="586" spans="29:41">
      <c r="AC586" s="155" t="s">
        <v>52</v>
      </c>
      <c r="AD586" s="155" t="s">
        <v>19</v>
      </c>
      <c r="AE586" s="155" t="s">
        <v>72</v>
      </c>
      <c r="AF586" s="155" t="s">
        <v>51</v>
      </c>
      <c r="AG586" s="155" t="s">
        <v>228</v>
      </c>
      <c r="AH586" s="155">
        <v>4.53622948086214</v>
      </c>
      <c r="AJ586" s="155" t="s">
        <v>52</v>
      </c>
      <c r="AK586" s="155" t="s">
        <v>19</v>
      </c>
      <c r="AL586" s="155" t="s">
        <v>28</v>
      </c>
      <c r="AM586" s="155" t="s">
        <v>51</v>
      </c>
      <c r="AN586" s="155" t="s">
        <v>228</v>
      </c>
      <c r="AO586" s="155">
        <v>1.6004859486082403</v>
      </c>
    </row>
    <row r="587" spans="29:41">
      <c r="AC587" s="155" t="s">
        <v>52</v>
      </c>
      <c r="AD587" s="155" t="s">
        <v>19</v>
      </c>
      <c r="AE587" s="155" t="s">
        <v>72</v>
      </c>
      <c r="AF587" s="155" t="s">
        <v>51</v>
      </c>
      <c r="AG587" s="155" t="s">
        <v>229</v>
      </c>
      <c r="AH587" s="155">
        <v>4.5649904911962729</v>
      </c>
      <c r="AJ587" s="155" t="s">
        <v>52</v>
      </c>
      <c r="AK587" s="155" t="s">
        <v>19</v>
      </c>
      <c r="AL587" s="155" t="s">
        <v>28</v>
      </c>
      <c r="AM587" s="155" t="s">
        <v>51</v>
      </c>
      <c r="AN587" s="155" t="s">
        <v>229</v>
      </c>
      <c r="AO587" s="155">
        <v>1.6053321986226832</v>
      </c>
    </row>
    <row r="588" spans="29:41">
      <c r="AC588" s="155" t="s">
        <v>52</v>
      </c>
      <c r="AD588" s="155" t="s">
        <v>19</v>
      </c>
      <c r="AE588" s="155" t="s">
        <v>72</v>
      </c>
      <c r="AF588" s="155" t="s">
        <v>51</v>
      </c>
      <c r="AG588" s="155" t="s">
        <v>230</v>
      </c>
      <c r="AH588" s="155">
        <v>4.4987637218053917</v>
      </c>
      <c r="AJ588" s="155" t="s">
        <v>52</v>
      </c>
      <c r="AK588" s="155" t="s">
        <v>19</v>
      </c>
      <c r="AL588" s="155" t="s">
        <v>28</v>
      </c>
      <c r="AM588" s="155" t="s">
        <v>51</v>
      </c>
      <c r="AN588" s="155" t="s">
        <v>230</v>
      </c>
      <c r="AO588" s="155">
        <v>1.6088783459839722</v>
      </c>
    </row>
    <row r="589" spans="29:41">
      <c r="AC589" s="155" t="s">
        <v>52</v>
      </c>
      <c r="AD589" s="155" t="s">
        <v>19</v>
      </c>
      <c r="AE589" s="155" t="s">
        <v>72</v>
      </c>
      <c r="AF589" s="155" t="s">
        <v>51</v>
      </c>
      <c r="AG589" s="155" t="s">
        <v>217</v>
      </c>
      <c r="AH589" s="155">
        <v>4.4728038259110665</v>
      </c>
      <c r="AJ589" s="155" t="s">
        <v>52</v>
      </c>
      <c r="AK589" s="155" t="s">
        <v>19</v>
      </c>
      <c r="AL589" s="155" t="s">
        <v>28</v>
      </c>
      <c r="AM589" s="155" t="s">
        <v>51</v>
      </c>
      <c r="AN589" s="155" t="s">
        <v>217</v>
      </c>
      <c r="AO589" s="155">
        <v>1.6129364462859768</v>
      </c>
    </row>
    <row r="590" spans="29:41">
      <c r="AC590" s="155" t="s">
        <v>52</v>
      </c>
      <c r="AD590" s="155" t="s">
        <v>19</v>
      </c>
      <c r="AE590" s="155" t="s">
        <v>72</v>
      </c>
      <c r="AF590" s="155" t="s">
        <v>51</v>
      </c>
      <c r="AG590" s="155" t="s">
        <v>231</v>
      </c>
      <c r="AH590" s="155">
        <v>4.4380959133108595</v>
      </c>
      <c r="AJ590" s="155" t="s">
        <v>52</v>
      </c>
      <c r="AK590" s="155" t="s">
        <v>19</v>
      </c>
      <c r="AL590" s="155" t="s">
        <v>28</v>
      </c>
      <c r="AM590" s="155" t="s">
        <v>51</v>
      </c>
      <c r="AN590" s="155" t="s">
        <v>231</v>
      </c>
      <c r="AO590" s="155">
        <v>1.6036155245444501</v>
      </c>
    </row>
    <row r="591" spans="29:41">
      <c r="AC591" s="155" t="s">
        <v>52</v>
      </c>
      <c r="AD591" s="155" t="s">
        <v>19</v>
      </c>
      <c r="AE591" s="155" t="s">
        <v>72</v>
      </c>
      <c r="AF591" s="155" t="s">
        <v>51</v>
      </c>
      <c r="AG591" s="155" t="s">
        <v>232</v>
      </c>
      <c r="AH591" s="155">
        <v>4.3364393474588088</v>
      </c>
      <c r="AJ591" s="155" t="s">
        <v>52</v>
      </c>
      <c r="AK591" s="155" t="s">
        <v>19</v>
      </c>
      <c r="AL591" s="155" t="s">
        <v>28</v>
      </c>
      <c r="AM591" s="155" t="s">
        <v>51</v>
      </c>
      <c r="AN591" s="155" t="s">
        <v>232</v>
      </c>
      <c r="AO591" s="155">
        <v>1.5463958364041586</v>
      </c>
    </row>
    <row r="592" spans="29:41">
      <c r="AC592" s="155" t="s">
        <v>52</v>
      </c>
      <c r="AD592" s="155" t="s">
        <v>19</v>
      </c>
      <c r="AE592" s="155" t="s">
        <v>72</v>
      </c>
      <c r="AF592" s="155" t="s">
        <v>51</v>
      </c>
      <c r="AG592" s="155" t="s">
        <v>233</v>
      </c>
      <c r="AH592" s="155">
        <v>4.4525330623629999</v>
      </c>
      <c r="AJ592" s="155" t="s">
        <v>52</v>
      </c>
      <c r="AK592" s="155" t="s">
        <v>19</v>
      </c>
      <c r="AL592" s="155" t="s">
        <v>28</v>
      </c>
      <c r="AM592" s="155" t="s">
        <v>51</v>
      </c>
      <c r="AN592" s="155" t="s">
        <v>233</v>
      </c>
      <c r="AO592" s="155">
        <v>1.5444561912014796</v>
      </c>
    </row>
    <row r="593" spans="29:41">
      <c r="AC593" s="155" t="s">
        <v>52</v>
      </c>
      <c r="AD593" s="155" t="s">
        <v>19</v>
      </c>
      <c r="AE593" s="155" t="s">
        <v>72</v>
      </c>
      <c r="AF593" s="155" t="s">
        <v>51</v>
      </c>
      <c r="AG593" s="155" t="s">
        <v>216</v>
      </c>
      <c r="AH593" s="155">
        <v>4.4814426272411128</v>
      </c>
      <c r="AJ593" s="155" t="s">
        <v>52</v>
      </c>
      <c r="AK593" s="155" t="s">
        <v>19</v>
      </c>
      <c r="AL593" s="155" t="s">
        <v>28</v>
      </c>
      <c r="AM593" s="155" t="s">
        <v>51</v>
      </c>
      <c r="AN593" s="155" t="s">
        <v>216</v>
      </c>
      <c r="AO593" s="155">
        <v>1.5696483810938424</v>
      </c>
    </row>
    <row r="594" spans="29:41">
      <c r="AC594" s="155" t="s">
        <v>52</v>
      </c>
      <c r="AD594" s="155" t="s">
        <v>19</v>
      </c>
      <c r="AE594" s="155" t="s">
        <v>72</v>
      </c>
      <c r="AF594" s="155" t="s">
        <v>51</v>
      </c>
      <c r="AG594" s="155" t="s">
        <v>218</v>
      </c>
      <c r="AH594" s="155">
        <v>4.5074173470845675</v>
      </c>
      <c r="AJ594" s="155" t="s">
        <v>52</v>
      </c>
      <c r="AK594" s="155" t="s">
        <v>19</v>
      </c>
      <c r="AL594" s="155" t="s">
        <v>28</v>
      </c>
      <c r="AM594" s="155" t="s">
        <v>51</v>
      </c>
      <c r="AN594" s="155" t="s">
        <v>218</v>
      </c>
      <c r="AO594" s="155">
        <v>1.5988716159090279</v>
      </c>
    </row>
    <row r="595" spans="29:41">
      <c r="AC595" s="155" t="s">
        <v>52</v>
      </c>
      <c r="AD595" s="155" t="s">
        <v>19</v>
      </c>
      <c r="AE595" s="155" t="s">
        <v>72</v>
      </c>
      <c r="AF595" s="155" t="s">
        <v>51</v>
      </c>
      <c r="AG595" s="155" t="s">
        <v>238</v>
      </c>
      <c r="AH595" s="155">
        <v>4.4525665640015335</v>
      </c>
      <c r="AJ595" s="155" t="s">
        <v>52</v>
      </c>
      <c r="AK595" s="155" t="s">
        <v>19</v>
      </c>
      <c r="AL595" s="155" t="s">
        <v>28</v>
      </c>
      <c r="AM595" s="155" t="s">
        <v>51</v>
      </c>
      <c r="AN595" s="155" t="s">
        <v>238</v>
      </c>
      <c r="AO595" s="155">
        <v>1.5394851350453029</v>
      </c>
    </row>
    <row r="596" spans="29:41">
      <c r="AC596" s="155" t="s">
        <v>52</v>
      </c>
      <c r="AD596" s="155" t="s">
        <v>19</v>
      </c>
      <c r="AE596" s="155" t="s">
        <v>72</v>
      </c>
      <c r="AF596" s="155" t="s">
        <v>51</v>
      </c>
      <c r="AG596" s="155" t="s">
        <v>239</v>
      </c>
      <c r="AH596" s="155">
        <v>4.4987637218053917</v>
      </c>
      <c r="AJ596" s="155" t="s">
        <v>52</v>
      </c>
      <c r="AK596" s="155" t="s">
        <v>19</v>
      </c>
      <c r="AL596" s="155" t="s">
        <v>28</v>
      </c>
      <c r="AM596" s="155" t="s">
        <v>51</v>
      </c>
      <c r="AN596" s="155" t="s">
        <v>239</v>
      </c>
      <c r="AO596" s="155">
        <v>1.5643166815713219</v>
      </c>
    </row>
    <row r="597" spans="29:41">
      <c r="AC597" s="155" t="s">
        <v>52</v>
      </c>
      <c r="AD597" s="155" t="s">
        <v>19</v>
      </c>
      <c r="AE597" s="155" t="s">
        <v>72</v>
      </c>
      <c r="AF597" s="155" t="s">
        <v>51</v>
      </c>
      <c r="AG597" s="155" t="s">
        <v>240</v>
      </c>
      <c r="AH597" s="155">
        <v>4.4641030545879552</v>
      </c>
      <c r="AJ597" s="155" t="s">
        <v>52</v>
      </c>
      <c r="AK597" s="155" t="s">
        <v>19</v>
      </c>
      <c r="AL597" s="155" t="s">
        <v>28</v>
      </c>
      <c r="AM597" s="155" t="s">
        <v>51</v>
      </c>
      <c r="AN597" s="155" t="s">
        <v>240</v>
      </c>
      <c r="AO597" s="155">
        <v>1.5544230883033849</v>
      </c>
    </row>
    <row r="598" spans="29:41">
      <c r="AC598" s="155" t="s">
        <v>52</v>
      </c>
      <c r="AD598" s="155" t="s">
        <v>19</v>
      </c>
      <c r="AE598" s="155" t="s">
        <v>72</v>
      </c>
      <c r="AF598" s="155" t="s">
        <v>51</v>
      </c>
      <c r="AG598" s="155" t="s">
        <v>241</v>
      </c>
      <c r="AH598" s="155">
        <v>4.4929920752998243</v>
      </c>
      <c r="AJ598" s="155" t="s">
        <v>52</v>
      </c>
      <c r="AK598" s="155" t="s">
        <v>19</v>
      </c>
      <c r="AL598" s="155" t="s">
        <v>28</v>
      </c>
      <c r="AM598" s="155" t="s">
        <v>51</v>
      </c>
      <c r="AN598" s="155" t="s">
        <v>241</v>
      </c>
      <c r="AO598" s="155">
        <v>1.5570989307087846</v>
      </c>
    </row>
    <row r="599" spans="29:41">
      <c r="AC599" s="155" t="s">
        <v>52</v>
      </c>
      <c r="AD599" s="155" t="s">
        <v>19</v>
      </c>
      <c r="AE599" s="155" t="s">
        <v>72</v>
      </c>
      <c r="AF599" s="155" t="s">
        <v>51</v>
      </c>
      <c r="AG599" s="155" t="s">
        <v>242</v>
      </c>
      <c r="AH599" s="155">
        <v>4.4583190867639022</v>
      </c>
      <c r="AJ599" s="155" t="s">
        <v>52</v>
      </c>
      <c r="AK599" s="155" t="s">
        <v>19</v>
      </c>
      <c r="AL599" s="155" t="s">
        <v>28</v>
      </c>
      <c r="AM599" s="155" t="s">
        <v>51</v>
      </c>
      <c r="AN599" s="155" t="s">
        <v>242</v>
      </c>
      <c r="AO599" s="155">
        <v>1.5533296629840925</v>
      </c>
    </row>
    <row r="600" spans="29:41">
      <c r="AC600" s="155" t="s">
        <v>52</v>
      </c>
      <c r="AD600" s="155" t="s">
        <v>19</v>
      </c>
      <c r="AE600" s="155" t="s">
        <v>72</v>
      </c>
      <c r="AF600" s="155" t="s">
        <v>51</v>
      </c>
      <c r="AG600" s="155" t="s">
        <v>243</v>
      </c>
      <c r="AH600" s="155">
        <v>4.4323040413094947</v>
      </c>
      <c r="AJ600" s="155" t="s">
        <v>52</v>
      </c>
      <c r="AK600" s="155" t="s">
        <v>19</v>
      </c>
      <c r="AL600" s="155" t="s">
        <v>28</v>
      </c>
      <c r="AM600" s="155" t="s">
        <v>51</v>
      </c>
      <c r="AN600" s="155" t="s">
        <v>243</v>
      </c>
      <c r="AO600" s="155">
        <v>1.5535296140184649</v>
      </c>
    </row>
    <row r="601" spans="29:41">
      <c r="AC601" s="155" t="s">
        <v>52</v>
      </c>
      <c r="AD601" s="155" t="s">
        <v>19</v>
      </c>
      <c r="AE601" s="155" t="s">
        <v>72</v>
      </c>
      <c r="AF601" s="155" t="s">
        <v>51</v>
      </c>
      <c r="AG601" s="155" t="s">
        <v>244</v>
      </c>
      <c r="AH601" s="155">
        <v>4.4756648239621484</v>
      </c>
      <c r="AJ601" s="155" t="s">
        <v>52</v>
      </c>
      <c r="AK601" s="155" t="s">
        <v>19</v>
      </c>
      <c r="AL601" s="155" t="s">
        <v>28</v>
      </c>
      <c r="AM601" s="155" t="s">
        <v>51</v>
      </c>
      <c r="AN601" s="155" t="s">
        <v>244</v>
      </c>
      <c r="AO601" s="155">
        <v>1.5571021012936688</v>
      </c>
    </row>
    <row r="602" spans="29:41">
      <c r="AC602" s="155" t="s">
        <v>52</v>
      </c>
      <c r="AD602" s="155" t="s">
        <v>19</v>
      </c>
      <c r="AE602" s="155" t="s">
        <v>72</v>
      </c>
      <c r="AF602" s="155" t="s">
        <v>51</v>
      </c>
      <c r="AG602" s="155" t="s">
        <v>245</v>
      </c>
      <c r="AH602" s="155">
        <v>4.409072238564514</v>
      </c>
      <c r="AJ602" s="155" t="s">
        <v>52</v>
      </c>
      <c r="AK602" s="155" t="s">
        <v>19</v>
      </c>
      <c r="AL602" s="155" t="s">
        <v>28</v>
      </c>
      <c r="AM602" s="155" t="s">
        <v>51</v>
      </c>
      <c r="AN602" s="155" t="s">
        <v>245</v>
      </c>
      <c r="AO602" s="155">
        <v>1.5063208864614437</v>
      </c>
    </row>
    <row r="603" spans="29:41">
      <c r="AC603" s="155" t="s">
        <v>52</v>
      </c>
      <c r="AD603" s="155" t="s">
        <v>19</v>
      </c>
      <c r="AE603" s="155" t="s">
        <v>72</v>
      </c>
      <c r="AF603" s="155" t="s">
        <v>51</v>
      </c>
      <c r="AG603" s="155" t="s">
        <v>246</v>
      </c>
      <c r="AH603" s="155">
        <v>4.4380589981556735</v>
      </c>
      <c r="AJ603" s="155" t="s">
        <v>52</v>
      </c>
      <c r="AK603" s="155" t="s">
        <v>19</v>
      </c>
      <c r="AL603" s="155" t="s">
        <v>28</v>
      </c>
      <c r="AM603" s="155" t="s">
        <v>51</v>
      </c>
      <c r="AN603" s="155" t="s">
        <v>246</v>
      </c>
      <c r="AO603" s="155">
        <v>1.5053360090075938</v>
      </c>
    </row>
    <row r="604" spans="29:41">
      <c r="AC604" s="155" t="s">
        <v>52</v>
      </c>
      <c r="AD604" s="155" t="s">
        <v>19</v>
      </c>
      <c r="AE604" s="155" t="s">
        <v>72</v>
      </c>
      <c r="AF604" s="155" t="s">
        <v>51</v>
      </c>
      <c r="AG604" s="155" t="s">
        <v>247</v>
      </c>
      <c r="AH604" s="155">
        <v>4.4351626410420213</v>
      </c>
      <c r="AJ604" s="155" t="s">
        <v>52</v>
      </c>
      <c r="AK604" s="155" t="s">
        <v>19</v>
      </c>
      <c r="AL604" s="155" t="s">
        <v>28</v>
      </c>
      <c r="AM604" s="155" t="s">
        <v>51</v>
      </c>
      <c r="AN604" s="155" t="s">
        <v>247</v>
      </c>
      <c r="AO604" s="155">
        <v>1.5196980580876915</v>
      </c>
    </row>
    <row r="605" spans="29:41">
      <c r="AC605" s="155" t="s">
        <v>52</v>
      </c>
      <c r="AD605" s="155" t="s">
        <v>19</v>
      </c>
      <c r="AE605" s="155" t="s">
        <v>72</v>
      </c>
      <c r="AF605" s="155" t="s">
        <v>51</v>
      </c>
      <c r="AG605" s="155" t="s">
        <v>248</v>
      </c>
      <c r="AH605" s="155">
        <v>4.426470479208465</v>
      </c>
      <c r="AJ605" s="155" t="s">
        <v>52</v>
      </c>
      <c r="AK605" s="155" t="s">
        <v>19</v>
      </c>
      <c r="AL605" s="155" t="s">
        <v>28</v>
      </c>
      <c r="AM605" s="155" t="s">
        <v>51</v>
      </c>
      <c r="AN605" s="155" t="s">
        <v>248</v>
      </c>
      <c r="AO605" s="155">
        <v>1.518465411891015</v>
      </c>
    </row>
    <row r="606" spans="29:41">
      <c r="AC606" s="155" t="s">
        <v>52</v>
      </c>
      <c r="AD606" s="155" t="s">
        <v>19</v>
      </c>
      <c r="AE606" s="155" t="s">
        <v>72</v>
      </c>
      <c r="AF606" s="155" t="s">
        <v>51</v>
      </c>
      <c r="AG606" s="155" t="s">
        <v>249</v>
      </c>
      <c r="AH606" s="155">
        <v>4.455426331689484</v>
      </c>
      <c r="AJ606" s="155" t="s">
        <v>52</v>
      </c>
      <c r="AK606" s="155" t="s">
        <v>19</v>
      </c>
      <c r="AL606" s="155" t="s">
        <v>28</v>
      </c>
      <c r="AM606" s="155" t="s">
        <v>51</v>
      </c>
      <c r="AN606" s="155" t="s">
        <v>249</v>
      </c>
      <c r="AO606" s="155">
        <v>1.4642154198381139</v>
      </c>
    </row>
    <row r="607" spans="29:41">
      <c r="AC607" s="155" t="s">
        <v>52</v>
      </c>
      <c r="AD607" s="155" t="s">
        <v>19</v>
      </c>
      <c r="AE607" s="155" t="s">
        <v>72</v>
      </c>
      <c r="AF607" s="155" t="s">
        <v>51</v>
      </c>
      <c r="AG607" s="155" t="s">
        <v>250</v>
      </c>
      <c r="AH607" s="155">
        <v>4.5129550406413994</v>
      </c>
      <c r="AJ607" s="155" t="s">
        <v>52</v>
      </c>
      <c r="AK607" s="155" t="s">
        <v>19</v>
      </c>
      <c r="AL607" s="155" t="s">
        <v>28</v>
      </c>
      <c r="AM607" s="155" t="s">
        <v>51</v>
      </c>
      <c r="AN607" s="155" t="s">
        <v>250</v>
      </c>
      <c r="AO607" s="155">
        <v>1.5202928794831194</v>
      </c>
    </row>
    <row r="608" spans="29:41">
      <c r="AC608" s="155" t="s">
        <v>52</v>
      </c>
      <c r="AD608" s="155" t="s">
        <v>19</v>
      </c>
      <c r="AE608" s="155" t="s">
        <v>72</v>
      </c>
      <c r="AF608" s="155" t="s">
        <v>51</v>
      </c>
      <c r="AG608" s="155" t="s">
        <v>251</v>
      </c>
      <c r="AH608" s="155">
        <v>4.4698849666991043</v>
      </c>
      <c r="AJ608" s="155" t="s">
        <v>52</v>
      </c>
      <c r="AK608" s="155" t="s">
        <v>19</v>
      </c>
      <c r="AL608" s="155" t="s">
        <v>28</v>
      </c>
      <c r="AM608" s="155" t="s">
        <v>51</v>
      </c>
      <c r="AN608" s="155" t="s">
        <v>251</v>
      </c>
      <c r="AO608" s="155">
        <v>1.5752650274788345</v>
      </c>
    </row>
    <row r="609" spans="29:41">
      <c r="AC609" s="155" t="s">
        <v>52</v>
      </c>
      <c r="AD609" s="155" t="s">
        <v>19</v>
      </c>
      <c r="AE609" s="155" t="s">
        <v>72</v>
      </c>
      <c r="AF609" s="155" t="s">
        <v>51</v>
      </c>
      <c r="AG609" s="155" t="s">
        <v>252</v>
      </c>
      <c r="AH609" s="155">
        <v>4.4756928033917305</v>
      </c>
      <c r="AJ609" s="155" t="s">
        <v>52</v>
      </c>
      <c r="AK609" s="155" t="s">
        <v>19</v>
      </c>
      <c r="AL609" s="155" t="s">
        <v>28</v>
      </c>
      <c r="AM609" s="155" t="s">
        <v>51</v>
      </c>
      <c r="AN609" s="155" t="s">
        <v>252</v>
      </c>
      <c r="AO609" s="155">
        <v>1.6394046015192107</v>
      </c>
    </row>
    <row r="610" spans="29:41">
      <c r="AC610" s="155" t="s">
        <v>52</v>
      </c>
      <c r="AD610" s="155" t="s">
        <v>19</v>
      </c>
      <c r="AE610" s="155" t="s">
        <v>72</v>
      </c>
      <c r="AF610" s="155" t="s">
        <v>51</v>
      </c>
      <c r="AG610" s="155" t="s">
        <v>253</v>
      </c>
      <c r="AH610" s="155">
        <v>4.4612113276937526</v>
      </c>
      <c r="AJ610" s="155" t="s">
        <v>52</v>
      </c>
      <c r="AK610" s="155" t="s">
        <v>19</v>
      </c>
      <c r="AL610" s="155" t="s">
        <v>28</v>
      </c>
      <c r="AM610" s="155" t="s">
        <v>51</v>
      </c>
      <c r="AN610" s="155" t="s">
        <v>253</v>
      </c>
      <c r="AO610" s="155">
        <v>1.5463465675954722</v>
      </c>
    </row>
    <row r="611" spans="29:41">
      <c r="AC611" s="155" t="s">
        <v>52</v>
      </c>
      <c r="AD611" s="155" t="s">
        <v>19</v>
      </c>
      <c r="AE611" s="155" t="s">
        <v>72</v>
      </c>
      <c r="AF611" s="155" t="s">
        <v>51</v>
      </c>
      <c r="AG611" s="155" t="s">
        <v>254</v>
      </c>
      <c r="AH611" s="155">
        <v>4.4959012413987631</v>
      </c>
      <c r="AJ611" s="155" t="s">
        <v>52</v>
      </c>
      <c r="AK611" s="155" t="s">
        <v>19</v>
      </c>
      <c r="AL611" s="155" t="s">
        <v>28</v>
      </c>
      <c r="AM611" s="155" t="s">
        <v>51</v>
      </c>
      <c r="AN611" s="155" t="s">
        <v>254</v>
      </c>
      <c r="AO611" s="155">
        <v>1.6364660197752334</v>
      </c>
    </row>
    <row r="612" spans="29:41">
      <c r="AC612" s="155" t="s">
        <v>52</v>
      </c>
      <c r="AD612" s="155" t="s">
        <v>19</v>
      </c>
      <c r="AE612" s="155" t="s">
        <v>72</v>
      </c>
      <c r="AF612" s="155" t="s">
        <v>51</v>
      </c>
      <c r="AG612" s="155" t="s">
        <v>255</v>
      </c>
      <c r="AH612" s="155">
        <v>4.4612427672344044</v>
      </c>
      <c r="AJ612" s="155" t="s">
        <v>52</v>
      </c>
      <c r="AK612" s="155" t="s">
        <v>19</v>
      </c>
      <c r="AL612" s="155" t="s">
        <v>28</v>
      </c>
      <c r="AM612" s="155" t="s">
        <v>51</v>
      </c>
      <c r="AN612" s="155" t="s">
        <v>255</v>
      </c>
      <c r="AO612" s="155">
        <v>1.5877477107979443</v>
      </c>
    </row>
    <row r="613" spans="29:41">
      <c r="AC613" s="155" t="s">
        <v>52</v>
      </c>
      <c r="AD613" s="155" t="s">
        <v>19</v>
      </c>
      <c r="AE613" s="155" t="s">
        <v>72</v>
      </c>
      <c r="AF613" s="155" t="s">
        <v>51</v>
      </c>
      <c r="AG613" s="155" t="s">
        <v>256</v>
      </c>
      <c r="AH613" s="155">
        <v>4.3975094107446839</v>
      </c>
      <c r="AJ613" s="155" t="s">
        <v>52</v>
      </c>
      <c r="AK613" s="155" t="s">
        <v>19</v>
      </c>
      <c r="AL613" s="155" t="s">
        <v>28</v>
      </c>
      <c r="AM613" s="155" t="s">
        <v>51</v>
      </c>
      <c r="AN613" s="155" t="s">
        <v>256</v>
      </c>
      <c r="AO613" s="155">
        <v>1.5262399020456543</v>
      </c>
    </row>
    <row r="614" spans="29:41">
      <c r="AC614" s="155" t="s">
        <v>52</v>
      </c>
      <c r="AD614" s="155" t="s">
        <v>19</v>
      </c>
      <c r="AE614" s="155" t="s">
        <v>72</v>
      </c>
      <c r="AF614" s="155" t="s">
        <v>51</v>
      </c>
      <c r="AG614" s="155" t="s">
        <v>257</v>
      </c>
      <c r="AH614" s="155">
        <v>4.4872435678189095</v>
      </c>
      <c r="AJ614" s="155" t="s">
        <v>52</v>
      </c>
      <c r="AK614" s="155" t="s">
        <v>19</v>
      </c>
      <c r="AL614" s="155" t="s">
        <v>28</v>
      </c>
      <c r="AM614" s="155" t="s">
        <v>51</v>
      </c>
      <c r="AN614" s="155" t="s">
        <v>257</v>
      </c>
      <c r="AO614" s="155">
        <v>1.5884929234855298</v>
      </c>
    </row>
    <row r="615" spans="29:41">
      <c r="AC615" s="155" t="s">
        <v>52</v>
      </c>
      <c r="AD615" s="155" t="s">
        <v>19</v>
      </c>
      <c r="AE615" s="155" t="s">
        <v>72</v>
      </c>
      <c r="AF615" s="155" t="s">
        <v>51</v>
      </c>
      <c r="AG615" s="155" t="s">
        <v>258</v>
      </c>
      <c r="AH615" s="155">
        <v>4.481469214488631</v>
      </c>
      <c r="AJ615" s="155" t="s">
        <v>52</v>
      </c>
      <c r="AK615" s="155" t="s">
        <v>19</v>
      </c>
      <c r="AL615" s="155" t="s">
        <v>28</v>
      </c>
      <c r="AM615" s="155" t="s">
        <v>51</v>
      </c>
      <c r="AN615" s="155" t="s">
        <v>258</v>
      </c>
      <c r="AO615" s="155">
        <v>1.6268344009366407</v>
      </c>
    </row>
    <row r="616" spans="29:41">
      <c r="AC616" s="155" t="s">
        <v>52</v>
      </c>
      <c r="AD616" s="155" t="s">
        <v>19</v>
      </c>
      <c r="AE616" s="155" t="s">
        <v>72</v>
      </c>
      <c r="AF616" s="155" t="s">
        <v>51</v>
      </c>
      <c r="AG616" s="155" t="s">
        <v>259</v>
      </c>
      <c r="AH616" s="155">
        <v>4.3539112876651567</v>
      </c>
      <c r="AJ616" s="155" t="s">
        <v>52</v>
      </c>
      <c r="AK616" s="155" t="s">
        <v>19</v>
      </c>
      <c r="AL616" s="155" t="s">
        <v>28</v>
      </c>
      <c r="AM616" s="155" t="s">
        <v>51</v>
      </c>
      <c r="AN616" s="155" t="s">
        <v>259</v>
      </c>
      <c r="AO616" s="155">
        <v>1.541459706240867</v>
      </c>
    </row>
    <row r="617" spans="29:41">
      <c r="AC617" s="155" t="s">
        <v>52</v>
      </c>
      <c r="AD617" s="155" t="s">
        <v>19</v>
      </c>
      <c r="AE617" s="155" t="s">
        <v>72</v>
      </c>
      <c r="AF617" s="155" t="s">
        <v>51</v>
      </c>
      <c r="AG617" s="155" t="s">
        <v>260</v>
      </c>
      <c r="AH617" s="155">
        <v>4.3160254782800767</v>
      </c>
      <c r="AJ617" s="155" t="s">
        <v>52</v>
      </c>
      <c r="AK617" s="155" t="s">
        <v>19</v>
      </c>
      <c r="AL617" s="155" t="s">
        <v>28</v>
      </c>
      <c r="AM617" s="155" t="s">
        <v>51</v>
      </c>
      <c r="AN617" s="155" t="s">
        <v>260</v>
      </c>
      <c r="AO617" s="155">
        <v>1.514126672131227</v>
      </c>
    </row>
    <row r="618" spans="29:41">
      <c r="AC618" s="155" t="s">
        <v>52</v>
      </c>
      <c r="AD618" s="155" t="s">
        <v>19</v>
      </c>
      <c r="AE618" s="155" t="s">
        <v>72</v>
      </c>
      <c r="AF618" s="155" t="s">
        <v>51</v>
      </c>
      <c r="AG618" s="155" t="s">
        <v>261</v>
      </c>
      <c r="AH618" s="155">
        <v>4.2194971642154622</v>
      </c>
      <c r="AJ618" s="155" t="s">
        <v>52</v>
      </c>
      <c r="AK618" s="155" t="s">
        <v>19</v>
      </c>
      <c r="AL618" s="155" t="s">
        <v>28</v>
      </c>
      <c r="AM618" s="155" t="s">
        <v>51</v>
      </c>
      <c r="AN618" s="155" t="s">
        <v>261</v>
      </c>
      <c r="AO618" s="155">
        <v>1.4410869371845925</v>
      </c>
    </row>
    <row r="619" spans="29:41">
      <c r="AC619" s="155" t="s">
        <v>52</v>
      </c>
      <c r="AD619" s="155" t="s">
        <v>19</v>
      </c>
      <c r="AE619" s="155" t="s">
        <v>72</v>
      </c>
      <c r="AF619" s="155" t="s">
        <v>51</v>
      </c>
      <c r="AG619" s="155" t="s">
        <v>262</v>
      </c>
      <c r="AH619" s="155">
        <v>4.1851226297877071</v>
      </c>
      <c r="AJ619" s="155" t="s">
        <v>52</v>
      </c>
      <c r="AK619" s="155" t="s">
        <v>19</v>
      </c>
      <c r="AL619" s="155" t="s">
        <v>28</v>
      </c>
      <c r="AM619" s="155" t="s">
        <v>51</v>
      </c>
      <c r="AN619" s="155" t="s">
        <v>262</v>
      </c>
      <c r="AO619" s="155">
        <v>1.4554891746166569</v>
      </c>
    </row>
    <row r="620" spans="29:41">
      <c r="AC620" s="155" t="s">
        <v>52</v>
      </c>
      <c r="AD620" s="155" t="s">
        <v>19</v>
      </c>
      <c r="AE620" s="155" t="s">
        <v>72</v>
      </c>
      <c r="AF620" s="155" t="s">
        <v>51</v>
      </c>
      <c r="AG620" s="155" t="s">
        <v>263</v>
      </c>
      <c r="AH620" s="155">
        <v>4.2429503753802189</v>
      </c>
      <c r="AJ620" s="155" t="s">
        <v>52</v>
      </c>
      <c r="AK620" s="155" t="s">
        <v>19</v>
      </c>
      <c r="AL620" s="155" t="s">
        <v>28</v>
      </c>
      <c r="AM620" s="155" t="s">
        <v>51</v>
      </c>
      <c r="AN620" s="155" t="s">
        <v>263</v>
      </c>
      <c r="AO620" s="155">
        <v>1.4695291518239186</v>
      </c>
    </row>
    <row r="621" spans="29:41">
      <c r="AC621" s="155" t="s">
        <v>52</v>
      </c>
      <c r="AD621" s="155" t="s">
        <v>19</v>
      </c>
      <c r="AE621" s="155" t="s">
        <v>72</v>
      </c>
      <c r="AF621" s="155" t="s">
        <v>51</v>
      </c>
      <c r="AG621" s="155" t="s">
        <v>264</v>
      </c>
      <c r="AH621" s="155">
        <v>4.2692951008456594</v>
      </c>
      <c r="AJ621" s="155" t="s">
        <v>52</v>
      </c>
      <c r="AK621" s="155" t="s">
        <v>19</v>
      </c>
      <c r="AL621" s="155" t="s">
        <v>28</v>
      </c>
      <c r="AM621" s="155" t="s">
        <v>51</v>
      </c>
      <c r="AN621" s="155" t="s">
        <v>264</v>
      </c>
      <c r="AO621" s="155">
        <v>1.5122630148957799</v>
      </c>
    </row>
    <row r="622" spans="29:41">
      <c r="AC622" s="155" t="s">
        <v>52</v>
      </c>
      <c r="AD622" s="155" t="s">
        <v>19</v>
      </c>
      <c r="AE622" s="155" t="s">
        <v>72</v>
      </c>
      <c r="AF622" s="155" t="s">
        <v>51</v>
      </c>
      <c r="AG622" s="155" t="s">
        <v>265</v>
      </c>
      <c r="AH622" s="155">
        <v>4.2663700054349984</v>
      </c>
      <c r="AJ622" s="155" t="s">
        <v>52</v>
      </c>
      <c r="AK622" s="155" t="s">
        <v>19</v>
      </c>
      <c r="AL622" s="155" t="s">
        <v>28</v>
      </c>
      <c r="AM622" s="155" t="s">
        <v>51</v>
      </c>
      <c r="AN622" s="155" t="s">
        <v>265</v>
      </c>
      <c r="AO622" s="155">
        <v>1.4962672480040489</v>
      </c>
    </row>
    <row r="623" spans="29:41">
      <c r="AC623" s="155" t="s">
        <v>52</v>
      </c>
      <c r="AD623" s="155" t="s">
        <v>19</v>
      </c>
      <c r="AE623" s="155" t="s">
        <v>72</v>
      </c>
      <c r="AF623" s="155" t="s">
        <v>51</v>
      </c>
      <c r="AG623" s="155" t="s">
        <v>266</v>
      </c>
      <c r="AH623" s="155">
        <v>4.2663700054349984</v>
      </c>
      <c r="AJ623" s="155" t="s">
        <v>52</v>
      </c>
      <c r="AK623" s="155" t="s">
        <v>19</v>
      </c>
      <c r="AL623" s="155" t="s">
        <v>28</v>
      </c>
      <c r="AM623" s="155" t="s">
        <v>51</v>
      </c>
      <c r="AN623" s="155" t="s">
        <v>266</v>
      </c>
      <c r="AO623" s="155">
        <v>1.4515006334280287</v>
      </c>
    </row>
    <row r="624" spans="29:41">
      <c r="AC624" s="155" t="s">
        <v>52</v>
      </c>
      <c r="AD624" s="155" t="s">
        <v>19</v>
      </c>
      <c r="AE624" s="155" t="s">
        <v>72</v>
      </c>
      <c r="AF624" s="155" t="s">
        <v>51</v>
      </c>
      <c r="AG624" s="155" t="s">
        <v>267</v>
      </c>
      <c r="AH624" s="155">
        <v>4.3247809909932062</v>
      </c>
      <c r="AJ624" s="155" t="s">
        <v>52</v>
      </c>
      <c r="AK624" s="155" t="s">
        <v>19</v>
      </c>
      <c r="AL624" s="155" t="s">
        <v>28</v>
      </c>
      <c r="AM624" s="155" t="s">
        <v>51</v>
      </c>
      <c r="AN624" s="155" t="s">
        <v>267</v>
      </c>
      <c r="AO624" s="155">
        <v>1.5082134749238463</v>
      </c>
    </row>
    <row r="625" spans="29:41">
      <c r="AC625" s="155" t="s">
        <v>52</v>
      </c>
      <c r="AD625" s="155" t="s">
        <v>19</v>
      </c>
      <c r="AE625" s="155" t="s">
        <v>72</v>
      </c>
      <c r="AF625" s="155" t="s">
        <v>51</v>
      </c>
      <c r="AG625" s="155" t="s">
        <v>268</v>
      </c>
      <c r="AH625" s="155">
        <v>4.2517366688896017</v>
      </c>
      <c r="AJ625" s="155" t="s">
        <v>52</v>
      </c>
      <c r="AK625" s="155" t="s">
        <v>19</v>
      </c>
      <c r="AL625" s="155" t="s">
        <v>28</v>
      </c>
      <c r="AM625" s="155" t="s">
        <v>51</v>
      </c>
      <c r="AN625" s="155" t="s">
        <v>268</v>
      </c>
      <c r="AO625" s="155">
        <v>1.4625367288352016</v>
      </c>
    </row>
    <row r="626" spans="29:41">
      <c r="AC626" s="155" t="s">
        <v>52</v>
      </c>
      <c r="AD626" s="155" t="s">
        <v>19</v>
      </c>
      <c r="AE626" s="155" t="s">
        <v>72</v>
      </c>
      <c r="AF626" s="155" t="s">
        <v>51</v>
      </c>
      <c r="AG626" s="155" t="s">
        <v>269</v>
      </c>
      <c r="AH626" s="155">
        <v>4.1871940628292794</v>
      </c>
      <c r="AJ626" s="155" t="s">
        <v>52</v>
      </c>
      <c r="AK626" s="155" t="s">
        <v>19</v>
      </c>
      <c r="AL626" s="155" t="s">
        <v>28</v>
      </c>
      <c r="AM626" s="155" t="s">
        <v>51</v>
      </c>
      <c r="AN626" s="155" t="s">
        <v>269</v>
      </c>
      <c r="AO626" s="155">
        <v>1.4790904801177798</v>
      </c>
    </row>
    <row r="627" spans="29:41">
      <c r="AC627" s="155" t="s">
        <v>52</v>
      </c>
      <c r="AD627" s="155" t="s">
        <v>19</v>
      </c>
      <c r="AE627" s="155" t="s">
        <v>72</v>
      </c>
      <c r="AF627" s="155" t="s">
        <v>51</v>
      </c>
      <c r="AG627" s="155" t="s">
        <v>270</v>
      </c>
      <c r="AH627" s="155">
        <v>4.1842542585809461</v>
      </c>
      <c r="AJ627" s="155" t="s">
        <v>52</v>
      </c>
      <c r="AK627" s="155" t="s">
        <v>19</v>
      </c>
      <c r="AL627" s="155" t="s">
        <v>28</v>
      </c>
      <c r="AM627" s="155" t="s">
        <v>51</v>
      </c>
      <c r="AN627" s="155" t="s">
        <v>270</v>
      </c>
      <c r="AO627" s="155">
        <v>1.4538103358457659</v>
      </c>
    </row>
    <row r="628" spans="29:41">
      <c r="AC628" s="155" t="s">
        <v>52</v>
      </c>
      <c r="AD628" s="155" t="s">
        <v>19</v>
      </c>
      <c r="AE628" s="155" t="s">
        <v>72</v>
      </c>
      <c r="AF628" s="155" t="s">
        <v>51</v>
      </c>
      <c r="AG628" s="155" t="s">
        <v>271</v>
      </c>
      <c r="AH628" s="155">
        <v>4.2136286077206035</v>
      </c>
      <c r="AJ628" s="155" t="s">
        <v>52</v>
      </c>
      <c r="AK628" s="155" t="s">
        <v>19</v>
      </c>
      <c r="AL628" s="155" t="s">
        <v>28</v>
      </c>
      <c r="AM628" s="155" t="s">
        <v>51</v>
      </c>
      <c r="AN628" s="155" t="s">
        <v>271</v>
      </c>
      <c r="AO628" s="155">
        <v>1.4801557729994834</v>
      </c>
    </row>
    <row r="629" spans="29:41">
      <c r="AC629" s="155" t="s">
        <v>52</v>
      </c>
      <c r="AD629" s="155" t="s">
        <v>19</v>
      </c>
      <c r="AE629" s="155" t="s">
        <v>72</v>
      </c>
      <c r="AF629" s="155" t="s">
        <v>51</v>
      </c>
      <c r="AG629" s="155" t="s">
        <v>272</v>
      </c>
      <c r="AH629" s="155">
        <v>4.2868346793109513</v>
      </c>
      <c r="AJ629" s="155" t="s">
        <v>52</v>
      </c>
      <c r="AK629" s="155" t="s">
        <v>19</v>
      </c>
      <c r="AL629" s="155" t="s">
        <v>28</v>
      </c>
      <c r="AM629" s="155" t="s">
        <v>51</v>
      </c>
      <c r="AN629" s="155" t="s">
        <v>272</v>
      </c>
      <c r="AO629" s="155">
        <v>1.5516325196127514</v>
      </c>
    </row>
    <row r="630" spans="29:41">
      <c r="AC630" s="155" t="s">
        <v>52</v>
      </c>
      <c r="AD630" s="155" t="s">
        <v>19</v>
      </c>
      <c r="AE630" s="155" t="s">
        <v>72</v>
      </c>
      <c r="AF630" s="155" t="s">
        <v>51</v>
      </c>
      <c r="AG630" s="155" t="s">
        <v>273</v>
      </c>
      <c r="AH630" s="155">
        <v>4.3160254782800767</v>
      </c>
      <c r="AJ630" s="155" t="s">
        <v>52</v>
      </c>
      <c r="AK630" s="155" t="s">
        <v>19</v>
      </c>
      <c r="AL630" s="155" t="s">
        <v>28</v>
      </c>
      <c r="AM630" s="155" t="s">
        <v>51</v>
      </c>
      <c r="AN630" s="155" t="s">
        <v>273</v>
      </c>
      <c r="AO630" s="155">
        <v>1.543090482104307</v>
      </c>
    </row>
    <row r="631" spans="29:41">
      <c r="AC631" s="155" t="s">
        <v>52</v>
      </c>
      <c r="AD631" s="155" t="s">
        <v>19</v>
      </c>
      <c r="AE631" s="155" t="s">
        <v>72</v>
      </c>
      <c r="AF631" s="155" t="s">
        <v>51</v>
      </c>
      <c r="AG631" s="155" t="s">
        <v>274</v>
      </c>
      <c r="AH631" s="155">
        <v>4.280990246513638</v>
      </c>
      <c r="AJ631" s="155" t="s">
        <v>52</v>
      </c>
      <c r="AK631" s="155" t="s">
        <v>19</v>
      </c>
      <c r="AL631" s="155" t="s">
        <v>28</v>
      </c>
      <c r="AM631" s="155" t="s">
        <v>51</v>
      </c>
      <c r="AN631" s="155" t="s">
        <v>274</v>
      </c>
      <c r="AO631" s="155">
        <v>1.5363139398199277</v>
      </c>
    </row>
    <row r="632" spans="29:41">
      <c r="AC632" s="155" t="s">
        <v>52</v>
      </c>
      <c r="AD632" s="155" t="s">
        <v>19</v>
      </c>
      <c r="AE632" s="155" t="s">
        <v>72</v>
      </c>
      <c r="AF632" s="155" t="s">
        <v>51</v>
      </c>
      <c r="AG632" s="155" t="s">
        <v>275</v>
      </c>
      <c r="AH632" s="155">
        <v>4.2780672452720152</v>
      </c>
      <c r="AJ632" s="155" t="s">
        <v>52</v>
      </c>
      <c r="AK632" s="155" t="s">
        <v>19</v>
      </c>
      <c r="AL632" s="155" t="s">
        <v>28</v>
      </c>
      <c r="AM632" s="155" t="s">
        <v>51</v>
      </c>
      <c r="AN632" s="155" t="s">
        <v>275</v>
      </c>
      <c r="AO632" s="155">
        <v>1.5607029799600651</v>
      </c>
    </row>
    <row r="633" spans="29:41">
      <c r="AC633" s="155" t="s">
        <v>52</v>
      </c>
      <c r="AD633" s="155" t="s">
        <v>19</v>
      </c>
      <c r="AE633" s="155" t="s">
        <v>72</v>
      </c>
      <c r="AF633" s="155" t="s">
        <v>51</v>
      </c>
      <c r="AG633" s="155" t="s">
        <v>276</v>
      </c>
      <c r="AH633" s="155">
        <v>4.2780672452720152</v>
      </c>
      <c r="AJ633" s="155" t="s">
        <v>52</v>
      </c>
      <c r="AK633" s="155" t="s">
        <v>19</v>
      </c>
      <c r="AL633" s="155" t="s">
        <v>28</v>
      </c>
      <c r="AM633" s="155" t="s">
        <v>51</v>
      </c>
      <c r="AN633" s="155" t="s">
        <v>276</v>
      </c>
      <c r="AO633" s="155">
        <v>1.5067918723401852</v>
      </c>
    </row>
    <row r="634" spans="29:41">
      <c r="AC634" s="155" t="s">
        <v>52</v>
      </c>
      <c r="AD634" s="155" t="s">
        <v>19</v>
      </c>
      <c r="AE634" s="155" t="s">
        <v>72</v>
      </c>
      <c r="AF634" s="155" t="s">
        <v>51</v>
      </c>
      <c r="AG634" s="155" t="s">
        <v>277</v>
      </c>
      <c r="AH634" s="155">
        <v>4.2985172692523879</v>
      </c>
      <c r="AJ634" s="155" t="s">
        <v>52</v>
      </c>
      <c r="AK634" s="155" t="s">
        <v>19</v>
      </c>
      <c r="AL634" s="155" t="s">
        <v>28</v>
      </c>
      <c r="AM634" s="155" t="s">
        <v>51</v>
      </c>
      <c r="AN634" s="155" t="s">
        <v>277</v>
      </c>
      <c r="AO634" s="155">
        <v>1.5426596828174381</v>
      </c>
    </row>
    <row r="635" spans="29:41">
      <c r="AC635" s="155" t="s">
        <v>52</v>
      </c>
      <c r="AD635" s="155" t="s">
        <v>19</v>
      </c>
      <c r="AE635" s="155" t="s">
        <v>72</v>
      </c>
      <c r="AF635" s="155" t="s">
        <v>51</v>
      </c>
      <c r="AG635" s="155" t="s">
        <v>278</v>
      </c>
      <c r="AH635" s="155">
        <v>4.2312279709849516</v>
      </c>
      <c r="AJ635" s="155" t="s">
        <v>52</v>
      </c>
      <c r="AK635" s="155" t="s">
        <v>19</v>
      </c>
      <c r="AL635" s="155" t="s">
        <v>28</v>
      </c>
      <c r="AM635" s="155" t="s">
        <v>51</v>
      </c>
      <c r="AN635" s="155" t="s">
        <v>278</v>
      </c>
      <c r="AO635" s="155">
        <v>1.507244661917901</v>
      </c>
    </row>
    <row r="636" spans="29:41">
      <c r="AC636" s="155" t="s">
        <v>52</v>
      </c>
      <c r="AD636" s="155" t="s">
        <v>19</v>
      </c>
      <c r="AE636" s="155" t="s">
        <v>72</v>
      </c>
      <c r="AF636" s="155" t="s">
        <v>51</v>
      </c>
      <c r="AG636" s="155" t="s">
        <v>279</v>
      </c>
      <c r="AH636" s="155">
        <v>4.324772535098508</v>
      </c>
      <c r="AJ636" s="155" t="s">
        <v>52</v>
      </c>
      <c r="AK636" s="155" t="s">
        <v>19</v>
      </c>
      <c r="AL636" s="155" t="s">
        <v>28</v>
      </c>
      <c r="AM636" s="155" t="s">
        <v>51</v>
      </c>
      <c r="AN636" s="155" t="s">
        <v>279</v>
      </c>
      <c r="AO636" s="155">
        <v>1.528960489886048</v>
      </c>
    </row>
    <row r="637" spans="29:41">
      <c r="AC637" s="155" t="s">
        <v>52</v>
      </c>
      <c r="AD637" s="155" t="s">
        <v>19</v>
      </c>
      <c r="AE637" s="155" t="s">
        <v>72</v>
      </c>
      <c r="AF637" s="155" t="s">
        <v>51</v>
      </c>
      <c r="AG637" s="155" t="s">
        <v>280</v>
      </c>
      <c r="AH637" s="155">
        <v>4.3858946468589499</v>
      </c>
      <c r="AJ637" s="155" t="s">
        <v>52</v>
      </c>
      <c r="AK637" s="155" t="s">
        <v>19</v>
      </c>
      <c r="AL637" s="155" t="s">
        <v>28</v>
      </c>
      <c r="AM637" s="155" t="s">
        <v>51</v>
      </c>
      <c r="AN637" s="155" t="s">
        <v>280</v>
      </c>
      <c r="AO637" s="155">
        <v>1.5098516598071106</v>
      </c>
    </row>
    <row r="638" spans="29:41">
      <c r="AC638" s="155" t="s">
        <v>52</v>
      </c>
      <c r="AD638" s="155" t="s">
        <v>19</v>
      </c>
      <c r="AE638" s="155" t="s">
        <v>72</v>
      </c>
      <c r="AF638" s="155" t="s">
        <v>51</v>
      </c>
      <c r="AG638" s="155" t="s">
        <v>281</v>
      </c>
      <c r="AH638" s="155">
        <v>4.3829896610860253</v>
      </c>
      <c r="AJ638" s="155" t="s">
        <v>52</v>
      </c>
      <c r="AK638" s="155" t="s">
        <v>19</v>
      </c>
      <c r="AL638" s="155" t="s">
        <v>28</v>
      </c>
      <c r="AM638" s="155" t="s">
        <v>51</v>
      </c>
      <c r="AN638" s="155" t="s">
        <v>281</v>
      </c>
      <c r="AO638" s="155">
        <v>1.5385715585404351</v>
      </c>
    </row>
    <row r="639" spans="29:41">
      <c r="AC639" s="155" t="s">
        <v>52</v>
      </c>
      <c r="AD639" s="155" t="s">
        <v>19</v>
      </c>
      <c r="AE639" s="155" t="s">
        <v>72</v>
      </c>
      <c r="AF639" s="155" t="s">
        <v>51</v>
      </c>
      <c r="AG639" s="155" t="s">
        <v>282</v>
      </c>
      <c r="AH639" s="155">
        <v>4.3771781350109968</v>
      </c>
      <c r="AJ639" s="155" t="s">
        <v>52</v>
      </c>
      <c r="AK639" s="155" t="s">
        <v>19</v>
      </c>
      <c r="AL639" s="155" t="s">
        <v>28</v>
      </c>
      <c r="AM639" s="155" t="s">
        <v>51</v>
      </c>
      <c r="AN639" s="155" t="s">
        <v>282</v>
      </c>
      <c r="AO639" s="155">
        <v>1.5121313142182173</v>
      </c>
    </row>
    <row r="640" spans="29:41">
      <c r="AC640" s="155" t="s">
        <v>52</v>
      </c>
      <c r="AD640" s="155" t="s">
        <v>19</v>
      </c>
      <c r="AE640" s="155" t="s">
        <v>72</v>
      </c>
      <c r="AF640" s="155" t="s">
        <v>51</v>
      </c>
      <c r="AG640" s="155" t="s">
        <v>283</v>
      </c>
      <c r="AH640" s="155">
        <v>4.4033136866892715</v>
      </c>
      <c r="AJ640" s="155" t="s">
        <v>52</v>
      </c>
      <c r="AK640" s="155" t="s">
        <v>19</v>
      </c>
      <c r="AL640" s="155" t="s">
        <v>28</v>
      </c>
      <c r="AM640" s="155" t="s">
        <v>51</v>
      </c>
      <c r="AN640" s="155" t="s">
        <v>283</v>
      </c>
      <c r="AO640" s="155">
        <v>1.5050153014438916</v>
      </c>
    </row>
    <row r="641" spans="29:41">
      <c r="AC641" s="155" t="s">
        <v>52</v>
      </c>
      <c r="AD641" s="155" t="s">
        <v>19</v>
      </c>
      <c r="AE641" s="155" t="s">
        <v>72</v>
      </c>
      <c r="AF641" s="155" t="s">
        <v>51</v>
      </c>
      <c r="AG641" s="155" t="s">
        <v>284</v>
      </c>
      <c r="AH641" s="155">
        <v>4.4323040413094947</v>
      </c>
      <c r="AJ641" s="155" t="s">
        <v>52</v>
      </c>
      <c r="AK641" s="155" t="s">
        <v>19</v>
      </c>
      <c r="AL641" s="155" t="s">
        <v>28</v>
      </c>
      <c r="AM641" s="155" t="s">
        <v>51</v>
      </c>
      <c r="AN641" s="155" t="s">
        <v>284</v>
      </c>
      <c r="AO641" s="155">
        <v>1.4982410078427051</v>
      </c>
    </row>
    <row r="642" spans="29:41">
      <c r="AC642" s="155" t="s">
        <v>52</v>
      </c>
      <c r="AD642" s="155" t="s">
        <v>19</v>
      </c>
      <c r="AE642" s="155" t="s">
        <v>72</v>
      </c>
      <c r="AF642" s="155" t="s">
        <v>51</v>
      </c>
      <c r="AG642" s="155" t="s">
        <v>285</v>
      </c>
      <c r="AH642" s="155">
        <v>4.4206731281571114</v>
      </c>
      <c r="AJ642" s="155" t="s">
        <v>52</v>
      </c>
      <c r="AK642" s="155" t="s">
        <v>19</v>
      </c>
      <c r="AL642" s="155" t="s">
        <v>28</v>
      </c>
      <c r="AM642" s="155" t="s">
        <v>51</v>
      </c>
      <c r="AN642" s="155" t="s">
        <v>285</v>
      </c>
      <c r="AO642" s="155">
        <v>1.4818704427738609</v>
      </c>
    </row>
    <row r="643" spans="29:41">
      <c r="AC643" s="155" t="s">
        <v>52</v>
      </c>
      <c r="AD643" s="155" t="s">
        <v>19</v>
      </c>
      <c r="AE643" s="155" t="s">
        <v>72</v>
      </c>
      <c r="AF643" s="155" t="s">
        <v>51</v>
      </c>
      <c r="AG643" s="155" t="s">
        <v>286</v>
      </c>
      <c r="AH643" s="155">
        <v>4.5131838688757515</v>
      </c>
      <c r="AJ643" s="155" t="s">
        <v>52</v>
      </c>
      <c r="AK643" s="155" t="s">
        <v>19</v>
      </c>
      <c r="AL643" s="155" t="s">
        <v>28</v>
      </c>
      <c r="AM643" s="155" t="s">
        <v>51</v>
      </c>
      <c r="AN643" s="155" t="s">
        <v>286</v>
      </c>
      <c r="AO643" s="155">
        <v>1.5004858734417919</v>
      </c>
    </row>
    <row r="644" spans="29:41">
      <c r="AC644" s="155" t="s">
        <v>52</v>
      </c>
      <c r="AD644" s="155" t="s">
        <v>19</v>
      </c>
      <c r="AE644" s="155" t="s">
        <v>72</v>
      </c>
      <c r="AF644" s="155" t="s">
        <v>51</v>
      </c>
      <c r="AG644" s="155" t="s">
        <v>287</v>
      </c>
      <c r="AH644" s="155">
        <v>4.501418384745314</v>
      </c>
      <c r="AJ644" s="155" t="s">
        <v>52</v>
      </c>
      <c r="AK644" s="155" t="s">
        <v>19</v>
      </c>
      <c r="AL644" s="155" t="s">
        <v>28</v>
      </c>
      <c r="AM644" s="155" t="s">
        <v>51</v>
      </c>
      <c r="AN644" s="155" t="s">
        <v>287</v>
      </c>
      <c r="AO644" s="155">
        <v>1.461946985701984</v>
      </c>
    </row>
    <row r="645" spans="29:41">
      <c r="AC645" s="155" t="s">
        <v>52</v>
      </c>
      <c r="AD645" s="155" t="s">
        <v>19</v>
      </c>
      <c r="AE645" s="155" t="s">
        <v>72</v>
      </c>
      <c r="AF645" s="155" t="s">
        <v>51</v>
      </c>
      <c r="AG645" s="155" t="s">
        <v>288</v>
      </c>
      <c r="AH645" s="155">
        <v>4.4985329412233339</v>
      </c>
      <c r="AJ645" s="155" t="s">
        <v>52</v>
      </c>
      <c r="AK645" s="155" t="s">
        <v>19</v>
      </c>
      <c r="AL645" s="155" t="s">
        <v>28</v>
      </c>
      <c r="AM645" s="155" t="s">
        <v>51</v>
      </c>
      <c r="AN645" s="155" t="s">
        <v>288</v>
      </c>
      <c r="AO645" s="155">
        <v>1.4744448377414441</v>
      </c>
    </row>
    <row r="646" spans="29:41">
      <c r="AC646" s="155" t="s">
        <v>52</v>
      </c>
      <c r="AD646" s="155" t="s">
        <v>19</v>
      </c>
      <c r="AE646" s="155" t="s">
        <v>72</v>
      </c>
      <c r="AF646" s="155" t="s">
        <v>51</v>
      </c>
      <c r="AG646" s="155" t="s">
        <v>289</v>
      </c>
      <c r="AH646" s="155">
        <v>4.4927605179685131</v>
      </c>
      <c r="AJ646" s="155" t="s">
        <v>52</v>
      </c>
      <c r="AK646" s="155" t="s">
        <v>19</v>
      </c>
      <c r="AL646" s="155" t="s">
        <v>28</v>
      </c>
      <c r="AM646" s="155" t="s">
        <v>51</v>
      </c>
      <c r="AN646" s="155" t="s">
        <v>289</v>
      </c>
      <c r="AO646" s="155">
        <v>1.4512101770937029</v>
      </c>
    </row>
    <row r="647" spans="29:41">
      <c r="AC647" s="155" t="s">
        <v>52</v>
      </c>
      <c r="AD647" s="155" t="s">
        <v>19</v>
      </c>
      <c r="AE647" s="155" t="s">
        <v>72</v>
      </c>
      <c r="AF647" s="155" t="s">
        <v>51</v>
      </c>
      <c r="AG647" s="155" t="s">
        <v>290</v>
      </c>
      <c r="AH647" s="155">
        <v>4.4929920752998243</v>
      </c>
      <c r="AJ647" s="155" t="s">
        <v>52</v>
      </c>
      <c r="AK647" s="155" t="s">
        <v>19</v>
      </c>
      <c r="AL647" s="155" t="s">
        <v>28</v>
      </c>
      <c r="AM647" s="155" t="s">
        <v>51</v>
      </c>
      <c r="AN647" s="155" t="s">
        <v>290</v>
      </c>
      <c r="AO647" s="155">
        <v>1.4897716986106646</v>
      </c>
    </row>
    <row r="648" spans="29:41">
      <c r="AC648" s="155" t="s">
        <v>52</v>
      </c>
      <c r="AD648" s="155" t="s">
        <v>19</v>
      </c>
      <c r="AE648" s="155" t="s">
        <v>72</v>
      </c>
      <c r="AF648" s="155" t="s">
        <v>51</v>
      </c>
      <c r="AG648" s="155" t="s">
        <v>291</v>
      </c>
      <c r="AH648" s="155">
        <v>4.4525330623629999</v>
      </c>
      <c r="AJ648" s="155" t="s">
        <v>52</v>
      </c>
      <c r="AK648" s="155" t="s">
        <v>19</v>
      </c>
      <c r="AL648" s="155" t="s">
        <v>28</v>
      </c>
      <c r="AM648" s="155" t="s">
        <v>51</v>
      </c>
      <c r="AN648" s="155" t="s">
        <v>291</v>
      </c>
      <c r="AO648" s="155">
        <v>1.4562981147005198</v>
      </c>
    </row>
    <row r="649" spans="29:41">
      <c r="AC649" s="155" t="s">
        <v>52</v>
      </c>
      <c r="AD649" s="155" t="s">
        <v>19</v>
      </c>
      <c r="AE649" s="155" t="s">
        <v>72</v>
      </c>
      <c r="AF649" s="155" t="s">
        <v>51</v>
      </c>
      <c r="AG649" s="155" t="s">
        <v>292</v>
      </c>
      <c r="AH649" s="155">
        <v>4.5678637845748948</v>
      </c>
      <c r="AJ649" s="155" t="s">
        <v>52</v>
      </c>
      <c r="AK649" s="155" t="s">
        <v>19</v>
      </c>
      <c r="AL649" s="155" t="s">
        <v>28</v>
      </c>
      <c r="AM649" s="155" t="s">
        <v>51</v>
      </c>
      <c r="AN649" s="155" t="s">
        <v>292</v>
      </c>
      <c r="AO649" s="155">
        <v>1.5849149853228051</v>
      </c>
    </row>
    <row r="650" spans="29:41">
      <c r="AC650" s="155" t="s">
        <v>52</v>
      </c>
      <c r="AD650" s="155" t="s">
        <v>19</v>
      </c>
      <c r="AE650" s="155" t="s">
        <v>72</v>
      </c>
      <c r="AF650" s="155" t="s">
        <v>51</v>
      </c>
      <c r="AG650" s="155" t="s">
        <v>293</v>
      </c>
      <c r="AH650" s="155">
        <v>4.5333505698116854</v>
      </c>
      <c r="AJ650" s="155" t="s">
        <v>52</v>
      </c>
      <c r="AK650" s="155" t="s">
        <v>19</v>
      </c>
      <c r="AL650" s="155" t="s">
        <v>28</v>
      </c>
      <c r="AM650" s="155" t="s">
        <v>51</v>
      </c>
      <c r="AN650" s="155" t="s">
        <v>293</v>
      </c>
      <c r="AO650" s="155">
        <v>1.5541278583321352</v>
      </c>
    </row>
    <row r="651" spans="29:41">
      <c r="AC651" s="155" t="s">
        <v>52</v>
      </c>
      <c r="AD651" s="155" t="s">
        <v>19</v>
      </c>
      <c r="AE651" s="155" t="s">
        <v>72</v>
      </c>
      <c r="AF651" s="155" t="s">
        <v>51</v>
      </c>
      <c r="AG651" s="155" t="s">
        <v>294</v>
      </c>
      <c r="AH651" s="155">
        <v>4.4987637218053917</v>
      </c>
      <c r="AJ651" s="155" t="s">
        <v>52</v>
      </c>
      <c r="AK651" s="155" t="s">
        <v>19</v>
      </c>
      <c r="AL651" s="155" t="s">
        <v>28</v>
      </c>
      <c r="AM651" s="155" t="s">
        <v>51</v>
      </c>
      <c r="AN651" s="155" t="s">
        <v>294</v>
      </c>
      <c r="AO651" s="155">
        <v>1.5420196837121618</v>
      </c>
    </row>
    <row r="652" spans="29:41">
      <c r="AC652" s="155" t="s">
        <v>52</v>
      </c>
      <c r="AD652" s="155" t="s">
        <v>19</v>
      </c>
      <c r="AE652" s="155" t="s">
        <v>72</v>
      </c>
      <c r="AF652" s="155" t="s">
        <v>51</v>
      </c>
      <c r="AG652" s="155" t="s">
        <v>295</v>
      </c>
      <c r="AH652" s="155">
        <v>4.4958781549225408</v>
      </c>
      <c r="AJ652" s="155" t="s">
        <v>52</v>
      </c>
      <c r="AK652" s="155" t="s">
        <v>19</v>
      </c>
      <c r="AL652" s="155" t="s">
        <v>28</v>
      </c>
      <c r="AM652" s="155" t="s">
        <v>51</v>
      </c>
      <c r="AN652" s="155" t="s">
        <v>295</v>
      </c>
      <c r="AO652" s="155">
        <v>1.5179966138420906</v>
      </c>
    </row>
    <row r="653" spans="29:41">
      <c r="AC653" s="155" t="s">
        <v>52</v>
      </c>
      <c r="AD653" s="155" t="s">
        <v>19</v>
      </c>
      <c r="AE653" s="155" t="s">
        <v>72</v>
      </c>
      <c r="AF653" s="155" t="s">
        <v>51</v>
      </c>
      <c r="AG653" s="155" t="s">
        <v>236</v>
      </c>
      <c r="AH653" s="155">
        <v>4.5189483422881471</v>
      </c>
      <c r="AJ653" s="155" t="s">
        <v>52</v>
      </c>
      <c r="AK653" s="155" t="s">
        <v>19</v>
      </c>
      <c r="AL653" s="155" t="s">
        <v>28</v>
      </c>
      <c r="AM653" s="155" t="s">
        <v>51</v>
      </c>
      <c r="AN653" s="155" t="s">
        <v>236</v>
      </c>
      <c r="AO653" s="155">
        <v>1.5405726796054369</v>
      </c>
    </row>
    <row r="654" spans="29:41">
      <c r="AC654" s="155" t="s">
        <v>52</v>
      </c>
      <c r="AD654" s="155" t="s">
        <v>19</v>
      </c>
      <c r="AE654" s="155" t="s">
        <v>72</v>
      </c>
      <c r="AF654" s="155" t="s">
        <v>51</v>
      </c>
      <c r="AG654" s="155" t="s">
        <v>296</v>
      </c>
      <c r="AH654" s="155">
        <v>4.4612113276937526</v>
      </c>
      <c r="AJ654" s="155" t="s">
        <v>52</v>
      </c>
      <c r="AK654" s="155" t="s">
        <v>19</v>
      </c>
      <c r="AL654" s="155" t="s">
        <v>28</v>
      </c>
      <c r="AM654" s="155" t="s">
        <v>51</v>
      </c>
      <c r="AN654" s="155" t="s">
        <v>296</v>
      </c>
      <c r="AO654" s="155">
        <v>1.4885962672337021</v>
      </c>
    </row>
    <row r="655" spans="29:41">
      <c r="AC655" s="155" t="s">
        <v>52</v>
      </c>
      <c r="AD655" s="155" t="s">
        <v>19</v>
      </c>
      <c r="AE655" s="155" t="s">
        <v>72</v>
      </c>
      <c r="AF655" s="155" t="s">
        <v>51</v>
      </c>
      <c r="AG655" s="155" t="s">
        <v>297</v>
      </c>
      <c r="AH655" s="155">
        <v>4.4612113276937526</v>
      </c>
      <c r="AJ655" s="155" t="s">
        <v>52</v>
      </c>
      <c r="AK655" s="155" t="s">
        <v>19</v>
      </c>
      <c r="AL655" s="155" t="s">
        <v>28</v>
      </c>
      <c r="AM655" s="155" t="s">
        <v>51</v>
      </c>
      <c r="AN655" s="155" t="s">
        <v>297</v>
      </c>
      <c r="AO655" s="155">
        <v>1.4912122868606721</v>
      </c>
    </row>
    <row r="656" spans="29:41">
      <c r="AC656" s="155" t="s">
        <v>52</v>
      </c>
      <c r="AD656" s="155" t="s">
        <v>19</v>
      </c>
      <c r="AE656" s="155" t="s">
        <v>72</v>
      </c>
      <c r="AF656" s="155" t="s">
        <v>51</v>
      </c>
      <c r="AG656" s="155" t="s">
        <v>298</v>
      </c>
      <c r="AH656" s="155">
        <v>4.4612113276937526</v>
      </c>
      <c r="AJ656" s="155" t="s">
        <v>52</v>
      </c>
      <c r="AK656" s="155" t="s">
        <v>19</v>
      </c>
      <c r="AL656" s="155" t="s">
        <v>28</v>
      </c>
      <c r="AM656" s="155" t="s">
        <v>51</v>
      </c>
      <c r="AN656" s="155" t="s">
        <v>298</v>
      </c>
      <c r="AO656" s="155">
        <v>1.4984115010220622</v>
      </c>
    </row>
    <row r="657" spans="29:41">
      <c r="AC657" s="155" t="s">
        <v>52</v>
      </c>
      <c r="AD657" s="155" t="s">
        <v>19</v>
      </c>
      <c r="AE657" s="155" t="s">
        <v>72</v>
      </c>
      <c r="AF657" s="155" t="s">
        <v>51</v>
      </c>
      <c r="AG657" s="155" t="s">
        <v>299</v>
      </c>
      <c r="AH657" s="155">
        <v>4.4293683816765057</v>
      </c>
      <c r="AJ657" s="155" t="s">
        <v>52</v>
      </c>
      <c r="AK657" s="155" t="s">
        <v>19</v>
      </c>
      <c r="AL657" s="155" t="s">
        <v>28</v>
      </c>
      <c r="AM657" s="155" t="s">
        <v>51</v>
      </c>
      <c r="AN657" s="155" t="s">
        <v>299</v>
      </c>
      <c r="AO657" s="155">
        <v>1.4819011158162858</v>
      </c>
    </row>
    <row r="658" spans="29:41">
      <c r="AC658" s="155" t="s">
        <v>52</v>
      </c>
      <c r="AD658" s="155" t="s">
        <v>19</v>
      </c>
      <c r="AE658" s="155" t="s">
        <v>72</v>
      </c>
      <c r="AF658" s="155" t="s">
        <v>51</v>
      </c>
      <c r="AG658" s="155" t="s">
        <v>300</v>
      </c>
      <c r="AH658" s="155">
        <v>4.4062150485441451</v>
      </c>
      <c r="AJ658" s="155" t="s">
        <v>52</v>
      </c>
      <c r="AK658" s="155" t="s">
        <v>19</v>
      </c>
      <c r="AL658" s="155" t="s">
        <v>28</v>
      </c>
      <c r="AM658" s="155" t="s">
        <v>51</v>
      </c>
      <c r="AN658" s="155" t="s">
        <v>300</v>
      </c>
      <c r="AO658" s="155">
        <v>1.5114851993998251</v>
      </c>
    </row>
    <row r="659" spans="29:41">
      <c r="AC659" s="155" t="s">
        <v>52</v>
      </c>
      <c r="AD659" s="155" t="s">
        <v>19</v>
      </c>
      <c r="AE659" s="155" t="s">
        <v>72</v>
      </c>
      <c r="AF659" s="155" t="s">
        <v>51</v>
      </c>
      <c r="AG659" s="155" t="s">
        <v>301</v>
      </c>
      <c r="AH659" s="155">
        <v>4.4380959133108595</v>
      </c>
      <c r="AJ659" s="155" t="s">
        <v>52</v>
      </c>
      <c r="AK659" s="155" t="s">
        <v>19</v>
      </c>
      <c r="AL659" s="155" t="s">
        <v>28</v>
      </c>
      <c r="AM659" s="155" t="s">
        <v>51</v>
      </c>
      <c r="AN659" s="155" t="s">
        <v>301</v>
      </c>
      <c r="AO659" s="155">
        <v>1.5215365662646596</v>
      </c>
    </row>
    <row r="660" spans="29:41">
      <c r="AC660" s="155" t="s">
        <v>52</v>
      </c>
      <c r="AD660" s="155" t="s">
        <v>19</v>
      </c>
      <c r="AE660" s="155" t="s">
        <v>72</v>
      </c>
      <c r="AF660" s="155" t="s">
        <v>51</v>
      </c>
      <c r="AG660" s="155" t="s">
        <v>302</v>
      </c>
      <c r="AH660" s="155">
        <v>4.5532689327452376</v>
      </c>
      <c r="AJ660" s="155" t="s">
        <v>52</v>
      </c>
      <c r="AK660" s="155" t="s">
        <v>19</v>
      </c>
      <c r="AL660" s="155" t="s">
        <v>28</v>
      </c>
      <c r="AM660" s="155" t="s">
        <v>51</v>
      </c>
      <c r="AN660" s="155" t="s">
        <v>302</v>
      </c>
      <c r="AO660" s="155">
        <v>1.4988382658422779</v>
      </c>
    </row>
    <row r="661" spans="29:41">
      <c r="AC661" s="155" t="s">
        <v>52</v>
      </c>
      <c r="AD661" s="155" t="s">
        <v>19</v>
      </c>
      <c r="AE661" s="155" t="s">
        <v>72</v>
      </c>
      <c r="AF661" s="155" t="s">
        <v>51</v>
      </c>
      <c r="AG661" s="155" t="s">
        <v>303</v>
      </c>
      <c r="AH661" s="155">
        <v>4.5534922150014268</v>
      </c>
      <c r="AJ661" s="155" t="s">
        <v>52</v>
      </c>
      <c r="AK661" s="155" t="s">
        <v>19</v>
      </c>
      <c r="AL661" s="155" t="s">
        <v>28</v>
      </c>
      <c r="AM661" s="155" t="s">
        <v>51</v>
      </c>
      <c r="AN661" s="155" t="s">
        <v>303</v>
      </c>
      <c r="AO661" s="155">
        <v>1.5568540315302071</v>
      </c>
    </row>
    <row r="662" spans="29:41">
      <c r="AC662" s="155" t="s">
        <v>52</v>
      </c>
      <c r="AD662" s="155" t="s">
        <v>19</v>
      </c>
      <c r="AE662" s="155" t="s">
        <v>72</v>
      </c>
      <c r="AF662" s="155" t="s">
        <v>51</v>
      </c>
      <c r="AG662" s="155" t="s">
        <v>304</v>
      </c>
      <c r="AH662" s="155">
        <v>4.4929920752998243</v>
      </c>
      <c r="AJ662" s="155" t="s">
        <v>52</v>
      </c>
      <c r="AK662" s="155" t="s">
        <v>19</v>
      </c>
      <c r="AL662" s="155" t="s">
        <v>28</v>
      </c>
      <c r="AM662" s="155" t="s">
        <v>51</v>
      </c>
      <c r="AN662" s="155" t="s">
        <v>304</v>
      </c>
      <c r="AO662" s="155">
        <v>1.5430933862496645</v>
      </c>
    </row>
    <row r="663" spans="29:41">
      <c r="AC663" s="155" t="s">
        <v>52</v>
      </c>
      <c r="AD663" s="155" t="s">
        <v>19</v>
      </c>
      <c r="AE663" s="155" t="s">
        <v>72</v>
      </c>
      <c r="AF663" s="155" t="s">
        <v>51</v>
      </c>
      <c r="AG663" s="155" t="s">
        <v>305</v>
      </c>
      <c r="AH663" s="155">
        <v>4.4929920752998243</v>
      </c>
      <c r="AJ663" s="155" t="s">
        <v>52</v>
      </c>
      <c r="AK663" s="155" t="s">
        <v>19</v>
      </c>
      <c r="AL663" s="155" t="s">
        <v>28</v>
      </c>
      <c r="AM663" s="155" t="s">
        <v>51</v>
      </c>
      <c r="AN663" s="155" t="s">
        <v>305</v>
      </c>
      <c r="AO663" s="155">
        <v>1.5180647764182047</v>
      </c>
    </row>
    <row r="664" spans="29:41">
      <c r="AC664" s="155" t="s">
        <v>52</v>
      </c>
      <c r="AD664" s="155" t="s">
        <v>19</v>
      </c>
      <c r="AE664" s="155" t="s">
        <v>72</v>
      </c>
      <c r="AF664" s="155" t="s">
        <v>51</v>
      </c>
      <c r="AG664" s="155" t="s">
        <v>306</v>
      </c>
      <c r="AH664" s="155">
        <v>4.5218298111210657</v>
      </c>
      <c r="AJ664" s="155" t="s">
        <v>52</v>
      </c>
      <c r="AK664" s="155" t="s">
        <v>19</v>
      </c>
      <c r="AL664" s="155" t="s">
        <v>28</v>
      </c>
      <c r="AM664" s="155" t="s">
        <v>51</v>
      </c>
      <c r="AN664" s="155" t="s">
        <v>306</v>
      </c>
      <c r="AO664" s="155">
        <v>1.5633735530652657</v>
      </c>
    </row>
    <row r="665" spans="29:41">
      <c r="AC665" s="155" t="s">
        <v>52</v>
      </c>
      <c r="AD665" s="155" t="s">
        <v>19</v>
      </c>
      <c r="AE665" s="155" t="s">
        <v>72</v>
      </c>
      <c r="AF665" s="155" t="s">
        <v>51</v>
      </c>
      <c r="AG665" s="155" t="s">
        <v>307</v>
      </c>
      <c r="AH665" s="155">
        <v>4.5218298111210657</v>
      </c>
      <c r="AJ665" s="155" t="s">
        <v>52</v>
      </c>
      <c r="AK665" s="155" t="s">
        <v>19</v>
      </c>
      <c r="AL665" s="155" t="s">
        <v>28</v>
      </c>
      <c r="AM665" s="155" t="s">
        <v>51</v>
      </c>
      <c r="AN665" s="155" t="s">
        <v>307</v>
      </c>
      <c r="AO665" s="155">
        <v>1.5243019824097856</v>
      </c>
    </row>
    <row r="666" spans="29:41">
      <c r="AC666" s="155" t="s">
        <v>52</v>
      </c>
      <c r="AD666" s="155" t="s">
        <v>19</v>
      </c>
      <c r="AE666" s="155" t="s">
        <v>72</v>
      </c>
      <c r="AF666" s="155" t="s">
        <v>51</v>
      </c>
      <c r="AG666" s="155" t="s">
        <v>308</v>
      </c>
      <c r="AH666" s="155">
        <v>4.4612113276937526</v>
      </c>
      <c r="AJ666" s="155" t="s">
        <v>52</v>
      </c>
      <c r="AK666" s="155" t="s">
        <v>19</v>
      </c>
      <c r="AL666" s="155" t="s">
        <v>28</v>
      </c>
      <c r="AM666" s="155" t="s">
        <v>51</v>
      </c>
      <c r="AN666" s="155" t="s">
        <v>308</v>
      </c>
      <c r="AO666" s="155">
        <v>1.5308235699604822</v>
      </c>
    </row>
    <row r="667" spans="29:41">
      <c r="AC667" s="155" t="s">
        <v>52</v>
      </c>
      <c r="AD667" s="155" t="s">
        <v>19</v>
      </c>
      <c r="AE667" s="155" t="s">
        <v>72</v>
      </c>
      <c r="AF667" s="155" t="s">
        <v>51</v>
      </c>
      <c r="AG667" s="155" t="s">
        <v>309</v>
      </c>
      <c r="AH667" s="155">
        <v>4.5534922150014268</v>
      </c>
      <c r="AJ667" s="155" t="s">
        <v>52</v>
      </c>
      <c r="AK667" s="155" t="s">
        <v>19</v>
      </c>
      <c r="AL667" s="155" t="s">
        <v>28</v>
      </c>
      <c r="AM667" s="155" t="s">
        <v>51</v>
      </c>
      <c r="AN667" s="155" t="s">
        <v>309</v>
      </c>
      <c r="AO667" s="155">
        <v>1.557800448815017</v>
      </c>
    </row>
    <row r="668" spans="29:41">
      <c r="AC668" s="155" t="s">
        <v>52</v>
      </c>
      <c r="AD668" s="155" t="s">
        <v>19</v>
      </c>
      <c r="AE668" s="155" t="s">
        <v>72</v>
      </c>
      <c r="AF668" s="155" t="s">
        <v>51</v>
      </c>
      <c r="AG668" s="155" t="s">
        <v>310</v>
      </c>
      <c r="AH668" s="155">
        <v>4.5848739945623596</v>
      </c>
      <c r="AJ668" s="155" t="s">
        <v>52</v>
      </c>
      <c r="AK668" s="155" t="s">
        <v>19</v>
      </c>
      <c r="AL668" s="155" t="s">
        <v>28</v>
      </c>
      <c r="AM668" s="155" t="s">
        <v>51</v>
      </c>
      <c r="AN668" s="155" t="s">
        <v>310</v>
      </c>
      <c r="AO668" s="155">
        <v>1.5571195230255301</v>
      </c>
    </row>
    <row r="669" spans="29:41">
      <c r="AC669" s="155" t="s">
        <v>52</v>
      </c>
      <c r="AD669" s="155" t="s">
        <v>19</v>
      </c>
      <c r="AE669" s="155" t="s">
        <v>72</v>
      </c>
      <c r="AF669" s="155" t="s">
        <v>51</v>
      </c>
      <c r="AG669" s="155" t="s">
        <v>311</v>
      </c>
      <c r="AH669" s="155">
        <v>4.5532689327452376</v>
      </c>
      <c r="AJ669" s="155" t="s">
        <v>52</v>
      </c>
      <c r="AK669" s="155" t="s">
        <v>19</v>
      </c>
      <c r="AL669" s="155" t="s">
        <v>28</v>
      </c>
      <c r="AM669" s="155" t="s">
        <v>51</v>
      </c>
      <c r="AN669" s="155" t="s">
        <v>311</v>
      </c>
      <c r="AO669" s="155">
        <v>1.5195619155708981</v>
      </c>
    </row>
    <row r="670" spans="29:41">
      <c r="AC670" s="155" t="s">
        <v>52</v>
      </c>
      <c r="AD670" s="155" t="s">
        <v>19</v>
      </c>
      <c r="AE670" s="155" t="s">
        <v>72</v>
      </c>
      <c r="AF670" s="155" t="s">
        <v>51</v>
      </c>
      <c r="AG670" s="155" t="s">
        <v>235</v>
      </c>
      <c r="AH670" s="155">
        <v>4.5216021614685626</v>
      </c>
      <c r="AJ670" s="155" t="s">
        <v>52</v>
      </c>
      <c r="AK670" s="155" t="s">
        <v>19</v>
      </c>
      <c r="AL670" s="155" t="s">
        <v>28</v>
      </c>
      <c r="AM670" s="155" t="s">
        <v>51</v>
      </c>
      <c r="AN670" s="155" t="s">
        <v>235</v>
      </c>
      <c r="AO670" s="155">
        <v>1.5277478818839125</v>
      </c>
    </row>
    <row r="671" spans="29:41">
      <c r="AC671" s="155" t="s">
        <v>52</v>
      </c>
      <c r="AD671" s="155" t="s">
        <v>19</v>
      </c>
      <c r="AE671" s="155" t="s">
        <v>72</v>
      </c>
      <c r="AF671" s="155" t="s">
        <v>51</v>
      </c>
      <c r="AG671" s="155" t="s">
        <v>312</v>
      </c>
      <c r="AH671" s="155">
        <v>4.5218298111210657</v>
      </c>
      <c r="AJ671" s="155" t="s">
        <v>52</v>
      </c>
      <c r="AK671" s="155" t="s">
        <v>19</v>
      </c>
      <c r="AL671" s="155" t="s">
        <v>28</v>
      </c>
      <c r="AM671" s="155" t="s">
        <v>51</v>
      </c>
      <c r="AN671" s="155" t="s">
        <v>312</v>
      </c>
      <c r="AO671" s="155">
        <v>1.5563843291359254</v>
      </c>
    </row>
    <row r="672" spans="29:41">
      <c r="AC672" s="155" t="s">
        <v>52</v>
      </c>
      <c r="AD672" s="155" t="s">
        <v>19</v>
      </c>
      <c r="AE672" s="155" t="s">
        <v>72</v>
      </c>
      <c r="AF672" s="155" t="s">
        <v>51</v>
      </c>
      <c r="AG672" s="155" t="s">
        <v>313</v>
      </c>
      <c r="AH672" s="155">
        <v>4.4929920752998243</v>
      </c>
      <c r="AJ672" s="155" t="s">
        <v>52</v>
      </c>
      <c r="AK672" s="155" t="s">
        <v>19</v>
      </c>
      <c r="AL672" s="155" t="s">
        <v>28</v>
      </c>
      <c r="AM672" s="155" t="s">
        <v>51</v>
      </c>
      <c r="AN672" s="155" t="s">
        <v>313</v>
      </c>
      <c r="AO672" s="155">
        <v>1.5198746716357643</v>
      </c>
    </row>
    <row r="673" spans="29:41">
      <c r="AC673" s="155" t="s">
        <v>52</v>
      </c>
      <c r="AD673" s="155" t="s">
        <v>19</v>
      </c>
      <c r="AE673" s="155" t="s">
        <v>72</v>
      </c>
      <c r="AF673" s="155" t="s">
        <v>51</v>
      </c>
      <c r="AG673" s="155" t="s">
        <v>314</v>
      </c>
      <c r="AH673" s="155">
        <v>4.5218298111210657</v>
      </c>
      <c r="AJ673" s="155" t="s">
        <v>52</v>
      </c>
      <c r="AK673" s="155" t="s">
        <v>19</v>
      </c>
      <c r="AL673" s="155" t="s">
        <v>28</v>
      </c>
      <c r="AM673" s="155" t="s">
        <v>51</v>
      </c>
      <c r="AN673" s="155" t="s">
        <v>314</v>
      </c>
      <c r="AO673" s="155">
        <v>1.5040700913658653</v>
      </c>
    </row>
    <row r="674" spans="29:41">
      <c r="AC674" s="155" t="s">
        <v>52</v>
      </c>
      <c r="AD674" s="155" t="s">
        <v>19</v>
      </c>
      <c r="AE674" s="155" t="s">
        <v>72</v>
      </c>
      <c r="AF674" s="155" t="s">
        <v>51</v>
      </c>
      <c r="AG674" s="155" t="s">
        <v>234</v>
      </c>
      <c r="AH674" s="155">
        <v>4.5532689327452376</v>
      </c>
      <c r="AJ674" s="155" t="s">
        <v>52</v>
      </c>
      <c r="AK674" s="155" t="s">
        <v>19</v>
      </c>
      <c r="AL674" s="155" t="s">
        <v>28</v>
      </c>
      <c r="AM674" s="155" t="s">
        <v>51</v>
      </c>
      <c r="AN674" s="155" t="s">
        <v>234</v>
      </c>
      <c r="AO674" s="155">
        <v>1.5106609051656277</v>
      </c>
    </row>
    <row r="675" spans="29:41">
      <c r="AC675" s="155" t="s">
        <v>52</v>
      </c>
      <c r="AD675" s="155" t="s">
        <v>19</v>
      </c>
      <c r="AE675" s="155" t="s">
        <v>72</v>
      </c>
      <c r="AF675" s="155" t="s">
        <v>51</v>
      </c>
      <c r="AG675" s="155" t="s">
        <v>237</v>
      </c>
      <c r="AH675" s="155">
        <v>4.5532689327452376</v>
      </c>
      <c r="AJ675" s="155" t="s">
        <v>52</v>
      </c>
      <c r="AK675" s="155" t="s">
        <v>19</v>
      </c>
      <c r="AL675" s="155" t="s">
        <v>28</v>
      </c>
      <c r="AM675" s="155" t="s">
        <v>51</v>
      </c>
      <c r="AN675" s="155" t="s">
        <v>237</v>
      </c>
      <c r="AO675" s="155">
        <v>1.5256922663386276</v>
      </c>
    </row>
    <row r="676" spans="29:41">
      <c r="AC676" s="155" t="s">
        <v>52</v>
      </c>
      <c r="AD676" s="155" t="s">
        <v>19</v>
      </c>
      <c r="AE676" s="155" t="s">
        <v>72</v>
      </c>
      <c r="AF676" s="155" t="s">
        <v>51</v>
      </c>
      <c r="AG676" s="155" t="s">
        <v>319</v>
      </c>
      <c r="AH676" s="155">
        <v>4.5216021614685626</v>
      </c>
      <c r="AJ676" s="155" t="s">
        <v>52</v>
      </c>
      <c r="AK676" s="155" t="s">
        <v>19</v>
      </c>
      <c r="AL676" s="155" t="s">
        <v>28</v>
      </c>
      <c r="AM676" s="155" t="s">
        <v>51</v>
      </c>
      <c r="AN676" s="155" t="s">
        <v>319</v>
      </c>
      <c r="AO676" s="155">
        <v>1.5186377129951325</v>
      </c>
    </row>
    <row r="677" spans="29:41">
      <c r="AC677" s="155" t="s">
        <v>52</v>
      </c>
      <c r="AD677" s="155" t="s">
        <v>19</v>
      </c>
      <c r="AE677" s="155" t="s">
        <v>72</v>
      </c>
      <c r="AF677" s="155" t="s">
        <v>51</v>
      </c>
      <c r="AG677" s="155" t="s">
        <v>320</v>
      </c>
      <c r="AH677" s="155">
        <v>4.5216021614685626</v>
      </c>
      <c r="AJ677" s="155" t="s">
        <v>52</v>
      </c>
      <c r="AK677" s="155" t="s">
        <v>19</v>
      </c>
      <c r="AL677" s="155" t="s">
        <v>28</v>
      </c>
      <c r="AM677" s="155" t="s">
        <v>51</v>
      </c>
      <c r="AN677" s="155" t="s">
        <v>320</v>
      </c>
      <c r="AO677" s="155">
        <v>1.4642138685357327</v>
      </c>
    </row>
    <row r="678" spans="29:41">
      <c r="AC678" s="155" t="s">
        <v>52</v>
      </c>
      <c r="AD678" s="155" t="s">
        <v>19</v>
      </c>
      <c r="AE678" s="155" t="s">
        <v>72</v>
      </c>
      <c r="AF678" s="155" t="s">
        <v>51</v>
      </c>
      <c r="AG678" s="155" t="s">
        <v>321</v>
      </c>
      <c r="AH678" s="155">
        <v>4.5534922150014268</v>
      </c>
      <c r="AJ678" s="155" t="s">
        <v>52</v>
      </c>
      <c r="AK678" s="155" t="s">
        <v>19</v>
      </c>
      <c r="AL678" s="155" t="s">
        <v>28</v>
      </c>
      <c r="AM678" s="155" t="s">
        <v>51</v>
      </c>
      <c r="AN678" s="155" t="s">
        <v>321</v>
      </c>
      <c r="AO678" s="155">
        <v>1.5481028067197069</v>
      </c>
    </row>
    <row r="679" spans="29:41">
      <c r="AC679" s="155" t="s">
        <v>52</v>
      </c>
      <c r="AD679" s="155" t="s">
        <v>19</v>
      </c>
      <c r="AE679" s="155" t="s">
        <v>72</v>
      </c>
      <c r="AF679" s="155" t="s">
        <v>51</v>
      </c>
      <c r="AG679" s="155" t="s">
        <v>322</v>
      </c>
      <c r="AH679" s="155">
        <v>4.4612113276937526</v>
      </c>
      <c r="AJ679" s="155" t="s">
        <v>52</v>
      </c>
      <c r="AK679" s="155" t="s">
        <v>19</v>
      </c>
      <c r="AL679" s="155" t="s">
        <v>28</v>
      </c>
      <c r="AM679" s="155" t="s">
        <v>51</v>
      </c>
      <c r="AN679" s="155" t="s">
        <v>322</v>
      </c>
      <c r="AO679" s="155">
        <v>1.4677586424967521</v>
      </c>
    </row>
    <row r="680" spans="29:41">
      <c r="AC680" s="155" t="s">
        <v>52</v>
      </c>
      <c r="AD680" s="155" t="s">
        <v>19</v>
      </c>
      <c r="AE680" s="155" t="s">
        <v>72</v>
      </c>
      <c r="AF680" s="155" t="s">
        <v>51</v>
      </c>
      <c r="AG680" s="155" t="s">
        <v>323</v>
      </c>
      <c r="AH680" s="155">
        <v>4.4929920752998243</v>
      </c>
      <c r="AJ680" s="155" t="s">
        <v>52</v>
      </c>
      <c r="AK680" s="155" t="s">
        <v>19</v>
      </c>
      <c r="AL680" s="155" t="s">
        <v>28</v>
      </c>
      <c r="AM680" s="155" t="s">
        <v>51</v>
      </c>
      <c r="AN680" s="155" t="s">
        <v>323</v>
      </c>
      <c r="AO680" s="155">
        <v>1.4978547960901447</v>
      </c>
    </row>
    <row r="681" spans="29:41">
      <c r="AC681" s="155" t="s">
        <v>52</v>
      </c>
      <c r="AD681" s="155" t="s">
        <v>19</v>
      </c>
      <c r="AE681" s="155" t="s">
        <v>72</v>
      </c>
      <c r="AF681" s="155" t="s">
        <v>51</v>
      </c>
      <c r="AG681" s="155" t="s">
        <v>324</v>
      </c>
      <c r="AH681" s="155">
        <v>4.4293683816765057</v>
      </c>
      <c r="AJ681" s="155" t="s">
        <v>52</v>
      </c>
      <c r="AK681" s="155" t="s">
        <v>19</v>
      </c>
      <c r="AL681" s="155" t="s">
        <v>28</v>
      </c>
      <c r="AM681" s="155" t="s">
        <v>51</v>
      </c>
      <c r="AN681" s="155" t="s">
        <v>324</v>
      </c>
      <c r="AO681" s="155">
        <v>1.4959678614927461</v>
      </c>
    </row>
    <row r="682" spans="29:41">
      <c r="AC682" s="155" t="s">
        <v>52</v>
      </c>
      <c r="AD682" s="155" t="s">
        <v>19</v>
      </c>
      <c r="AE682" s="155" t="s">
        <v>72</v>
      </c>
      <c r="AF682" s="155" t="s">
        <v>51</v>
      </c>
      <c r="AG682" s="155" t="s">
        <v>325</v>
      </c>
      <c r="AH682" s="155">
        <v>4.4699143336624472</v>
      </c>
      <c r="AJ682" s="155" t="s">
        <v>52</v>
      </c>
      <c r="AK682" s="155" t="s">
        <v>19</v>
      </c>
      <c r="AL682" s="155" t="s">
        <v>28</v>
      </c>
      <c r="AM682" s="155" t="s">
        <v>51</v>
      </c>
      <c r="AN682" s="155" t="s">
        <v>325</v>
      </c>
      <c r="AO682" s="155">
        <v>1.5579636337634866</v>
      </c>
    </row>
    <row r="683" spans="29:41">
      <c r="AC683" s="155" t="s">
        <v>52</v>
      </c>
      <c r="AD683" s="155" t="s">
        <v>19</v>
      </c>
      <c r="AE683" s="155" t="s">
        <v>72</v>
      </c>
      <c r="AF683" s="155" t="s">
        <v>51</v>
      </c>
      <c r="AG683" s="155" t="s">
        <v>326</v>
      </c>
      <c r="AH683" s="155">
        <v>4.4699143336624472</v>
      </c>
      <c r="AJ683" s="155" t="s">
        <v>52</v>
      </c>
      <c r="AK683" s="155" t="s">
        <v>19</v>
      </c>
      <c r="AL683" s="155" t="s">
        <v>28</v>
      </c>
      <c r="AM683" s="155" t="s">
        <v>51</v>
      </c>
      <c r="AN683" s="155" t="s">
        <v>326</v>
      </c>
      <c r="AO683" s="155">
        <v>1.5844575258441369</v>
      </c>
    </row>
    <row r="684" spans="29:41">
      <c r="AC684" s="155" t="s">
        <v>52</v>
      </c>
      <c r="AD684" s="155" t="s">
        <v>19</v>
      </c>
      <c r="AE684" s="155" t="s">
        <v>72</v>
      </c>
      <c r="AF684" s="155" t="s">
        <v>51</v>
      </c>
      <c r="AG684" s="155" t="s">
        <v>327</v>
      </c>
      <c r="AH684" s="155">
        <v>4.4380959133108595</v>
      </c>
      <c r="AJ684" s="155" t="s">
        <v>52</v>
      </c>
      <c r="AK684" s="155" t="s">
        <v>19</v>
      </c>
      <c r="AL684" s="155" t="s">
        <v>28</v>
      </c>
      <c r="AM684" s="155" t="s">
        <v>51</v>
      </c>
      <c r="AN684" s="155" t="s">
        <v>327</v>
      </c>
      <c r="AO684" s="155">
        <v>1.5402616823217599</v>
      </c>
    </row>
    <row r="685" spans="29:41">
      <c r="AC685" s="155" t="s">
        <v>52</v>
      </c>
      <c r="AD685" s="155" t="s">
        <v>19</v>
      </c>
      <c r="AE685" s="155" t="s">
        <v>72</v>
      </c>
      <c r="AF685" s="155" t="s">
        <v>51</v>
      </c>
      <c r="AG685" s="155" t="s">
        <v>328</v>
      </c>
      <c r="AH685" s="155">
        <v>4.3771781350109968</v>
      </c>
      <c r="AJ685" s="155" t="s">
        <v>52</v>
      </c>
      <c r="AK685" s="155" t="s">
        <v>19</v>
      </c>
      <c r="AL685" s="155" t="s">
        <v>28</v>
      </c>
      <c r="AM685" s="155" t="s">
        <v>51</v>
      </c>
      <c r="AN685" s="155" t="s">
        <v>328</v>
      </c>
      <c r="AO685" s="155">
        <v>1.534704246059617</v>
      </c>
    </row>
    <row r="686" spans="29:41">
      <c r="AC686" s="155" t="s">
        <v>52</v>
      </c>
      <c r="AD686" s="155" t="s">
        <v>19</v>
      </c>
      <c r="AE686" s="155" t="s">
        <v>72</v>
      </c>
      <c r="AF686" s="155" t="s">
        <v>51</v>
      </c>
      <c r="AG686" s="155" t="s">
        <v>329</v>
      </c>
      <c r="AH686" s="155">
        <v>4.3131143092804933</v>
      </c>
      <c r="AJ686" s="155" t="s">
        <v>52</v>
      </c>
      <c r="AK686" s="155" t="s">
        <v>19</v>
      </c>
      <c r="AL686" s="155" t="s">
        <v>28</v>
      </c>
      <c r="AM686" s="155" t="s">
        <v>51</v>
      </c>
      <c r="AN686" s="155" t="s">
        <v>329</v>
      </c>
      <c r="AO686" s="155">
        <v>1.5003201460334237</v>
      </c>
    </row>
    <row r="687" spans="29:41">
      <c r="AC687" s="155" t="s">
        <v>52</v>
      </c>
      <c r="AD687" s="155" t="s">
        <v>19</v>
      </c>
      <c r="AE687" s="155" t="s">
        <v>72</v>
      </c>
      <c r="AF687" s="155" t="s">
        <v>51</v>
      </c>
      <c r="AG687" s="155" t="s">
        <v>330</v>
      </c>
      <c r="AH687" s="155">
        <v>4.3451776555859825</v>
      </c>
      <c r="AJ687" s="155" t="s">
        <v>52</v>
      </c>
      <c r="AK687" s="155" t="s">
        <v>19</v>
      </c>
      <c r="AL687" s="155" t="s">
        <v>28</v>
      </c>
      <c r="AM687" s="155" t="s">
        <v>51</v>
      </c>
      <c r="AN687" s="155" t="s">
        <v>330</v>
      </c>
      <c r="AO687" s="155">
        <v>1.5194988875535922</v>
      </c>
    </row>
    <row r="688" spans="29:41">
      <c r="AC688" s="155" t="s">
        <v>52</v>
      </c>
      <c r="AD688" s="155" t="s">
        <v>19</v>
      </c>
      <c r="AE688" s="155" t="s">
        <v>72</v>
      </c>
      <c r="AF688" s="155" t="s">
        <v>51</v>
      </c>
      <c r="AG688" s="155" t="s">
        <v>331</v>
      </c>
      <c r="AH688" s="155">
        <v>4.3131087489386006</v>
      </c>
      <c r="AJ688" s="155" t="s">
        <v>52</v>
      </c>
      <c r="AK688" s="155" t="s">
        <v>19</v>
      </c>
      <c r="AL688" s="155" t="s">
        <v>28</v>
      </c>
      <c r="AM688" s="155" t="s">
        <v>51</v>
      </c>
      <c r="AN688" s="155" t="s">
        <v>331</v>
      </c>
      <c r="AO688" s="155">
        <v>1.5305507524427708</v>
      </c>
    </row>
    <row r="689" spans="29:41">
      <c r="AC689" s="155" t="s">
        <v>52</v>
      </c>
      <c r="AD689" s="155" t="s">
        <v>19</v>
      </c>
      <c r="AE689" s="155" t="s">
        <v>72</v>
      </c>
      <c r="AF689" s="155" t="s">
        <v>51</v>
      </c>
      <c r="AG689" s="155" t="s">
        <v>332</v>
      </c>
      <c r="AH689" s="155">
        <v>4.3451776555859825</v>
      </c>
      <c r="AJ689" s="155" t="s">
        <v>52</v>
      </c>
      <c r="AK689" s="155" t="s">
        <v>19</v>
      </c>
      <c r="AL689" s="155" t="s">
        <v>28</v>
      </c>
      <c r="AM689" s="155" t="s">
        <v>51</v>
      </c>
      <c r="AN689" s="155" t="s">
        <v>332</v>
      </c>
      <c r="AO689" s="155">
        <v>1.556799176982802</v>
      </c>
    </row>
    <row r="690" spans="29:41">
      <c r="AC690" s="155" t="s">
        <v>52</v>
      </c>
      <c r="AD690" s="155" t="s">
        <v>19</v>
      </c>
      <c r="AE690" s="155" t="s">
        <v>72</v>
      </c>
      <c r="AF690" s="155" t="s">
        <v>51</v>
      </c>
      <c r="AG690" s="155" t="s">
        <v>333</v>
      </c>
      <c r="AH690" s="155">
        <v>4.2488084289060692</v>
      </c>
      <c r="AJ690" s="155" t="s">
        <v>52</v>
      </c>
      <c r="AK690" s="155" t="s">
        <v>19</v>
      </c>
      <c r="AL690" s="155" t="s">
        <v>28</v>
      </c>
      <c r="AM690" s="155" t="s">
        <v>51</v>
      </c>
      <c r="AN690" s="155" t="s">
        <v>333</v>
      </c>
      <c r="AO690" s="155">
        <v>1.5088128461008894</v>
      </c>
    </row>
    <row r="691" spans="29:41">
      <c r="AC691" s="155" t="s">
        <v>52</v>
      </c>
      <c r="AD691" s="155" t="s">
        <v>19</v>
      </c>
      <c r="AE691" s="155" t="s">
        <v>72</v>
      </c>
      <c r="AF691" s="155" t="s">
        <v>51</v>
      </c>
      <c r="AG691" s="155" t="s">
        <v>334</v>
      </c>
      <c r="AH691" s="155">
        <v>4.2194971642154622</v>
      </c>
      <c r="AJ691" s="155" t="s">
        <v>52</v>
      </c>
      <c r="AK691" s="155" t="s">
        <v>19</v>
      </c>
      <c r="AL691" s="155" t="s">
        <v>28</v>
      </c>
      <c r="AM691" s="155" t="s">
        <v>51</v>
      </c>
      <c r="AN691" s="155" t="s">
        <v>334</v>
      </c>
      <c r="AO691" s="155">
        <v>1.4560253753403627</v>
      </c>
    </row>
    <row r="692" spans="29:41">
      <c r="AC692" s="155" t="s">
        <v>52</v>
      </c>
      <c r="AD692" s="155" t="s">
        <v>19</v>
      </c>
      <c r="AE692" s="155" t="s">
        <v>72</v>
      </c>
      <c r="AF692" s="155" t="s">
        <v>51</v>
      </c>
      <c r="AG692" s="155" t="s">
        <v>335</v>
      </c>
      <c r="AH692" s="155">
        <v>4.3131143092804933</v>
      </c>
      <c r="AJ692" s="155" t="s">
        <v>52</v>
      </c>
      <c r="AK692" s="155" t="s">
        <v>19</v>
      </c>
      <c r="AL692" s="155" t="s">
        <v>28</v>
      </c>
      <c r="AM692" s="155" t="s">
        <v>51</v>
      </c>
      <c r="AN692" s="155" t="s">
        <v>335</v>
      </c>
      <c r="AO692" s="155">
        <v>1.5246234974042736</v>
      </c>
    </row>
    <row r="693" spans="29:41">
      <c r="AC693" s="155" t="s">
        <v>52</v>
      </c>
      <c r="AD693" s="155" t="s">
        <v>19</v>
      </c>
      <c r="AE693" s="155" t="s">
        <v>72</v>
      </c>
      <c r="AF693" s="155" t="s">
        <v>51</v>
      </c>
      <c r="AG693" s="155" t="s">
        <v>336</v>
      </c>
      <c r="AH693" s="155">
        <v>4.3131087489386006</v>
      </c>
      <c r="AJ693" s="155" t="s">
        <v>52</v>
      </c>
      <c r="AK693" s="155" t="s">
        <v>19</v>
      </c>
      <c r="AL693" s="155" t="s">
        <v>28</v>
      </c>
      <c r="AM693" s="155" t="s">
        <v>51</v>
      </c>
      <c r="AN693" s="155" t="s">
        <v>336</v>
      </c>
      <c r="AO693" s="155">
        <v>1.5428958076334109</v>
      </c>
    </row>
    <row r="694" spans="29:41">
      <c r="AC694" s="155" t="s">
        <v>52</v>
      </c>
      <c r="AD694" s="155" t="s">
        <v>19</v>
      </c>
      <c r="AE694" s="155" t="s">
        <v>72</v>
      </c>
      <c r="AF694" s="155" t="s">
        <v>51</v>
      </c>
      <c r="AG694" s="155" t="s">
        <v>316</v>
      </c>
      <c r="AH694" s="155">
        <v>4.280990246513638</v>
      </c>
      <c r="AJ694" s="155" t="s">
        <v>52</v>
      </c>
      <c r="AK694" s="155" t="s">
        <v>19</v>
      </c>
      <c r="AL694" s="155" t="s">
        <v>28</v>
      </c>
      <c r="AM694" s="155" t="s">
        <v>51</v>
      </c>
      <c r="AN694" s="155" t="s">
        <v>316</v>
      </c>
      <c r="AO694" s="155">
        <v>1.5493069674556876</v>
      </c>
    </row>
    <row r="695" spans="29:41">
      <c r="AC695" s="155" t="s">
        <v>52</v>
      </c>
      <c r="AD695" s="155" t="s">
        <v>19</v>
      </c>
      <c r="AE695" s="155" t="s">
        <v>72</v>
      </c>
      <c r="AF695" s="155" t="s">
        <v>51</v>
      </c>
      <c r="AG695" s="155" t="s">
        <v>337</v>
      </c>
      <c r="AH695" s="155">
        <v>4.280990246513638</v>
      </c>
      <c r="AJ695" s="155" t="s">
        <v>52</v>
      </c>
      <c r="AK695" s="155" t="s">
        <v>19</v>
      </c>
      <c r="AL695" s="155" t="s">
        <v>28</v>
      </c>
      <c r="AM695" s="155" t="s">
        <v>51</v>
      </c>
      <c r="AN695" s="155" t="s">
        <v>337</v>
      </c>
      <c r="AO695" s="155">
        <v>1.5452500406199678</v>
      </c>
    </row>
    <row r="696" spans="29:41">
      <c r="AC696" s="155" t="s">
        <v>52</v>
      </c>
      <c r="AD696" s="155" t="s">
        <v>19</v>
      </c>
      <c r="AE696" s="155" t="s">
        <v>72</v>
      </c>
      <c r="AF696" s="155" t="s">
        <v>51</v>
      </c>
      <c r="AG696" s="155" t="s">
        <v>338</v>
      </c>
      <c r="AH696" s="155">
        <v>4.2194971642154622</v>
      </c>
      <c r="AJ696" s="155" t="s">
        <v>52</v>
      </c>
      <c r="AK696" s="155" t="s">
        <v>19</v>
      </c>
      <c r="AL696" s="155" t="s">
        <v>28</v>
      </c>
      <c r="AM696" s="155" t="s">
        <v>51</v>
      </c>
      <c r="AN696" s="155" t="s">
        <v>338</v>
      </c>
      <c r="AO696" s="155">
        <v>1.5126447445978526</v>
      </c>
    </row>
    <row r="697" spans="29:41">
      <c r="AC697" s="155" t="s">
        <v>52</v>
      </c>
      <c r="AD697" s="155" t="s">
        <v>19</v>
      </c>
      <c r="AE697" s="155" t="s">
        <v>72</v>
      </c>
      <c r="AF697" s="155" t="s">
        <v>51</v>
      </c>
      <c r="AG697" s="155" t="s">
        <v>339</v>
      </c>
      <c r="AH697" s="155">
        <v>4.1871940628292794</v>
      </c>
      <c r="AJ697" s="155" t="s">
        <v>52</v>
      </c>
      <c r="AK697" s="155" t="s">
        <v>19</v>
      </c>
      <c r="AL697" s="155" t="s">
        <v>28</v>
      </c>
      <c r="AM697" s="155" t="s">
        <v>51</v>
      </c>
      <c r="AN697" s="155" t="s">
        <v>339</v>
      </c>
      <c r="AO697" s="155">
        <v>1.5396595396038395</v>
      </c>
    </row>
    <row r="698" spans="29:41">
      <c r="AC698" s="155" t="s">
        <v>52</v>
      </c>
      <c r="AD698" s="155" t="s">
        <v>19</v>
      </c>
      <c r="AE698" s="155" t="s">
        <v>72</v>
      </c>
      <c r="AF698" s="155" t="s">
        <v>51</v>
      </c>
      <c r="AG698" s="155" t="s">
        <v>315</v>
      </c>
      <c r="AH698" s="155">
        <v>4.1871940628292794</v>
      </c>
      <c r="AJ698" s="155" t="s">
        <v>52</v>
      </c>
      <c r="AK698" s="155" t="s">
        <v>19</v>
      </c>
      <c r="AL698" s="155" t="s">
        <v>28</v>
      </c>
      <c r="AM698" s="155" t="s">
        <v>51</v>
      </c>
      <c r="AN698" s="155" t="s">
        <v>315</v>
      </c>
      <c r="AO698" s="155">
        <v>1.4789193051358598</v>
      </c>
    </row>
    <row r="699" spans="29:41">
      <c r="AC699" s="155" t="s">
        <v>52</v>
      </c>
      <c r="AD699" s="155" t="s">
        <v>19</v>
      </c>
      <c r="AE699" s="155" t="s">
        <v>72</v>
      </c>
      <c r="AF699" s="155" t="s">
        <v>51</v>
      </c>
      <c r="AG699" s="155" t="s">
        <v>318</v>
      </c>
      <c r="AH699" s="155">
        <v>4.1871940628292794</v>
      </c>
      <c r="AJ699" s="155" t="s">
        <v>52</v>
      </c>
      <c r="AK699" s="155" t="s">
        <v>19</v>
      </c>
      <c r="AL699" s="155" t="s">
        <v>28</v>
      </c>
      <c r="AM699" s="155" t="s">
        <v>51</v>
      </c>
      <c r="AN699" s="155" t="s">
        <v>318</v>
      </c>
      <c r="AO699" s="155">
        <v>1.5699052495935495</v>
      </c>
    </row>
    <row r="700" spans="29:41">
      <c r="AC700" s="155" t="s">
        <v>52</v>
      </c>
      <c r="AD700" s="155" t="s">
        <v>20</v>
      </c>
      <c r="AE700" s="155" t="s">
        <v>72</v>
      </c>
      <c r="AF700" s="155" t="s">
        <v>51</v>
      </c>
      <c r="AG700" s="155" t="s">
        <v>130</v>
      </c>
      <c r="AH700" s="155">
        <v>4.1618039804499194</v>
      </c>
      <c r="AJ700" s="155" t="s">
        <v>52</v>
      </c>
      <c r="AK700" s="155" t="s">
        <v>20</v>
      </c>
      <c r="AL700" s="155" t="s">
        <v>28</v>
      </c>
      <c r="AM700" s="155" t="s">
        <v>51</v>
      </c>
      <c r="AN700" s="155" t="s">
        <v>130</v>
      </c>
      <c r="AO700" s="155">
        <v>1.3276040404206293</v>
      </c>
    </row>
    <row r="701" spans="29:41">
      <c r="AC701" s="155" t="s">
        <v>52</v>
      </c>
      <c r="AD701" s="155" t="s">
        <v>20</v>
      </c>
      <c r="AE701" s="155" t="s">
        <v>72</v>
      </c>
      <c r="AF701" s="155" t="s">
        <v>51</v>
      </c>
      <c r="AG701" s="155" t="s">
        <v>131</v>
      </c>
      <c r="AH701" s="155">
        <v>4.1618039804499194</v>
      </c>
      <c r="AJ701" s="155" t="s">
        <v>52</v>
      </c>
      <c r="AK701" s="155" t="s">
        <v>20</v>
      </c>
      <c r="AL701" s="155" t="s">
        <v>28</v>
      </c>
      <c r="AM701" s="155" t="s">
        <v>51</v>
      </c>
      <c r="AN701" s="155" t="s">
        <v>131</v>
      </c>
      <c r="AO701" s="155">
        <v>1.3376202576964793</v>
      </c>
    </row>
    <row r="702" spans="29:41">
      <c r="AC702" s="155" t="s">
        <v>52</v>
      </c>
      <c r="AD702" s="155" t="s">
        <v>20</v>
      </c>
      <c r="AE702" s="155" t="s">
        <v>72</v>
      </c>
      <c r="AF702" s="155" t="s">
        <v>51</v>
      </c>
      <c r="AG702" s="155" t="s">
        <v>132</v>
      </c>
      <c r="AH702" s="155">
        <v>4.1618039804499194</v>
      </c>
      <c r="AJ702" s="155" t="s">
        <v>52</v>
      </c>
      <c r="AK702" s="155" t="s">
        <v>20</v>
      </c>
      <c r="AL702" s="155" t="s">
        <v>28</v>
      </c>
      <c r="AM702" s="155" t="s">
        <v>51</v>
      </c>
      <c r="AN702" s="155" t="s">
        <v>132</v>
      </c>
      <c r="AO702" s="155">
        <v>1.3462424054732489</v>
      </c>
    </row>
    <row r="703" spans="29:41">
      <c r="AC703" s="155" t="s">
        <v>52</v>
      </c>
      <c r="AD703" s="155" t="s">
        <v>20</v>
      </c>
      <c r="AE703" s="155" t="s">
        <v>72</v>
      </c>
      <c r="AF703" s="155" t="s">
        <v>51</v>
      </c>
      <c r="AG703" s="155" t="s">
        <v>133</v>
      </c>
      <c r="AH703" s="155">
        <v>4.3642403763055508</v>
      </c>
      <c r="AJ703" s="155" t="s">
        <v>52</v>
      </c>
      <c r="AK703" s="155" t="s">
        <v>20</v>
      </c>
      <c r="AL703" s="155" t="s">
        <v>28</v>
      </c>
      <c r="AM703" s="155" t="s">
        <v>51</v>
      </c>
      <c r="AN703" s="155" t="s">
        <v>133</v>
      </c>
      <c r="AO703" s="155">
        <v>1.4339233654036512</v>
      </c>
    </row>
    <row r="704" spans="29:41">
      <c r="AC704" s="155" t="s">
        <v>52</v>
      </c>
      <c r="AD704" s="155" t="s">
        <v>20</v>
      </c>
      <c r="AE704" s="155" t="s">
        <v>72</v>
      </c>
      <c r="AF704" s="155" t="s">
        <v>51</v>
      </c>
      <c r="AG704" s="155" t="s">
        <v>134</v>
      </c>
      <c r="AH704" s="155">
        <v>4.3002725972031506</v>
      </c>
      <c r="AJ704" s="155" t="s">
        <v>52</v>
      </c>
      <c r="AK704" s="155" t="s">
        <v>20</v>
      </c>
      <c r="AL704" s="155" t="s">
        <v>28</v>
      </c>
      <c r="AM704" s="155" t="s">
        <v>51</v>
      </c>
      <c r="AN704" s="155" t="s">
        <v>134</v>
      </c>
      <c r="AO704" s="155">
        <v>1.3980450736732202</v>
      </c>
    </row>
    <row r="705" spans="29:41">
      <c r="AC705" s="155" t="s">
        <v>52</v>
      </c>
      <c r="AD705" s="155" t="s">
        <v>20</v>
      </c>
      <c r="AE705" s="155" t="s">
        <v>72</v>
      </c>
      <c r="AF705" s="155" t="s">
        <v>51</v>
      </c>
      <c r="AG705" s="155" t="s">
        <v>135</v>
      </c>
      <c r="AH705" s="155">
        <v>4.1930539804499194</v>
      </c>
      <c r="AJ705" s="155" t="s">
        <v>52</v>
      </c>
      <c r="AK705" s="155" t="s">
        <v>20</v>
      </c>
      <c r="AL705" s="155" t="s">
        <v>28</v>
      </c>
      <c r="AM705" s="155" t="s">
        <v>51</v>
      </c>
      <c r="AN705" s="155" t="s">
        <v>135</v>
      </c>
      <c r="AO705" s="155">
        <v>1.3467036436431594</v>
      </c>
    </row>
    <row r="706" spans="29:41">
      <c r="AC706" s="155" t="s">
        <v>52</v>
      </c>
      <c r="AD706" s="155" t="s">
        <v>20</v>
      </c>
      <c r="AE706" s="155" t="s">
        <v>72</v>
      </c>
      <c r="AF706" s="155" t="s">
        <v>51</v>
      </c>
      <c r="AG706" s="155" t="s">
        <v>136</v>
      </c>
      <c r="AH706" s="155">
        <v>4.1930539804499194</v>
      </c>
      <c r="AJ706" s="155" t="s">
        <v>52</v>
      </c>
      <c r="AK706" s="155" t="s">
        <v>20</v>
      </c>
      <c r="AL706" s="155" t="s">
        <v>28</v>
      </c>
      <c r="AM706" s="155" t="s">
        <v>51</v>
      </c>
      <c r="AN706" s="155" t="s">
        <v>136</v>
      </c>
      <c r="AO706" s="155">
        <v>1.3652186771317991</v>
      </c>
    </row>
    <row r="707" spans="29:41">
      <c r="AC707" s="155" t="s">
        <v>52</v>
      </c>
      <c r="AD707" s="155" t="s">
        <v>20</v>
      </c>
      <c r="AE707" s="155" t="s">
        <v>72</v>
      </c>
      <c r="AF707" s="155" t="s">
        <v>51</v>
      </c>
      <c r="AG707" s="155" t="s">
        <v>137</v>
      </c>
      <c r="AH707" s="155">
        <v>4.3001919961318613</v>
      </c>
      <c r="AJ707" s="155" t="s">
        <v>52</v>
      </c>
      <c r="AK707" s="155" t="s">
        <v>20</v>
      </c>
      <c r="AL707" s="155" t="s">
        <v>28</v>
      </c>
      <c r="AM707" s="155" t="s">
        <v>51</v>
      </c>
      <c r="AN707" s="155" t="s">
        <v>137</v>
      </c>
      <c r="AO707" s="155">
        <v>1.4863728858778815</v>
      </c>
    </row>
    <row r="708" spans="29:41">
      <c r="AC708" s="155" t="s">
        <v>52</v>
      </c>
      <c r="AD708" s="155" t="s">
        <v>20</v>
      </c>
      <c r="AE708" s="155" t="s">
        <v>72</v>
      </c>
      <c r="AF708" s="155" t="s">
        <v>51</v>
      </c>
      <c r="AG708" s="155" t="s">
        <v>138</v>
      </c>
      <c r="AH708" s="155">
        <v>4.1930539804499194</v>
      </c>
      <c r="AJ708" s="155" t="s">
        <v>52</v>
      </c>
      <c r="AK708" s="155" t="s">
        <v>20</v>
      </c>
      <c r="AL708" s="155" t="s">
        <v>28</v>
      </c>
      <c r="AM708" s="155" t="s">
        <v>51</v>
      </c>
      <c r="AN708" s="155" t="s">
        <v>138</v>
      </c>
      <c r="AO708" s="155">
        <v>1.3615482313074194</v>
      </c>
    </row>
    <row r="709" spans="29:41">
      <c r="AC709" s="155" t="s">
        <v>52</v>
      </c>
      <c r="AD709" s="155" t="s">
        <v>20</v>
      </c>
      <c r="AE709" s="155" t="s">
        <v>72</v>
      </c>
      <c r="AF709" s="155" t="s">
        <v>51</v>
      </c>
      <c r="AG709" s="155" t="s">
        <v>139</v>
      </c>
      <c r="AH709" s="155">
        <v>4.1618039804499194</v>
      </c>
      <c r="AJ709" s="155" t="s">
        <v>52</v>
      </c>
      <c r="AK709" s="155" t="s">
        <v>20</v>
      </c>
      <c r="AL709" s="155" t="s">
        <v>28</v>
      </c>
      <c r="AM709" s="155" t="s">
        <v>51</v>
      </c>
      <c r="AN709" s="155" t="s">
        <v>139</v>
      </c>
      <c r="AO709" s="155">
        <v>1.3376271286219992</v>
      </c>
    </row>
    <row r="710" spans="29:41">
      <c r="AC710" s="155" t="s">
        <v>52</v>
      </c>
      <c r="AD710" s="155" t="s">
        <v>20</v>
      </c>
      <c r="AE710" s="155" t="s">
        <v>72</v>
      </c>
      <c r="AF710" s="155" t="s">
        <v>51</v>
      </c>
      <c r="AG710" s="155" t="s">
        <v>140</v>
      </c>
      <c r="AH710" s="155">
        <v>4.1305539804499194</v>
      </c>
      <c r="AJ710" s="155" t="s">
        <v>52</v>
      </c>
      <c r="AK710" s="155" t="s">
        <v>20</v>
      </c>
      <c r="AL710" s="155" t="s">
        <v>28</v>
      </c>
      <c r="AM710" s="155" t="s">
        <v>51</v>
      </c>
      <c r="AN710" s="155" t="s">
        <v>140</v>
      </c>
      <c r="AO710" s="155">
        <v>1.334712971145259</v>
      </c>
    </row>
    <row r="711" spans="29:41">
      <c r="AC711" s="155" t="s">
        <v>52</v>
      </c>
      <c r="AD711" s="155" t="s">
        <v>20</v>
      </c>
      <c r="AE711" s="155" t="s">
        <v>72</v>
      </c>
      <c r="AF711" s="155" t="s">
        <v>51</v>
      </c>
      <c r="AG711" s="155" t="s">
        <v>141</v>
      </c>
      <c r="AH711" s="155">
        <v>4.1748311341021385</v>
      </c>
      <c r="AJ711" s="155" t="s">
        <v>52</v>
      </c>
      <c r="AK711" s="155" t="s">
        <v>20</v>
      </c>
      <c r="AL711" s="155" t="s">
        <v>28</v>
      </c>
      <c r="AM711" s="155" t="s">
        <v>51</v>
      </c>
      <c r="AN711" s="155" t="s">
        <v>141</v>
      </c>
      <c r="AO711" s="155">
        <v>1.481982231006719</v>
      </c>
    </row>
    <row r="712" spans="29:41">
      <c r="AC712" s="155" t="s">
        <v>52</v>
      </c>
      <c r="AD712" s="155" t="s">
        <v>20</v>
      </c>
      <c r="AE712" s="155" t="s">
        <v>72</v>
      </c>
      <c r="AF712" s="155" t="s">
        <v>51</v>
      </c>
      <c r="AG712" s="155" t="s">
        <v>142</v>
      </c>
      <c r="AH712" s="155">
        <v>4.1135643018144359</v>
      </c>
      <c r="AJ712" s="155" t="s">
        <v>52</v>
      </c>
      <c r="AK712" s="155" t="s">
        <v>20</v>
      </c>
      <c r="AL712" s="155" t="s">
        <v>28</v>
      </c>
      <c r="AM712" s="155" t="s">
        <v>51</v>
      </c>
      <c r="AN712" s="155" t="s">
        <v>142</v>
      </c>
      <c r="AO712" s="155">
        <v>1.4040077380531564</v>
      </c>
    </row>
    <row r="713" spans="29:41">
      <c r="AC713" s="155" t="s">
        <v>52</v>
      </c>
      <c r="AD713" s="155" t="s">
        <v>20</v>
      </c>
      <c r="AE713" s="155" t="s">
        <v>72</v>
      </c>
      <c r="AF713" s="155" t="s">
        <v>51</v>
      </c>
      <c r="AG713" s="155" t="s">
        <v>143</v>
      </c>
      <c r="AH713" s="155">
        <v>4.1748311341021385</v>
      </c>
      <c r="AJ713" s="155" t="s">
        <v>52</v>
      </c>
      <c r="AK713" s="155" t="s">
        <v>20</v>
      </c>
      <c r="AL713" s="155" t="s">
        <v>28</v>
      </c>
      <c r="AM713" s="155" t="s">
        <v>51</v>
      </c>
      <c r="AN713" s="155" t="s">
        <v>143</v>
      </c>
      <c r="AO713" s="155">
        <v>1.503058195558439</v>
      </c>
    </row>
    <row r="714" spans="29:41">
      <c r="AC714" s="155" t="s">
        <v>52</v>
      </c>
      <c r="AD714" s="155" t="s">
        <v>20</v>
      </c>
      <c r="AE714" s="155" t="s">
        <v>72</v>
      </c>
      <c r="AF714" s="155" t="s">
        <v>51</v>
      </c>
      <c r="AG714" s="155" t="s">
        <v>144</v>
      </c>
      <c r="AH714" s="155">
        <v>4.1135643018144359</v>
      </c>
      <c r="AJ714" s="155" t="s">
        <v>52</v>
      </c>
      <c r="AK714" s="155" t="s">
        <v>20</v>
      </c>
      <c r="AL714" s="155" t="s">
        <v>28</v>
      </c>
      <c r="AM714" s="155" t="s">
        <v>51</v>
      </c>
      <c r="AN714" s="155" t="s">
        <v>144</v>
      </c>
      <c r="AO714" s="155">
        <v>1.456054823822776</v>
      </c>
    </row>
    <row r="715" spans="29:41">
      <c r="AC715" s="155" t="s">
        <v>52</v>
      </c>
      <c r="AD715" s="155" t="s">
        <v>20</v>
      </c>
      <c r="AE715" s="155" t="s">
        <v>72</v>
      </c>
      <c r="AF715" s="155" t="s">
        <v>51</v>
      </c>
      <c r="AG715" s="155" t="s">
        <v>145</v>
      </c>
      <c r="AH715" s="155">
        <v>4.0672857326453746</v>
      </c>
      <c r="AJ715" s="155" t="s">
        <v>52</v>
      </c>
      <c r="AK715" s="155" t="s">
        <v>20</v>
      </c>
      <c r="AL715" s="155" t="s">
        <v>28</v>
      </c>
      <c r="AM715" s="155" t="s">
        <v>51</v>
      </c>
      <c r="AN715" s="155" t="s">
        <v>145</v>
      </c>
      <c r="AO715" s="155">
        <v>1.4574390170989944</v>
      </c>
    </row>
    <row r="716" spans="29:41">
      <c r="AC716" s="155" t="s">
        <v>52</v>
      </c>
      <c r="AD716" s="155" t="s">
        <v>20</v>
      </c>
      <c r="AE716" s="155" t="s">
        <v>72</v>
      </c>
      <c r="AF716" s="155" t="s">
        <v>51</v>
      </c>
      <c r="AG716" s="155" t="s">
        <v>146</v>
      </c>
      <c r="AH716" s="155">
        <v>4.1135643018144359</v>
      </c>
      <c r="AJ716" s="155" t="s">
        <v>52</v>
      </c>
      <c r="AK716" s="155" t="s">
        <v>20</v>
      </c>
      <c r="AL716" s="155" t="s">
        <v>28</v>
      </c>
      <c r="AM716" s="155" t="s">
        <v>51</v>
      </c>
      <c r="AN716" s="155" t="s">
        <v>146</v>
      </c>
      <c r="AO716" s="155">
        <v>1.4493949057691164</v>
      </c>
    </row>
    <row r="717" spans="29:41">
      <c r="AC717" s="155" t="s">
        <v>52</v>
      </c>
      <c r="AD717" s="155" t="s">
        <v>20</v>
      </c>
      <c r="AE717" s="155" t="s">
        <v>72</v>
      </c>
      <c r="AF717" s="155" t="s">
        <v>51</v>
      </c>
      <c r="AG717" s="155" t="s">
        <v>147</v>
      </c>
      <c r="AH717" s="155">
        <v>4.2360443194521897</v>
      </c>
      <c r="AJ717" s="155" t="s">
        <v>52</v>
      </c>
      <c r="AK717" s="155" t="s">
        <v>20</v>
      </c>
      <c r="AL717" s="155" t="s">
        <v>28</v>
      </c>
      <c r="AM717" s="155" t="s">
        <v>51</v>
      </c>
      <c r="AN717" s="155" t="s">
        <v>147</v>
      </c>
      <c r="AO717" s="155">
        <v>1.4840452591736897</v>
      </c>
    </row>
    <row r="718" spans="29:41">
      <c r="AC718" s="155" t="s">
        <v>52</v>
      </c>
      <c r="AD718" s="155" t="s">
        <v>20</v>
      </c>
      <c r="AE718" s="155" t="s">
        <v>72</v>
      </c>
      <c r="AF718" s="155" t="s">
        <v>51</v>
      </c>
      <c r="AG718" s="155" t="s">
        <v>148</v>
      </c>
      <c r="AH718" s="155">
        <v>4.2360443194521897</v>
      </c>
      <c r="AJ718" s="155" t="s">
        <v>52</v>
      </c>
      <c r="AK718" s="155" t="s">
        <v>20</v>
      </c>
      <c r="AL718" s="155" t="s">
        <v>28</v>
      </c>
      <c r="AM718" s="155" t="s">
        <v>51</v>
      </c>
      <c r="AN718" s="155" t="s">
        <v>148</v>
      </c>
      <c r="AO718" s="155">
        <v>1.5425610731525299</v>
      </c>
    </row>
    <row r="719" spans="29:41">
      <c r="AC719" s="155" t="s">
        <v>52</v>
      </c>
      <c r="AD719" s="155" t="s">
        <v>20</v>
      </c>
      <c r="AE719" s="155" t="s">
        <v>72</v>
      </c>
      <c r="AF719" s="155" t="s">
        <v>51</v>
      </c>
      <c r="AG719" s="155" t="s">
        <v>149</v>
      </c>
      <c r="AH719" s="155">
        <v>4.1748311341021385</v>
      </c>
      <c r="AJ719" s="155" t="s">
        <v>52</v>
      </c>
      <c r="AK719" s="155" t="s">
        <v>20</v>
      </c>
      <c r="AL719" s="155" t="s">
        <v>28</v>
      </c>
      <c r="AM719" s="155" t="s">
        <v>51</v>
      </c>
      <c r="AN719" s="155" t="s">
        <v>149</v>
      </c>
      <c r="AO719" s="155">
        <v>1.4842097036588688</v>
      </c>
    </row>
    <row r="720" spans="29:41">
      <c r="AC720" s="155" t="s">
        <v>52</v>
      </c>
      <c r="AD720" s="155" t="s">
        <v>20</v>
      </c>
      <c r="AE720" s="155" t="s">
        <v>72</v>
      </c>
      <c r="AF720" s="155" t="s">
        <v>51</v>
      </c>
      <c r="AG720" s="155" t="s">
        <v>150</v>
      </c>
      <c r="AH720" s="155">
        <v>4.1135643018144359</v>
      </c>
      <c r="AJ720" s="155" t="s">
        <v>52</v>
      </c>
      <c r="AK720" s="155" t="s">
        <v>20</v>
      </c>
      <c r="AL720" s="155" t="s">
        <v>28</v>
      </c>
      <c r="AM720" s="155" t="s">
        <v>51</v>
      </c>
      <c r="AN720" s="155" t="s">
        <v>150</v>
      </c>
      <c r="AO720" s="155">
        <v>1.4525291405354961</v>
      </c>
    </row>
    <row r="721" spans="29:41">
      <c r="AC721" s="155" t="s">
        <v>52</v>
      </c>
      <c r="AD721" s="155" t="s">
        <v>20</v>
      </c>
      <c r="AE721" s="155" t="s">
        <v>72</v>
      </c>
      <c r="AF721" s="155" t="s">
        <v>51</v>
      </c>
      <c r="AG721" s="155" t="s">
        <v>151</v>
      </c>
      <c r="AH721" s="155">
        <v>4.1720767377573145</v>
      </c>
      <c r="AJ721" s="155" t="s">
        <v>52</v>
      </c>
      <c r="AK721" s="155" t="s">
        <v>20</v>
      </c>
      <c r="AL721" s="155" t="s">
        <v>28</v>
      </c>
      <c r="AM721" s="155" t="s">
        <v>51</v>
      </c>
      <c r="AN721" s="155" t="s">
        <v>151</v>
      </c>
      <c r="AO721" s="155">
        <v>1.5728109623670243</v>
      </c>
    </row>
    <row r="722" spans="29:41">
      <c r="AC722" s="155" t="s">
        <v>52</v>
      </c>
      <c r="AD722" s="155" t="s">
        <v>20</v>
      </c>
      <c r="AE722" s="155" t="s">
        <v>72</v>
      </c>
      <c r="AF722" s="155" t="s">
        <v>51</v>
      </c>
      <c r="AG722" s="155" t="s">
        <v>152</v>
      </c>
      <c r="AH722" s="155">
        <v>4.1720767377573145</v>
      </c>
      <c r="AJ722" s="155" t="s">
        <v>52</v>
      </c>
      <c r="AK722" s="155" t="s">
        <v>20</v>
      </c>
      <c r="AL722" s="155" t="s">
        <v>28</v>
      </c>
      <c r="AM722" s="155" t="s">
        <v>51</v>
      </c>
      <c r="AN722" s="155" t="s">
        <v>152</v>
      </c>
      <c r="AO722" s="155">
        <v>1.5207940697567046</v>
      </c>
    </row>
    <row r="723" spans="29:41">
      <c r="AC723" s="155" t="s">
        <v>52</v>
      </c>
      <c r="AD723" s="155" t="s">
        <v>20</v>
      </c>
      <c r="AE723" s="155" t="s">
        <v>72</v>
      </c>
      <c r="AF723" s="155" t="s">
        <v>51</v>
      </c>
      <c r="AG723" s="155" t="s">
        <v>153</v>
      </c>
      <c r="AH723" s="155">
        <v>4.0492683414237005</v>
      </c>
      <c r="AJ723" s="155" t="s">
        <v>52</v>
      </c>
      <c r="AK723" s="155" t="s">
        <v>20</v>
      </c>
      <c r="AL723" s="155" t="s">
        <v>28</v>
      </c>
      <c r="AM723" s="155" t="s">
        <v>51</v>
      </c>
      <c r="AN723" s="155" t="s">
        <v>153</v>
      </c>
      <c r="AO723" s="155">
        <v>1.4583799198878908</v>
      </c>
    </row>
    <row r="724" spans="29:41">
      <c r="AC724" s="155" t="s">
        <v>52</v>
      </c>
      <c r="AD724" s="155" t="s">
        <v>20</v>
      </c>
      <c r="AE724" s="155" t="s">
        <v>72</v>
      </c>
      <c r="AF724" s="155" t="s">
        <v>51</v>
      </c>
      <c r="AG724" s="155" t="s">
        <v>154</v>
      </c>
      <c r="AH724" s="155">
        <v>4.1135643018144359</v>
      </c>
      <c r="AJ724" s="155" t="s">
        <v>52</v>
      </c>
      <c r="AK724" s="155" t="s">
        <v>20</v>
      </c>
      <c r="AL724" s="155" t="s">
        <v>28</v>
      </c>
      <c r="AM724" s="155" t="s">
        <v>51</v>
      </c>
      <c r="AN724" s="155" t="s">
        <v>154</v>
      </c>
      <c r="AO724" s="155">
        <v>1.4796471980739163</v>
      </c>
    </row>
    <row r="725" spans="29:41">
      <c r="AC725" s="155" t="s">
        <v>52</v>
      </c>
      <c r="AD725" s="155" t="s">
        <v>20</v>
      </c>
      <c r="AE725" s="155" t="s">
        <v>72</v>
      </c>
      <c r="AF725" s="155" t="s">
        <v>51</v>
      </c>
      <c r="AG725" s="155" t="s">
        <v>155</v>
      </c>
      <c r="AH725" s="155">
        <v>4.1135643018144359</v>
      </c>
      <c r="AJ725" s="155" t="s">
        <v>52</v>
      </c>
      <c r="AK725" s="155" t="s">
        <v>20</v>
      </c>
      <c r="AL725" s="155" t="s">
        <v>28</v>
      </c>
      <c r="AM725" s="155" t="s">
        <v>51</v>
      </c>
      <c r="AN725" s="155" t="s">
        <v>155</v>
      </c>
      <c r="AO725" s="155">
        <v>1.4847818429359161</v>
      </c>
    </row>
    <row r="726" spans="29:41">
      <c r="AC726" s="155" t="s">
        <v>52</v>
      </c>
      <c r="AD726" s="155" t="s">
        <v>20</v>
      </c>
      <c r="AE726" s="155" t="s">
        <v>72</v>
      </c>
      <c r="AF726" s="155" t="s">
        <v>51</v>
      </c>
      <c r="AG726" s="155" t="s">
        <v>156</v>
      </c>
      <c r="AH726" s="155">
        <v>4.0672857326453746</v>
      </c>
      <c r="AJ726" s="155" t="s">
        <v>52</v>
      </c>
      <c r="AK726" s="155" t="s">
        <v>20</v>
      </c>
      <c r="AL726" s="155" t="s">
        <v>28</v>
      </c>
      <c r="AM726" s="155" t="s">
        <v>51</v>
      </c>
      <c r="AN726" s="155" t="s">
        <v>156</v>
      </c>
      <c r="AO726" s="155">
        <v>1.4469642209941846</v>
      </c>
    </row>
    <row r="727" spans="29:41">
      <c r="AC727" s="155" t="s">
        <v>52</v>
      </c>
      <c r="AD727" s="155" t="s">
        <v>20</v>
      </c>
      <c r="AE727" s="155" t="s">
        <v>72</v>
      </c>
      <c r="AF727" s="155" t="s">
        <v>51</v>
      </c>
      <c r="AG727" s="155" t="s">
        <v>157</v>
      </c>
      <c r="AH727" s="155">
        <v>4.1720767377573145</v>
      </c>
      <c r="AJ727" s="155" t="s">
        <v>52</v>
      </c>
      <c r="AK727" s="155" t="s">
        <v>20</v>
      </c>
      <c r="AL727" s="155" t="s">
        <v>28</v>
      </c>
      <c r="AM727" s="155" t="s">
        <v>51</v>
      </c>
      <c r="AN727" s="155" t="s">
        <v>157</v>
      </c>
      <c r="AO727" s="155">
        <v>1.5244184593292145</v>
      </c>
    </row>
    <row r="728" spans="29:41">
      <c r="AC728" s="155" t="s">
        <v>52</v>
      </c>
      <c r="AD728" s="155" t="s">
        <v>20</v>
      </c>
      <c r="AE728" s="155" t="s">
        <v>72</v>
      </c>
      <c r="AF728" s="155" t="s">
        <v>51</v>
      </c>
      <c r="AG728" s="155" t="s">
        <v>158</v>
      </c>
      <c r="AH728" s="155">
        <v>4.0672857326453746</v>
      </c>
      <c r="AJ728" s="155" t="s">
        <v>52</v>
      </c>
      <c r="AK728" s="155" t="s">
        <v>20</v>
      </c>
      <c r="AL728" s="155" t="s">
        <v>28</v>
      </c>
      <c r="AM728" s="155" t="s">
        <v>51</v>
      </c>
      <c r="AN728" s="155" t="s">
        <v>158</v>
      </c>
      <c r="AO728" s="155">
        <v>1.3998911701134642</v>
      </c>
    </row>
    <row r="729" spans="29:41">
      <c r="AC729" s="155" t="s">
        <v>52</v>
      </c>
      <c r="AD729" s="155" t="s">
        <v>20</v>
      </c>
      <c r="AE729" s="155" t="s">
        <v>72</v>
      </c>
      <c r="AF729" s="155" t="s">
        <v>51</v>
      </c>
      <c r="AG729" s="155" t="s">
        <v>159</v>
      </c>
      <c r="AH729" s="155">
        <v>4.0672857326453746</v>
      </c>
      <c r="AJ729" s="155" t="s">
        <v>52</v>
      </c>
      <c r="AK729" s="155" t="s">
        <v>20</v>
      </c>
      <c r="AL729" s="155" t="s">
        <v>28</v>
      </c>
      <c r="AM729" s="155" t="s">
        <v>51</v>
      </c>
      <c r="AN729" s="155" t="s">
        <v>159</v>
      </c>
      <c r="AO729" s="155">
        <v>1.4259452822284646</v>
      </c>
    </row>
    <row r="730" spans="29:41">
      <c r="AC730" s="155" t="s">
        <v>52</v>
      </c>
      <c r="AD730" s="155" t="s">
        <v>20</v>
      </c>
      <c r="AE730" s="155" t="s">
        <v>72</v>
      </c>
      <c r="AF730" s="155" t="s">
        <v>51</v>
      </c>
      <c r="AG730" s="155" t="s">
        <v>160</v>
      </c>
      <c r="AH730" s="155">
        <v>4.1106996097871527</v>
      </c>
      <c r="AJ730" s="155" t="s">
        <v>52</v>
      </c>
      <c r="AK730" s="155" t="s">
        <v>20</v>
      </c>
      <c r="AL730" s="155" t="s">
        <v>28</v>
      </c>
      <c r="AM730" s="155" t="s">
        <v>51</v>
      </c>
      <c r="AN730" s="155" t="s">
        <v>160</v>
      </c>
      <c r="AO730" s="155">
        <v>1.513840842525763</v>
      </c>
    </row>
    <row r="731" spans="29:41">
      <c r="AC731" s="155" t="s">
        <v>52</v>
      </c>
      <c r="AD731" s="155" t="s">
        <v>20</v>
      </c>
      <c r="AE731" s="155" t="s">
        <v>72</v>
      </c>
      <c r="AF731" s="155" t="s">
        <v>51</v>
      </c>
      <c r="AG731" s="155" t="s">
        <v>161</v>
      </c>
      <c r="AH731" s="155">
        <v>4.1720767377573145</v>
      </c>
      <c r="AJ731" s="155" t="s">
        <v>52</v>
      </c>
      <c r="AK731" s="155" t="s">
        <v>20</v>
      </c>
      <c r="AL731" s="155" t="s">
        <v>28</v>
      </c>
      <c r="AM731" s="155" t="s">
        <v>51</v>
      </c>
      <c r="AN731" s="155" t="s">
        <v>161</v>
      </c>
      <c r="AO731" s="155">
        <v>1.5873831531875244</v>
      </c>
    </row>
    <row r="732" spans="29:41">
      <c r="AC732" s="155" t="s">
        <v>52</v>
      </c>
      <c r="AD732" s="155" t="s">
        <v>20</v>
      </c>
      <c r="AE732" s="155" t="s">
        <v>72</v>
      </c>
      <c r="AF732" s="155" t="s">
        <v>51</v>
      </c>
      <c r="AG732" s="155" t="s">
        <v>162</v>
      </c>
      <c r="AH732" s="155">
        <v>4.1720767377573145</v>
      </c>
      <c r="AJ732" s="155" t="s">
        <v>52</v>
      </c>
      <c r="AK732" s="155" t="s">
        <v>20</v>
      </c>
      <c r="AL732" s="155" t="s">
        <v>28</v>
      </c>
      <c r="AM732" s="155" t="s">
        <v>51</v>
      </c>
      <c r="AN732" s="155" t="s">
        <v>162</v>
      </c>
      <c r="AO732" s="155">
        <v>1.5961737959585647</v>
      </c>
    </row>
    <row r="733" spans="29:41">
      <c r="AC733" s="155" t="s">
        <v>52</v>
      </c>
      <c r="AD733" s="155" t="s">
        <v>20</v>
      </c>
      <c r="AE733" s="155" t="s">
        <v>72</v>
      </c>
      <c r="AF733" s="155" t="s">
        <v>51</v>
      </c>
      <c r="AG733" s="155" t="s">
        <v>163</v>
      </c>
      <c r="AH733" s="155">
        <v>4.0672857326453746</v>
      </c>
      <c r="AJ733" s="155" t="s">
        <v>52</v>
      </c>
      <c r="AK733" s="155" t="s">
        <v>20</v>
      </c>
      <c r="AL733" s="155" t="s">
        <v>28</v>
      </c>
      <c r="AM733" s="155" t="s">
        <v>51</v>
      </c>
      <c r="AN733" s="155" t="s">
        <v>163</v>
      </c>
      <c r="AO733" s="155">
        <v>1.5001653121876044</v>
      </c>
    </row>
    <row r="734" spans="29:41">
      <c r="AC734" s="155" t="s">
        <v>52</v>
      </c>
      <c r="AD734" s="155" t="s">
        <v>20</v>
      </c>
      <c r="AE734" s="155" t="s">
        <v>72</v>
      </c>
      <c r="AF734" s="155" t="s">
        <v>51</v>
      </c>
      <c r="AG734" s="155" t="s">
        <v>164</v>
      </c>
      <c r="AH734" s="155">
        <v>4.1720767377573145</v>
      </c>
      <c r="AJ734" s="155" t="s">
        <v>52</v>
      </c>
      <c r="AK734" s="155" t="s">
        <v>20</v>
      </c>
      <c r="AL734" s="155" t="s">
        <v>28</v>
      </c>
      <c r="AM734" s="155" t="s">
        <v>51</v>
      </c>
      <c r="AN734" s="155" t="s">
        <v>164</v>
      </c>
      <c r="AO734" s="155">
        <v>1.5734875206870544</v>
      </c>
    </row>
    <row r="735" spans="29:41">
      <c r="AC735" s="155" t="s">
        <v>52</v>
      </c>
      <c r="AD735" s="155" t="s">
        <v>20</v>
      </c>
      <c r="AE735" s="155" t="s">
        <v>72</v>
      </c>
      <c r="AF735" s="155" t="s">
        <v>51</v>
      </c>
      <c r="AG735" s="155" t="s">
        <v>165</v>
      </c>
      <c r="AH735" s="155">
        <v>4.0672857326453746</v>
      </c>
      <c r="AJ735" s="155" t="s">
        <v>52</v>
      </c>
      <c r="AK735" s="155" t="s">
        <v>20</v>
      </c>
      <c r="AL735" s="155" t="s">
        <v>28</v>
      </c>
      <c r="AM735" s="155" t="s">
        <v>51</v>
      </c>
      <c r="AN735" s="155" t="s">
        <v>165</v>
      </c>
      <c r="AO735" s="155">
        <v>1.4447646525603046</v>
      </c>
    </row>
    <row r="736" spans="29:41">
      <c r="AC736" s="155" t="s">
        <v>52</v>
      </c>
      <c r="AD736" s="155" t="s">
        <v>20</v>
      </c>
      <c r="AE736" s="155" t="s">
        <v>72</v>
      </c>
      <c r="AF736" s="155" t="s">
        <v>51</v>
      </c>
      <c r="AG736" s="155" t="s">
        <v>166</v>
      </c>
      <c r="AH736" s="155">
        <v>4.1135643018144359</v>
      </c>
      <c r="AJ736" s="155" t="s">
        <v>52</v>
      </c>
      <c r="AK736" s="155" t="s">
        <v>20</v>
      </c>
      <c r="AL736" s="155" t="s">
        <v>28</v>
      </c>
      <c r="AM736" s="155" t="s">
        <v>51</v>
      </c>
      <c r="AN736" s="155" t="s">
        <v>166</v>
      </c>
      <c r="AO736" s="155">
        <v>1.438237888067706</v>
      </c>
    </row>
    <row r="737" spans="29:41">
      <c r="AC737" s="155" t="s">
        <v>52</v>
      </c>
      <c r="AD737" s="155" t="s">
        <v>20</v>
      </c>
      <c r="AE737" s="155" t="s">
        <v>72</v>
      </c>
      <c r="AF737" s="155" t="s">
        <v>51</v>
      </c>
      <c r="AG737" s="155" t="s">
        <v>167</v>
      </c>
      <c r="AH737" s="155">
        <v>4.1135643018144359</v>
      </c>
      <c r="AJ737" s="155" t="s">
        <v>52</v>
      </c>
      <c r="AK737" s="155" t="s">
        <v>20</v>
      </c>
      <c r="AL737" s="155" t="s">
        <v>28</v>
      </c>
      <c r="AM737" s="155" t="s">
        <v>51</v>
      </c>
      <c r="AN737" s="155" t="s">
        <v>167</v>
      </c>
      <c r="AO737" s="155">
        <v>1.4572767202850958</v>
      </c>
    </row>
    <row r="738" spans="29:41">
      <c r="AC738" s="155" t="s">
        <v>52</v>
      </c>
      <c r="AD738" s="155" t="s">
        <v>20</v>
      </c>
      <c r="AE738" s="155" t="s">
        <v>72</v>
      </c>
      <c r="AF738" s="155" t="s">
        <v>51</v>
      </c>
      <c r="AG738" s="155" t="s">
        <v>168</v>
      </c>
      <c r="AH738" s="155">
        <v>4.1135643018144359</v>
      </c>
      <c r="AJ738" s="155" t="s">
        <v>52</v>
      </c>
      <c r="AK738" s="155" t="s">
        <v>20</v>
      </c>
      <c r="AL738" s="155" t="s">
        <v>28</v>
      </c>
      <c r="AM738" s="155" t="s">
        <v>51</v>
      </c>
      <c r="AN738" s="155" t="s">
        <v>168</v>
      </c>
      <c r="AO738" s="155">
        <v>1.4840050840451962</v>
      </c>
    </row>
    <row r="739" spans="29:41">
      <c r="AC739" s="155" t="s">
        <v>52</v>
      </c>
      <c r="AD739" s="155" t="s">
        <v>20</v>
      </c>
      <c r="AE739" s="155" t="s">
        <v>72</v>
      </c>
      <c r="AF739" s="155" t="s">
        <v>51</v>
      </c>
      <c r="AG739" s="155" t="s">
        <v>169</v>
      </c>
      <c r="AH739" s="155">
        <v>4.1135643018144359</v>
      </c>
      <c r="AJ739" s="155" t="s">
        <v>52</v>
      </c>
      <c r="AK739" s="155" t="s">
        <v>20</v>
      </c>
      <c r="AL739" s="155" t="s">
        <v>28</v>
      </c>
      <c r="AM739" s="155" t="s">
        <v>51</v>
      </c>
      <c r="AN739" s="155" t="s">
        <v>169</v>
      </c>
      <c r="AO739" s="155">
        <v>1.4698304513957463</v>
      </c>
    </row>
    <row r="740" spans="29:41">
      <c r="AC740" s="155" t="s">
        <v>52</v>
      </c>
      <c r="AD740" s="155" t="s">
        <v>20</v>
      </c>
      <c r="AE740" s="155" t="s">
        <v>72</v>
      </c>
      <c r="AF740" s="155" t="s">
        <v>51</v>
      </c>
      <c r="AG740" s="155" t="s">
        <v>170</v>
      </c>
      <c r="AH740" s="155">
        <v>4.1748311341021385</v>
      </c>
      <c r="AJ740" s="155" t="s">
        <v>52</v>
      </c>
      <c r="AK740" s="155" t="s">
        <v>20</v>
      </c>
      <c r="AL740" s="155" t="s">
        <v>28</v>
      </c>
      <c r="AM740" s="155" t="s">
        <v>51</v>
      </c>
      <c r="AN740" s="155" t="s">
        <v>170</v>
      </c>
      <c r="AO740" s="155">
        <v>1.4756896794715886</v>
      </c>
    </row>
    <row r="741" spans="29:41">
      <c r="AC741" s="155" t="s">
        <v>52</v>
      </c>
      <c r="AD741" s="155" t="s">
        <v>20</v>
      </c>
      <c r="AE741" s="155" t="s">
        <v>72</v>
      </c>
      <c r="AF741" s="155" t="s">
        <v>51</v>
      </c>
      <c r="AG741" s="155" t="s">
        <v>171</v>
      </c>
      <c r="AH741" s="155">
        <v>4.1618039804499194</v>
      </c>
      <c r="AJ741" s="155" t="s">
        <v>52</v>
      </c>
      <c r="AK741" s="155" t="s">
        <v>20</v>
      </c>
      <c r="AL741" s="155" t="s">
        <v>28</v>
      </c>
      <c r="AM741" s="155" t="s">
        <v>51</v>
      </c>
      <c r="AN741" s="155" t="s">
        <v>171</v>
      </c>
      <c r="AO741" s="155">
        <v>1.4150581088925993</v>
      </c>
    </row>
    <row r="742" spans="29:41">
      <c r="AC742" s="155" t="s">
        <v>52</v>
      </c>
      <c r="AD742" s="155" t="s">
        <v>20</v>
      </c>
      <c r="AE742" s="155" t="s">
        <v>72</v>
      </c>
      <c r="AF742" s="155" t="s">
        <v>51</v>
      </c>
      <c r="AG742" s="155" t="s">
        <v>172</v>
      </c>
      <c r="AH742" s="155">
        <v>4.1305539804499194</v>
      </c>
      <c r="AJ742" s="155" t="s">
        <v>52</v>
      </c>
      <c r="AK742" s="155" t="s">
        <v>20</v>
      </c>
      <c r="AL742" s="155" t="s">
        <v>28</v>
      </c>
      <c r="AM742" s="155" t="s">
        <v>51</v>
      </c>
      <c r="AN742" s="155" t="s">
        <v>172</v>
      </c>
      <c r="AO742" s="155">
        <v>1.3825392574829694</v>
      </c>
    </row>
    <row r="743" spans="29:41">
      <c r="AC743" s="155" t="s">
        <v>52</v>
      </c>
      <c r="AD743" s="155" t="s">
        <v>20</v>
      </c>
      <c r="AE743" s="155" t="s">
        <v>72</v>
      </c>
      <c r="AF743" s="155" t="s">
        <v>51</v>
      </c>
      <c r="AG743" s="155" t="s">
        <v>173</v>
      </c>
      <c r="AH743" s="155">
        <v>4.1305539804499194</v>
      </c>
      <c r="AJ743" s="155" t="s">
        <v>52</v>
      </c>
      <c r="AK743" s="155" t="s">
        <v>20</v>
      </c>
      <c r="AL743" s="155" t="s">
        <v>28</v>
      </c>
      <c r="AM743" s="155" t="s">
        <v>51</v>
      </c>
      <c r="AN743" s="155" t="s">
        <v>173</v>
      </c>
      <c r="AO743" s="155">
        <v>1.324144073385759</v>
      </c>
    </row>
    <row r="744" spans="29:41">
      <c r="AC744" s="155" t="s">
        <v>52</v>
      </c>
      <c r="AD744" s="155" t="s">
        <v>20</v>
      </c>
      <c r="AE744" s="155" t="s">
        <v>72</v>
      </c>
      <c r="AF744" s="155" t="s">
        <v>51</v>
      </c>
      <c r="AG744" s="155" t="s">
        <v>174</v>
      </c>
      <c r="AH744" s="155">
        <v>4.1618039804499194</v>
      </c>
      <c r="AJ744" s="155" t="s">
        <v>52</v>
      </c>
      <c r="AK744" s="155" t="s">
        <v>20</v>
      </c>
      <c r="AL744" s="155" t="s">
        <v>28</v>
      </c>
      <c r="AM744" s="155" t="s">
        <v>51</v>
      </c>
      <c r="AN744" s="155" t="s">
        <v>174</v>
      </c>
      <c r="AO744" s="155">
        <v>1.3201279748352688</v>
      </c>
    </row>
    <row r="745" spans="29:41">
      <c r="AC745" s="155" t="s">
        <v>52</v>
      </c>
      <c r="AD745" s="155" t="s">
        <v>20</v>
      </c>
      <c r="AE745" s="155" t="s">
        <v>72</v>
      </c>
      <c r="AF745" s="155" t="s">
        <v>51</v>
      </c>
      <c r="AG745" s="155" t="s">
        <v>175</v>
      </c>
      <c r="AH745" s="155">
        <v>4.2392234701408622</v>
      </c>
      <c r="AJ745" s="155" t="s">
        <v>52</v>
      </c>
      <c r="AK745" s="155" t="s">
        <v>20</v>
      </c>
      <c r="AL745" s="155" t="s">
        <v>28</v>
      </c>
      <c r="AM745" s="155" t="s">
        <v>51</v>
      </c>
      <c r="AN745" s="155" t="s">
        <v>175</v>
      </c>
      <c r="AO745" s="155">
        <v>1.3635749947061719</v>
      </c>
    </row>
    <row r="746" spans="29:41">
      <c r="AC746" s="155" t="s">
        <v>52</v>
      </c>
      <c r="AD746" s="155" t="s">
        <v>20</v>
      </c>
      <c r="AE746" s="155" t="s">
        <v>72</v>
      </c>
      <c r="AF746" s="155" t="s">
        <v>51</v>
      </c>
      <c r="AG746" s="155" t="s">
        <v>176</v>
      </c>
      <c r="AH746" s="155">
        <v>4.3642403763055508</v>
      </c>
      <c r="AJ746" s="155" t="s">
        <v>52</v>
      </c>
      <c r="AK746" s="155" t="s">
        <v>20</v>
      </c>
      <c r="AL746" s="155" t="s">
        <v>28</v>
      </c>
      <c r="AM746" s="155" t="s">
        <v>51</v>
      </c>
      <c r="AN746" s="155" t="s">
        <v>176</v>
      </c>
      <c r="AO746" s="155">
        <v>1.4449351793489711</v>
      </c>
    </row>
    <row r="747" spans="29:41">
      <c r="AC747" s="155" t="s">
        <v>52</v>
      </c>
      <c r="AD747" s="155" t="s">
        <v>20</v>
      </c>
      <c r="AE747" s="155" t="s">
        <v>72</v>
      </c>
      <c r="AF747" s="155" t="s">
        <v>51</v>
      </c>
      <c r="AG747" s="155" t="s">
        <v>177</v>
      </c>
      <c r="AH747" s="155">
        <v>4.4251782413789309</v>
      </c>
      <c r="AJ747" s="155" t="s">
        <v>52</v>
      </c>
      <c r="AK747" s="155" t="s">
        <v>20</v>
      </c>
      <c r="AL747" s="155" t="s">
        <v>28</v>
      </c>
      <c r="AM747" s="155" t="s">
        <v>51</v>
      </c>
      <c r="AN747" s="155" t="s">
        <v>177</v>
      </c>
      <c r="AO747" s="155">
        <v>1.5634002733348114</v>
      </c>
    </row>
    <row r="748" spans="29:41">
      <c r="AC748" s="155" t="s">
        <v>52</v>
      </c>
      <c r="AD748" s="155" t="s">
        <v>20</v>
      </c>
      <c r="AE748" s="155" t="s">
        <v>72</v>
      </c>
      <c r="AF748" s="155" t="s">
        <v>51</v>
      </c>
      <c r="AG748" s="155" t="s">
        <v>178</v>
      </c>
      <c r="AH748" s="155">
        <v>4.1618039804499194</v>
      </c>
      <c r="AJ748" s="155" t="s">
        <v>52</v>
      </c>
      <c r="AK748" s="155" t="s">
        <v>20</v>
      </c>
      <c r="AL748" s="155" t="s">
        <v>28</v>
      </c>
      <c r="AM748" s="155" t="s">
        <v>51</v>
      </c>
      <c r="AN748" s="155" t="s">
        <v>178</v>
      </c>
      <c r="AO748" s="155">
        <v>1.3516962871966491</v>
      </c>
    </row>
    <row r="749" spans="29:41">
      <c r="AC749" s="155" t="s">
        <v>52</v>
      </c>
      <c r="AD749" s="155" t="s">
        <v>20</v>
      </c>
      <c r="AE749" s="155" t="s">
        <v>72</v>
      </c>
      <c r="AF749" s="155" t="s">
        <v>51</v>
      </c>
      <c r="AG749" s="155" t="s">
        <v>179</v>
      </c>
      <c r="AH749" s="155">
        <v>4.3642403763055508</v>
      </c>
      <c r="AJ749" s="155" t="s">
        <v>52</v>
      </c>
      <c r="AK749" s="155" t="s">
        <v>20</v>
      </c>
      <c r="AL749" s="155" t="s">
        <v>28</v>
      </c>
      <c r="AM749" s="155" t="s">
        <v>51</v>
      </c>
      <c r="AN749" s="155" t="s">
        <v>179</v>
      </c>
      <c r="AO749" s="155">
        <v>1.4442587858770715</v>
      </c>
    </row>
    <row r="750" spans="29:41">
      <c r="AC750" s="155" t="s">
        <v>52</v>
      </c>
      <c r="AD750" s="155" t="s">
        <v>20</v>
      </c>
      <c r="AE750" s="155" t="s">
        <v>72</v>
      </c>
      <c r="AF750" s="155" t="s">
        <v>51</v>
      </c>
      <c r="AG750" s="155" t="s">
        <v>180</v>
      </c>
      <c r="AH750" s="155">
        <v>4.2563244659487021</v>
      </c>
      <c r="AJ750" s="155" t="s">
        <v>52</v>
      </c>
      <c r="AK750" s="155" t="s">
        <v>20</v>
      </c>
      <c r="AL750" s="155" t="s">
        <v>28</v>
      </c>
      <c r="AM750" s="155" t="s">
        <v>51</v>
      </c>
      <c r="AN750" s="155" t="s">
        <v>180</v>
      </c>
      <c r="AO750" s="155">
        <v>1.3200347208363019</v>
      </c>
    </row>
    <row r="751" spans="29:41">
      <c r="AC751" s="155" t="s">
        <v>52</v>
      </c>
      <c r="AD751" s="155" t="s">
        <v>20</v>
      </c>
      <c r="AE751" s="155" t="s">
        <v>72</v>
      </c>
      <c r="AF751" s="155" t="s">
        <v>51</v>
      </c>
      <c r="AG751" s="155" t="s">
        <v>181</v>
      </c>
      <c r="AH751" s="155">
        <v>4.2875744659487021</v>
      </c>
      <c r="AJ751" s="155" t="s">
        <v>52</v>
      </c>
      <c r="AK751" s="155" t="s">
        <v>20</v>
      </c>
      <c r="AL751" s="155" t="s">
        <v>28</v>
      </c>
      <c r="AM751" s="155" t="s">
        <v>51</v>
      </c>
      <c r="AN751" s="155" t="s">
        <v>181</v>
      </c>
      <c r="AO751" s="155">
        <v>1.3289652006753823</v>
      </c>
    </row>
    <row r="752" spans="29:41">
      <c r="AC752" s="155" t="s">
        <v>52</v>
      </c>
      <c r="AD752" s="155" t="s">
        <v>20</v>
      </c>
      <c r="AE752" s="155" t="s">
        <v>72</v>
      </c>
      <c r="AF752" s="155" t="s">
        <v>51</v>
      </c>
      <c r="AG752" s="155" t="s">
        <v>182</v>
      </c>
      <c r="AH752" s="155">
        <v>4.2875744659487021</v>
      </c>
      <c r="AJ752" s="155" t="s">
        <v>52</v>
      </c>
      <c r="AK752" s="155" t="s">
        <v>20</v>
      </c>
      <c r="AL752" s="155" t="s">
        <v>28</v>
      </c>
      <c r="AM752" s="155" t="s">
        <v>51</v>
      </c>
      <c r="AN752" s="155" t="s">
        <v>182</v>
      </c>
      <c r="AO752" s="155">
        <v>1.3806839171553422</v>
      </c>
    </row>
    <row r="753" spans="29:41">
      <c r="AC753" s="155" t="s">
        <v>52</v>
      </c>
      <c r="AD753" s="155" t="s">
        <v>20</v>
      </c>
      <c r="AE753" s="155" t="s">
        <v>72</v>
      </c>
      <c r="AF753" s="155" t="s">
        <v>51</v>
      </c>
      <c r="AG753" s="155" t="s">
        <v>183</v>
      </c>
      <c r="AH753" s="155">
        <v>4.3002725972031506</v>
      </c>
      <c r="AJ753" s="155" t="s">
        <v>52</v>
      </c>
      <c r="AK753" s="155" t="s">
        <v>20</v>
      </c>
      <c r="AL753" s="155" t="s">
        <v>28</v>
      </c>
      <c r="AM753" s="155" t="s">
        <v>51</v>
      </c>
      <c r="AN753" s="155" t="s">
        <v>183</v>
      </c>
      <c r="AO753" s="155">
        <v>1.4739558981629202</v>
      </c>
    </row>
    <row r="754" spans="29:41">
      <c r="AC754" s="155" t="s">
        <v>52</v>
      </c>
      <c r="AD754" s="155" t="s">
        <v>20</v>
      </c>
      <c r="AE754" s="155" t="s">
        <v>72</v>
      </c>
      <c r="AF754" s="155" t="s">
        <v>51</v>
      </c>
      <c r="AG754" s="155" t="s">
        <v>184</v>
      </c>
      <c r="AH754" s="155">
        <v>4.2392234701408622</v>
      </c>
      <c r="AJ754" s="155" t="s">
        <v>52</v>
      </c>
      <c r="AK754" s="155" t="s">
        <v>20</v>
      </c>
      <c r="AL754" s="155" t="s">
        <v>28</v>
      </c>
      <c r="AM754" s="155" t="s">
        <v>51</v>
      </c>
      <c r="AN754" s="155" t="s">
        <v>184</v>
      </c>
      <c r="AO754" s="155">
        <v>1.3495435393462121</v>
      </c>
    </row>
    <row r="755" spans="29:41">
      <c r="AC755" s="155" t="s">
        <v>52</v>
      </c>
      <c r="AD755" s="155" t="s">
        <v>20</v>
      </c>
      <c r="AE755" s="155" t="s">
        <v>72</v>
      </c>
      <c r="AF755" s="155" t="s">
        <v>51</v>
      </c>
      <c r="AG755" s="155" t="s">
        <v>185</v>
      </c>
      <c r="AH755" s="155">
        <v>4.4251782413789309</v>
      </c>
      <c r="AJ755" s="155" t="s">
        <v>52</v>
      </c>
      <c r="AK755" s="155" t="s">
        <v>20</v>
      </c>
      <c r="AL755" s="155" t="s">
        <v>28</v>
      </c>
      <c r="AM755" s="155" t="s">
        <v>51</v>
      </c>
      <c r="AN755" s="155" t="s">
        <v>185</v>
      </c>
      <c r="AO755" s="155">
        <v>1.5037298860002415</v>
      </c>
    </row>
    <row r="756" spans="29:41">
      <c r="AC756" s="155" t="s">
        <v>52</v>
      </c>
      <c r="AD756" s="155" t="s">
        <v>20</v>
      </c>
      <c r="AE756" s="155" t="s">
        <v>72</v>
      </c>
      <c r="AF756" s="155" t="s">
        <v>51</v>
      </c>
      <c r="AG756" s="155" t="s">
        <v>186</v>
      </c>
      <c r="AH756" s="155">
        <v>4.4251782413789309</v>
      </c>
      <c r="AJ756" s="155" t="s">
        <v>52</v>
      </c>
      <c r="AK756" s="155" t="s">
        <v>20</v>
      </c>
      <c r="AL756" s="155" t="s">
        <v>28</v>
      </c>
      <c r="AM756" s="155" t="s">
        <v>51</v>
      </c>
      <c r="AN756" s="155" t="s">
        <v>186</v>
      </c>
      <c r="AO756" s="155">
        <v>1.5149159148678715</v>
      </c>
    </row>
    <row r="757" spans="29:41">
      <c r="AC757" s="155" t="s">
        <v>52</v>
      </c>
      <c r="AD757" s="155" t="s">
        <v>20</v>
      </c>
      <c r="AE757" s="155" t="s">
        <v>72</v>
      </c>
      <c r="AF757" s="155" t="s">
        <v>51</v>
      </c>
      <c r="AG757" s="155" t="s">
        <v>187</v>
      </c>
      <c r="AH757" s="155">
        <v>4.4251782413789309</v>
      </c>
      <c r="AJ757" s="155" t="s">
        <v>52</v>
      </c>
      <c r="AK757" s="155" t="s">
        <v>20</v>
      </c>
      <c r="AL757" s="155" t="s">
        <v>28</v>
      </c>
      <c r="AM757" s="155" t="s">
        <v>51</v>
      </c>
      <c r="AN757" s="155" t="s">
        <v>187</v>
      </c>
      <c r="AO757" s="155">
        <v>1.5652021977943211</v>
      </c>
    </row>
    <row r="758" spans="29:41">
      <c r="AC758" s="155" t="s">
        <v>52</v>
      </c>
      <c r="AD758" s="155" t="s">
        <v>20</v>
      </c>
      <c r="AE758" s="155" t="s">
        <v>72</v>
      </c>
      <c r="AF758" s="155" t="s">
        <v>51</v>
      </c>
      <c r="AG758" s="155" t="s">
        <v>188</v>
      </c>
      <c r="AH758" s="155">
        <v>4.3642403763055508</v>
      </c>
      <c r="AJ758" s="155" t="s">
        <v>52</v>
      </c>
      <c r="AK758" s="155" t="s">
        <v>20</v>
      </c>
      <c r="AL758" s="155" t="s">
        <v>28</v>
      </c>
      <c r="AM758" s="155" t="s">
        <v>51</v>
      </c>
      <c r="AN758" s="155" t="s">
        <v>188</v>
      </c>
      <c r="AO758" s="155">
        <v>1.4727193604751811</v>
      </c>
    </row>
    <row r="759" spans="29:41">
      <c r="AC759" s="155" t="s">
        <v>52</v>
      </c>
      <c r="AD759" s="155" t="s">
        <v>20</v>
      </c>
      <c r="AE759" s="155" t="s">
        <v>72</v>
      </c>
      <c r="AF759" s="155" t="s">
        <v>51</v>
      </c>
      <c r="AG759" s="155" t="s">
        <v>189</v>
      </c>
      <c r="AH759" s="155">
        <v>4.3642403763055508</v>
      </c>
      <c r="AJ759" s="155" t="s">
        <v>52</v>
      </c>
      <c r="AK759" s="155" t="s">
        <v>20</v>
      </c>
      <c r="AL759" s="155" t="s">
        <v>28</v>
      </c>
      <c r="AM759" s="155" t="s">
        <v>51</v>
      </c>
      <c r="AN759" s="155" t="s">
        <v>189</v>
      </c>
      <c r="AO759" s="155">
        <v>1.5141699376919713</v>
      </c>
    </row>
    <row r="760" spans="29:41">
      <c r="AC760" s="155" t="s">
        <v>52</v>
      </c>
      <c r="AD760" s="155" t="s">
        <v>20</v>
      </c>
      <c r="AE760" s="155" t="s">
        <v>72</v>
      </c>
      <c r="AF760" s="155" t="s">
        <v>51</v>
      </c>
      <c r="AG760" s="155" t="s">
        <v>190</v>
      </c>
      <c r="AH760" s="155">
        <v>4.3002725972031506</v>
      </c>
      <c r="AJ760" s="155" t="s">
        <v>52</v>
      </c>
      <c r="AK760" s="155" t="s">
        <v>20</v>
      </c>
      <c r="AL760" s="155" t="s">
        <v>28</v>
      </c>
      <c r="AM760" s="155" t="s">
        <v>51</v>
      </c>
      <c r="AN760" s="155" t="s">
        <v>190</v>
      </c>
      <c r="AO760" s="155">
        <v>1.4542060637102603</v>
      </c>
    </row>
    <row r="761" spans="29:41">
      <c r="AC761" s="155" t="s">
        <v>52</v>
      </c>
      <c r="AD761" s="155" t="s">
        <v>20</v>
      </c>
      <c r="AE761" s="155" t="s">
        <v>72</v>
      </c>
      <c r="AF761" s="155" t="s">
        <v>51</v>
      </c>
      <c r="AG761" s="155" t="s">
        <v>191</v>
      </c>
      <c r="AH761" s="155">
        <v>4.3002725972031506</v>
      </c>
      <c r="AJ761" s="155" t="s">
        <v>52</v>
      </c>
      <c r="AK761" s="155" t="s">
        <v>20</v>
      </c>
      <c r="AL761" s="155" t="s">
        <v>28</v>
      </c>
      <c r="AM761" s="155" t="s">
        <v>51</v>
      </c>
      <c r="AN761" s="155" t="s">
        <v>191</v>
      </c>
      <c r="AO761" s="155">
        <v>1.4589053819857103</v>
      </c>
    </row>
    <row r="762" spans="29:41">
      <c r="AC762" s="155" t="s">
        <v>52</v>
      </c>
      <c r="AD762" s="155" t="s">
        <v>20</v>
      </c>
      <c r="AE762" s="155" t="s">
        <v>72</v>
      </c>
      <c r="AF762" s="155" t="s">
        <v>51</v>
      </c>
      <c r="AG762" s="155" t="s">
        <v>192</v>
      </c>
      <c r="AH762" s="155">
        <v>4.2392234701408622</v>
      </c>
      <c r="AJ762" s="155" t="s">
        <v>52</v>
      </c>
      <c r="AK762" s="155" t="s">
        <v>20</v>
      </c>
      <c r="AL762" s="155" t="s">
        <v>28</v>
      </c>
      <c r="AM762" s="155" t="s">
        <v>51</v>
      </c>
      <c r="AN762" s="155" t="s">
        <v>192</v>
      </c>
      <c r="AO762" s="155">
        <v>1.4266645277043122</v>
      </c>
    </row>
    <row r="763" spans="29:41">
      <c r="AC763" s="155" t="s">
        <v>52</v>
      </c>
      <c r="AD763" s="155" t="s">
        <v>20</v>
      </c>
      <c r="AE763" s="155" t="s">
        <v>72</v>
      </c>
      <c r="AF763" s="155" t="s">
        <v>51</v>
      </c>
      <c r="AG763" s="155" t="s">
        <v>193</v>
      </c>
      <c r="AH763" s="155">
        <v>4.2875744659487021</v>
      </c>
      <c r="AJ763" s="155" t="s">
        <v>52</v>
      </c>
      <c r="AK763" s="155" t="s">
        <v>20</v>
      </c>
      <c r="AL763" s="155" t="s">
        <v>28</v>
      </c>
      <c r="AM763" s="155" t="s">
        <v>51</v>
      </c>
      <c r="AN763" s="155" t="s">
        <v>193</v>
      </c>
      <c r="AO763" s="155">
        <v>1.400266194428482</v>
      </c>
    </row>
    <row r="764" spans="29:41">
      <c r="AC764" s="155" t="s">
        <v>52</v>
      </c>
      <c r="AD764" s="155" t="s">
        <v>20</v>
      </c>
      <c r="AE764" s="155" t="s">
        <v>72</v>
      </c>
      <c r="AF764" s="155" t="s">
        <v>51</v>
      </c>
      <c r="AG764" s="155" t="s">
        <v>194</v>
      </c>
      <c r="AH764" s="155">
        <v>4.2875744659487021</v>
      </c>
      <c r="AJ764" s="155" t="s">
        <v>52</v>
      </c>
      <c r="AK764" s="155" t="s">
        <v>20</v>
      </c>
      <c r="AL764" s="155" t="s">
        <v>28</v>
      </c>
      <c r="AM764" s="155" t="s">
        <v>51</v>
      </c>
      <c r="AN764" s="155" t="s">
        <v>194</v>
      </c>
      <c r="AO764" s="155">
        <v>1.3263393385224218</v>
      </c>
    </row>
    <row r="765" spans="29:41">
      <c r="AC765" s="155" t="s">
        <v>52</v>
      </c>
      <c r="AD765" s="155" t="s">
        <v>20</v>
      </c>
      <c r="AE765" s="155" t="s">
        <v>72</v>
      </c>
      <c r="AF765" s="155" t="s">
        <v>51</v>
      </c>
      <c r="AG765" s="155" t="s">
        <v>195</v>
      </c>
      <c r="AH765" s="155">
        <v>4.4447222357449441</v>
      </c>
      <c r="AJ765" s="155" t="s">
        <v>52</v>
      </c>
      <c r="AK765" s="155" t="s">
        <v>20</v>
      </c>
      <c r="AL765" s="155" t="s">
        <v>28</v>
      </c>
      <c r="AM765" s="155" t="s">
        <v>51</v>
      </c>
      <c r="AN765" s="155" t="s">
        <v>195</v>
      </c>
      <c r="AO765" s="155">
        <v>1.370307804171194</v>
      </c>
    </row>
    <row r="766" spans="29:41">
      <c r="AC766" s="155" t="s">
        <v>52</v>
      </c>
      <c r="AD766" s="155" t="s">
        <v>20</v>
      </c>
      <c r="AE766" s="155" t="s">
        <v>72</v>
      </c>
      <c r="AF766" s="155" t="s">
        <v>51</v>
      </c>
      <c r="AG766" s="155" t="s">
        <v>196</v>
      </c>
      <c r="AH766" s="155">
        <v>4.5531147075387262</v>
      </c>
      <c r="AJ766" s="155" t="s">
        <v>52</v>
      </c>
      <c r="AK766" s="155" t="s">
        <v>20</v>
      </c>
      <c r="AL766" s="155" t="s">
        <v>28</v>
      </c>
      <c r="AM766" s="155" t="s">
        <v>51</v>
      </c>
      <c r="AN766" s="155" t="s">
        <v>196</v>
      </c>
      <c r="AO766" s="155">
        <v>1.527439843923726</v>
      </c>
    </row>
    <row r="767" spans="29:41">
      <c r="AC767" s="155" t="s">
        <v>52</v>
      </c>
      <c r="AD767" s="155" t="s">
        <v>20</v>
      </c>
      <c r="AE767" s="155" t="s">
        <v>72</v>
      </c>
      <c r="AF767" s="155" t="s">
        <v>51</v>
      </c>
      <c r="AG767" s="155" t="s">
        <v>197</v>
      </c>
      <c r="AH767" s="155">
        <v>4.5542256765749203</v>
      </c>
      <c r="AJ767" s="155" t="s">
        <v>52</v>
      </c>
      <c r="AK767" s="155" t="s">
        <v>20</v>
      </c>
      <c r="AL767" s="155" t="s">
        <v>28</v>
      </c>
      <c r="AM767" s="155" t="s">
        <v>51</v>
      </c>
      <c r="AN767" s="155" t="s">
        <v>197</v>
      </c>
      <c r="AO767" s="155">
        <v>1.4356867514630505</v>
      </c>
    </row>
    <row r="768" spans="29:41">
      <c r="AC768" s="155" t="s">
        <v>52</v>
      </c>
      <c r="AD768" s="155" t="s">
        <v>20</v>
      </c>
      <c r="AE768" s="155" t="s">
        <v>72</v>
      </c>
      <c r="AF768" s="155" t="s">
        <v>51</v>
      </c>
      <c r="AG768" s="155" t="s">
        <v>198</v>
      </c>
      <c r="AH768" s="155">
        <v>4.4906750935354101</v>
      </c>
      <c r="AJ768" s="155" t="s">
        <v>52</v>
      </c>
      <c r="AK768" s="155" t="s">
        <v>20</v>
      </c>
      <c r="AL768" s="155" t="s">
        <v>28</v>
      </c>
      <c r="AM768" s="155" t="s">
        <v>51</v>
      </c>
      <c r="AN768" s="155" t="s">
        <v>198</v>
      </c>
      <c r="AO768" s="155">
        <v>1.4054470219983302</v>
      </c>
    </row>
    <row r="769" spans="29:41">
      <c r="AC769" s="155" t="s">
        <v>52</v>
      </c>
      <c r="AD769" s="155" t="s">
        <v>20</v>
      </c>
      <c r="AE769" s="155" t="s">
        <v>72</v>
      </c>
      <c r="AF769" s="155" t="s">
        <v>51</v>
      </c>
      <c r="AG769" s="155" t="s">
        <v>199</v>
      </c>
      <c r="AH769" s="155">
        <v>4.4906750935354101</v>
      </c>
      <c r="AJ769" s="155" t="s">
        <v>52</v>
      </c>
      <c r="AK769" s="155" t="s">
        <v>20</v>
      </c>
      <c r="AL769" s="155" t="s">
        <v>28</v>
      </c>
      <c r="AM769" s="155" t="s">
        <v>51</v>
      </c>
      <c r="AN769" s="155" t="s">
        <v>199</v>
      </c>
      <c r="AO769" s="155">
        <v>1.3613755139107702</v>
      </c>
    </row>
    <row r="770" spans="29:41">
      <c r="AC770" s="155" t="s">
        <v>52</v>
      </c>
      <c r="AD770" s="155" t="s">
        <v>20</v>
      </c>
      <c r="AE770" s="155" t="s">
        <v>72</v>
      </c>
      <c r="AF770" s="155" t="s">
        <v>51</v>
      </c>
      <c r="AG770" s="155" t="s">
        <v>200</v>
      </c>
      <c r="AH770" s="155">
        <v>4.6782163696898609</v>
      </c>
      <c r="AJ770" s="155" t="s">
        <v>52</v>
      </c>
      <c r="AK770" s="155" t="s">
        <v>20</v>
      </c>
      <c r="AL770" s="155" t="s">
        <v>28</v>
      </c>
      <c r="AM770" s="155" t="s">
        <v>51</v>
      </c>
      <c r="AN770" s="155" t="s">
        <v>200</v>
      </c>
      <c r="AO770" s="155">
        <v>1.5008716936970208</v>
      </c>
    </row>
    <row r="771" spans="29:41">
      <c r="AC771" s="155" t="s">
        <v>52</v>
      </c>
      <c r="AD771" s="155" t="s">
        <v>20</v>
      </c>
      <c r="AE771" s="155" t="s">
        <v>72</v>
      </c>
      <c r="AF771" s="155" t="s">
        <v>51</v>
      </c>
      <c r="AG771" s="155" t="s">
        <v>201</v>
      </c>
      <c r="AH771" s="155">
        <v>4.4906750935354101</v>
      </c>
      <c r="AJ771" s="155" t="s">
        <v>52</v>
      </c>
      <c r="AK771" s="155" t="s">
        <v>20</v>
      </c>
      <c r="AL771" s="155" t="s">
        <v>28</v>
      </c>
      <c r="AM771" s="155" t="s">
        <v>51</v>
      </c>
      <c r="AN771" s="155" t="s">
        <v>201</v>
      </c>
      <c r="AO771" s="155">
        <v>1.4145597803303502</v>
      </c>
    </row>
    <row r="772" spans="29:41">
      <c r="AC772" s="155" t="s">
        <v>52</v>
      </c>
      <c r="AD772" s="155" t="s">
        <v>20</v>
      </c>
      <c r="AE772" s="155" t="s">
        <v>72</v>
      </c>
      <c r="AF772" s="155" t="s">
        <v>51</v>
      </c>
      <c r="AG772" s="155" t="s">
        <v>202</v>
      </c>
      <c r="AH772" s="155">
        <v>4.4906750935354101</v>
      </c>
      <c r="AJ772" s="155" t="s">
        <v>52</v>
      </c>
      <c r="AK772" s="155" t="s">
        <v>20</v>
      </c>
      <c r="AL772" s="155" t="s">
        <v>28</v>
      </c>
      <c r="AM772" s="155" t="s">
        <v>51</v>
      </c>
      <c r="AN772" s="155" t="s">
        <v>202</v>
      </c>
      <c r="AO772" s="155">
        <v>1.3987349655618504</v>
      </c>
    </row>
    <row r="773" spans="29:41">
      <c r="AC773" s="155" t="s">
        <v>52</v>
      </c>
      <c r="AD773" s="155" t="s">
        <v>20</v>
      </c>
      <c r="AE773" s="155" t="s">
        <v>72</v>
      </c>
      <c r="AF773" s="155" t="s">
        <v>51</v>
      </c>
      <c r="AG773" s="155" t="s">
        <v>203</v>
      </c>
      <c r="AH773" s="155">
        <v>4.4447222357449441</v>
      </c>
      <c r="AJ773" s="155" t="s">
        <v>52</v>
      </c>
      <c r="AK773" s="155" t="s">
        <v>20</v>
      </c>
      <c r="AL773" s="155" t="s">
        <v>28</v>
      </c>
      <c r="AM773" s="155" t="s">
        <v>51</v>
      </c>
      <c r="AN773" s="155" t="s">
        <v>203</v>
      </c>
      <c r="AO773" s="155">
        <v>1.3598737297946442</v>
      </c>
    </row>
    <row r="774" spans="29:41">
      <c r="AC774" s="155" t="s">
        <v>52</v>
      </c>
      <c r="AD774" s="155" t="s">
        <v>20</v>
      </c>
      <c r="AE774" s="155" t="s">
        <v>72</v>
      </c>
      <c r="AF774" s="155" t="s">
        <v>51</v>
      </c>
      <c r="AG774" s="155" t="s">
        <v>204</v>
      </c>
      <c r="AH774" s="155">
        <v>4.4447222357449441</v>
      </c>
      <c r="AJ774" s="155" t="s">
        <v>52</v>
      </c>
      <c r="AK774" s="155" t="s">
        <v>20</v>
      </c>
      <c r="AL774" s="155" t="s">
        <v>28</v>
      </c>
      <c r="AM774" s="155" t="s">
        <v>51</v>
      </c>
      <c r="AN774" s="155" t="s">
        <v>204</v>
      </c>
      <c r="AO774" s="155">
        <v>1.390981945488184</v>
      </c>
    </row>
    <row r="775" spans="29:41">
      <c r="AC775" s="155" t="s">
        <v>52</v>
      </c>
      <c r="AD775" s="155" t="s">
        <v>20</v>
      </c>
      <c r="AE775" s="155" t="s">
        <v>72</v>
      </c>
      <c r="AF775" s="155" t="s">
        <v>51</v>
      </c>
      <c r="AG775" s="155" t="s">
        <v>205</v>
      </c>
      <c r="AH775" s="155">
        <v>4.4447222357449441</v>
      </c>
      <c r="AJ775" s="155" t="s">
        <v>52</v>
      </c>
      <c r="AK775" s="155" t="s">
        <v>20</v>
      </c>
      <c r="AL775" s="155" t="s">
        <v>28</v>
      </c>
      <c r="AM775" s="155" t="s">
        <v>51</v>
      </c>
      <c r="AN775" s="155" t="s">
        <v>205</v>
      </c>
      <c r="AO775" s="155">
        <v>1.4125607115100141</v>
      </c>
    </row>
    <row r="776" spans="29:41">
      <c r="AC776" s="155" t="s">
        <v>52</v>
      </c>
      <c r="AD776" s="155" t="s">
        <v>20</v>
      </c>
      <c r="AE776" s="155" t="s">
        <v>72</v>
      </c>
      <c r="AF776" s="155" t="s">
        <v>51</v>
      </c>
      <c r="AG776" s="155" t="s">
        <v>206</v>
      </c>
      <c r="AH776" s="155">
        <v>4.5531147075387262</v>
      </c>
      <c r="AJ776" s="155" t="s">
        <v>52</v>
      </c>
      <c r="AK776" s="155" t="s">
        <v>20</v>
      </c>
      <c r="AL776" s="155" t="s">
        <v>28</v>
      </c>
      <c r="AM776" s="155" t="s">
        <v>51</v>
      </c>
      <c r="AN776" s="155" t="s">
        <v>206</v>
      </c>
      <c r="AO776" s="155">
        <v>1.5063127948155564</v>
      </c>
    </row>
    <row r="777" spans="29:41">
      <c r="AC777" s="155" t="s">
        <v>52</v>
      </c>
      <c r="AD777" s="155" t="s">
        <v>20</v>
      </c>
      <c r="AE777" s="155" t="s">
        <v>72</v>
      </c>
      <c r="AF777" s="155" t="s">
        <v>51</v>
      </c>
      <c r="AG777" s="155" t="s">
        <v>207</v>
      </c>
      <c r="AH777" s="155">
        <v>4.364885381659108</v>
      </c>
      <c r="AJ777" s="155" t="s">
        <v>52</v>
      </c>
      <c r="AK777" s="155" t="s">
        <v>20</v>
      </c>
      <c r="AL777" s="155" t="s">
        <v>28</v>
      </c>
      <c r="AM777" s="155" t="s">
        <v>51</v>
      </c>
      <c r="AN777" s="155" t="s">
        <v>207</v>
      </c>
      <c r="AO777" s="155">
        <v>1.3826679777673778</v>
      </c>
    </row>
    <row r="778" spans="29:41">
      <c r="AC778" s="155" t="s">
        <v>52</v>
      </c>
      <c r="AD778" s="155" t="s">
        <v>20</v>
      </c>
      <c r="AE778" s="155" t="s">
        <v>72</v>
      </c>
      <c r="AF778" s="155" t="s">
        <v>51</v>
      </c>
      <c r="AG778" s="155" t="s">
        <v>208</v>
      </c>
      <c r="AH778" s="155">
        <v>4.4894479147795909</v>
      </c>
      <c r="AJ778" s="155" t="s">
        <v>52</v>
      </c>
      <c r="AK778" s="155" t="s">
        <v>20</v>
      </c>
      <c r="AL778" s="155" t="s">
        <v>28</v>
      </c>
      <c r="AM778" s="155" t="s">
        <v>51</v>
      </c>
      <c r="AN778" s="155" t="s">
        <v>208</v>
      </c>
      <c r="AO778" s="155">
        <v>1.4132910260639806</v>
      </c>
    </row>
    <row r="779" spans="29:41">
      <c r="AC779" s="155" t="s">
        <v>52</v>
      </c>
      <c r="AD779" s="155" t="s">
        <v>20</v>
      </c>
      <c r="AE779" s="155" t="s">
        <v>72</v>
      </c>
      <c r="AF779" s="155" t="s">
        <v>51</v>
      </c>
      <c r="AG779" s="155" t="s">
        <v>209</v>
      </c>
      <c r="AH779" s="155">
        <v>4.5542256765749203</v>
      </c>
      <c r="AJ779" s="155" t="s">
        <v>52</v>
      </c>
      <c r="AK779" s="155" t="s">
        <v>20</v>
      </c>
      <c r="AL779" s="155" t="s">
        <v>28</v>
      </c>
      <c r="AM779" s="155" t="s">
        <v>51</v>
      </c>
      <c r="AN779" s="155" t="s">
        <v>209</v>
      </c>
      <c r="AO779" s="155">
        <v>1.4323211554950404</v>
      </c>
    </row>
    <row r="780" spans="29:41">
      <c r="AC780" s="155" t="s">
        <v>52</v>
      </c>
      <c r="AD780" s="155" t="s">
        <v>20</v>
      </c>
      <c r="AE780" s="155" t="s">
        <v>72</v>
      </c>
      <c r="AF780" s="155" t="s">
        <v>51</v>
      </c>
      <c r="AG780" s="155" t="s">
        <v>210</v>
      </c>
      <c r="AH780" s="155">
        <v>4.5542256765749203</v>
      </c>
      <c r="AJ780" s="155" t="s">
        <v>52</v>
      </c>
      <c r="AK780" s="155" t="s">
        <v>20</v>
      </c>
      <c r="AL780" s="155" t="s">
        <v>28</v>
      </c>
      <c r="AM780" s="155" t="s">
        <v>51</v>
      </c>
      <c r="AN780" s="155" t="s">
        <v>210</v>
      </c>
      <c r="AO780" s="155">
        <v>1.4629650661498101</v>
      </c>
    </row>
    <row r="781" spans="29:41">
      <c r="AC781" s="155" t="s">
        <v>52</v>
      </c>
      <c r="AD781" s="155" t="s">
        <v>20</v>
      </c>
      <c r="AE781" s="155" t="s">
        <v>72</v>
      </c>
      <c r="AF781" s="155" t="s">
        <v>51</v>
      </c>
      <c r="AG781" s="155" t="s">
        <v>211</v>
      </c>
      <c r="AH781" s="155">
        <v>4.5542256765749203</v>
      </c>
      <c r="AJ781" s="155" t="s">
        <v>52</v>
      </c>
      <c r="AK781" s="155" t="s">
        <v>20</v>
      </c>
      <c r="AL781" s="155" t="s">
        <v>28</v>
      </c>
      <c r="AM781" s="155" t="s">
        <v>51</v>
      </c>
      <c r="AN781" s="155" t="s">
        <v>211</v>
      </c>
      <c r="AO781" s="155">
        <v>1.4383333690203801</v>
      </c>
    </row>
    <row r="782" spans="29:41">
      <c r="AC782" s="155" t="s">
        <v>52</v>
      </c>
      <c r="AD782" s="155" t="s">
        <v>20</v>
      </c>
      <c r="AE782" s="155" t="s">
        <v>72</v>
      </c>
      <c r="AF782" s="155" t="s">
        <v>51</v>
      </c>
      <c r="AG782" s="155" t="s">
        <v>212</v>
      </c>
      <c r="AH782" s="155">
        <v>4.5079973351823694</v>
      </c>
      <c r="AJ782" s="155" t="s">
        <v>52</v>
      </c>
      <c r="AK782" s="155" t="s">
        <v>20</v>
      </c>
      <c r="AL782" s="155" t="s">
        <v>28</v>
      </c>
      <c r="AM782" s="155" t="s">
        <v>51</v>
      </c>
      <c r="AN782" s="155" t="s">
        <v>212</v>
      </c>
      <c r="AO782" s="155">
        <v>1.3057285407490189</v>
      </c>
    </row>
    <row r="783" spans="29:41">
      <c r="AC783" s="155" t="s">
        <v>52</v>
      </c>
      <c r="AD783" s="155" t="s">
        <v>20</v>
      </c>
      <c r="AE783" s="155" t="s">
        <v>72</v>
      </c>
      <c r="AF783" s="155" t="s">
        <v>51</v>
      </c>
      <c r="AG783" s="155" t="s">
        <v>213</v>
      </c>
      <c r="AH783" s="155">
        <v>4.6147854086055808</v>
      </c>
      <c r="AJ783" s="155" t="s">
        <v>52</v>
      </c>
      <c r="AK783" s="155" t="s">
        <v>20</v>
      </c>
      <c r="AL783" s="155" t="s">
        <v>28</v>
      </c>
      <c r="AM783" s="155" t="s">
        <v>51</v>
      </c>
      <c r="AN783" s="155" t="s">
        <v>213</v>
      </c>
      <c r="AO783" s="155">
        <v>1.5295984886372711</v>
      </c>
    </row>
    <row r="784" spans="29:41">
      <c r="AC784" s="155" t="s">
        <v>52</v>
      </c>
      <c r="AD784" s="155" t="s">
        <v>20</v>
      </c>
      <c r="AE784" s="155" t="s">
        <v>72</v>
      </c>
      <c r="AF784" s="155" t="s">
        <v>51</v>
      </c>
      <c r="AG784" s="155" t="s">
        <v>98</v>
      </c>
      <c r="AH784" s="155">
        <v>4.4906750935354101</v>
      </c>
      <c r="AJ784" s="155" t="s">
        <v>52</v>
      </c>
      <c r="AK784" s="155" t="s">
        <v>20</v>
      </c>
      <c r="AL784" s="155" t="s">
        <v>28</v>
      </c>
      <c r="AM784" s="155" t="s">
        <v>51</v>
      </c>
      <c r="AN784" s="155" t="s">
        <v>98</v>
      </c>
      <c r="AO784" s="155">
        <v>1.4173946502432502</v>
      </c>
    </row>
    <row r="785" spans="29:41">
      <c r="AC785" s="155" t="s">
        <v>52</v>
      </c>
      <c r="AD785" s="155" t="s">
        <v>20</v>
      </c>
      <c r="AE785" s="155" t="s">
        <v>72</v>
      </c>
      <c r="AF785" s="155" t="s">
        <v>51</v>
      </c>
      <c r="AG785" s="155" t="s">
        <v>96</v>
      </c>
      <c r="AH785" s="155">
        <v>4.6782163696898609</v>
      </c>
      <c r="AJ785" s="155" t="s">
        <v>52</v>
      </c>
      <c r="AK785" s="155" t="s">
        <v>20</v>
      </c>
      <c r="AL785" s="155" t="s">
        <v>28</v>
      </c>
      <c r="AM785" s="155" t="s">
        <v>51</v>
      </c>
      <c r="AN785" s="155" t="s">
        <v>96</v>
      </c>
      <c r="AO785" s="155">
        <v>1.5154511173273009</v>
      </c>
    </row>
    <row r="786" spans="29:41">
      <c r="AC786" s="155" t="s">
        <v>52</v>
      </c>
      <c r="AD786" s="155" t="s">
        <v>20</v>
      </c>
      <c r="AE786" s="155" t="s">
        <v>72</v>
      </c>
      <c r="AF786" s="155" t="s">
        <v>51</v>
      </c>
      <c r="AG786" s="155" t="s">
        <v>97</v>
      </c>
      <c r="AH786" s="155">
        <v>4.5542256765749203</v>
      </c>
      <c r="AJ786" s="155" t="s">
        <v>52</v>
      </c>
      <c r="AK786" s="155" t="s">
        <v>20</v>
      </c>
      <c r="AL786" s="155" t="s">
        <v>28</v>
      </c>
      <c r="AM786" s="155" t="s">
        <v>51</v>
      </c>
      <c r="AN786" s="155" t="s">
        <v>97</v>
      </c>
      <c r="AO786" s="155">
        <v>1.4212802787962304</v>
      </c>
    </row>
    <row r="787" spans="29:41">
      <c r="AC787" s="155" t="s">
        <v>52</v>
      </c>
      <c r="AD787" s="155" t="s">
        <v>20</v>
      </c>
      <c r="AE787" s="155" t="s">
        <v>72</v>
      </c>
      <c r="AF787" s="155" t="s">
        <v>51</v>
      </c>
      <c r="AG787" s="155" t="s">
        <v>101</v>
      </c>
      <c r="AH787" s="155">
        <v>4.5531147075387262</v>
      </c>
      <c r="AJ787" s="155" t="s">
        <v>52</v>
      </c>
      <c r="AK787" s="155" t="s">
        <v>20</v>
      </c>
      <c r="AL787" s="155" t="s">
        <v>28</v>
      </c>
      <c r="AM787" s="155" t="s">
        <v>51</v>
      </c>
      <c r="AN787" s="155" t="s">
        <v>101</v>
      </c>
      <c r="AO787" s="155">
        <v>1.5121519879522058</v>
      </c>
    </row>
    <row r="788" spans="29:41">
      <c r="AC788" s="155" t="s">
        <v>52</v>
      </c>
      <c r="AD788" s="155" t="s">
        <v>20</v>
      </c>
      <c r="AE788" s="155" t="s">
        <v>72</v>
      </c>
      <c r="AF788" s="155" t="s">
        <v>51</v>
      </c>
      <c r="AG788" s="155" t="s">
        <v>102</v>
      </c>
      <c r="AH788" s="155">
        <v>4.4894479147795909</v>
      </c>
      <c r="AJ788" s="155" t="s">
        <v>52</v>
      </c>
      <c r="AK788" s="155" t="s">
        <v>20</v>
      </c>
      <c r="AL788" s="155" t="s">
        <v>28</v>
      </c>
      <c r="AM788" s="155" t="s">
        <v>51</v>
      </c>
      <c r="AN788" s="155" t="s">
        <v>102</v>
      </c>
      <c r="AO788" s="155">
        <v>1.4795960028376309</v>
      </c>
    </row>
    <row r="789" spans="29:41">
      <c r="AC789" s="155" t="s">
        <v>52</v>
      </c>
      <c r="AD789" s="155" t="s">
        <v>20</v>
      </c>
      <c r="AE789" s="155" t="s">
        <v>72</v>
      </c>
      <c r="AF789" s="155" t="s">
        <v>51</v>
      </c>
      <c r="AG789" s="155" t="s">
        <v>103</v>
      </c>
      <c r="AH789" s="155">
        <v>4.5531147075387262</v>
      </c>
      <c r="AJ789" s="155" t="s">
        <v>52</v>
      </c>
      <c r="AK789" s="155" t="s">
        <v>20</v>
      </c>
      <c r="AL789" s="155" t="s">
        <v>28</v>
      </c>
      <c r="AM789" s="155" t="s">
        <v>51</v>
      </c>
      <c r="AN789" s="155" t="s">
        <v>103</v>
      </c>
      <c r="AO789" s="155">
        <v>1.573969311298766</v>
      </c>
    </row>
    <row r="790" spans="29:41">
      <c r="AC790" s="155" t="s">
        <v>52</v>
      </c>
      <c r="AD790" s="155" t="s">
        <v>20</v>
      </c>
      <c r="AE790" s="155" t="s">
        <v>72</v>
      </c>
      <c r="AF790" s="155" t="s">
        <v>51</v>
      </c>
      <c r="AG790" s="155" t="s">
        <v>104</v>
      </c>
      <c r="AH790" s="155">
        <v>4.4894479147795909</v>
      </c>
      <c r="AJ790" s="155" t="s">
        <v>52</v>
      </c>
      <c r="AK790" s="155" t="s">
        <v>20</v>
      </c>
      <c r="AL790" s="155" t="s">
        <v>28</v>
      </c>
      <c r="AM790" s="155" t="s">
        <v>51</v>
      </c>
      <c r="AN790" s="155" t="s">
        <v>104</v>
      </c>
      <c r="AO790" s="155">
        <v>1.4374551090588008</v>
      </c>
    </row>
    <row r="791" spans="29:41">
      <c r="AC791" s="155" t="s">
        <v>52</v>
      </c>
      <c r="AD791" s="155" t="s">
        <v>20</v>
      </c>
      <c r="AE791" s="155" t="s">
        <v>72</v>
      </c>
      <c r="AF791" s="155" t="s">
        <v>51</v>
      </c>
      <c r="AG791" s="155" t="s">
        <v>105</v>
      </c>
      <c r="AH791" s="155">
        <v>4.6147854086055808</v>
      </c>
      <c r="AJ791" s="155" t="s">
        <v>52</v>
      </c>
      <c r="AK791" s="155" t="s">
        <v>20</v>
      </c>
      <c r="AL791" s="155" t="s">
        <v>28</v>
      </c>
      <c r="AM791" s="155" t="s">
        <v>51</v>
      </c>
      <c r="AN791" s="155" t="s">
        <v>105</v>
      </c>
      <c r="AO791" s="155">
        <v>1.4678709119798614</v>
      </c>
    </row>
    <row r="792" spans="29:41">
      <c r="AC792" s="155" t="s">
        <v>52</v>
      </c>
      <c r="AD792" s="155" t="s">
        <v>20</v>
      </c>
      <c r="AE792" s="155" t="s">
        <v>72</v>
      </c>
      <c r="AF792" s="155" t="s">
        <v>51</v>
      </c>
      <c r="AG792" s="155" t="s">
        <v>106</v>
      </c>
      <c r="AH792" s="155">
        <v>4.5079973351823694</v>
      </c>
      <c r="AJ792" s="155" t="s">
        <v>52</v>
      </c>
      <c r="AK792" s="155" t="s">
        <v>20</v>
      </c>
      <c r="AL792" s="155" t="s">
        <v>28</v>
      </c>
      <c r="AM792" s="155" t="s">
        <v>51</v>
      </c>
      <c r="AN792" s="155" t="s">
        <v>106</v>
      </c>
      <c r="AO792" s="155">
        <v>1.3639171740492693</v>
      </c>
    </row>
    <row r="793" spans="29:41">
      <c r="AC793" s="155" t="s">
        <v>52</v>
      </c>
      <c r="AD793" s="155" t="s">
        <v>20</v>
      </c>
      <c r="AE793" s="155" t="s">
        <v>72</v>
      </c>
      <c r="AF793" s="155" t="s">
        <v>51</v>
      </c>
      <c r="AG793" s="155" t="s">
        <v>107</v>
      </c>
      <c r="AH793" s="155">
        <v>4.5542256765749203</v>
      </c>
      <c r="AJ793" s="155" t="s">
        <v>52</v>
      </c>
      <c r="AK793" s="155" t="s">
        <v>20</v>
      </c>
      <c r="AL793" s="155" t="s">
        <v>28</v>
      </c>
      <c r="AM793" s="155" t="s">
        <v>51</v>
      </c>
      <c r="AN793" s="155" t="s">
        <v>107</v>
      </c>
      <c r="AO793" s="155">
        <v>1.4461191235552002</v>
      </c>
    </row>
    <row r="794" spans="29:41">
      <c r="AC794" s="155" t="s">
        <v>52</v>
      </c>
      <c r="AD794" s="155" t="s">
        <v>20</v>
      </c>
      <c r="AE794" s="155" t="s">
        <v>72</v>
      </c>
      <c r="AF794" s="155" t="s">
        <v>51</v>
      </c>
      <c r="AG794" s="155" t="s">
        <v>108</v>
      </c>
      <c r="AH794" s="155">
        <v>4.4906750935354101</v>
      </c>
      <c r="AJ794" s="155" t="s">
        <v>52</v>
      </c>
      <c r="AK794" s="155" t="s">
        <v>20</v>
      </c>
      <c r="AL794" s="155" t="s">
        <v>28</v>
      </c>
      <c r="AM794" s="155" t="s">
        <v>51</v>
      </c>
      <c r="AN794" s="155" t="s">
        <v>108</v>
      </c>
      <c r="AO794" s="155">
        <v>1.4254869680587003</v>
      </c>
    </row>
    <row r="795" spans="29:41">
      <c r="AC795" s="155" t="s">
        <v>52</v>
      </c>
      <c r="AD795" s="155" t="s">
        <v>20</v>
      </c>
      <c r="AE795" s="155" t="s">
        <v>72</v>
      </c>
      <c r="AF795" s="155" t="s">
        <v>51</v>
      </c>
      <c r="AG795" s="155" t="s">
        <v>100</v>
      </c>
      <c r="AH795" s="155">
        <v>4.5542256765749203</v>
      </c>
      <c r="AJ795" s="155" t="s">
        <v>52</v>
      </c>
      <c r="AK795" s="155" t="s">
        <v>20</v>
      </c>
      <c r="AL795" s="155" t="s">
        <v>28</v>
      </c>
      <c r="AM795" s="155" t="s">
        <v>51</v>
      </c>
      <c r="AN795" s="155" t="s">
        <v>100</v>
      </c>
      <c r="AO795" s="155">
        <v>1.4899885813220202</v>
      </c>
    </row>
    <row r="796" spans="29:41">
      <c r="AC796" s="155" t="s">
        <v>52</v>
      </c>
      <c r="AD796" s="155" t="s">
        <v>20</v>
      </c>
      <c r="AE796" s="155" t="s">
        <v>72</v>
      </c>
      <c r="AF796" s="155" t="s">
        <v>51</v>
      </c>
      <c r="AG796" s="155" t="s">
        <v>109</v>
      </c>
      <c r="AH796" s="155">
        <v>4.4906750935354101</v>
      </c>
      <c r="AJ796" s="155" t="s">
        <v>52</v>
      </c>
      <c r="AK796" s="155" t="s">
        <v>20</v>
      </c>
      <c r="AL796" s="155" t="s">
        <v>28</v>
      </c>
      <c r="AM796" s="155" t="s">
        <v>51</v>
      </c>
      <c r="AN796" s="155" t="s">
        <v>109</v>
      </c>
      <c r="AO796" s="155">
        <v>1.4398101423461602</v>
      </c>
    </row>
    <row r="797" spans="29:41">
      <c r="AC797" s="155" t="s">
        <v>52</v>
      </c>
      <c r="AD797" s="155" t="s">
        <v>20</v>
      </c>
      <c r="AE797" s="155" t="s">
        <v>72</v>
      </c>
      <c r="AF797" s="155" t="s">
        <v>51</v>
      </c>
      <c r="AG797" s="155" t="s">
        <v>110</v>
      </c>
      <c r="AH797" s="155">
        <v>4.4906750935354101</v>
      </c>
      <c r="AJ797" s="155" t="s">
        <v>52</v>
      </c>
      <c r="AK797" s="155" t="s">
        <v>20</v>
      </c>
      <c r="AL797" s="155" t="s">
        <v>28</v>
      </c>
      <c r="AM797" s="155" t="s">
        <v>51</v>
      </c>
      <c r="AN797" s="155" t="s">
        <v>110</v>
      </c>
      <c r="AO797" s="155">
        <v>1.4204064910685703</v>
      </c>
    </row>
    <row r="798" spans="29:41">
      <c r="AC798" s="155" t="s">
        <v>52</v>
      </c>
      <c r="AD798" s="155" t="s">
        <v>20</v>
      </c>
      <c r="AE798" s="155" t="s">
        <v>72</v>
      </c>
      <c r="AF798" s="155" t="s">
        <v>51</v>
      </c>
      <c r="AG798" s="155" t="s">
        <v>111</v>
      </c>
      <c r="AH798" s="155">
        <v>4.5531147075387262</v>
      </c>
      <c r="AJ798" s="155" t="s">
        <v>52</v>
      </c>
      <c r="AK798" s="155" t="s">
        <v>20</v>
      </c>
      <c r="AL798" s="155" t="s">
        <v>28</v>
      </c>
      <c r="AM798" s="155" t="s">
        <v>51</v>
      </c>
      <c r="AN798" s="155" t="s">
        <v>111</v>
      </c>
      <c r="AO798" s="155">
        <v>1.5121161182470062</v>
      </c>
    </row>
    <row r="799" spans="29:41">
      <c r="AC799" s="155" t="s">
        <v>52</v>
      </c>
      <c r="AD799" s="155" t="s">
        <v>20</v>
      </c>
      <c r="AE799" s="155" t="s">
        <v>72</v>
      </c>
      <c r="AF799" s="155" t="s">
        <v>51</v>
      </c>
      <c r="AG799" s="155" t="s">
        <v>99</v>
      </c>
      <c r="AH799" s="155">
        <v>4.4894479147795909</v>
      </c>
      <c r="AJ799" s="155" t="s">
        <v>52</v>
      </c>
      <c r="AK799" s="155" t="s">
        <v>20</v>
      </c>
      <c r="AL799" s="155" t="s">
        <v>28</v>
      </c>
      <c r="AM799" s="155" t="s">
        <v>51</v>
      </c>
      <c r="AN799" s="155" t="s">
        <v>99</v>
      </c>
      <c r="AO799" s="155">
        <v>1.462175640413621</v>
      </c>
    </row>
    <row r="800" spans="29:41">
      <c r="AC800" s="155" t="s">
        <v>52</v>
      </c>
      <c r="AD800" s="155" t="s">
        <v>20</v>
      </c>
      <c r="AE800" s="155" t="s">
        <v>72</v>
      </c>
      <c r="AF800" s="155" t="s">
        <v>51</v>
      </c>
      <c r="AG800" s="155" t="s">
        <v>126</v>
      </c>
      <c r="AH800" s="155">
        <v>4.5531147075387262</v>
      </c>
      <c r="AJ800" s="155" t="s">
        <v>52</v>
      </c>
      <c r="AK800" s="155" t="s">
        <v>20</v>
      </c>
      <c r="AL800" s="155" t="s">
        <v>28</v>
      </c>
      <c r="AM800" s="155" t="s">
        <v>51</v>
      </c>
      <c r="AN800" s="155" t="s">
        <v>126</v>
      </c>
      <c r="AO800" s="155">
        <v>1.5515903486912459</v>
      </c>
    </row>
    <row r="801" spans="29:41">
      <c r="AC801" s="155" t="s">
        <v>52</v>
      </c>
      <c r="AD801" s="155" t="s">
        <v>20</v>
      </c>
      <c r="AE801" s="155" t="s">
        <v>72</v>
      </c>
      <c r="AF801" s="155" t="s">
        <v>51</v>
      </c>
      <c r="AG801" s="155" t="s">
        <v>124</v>
      </c>
      <c r="AH801" s="155">
        <v>4.4286731677951829</v>
      </c>
      <c r="AJ801" s="155" t="s">
        <v>52</v>
      </c>
      <c r="AK801" s="155" t="s">
        <v>20</v>
      </c>
      <c r="AL801" s="155" t="s">
        <v>28</v>
      </c>
      <c r="AM801" s="155" t="s">
        <v>51</v>
      </c>
      <c r="AN801" s="155" t="s">
        <v>124</v>
      </c>
      <c r="AO801" s="155">
        <v>1.4198657383793729</v>
      </c>
    </row>
    <row r="802" spans="29:41">
      <c r="AC802" s="155" t="s">
        <v>52</v>
      </c>
      <c r="AD802" s="155" t="s">
        <v>20</v>
      </c>
      <c r="AE802" s="155" t="s">
        <v>72</v>
      </c>
      <c r="AF802" s="155" t="s">
        <v>51</v>
      </c>
      <c r="AG802" s="155" t="s">
        <v>127</v>
      </c>
      <c r="AH802" s="155">
        <v>4.4286731677951829</v>
      </c>
      <c r="AJ802" s="155" t="s">
        <v>52</v>
      </c>
      <c r="AK802" s="155" t="s">
        <v>20</v>
      </c>
      <c r="AL802" s="155" t="s">
        <v>28</v>
      </c>
      <c r="AM802" s="155" t="s">
        <v>51</v>
      </c>
      <c r="AN802" s="155" t="s">
        <v>127</v>
      </c>
      <c r="AO802" s="155">
        <v>1.4517911864446933</v>
      </c>
    </row>
    <row r="803" spans="29:41">
      <c r="AC803" s="155" t="s">
        <v>52</v>
      </c>
      <c r="AD803" s="155" t="s">
        <v>20</v>
      </c>
      <c r="AE803" s="155" t="s">
        <v>72</v>
      </c>
      <c r="AF803" s="155" t="s">
        <v>51</v>
      </c>
      <c r="AG803" s="155" t="s">
        <v>128</v>
      </c>
      <c r="AH803" s="155">
        <v>4.4286731677951829</v>
      </c>
      <c r="AJ803" s="155" t="s">
        <v>52</v>
      </c>
      <c r="AK803" s="155" t="s">
        <v>20</v>
      </c>
      <c r="AL803" s="155" t="s">
        <v>28</v>
      </c>
      <c r="AM803" s="155" t="s">
        <v>51</v>
      </c>
      <c r="AN803" s="155" t="s">
        <v>128</v>
      </c>
      <c r="AO803" s="155">
        <v>1.4586457972250528</v>
      </c>
    </row>
    <row r="804" spans="29:41">
      <c r="AC804" s="155" t="s">
        <v>52</v>
      </c>
      <c r="AD804" s="155" t="s">
        <v>20</v>
      </c>
      <c r="AE804" s="155" t="s">
        <v>72</v>
      </c>
      <c r="AF804" s="155" t="s">
        <v>51</v>
      </c>
      <c r="AG804" s="155" t="s">
        <v>129</v>
      </c>
      <c r="AH804" s="155">
        <v>4.4894479147795909</v>
      </c>
      <c r="AJ804" s="155" t="s">
        <v>52</v>
      </c>
      <c r="AK804" s="155" t="s">
        <v>20</v>
      </c>
      <c r="AL804" s="155" t="s">
        <v>28</v>
      </c>
      <c r="AM804" s="155" t="s">
        <v>51</v>
      </c>
      <c r="AN804" s="155" t="s">
        <v>129</v>
      </c>
      <c r="AO804" s="155">
        <v>1.4942312268823306</v>
      </c>
    </row>
    <row r="805" spans="29:41">
      <c r="AC805" s="155" t="s">
        <v>52</v>
      </c>
      <c r="AD805" s="155" t="s">
        <v>20</v>
      </c>
      <c r="AE805" s="155" t="s">
        <v>72</v>
      </c>
      <c r="AF805" s="155" t="s">
        <v>51</v>
      </c>
      <c r="AG805" s="155" t="s">
        <v>123</v>
      </c>
      <c r="AH805" s="155">
        <v>4.4894479147795909</v>
      </c>
      <c r="AJ805" s="155" t="s">
        <v>52</v>
      </c>
      <c r="AK805" s="155" t="s">
        <v>20</v>
      </c>
      <c r="AL805" s="155" t="s">
        <v>28</v>
      </c>
      <c r="AM805" s="155" t="s">
        <v>51</v>
      </c>
      <c r="AN805" s="155" t="s">
        <v>123</v>
      </c>
      <c r="AO805" s="155">
        <v>1.4950023679760609</v>
      </c>
    </row>
    <row r="806" spans="29:41">
      <c r="AC806" s="155" t="s">
        <v>52</v>
      </c>
      <c r="AD806" s="155" t="s">
        <v>20</v>
      </c>
      <c r="AE806" s="155" t="s">
        <v>72</v>
      </c>
      <c r="AF806" s="155" t="s">
        <v>51</v>
      </c>
      <c r="AG806" s="155" t="s">
        <v>125</v>
      </c>
      <c r="AH806" s="155">
        <v>4.3188244659487021</v>
      </c>
      <c r="AJ806" s="155" t="s">
        <v>52</v>
      </c>
      <c r="AK806" s="155" t="s">
        <v>20</v>
      </c>
      <c r="AL806" s="155" t="s">
        <v>28</v>
      </c>
      <c r="AM806" s="155" t="s">
        <v>51</v>
      </c>
      <c r="AN806" s="155" t="s">
        <v>125</v>
      </c>
      <c r="AO806" s="155">
        <v>1.4033163399863324</v>
      </c>
    </row>
    <row r="807" spans="29:41">
      <c r="AC807" s="155" t="s">
        <v>52</v>
      </c>
      <c r="AD807" s="155" t="s">
        <v>20</v>
      </c>
      <c r="AE807" s="155" t="s">
        <v>72</v>
      </c>
      <c r="AF807" s="155" t="s">
        <v>51</v>
      </c>
      <c r="AG807" s="155" t="s">
        <v>215</v>
      </c>
      <c r="AH807" s="155">
        <v>4.2875744659487021</v>
      </c>
      <c r="AJ807" s="155" t="s">
        <v>52</v>
      </c>
      <c r="AK807" s="155" t="s">
        <v>20</v>
      </c>
      <c r="AL807" s="155" t="s">
        <v>28</v>
      </c>
      <c r="AM807" s="155" t="s">
        <v>51</v>
      </c>
      <c r="AN807" s="155" t="s">
        <v>215</v>
      </c>
      <c r="AO807" s="155">
        <v>1.4016155825874324</v>
      </c>
    </row>
    <row r="808" spans="29:41">
      <c r="AC808" s="155" t="s">
        <v>52</v>
      </c>
      <c r="AD808" s="155" t="s">
        <v>20</v>
      </c>
      <c r="AE808" s="155" t="s">
        <v>72</v>
      </c>
      <c r="AF808" s="155" t="s">
        <v>51</v>
      </c>
      <c r="AG808" s="155" t="s">
        <v>219</v>
      </c>
      <c r="AH808" s="155">
        <v>4.364885381659108</v>
      </c>
      <c r="AJ808" s="155" t="s">
        <v>52</v>
      </c>
      <c r="AK808" s="155" t="s">
        <v>20</v>
      </c>
      <c r="AL808" s="155" t="s">
        <v>28</v>
      </c>
      <c r="AM808" s="155" t="s">
        <v>51</v>
      </c>
      <c r="AN808" s="155" t="s">
        <v>219</v>
      </c>
      <c r="AO808" s="155">
        <v>1.4056286699863183</v>
      </c>
    </row>
    <row r="809" spans="29:41">
      <c r="AC809" s="155" t="s">
        <v>52</v>
      </c>
      <c r="AD809" s="155" t="s">
        <v>20</v>
      </c>
      <c r="AE809" s="155" t="s">
        <v>72</v>
      </c>
      <c r="AF809" s="155" t="s">
        <v>51</v>
      </c>
      <c r="AG809" s="155" t="s">
        <v>220</v>
      </c>
      <c r="AH809" s="155">
        <v>4.4894479147795909</v>
      </c>
      <c r="AJ809" s="155" t="s">
        <v>52</v>
      </c>
      <c r="AK809" s="155" t="s">
        <v>20</v>
      </c>
      <c r="AL809" s="155" t="s">
        <v>28</v>
      </c>
      <c r="AM809" s="155" t="s">
        <v>51</v>
      </c>
      <c r="AN809" s="155" t="s">
        <v>220</v>
      </c>
      <c r="AO809" s="155">
        <v>1.4805364302990909</v>
      </c>
    </row>
    <row r="810" spans="29:41">
      <c r="AC810" s="155" t="s">
        <v>52</v>
      </c>
      <c r="AD810" s="155" t="s">
        <v>20</v>
      </c>
      <c r="AE810" s="155" t="s">
        <v>72</v>
      </c>
      <c r="AF810" s="155" t="s">
        <v>51</v>
      </c>
      <c r="AG810" s="155" t="s">
        <v>221</v>
      </c>
      <c r="AH810" s="155">
        <v>4.4286731677951829</v>
      </c>
      <c r="AJ810" s="155" t="s">
        <v>52</v>
      </c>
      <c r="AK810" s="155" t="s">
        <v>20</v>
      </c>
      <c r="AL810" s="155" t="s">
        <v>28</v>
      </c>
      <c r="AM810" s="155" t="s">
        <v>51</v>
      </c>
      <c r="AN810" s="155" t="s">
        <v>221</v>
      </c>
      <c r="AO810" s="155">
        <v>1.4567083178149431</v>
      </c>
    </row>
    <row r="811" spans="29:41">
      <c r="AC811" s="155" t="s">
        <v>52</v>
      </c>
      <c r="AD811" s="155" t="s">
        <v>20</v>
      </c>
      <c r="AE811" s="155" t="s">
        <v>72</v>
      </c>
      <c r="AF811" s="155" t="s">
        <v>51</v>
      </c>
      <c r="AG811" s="155" t="s">
        <v>222</v>
      </c>
      <c r="AH811" s="155">
        <v>4.364885381659108</v>
      </c>
      <c r="AJ811" s="155" t="s">
        <v>52</v>
      </c>
      <c r="AK811" s="155" t="s">
        <v>20</v>
      </c>
      <c r="AL811" s="155" t="s">
        <v>28</v>
      </c>
      <c r="AM811" s="155" t="s">
        <v>51</v>
      </c>
      <c r="AN811" s="155" t="s">
        <v>222</v>
      </c>
      <c r="AO811" s="155">
        <v>1.441383478409648</v>
      </c>
    </row>
    <row r="812" spans="29:41">
      <c r="AC812" s="155" t="s">
        <v>52</v>
      </c>
      <c r="AD812" s="155" t="s">
        <v>20</v>
      </c>
      <c r="AE812" s="155" t="s">
        <v>72</v>
      </c>
      <c r="AF812" s="155" t="s">
        <v>51</v>
      </c>
      <c r="AG812" s="155" t="s">
        <v>223</v>
      </c>
      <c r="AH812" s="155">
        <v>4.364885381659108</v>
      </c>
      <c r="AJ812" s="155" t="s">
        <v>52</v>
      </c>
      <c r="AK812" s="155" t="s">
        <v>20</v>
      </c>
      <c r="AL812" s="155" t="s">
        <v>28</v>
      </c>
      <c r="AM812" s="155" t="s">
        <v>51</v>
      </c>
      <c r="AN812" s="155" t="s">
        <v>223</v>
      </c>
      <c r="AO812" s="155">
        <v>1.3895850110481982</v>
      </c>
    </row>
    <row r="813" spans="29:41">
      <c r="AC813" s="155" t="s">
        <v>52</v>
      </c>
      <c r="AD813" s="155" t="s">
        <v>20</v>
      </c>
      <c r="AE813" s="155" t="s">
        <v>72</v>
      </c>
      <c r="AF813" s="155" t="s">
        <v>51</v>
      </c>
      <c r="AG813" s="155" t="s">
        <v>224</v>
      </c>
      <c r="AH813" s="155">
        <v>4.2875744659487021</v>
      </c>
      <c r="AJ813" s="155" t="s">
        <v>52</v>
      </c>
      <c r="AK813" s="155" t="s">
        <v>20</v>
      </c>
      <c r="AL813" s="155" t="s">
        <v>28</v>
      </c>
      <c r="AM813" s="155" t="s">
        <v>51</v>
      </c>
      <c r="AN813" s="155" t="s">
        <v>224</v>
      </c>
      <c r="AO813" s="155">
        <v>1.3981226867371421</v>
      </c>
    </row>
    <row r="814" spans="29:41">
      <c r="AC814" s="155" t="s">
        <v>52</v>
      </c>
      <c r="AD814" s="155" t="s">
        <v>20</v>
      </c>
      <c r="AE814" s="155" t="s">
        <v>72</v>
      </c>
      <c r="AF814" s="155" t="s">
        <v>51</v>
      </c>
      <c r="AG814" s="155" t="s">
        <v>225</v>
      </c>
      <c r="AH814" s="155">
        <v>4.3642403763055508</v>
      </c>
      <c r="AJ814" s="155" t="s">
        <v>52</v>
      </c>
      <c r="AK814" s="155" t="s">
        <v>20</v>
      </c>
      <c r="AL814" s="155" t="s">
        <v>28</v>
      </c>
      <c r="AM814" s="155" t="s">
        <v>51</v>
      </c>
      <c r="AN814" s="155" t="s">
        <v>225</v>
      </c>
      <c r="AO814" s="155">
        <v>1.4778971278957311</v>
      </c>
    </row>
    <row r="815" spans="29:41">
      <c r="AC815" s="155" t="s">
        <v>52</v>
      </c>
      <c r="AD815" s="155" t="s">
        <v>20</v>
      </c>
      <c r="AE815" s="155" t="s">
        <v>72</v>
      </c>
      <c r="AF815" s="155" t="s">
        <v>51</v>
      </c>
      <c r="AG815" s="155" t="s">
        <v>226</v>
      </c>
      <c r="AH815" s="155">
        <v>4.2875744659487021</v>
      </c>
      <c r="AJ815" s="155" t="s">
        <v>52</v>
      </c>
      <c r="AK815" s="155" t="s">
        <v>20</v>
      </c>
      <c r="AL815" s="155" t="s">
        <v>28</v>
      </c>
      <c r="AM815" s="155" t="s">
        <v>51</v>
      </c>
      <c r="AN815" s="155" t="s">
        <v>226</v>
      </c>
      <c r="AO815" s="155">
        <v>1.3460257990512421</v>
      </c>
    </row>
    <row r="816" spans="29:41">
      <c r="AC816" s="155" t="s">
        <v>52</v>
      </c>
      <c r="AD816" s="155" t="s">
        <v>20</v>
      </c>
      <c r="AE816" s="155" t="s">
        <v>72</v>
      </c>
      <c r="AF816" s="155" t="s">
        <v>51</v>
      </c>
      <c r="AG816" s="155" t="s">
        <v>227</v>
      </c>
      <c r="AH816" s="155">
        <v>4.3188244659487021</v>
      </c>
      <c r="AJ816" s="155" t="s">
        <v>52</v>
      </c>
      <c r="AK816" s="155" t="s">
        <v>20</v>
      </c>
      <c r="AL816" s="155" t="s">
        <v>28</v>
      </c>
      <c r="AM816" s="155" t="s">
        <v>51</v>
      </c>
      <c r="AN816" s="155" t="s">
        <v>227</v>
      </c>
      <c r="AO816" s="155">
        <v>1.3565411181534319</v>
      </c>
    </row>
    <row r="817" spans="29:41">
      <c r="AC817" s="155" t="s">
        <v>52</v>
      </c>
      <c r="AD817" s="155" t="s">
        <v>20</v>
      </c>
      <c r="AE817" s="155" t="s">
        <v>72</v>
      </c>
      <c r="AF817" s="155" t="s">
        <v>51</v>
      </c>
      <c r="AG817" s="155" t="s">
        <v>228</v>
      </c>
      <c r="AH817" s="155">
        <v>4.2875744659487021</v>
      </c>
      <c r="AJ817" s="155" t="s">
        <v>52</v>
      </c>
      <c r="AK817" s="155" t="s">
        <v>20</v>
      </c>
      <c r="AL817" s="155" t="s">
        <v>28</v>
      </c>
      <c r="AM817" s="155" t="s">
        <v>51</v>
      </c>
      <c r="AN817" s="155" t="s">
        <v>228</v>
      </c>
      <c r="AO817" s="155">
        <v>1.351830933694802</v>
      </c>
    </row>
    <row r="818" spans="29:41">
      <c r="AC818" s="155" t="s">
        <v>52</v>
      </c>
      <c r="AD818" s="155" t="s">
        <v>20</v>
      </c>
      <c r="AE818" s="155" t="s">
        <v>72</v>
      </c>
      <c r="AF818" s="155" t="s">
        <v>51</v>
      </c>
      <c r="AG818" s="155" t="s">
        <v>229</v>
      </c>
      <c r="AH818" s="155">
        <v>4.364885381659108</v>
      </c>
      <c r="AJ818" s="155" t="s">
        <v>52</v>
      </c>
      <c r="AK818" s="155" t="s">
        <v>20</v>
      </c>
      <c r="AL818" s="155" t="s">
        <v>28</v>
      </c>
      <c r="AM818" s="155" t="s">
        <v>51</v>
      </c>
      <c r="AN818" s="155" t="s">
        <v>229</v>
      </c>
      <c r="AO818" s="155">
        <v>1.4052270890855181</v>
      </c>
    </row>
    <row r="819" spans="29:41">
      <c r="AC819" s="155" t="s">
        <v>52</v>
      </c>
      <c r="AD819" s="155" t="s">
        <v>20</v>
      </c>
      <c r="AE819" s="155" t="s">
        <v>72</v>
      </c>
      <c r="AF819" s="155" t="s">
        <v>51</v>
      </c>
      <c r="AG819" s="155" t="s">
        <v>230</v>
      </c>
      <c r="AH819" s="155">
        <v>4.2875744659487021</v>
      </c>
      <c r="AJ819" s="155" t="s">
        <v>52</v>
      </c>
      <c r="AK819" s="155" t="s">
        <v>20</v>
      </c>
      <c r="AL819" s="155" t="s">
        <v>28</v>
      </c>
      <c r="AM819" s="155" t="s">
        <v>51</v>
      </c>
      <c r="AN819" s="155" t="s">
        <v>230</v>
      </c>
      <c r="AO819" s="155">
        <v>1.3976890901272823</v>
      </c>
    </row>
    <row r="820" spans="29:41">
      <c r="AC820" s="155" t="s">
        <v>52</v>
      </c>
      <c r="AD820" s="155" t="s">
        <v>20</v>
      </c>
      <c r="AE820" s="155" t="s">
        <v>72</v>
      </c>
      <c r="AF820" s="155" t="s">
        <v>51</v>
      </c>
      <c r="AG820" s="155" t="s">
        <v>217</v>
      </c>
      <c r="AH820" s="155">
        <v>4.3642403763055508</v>
      </c>
      <c r="AJ820" s="155" t="s">
        <v>52</v>
      </c>
      <c r="AK820" s="155" t="s">
        <v>20</v>
      </c>
      <c r="AL820" s="155" t="s">
        <v>28</v>
      </c>
      <c r="AM820" s="155" t="s">
        <v>51</v>
      </c>
      <c r="AN820" s="155" t="s">
        <v>217</v>
      </c>
      <c r="AO820" s="155">
        <v>1.5043729966804611</v>
      </c>
    </row>
    <row r="821" spans="29:41">
      <c r="AC821" s="155" t="s">
        <v>52</v>
      </c>
      <c r="AD821" s="155" t="s">
        <v>20</v>
      </c>
      <c r="AE821" s="155" t="s">
        <v>72</v>
      </c>
      <c r="AF821" s="155" t="s">
        <v>51</v>
      </c>
      <c r="AG821" s="155" t="s">
        <v>231</v>
      </c>
      <c r="AH821" s="155">
        <v>4.3642403763055508</v>
      </c>
      <c r="AJ821" s="155" t="s">
        <v>52</v>
      </c>
      <c r="AK821" s="155" t="s">
        <v>20</v>
      </c>
      <c r="AL821" s="155" t="s">
        <v>28</v>
      </c>
      <c r="AM821" s="155" t="s">
        <v>51</v>
      </c>
      <c r="AN821" s="155" t="s">
        <v>231</v>
      </c>
      <c r="AO821" s="155">
        <v>1.5297599875391414</v>
      </c>
    </row>
    <row r="822" spans="29:41">
      <c r="AC822" s="155" t="s">
        <v>52</v>
      </c>
      <c r="AD822" s="155" t="s">
        <v>20</v>
      </c>
      <c r="AE822" s="155" t="s">
        <v>72</v>
      </c>
      <c r="AF822" s="155" t="s">
        <v>51</v>
      </c>
      <c r="AG822" s="155" t="s">
        <v>232</v>
      </c>
      <c r="AH822" s="155">
        <v>4.1618039804499194</v>
      </c>
      <c r="AJ822" s="155" t="s">
        <v>52</v>
      </c>
      <c r="AK822" s="155" t="s">
        <v>20</v>
      </c>
      <c r="AL822" s="155" t="s">
        <v>28</v>
      </c>
      <c r="AM822" s="155" t="s">
        <v>51</v>
      </c>
      <c r="AN822" s="155" t="s">
        <v>232</v>
      </c>
      <c r="AO822" s="155">
        <v>1.3717604693952692</v>
      </c>
    </row>
    <row r="823" spans="29:41">
      <c r="AC823" s="155" t="s">
        <v>52</v>
      </c>
      <c r="AD823" s="155" t="s">
        <v>20</v>
      </c>
      <c r="AE823" s="155" t="s">
        <v>72</v>
      </c>
      <c r="AF823" s="155" t="s">
        <v>51</v>
      </c>
      <c r="AG823" s="155" t="s">
        <v>233</v>
      </c>
      <c r="AH823" s="155">
        <v>4.4251782413789309</v>
      </c>
      <c r="AJ823" s="155" t="s">
        <v>52</v>
      </c>
      <c r="AK823" s="155" t="s">
        <v>20</v>
      </c>
      <c r="AL823" s="155" t="s">
        <v>28</v>
      </c>
      <c r="AM823" s="155" t="s">
        <v>51</v>
      </c>
      <c r="AN823" s="155" t="s">
        <v>233</v>
      </c>
      <c r="AO823" s="155">
        <v>1.5171013702174112</v>
      </c>
    </row>
    <row r="824" spans="29:41">
      <c r="AC824" s="155" t="s">
        <v>52</v>
      </c>
      <c r="AD824" s="155" t="s">
        <v>20</v>
      </c>
      <c r="AE824" s="155" t="s">
        <v>72</v>
      </c>
      <c r="AF824" s="155" t="s">
        <v>51</v>
      </c>
      <c r="AG824" s="155" t="s">
        <v>216</v>
      </c>
      <c r="AH824" s="155">
        <v>4.2875744659487021</v>
      </c>
      <c r="AJ824" s="155" t="s">
        <v>52</v>
      </c>
      <c r="AK824" s="155" t="s">
        <v>20</v>
      </c>
      <c r="AL824" s="155" t="s">
        <v>28</v>
      </c>
      <c r="AM824" s="155" t="s">
        <v>51</v>
      </c>
      <c r="AN824" s="155" t="s">
        <v>216</v>
      </c>
      <c r="AO824" s="155">
        <v>1.3757802198014319</v>
      </c>
    </row>
    <row r="825" spans="29:41">
      <c r="AC825" s="155" t="s">
        <v>52</v>
      </c>
      <c r="AD825" s="155" t="s">
        <v>20</v>
      </c>
      <c r="AE825" s="155" t="s">
        <v>72</v>
      </c>
      <c r="AF825" s="155" t="s">
        <v>51</v>
      </c>
      <c r="AG825" s="155" t="s">
        <v>218</v>
      </c>
      <c r="AH825" s="155">
        <v>4.3188244659487021</v>
      </c>
      <c r="AJ825" s="155" t="s">
        <v>52</v>
      </c>
      <c r="AK825" s="155" t="s">
        <v>20</v>
      </c>
      <c r="AL825" s="155" t="s">
        <v>28</v>
      </c>
      <c r="AM825" s="155" t="s">
        <v>51</v>
      </c>
      <c r="AN825" s="155" t="s">
        <v>218</v>
      </c>
      <c r="AO825" s="155">
        <v>1.4102787347731622</v>
      </c>
    </row>
    <row r="826" spans="29:41">
      <c r="AC826" s="155" t="s">
        <v>52</v>
      </c>
      <c r="AD826" s="155" t="s">
        <v>20</v>
      </c>
      <c r="AE826" s="155" t="s">
        <v>72</v>
      </c>
      <c r="AF826" s="155" t="s">
        <v>51</v>
      </c>
      <c r="AG826" s="155" t="s">
        <v>238</v>
      </c>
      <c r="AH826" s="155">
        <v>4.3642403763055508</v>
      </c>
      <c r="AJ826" s="155" t="s">
        <v>52</v>
      </c>
      <c r="AK826" s="155" t="s">
        <v>20</v>
      </c>
      <c r="AL826" s="155" t="s">
        <v>28</v>
      </c>
      <c r="AM826" s="155" t="s">
        <v>51</v>
      </c>
      <c r="AN826" s="155" t="s">
        <v>238</v>
      </c>
      <c r="AO826" s="155">
        <v>1.4511589473493207</v>
      </c>
    </row>
    <row r="827" spans="29:41">
      <c r="AC827" s="155" t="s">
        <v>52</v>
      </c>
      <c r="AD827" s="155" t="s">
        <v>20</v>
      </c>
      <c r="AE827" s="155" t="s">
        <v>72</v>
      </c>
      <c r="AF827" s="155" t="s">
        <v>51</v>
      </c>
      <c r="AG827" s="155" t="s">
        <v>239</v>
      </c>
      <c r="AH827" s="155">
        <v>4.4251782413789309</v>
      </c>
      <c r="AJ827" s="155" t="s">
        <v>52</v>
      </c>
      <c r="AK827" s="155" t="s">
        <v>20</v>
      </c>
      <c r="AL827" s="155" t="s">
        <v>28</v>
      </c>
      <c r="AM827" s="155" t="s">
        <v>51</v>
      </c>
      <c r="AN827" s="155" t="s">
        <v>239</v>
      </c>
      <c r="AO827" s="155">
        <v>1.4907312011448612</v>
      </c>
    </row>
    <row r="828" spans="29:41">
      <c r="AC828" s="155" t="s">
        <v>52</v>
      </c>
      <c r="AD828" s="155" t="s">
        <v>20</v>
      </c>
      <c r="AE828" s="155" t="s">
        <v>72</v>
      </c>
      <c r="AF828" s="155" t="s">
        <v>51</v>
      </c>
      <c r="AG828" s="155" t="s">
        <v>240</v>
      </c>
      <c r="AH828" s="155">
        <v>4.4251782413789309</v>
      </c>
      <c r="AJ828" s="155" t="s">
        <v>52</v>
      </c>
      <c r="AK828" s="155" t="s">
        <v>20</v>
      </c>
      <c r="AL828" s="155" t="s">
        <v>28</v>
      </c>
      <c r="AM828" s="155" t="s">
        <v>51</v>
      </c>
      <c r="AN828" s="155" t="s">
        <v>240</v>
      </c>
      <c r="AO828" s="155">
        <v>1.5154982750943613</v>
      </c>
    </row>
    <row r="829" spans="29:41">
      <c r="AC829" s="155" t="s">
        <v>52</v>
      </c>
      <c r="AD829" s="155" t="s">
        <v>20</v>
      </c>
      <c r="AE829" s="155" t="s">
        <v>72</v>
      </c>
      <c r="AF829" s="155" t="s">
        <v>51</v>
      </c>
      <c r="AG829" s="155" t="s">
        <v>241</v>
      </c>
      <c r="AH829" s="155">
        <v>4.2875744659487021</v>
      </c>
      <c r="AJ829" s="155" t="s">
        <v>52</v>
      </c>
      <c r="AK829" s="155" t="s">
        <v>20</v>
      </c>
      <c r="AL829" s="155" t="s">
        <v>28</v>
      </c>
      <c r="AM829" s="155" t="s">
        <v>51</v>
      </c>
      <c r="AN829" s="155" t="s">
        <v>241</v>
      </c>
      <c r="AO829" s="155">
        <v>1.3516813213576622</v>
      </c>
    </row>
    <row r="830" spans="29:41">
      <c r="AC830" s="155" t="s">
        <v>52</v>
      </c>
      <c r="AD830" s="155" t="s">
        <v>20</v>
      </c>
      <c r="AE830" s="155" t="s">
        <v>72</v>
      </c>
      <c r="AF830" s="155" t="s">
        <v>51</v>
      </c>
      <c r="AG830" s="155" t="s">
        <v>242</v>
      </c>
      <c r="AH830" s="155">
        <v>4.4251782413789309</v>
      </c>
      <c r="AJ830" s="155" t="s">
        <v>52</v>
      </c>
      <c r="AK830" s="155" t="s">
        <v>20</v>
      </c>
      <c r="AL830" s="155" t="s">
        <v>28</v>
      </c>
      <c r="AM830" s="155" t="s">
        <v>51</v>
      </c>
      <c r="AN830" s="155" t="s">
        <v>242</v>
      </c>
      <c r="AO830" s="155">
        <v>1.5201888175991212</v>
      </c>
    </row>
    <row r="831" spans="29:41">
      <c r="AC831" s="155" t="s">
        <v>52</v>
      </c>
      <c r="AD831" s="155" t="s">
        <v>20</v>
      </c>
      <c r="AE831" s="155" t="s">
        <v>72</v>
      </c>
      <c r="AF831" s="155" t="s">
        <v>51</v>
      </c>
      <c r="AG831" s="155" t="s">
        <v>243</v>
      </c>
      <c r="AH831" s="155">
        <v>4.3642403763055508</v>
      </c>
      <c r="AJ831" s="155" t="s">
        <v>52</v>
      </c>
      <c r="AK831" s="155" t="s">
        <v>20</v>
      </c>
      <c r="AL831" s="155" t="s">
        <v>28</v>
      </c>
      <c r="AM831" s="155" t="s">
        <v>51</v>
      </c>
      <c r="AN831" s="155" t="s">
        <v>243</v>
      </c>
      <c r="AO831" s="155">
        <v>1.4854659490145212</v>
      </c>
    </row>
    <row r="832" spans="29:41">
      <c r="AC832" s="155" t="s">
        <v>52</v>
      </c>
      <c r="AD832" s="155" t="s">
        <v>20</v>
      </c>
      <c r="AE832" s="155" t="s">
        <v>72</v>
      </c>
      <c r="AF832" s="155" t="s">
        <v>51</v>
      </c>
      <c r="AG832" s="155" t="s">
        <v>244</v>
      </c>
      <c r="AH832" s="155">
        <v>4.2875744659487021</v>
      </c>
      <c r="AJ832" s="155" t="s">
        <v>52</v>
      </c>
      <c r="AK832" s="155" t="s">
        <v>20</v>
      </c>
      <c r="AL832" s="155" t="s">
        <v>28</v>
      </c>
      <c r="AM832" s="155" t="s">
        <v>51</v>
      </c>
      <c r="AN832" s="155" t="s">
        <v>244</v>
      </c>
      <c r="AO832" s="155">
        <v>1.3690117432802222</v>
      </c>
    </row>
    <row r="833" spans="29:41">
      <c r="AC833" s="155" t="s">
        <v>52</v>
      </c>
      <c r="AD833" s="155" t="s">
        <v>20</v>
      </c>
      <c r="AE833" s="155" t="s">
        <v>72</v>
      </c>
      <c r="AF833" s="155" t="s">
        <v>51</v>
      </c>
      <c r="AG833" s="155" t="s">
        <v>245</v>
      </c>
      <c r="AH833" s="155">
        <v>4.4251782413789309</v>
      </c>
      <c r="AJ833" s="155" t="s">
        <v>52</v>
      </c>
      <c r="AK833" s="155" t="s">
        <v>20</v>
      </c>
      <c r="AL833" s="155" t="s">
        <v>28</v>
      </c>
      <c r="AM833" s="155" t="s">
        <v>51</v>
      </c>
      <c r="AN833" s="155" t="s">
        <v>245</v>
      </c>
      <c r="AO833" s="155">
        <v>1.522426889275861</v>
      </c>
    </row>
    <row r="834" spans="29:41">
      <c r="AC834" s="155" t="s">
        <v>52</v>
      </c>
      <c r="AD834" s="155" t="s">
        <v>20</v>
      </c>
      <c r="AE834" s="155" t="s">
        <v>72</v>
      </c>
      <c r="AF834" s="155" t="s">
        <v>51</v>
      </c>
      <c r="AG834" s="155" t="s">
        <v>246</v>
      </c>
      <c r="AH834" s="155">
        <v>4.3642403763055508</v>
      </c>
      <c r="AJ834" s="155" t="s">
        <v>52</v>
      </c>
      <c r="AK834" s="155" t="s">
        <v>20</v>
      </c>
      <c r="AL834" s="155" t="s">
        <v>28</v>
      </c>
      <c r="AM834" s="155" t="s">
        <v>51</v>
      </c>
      <c r="AN834" s="155" t="s">
        <v>246</v>
      </c>
      <c r="AO834" s="155">
        <v>1.4315173871574711</v>
      </c>
    </row>
    <row r="835" spans="29:41">
      <c r="AC835" s="155" t="s">
        <v>52</v>
      </c>
      <c r="AD835" s="155" t="s">
        <v>20</v>
      </c>
      <c r="AE835" s="155" t="s">
        <v>72</v>
      </c>
      <c r="AF835" s="155" t="s">
        <v>51</v>
      </c>
      <c r="AG835" s="155" t="s">
        <v>247</v>
      </c>
      <c r="AH835" s="155">
        <v>4.3002725972031506</v>
      </c>
      <c r="AJ835" s="155" t="s">
        <v>52</v>
      </c>
      <c r="AK835" s="155" t="s">
        <v>20</v>
      </c>
      <c r="AL835" s="155" t="s">
        <v>28</v>
      </c>
      <c r="AM835" s="155" t="s">
        <v>51</v>
      </c>
      <c r="AN835" s="155" t="s">
        <v>247</v>
      </c>
      <c r="AO835" s="155">
        <v>1.3848080142488199</v>
      </c>
    </row>
    <row r="836" spans="29:41">
      <c r="AC836" s="155" t="s">
        <v>52</v>
      </c>
      <c r="AD836" s="155" t="s">
        <v>20</v>
      </c>
      <c r="AE836" s="155" t="s">
        <v>72</v>
      </c>
      <c r="AF836" s="155" t="s">
        <v>51</v>
      </c>
      <c r="AG836" s="155" t="s">
        <v>248</v>
      </c>
      <c r="AH836" s="155">
        <v>4.3002725972031506</v>
      </c>
      <c r="AJ836" s="155" t="s">
        <v>52</v>
      </c>
      <c r="AK836" s="155" t="s">
        <v>20</v>
      </c>
      <c r="AL836" s="155" t="s">
        <v>28</v>
      </c>
      <c r="AM836" s="155" t="s">
        <v>51</v>
      </c>
      <c r="AN836" s="155" t="s">
        <v>248</v>
      </c>
      <c r="AO836" s="155">
        <v>1.3922675298857004</v>
      </c>
    </row>
    <row r="837" spans="29:41">
      <c r="AC837" s="155" t="s">
        <v>52</v>
      </c>
      <c r="AD837" s="155" t="s">
        <v>20</v>
      </c>
      <c r="AE837" s="155" t="s">
        <v>72</v>
      </c>
      <c r="AF837" s="155" t="s">
        <v>51</v>
      </c>
      <c r="AG837" s="155" t="s">
        <v>249</v>
      </c>
      <c r="AH837" s="155">
        <v>4.3188244659487021</v>
      </c>
      <c r="AJ837" s="155" t="s">
        <v>52</v>
      </c>
      <c r="AK837" s="155" t="s">
        <v>20</v>
      </c>
      <c r="AL837" s="155" t="s">
        <v>28</v>
      </c>
      <c r="AM837" s="155" t="s">
        <v>51</v>
      </c>
      <c r="AN837" s="155" t="s">
        <v>249</v>
      </c>
      <c r="AO837" s="155">
        <v>1.3276135540973319</v>
      </c>
    </row>
    <row r="838" spans="29:41">
      <c r="AC838" s="155" t="s">
        <v>52</v>
      </c>
      <c r="AD838" s="155" t="s">
        <v>20</v>
      </c>
      <c r="AE838" s="155" t="s">
        <v>72</v>
      </c>
      <c r="AF838" s="155" t="s">
        <v>51</v>
      </c>
      <c r="AG838" s="155" t="s">
        <v>250</v>
      </c>
      <c r="AH838" s="155">
        <v>4.3188244659487021</v>
      </c>
      <c r="AJ838" s="155" t="s">
        <v>52</v>
      </c>
      <c r="AK838" s="155" t="s">
        <v>20</v>
      </c>
      <c r="AL838" s="155" t="s">
        <v>28</v>
      </c>
      <c r="AM838" s="155" t="s">
        <v>51</v>
      </c>
      <c r="AN838" s="155" t="s">
        <v>250</v>
      </c>
      <c r="AO838" s="155">
        <v>1.3261623047904219</v>
      </c>
    </row>
    <row r="839" spans="29:41">
      <c r="AC839" s="155" t="s">
        <v>52</v>
      </c>
      <c r="AD839" s="155" t="s">
        <v>20</v>
      </c>
      <c r="AE839" s="155" t="s">
        <v>72</v>
      </c>
      <c r="AF839" s="155" t="s">
        <v>51</v>
      </c>
      <c r="AG839" s="155" t="s">
        <v>251</v>
      </c>
      <c r="AH839" s="155">
        <v>4.3188244659487021</v>
      </c>
      <c r="AJ839" s="155" t="s">
        <v>52</v>
      </c>
      <c r="AK839" s="155" t="s">
        <v>20</v>
      </c>
      <c r="AL839" s="155" t="s">
        <v>28</v>
      </c>
      <c r="AM839" s="155" t="s">
        <v>51</v>
      </c>
      <c r="AN839" s="155" t="s">
        <v>251</v>
      </c>
      <c r="AO839" s="155">
        <v>1.4242045267284322</v>
      </c>
    </row>
    <row r="840" spans="29:41">
      <c r="AC840" s="155" t="s">
        <v>52</v>
      </c>
      <c r="AD840" s="155" t="s">
        <v>20</v>
      </c>
      <c r="AE840" s="155" t="s">
        <v>72</v>
      </c>
      <c r="AF840" s="155" t="s">
        <v>51</v>
      </c>
      <c r="AG840" s="155" t="s">
        <v>252</v>
      </c>
      <c r="AH840" s="155">
        <v>4.1618039804499194</v>
      </c>
      <c r="AJ840" s="155" t="s">
        <v>52</v>
      </c>
      <c r="AK840" s="155" t="s">
        <v>20</v>
      </c>
      <c r="AL840" s="155" t="s">
        <v>28</v>
      </c>
      <c r="AM840" s="155" t="s">
        <v>51</v>
      </c>
      <c r="AN840" s="155" t="s">
        <v>252</v>
      </c>
      <c r="AO840" s="155">
        <v>1.3255157785773992</v>
      </c>
    </row>
    <row r="841" spans="29:41">
      <c r="AC841" s="155" t="s">
        <v>52</v>
      </c>
      <c r="AD841" s="155" t="s">
        <v>20</v>
      </c>
      <c r="AE841" s="155" t="s">
        <v>72</v>
      </c>
      <c r="AF841" s="155" t="s">
        <v>51</v>
      </c>
      <c r="AG841" s="155" t="s">
        <v>253</v>
      </c>
      <c r="AH841" s="155">
        <v>4.1930539804499194</v>
      </c>
      <c r="AJ841" s="155" t="s">
        <v>52</v>
      </c>
      <c r="AK841" s="155" t="s">
        <v>20</v>
      </c>
      <c r="AL841" s="155" t="s">
        <v>28</v>
      </c>
      <c r="AM841" s="155" t="s">
        <v>51</v>
      </c>
      <c r="AN841" s="155" t="s">
        <v>253</v>
      </c>
      <c r="AO841" s="155">
        <v>1.2781892203516392</v>
      </c>
    </row>
    <row r="842" spans="29:41">
      <c r="AC842" s="155" t="s">
        <v>52</v>
      </c>
      <c r="AD842" s="155" t="s">
        <v>20</v>
      </c>
      <c r="AE842" s="155" t="s">
        <v>72</v>
      </c>
      <c r="AF842" s="155" t="s">
        <v>51</v>
      </c>
      <c r="AG842" s="155" t="s">
        <v>254</v>
      </c>
      <c r="AH842" s="155">
        <v>4.1930539804499194</v>
      </c>
      <c r="AJ842" s="155" t="s">
        <v>52</v>
      </c>
      <c r="AK842" s="155" t="s">
        <v>20</v>
      </c>
      <c r="AL842" s="155" t="s">
        <v>28</v>
      </c>
      <c r="AM842" s="155" t="s">
        <v>51</v>
      </c>
      <c r="AN842" s="155" t="s">
        <v>254</v>
      </c>
      <c r="AO842" s="155">
        <v>1.3336187588263893</v>
      </c>
    </row>
    <row r="843" spans="29:41">
      <c r="AC843" s="155" t="s">
        <v>52</v>
      </c>
      <c r="AD843" s="155" t="s">
        <v>20</v>
      </c>
      <c r="AE843" s="155" t="s">
        <v>72</v>
      </c>
      <c r="AF843" s="155" t="s">
        <v>51</v>
      </c>
      <c r="AG843" s="155" t="s">
        <v>255</v>
      </c>
      <c r="AH843" s="155">
        <v>4.1930539804499194</v>
      </c>
      <c r="AJ843" s="155" t="s">
        <v>52</v>
      </c>
      <c r="AK843" s="155" t="s">
        <v>20</v>
      </c>
      <c r="AL843" s="155" t="s">
        <v>28</v>
      </c>
      <c r="AM843" s="155" t="s">
        <v>51</v>
      </c>
      <c r="AN843" s="155" t="s">
        <v>255</v>
      </c>
      <c r="AO843" s="155">
        <v>1.3195589240134591</v>
      </c>
    </row>
    <row r="844" spans="29:41">
      <c r="AC844" s="155" t="s">
        <v>52</v>
      </c>
      <c r="AD844" s="155" t="s">
        <v>20</v>
      </c>
      <c r="AE844" s="155" t="s">
        <v>72</v>
      </c>
      <c r="AF844" s="155" t="s">
        <v>51</v>
      </c>
      <c r="AG844" s="155" t="s">
        <v>256</v>
      </c>
      <c r="AH844" s="155">
        <v>4.1930539804499194</v>
      </c>
      <c r="AJ844" s="155" t="s">
        <v>52</v>
      </c>
      <c r="AK844" s="155" t="s">
        <v>20</v>
      </c>
      <c r="AL844" s="155" t="s">
        <v>28</v>
      </c>
      <c r="AM844" s="155" t="s">
        <v>51</v>
      </c>
      <c r="AN844" s="155" t="s">
        <v>256</v>
      </c>
      <c r="AO844" s="155">
        <v>1.3217844717508891</v>
      </c>
    </row>
    <row r="845" spans="29:41">
      <c r="AC845" s="155" t="s">
        <v>52</v>
      </c>
      <c r="AD845" s="155" t="s">
        <v>20</v>
      </c>
      <c r="AE845" s="155" t="s">
        <v>72</v>
      </c>
      <c r="AF845" s="155" t="s">
        <v>51</v>
      </c>
      <c r="AG845" s="155" t="s">
        <v>257</v>
      </c>
      <c r="AH845" s="155">
        <v>4.3002725972031506</v>
      </c>
      <c r="AJ845" s="155" t="s">
        <v>52</v>
      </c>
      <c r="AK845" s="155" t="s">
        <v>20</v>
      </c>
      <c r="AL845" s="155" t="s">
        <v>28</v>
      </c>
      <c r="AM845" s="155" t="s">
        <v>51</v>
      </c>
      <c r="AN845" s="155" t="s">
        <v>257</v>
      </c>
      <c r="AO845" s="155">
        <v>1.4015219528697702</v>
      </c>
    </row>
    <row r="846" spans="29:41">
      <c r="AC846" s="155" t="s">
        <v>52</v>
      </c>
      <c r="AD846" s="155" t="s">
        <v>20</v>
      </c>
      <c r="AE846" s="155" t="s">
        <v>72</v>
      </c>
      <c r="AF846" s="155" t="s">
        <v>51</v>
      </c>
      <c r="AG846" s="155" t="s">
        <v>258</v>
      </c>
      <c r="AH846" s="155">
        <v>4.4216522874164488</v>
      </c>
      <c r="AJ846" s="155" t="s">
        <v>52</v>
      </c>
      <c r="AK846" s="155" t="s">
        <v>20</v>
      </c>
      <c r="AL846" s="155" t="s">
        <v>28</v>
      </c>
      <c r="AM846" s="155" t="s">
        <v>51</v>
      </c>
      <c r="AN846" s="155" t="s">
        <v>258</v>
      </c>
      <c r="AO846" s="155">
        <v>1.5670174738644591</v>
      </c>
    </row>
    <row r="847" spans="29:41">
      <c r="AC847" s="155" t="s">
        <v>52</v>
      </c>
      <c r="AD847" s="155" t="s">
        <v>20</v>
      </c>
      <c r="AE847" s="155" t="s">
        <v>72</v>
      </c>
      <c r="AF847" s="155" t="s">
        <v>51</v>
      </c>
      <c r="AG847" s="155" t="s">
        <v>259</v>
      </c>
      <c r="AH847" s="155">
        <v>4.2966687844513389</v>
      </c>
      <c r="AJ847" s="155" t="s">
        <v>52</v>
      </c>
      <c r="AK847" s="155" t="s">
        <v>20</v>
      </c>
      <c r="AL847" s="155" t="s">
        <v>28</v>
      </c>
      <c r="AM847" s="155" t="s">
        <v>51</v>
      </c>
      <c r="AN847" s="155" t="s">
        <v>259</v>
      </c>
      <c r="AO847" s="155">
        <v>1.4842172030270488</v>
      </c>
    </row>
    <row r="848" spans="29:41">
      <c r="AC848" s="155" t="s">
        <v>52</v>
      </c>
      <c r="AD848" s="155" t="s">
        <v>20</v>
      </c>
      <c r="AE848" s="155" t="s">
        <v>72</v>
      </c>
      <c r="AF848" s="155" t="s">
        <v>51</v>
      </c>
      <c r="AG848" s="155" t="s">
        <v>260</v>
      </c>
      <c r="AH848" s="155">
        <v>4.256473470140862</v>
      </c>
      <c r="AJ848" s="155" t="s">
        <v>52</v>
      </c>
      <c r="AK848" s="155" t="s">
        <v>20</v>
      </c>
      <c r="AL848" s="155" t="s">
        <v>28</v>
      </c>
      <c r="AM848" s="155" t="s">
        <v>51</v>
      </c>
      <c r="AN848" s="155" t="s">
        <v>260</v>
      </c>
      <c r="AO848" s="155">
        <v>1.4545746639920119</v>
      </c>
    </row>
    <row r="849" spans="29:41">
      <c r="AC849" s="155" t="s">
        <v>52</v>
      </c>
      <c r="AD849" s="155" t="s">
        <v>20</v>
      </c>
      <c r="AE849" s="155" t="s">
        <v>72</v>
      </c>
      <c r="AF849" s="155" t="s">
        <v>51</v>
      </c>
      <c r="AG849" s="155" t="s">
        <v>261</v>
      </c>
      <c r="AH849" s="155">
        <v>4.3576528674279986</v>
      </c>
      <c r="AJ849" s="155" t="s">
        <v>52</v>
      </c>
      <c r="AK849" s="155" t="s">
        <v>20</v>
      </c>
      <c r="AL849" s="155" t="s">
        <v>28</v>
      </c>
      <c r="AM849" s="155" t="s">
        <v>51</v>
      </c>
      <c r="AN849" s="155" t="s">
        <v>261</v>
      </c>
      <c r="AO849" s="155">
        <v>1.5792426403971289</v>
      </c>
    </row>
    <row r="850" spans="29:41">
      <c r="AC850" s="155" t="s">
        <v>52</v>
      </c>
      <c r="AD850" s="155" t="s">
        <v>20</v>
      </c>
      <c r="AE850" s="155" t="s">
        <v>72</v>
      </c>
      <c r="AF850" s="155" t="s">
        <v>51</v>
      </c>
      <c r="AG850" s="155" t="s">
        <v>262</v>
      </c>
      <c r="AH850" s="155">
        <v>4.2323257174829196</v>
      </c>
      <c r="AJ850" s="155" t="s">
        <v>52</v>
      </c>
      <c r="AK850" s="155" t="s">
        <v>20</v>
      </c>
      <c r="AL850" s="155" t="s">
        <v>28</v>
      </c>
      <c r="AM850" s="155" t="s">
        <v>51</v>
      </c>
      <c r="AN850" s="155" t="s">
        <v>262</v>
      </c>
      <c r="AO850" s="155">
        <v>1.5026922623118697</v>
      </c>
    </row>
    <row r="851" spans="29:41">
      <c r="AC851" s="155" t="s">
        <v>52</v>
      </c>
      <c r="AD851" s="155" t="s">
        <v>20</v>
      </c>
      <c r="AE851" s="155" t="s">
        <v>72</v>
      </c>
      <c r="AF851" s="155" t="s">
        <v>51</v>
      </c>
      <c r="AG851" s="155" t="s">
        <v>263</v>
      </c>
      <c r="AH851" s="155">
        <v>4.3576528674279986</v>
      </c>
      <c r="AJ851" s="155" t="s">
        <v>52</v>
      </c>
      <c r="AK851" s="155" t="s">
        <v>20</v>
      </c>
      <c r="AL851" s="155" t="s">
        <v>28</v>
      </c>
      <c r="AM851" s="155" t="s">
        <v>51</v>
      </c>
      <c r="AN851" s="155" t="s">
        <v>263</v>
      </c>
      <c r="AO851" s="155">
        <v>1.5842316438716988</v>
      </c>
    </row>
    <row r="852" spans="29:41">
      <c r="AC852" s="155" t="s">
        <v>52</v>
      </c>
      <c r="AD852" s="155" t="s">
        <v>20</v>
      </c>
      <c r="AE852" s="155" t="s">
        <v>72</v>
      </c>
      <c r="AF852" s="155" t="s">
        <v>51</v>
      </c>
      <c r="AG852" s="155" t="s">
        <v>264</v>
      </c>
      <c r="AH852" s="155">
        <v>4.4187377611835057</v>
      </c>
      <c r="AJ852" s="155" t="s">
        <v>52</v>
      </c>
      <c r="AK852" s="155" t="s">
        <v>20</v>
      </c>
      <c r="AL852" s="155" t="s">
        <v>28</v>
      </c>
      <c r="AM852" s="155" t="s">
        <v>51</v>
      </c>
      <c r="AN852" s="155" t="s">
        <v>264</v>
      </c>
      <c r="AO852" s="155">
        <v>1.6617056752336257</v>
      </c>
    </row>
    <row r="853" spans="29:41">
      <c r="AC853" s="155" t="s">
        <v>52</v>
      </c>
      <c r="AD853" s="155" t="s">
        <v>20</v>
      </c>
      <c r="AE853" s="155" t="s">
        <v>72</v>
      </c>
      <c r="AF853" s="155" t="s">
        <v>51</v>
      </c>
      <c r="AG853" s="155" t="s">
        <v>265</v>
      </c>
      <c r="AH853" s="155">
        <v>4.4187377611835057</v>
      </c>
      <c r="AJ853" s="155" t="s">
        <v>52</v>
      </c>
      <c r="AK853" s="155" t="s">
        <v>20</v>
      </c>
      <c r="AL853" s="155" t="s">
        <v>28</v>
      </c>
      <c r="AM853" s="155" t="s">
        <v>51</v>
      </c>
      <c r="AN853" s="155" t="s">
        <v>265</v>
      </c>
      <c r="AO853" s="155">
        <v>1.6486350037525557</v>
      </c>
    </row>
    <row r="854" spans="29:41">
      <c r="AC854" s="155" t="s">
        <v>52</v>
      </c>
      <c r="AD854" s="155" t="s">
        <v>20</v>
      </c>
      <c r="AE854" s="155" t="s">
        <v>72</v>
      </c>
      <c r="AF854" s="155" t="s">
        <v>51</v>
      </c>
      <c r="AG854" s="155" t="s">
        <v>266</v>
      </c>
      <c r="AH854" s="155">
        <v>4.3576528674279986</v>
      </c>
      <c r="AJ854" s="155" t="s">
        <v>52</v>
      </c>
      <c r="AK854" s="155" t="s">
        <v>20</v>
      </c>
      <c r="AL854" s="155" t="s">
        <v>28</v>
      </c>
      <c r="AM854" s="155" t="s">
        <v>51</v>
      </c>
      <c r="AN854" s="155" t="s">
        <v>266</v>
      </c>
      <c r="AO854" s="155">
        <v>1.5427834954210289</v>
      </c>
    </row>
    <row r="855" spans="29:41">
      <c r="AC855" s="155" t="s">
        <v>52</v>
      </c>
      <c r="AD855" s="155" t="s">
        <v>20</v>
      </c>
      <c r="AE855" s="155" t="s">
        <v>72</v>
      </c>
      <c r="AF855" s="155" t="s">
        <v>51</v>
      </c>
      <c r="AG855" s="155" t="s">
        <v>267</v>
      </c>
      <c r="AH855" s="155">
        <v>4.256473470140862</v>
      </c>
      <c r="AJ855" s="155" t="s">
        <v>52</v>
      </c>
      <c r="AK855" s="155" t="s">
        <v>20</v>
      </c>
      <c r="AL855" s="155" t="s">
        <v>28</v>
      </c>
      <c r="AM855" s="155" t="s">
        <v>51</v>
      </c>
      <c r="AN855" s="155" t="s">
        <v>267</v>
      </c>
      <c r="AO855" s="155">
        <v>1.4399059540715016</v>
      </c>
    </row>
    <row r="856" spans="29:41">
      <c r="AC856" s="155" t="s">
        <v>52</v>
      </c>
      <c r="AD856" s="155" t="s">
        <v>20</v>
      </c>
      <c r="AE856" s="155" t="s">
        <v>72</v>
      </c>
      <c r="AF856" s="155" t="s">
        <v>51</v>
      </c>
      <c r="AG856" s="155" t="s">
        <v>268</v>
      </c>
      <c r="AH856" s="155">
        <v>4.4187377611835057</v>
      </c>
      <c r="AJ856" s="155" t="s">
        <v>52</v>
      </c>
      <c r="AK856" s="155" t="s">
        <v>20</v>
      </c>
      <c r="AL856" s="155" t="s">
        <v>28</v>
      </c>
      <c r="AM856" s="155" t="s">
        <v>51</v>
      </c>
      <c r="AN856" s="155" t="s">
        <v>268</v>
      </c>
      <c r="AO856" s="155">
        <v>1.6295378211291054</v>
      </c>
    </row>
    <row r="857" spans="29:41">
      <c r="AC857" s="155" t="s">
        <v>52</v>
      </c>
      <c r="AD857" s="155" t="s">
        <v>20</v>
      </c>
      <c r="AE857" s="155" t="s">
        <v>72</v>
      </c>
      <c r="AF857" s="155" t="s">
        <v>51</v>
      </c>
      <c r="AG857" s="155" t="s">
        <v>269</v>
      </c>
      <c r="AH857" s="155">
        <v>4.3576528674279986</v>
      </c>
      <c r="AJ857" s="155" t="s">
        <v>52</v>
      </c>
      <c r="AK857" s="155" t="s">
        <v>20</v>
      </c>
      <c r="AL857" s="155" t="s">
        <v>28</v>
      </c>
      <c r="AM857" s="155" t="s">
        <v>51</v>
      </c>
      <c r="AN857" s="155" t="s">
        <v>269</v>
      </c>
      <c r="AO857" s="155">
        <v>1.6495492847164992</v>
      </c>
    </row>
    <row r="858" spans="29:41">
      <c r="AC858" s="155" t="s">
        <v>52</v>
      </c>
      <c r="AD858" s="155" t="s">
        <v>20</v>
      </c>
      <c r="AE858" s="155" t="s">
        <v>72</v>
      </c>
      <c r="AF858" s="155" t="s">
        <v>51</v>
      </c>
      <c r="AG858" s="155" t="s">
        <v>270</v>
      </c>
      <c r="AH858" s="155">
        <v>4.2965145977984394</v>
      </c>
      <c r="AJ858" s="155" t="s">
        <v>52</v>
      </c>
      <c r="AK858" s="155" t="s">
        <v>20</v>
      </c>
      <c r="AL858" s="155" t="s">
        <v>28</v>
      </c>
      <c r="AM858" s="155" t="s">
        <v>51</v>
      </c>
      <c r="AN858" s="155" t="s">
        <v>270</v>
      </c>
      <c r="AO858" s="155">
        <v>1.5660706750632591</v>
      </c>
    </row>
    <row r="859" spans="29:41">
      <c r="AC859" s="155" t="s">
        <v>52</v>
      </c>
      <c r="AD859" s="155" t="s">
        <v>20</v>
      </c>
      <c r="AE859" s="155" t="s">
        <v>72</v>
      </c>
      <c r="AF859" s="155" t="s">
        <v>51</v>
      </c>
      <c r="AG859" s="155" t="s">
        <v>271</v>
      </c>
      <c r="AH859" s="155">
        <v>4.3576528674279986</v>
      </c>
      <c r="AJ859" s="155" t="s">
        <v>52</v>
      </c>
      <c r="AK859" s="155" t="s">
        <v>20</v>
      </c>
      <c r="AL859" s="155" t="s">
        <v>28</v>
      </c>
      <c r="AM859" s="155" t="s">
        <v>51</v>
      </c>
      <c r="AN859" s="155" t="s">
        <v>271</v>
      </c>
      <c r="AO859" s="155">
        <v>1.6241800327068789</v>
      </c>
    </row>
    <row r="860" spans="29:41">
      <c r="AC860" s="155" t="s">
        <v>52</v>
      </c>
      <c r="AD860" s="155" t="s">
        <v>20</v>
      </c>
      <c r="AE860" s="155" t="s">
        <v>72</v>
      </c>
      <c r="AF860" s="155" t="s">
        <v>51</v>
      </c>
      <c r="AG860" s="155" t="s">
        <v>272</v>
      </c>
      <c r="AH860" s="155">
        <v>4.3576528674279986</v>
      </c>
      <c r="AJ860" s="155" t="s">
        <v>52</v>
      </c>
      <c r="AK860" s="155" t="s">
        <v>20</v>
      </c>
      <c r="AL860" s="155" t="s">
        <v>28</v>
      </c>
      <c r="AM860" s="155" t="s">
        <v>51</v>
      </c>
      <c r="AN860" s="155" t="s">
        <v>272</v>
      </c>
      <c r="AO860" s="155">
        <v>1.6224507077297987</v>
      </c>
    </row>
    <row r="861" spans="29:41">
      <c r="AC861" s="155" t="s">
        <v>52</v>
      </c>
      <c r="AD861" s="155" t="s">
        <v>20</v>
      </c>
      <c r="AE861" s="155" t="s">
        <v>72</v>
      </c>
      <c r="AF861" s="155" t="s">
        <v>51</v>
      </c>
      <c r="AG861" s="155" t="s">
        <v>273</v>
      </c>
      <c r="AH861" s="155">
        <v>4.4187377611835057</v>
      </c>
      <c r="AJ861" s="155" t="s">
        <v>52</v>
      </c>
      <c r="AK861" s="155" t="s">
        <v>20</v>
      </c>
      <c r="AL861" s="155" t="s">
        <v>28</v>
      </c>
      <c r="AM861" s="155" t="s">
        <v>51</v>
      </c>
      <c r="AN861" s="155" t="s">
        <v>273</v>
      </c>
      <c r="AO861" s="155">
        <v>1.6458027650077354</v>
      </c>
    </row>
    <row r="862" spans="29:41">
      <c r="AC862" s="155" t="s">
        <v>52</v>
      </c>
      <c r="AD862" s="155" t="s">
        <v>20</v>
      </c>
      <c r="AE862" s="155" t="s">
        <v>72</v>
      </c>
      <c r="AF862" s="155" t="s">
        <v>51</v>
      </c>
      <c r="AG862" s="155" t="s">
        <v>274</v>
      </c>
      <c r="AH862" s="155">
        <v>4.3576528674279986</v>
      </c>
      <c r="AJ862" s="155" t="s">
        <v>52</v>
      </c>
      <c r="AK862" s="155" t="s">
        <v>20</v>
      </c>
      <c r="AL862" s="155" t="s">
        <v>28</v>
      </c>
      <c r="AM862" s="155" t="s">
        <v>51</v>
      </c>
      <c r="AN862" s="155" t="s">
        <v>274</v>
      </c>
      <c r="AO862" s="155">
        <v>1.612976560734289</v>
      </c>
    </row>
    <row r="863" spans="29:41">
      <c r="AC863" s="155" t="s">
        <v>52</v>
      </c>
      <c r="AD863" s="155" t="s">
        <v>20</v>
      </c>
      <c r="AE863" s="155" t="s">
        <v>72</v>
      </c>
      <c r="AF863" s="155" t="s">
        <v>51</v>
      </c>
      <c r="AG863" s="155" t="s">
        <v>275</v>
      </c>
      <c r="AH863" s="155">
        <v>4.3576528674279986</v>
      </c>
      <c r="AJ863" s="155" t="s">
        <v>52</v>
      </c>
      <c r="AK863" s="155" t="s">
        <v>20</v>
      </c>
      <c r="AL863" s="155" t="s">
        <v>28</v>
      </c>
      <c r="AM863" s="155" t="s">
        <v>51</v>
      </c>
      <c r="AN863" s="155" t="s">
        <v>275</v>
      </c>
      <c r="AO863" s="155">
        <v>1.6402886021160488</v>
      </c>
    </row>
    <row r="864" spans="29:41">
      <c r="AC864" s="155" t="s">
        <v>52</v>
      </c>
      <c r="AD864" s="155" t="s">
        <v>20</v>
      </c>
      <c r="AE864" s="155" t="s">
        <v>72</v>
      </c>
      <c r="AF864" s="155" t="s">
        <v>51</v>
      </c>
      <c r="AG864" s="155" t="s">
        <v>276</v>
      </c>
      <c r="AH864" s="155">
        <v>4.3576528674279986</v>
      </c>
      <c r="AJ864" s="155" t="s">
        <v>52</v>
      </c>
      <c r="AK864" s="155" t="s">
        <v>20</v>
      </c>
      <c r="AL864" s="155" t="s">
        <v>28</v>
      </c>
      <c r="AM864" s="155" t="s">
        <v>51</v>
      </c>
      <c r="AN864" s="155" t="s">
        <v>276</v>
      </c>
      <c r="AO864" s="155">
        <v>1.586377494496169</v>
      </c>
    </row>
    <row r="865" spans="29:41">
      <c r="AC865" s="155" t="s">
        <v>52</v>
      </c>
      <c r="AD865" s="155" t="s">
        <v>20</v>
      </c>
      <c r="AE865" s="155" t="s">
        <v>72</v>
      </c>
      <c r="AF865" s="155" t="s">
        <v>51</v>
      </c>
      <c r="AG865" s="155" t="s">
        <v>277</v>
      </c>
      <c r="AH865" s="155">
        <v>4.3576528674279986</v>
      </c>
      <c r="AJ865" s="155" t="s">
        <v>52</v>
      </c>
      <c r="AK865" s="155" t="s">
        <v>20</v>
      </c>
      <c r="AL865" s="155" t="s">
        <v>28</v>
      </c>
      <c r="AM865" s="155" t="s">
        <v>51</v>
      </c>
      <c r="AN865" s="155" t="s">
        <v>277</v>
      </c>
      <c r="AO865" s="155">
        <v>1.6017952809930489</v>
      </c>
    </row>
    <row r="866" spans="29:41">
      <c r="AC866" s="155" t="s">
        <v>52</v>
      </c>
      <c r="AD866" s="155" t="s">
        <v>20</v>
      </c>
      <c r="AE866" s="155" t="s">
        <v>72</v>
      </c>
      <c r="AF866" s="155" t="s">
        <v>51</v>
      </c>
      <c r="AG866" s="155" t="s">
        <v>278</v>
      </c>
      <c r="AH866" s="155">
        <v>4.2965145977984394</v>
      </c>
      <c r="AJ866" s="155" t="s">
        <v>52</v>
      </c>
      <c r="AK866" s="155" t="s">
        <v>20</v>
      </c>
      <c r="AL866" s="155" t="s">
        <v>28</v>
      </c>
      <c r="AM866" s="155" t="s">
        <v>51</v>
      </c>
      <c r="AN866" s="155" t="s">
        <v>278</v>
      </c>
      <c r="AO866" s="155">
        <v>1.5725312887313887</v>
      </c>
    </row>
    <row r="867" spans="29:41">
      <c r="AC867" s="155" t="s">
        <v>52</v>
      </c>
      <c r="AD867" s="155" t="s">
        <v>20</v>
      </c>
      <c r="AE867" s="155" t="s">
        <v>72</v>
      </c>
      <c r="AF867" s="155" t="s">
        <v>51</v>
      </c>
      <c r="AG867" s="155" t="s">
        <v>279</v>
      </c>
      <c r="AH867" s="155">
        <v>4.2965145977984394</v>
      </c>
      <c r="AJ867" s="155" t="s">
        <v>52</v>
      </c>
      <c r="AK867" s="155" t="s">
        <v>20</v>
      </c>
      <c r="AL867" s="155" t="s">
        <v>28</v>
      </c>
      <c r="AM867" s="155" t="s">
        <v>51</v>
      </c>
      <c r="AN867" s="155" t="s">
        <v>279</v>
      </c>
      <c r="AO867" s="155">
        <v>1.500702552585979</v>
      </c>
    </row>
    <row r="868" spans="29:41">
      <c r="AC868" s="155" t="s">
        <v>52</v>
      </c>
      <c r="AD868" s="155" t="s">
        <v>20</v>
      </c>
      <c r="AE868" s="155" t="s">
        <v>72</v>
      </c>
      <c r="AF868" s="155" t="s">
        <v>51</v>
      </c>
      <c r="AG868" s="155" t="s">
        <v>280</v>
      </c>
      <c r="AH868" s="155">
        <v>4.2966687844513389</v>
      </c>
      <c r="AJ868" s="155" t="s">
        <v>52</v>
      </c>
      <c r="AK868" s="155" t="s">
        <v>20</v>
      </c>
      <c r="AL868" s="155" t="s">
        <v>28</v>
      </c>
      <c r="AM868" s="155" t="s">
        <v>51</v>
      </c>
      <c r="AN868" s="155" t="s">
        <v>280</v>
      </c>
      <c r="AO868" s="155">
        <v>1.4206257973994989</v>
      </c>
    </row>
    <row r="869" spans="29:41">
      <c r="AC869" s="155" t="s">
        <v>52</v>
      </c>
      <c r="AD869" s="155" t="s">
        <v>20</v>
      </c>
      <c r="AE869" s="155" t="s">
        <v>72</v>
      </c>
      <c r="AF869" s="155" t="s">
        <v>51</v>
      </c>
      <c r="AG869" s="155" t="s">
        <v>281</v>
      </c>
      <c r="AH869" s="155">
        <v>4.3577019868052416</v>
      </c>
      <c r="AJ869" s="155" t="s">
        <v>52</v>
      </c>
      <c r="AK869" s="155" t="s">
        <v>20</v>
      </c>
      <c r="AL869" s="155" t="s">
        <v>28</v>
      </c>
      <c r="AM869" s="155" t="s">
        <v>51</v>
      </c>
      <c r="AN869" s="155" t="s">
        <v>281</v>
      </c>
      <c r="AO869" s="155">
        <v>1.5132838842596517</v>
      </c>
    </row>
    <row r="870" spans="29:41">
      <c r="AC870" s="155" t="s">
        <v>52</v>
      </c>
      <c r="AD870" s="155" t="s">
        <v>20</v>
      </c>
      <c r="AE870" s="155" t="s">
        <v>72</v>
      </c>
      <c r="AF870" s="155" t="s">
        <v>51</v>
      </c>
      <c r="AG870" s="155" t="s">
        <v>282</v>
      </c>
      <c r="AH870" s="155">
        <v>4.2966687844513389</v>
      </c>
      <c r="AJ870" s="155" t="s">
        <v>52</v>
      </c>
      <c r="AK870" s="155" t="s">
        <v>20</v>
      </c>
      <c r="AL870" s="155" t="s">
        <v>28</v>
      </c>
      <c r="AM870" s="155" t="s">
        <v>51</v>
      </c>
      <c r="AN870" s="155" t="s">
        <v>282</v>
      </c>
      <c r="AO870" s="155">
        <v>1.4316219636585588</v>
      </c>
    </row>
    <row r="871" spans="29:41">
      <c r="AC871" s="155" t="s">
        <v>52</v>
      </c>
      <c r="AD871" s="155" t="s">
        <v>20</v>
      </c>
      <c r="AE871" s="155" t="s">
        <v>72</v>
      </c>
      <c r="AF871" s="155" t="s">
        <v>51</v>
      </c>
      <c r="AG871" s="155" t="s">
        <v>283</v>
      </c>
      <c r="AH871" s="155">
        <v>4.3577019868052416</v>
      </c>
      <c r="AJ871" s="155" t="s">
        <v>52</v>
      </c>
      <c r="AK871" s="155" t="s">
        <v>20</v>
      </c>
      <c r="AL871" s="155" t="s">
        <v>28</v>
      </c>
      <c r="AM871" s="155" t="s">
        <v>51</v>
      </c>
      <c r="AN871" s="155" t="s">
        <v>283</v>
      </c>
      <c r="AO871" s="155">
        <v>1.4594036015598615</v>
      </c>
    </row>
    <row r="872" spans="29:41">
      <c r="AC872" s="155" t="s">
        <v>52</v>
      </c>
      <c r="AD872" s="155" t="s">
        <v>20</v>
      </c>
      <c r="AE872" s="155" t="s">
        <v>72</v>
      </c>
      <c r="AF872" s="155" t="s">
        <v>51</v>
      </c>
      <c r="AG872" s="155" t="s">
        <v>284</v>
      </c>
      <c r="AH872" s="155">
        <v>4.4216522874164488</v>
      </c>
      <c r="AJ872" s="155" t="s">
        <v>52</v>
      </c>
      <c r="AK872" s="155" t="s">
        <v>20</v>
      </c>
      <c r="AL872" s="155" t="s">
        <v>28</v>
      </c>
      <c r="AM872" s="155" t="s">
        <v>51</v>
      </c>
      <c r="AN872" s="155" t="s">
        <v>284</v>
      </c>
      <c r="AO872" s="155">
        <v>1.4875892539496596</v>
      </c>
    </row>
    <row r="873" spans="29:41">
      <c r="AC873" s="155" t="s">
        <v>52</v>
      </c>
      <c r="AD873" s="155" t="s">
        <v>20</v>
      </c>
      <c r="AE873" s="155" t="s">
        <v>72</v>
      </c>
      <c r="AF873" s="155" t="s">
        <v>51</v>
      </c>
      <c r="AG873" s="155" t="s">
        <v>285</v>
      </c>
      <c r="AH873" s="155">
        <v>4.5464025578172089</v>
      </c>
      <c r="AJ873" s="155" t="s">
        <v>52</v>
      </c>
      <c r="AK873" s="155" t="s">
        <v>20</v>
      </c>
      <c r="AL873" s="155" t="s">
        <v>28</v>
      </c>
      <c r="AM873" s="155" t="s">
        <v>51</v>
      </c>
      <c r="AN873" s="155" t="s">
        <v>285</v>
      </c>
      <c r="AO873" s="155">
        <v>1.6075998724339589</v>
      </c>
    </row>
    <row r="874" spans="29:41">
      <c r="AC874" s="155" t="s">
        <v>52</v>
      </c>
      <c r="AD874" s="155" t="s">
        <v>20</v>
      </c>
      <c r="AE874" s="155" t="s">
        <v>72</v>
      </c>
      <c r="AF874" s="155" t="s">
        <v>51</v>
      </c>
      <c r="AG874" s="155" t="s">
        <v>286</v>
      </c>
      <c r="AH874" s="155">
        <v>4.4860360923539417</v>
      </c>
      <c r="AJ874" s="155" t="s">
        <v>52</v>
      </c>
      <c r="AK874" s="155" t="s">
        <v>20</v>
      </c>
      <c r="AL874" s="155" t="s">
        <v>28</v>
      </c>
      <c r="AM874" s="155" t="s">
        <v>51</v>
      </c>
      <c r="AN874" s="155" t="s">
        <v>286</v>
      </c>
      <c r="AO874" s="155">
        <v>1.4733380969199814</v>
      </c>
    </row>
    <row r="875" spans="29:41">
      <c r="AC875" s="155" t="s">
        <v>52</v>
      </c>
      <c r="AD875" s="155" t="s">
        <v>20</v>
      </c>
      <c r="AE875" s="155" t="s">
        <v>72</v>
      </c>
      <c r="AF875" s="155" t="s">
        <v>51</v>
      </c>
      <c r="AG875" s="155" t="s">
        <v>287</v>
      </c>
      <c r="AH875" s="155">
        <v>4.5467951308758243</v>
      </c>
      <c r="AJ875" s="155" t="s">
        <v>52</v>
      </c>
      <c r="AK875" s="155" t="s">
        <v>20</v>
      </c>
      <c r="AL875" s="155" t="s">
        <v>28</v>
      </c>
      <c r="AM875" s="155" t="s">
        <v>51</v>
      </c>
      <c r="AN875" s="155" t="s">
        <v>287</v>
      </c>
      <c r="AO875" s="155">
        <v>1.5073237318324939</v>
      </c>
    </row>
    <row r="876" spans="29:41">
      <c r="AC876" s="155" t="s">
        <v>52</v>
      </c>
      <c r="AD876" s="155" t="s">
        <v>20</v>
      </c>
      <c r="AE876" s="155" t="s">
        <v>72</v>
      </c>
      <c r="AF876" s="155" t="s">
        <v>51</v>
      </c>
      <c r="AG876" s="155" t="s">
        <v>288</v>
      </c>
      <c r="AH876" s="155">
        <v>4.6104446823863938</v>
      </c>
      <c r="AJ876" s="155" t="s">
        <v>52</v>
      </c>
      <c r="AK876" s="155" t="s">
        <v>20</v>
      </c>
      <c r="AL876" s="155" t="s">
        <v>28</v>
      </c>
      <c r="AM876" s="155" t="s">
        <v>51</v>
      </c>
      <c r="AN876" s="155" t="s">
        <v>288</v>
      </c>
      <c r="AO876" s="155">
        <v>1.586356578904504</v>
      </c>
    </row>
    <row r="877" spans="29:41">
      <c r="AC877" s="155" t="s">
        <v>52</v>
      </c>
      <c r="AD877" s="155" t="s">
        <v>20</v>
      </c>
      <c r="AE877" s="155" t="s">
        <v>72</v>
      </c>
      <c r="AF877" s="155" t="s">
        <v>51</v>
      </c>
      <c r="AG877" s="155" t="s">
        <v>289</v>
      </c>
      <c r="AH877" s="155">
        <v>4.5467951308758243</v>
      </c>
      <c r="AJ877" s="155" t="s">
        <v>52</v>
      </c>
      <c r="AK877" s="155" t="s">
        <v>20</v>
      </c>
      <c r="AL877" s="155" t="s">
        <v>28</v>
      </c>
      <c r="AM877" s="155" t="s">
        <v>51</v>
      </c>
      <c r="AN877" s="155" t="s">
        <v>289</v>
      </c>
      <c r="AO877" s="155">
        <v>1.505244790001014</v>
      </c>
    </row>
    <row r="878" spans="29:41">
      <c r="AC878" s="155" t="s">
        <v>52</v>
      </c>
      <c r="AD878" s="155" t="s">
        <v>20</v>
      </c>
      <c r="AE878" s="155" t="s">
        <v>72</v>
      </c>
      <c r="AF878" s="155" t="s">
        <v>51</v>
      </c>
      <c r="AG878" s="155" t="s">
        <v>290</v>
      </c>
      <c r="AH878" s="155">
        <v>4.4860360923539417</v>
      </c>
      <c r="AJ878" s="155" t="s">
        <v>52</v>
      </c>
      <c r="AK878" s="155" t="s">
        <v>20</v>
      </c>
      <c r="AL878" s="155" t="s">
        <v>28</v>
      </c>
      <c r="AM878" s="155" t="s">
        <v>51</v>
      </c>
      <c r="AN878" s="155" t="s">
        <v>290</v>
      </c>
      <c r="AO878" s="155">
        <v>1.4828157156647814</v>
      </c>
    </row>
    <row r="879" spans="29:41">
      <c r="AC879" s="155" t="s">
        <v>52</v>
      </c>
      <c r="AD879" s="155" t="s">
        <v>20</v>
      </c>
      <c r="AE879" s="155" t="s">
        <v>72</v>
      </c>
      <c r="AF879" s="155" t="s">
        <v>51</v>
      </c>
      <c r="AG879" s="155" t="s">
        <v>291</v>
      </c>
      <c r="AH879" s="155">
        <v>4.4222656236769913</v>
      </c>
      <c r="AJ879" s="155" t="s">
        <v>52</v>
      </c>
      <c r="AK879" s="155" t="s">
        <v>20</v>
      </c>
      <c r="AL879" s="155" t="s">
        <v>28</v>
      </c>
      <c r="AM879" s="155" t="s">
        <v>51</v>
      </c>
      <c r="AN879" s="155" t="s">
        <v>291</v>
      </c>
      <c r="AO879" s="155">
        <v>1.4260306760145118</v>
      </c>
    </row>
    <row r="880" spans="29:41">
      <c r="AC880" s="155" t="s">
        <v>52</v>
      </c>
      <c r="AD880" s="155" t="s">
        <v>20</v>
      </c>
      <c r="AE880" s="155" t="s">
        <v>72</v>
      </c>
      <c r="AF880" s="155" t="s">
        <v>51</v>
      </c>
      <c r="AG880" s="155" t="s">
        <v>292</v>
      </c>
      <c r="AH880" s="155">
        <v>4.4860360923539417</v>
      </c>
      <c r="AJ880" s="155" t="s">
        <v>52</v>
      </c>
      <c r="AK880" s="155" t="s">
        <v>20</v>
      </c>
      <c r="AL880" s="155" t="s">
        <v>28</v>
      </c>
      <c r="AM880" s="155" t="s">
        <v>51</v>
      </c>
      <c r="AN880" s="155" t="s">
        <v>292</v>
      </c>
      <c r="AO880" s="155">
        <v>1.5030872931018513</v>
      </c>
    </row>
    <row r="881" spans="29:41">
      <c r="AC881" s="155" t="s">
        <v>52</v>
      </c>
      <c r="AD881" s="155" t="s">
        <v>20</v>
      </c>
      <c r="AE881" s="155" t="s">
        <v>72</v>
      </c>
      <c r="AF881" s="155" t="s">
        <v>51</v>
      </c>
      <c r="AG881" s="155" t="s">
        <v>293</v>
      </c>
      <c r="AH881" s="155">
        <v>4.4222656236769913</v>
      </c>
      <c r="AJ881" s="155" t="s">
        <v>52</v>
      </c>
      <c r="AK881" s="155" t="s">
        <v>20</v>
      </c>
      <c r="AL881" s="155" t="s">
        <v>28</v>
      </c>
      <c r="AM881" s="155" t="s">
        <v>51</v>
      </c>
      <c r="AN881" s="155" t="s">
        <v>293</v>
      </c>
      <c r="AO881" s="155">
        <v>1.4430429121974415</v>
      </c>
    </row>
    <row r="882" spans="29:41">
      <c r="AC882" s="155" t="s">
        <v>52</v>
      </c>
      <c r="AD882" s="155" t="s">
        <v>20</v>
      </c>
      <c r="AE882" s="155" t="s">
        <v>72</v>
      </c>
      <c r="AF882" s="155" t="s">
        <v>51</v>
      </c>
      <c r="AG882" s="155" t="s">
        <v>294</v>
      </c>
      <c r="AH882" s="155">
        <v>4.3821353816591078</v>
      </c>
      <c r="AJ882" s="155" t="s">
        <v>52</v>
      </c>
      <c r="AK882" s="155" t="s">
        <v>20</v>
      </c>
      <c r="AL882" s="155" t="s">
        <v>28</v>
      </c>
      <c r="AM882" s="155" t="s">
        <v>51</v>
      </c>
      <c r="AN882" s="155" t="s">
        <v>294</v>
      </c>
      <c r="AO882" s="155">
        <v>1.425391343565878</v>
      </c>
    </row>
    <row r="883" spans="29:41">
      <c r="AC883" s="155" t="s">
        <v>52</v>
      </c>
      <c r="AD883" s="155" t="s">
        <v>20</v>
      </c>
      <c r="AE883" s="155" t="s">
        <v>72</v>
      </c>
      <c r="AF883" s="155" t="s">
        <v>51</v>
      </c>
      <c r="AG883" s="155" t="s">
        <v>295</v>
      </c>
      <c r="AH883" s="155">
        <v>4.5464025578172089</v>
      </c>
      <c r="AJ883" s="155" t="s">
        <v>52</v>
      </c>
      <c r="AK883" s="155" t="s">
        <v>20</v>
      </c>
      <c r="AL883" s="155" t="s">
        <v>28</v>
      </c>
      <c r="AM883" s="155" t="s">
        <v>51</v>
      </c>
      <c r="AN883" s="155" t="s">
        <v>295</v>
      </c>
      <c r="AO883" s="155">
        <v>1.5685210167367594</v>
      </c>
    </row>
    <row r="884" spans="29:41">
      <c r="AC884" s="155" t="s">
        <v>52</v>
      </c>
      <c r="AD884" s="155" t="s">
        <v>20</v>
      </c>
      <c r="AE884" s="155" t="s">
        <v>72</v>
      </c>
      <c r="AF884" s="155" t="s">
        <v>51</v>
      </c>
      <c r="AG884" s="155" t="s">
        <v>236</v>
      </c>
      <c r="AH884" s="155">
        <v>4.4222656236769913</v>
      </c>
      <c r="AJ884" s="155" t="s">
        <v>52</v>
      </c>
      <c r="AK884" s="155" t="s">
        <v>20</v>
      </c>
      <c r="AL884" s="155" t="s">
        <v>28</v>
      </c>
      <c r="AM884" s="155" t="s">
        <v>51</v>
      </c>
      <c r="AN884" s="155" t="s">
        <v>236</v>
      </c>
      <c r="AO884" s="155">
        <v>1.4438899609942817</v>
      </c>
    </row>
    <row r="885" spans="29:41">
      <c r="AC885" s="155" t="s">
        <v>52</v>
      </c>
      <c r="AD885" s="155" t="s">
        <v>20</v>
      </c>
      <c r="AE885" s="155" t="s">
        <v>72</v>
      </c>
      <c r="AF885" s="155" t="s">
        <v>51</v>
      </c>
      <c r="AG885" s="155" t="s">
        <v>296</v>
      </c>
      <c r="AH885" s="155">
        <v>4.3821353816591078</v>
      </c>
      <c r="AJ885" s="155" t="s">
        <v>52</v>
      </c>
      <c r="AK885" s="155" t="s">
        <v>20</v>
      </c>
      <c r="AL885" s="155" t="s">
        <v>28</v>
      </c>
      <c r="AM885" s="155" t="s">
        <v>51</v>
      </c>
      <c r="AN885" s="155" t="s">
        <v>296</v>
      </c>
      <c r="AO885" s="155">
        <v>1.4095203211990579</v>
      </c>
    </row>
    <row r="886" spans="29:41">
      <c r="AC886" s="155" t="s">
        <v>52</v>
      </c>
      <c r="AD886" s="155" t="s">
        <v>20</v>
      </c>
      <c r="AE886" s="155" t="s">
        <v>72</v>
      </c>
      <c r="AF886" s="155" t="s">
        <v>51</v>
      </c>
      <c r="AG886" s="155" t="s">
        <v>297</v>
      </c>
      <c r="AH886" s="155">
        <v>4.3821353816591078</v>
      </c>
      <c r="AJ886" s="155" t="s">
        <v>52</v>
      </c>
      <c r="AK886" s="155" t="s">
        <v>20</v>
      </c>
      <c r="AL886" s="155" t="s">
        <v>28</v>
      </c>
      <c r="AM886" s="155" t="s">
        <v>51</v>
      </c>
      <c r="AN886" s="155" t="s">
        <v>297</v>
      </c>
      <c r="AO886" s="155">
        <v>1.4121363408260277</v>
      </c>
    </row>
    <row r="887" spans="29:41">
      <c r="AC887" s="155" t="s">
        <v>52</v>
      </c>
      <c r="AD887" s="155" t="s">
        <v>20</v>
      </c>
      <c r="AE887" s="155" t="s">
        <v>72</v>
      </c>
      <c r="AF887" s="155" t="s">
        <v>51</v>
      </c>
      <c r="AG887" s="155" t="s">
        <v>298</v>
      </c>
      <c r="AH887" s="155">
        <v>4.5464025578172089</v>
      </c>
      <c r="AJ887" s="155" t="s">
        <v>52</v>
      </c>
      <c r="AK887" s="155" t="s">
        <v>20</v>
      </c>
      <c r="AL887" s="155" t="s">
        <v>28</v>
      </c>
      <c r="AM887" s="155" t="s">
        <v>51</v>
      </c>
      <c r="AN887" s="155" t="s">
        <v>298</v>
      </c>
      <c r="AO887" s="155">
        <v>1.583602731145519</v>
      </c>
    </row>
    <row r="888" spans="29:41">
      <c r="AC888" s="155" t="s">
        <v>52</v>
      </c>
      <c r="AD888" s="155" t="s">
        <v>20</v>
      </c>
      <c r="AE888" s="155" t="s">
        <v>72</v>
      </c>
      <c r="AF888" s="155" t="s">
        <v>51</v>
      </c>
      <c r="AG888" s="155" t="s">
        <v>299</v>
      </c>
      <c r="AH888" s="155">
        <v>4.5464025578172089</v>
      </c>
      <c r="AJ888" s="155" t="s">
        <v>52</v>
      </c>
      <c r="AK888" s="155" t="s">
        <v>20</v>
      </c>
      <c r="AL888" s="155" t="s">
        <v>28</v>
      </c>
      <c r="AM888" s="155" t="s">
        <v>51</v>
      </c>
      <c r="AN888" s="155" t="s">
        <v>299</v>
      </c>
      <c r="AO888" s="155">
        <v>1.598935291956989</v>
      </c>
    </row>
    <row r="889" spans="29:41">
      <c r="AC889" s="155" t="s">
        <v>52</v>
      </c>
      <c r="AD889" s="155" t="s">
        <v>20</v>
      </c>
      <c r="AE889" s="155" t="s">
        <v>72</v>
      </c>
      <c r="AF889" s="155" t="s">
        <v>51</v>
      </c>
      <c r="AG889" s="155" t="s">
        <v>300</v>
      </c>
      <c r="AH889" s="155">
        <v>4.3577019868052416</v>
      </c>
      <c r="AJ889" s="155" t="s">
        <v>52</v>
      </c>
      <c r="AK889" s="155" t="s">
        <v>20</v>
      </c>
      <c r="AL889" s="155" t="s">
        <v>28</v>
      </c>
      <c r="AM889" s="155" t="s">
        <v>51</v>
      </c>
      <c r="AN889" s="155" t="s">
        <v>300</v>
      </c>
      <c r="AO889" s="155">
        <v>1.4629721376609215</v>
      </c>
    </row>
    <row r="890" spans="29:41">
      <c r="AC890" s="155" t="s">
        <v>52</v>
      </c>
      <c r="AD890" s="155" t="s">
        <v>20</v>
      </c>
      <c r="AE890" s="155" t="s">
        <v>72</v>
      </c>
      <c r="AF890" s="155" t="s">
        <v>51</v>
      </c>
      <c r="AG890" s="155" t="s">
        <v>301</v>
      </c>
      <c r="AH890" s="155">
        <v>4.4216522874164488</v>
      </c>
      <c r="AJ890" s="155" t="s">
        <v>52</v>
      </c>
      <c r="AK890" s="155" t="s">
        <v>20</v>
      </c>
      <c r="AL890" s="155" t="s">
        <v>28</v>
      </c>
      <c r="AM890" s="155" t="s">
        <v>51</v>
      </c>
      <c r="AN890" s="155" t="s">
        <v>301</v>
      </c>
      <c r="AO890" s="155">
        <v>1.5050929403702489</v>
      </c>
    </row>
    <row r="891" spans="29:41">
      <c r="AC891" s="155" t="s">
        <v>52</v>
      </c>
      <c r="AD891" s="155" t="s">
        <v>20</v>
      </c>
      <c r="AE891" s="155" t="s">
        <v>72</v>
      </c>
      <c r="AF891" s="155" t="s">
        <v>51</v>
      </c>
      <c r="AG891" s="155" t="s">
        <v>302</v>
      </c>
      <c r="AH891" s="155">
        <v>4.5467951308758243</v>
      </c>
      <c r="AJ891" s="155" t="s">
        <v>52</v>
      </c>
      <c r="AK891" s="155" t="s">
        <v>20</v>
      </c>
      <c r="AL891" s="155" t="s">
        <v>28</v>
      </c>
      <c r="AM891" s="155" t="s">
        <v>51</v>
      </c>
      <c r="AN891" s="155" t="s">
        <v>302</v>
      </c>
      <c r="AO891" s="155">
        <v>1.4923644639728642</v>
      </c>
    </row>
    <row r="892" spans="29:41">
      <c r="AC892" s="155" t="s">
        <v>52</v>
      </c>
      <c r="AD892" s="155" t="s">
        <v>20</v>
      </c>
      <c r="AE892" s="155" t="s">
        <v>72</v>
      </c>
      <c r="AF892" s="155" t="s">
        <v>51</v>
      </c>
      <c r="AG892" s="155" t="s">
        <v>303</v>
      </c>
      <c r="AH892" s="155">
        <v>4.4860360923539417</v>
      </c>
      <c r="AJ892" s="155" t="s">
        <v>52</v>
      </c>
      <c r="AK892" s="155" t="s">
        <v>20</v>
      </c>
      <c r="AL892" s="155" t="s">
        <v>28</v>
      </c>
      <c r="AM892" s="155" t="s">
        <v>51</v>
      </c>
      <c r="AN892" s="155" t="s">
        <v>303</v>
      </c>
      <c r="AO892" s="155">
        <v>1.4893979088827214</v>
      </c>
    </row>
    <row r="893" spans="29:41">
      <c r="AC893" s="155" t="s">
        <v>52</v>
      </c>
      <c r="AD893" s="155" t="s">
        <v>20</v>
      </c>
      <c r="AE893" s="155" t="s">
        <v>72</v>
      </c>
      <c r="AF893" s="155" t="s">
        <v>51</v>
      </c>
      <c r="AG893" s="155" t="s">
        <v>304</v>
      </c>
      <c r="AH893" s="155">
        <v>4.5464025578172089</v>
      </c>
      <c r="AJ893" s="155" t="s">
        <v>52</v>
      </c>
      <c r="AK893" s="155" t="s">
        <v>20</v>
      </c>
      <c r="AL893" s="155" t="s">
        <v>28</v>
      </c>
      <c r="AM893" s="155" t="s">
        <v>51</v>
      </c>
      <c r="AN893" s="155" t="s">
        <v>304</v>
      </c>
      <c r="AO893" s="155">
        <v>1.5965038687670492</v>
      </c>
    </row>
    <row r="894" spans="29:41">
      <c r="AC894" s="155" t="s">
        <v>52</v>
      </c>
      <c r="AD894" s="155" t="s">
        <v>20</v>
      </c>
      <c r="AE894" s="155" t="s">
        <v>72</v>
      </c>
      <c r="AF894" s="155" t="s">
        <v>51</v>
      </c>
      <c r="AG894" s="155" t="s">
        <v>305</v>
      </c>
      <c r="AH894" s="155">
        <v>4.4825742980400598</v>
      </c>
      <c r="AJ894" s="155" t="s">
        <v>52</v>
      </c>
      <c r="AK894" s="155" t="s">
        <v>20</v>
      </c>
      <c r="AL894" s="155" t="s">
        <v>28</v>
      </c>
      <c r="AM894" s="155" t="s">
        <v>51</v>
      </c>
      <c r="AN894" s="155" t="s">
        <v>305</v>
      </c>
      <c r="AO894" s="155">
        <v>1.5076469991584396</v>
      </c>
    </row>
    <row r="895" spans="29:41">
      <c r="AC895" s="155" t="s">
        <v>52</v>
      </c>
      <c r="AD895" s="155" t="s">
        <v>20</v>
      </c>
      <c r="AE895" s="155" t="s">
        <v>72</v>
      </c>
      <c r="AF895" s="155" t="s">
        <v>51</v>
      </c>
      <c r="AG895" s="155" t="s">
        <v>306</v>
      </c>
      <c r="AH895" s="155">
        <v>4.5464025578172089</v>
      </c>
      <c r="AJ895" s="155" t="s">
        <v>52</v>
      </c>
      <c r="AK895" s="155" t="s">
        <v>20</v>
      </c>
      <c r="AL895" s="155" t="s">
        <v>28</v>
      </c>
      <c r="AM895" s="155" t="s">
        <v>51</v>
      </c>
      <c r="AN895" s="155" t="s">
        <v>306</v>
      </c>
      <c r="AO895" s="155">
        <v>1.5879462997614093</v>
      </c>
    </row>
    <row r="896" spans="29:41">
      <c r="AC896" s="155" t="s">
        <v>52</v>
      </c>
      <c r="AD896" s="155" t="s">
        <v>20</v>
      </c>
      <c r="AE896" s="155" t="s">
        <v>72</v>
      </c>
      <c r="AF896" s="155" t="s">
        <v>51</v>
      </c>
      <c r="AG896" s="155" t="s">
        <v>307</v>
      </c>
      <c r="AH896" s="155">
        <v>4.3821353816591078</v>
      </c>
      <c r="AJ896" s="155" t="s">
        <v>52</v>
      </c>
      <c r="AK896" s="155" t="s">
        <v>20</v>
      </c>
      <c r="AL896" s="155" t="s">
        <v>28</v>
      </c>
      <c r="AM896" s="155" t="s">
        <v>51</v>
      </c>
      <c r="AN896" s="155" t="s">
        <v>307</v>
      </c>
      <c r="AO896" s="155">
        <v>1.3846075529478279</v>
      </c>
    </row>
    <row r="897" spans="29:41">
      <c r="AC897" s="155" t="s">
        <v>52</v>
      </c>
      <c r="AD897" s="155" t="s">
        <v>20</v>
      </c>
      <c r="AE897" s="155" t="s">
        <v>72</v>
      </c>
      <c r="AF897" s="155" t="s">
        <v>51</v>
      </c>
      <c r="AG897" s="155" t="s">
        <v>308</v>
      </c>
      <c r="AH897" s="155">
        <v>4.3821353816591078</v>
      </c>
      <c r="AJ897" s="155" t="s">
        <v>52</v>
      </c>
      <c r="AK897" s="155" t="s">
        <v>20</v>
      </c>
      <c r="AL897" s="155" t="s">
        <v>28</v>
      </c>
      <c r="AM897" s="155" t="s">
        <v>51</v>
      </c>
      <c r="AN897" s="155" t="s">
        <v>308</v>
      </c>
      <c r="AO897" s="155">
        <v>1.4517476239258378</v>
      </c>
    </row>
    <row r="898" spans="29:41">
      <c r="AC898" s="155" t="s">
        <v>52</v>
      </c>
      <c r="AD898" s="155" t="s">
        <v>20</v>
      </c>
      <c r="AE898" s="155" t="s">
        <v>72</v>
      </c>
      <c r="AF898" s="155" t="s">
        <v>51</v>
      </c>
      <c r="AG898" s="155" t="s">
        <v>309</v>
      </c>
      <c r="AH898" s="155">
        <v>4.3821353816591078</v>
      </c>
      <c r="AJ898" s="155" t="s">
        <v>52</v>
      </c>
      <c r="AK898" s="155" t="s">
        <v>20</v>
      </c>
      <c r="AL898" s="155" t="s">
        <v>28</v>
      </c>
      <c r="AM898" s="155" t="s">
        <v>51</v>
      </c>
      <c r="AN898" s="155" t="s">
        <v>309</v>
      </c>
      <c r="AO898" s="155">
        <v>1.3864436154726978</v>
      </c>
    </row>
    <row r="899" spans="29:41">
      <c r="AC899" s="155" t="s">
        <v>52</v>
      </c>
      <c r="AD899" s="155" t="s">
        <v>20</v>
      </c>
      <c r="AE899" s="155" t="s">
        <v>72</v>
      </c>
      <c r="AF899" s="155" t="s">
        <v>51</v>
      </c>
      <c r="AG899" s="155" t="s">
        <v>310</v>
      </c>
      <c r="AH899" s="155">
        <v>4.6104446823863938</v>
      </c>
      <c r="AJ899" s="155" t="s">
        <v>52</v>
      </c>
      <c r="AK899" s="155" t="s">
        <v>20</v>
      </c>
      <c r="AL899" s="155" t="s">
        <v>28</v>
      </c>
      <c r="AM899" s="155" t="s">
        <v>51</v>
      </c>
      <c r="AN899" s="155" t="s">
        <v>310</v>
      </c>
      <c r="AO899" s="155">
        <v>1.5826902108495644</v>
      </c>
    </row>
    <row r="900" spans="29:41">
      <c r="AC900" s="155" t="s">
        <v>52</v>
      </c>
      <c r="AD900" s="155" t="s">
        <v>20</v>
      </c>
      <c r="AE900" s="155" t="s">
        <v>72</v>
      </c>
      <c r="AF900" s="155" t="s">
        <v>51</v>
      </c>
      <c r="AG900" s="155" t="s">
        <v>311</v>
      </c>
      <c r="AH900" s="155">
        <v>4.6104446823863938</v>
      </c>
      <c r="AJ900" s="155" t="s">
        <v>52</v>
      </c>
      <c r="AK900" s="155" t="s">
        <v>20</v>
      </c>
      <c r="AL900" s="155" t="s">
        <v>28</v>
      </c>
      <c r="AM900" s="155" t="s">
        <v>51</v>
      </c>
      <c r="AN900" s="155" t="s">
        <v>311</v>
      </c>
      <c r="AO900" s="155">
        <v>1.5767376652120544</v>
      </c>
    </row>
    <row r="901" spans="29:41">
      <c r="AC901" s="155" t="s">
        <v>52</v>
      </c>
      <c r="AD901" s="155" t="s">
        <v>20</v>
      </c>
      <c r="AE901" s="155" t="s">
        <v>72</v>
      </c>
      <c r="AF901" s="155" t="s">
        <v>51</v>
      </c>
      <c r="AG901" s="155" t="s">
        <v>235</v>
      </c>
      <c r="AH901" s="155">
        <v>4.4860360923539417</v>
      </c>
      <c r="AJ901" s="155" t="s">
        <v>52</v>
      </c>
      <c r="AK901" s="155" t="s">
        <v>20</v>
      </c>
      <c r="AL901" s="155" t="s">
        <v>28</v>
      </c>
      <c r="AM901" s="155" t="s">
        <v>51</v>
      </c>
      <c r="AN901" s="155" t="s">
        <v>235</v>
      </c>
      <c r="AO901" s="155">
        <v>1.4921818127692914</v>
      </c>
    </row>
    <row r="902" spans="29:41">
      <c r="AC902" s="155" t="s">
        <v>52</v>
      </c>
      <c r="AD902" s="155" t="s">
        <v>20</v>
      </c>
      <c r="AE902" s="155" t="s">
        <v>72</v>
      </c>
      <c r="AF902" s="155" t="s">
        <v>51</v>
      </c>
      <c r="AG902" s="155" t="s">
        <v>312</v>
      </c>
      <c r="AH902" s="155">
        <v>4.4222656236769913</v>
      </c>
      <c r="AJ902" s="155" t="s">
        <v>52</v>
      </c>
      <c r="AK902" s="155" t="s">
        <v>20</v>
      </c>
      <c r="AL902" s="155" t="s">
        <v>28</v>
      </c>
      <c r="AM902" s="155" t="s">
        <v>51</v>
      </c>
      <c r="AN902" s="155" t="s">
        <v>312</v>
      </c>
      <c r="AO902" s="155">
        <v>1.4568201416918514</v>
      </c>
    </row>
    <row r="903" spans="29:41">
      <c r="AC903" s="155" t="s">
        <v>52</v>
      </c>
      <c r="AD903" s="155" t="s">
        <v>20</v>
      </c>
      <c r="AE903" s="155" t="s">
        <v>72</v>
      </c>
      <c r="AF903" s="155" t="s">
        <v>51</v>
      </c>
      <c r="AG903" s="155" t="s">
        <v>313</v>
      </c>
      <c r="AH903" s="155">
        <v>4.4222656236769913</v>
      </c>
      <c r="AJ903" s="155" t="s">
        <v>52</v>
      </c>
      <c r="AK903" s="155" t="s">
        <v>20</v>
      </c>
      <c r="AL903" s="155" t="s">
        <v>28</v>
      </c>
      <c r="AM903" s="155" t="s">
        <v>51</v>
      </c>
      <c r="AN903" s="155" t="s">
        <v>313</v>
      </c>
      <c r="AO903" s="155">
        <v>1.4491482200129313</v>
      </c>
    </row>
    <row r="904" spans="29:41">
      <c r="AC904" s="155" t="s">
        <v>52</v>
      </c>
      <c r="AD904" s="155" t="s">
        <v>20</v>
      </c>
      <c r="AE904" s="155" t="s">
        <v>72</v>
      </c>
      <c r="AF904" s="155" t="s">
        <v>51</v>
      </c>
      <c r="AG904" s="155" t="s">
        <v>314</v>
      </c>
      <c r="AH904" s="155">
        <v>4.4860360923539417</v>
      </c>
      <c r="AJ904" s="155" t="s">
        <v>52</v>
      </c>
      <c r="AK904" s="155" t="s">
        <v>20</v>
      </c>
      <c r="AL904" s="155" t="s">
        <v>28</v>
      </c>
      <c r="AM904" s="155" t="s">
        <v>51</v>
      </c>
      <c r="AN904" s="155" t="s">
        <v>314</v>
      </c>
      <c r="AO904" s="155">
        <v>1.4682763725987411</v>
      </c>
    </row>
    <row r="905" spans="29:41">
      <c r="AC905" s="155" t="s">
        <v>52</v>
      </c>
      <c r="AD905" s="155" t="s">
        <v>20</v>
      </c>
      <c r="AE905" s="155" t="s">
        <v>72</v>
      </c>
      <c r="AF905" s="155" t="s">
        <v>51</v>
      </c>
      <c r="AG905" s="155" t="s">
        <v>234</v>
      </c>
      <c r="AH905" s="155">
        <v>4.6104446823863938</v>
      </c>
      <c r="AJ905" s="155" t="s">
        <v>52</v>
      </c>
      <c r="AK905" s="155" t="s">
        <v>20</v>
      </c>
      <c r="AL905" s="155" t="s">
        <v>28</v>
      </c>
      <c r="AM905" s="155" t="s">
        <v>51</v>
      </c>
      <c r="AN905" s="155" t="s">
        <v>234</v>
      </c>
      <c r="AO905" s="155">
        <v>1.5678366548067841</v>
      </c>
    </row>
    <row r="906" spans="29:41">
      <c r="AC906" s="155" t="s">
        <v>52</v>
      </c>
      <c r="AD906" s="155" t="s">
        <v>20</v>
      </c>
      <c r="AE906" s="155" t="s">
        <v>72</v>
      </c>
      <c r="AF906" s="155" t="s">
        <v>51</v>
      </c>
      <c r="AG906" s="155" t="s">
        <v>237</v>
      </c>
      <c r="AH906" s="155">
        <v>4.6104446823863938</v>
      </c>
      <c r="AJ906" s="155" t="s">
        <v>52</v>
      </c>
      <c r="AK906" s="155" t="s">
        <v>20</v>
      </c>
      <c r="AL906" s="155" t="s">
        <v>28</v>
      </c>
      <c r="AM906" s="155" t="s">
        <v>51</v>
      </c>
      <c r="AN906" s="155" t="s">
        <v>237</v>
      </c>
      <c r="AO906" s="155">
        <v>1.5828680159797839</v>
      </c>
    </row>
    <row r="907" spans="29:41">
      <c r="AC907" s="155" t="s">
        <v>52</v>
      </c>
      <c r="AD907" s="155" t="s">
        <v>20</v>
      </c>
      <c r="AE907" s="155" t="s">
        <v>72</v>
      </c>
      <c r="AF907" s="155" t="s">
        <v>51</v>
      </c>
      <c r="AG907" s="155" t="s">
        <v>319</v>
      </c>
      <c r="AH907" s="155">
        <v>4.6104446823863938</v>
      </c>
      <c r="AJ907" s="155" t="s">
        <v>52</v>
      </c>
      <c r="AK907" s="155" t="s">
        <v>20</v>
      </c>
      <c r="AL907" s="155" t="s">
        <v>28</v>
      </c>
      <c r="AM907" s="155" t="s">
        <v>51</v>
      </c>
      <c r="AN907" s="155" t="s">
        <v>319</v>
      </c>
      <c r="AO907" s="155">
        <v>1.6074802339129644</v>
      </c>
    </row>
    <row r="908" spans="29:41">
      <c r="AC908" s="155" t="s">
        <v>52</v>
      </c>
      <c r="AD908" s="155" t="s">
        <v>20</v>
      </c>
      <c r="AE908" s="155" t="s">
        <v>72</v>
      </c>
      <c r="AF908" s="155" t="s">
        <v>51</v>
      </c>
      <c r="AG908" s="155" t="s">
        <v>320</v>
      </c>
      <c r="AH908" s="155">
        <v>4.6104446823863938</v>
      </c>
      <c r="AJ908" s="155" t="s">
        <v>52</v>
      </c>
      <c r="AK908" s="155" t="s">
        <v>20</v>
      </c>
      <c r="AL908" s="155" t="s">
        <v>28</v>
      </c>
      <c r="AM908" s="155" t="s">
        <v>51</v>
      </c>
      <c r="AN908" s="155" t="s">
        <v>320</v>
      </c>
      <c r="AO908" s="155">
        <v>1.5530563894535645</v>
      </c>
    </row>
    <row r="909" spans="29:41">
      <c r="AC909" s="155" t="s">
        <v>52</v>
      </c>
      <c r="AD909" s="155" t="s">
        <v>20</v>
      </c>
      <c r="AE909" s="155" t="s">
        <v>72</v>
      </c>
      <c r="AF909" s="155" t="s">
        <v>51</v>
      </c>
      <c r="AG909" s="155" t="s">
        <v>321</v>
      </c>
      <c r="AH909" s="155">
        <v>4.5467951308758243</v>
      </c>
      <c r="AJ909" s="155" t="s">
        <v>52</v>
      </c>
      <c r="AK909" s="155" t="s">
        <v>20</v>
      </c>
      <c r="AL909" s="155" t="s">
        <v>28</v>
      </c>
      <c r="AM909" s="155" t="s">
        <v>51</v>
      </c>
      <c r="AN909" s="155" t="s">
        <v>321</v>
      </c>
      <c r="AO909" s="155">
        <v>1.5414057225941038</v>
      </c>
    </row>
    <row r="910" spans="29:41">
      <c r="AC910" s="155" t="s">
        <v>52</v>
      </c>
      <c r="AD910" s="155" t="s">
        <v>20</v>
      </c>
      <c r="AE910" s="155" t="s">
        <v>72</v>
      </c>
      <c r="AF910" s="155" t="s">
        <v>51</v>
      </c>
      <c r="AG910" s="155" t="s">
        <v>322</v>
      </c>
      <c r="AH910" s="155">
        <v>4.4222656236769913</v>
      </c>
      <c r="AJ910" s="155" t="s">
        <v>52</v>
      </c>
      <c r="AK910" s="155" t="s">
        <v>20</v>
      </c>
      <c r="AL910" s="155" t="s">
        <v>28</v>
      </c>
      <c r="AM910" s="155" t="s">
        <v>51</v>
      </c>
      <c r="AN910" s="155" t="s">
        <v>322</v>
      </c>
      <c r="AO910" s="155">
        <v>1.4288129384799915</v>
      </c>
    </row>
    <row r="911" spans="29:41">
      <c r="AC911" s="155" t="s">
        <v>52</v>
      </c>
      <c r="AD911" s="155" t="s">
        <v>20</v>
      </c>
      <c r="AE911" s="155" t="s">
        <v>72</v>
      </c>
      <c r="AF911" s="155" t="s">
        <v>51</v>
      </c>
      <c r="AG911" s="155" t="s">
        <v>323</v>
      </c>
      <c r="AH911" s="155">
        <v>4.4860360923539417</v>
      </c>
      <c r="AJ911" s="155" t="s">
        <v>52</v>
      </c>
      <c r="AK911" s="155" t="s">
        <v>20</v>
      </c>
      <c r="AL911" s="155" t="s">
        <v>28</v>
      </c>
      <c r="AM911" s="155" t="s">
        <v>51</v>
      </c>
      <c r="AN911" s="155" t="s">
        <v>323</v>
      </c>
      <c r="AO911" s="155">
        <v>1.4908988131442615</v>
      </c>
    </row>
    <row r="912" spans="29:41">
      <c r="AC912" s="155" t="s">
        <v>52</v>
      </c>
      <c r="AD912" s="155" t="s">
        <v>20</v>
      </c>
      <c r="AE912" s="155" t="s">
        <v>72</v>
      </c>
      <c r="AF912" s="155" t="s">
        <v>51</v>
      </c>
      <c r="AG912" s="155" t="s">
        <v>324</v>
      </c>
      <c r="AH912" s="155">
        <v>4.4222656236769913</v>
      </c>
      <c r="AJ912" s="155" t="s">
        <v>52</v>
      </c>
      <c r="AK912" s="155" t="s">
        <v>20</v>
      </c>
      <c r="AL912" s="155" t="s">
        <v>28</v>
      </c>
      <c r="AM912" s="155" t="s">
        <v>51</v>
      </c>
      <c r="AN912" s="155" t="s">
        <v>324</v>
      </c>
      <c r="AO912" s="155">
        <v>1.4888651034932316</v>
      </c>
    </row>
    <row r="913" spans="29:41">
      <c r="AC913" s="155" t="s">
        <v>52</v>
      </c>
      <c r="AD913" s="155" t="s">
        <v>20</v>
      </c>
      <c r="AE913" s="155" t="s">
        <v>72</v>
      </c>
      <c r="AF913" s="155" t="s">
        <v>51</v>
      </c>
      <c r="AG913" s="155" t="s">
        <v>325</v>
      </c>
      <c r="AH913" s="155">
        <v>4.5464025578172089</v>
      </c>
      <c r="AJ913" s="155" t="s">
        <v>52</v>
      </c>
      <c r="AK913" s="155" t="s">
        <v>20</v>
      </c>
      <c r="AL913" s="155" t="s">
        <v>28</v>
      </c>
      <c r="AM913" s="155" t="s">
        <v>51</v>
      </c>
      <c r="AN913" s="155" t="s">
        <v>325</v>
      </c>
      <c r="AO913" s="155">
        <v>1.634451857918249</v>
      </c>
    </row>
    <row r="914" spans="29:41">
      <c r="AC914" s="155" t="s">
        <v>52</v>
      </c>
      <c r="AD914" s="155" t="s">
        <v>20</v>
      </c>
      <c r="AE914" s="155" t="s">
        <v>72</v>
      </c>
      <c r="AF914" s="155" t="s">
        <v>51</v>
      </c>
      <c r="AG914" s="155" t="s">
        <v>326</v>
      </c>
      <c r="AH914" s="155">
        <v>4.5464025578172089</v>
      </c>
      <c r="AJ914" s="155" t="s">
        <v>52</v>
      </c>
      <c r="AK914" s="155" t="s">
        <v>20</v>
      </c>
      <c r="AL914" s="155" t="s">
        <v>28</v>
      </c>
      <c r="AM914" s="155" t="s">
        <v>51</v>
      </c>
      <c r="AN914" s="155" t="s">
        <v>326</v>
      </c>
      <c r="AO914" s="155">
        <v>1.6609457499988993</v>
      </c>
    </row>
    <row r="915" spans="29:41">
      <c r="AC915" s="155" t="s">
        <v>52</v>
      </c>
      <c r="AD915" s="155" t="s">
        <v>20</v>
      </c>
      <c r="AE915" s="155" t="s">
        <v>72</v>
      </c>
      <c r="AF915" s="155" t="s">
        <v>51</v>
      </c>
      <c r="AG915" s="155" t="s">
        <v>327</v>
      </c>
      <c r="AH915" s="155">
        <v>4.5464025578172089</v>
      </c>
      <c r="AJ915" s="155" t="s">
        <v>52</v>
      </c>
      <c r="AK915" s="155" t="s">
        <v>20</v>
      </c>
      <c r="AL915" s="155" t="s">
        <v>28</v>
      </c>
      <c r="AM915" s="155" t="s">
        <v>51</v>
      </c>
      <c r="AN915" s="155" t="s">
        <v>327</v>
      </c>
      <c r="AO915" s="155">
        <v>1.6485683268281093</v>
      </c>
    </row>
    <row r="916" spans="29:41">
      <c r="AC916" s="155" t="s">
        <v>52</v>
      </c>
      <c r="AD916" s="155" t="s">
        <v>20</v>
      </c>
      <c r="AE916" s="155" t="s">
        <v>72</v>
      </c>
      <c r="AF916" s="155" t="s">
        <v>51</v>
      </c>
      <c r="AG916" s="155" t="s">
        <v>328</v>
      </c>
      <c r="AH916" s="155">
        <v>4.3577019868052416</v>
      </c>
      <c r="AJ916" s="155" t="s">
        <v>52</v>
      </c>
      <c r="AK916" s="155" t="s">
        <v>20</v>
      </c>
      <c r="AL916" s="155" t="s">
        <v>28</v>
      </c>
      <c r="AM916" s="155" t="s">
        <v>51</v>
      </c>
      <c r="AN916" s="155" t="s">
        <v>328</v>
      </c>
      <c r="AO916" s="155">
        <v>1.5152280978538615</v>
      </c>
    </row>
    <row r="917" spans="29:41">
      <c r="AC917" s="155" t="s">
        <v>52</v>
      </c>
      <c r="AD917" s="155" t="s">
        <v>20</v>
      </c>
      <c r="AE917" s="155" t="s">
        <v>72</v>
      </c>
      <c r="AF917" s="155" t="s">
        <v>51</v>
      </c>
      <c r="AG917" s="155" t="s">
        <v>329</v>
      </c>
      <c r="AH917" s="155">
        <v>4.4825742980400598</v>
      </c>
      <c r="AJ917" s="155" t="s">
        <v>52</v>
      </c>
      <c r="AK917" s="155" t="s">
        <v>20</v>
      </c>
      <c r="AL917" s="155" t="s">
        <v>28</v>
      </c>
      <c r="AM917" s="155" t="s">
        <v>51</v>
      </c>
      <c r="AN917" s="155" t="s">
        <v>329</v>
      </c>
      <c r="AO917" s="155">
        <v>1.6697801347929899</v>
      </c>
    </row>
    <row r="918" spans="29:41">
      <c r="AC918" s="155" t="s">
        <v>52</v>
      </c>
      <c r="AD918" s="155" t="s">
        <v>20</v>
      </c>
      <c r="AE918" s="155" t="s">
        <v>72</v>
      </c>
      <c r="AF918" s="155" t="s">
        <v>51</v>
      </c>
      <c r="AG918" s="155" t="s">
        <v>330</v>
      </c>
      <c r="AH918" s="155">
        <v>4.4216522874164488</v>
      </c>
      <c r="AJ918" s="155" t="s">
        <v>52</v>
      </c>
      <c r="AK918" s="155" t="s">
        <v>20</v>
      </c>
      <c r="AL918" s="155" t="s">
        <v>28</v>
      </c>
      <c r="AM918" s="155" t="s">
        <v>51</v>
      </c>
      <c r="AN918" s="155" t="s">
        <v>330</v>
      </c>
      <c r="AO918" s="155">
        <v>1.5959735193840592</v>
      </c>
    </row>
    <row r="919" spans="29:41">
      <c r="AC919" s="155" t="s">
        <v>52</v>
      </c>
      <c r="AD919" s="155" t="s">
        <v>20</v>
      </c>
      <c r="AE919" s="155" t="s">
        <v>72</v>
      </c>
      <c r="AF919" s="155" t="s">
        <v>51</v>
      </c>
      <c r="AG919" s="155" t="s">
        <v>331</v>
      </c>
      <c r="AH919" s="155">
        <v>4.256473470140862</v>
      </c>
      <c r="AJ919" s="155" t="s">
        <v>52</v>
      </c>
      <c r="AK919" s="155" t="s">
        <v>20</v>
      </c>
      <c r="AL919" s="155" t="s">
        <v>28</v>
      </c>
      <c r="AM919" s="155" t="s">
        <v>51</v>
      </c>
      <c r="AN919" s="155" t="s">
        <v>331</v>
      </c>
      <c r="AO919" s="155">
        <v>1.4739154736450317</v>
      </c>
    </row>
    <row r="920" spans="29:41">
      <c r="AC920" s="155" t="s">
        <v>52</v>
      </c>
      <c r="AD920" s="155" t="s">
        <v>20</v>
      </c>
      <c r="AE920" s="155" t="s">
        <v>72</v>
      </c>
      <c r="AF920" s="155" t="s">
        <v>51</v>
      </c>
      <c r="AG920" s="155" t="s">
        <v>332</v>
      </c>
      <c r="AH920" s="155">
        <v>4.2966687844513389</v>
      </c>
      <c r="AJ920" s="155" t="s">
        <v>52</v>
      </c>
      <c r="AK920" s="155" t="s">
        <v>20</v>
      </c>
      <c r="AL920" s="155" t="s">
        <v>28</v>
      </c>
      <c r="AM920" s="155" t="s">
        <v>51</v>
      </c>
      <c r="AN920" s="155" t="s">
        <v>332</v>
      </c>
      <c r="AO920" s="155">
        <v>1.5082903058481585</v>
      </c>
    </row>
    <row r="921" spans="29:41">
      <c r="AC921" s="155" t="s">
        <v>52</v>
      </c>
      <c r="AD921" s="155" t="s">
        <v>20</v>
      </c>
      <c r="AE921" s="155" t="s">
        <v>72</v>
      </c>
      <c r="AF921" s="155" t="s">
        <v>51</v>
      </c>
      <c r="AG921" s="155" t="s">
        <v>333</v>
      </c>
      <c r="AH921" s="155">
        <v>4.4187377611835057</v>
      </c>
      <c r="AJ921" s="155" t="s">
        <v>52</v>
      </c>
      <c r="AK921" s="155" t="s">
        <v>20</v>
      </c>
      <c r="AL921" s="155" t="s">
        <v>28</v>
      </c>
      <c r="AM921" s="155" t="s">
        <v>51</v>
      </c>
      <c r="AN921" s="155" t="s">
        <v>333</v>
      </c>
      <c r="AO921" s="155">
        <v>1.6787421783783254</v>
      </c>
    </row>
    <row r="922" spans="29:41">
      <c r="AC922" s="155" t="s">
        <v>52</v>
      </c>
      <c r="AD922" s="155" t="s">
        <v>20</v>
      </c>
      <c r="AE922" s="155" t="s">
        <v>72</v>
      </c>
      <c r="AF922" s="155" t="s">
        <v>51</v>
      </c>
      <c r="AG922" s="155" t="s">
        <v>334</v>
      </c>
      <c r="AH922" s="155">
        <v>4.4187377611835057</v>
      </c>
      <c r="AJ922" s="155" t="s">
        <v>52</v>
      </c>
      <c r="AK922" s="155" t="s">
        <v>20</v>
      </c>
      <c r="AL922" s="155" t="s">
        <v>28</v>
      </c>
      <c r="AM922" s="155" t="s">
        <v>51</v>
      </c>
      <c r="AN922" s="155" t="s">
        <v>334</v>
      </c>
      <c r="AO922" s="155">
        <v>1.6552659723084056</v>
      </c>
    </row>
    <row r="923" spans="29:41">
      <c r="AC923" s="155" t="s">
        <v>52</v>
      </c>
      <c r="AD923" s="155" t="s">
        <v>20</v>
      </c>
      <c r="AE923" s="155" t="s">
        <v>72</v>
      </c>
      <c r="AF923" s="155" t="s">
        <v>51</v>
      </c>
      <c r="AG923" s="155" t="s">
        <v>335</v>
      </c>
      <c r="AH923" s="155">
        <v>4.2966687844513389</v>
      </c>
      <c r="AJ923" s="155" t="s">
        <v>52</v>
      </c>
      <c r="AK923" s="155" t="s">
        <v>20</v>
      </c>
      <c r="AL923" s="155" t="s">
        <v>28</v>
      </c>
      <c r="AM923" s="155" t="s">
        <v>51</v>
      </c>
      <c r="AN923" s="155" t="s">
        <v>335</v>
      </c>
      <c r="AO923" s="155">
        <v>1.5081779725751188</v>
      </c>
    </row>
    <row r="924" spans="29:41">
      <c r="AC924" s="155" t="s">
        <v>52</v>
      </c>
      <c r="AD924" s="155" t="s">
        <v>20</v>
      </c>
      <c r="AE924" s="155" t="s">
        <v>72</v>
      </c>
      <c r="AF924" s="155" t="s">
        <v>51</v>
      </c>
      <c r="AG924" s="155" t="s">
        <v>336</v>
      </c>
      <c r="AH924" s="155">
        <v>4.4187377611835057</v>
      </c>
      <c r="AJ924" s="155" t="s">
        <v>52</v>
      </c>
      <c r="AK924" s="155" t="s">
        <v>20</v>
      </c>
      <c r="AL924" s="155" t="s">
        <v>28</v>
      </c>
      <c r="AM924" s="155" t="s">
        <v>51</v>
      </c>
      <c r="AN924" s="155" t="s">
        <v>336</v>
      </c>
      <c r="AO924" s="155">
        <v>1.6485248198783153</v>
      </c>
    </row>
    <row r="925" spans="29:41">
      <c r="AC925" s="155" t="s">
        <v>52</v>
      </c>
      <c r="AD925" s="155" t="s">
        <v>20</v>
      </c>
      <c r="AE925" s="155" t="s">
        <v>72</v>
      </c>
      <c r="AF925" s="155" t="s">
        <v>51</v>
      </c>
      <c r="AG925" s="155" t="s">
        <v>316</v>
      </c>
      <c r="AH925" s="155">
        <v>4.4187377611835057</v>
      </c>
      <c r="AJ925" s="155" t="s">
        <v>52</v>
      </c>
      <c r="AK925" s="155" t="s">
        <v>20</v>
      </c>
      <c r="AL925" s="155" t="s">
        <v>28</v>
      </c>
      <c r="AM925" s="155" t="s">
        <v>51</v>
      </c>
      <c r="AN925" s="155" t="s">
        <v>316</v>
      </c>
      <c r="AO925" s="155">
        <v>1.6870544821255555</v>
      </c>
    </row>
    <row r="926" spans="29:41">
      <c r="AC926" s="155" t="s">
        <v>52</v>
      </c>
      <c r="AD926" s="155" t="s">
        <v>20</v>
      </c>
      <c r="AE926" s="155" t="s">
        <v>72</v>
      </c>
      <c r="AF926" s="155" t="s">
        <v>51</v>
      </c>
      <c r="AG926" s="155" t="s">
        <v>337</v>
      </c>
      <c r="AH926" s="155">
        <v>4.4187377611835057</v>
      </c>
      <c r="AJ926" s="155" t="s">
        <v>52</v>
      </c>
      <c r="AK926" s="155" t="s">
        <v>20</v>
      </c>
      <c r="AL926" s="155" t="s">
        <v>28</v>
      </c>
      <c r="AM926" s="155" t="s">
        <v>51</v>
      </c>
      <c r="AN926" s="155" t="s">
        <v>337</v>
      </c>
      <c r="AO926" s="155">
        <v>1.6829975552898355</v>
      </c>
    </row>
    <row r="927" spans="29:41">
      <c r="AC927" s="155" t="s">
        <v>52</v>
      </c>
      <c r="AD927" s="155" t="s">
        <v>20</v>
      </c>
      <c r="AE927" s="155" t="s">
        <v>72</v>
      </c>
      <c r="AF927" s="155" t="s">
        <v>51</v>
      </c>
      <c r="AG927" s="155" t="s">
        <v>338</v>
      </c>
      <c r="AH927" s="155">
        <v>4.3576528674279986</v>
      </c>
      <c r="AJ927" s="155" t="s">
        <v>52</v>
      </c>
      <c r="AK927" s="155" t="s">
        <v>20</v>
      </c>
      <c r="AL927" s="155" t="s">
        <v>28</v>
      </c>
      <c r="AM927" s="155" t="s">
        <v>51</v>
      </c>
      <c r="AN927" s="155" t="s">
        <v>338</v>
      </c>
      <c r="AO927" s="155">
        <v>1.650800447810389</v>
      </c>
    </row>
    <row r="928" spans="29:41">
      <c r="AC928" s="155" t="s">
        <v>52</v>
      </c>
      <c r="AD928" s="155" t="s">
        <v>20</v>
      </c>
      <c r="AE928" s="155" t="s">
        <v>72</v>
      </c>
      <c r="AF928" s="155" t="s">
        <v>51</v>
      </c>
      <c r="AG928" s="155" t="s">
        <v>339</v>
      </c>
      <c r="AH928" s="155">
        <v>4.2323257174829196</v>
      </c>
      <c r="AJ928" s="155" t="s">
        <v>52</v>
      </c>
      <c r="AK928" s="155" t="s">
        <v>20</v>
      </c>
      <c r="AL928" s="155" t="s">
        <v>28</v>
      </c>
      <c r="AM928" s="155" t="s">
        <v>51</v>
      </c>
      <c r="AN928" s="155" t="s">
        <v>339</v>
      </c>
      <c r="AO928" s="155">
        <v>1.5847911942574795</v>
      </c>
    </row>
    <row r="929" spans="29:41">
      <c r="AC929" s="155" t="s">
        <v>52</v>
      </c>
      <c r="AD929" s="155" t="s">
        <v>20</v>
      </c>
      <c r="AE929" s="155" t="s">
        <v>72</v>
      </c>
      <c r="AF929" s="155" t="s">
        <v>51</v>
      </c>
      <c r="AG929" s="155" t="s">
        <v>315</v>
      </c>
      <c r="AH929" s="155">
        <v>4.2354507174829195</v>
      </c>
      <c r="AJ929" s="155" t="s">
        <v>52</v>
      </c>
      <c r="AK929" s="155" t="s">
        <v>20</v>
      </c>
      <c r="AL929" s="155" t="s">
        <v>28</v>
      </c>
      <c r="AM929" s="155" t="s">
        <v>51</v>
      </c>
      <c r="AN929" s="155" t="s">
        <v>315</v>
      </c>
      <c r="AO929" s="155">
        <v>1.5271759597894994</v>
      </c>
    </row>
    <row r="930" spans="29:41">
      <c r="AC930" s="155" t="s">
        <v>52</v>
      </c>
      <c r="AD930" s="155" t="s">
        <v>20</v>
      </c>
      <c r="AE930" s="155" t="s">
        <v>72</v>
      </c>
      <c r="AF930" s="155" t="s">
        <v>51</v>
      </c>
      <c r="AG930" s="155" t="s">
        <v>318</v>
      </c>
      <c r="AH930" s="155">
        <v>4.2996395977984392</v>
      </c>
      <c r="AJ930" s="155" t="s">
        <v>52</v>
      </c>
      <c r="AK930" s="155" t="s">
        <v>20</v>
      </c>
      <c r="AL930" s="155" t="s">
        <v>28</v>
      </c>
      <c r="AM930" s="155" t="s">
        <v>51</v>
      </c>
      <c r="AN930" s="155" t="s">
        <v>318</v>
      </c>
      <c r="AO930" s="155">
        <v>1.6823507845627088</v>
      </c>
    </row>
    <row r="931" spans="29:41">
      <c r="AC931" s="155" t="s">
        <v>53</v>
      </c>
      <c r="AD931" s="155" t="s">
        <v>20</v>
      </c>
      <c r="AE931" s="155" t="s">
        <v>72</v>
      </c>
      <c r="AF931" s="155" t="s">
        <v>51</v>
      </c>
      <c r="AG931" s="155" t="s">
        <v>130</v>
      </c>
      <c r="AH931" s="155">
        <v>4.0036250000000004</v>
      </c>
      <c r="AJ931" s="155" t="s">
        <v>74</v>
      </c>
      <c r="AK931" s="155" t="s">
        <v>88</v>
      </c>
      <c r="AL931" s="155" t="s">
        <v>25</v>
      </c>
      <c r="AM931" s="155" t="s">
        <v>51</v>
      </c>
      <c r="AN931" s="155" t="s">
        <v>130</v>
      </c>
      <c r="AO931" s="155">
        <v>2.8341999400292899</v>
      </c>
    </row>
    <row r="932" spans="29:41">
      <c r="AC932" s="155" t="s">
        <v>53</v>
      </c>
      <c r="AD932" s="155" t="s">
        <v>20</v>
      </c>
      <c r="AE932" s="155" t="s">
        <v>72</v>
      </c>
      <c r="AF932" s="155" t="s">
        <v>51</v>
      </c>
      <c r="AG932" s="155" t="s">
        <v>131</v>
      </c>
      <c r="AH932" s="155">
        <v>4.0036250000000004</v>
      </c>
      <c r="AJ932" s="155" t="s">
        <v>74</v>
      </c>
      <c r="AK932" s="155" t="s">
        <v>88</v>
      </c>
      <c r="AL932" s="155" t="s">
        <v>25</v>
      </c>
      <c r="AM932" s="155" t="s">
        <v>51</v>
      </c>
      <c r="AN932" s="155" t="s">
        <v>131</v>
      </c>
      <c r="AO932" s="155">
        <v>2.8241837227534399</v>
      </c>
    </row>
    <row r="933" spans="29:41">
      <c r="AC933" s="155" t="s">
        <v>53</v>
      </c>
      <c r="AD933" s="155" t="s">
        <v>20</v>
      </c>
      <c r="AE933" s="155" t="s">
        <v>72</v>
      </c>
      <c r="AF933" s="155" t="s">
        <v>51</v>
      </c>
      <c r="AG933" s="155" t="s">
        <v>132</v>
      </c>
      <c r="AH933" s="155">
        <v>3.9717500000000001</v>
      </c>
      <c r="AJ933" s="155" t="s">
        <v>74</v>
      </c>
      <c r="AK933" s="155" t="s">
        <v>88</v>
      </c>
      <c r="AL933" s="155" t="s">
        <v>25</v>
      </c>
      <c r="AM933" s="155" t="s">
        <v>51</v>
      </c>
      <c r="AN933" s="155" t="s">
        <v>132</v>
      </c>
      <c r="AO933" s="155">
        <v>2.81556157497667</v>
      </c>
    </row>
    <row r="934" spans="29:41">
      <c r="AC934" s="155" t="s">
        <v>53</v>
      </c>
      <c r="AD934" s="155" t="s">
        <v>20</v>
      </c>
      <c r="AE934" s="155" t="s">
        <v>72</v>
      </c>
      <c r="AF934" s="155" t="s">
        <v>51</v>
      </c>
      <c r="AG934" s="155" t="s">
        <v>133</v>
      </c>
      <c r="AH934" s="155">
        <v>4.0676249999999996</v>
      </c>
      <c r="AJ934" s="155" t="s">
        <v>74</v>
      </c>
      <c r="AK934" s="155" t="s">
        <v>88</v>
      </c>
      <c r="AL934" s="155" t="s">
        <v>25</v>
      </c>
      <c r="AM934" s="155" t="s">
        <v>51</v>
      </c>
      <c r="AN934" s="155" t="s">
        <v>133</v>
      </c>
      <c r="AO934" s="155">
        <v>2.9303170109018999</v>
      </c>
    </row>
    <row r="935" spans="29:41">
      <c r="AC935" s="155" t="s">
        <v>53</v>
      </c>
      <c r="AD935" s="155" t="s">
        <v>20</v>
      </c>
      <c r="AE935" s="155" t="s">
        <v>72</v>
      </c>
      <c r="AF935" s="155" t="s">
        <v>51</v>
      </c>
      <c r="AG935" s="155" t="s">
        <v>134</v>
      </c>
      <c r="AH935" s="155">
        <v>4.0353750000000002</v>
      </c>
      <c r="AJ935" s="155" t="s">
        <v>74</v>
      </c>
      <c r="AK935" s="155" t="s">
        <v>88</v>
      </c>
      <c r="AL935" s="155" t="s">
        <v>25</v>
      </c>
      <c r="AM935" s="155" t="s">
        <v>51</v>
      </c>
      <c r="AN935" s="155" t="s">
        <v>134</v>
      </c>
      <c r="AO935" s="155">
        <v>2.90222752352993</v>
      </c>
    </row>
    <row r="936" spans="29:41">
      <c r="AC936" s="155" t="s">
        <v>53</v>
      </c>
      <c r="AD936" s="155" t="s">
        <v>20</v>
      </c>
      <c r="AE936" s="155" t="s">
        <v>72</v>
      </c>
      <c r="AF936" s="155" t="s">
        <v>51</v>
      </c>
      <c r="AG936" s="155" t="s">
        <v>135</v>
      </c>
      <c r="AH936" s="155">
        <v>4.0353750000000002</v>
      </c>
      <c r="AJ936" s="155" t="s">
        <v>74</v>
      </c>
      <c r="AK936" s="155" t="s">
        <v>88</v>
      </c>
      <c r="AL936" s="155" t="s">
        <v>25</v>
      </c>
      <c r="AM936" s="155" t="s">
        <v>51</v>
      </c>
      <c r="AN936" s="155" t="s">
        <v>135</v>
      </c>
      <c r="AO936" s="155">
        <v>2.84635033680676</v>
      </c>
    </row>
    <row r="937" spans="29:41">
      <c r="AC937" s="155" t="s">
        <v>53</v>
      </c>
      <c r="AD937" s="155" t="s">
        <v>20</v>
      </c>
      <c r="AE937" s="155" t="s">
        <v>72</v>
      </c>
      <c r="AF937" s="155" t="s">
        <v>51</v>
      </c>
      <c r="AG937" s="155" t="s">
        <v>136</v>
      </c>
      <c r="AH937" s="155">
        <v>4.0036250000000004</v>
      </c>
      <c r="AJ937" s="155" t="s">
        <v>74</v>
      </c>
      <c r="AK937" s="155" t="s">
        <v>88</v>
      </c>
      <c r="AL937" s="155" t="s">
        <v>25</v>
      </c>
      <c r="AM937" s="155" t="s">
        <v>51</v>
      </c>
      <c r="AN937" s="155" t="s">
        <v>136</v>
      </c>
      <c r="AO937" s="155">
        <v>2.8278353033181198</v>
      </c>
    </row>
    <row r="938" spans="29:41">
      <c r="AC938" s="155" t="s">
        <v>53</v>
      </c>
      <c r="AD938" s="155" t="s">
        <v>20</v>
      </c>
      <c r="AE938" s="155" t="s">
        <v>72</v>
      </c>
      <c r="AF938" s="155" t="s">
        <v>51</v>
      </c>
      <c r="AG938" s="155" t="s">
        <v>137</v>
      </c>
      <c r="AH938" s="155">
        <v>3.9717500000000001</v>
      </c>
      <c r="AJ938" s="155" t="s">
        <v>74</v>
      </c>
      <c r="AK938" s="155" t="s">
        <v>88</v>
      </c>
      <c r="AL938" s="155" t="s">
        <v>25</v>
      </c>
      <c r="AM938" s="155" t="s">
        <v>51</v>
      </c>
      <c r="AN938" s="155" t="s">
        <v>137</v>
      </c>
      <c r="AO938" s="155">
        <v>2.8138191102539798</v>
      </c>
    </row>
    <row r="939" spans="29:41">
      <c r="AC939" s="155" t="s">
        <v>53</v>
      </c>
      <c r="AD939" s="155" t="s">
        <v>20</v>
      </c>
      <c r="AE939" s="155" t="s">
        <v>72</v>
      </c>
      <c r="AF939" s="155" t="s">
        <v>51</v>
      </c>
      <c r="AG939" s="155" t="s">
        <v>138</v>
      </c>
      <c r="AH939" s="155">
        <v>4.0036250000000004</v>
      </c>
      <c r="AJ939" s="155" t="s">
        <v>74</v>
      </c>
      <c r="AK939" s="155" t="s">
        <v>88</v>
      </c>
      <c r="AL939" s="155" t="s">
        <v>25</v>
      </c>
      <c r="AM939" s="155" t="s">
        <v>51</v>
      </c>
      <c r="AN939" s="155" t="s">
        <v>138</v>
      </c>
      <c r="AO939" s="155">
        <v>2.8315057491425</v>
      </c>
    </row>
    <row r="940" spans="29:41">
      <c r="AC940" s="155" t="s">
        <v>53</v>
      </c>
      <c r="AD940" s="155" t="s">
        <v>20</v>
      </c>
      <c r="AE940" s="155" t="s">
        <v>72</v>
      </c>
      <c r="AF940" s="155" t="s">
        <v>51</v>
      </c>
      <c r="AG940" s="155" t="s">
        <v>139</v>
      </c>
      <c r="AH940" s="155">
        <v>3.9717500000000001</v>
      </c>
      <c r="AJ940" s="155" t="s">
        <v>74</v>
      </c>
      <c r="AK940" s="155" t="s">
        <v>88</v>
      </c>
      <c r="AL940" s="155" t="s">
        <v>25</v>
      </c>
      <c r="AM940" s="155" t="s">
        <v>51</v>
      </c>
      <c r="AN940" s="155" t="s">
        <v>139</v>
      </c>
      <c r="AO940" s="155">
        <v>2.8241768518279202</v>
      </c>
    </row>
    <row r="941" spans="29:41">
      <c r="AC941" s="155" t="s">
        <v>53</v>
      </c>
      <c r="AD941" s="155" t="s">
        <v>20</v>
      </c>
      <c r="AE941" s="155" t="s">
        <v>72</v>
      </c>
      <c r="AF941" s="155" t="s">
        <v>51</v>
      </c>
      <c r="AG941" s="155" t="s">
        <v>140</v>
      </c>
      <c r="AH941" s="155">
        <v>3.9717500000000001</v>
      </c>
      <c r="AJ941" s="155" t="s">
        <v>74</v>
      </c>
      <c r="AK941" s="155" t="s">
        <v>88</v>
      </c>
      <c r="AL941" s="155" t="s">
        <v>25</v>
      </c>
      <c r="AM941" s="155" t="s">
        <v>51</v>
      </c>
      <c r="AN941" s="155" t="s">
        <v>140</v>
      </c>
      <c r="AO941" s="155">
        <v>2.79584100930466</v>
      </c>
    </row>
    <row r="942" spans="29:41">
      <c r="AC942" s="155" t="s">
        <v>53</v>
      </c>
      <c r="AD942" s="155" t="s">
        <v>20</v>
      </c>
      <c r="AE942" s="155" t="s">
        <v>72</v>
      </c>
      <c r="AF942" s="155" t="s">
        <v>51</v>
      </c>
      <c r="AG942" s="155" t="s">
        <v>141</v>
      </c>
      <c r="AH942" s="155">
        <v>3.8759999999999994</v>
      </c>
      <c r="AJ942" s="155" t="s">
        <v>74</v>
      </c>
      <c r="AK942" s="155" t="s">
        <v>88</v>
      </c>
      <c r="AL942" s="155" t="s">
        <v>25</v>
      </c>
      <c r="AM942" s="155" t="s">
        <v>51</v>
      </c>
      <c r="AN942" s="155" t="s">
        <v>141</v>
      </c>
      <c r="AO942" s="155">
        <v>2.6928489030954199</v>
      </c>
    </row>
    <row r="943" spans="29:41">
      <c r="AC943" s="155" t="s">
        <v>53</v>
      </c>
      <c r="AD943" s="155" t="s">
        <v>20</v>
      </c>
      <c r="AE943" s="155" t="s">
        <v>72</v>
      </c>
      <c r="AF943" s="155" t="s">
        <v>51</v>
      </c>
      <c r="AG943" s="155" t="s">
        <v>142</v>
      </c>
      <c r="AH943" s="155">
        <v>3.8441249999999996</v>
      </c>
      <c r="AJ943" s="155" t="s">
        <v>74</v>
      </c>
      <c r="AK943" s="155" t="s">
        <v>88</v>
      </c>
      <c r="AL943" s="155" t="s">
        <v>25</v>
      </c>
      <c r="AM943" s="155" t="s">
        <v>51</v>
      </c>
      <c r="AN943" s="155" t="s">
        <v>142</v>
      </c>
      <c r="AO943" s="155">
        <v>2.70955656376128</v>
      </c>
    </row>
    <row r="944" spans="29:41">
      <c r="AC944" s="155" t="s">
        <v>53</v>
      </c>
      <c r="AD944" s="155" t="s">
        <v>20</v>
      </c>
      <c r="AE944" s="155" t="s">
        <v>72</v>
      </c>
      <c r="AF944" s="155" t="s">
        <v>51</v>
      </c>
      <c r="AG944" s="155" t="s">
        <v>143</v>
      </c>
      <c r="AH944" s="155">
        <v>3.9077500000000001</v>
      </c>
      <c r="AJ944" s="155" t="s">
        <v>74</v>
      </c>
      <c r="AK944" s="155" t="s">
        <v>88</v>
      </c>
      <c r="AL944" s="155" t="s">
        <v>25</v>
      </c>
      <c r="AM944" s="155" t="s">
        <v>51</v>
      </c>
      <c r="AN944" s="155" t="s">
        <v>143</v>
      </c>
      <c r="AO944" s="155">
        <v>2.6717729385436999</v>
      </c>
    </row>
    <row r="945" spans="29:41">
      <c r="AC945" s="155" t="s">
        <v>53</v>
      </c>
      <c r="AD945" s="155" t="s">
        <v>20</v>
      </c>
      <c r="AE945" s="155" t="s">
        <v>72</v>
      </c>
      <c r="AF945" s="155" t="s">
        <v>51</v>
      </c>
      <c r="AG945" s="155" t="s">
        <v>144</v>
      </c>
      <c r="AH945" s="155">
        <v>3.8759999999999994</v>
      </c>
      <c r="AJ945" s="155" t="s">
        <v>74</v>
      </c>
      <c r="AK945" s="155" t="s">
        <v>88</v>
      </c>
      <c r="AL945" s="155" t="s">
        <v>25</v>
      </c>
      <c r="AM945" s="155" t="s">
        <v>51</v>
      </c>
      <c r="AN945" s="155" t="s">
        <v>144</v>
      </c>
      <c r="AO945" s="155">
        <v>2.6575094779916602</v>
      </c>
    </row>
    <row r="946" spans="29:41">
      <c r="AC946" s="155" t="s">
        <v>53</v>
      </c>
      <c r="AD946" s="155" t="s">
        <v>20</v>
      </c>
      <c r="AE946" s="155" t="s">
        <v>72</v>
      </c>
      <c r="AF946" s="155" t="s">
        <v>51</v>
      </c>
      <c r="AG946" s="155" t="s">
        <v>145</v>
      </c>
      <c r="AH946" s="155">
        <v>3.8441249999999996</v>
      </c>
      <c r="AJ946" s="155" t="s">
        <v>74</v>
      </c>
      <c r="AK946" s="155" t="s">
        <v>88</v>
      </c>
      <c r="AL946" s="155" t="s">
        <v>25</v>
      </c>
      <c r="AM946" s="155" t="s">
        <v>51</v>
      </c>
      <c r="AN946" s="155" t="s">
        <v>145</v>
      </c>
      <c r="AO946" s="155">
        <v>2.60984671554638</v>
      </c>
    </row>
    <row r="947" spans="29:41">
      <c r="AC947" s="155" t="s">
        <v>53</v>
      </c>
      <c r="AD947" s="155" t="s">
        <v>20</v>
      </c>
      <c r="AE947" s="155" t="s">
        <v>72</v>
      </c>
      <c r="AF947" s="155" t="s">
        <v>51</v>
      </c>
      <c r="AG947" s="155" t="s">
        <v>146</v>
      </c>
      <c r="AH947" s="155">
        <v>3.8441249999999996</v>
      </c>
      <c r="AJ947" s="155" t="s">
        <v>74</v>
      </c>
      <c r="AK947" s="155" t="s">
        <v>88</v>
      </c>
      <c r="AL947" s="155" t="s">
        <v>25</v>
      </c>
      <c r="AM947" s="155" t="s">
        <v>51</v>
      </c>
      <c r="AN947" s="155" t="s">
        <v>146</v>
      </c>
      <c r="AO947" s="155">
        <v>2.6641693960453199</v>
      </c>
    </row>
    <row r="948" spans="29:41">
      <c r="AC948" s="155" t="s">
        <v>53</v>
      </c>
      <c r="AD948" s="155" t="s">
        <v>20</v>
      </c>
      <c r="AE948" s="155" t="s">
        <v>72</v>
      </c>
      <c r="AF948" s="155" t="s">
        <v>51</v>
      </c>
      <c r="AG948" s="155" t="s">
        <v>147</v>
      </c>
      <c r="AH948" s="155">
        <v>3.9077500000000001</v>
      </c>
      <c r="AJ948" s="155" t="s">
        <v>74</v>
      </c>
      <c r="AK948" s="155" t="s">
        <v>88</v>
      </c>
      <c r="AL948" s="155" t="s">
        <v>25</v>
      </c>
      <c r="AM948" s="155" t="s">
        <v>51</v>
      </c>
      <c r="AN948" s="155" t="s">
        <v>147</v>
      </c>
      <c r="AO948" s="155">
        <v>2.7519990602785001</v>
      </c>
    </row>
    <row r="949" spans="29:41">
      <c r="AC949" s="155" t="s">
        <v>53</v>
      </c>
      <c r="AD949" s="155" t="s">
        <v>20</v>
      </c>
      <c r="AE949" s="155" t="s">
        <v>72</v>
      </c>
      <c r="AF949" s="155" t="s">
        <v>51</v>
      </c>
      <c r="AG949" s="155" t="s">
        <v>148</v>
      </c>
      <c r="AH949" s="155">
        <v>3.9077500000000001</v>
      </c>
      <c r="AJ949" s="155" t="s">
        <v>74</v>
      </c>
      <c r="AK949" s="155" t="s">
        <v>88</v>
      </c>
      <c r="AL949" s="155" t="s">
        <v>25</v>
      </c>
      <c r="AM949" s="155" t="s">
        <v>51</v>
      </c>
      <c r="AN949" s="155" t="s">
        <v>148</v>
      </c>
      <c r="AO949" s="155">
        <v>2.6934832462996599</v>
      </c>
    </row>
    <row r="950" spans="29:41">
      <c r="AC950" s="155" t="s">
        <v>53</v>
      </c>
      <c r="AD950" s="155" t="s">
        <v>20</v>
      </c>
      <c r="AE950" s="155" t="s">
        <v>72</v>
      </c>
      <c r="AF950" s="155" t="s">
        <v>51</v>
      </c>
      <c r="AG950" s="155" t="s">
        <v>149</v>
      </c>
      <c r="AH950" s="155">
        <v>3.9077500000000001</v>
      </c>
      <c r="AJ950" s="155" t="s">
        <v>74</v>
      </c>
      <c r="AK950" s="155" t="s">
        <v>88</v>
      </c>
      <c r="AL950" s="155" t="s">
        <v>25</v>
      </c>
      <c r="AM950" s="155" t="s">
        <v>51</v>
      </c>
      <c r="AN950" s="155" t="s">
        <v>149</v>
      </c>
      <c r="AO950" s="155">
        <v>2.6906214304432701</v>
      </c>
    </row>
    <row r="951" spans="29:41">
      <c r="AC951" s="155" t="s">
        <v>53</v>
      </c>
      <c r="AD951" s="155" t="s">
        <v>20</v>
      </c>
      <c r="AE951" s="155" t="s">
        <v>72</v>
      </c>
      <c r="AF951" s="155" t="s">
        <v>51</v>
      </c>
      <c r="AG951" s="155" t="s">
        <v>150</v>
      </c>
      <c r="AH951" s="155">
        <v>3.8759999999999994</v>
      </c>
      <c r="AJ951" s="155" t="s">
        <v>74</v>
      </c>
      <c r="AK951" s="155" t="s">
        <v>88</v>
      </c>
      <c r="AL951" s="155" t="s">
        <v>25</v>
      </c>
      <c r="AM951" s="155" t="s">
        <v>51</v>
      </c>
      <c r="AN951" s="155" t="s">
        <v>150</v>
      </c>
      <c r="AO951" s="155">
        <v>2.66103516127894</v>
      </c>
    </row>
    <row r="952" spans="29:41">
      <c r="AC952" s="155" t="s">
        <v>53</v>
      </c>
      <c r="AD952" s="155" t="s">
        <v>20</v>
      </c>
      <c r="AE952" s="155" t="s">
        <v>72</v>
      </c>
      <c r="AF952" s="155" t="s">
        <v>51</v>
      </c>
      <c r="AG952" s="155" t="s">
        <v>151</v>
      </c>
      <c r="AH952" s="155">
        <v>3.8123749999999998</v>
      </c>
      <c r="AJ952" s="155" t="s">
        <v>74</v>
      </c>
      <c r="AK952" s="155" t="s">
        <v>88</v>
      </c>
      <c r="AL952" s="155" t="s">
        <v>25</v>
      </c>
      <c r="AM952" s="155" t="s">
        <v>51</v>
      </c>
      <c r="AN952" s="155" t="s">
        <v>151</v>
      </c>
      <c r="AO952" s="155">
        <v>2.5992657753902901</v>
      </c>
    </row>
    <row r="953" spans="29:41">
      <c r="AC953" s="155" t="s">
        <v>53</v>
      </c>
      <c r="AD953" s="155" t="s">
        <v>20</v>
      </c>
      <c r="AE953" s="155" t="s">
        <v>72</v>
      </c>
      <c r="AF953" s="155" t="s">
        <v>51</v>
      </c>
      <c r="AG953" s="155" t="s">
        <v>152</v>
      </c>
      <c r="AH953" s="155">
        <v>3.7805</v>
      </c>
      <c r="AJ953" s="155" t="s">
        <v>74</v>
      </c>
      <c r="AK953" s="155" t="s">
        <v>88</v>
      </c>
      <c r="AL953" s="155" t="s">
        <v>25</v>
      </c>
      <c r="AM953" s="155" t="s">
        <v>51</v>
      </c>
      <c r="AN953" s="155" t="s">
        <v>152</v>
      </c>
      <c r="AO953" s="155">
        <v>2.6512826680006101</v>
      </c>
    </row>
    <row r="954" spans="29:41">
      <c r="AC954" s="155" t="s">
        <v>53</v>
      </c>
      <c r="AD954" s="155" t="s">
        <v>20</v>
      </c>
      <c r="AE954" s="155" t="s">
        <v>72</v>
      </c>
      <c r="AF954" s="155" t="s">
        <v>51</v>
      </c>
      <c r="AG954" s="155" t="s">
        <v>153</v>
      </c>
      <c r="AH954" s="155">
        <v>3.7805</v>
      </c>
      <c r="AJ954" s="155" t="s">
        <v>74</v>
      </c>
      <c r="AK954" s="155" t="s">
        <v>88</v>
      </c>
      <c r="AL954" s="155" t="s">
        <v>25</v>
      </c>
      <c r="AM954" s="155" t="s">
        <v>51</v>
      </c>
      <c r="AN954" s="155" t="s">
        <v>153</v>
      </c>
      <c r="AO954" s="155">
        <v>2.5908884215358099</v>
      </c>
    </row>
    <row r="955" spans="29:41">
      <c r="AC955" s="155" t="s">
        <v>53</v>
      </c>
      <c r="AD955" s="155" t="s">
        <v>20</v>
      </c>
      <c r="AE955" s="155" t="s">
        <v>72</v>
      </c>
      <c r="AF955" s="155" t="s">
        <v>51</v>
      </c>
      <c r="AG955" s="155" t="s">
        <v>154</v>
      </c>
      <c r="AH955" s="155">
        <v>3.964</v>
      </c>
      <c r="AJ955" s="155" t="s">
        <v>74</v>
      </c>
      <c r="AK955" s="155" t="s">
        <v>88</v>
      </c>
      <c r="AL955" s="155" t="s">
        <v>25</v>
      </c>
      <c r="AM955" s="155" t="s">
        <v>51</v>
      </c>
      <c r="AN955" s="155" t="s">
        <v>154</v>
      </c>
      <c r="AO955" s="155">
        <v>2.63391710374052</v>
      </c>
    </row>
    <row r="956" spans="29:41">
      <c r="AC956" s="155" t="s">
        <v>53</v>
      </c>
      <c r="AD956" s="155" t="s">
        <v>20</v>
      </c>
      <c r="AE956" s="155" t="s">
        <v>72</v>
      </c>
      <c r="AF956" s="155" t="s">
        <v>51</v>
      </c>
      <c r="AG956" s="155" t="s">
        <v>155</v>
      </c>
      <c r="AH956" s="155">
        <v>3.964</v>
      </c>
      <c r="AJ956" s="155" t="s">
        <v>74</v>
      </c>
      <c r="AK956" s="155" t="s">
        <v>88</v>
      </c>
      <c r="AL956" s="155" t="s">
        <v>25</v>
      </c>
      <c r="AM956" s="155" t="s">
        <v>51</v>
      </c>
      <c r="AN956" s="155" t="s">
        <v>155</v>
      </c>
      <c r="AO956" s="155">
        <v>2.6287824588785198</v>
      </c>
    </row>
    <row r="957" spans="29:41">
      <c r="AC957" s="155" t="s">
        <v>53</v>
      </c>
      <c r="AD957" s="155" t="s">
        <v>20</v>
      </c>
      <c r="AE957" s="155" t="s">
        <v>72</v>
      </c>
      <c r="AF957" s="155" t="s">
        <v>51</v>
      </c>
      <c r="AG957" s="155" t="s">
        <v>156</v>
      </c>
      <c r="AH957" s="155">
        <v>4.0271249999999998</v>
      </c>
      <c r="AJ957" s="155" t="s">
        <v>74</v>
      </c>
      <c r="AK957" s="155" t="s">
        <v>88</v>
      </c>
      <c r="AL957" s="155" t="s">
        <v>25</v>
      </c>
      <c r="AM957" s="155" t="s">
        <v>51</v>
      </c>
      <c r="AN957" s="155" t="s">
        <v>156</v>
      </c>
      <c r="AO957" s="155">
        <v>2.62032151165119</v>
      </c>
    </row>
    <row r="958" spans="29:41">
      <c r="AC958" s="155" t="s">
        <v>53</v>
      </c>
      <c r="AD958" s="155" t="s">
        <v>20</v>
      </c>
      <c r="AE958" s="155" t="s">
        <v>72</v>
      </c>
      <c r="AF958" s="155" t="s">
        <v>51</v>
      </c>
      <c r="AG958" s="155" t="s">
        <v>157</v>
      </c>
      <c r="AH958" s="155">
        <v>3.9634999999999998</v>
      </c>
      <c r="AJ958" s="155" t="s">
        <v>74</v>
      </c>
      <c r="AK958" s="155" t="s">
        <v>88</v>
      </c>
      <c r="AL958" s="155" t="s">
        <v>25</v>
      </c>
      <c r="AM958" s="155" t="s">
        <v>51</v>
      </c>
      <c r="AN958" s="155" t="s">
        <v>157</v>
      </c>
      <c r="AO958" s="155">
        <v>2.6476582784281</v>
      </c>
    </row>
    <row r="959" spans="29:41">
      <c r="AC959" s="155" t="s">
        <v>53</v>
      </c>
      <c r="AD959" s="155" t="s">
        <v>20</v>
      </c>
      <c r="AE959" s="155" t="s">
        <v>72</v>
      </c>
      <c r="AF959" s="155" t="s">
        <v>51</v>
      </c>
      <c r="AG959" s="155" t="s">
        <v>158</v>
      </c>
      <c r="AH959" s="155">
        <v>4.0271249999999998</v>
      </c>
      <c r="AJ959" s="155" t="s">
        <v>74</v>
      </c>
      <c r="AK959" s="155" t="s">
        <v>88</v>
      </c>
      <c r="AL959" s="155" t="s">
        <v>25</v>
      </c>
      <c r="AM959" s="155" t="s">
        <v>51</v>
      </c>
      <c r="AN959" s="155" t="s">
        <v>158</v>
      </c>
      <c r="AO959" s="155">
        <v>2.6673945625319102</v>
      </c>
    </row>
    <row r="960" spans="29:41">
      <c r="AC960" s="155" t="s">
        <v>53</v>
      </c>
      <c r="AD960" s="155" t="s">
        <v>20</v>
      </c>
      <c r="AE960" s="155" t="s">
        <v>72</v>
      </c>
      <c r="AF960" s="155" t="s">
        <v>51</v>
      </c>
      <c r="AG960" s="155" t="s">
        <v>159</v>
      </c>
      <c r="AH960" s="155">
        <v>4.0271249999999998</v>
      </c>
      <c r="AJ960" s="155" t="s">
        <v>74</v>
      </c>
      <c r="AK960" s="155" t="s">
        <v>88</v>
      </c>
      <c r="AL960" s="155" t="s">
        <v>25</v>
      </c>
      <c r="AM960" s="155" t="s">
        <v>51</v>
      </c>
      <c r="AN960" s="155" t="s">
        <v>159</v>
      </c>
      <c r="AO960" s="155">
        <v>2.64134045041691</v>
      </c>
    </row>
    <row r="961" spans="29:41">
      <c r="AC961" s="155" t="s">
        <v>53</v>
      </c>
      <c r="AD961" s="155" t="s">
        <v>20</v>
      </c>
      <c r="AE961" s="155" t="s">
        <v>72</v>
      </c>
      <c r="AF961" s="155" t="s">
        <v>51</v>
      </c>
      <c r="AG961" s="155" t="s">
        <v>160</v>
      </c>
      <c r="AH961" s="155">
        <v>3.8995000000000002</v>
      </c>
      <c r="AJ961" s="155" t="s">
        <v>74</v>
      </c>
      <c r="AK961" s="155" t="s">
        <v>88</v>
      </c>
      <c r="AL961" s="155" t="s">
        <v>25</v>
      </c>
      <c r="AM961" s="155" t="s">
        <v>51</v>
      </c>
      <c r="AN961" s="155" t="s">
        <v>160</v>
      </c>
      <c r="AO961" s="155">
        <v>2.5968587672613901</v>
      </c>
    </row>
    <row r="962" spans="29:41">
      <c r="AC962" s="155" t="s">
        <v>53</v>
      </c>
      <c r="AD962" s="155" t="s">
        <v>20</v>
      </c>
      <c r="AE962" s="155" t="s">
        <v>72</v>
      </c>
      <c r="AF962" s="155" t="s">
        <v>51</v>
      </c>
      <c r="AG962" s="155" t="s">
        <v>161</v>
      </c>
      <c r="AH962" s="155">
        <v>3.8995000000000002</v>
      </c>
      <c r="AJ962" s="155" t="s">
        <v>74</v>
      </c>
      <c r="AK962" s="155" t="s">
        <v>88</v>
      </c>
      <c r="AL962" s="155" t="s">
        <v>25</v>
      </c>
      <c r="AM962" s="155" t="s">
        <v>51</v>
      </c>
      <c r="AN962" s="155" t="s">
        <v>161</v>
      </c>
      <c r="AO962" s="155">
        <v>2.58469358456979</v>
      </c>
    </row>
    <row r="963" spans="29:41">
      <c r="AC963" s="155" t="s">
        <v>53</v>
      </c>
      <c r="AD963" s="155" t="s">
        <v>20</v>
      </c>
      <c r="AE963" s="155" t="s">
        <v>72</v>
      </c>
      <c r="AF963" s="155" t="s">
        <v>51</v>
      </c>
      <c r="AG963" s="155" t="s">
        <v>162</v>
      </c>
      <c r="AH963" s="155">
        <v>3.9634999999999998</v>
      </c>
      <c r="AJ963" s="155" t="s">
        <v>74</v>
      </c>
      <c r="AK963" s="155" t="s">
        <v>88</v>
      </c>
      <c r="AL963" s="155" t="s">
        <v>25</v>
      </c>
      <c r="AM963" s="155" t="s">
        <v>51</v>
      </c>
      <c r="AN963" s="155" t="s">
        <v>162</v>
      </c>
      <c r="AO963" s="155">
        <v>2.5759029417987498</v>
      </c>
    </row>
    <row r="964" spans="29:41">
      <c r="AC964" s="155" t="s">
        <v>53</v>
      </c>
      <c r="AD964" s="155" t="s">
        <v>20</v>
      </c>
      <c r="AE964" s="155" t="s">
        <v>72</v>
      </c>
      <c r="AF964" s="155" t="s">
        <v>51</v>
      </c>
      <c r="AG964" s="155" t="s">
        <v>163</v>
      </c>
      <c r="AH964" s="155">
        <v>3.9634999999999998</v>
      </c>
      <c r="AJ964" s="155" t="s">
        <v>74</v>
      </c>
      <c r="AK964" s="155" t="s">
        <v>88</v>
      </c>
      <c r="AL964" s="155" t="s">
        <v>25</v>
      </c>
      <c r="AM964" s="155" t="s">
        <v>51</v>
      </c>
      <c r="AN964" s="155" t="s">
        <v>163</v>
      </c>
      <c r="AO964" s="155">
        <v>2.56712042045777</v>
      </c>
    </row>
    <row r="965" spans="29:41">
      <c r="AC965" s="155" t="s">
        <v>53</v>
      </c>
      <c r="AD965" s="155" t="s">
        <v>20</v>
      </c>
      <c r="AE965" s="155" t="s">
        <v>72</v>
      </c>
      <c r="AF965" s="155" t="s">
        <v>51</v>
      </c>
      <c r="AG965" s="155" t="s">
        <v>164</v>
      </c>
      <c r="AH965" s="155">
        <v>3.8995000000000002</v>
      </c>
      <c r="AJ965" s="155" t="s">
        <v>74</v>
      </c>
      <c r="AK965" s="155" t="s">
        <v>88</v>
      </c>
      <c r="AL965" s="155" t="s">
        <v>25</v>
      </c>
      <c r="AM965" s="155" t="s">
        <v>51</v>
      </c>
      <c r="AN965" s="155" t="s">
        <v>164</v>
      </c>
      <c r="AO965" s="155">
        <v>2.59858921707026</v>
      </c>
    </row>
    <row r="966" spans="29:41">
      <c r="AC966" s="155" t="s">
        <v>53</v>
      </c>
      <c r="AD966" s="155" t="s">
        <v>20</v>
      </c>
      <c r="AE966" s="155" t="s">
        <v>72</v>
      </c>
      <c r="AF966" s="155" t="s">
        <v>51</v>
      </c>
      <c r="AG966" s="155" t="s">
        <v>165</v>
      </c>
      <c r="AH966" s="155">
        <v>3.9634999999999998</v>
      </c>
      <c r="AJ966" s="155" t="s">
        <v>74</v>
      </c>
      <c r="AK966" s="155" t="s">
        <v>88</v>
      </c>
      <c r="AL966" s="155" t="s">
        <v>25</v>
      </c>
      <c r="AM966" s="155" t="s">
        <v>51</v>
      </c>
      <c r="AN966" s="155" t="s">
        <v>165</v>
      </c>
      <c r="AO966" s="155">
        <v>2.62252108008507</v>
      </c>
    </row>
    <row r="967" spans="29:41">
      <c r="AC967" s="155" t="s">
        <v>53</v>
      </c>
      <c r="AD967" s="155" t="s">
        <v>20</v>
      </c>
      <c r="AE967" s="155" t="s">
        <v>72</v>
      </c>
      <c r="AF967" s="155" t="s">
        <v>51</v>
      </c>
      <c r="AG967" s="155" t="s">
        <v>166</v>
      </c>
      <c r="AH967" s="155">
        <v>4.0271249999999998</v>
      </c>
      <c r="AJ967" s="155" t="s">
        <v>74</v>
      </c>
      <c r="AK967" s="155" t="s">
        <v>88</v>
      </c>
      <c r="AL967" s="155" t="s">
        <v>25</v>
      </c>
      <c r="AM967" s="155" t="s">
        <v>51</v>
      </c>
      <c r="AN967" s="155" t="s">
        <v>166</v>
      </c>
      <c r="AO967" s="155">
        <v>2.6753264137467299</v>
      </c>
    </row>
    <row r="968" spans="29:41">
      <c r="AC968" s="155" t="s">
        <v>53</v>
      </c>
      <c r="AD968" s="155" t="s">
        <v>20</v>
      </c>
      <c r="AE968" s="155" t="s">
        <v>72</v>
      </c>
      <c r="AF968" s="155" t="s">
        <v>51</v>
      </c>
      <c r="AG968" s="155" t="s">
        <v>167</v>
      </c>
      <c r="AH968" s="155">
        <v>4.0271249999999998</v>
      </c>
      <c r="AJ968" s="155" t="s">
        <v>74</v>
      </c>
      <c r="AK968" s="155" t="s">
        <v>88</v>
      </c>
      <c r="AL968" s="155" t="s">
        <v>25</v>
      </c>
      <c r="AM968" s="155" t="s">
        <v>51</v>
      </c>
      <c r="AN968" s="155" t="s">
        <v>167</v>
      </c>
      <c r="AO968" s="155">
        <v>2.6562875815293401</v>
      </c>
    </row>
    <row r="969" spans="29:41">
      <c r="AC969" s="155" t="s">
        <v>53</v>
      </c>
      <c r="AD969" s="155" t="s">
        <v>20</v>
      </c>
      <c r="AE969" s="155" t="s">
        <v>72</v>
      </c>
      <c r="AF969" s="155" t="s">
        <v>51</v>
      </c>
      <c r="AG969" s="155" t="s">
        <v>168</v>
      </c>
      <c r="AH969" s="155">
        <v>3.9953749999999997</v>
      </c>
      <c r="AJ969" s="155" t="s">
        <v>74</v>
      </c>
      <c r="AK969" s="155" t="s">
        <v>88</v>
      </c>
      <c r="AL969" s="155" t="s">
        <v>25</v>
      </c>
      <c r="AM969" s="155" t="s">
        <v>51</v>
      </c>
      <c r="AN969" s="155" t="s">
        <v>168</v>
      </c>
      <c r="AO969" s="155">
        <v>2.62955921776924</v>
      </c>
    </row>
    <row r="970" spans="29:41">
      <c r="AC970" s="155" t="s">
        <v>53</v>
      </c>
      <c r="AD970" s="155" t="s">
        <v>20</v>
      </c>
      <c r="AE970" s="155" t="s">
        <v>72</v>
      </c>
      <c r="AF970" s="155" t="s">
        <v>51</v>
      </c>
      <c r="AG970" s="155" t="s">
        <v>169</v>
      </c>
      <c r="AH970" s="155">
        <v>4.0271249999999998</v>
      </c>
      <c r="AJ970" s="155" t="s">
        <v>74</v>
      </c>
      <c r="AK970" s="155" t="s">
        <v>88</v>
      </c>
      <c r="AL970" s="155" t="s">
        <v>25</v>
      </c>
      <c r="AM970" s="155" t="s">
        <v>51</v>
      </c>
      <c r="AN970" s="155" t="s">
        <v>169</v>
      </c>
      <c r="AO970" s="155">
        <v>2.6437338504186898</v>
      </c>
    </row>
    <row r="971" spans="29:41">
      <c r="AC971" s="155" t="s">
        <v>53</v>
      </c>
      <c r="AD971" s="155" t="s">
        <v>20</v>
      </c>
      <c r="AE971" s="155" t="s">
        <v>72</v>
      </c>
      <c r="AF971" s="155" t="s">
        <v>51</v>
      </c>
      <c r="AG971" s="155" t="s">
        <v>170</v>
      </c>
      <c r="AH971" s="155">
        <v>3.9321250000000001</v>
      </c>
      <c r="AJ971" s="155" t="s">
        <v>74</v>
      </c>
      <c r="AK971" s="155" t="s">
        <v>88</v>
      </c>
      <c r="AL971" s="155" t="s">
        <v>25</v>
      </c>
      <c r="AM971" s="155" t="s">
        <v>51</v>
      </c>
      <c r="AN971" s="155" t="s">
        <v>170</v>
      </c>
      <c r="AO971" s="155">
        <v>2.6991414546305501</v>
      </c>
    </row>
    <row r="972" spans="29:41">
      <c r="AC972" s="155" t="s">
        <v>53</v>
      </c>
      <c r="AD972" s="155" t="s">
        <v>20</v>
      </c>
      <c r="AE972" s="155" t="s">
        <v>72</v>
      </c>
      <c r="AF972" s="155" t="s">
        <v>51</v>
      </c>
      <c r="AG972" s="155" t="s">
        <v>171</v>
      </c>
      <c r="AH972" s="155">
        <v>4.0274999999999999</v>
      </c>
      <c r="AJ972" s="155" t="s">
        <v>74</v>
      </c>
      <c r="AK972" s="155" t="s">
        <v>88</v>
      </c>
      <c r="AL972" s="155" t="s">
        <v>25</v>
      </c>
      <c r="AM972" s="155" t="s">
        <v>51</v>
      </c>
      <c r="AN972" s="155" t="s">
        <v>171</v>
      </c>
      <c r="AO972" s="155">
        <v>2.7467458715573199</v>
      </c>
    </row>
    <row r="973" spans="29:41">
      <c r="AC973" s="155" t="s">
        <v>53</v>
      </c>
      <c r="AD973" s="155" t="s">
        <v>20</v>
      </c>
      <c r="AE973" s="155" t="s">
        <v>72</v>
      </c>
      <c r="AF973" s="155" t="s">
        <v>51</v>
      </c>
      <c r="AG973" s="155" t="s">
        <v>172</v>
      </c>
      <c r="AH973" s="155">
        <v>3.9957500000000001</v>
      </c>
      <c r="AJ973" s="155" t="s">
        <v>74</v>
      </c>
      <c r="AK973" s="155" t="s">
        <v>88</v>
      </c>
      <c r="AL973" s="155" t="s">
        <v>25</v>
      </c>
      <c r="AM973" s="155" t="s">
        <v>51</v>
      </c>
      <c r="AN973" s="155" t="s">
        <v>172</v>
      </c>
      <c r="AO973" s="155">
        <v>2.7480147229669498</v>
      </c>
    </row>
    <row r="974" spans="29:41">
      <c r="AC974" s="155" t="s">
        <v>53</v>
      </c>
      <c r="AD974" s="155" t="s">
        <v>20</v>
      </c>
      <c r="AE974" s="155" t="s">
        <v>72</v>
      </c>
      <c r="AF974" s="155" t="s">
        <v>51</v>
      </c>
      <c r="AG974" s="155" t="s">
        <v>173</v>
      </c>
      <c r="AH974" s="155">
        <v>3.9957500000000001</v>
      </c>
      <c r="AJ974" s="155" t="s">
        <v>74</v>
      </c>
      <c r="AK974" s="155" t="s">
        <v>88</v>
      </c>
      <c r="AL974" s="155" t="s">
        <v>25</v>
      </c>
      <c r="AM974" s="155" t="s">
        <v>51</v>
      </c>
      <c r="AN974" s="155" t="s">
        <v>173</v>
      </c>
      <c r="AO974" s="155">
        <v>2.8064099070641602</v>
      </c>
    </row>
    <row r="975" spans="29:41">
      <c r="AC975" s="155" t="s">
        <v>53</v>
      </c>
      <c r="AD975" s="155" t="s">
        <v>20</v>
      </c>
      <c r="AE975" s="155" t="s">
        <v>72</v>
      </c>
      <c r="AF975" s="155" t="s">
        <v>51</v>
      </c>
      <c r="AG975" s="155" t="s">
        <v>174</v>
      </c>
      <c r="AH975" s="155">
        <v>4.0593750000000002</v>
      </c>
      <c r="AJ975" s="155" t="s">
        <v>74</v>
      </c>
      <c r="AK975" s="155" t="s">
        <v>88</v>
      </c>
      <c r="AL975" s="155" t="s">
        <v>25</v>
      </c>
      <c r="AM975" s="155" t="s">
        <v>51</v>
      </c>
      <c r="AN975" s="155" t="s">
        <v>174</v>
      </c>
      <c r="AO975" s="155">
        <v>2.8416760056146502</v>
      </c>
    </row>
    <row r="976" spans="29:41">
      <c r="AC976" s="155" t="s">
        <v>53</v>
      </c>
      <c r="AD976" s="155" t="s">
        <v>20</v>
      </c>
      <c r="AE976" s="155" t="s">
        <v>72</v>
      </c>
      <c r="AF976" s="155" t="s">
        <v>51</v>
      </c>
      <c r="AG976" s="155" t="s">
        <v>175</v>
      </c>
      <c r="AH976" s="155">
        <v>4.0911249999999999</v>
      </c>
      <c r="AJ976" s="155" t="s">
        <v>74</v>
      </c>
      <c r="AK976" s="155" t="s">
        <v>88</v>
      </c>
      <c r="AL976" s="155" t="s">
        <v>25</v>
      </c>
      <c r="AM976" s="155" t="s">
        <v>51</v>
      </c>
      <c r="AN976" s="155" t="s">
        <v>175</v>
      </c>
      <c r="AO976" s="155">
        <v>2.8756484754346898</v>
      </c>
    </row>
    <row r="977" spans="29:41">
      <c r="AC977" s="155" t="s">
        <v>53</v>
      </c>
      <c r="AD977" s="155" t="s">
        <v>20</v>
      </c>
      <c r="AE977" s="155" t="s">
        <v>72</v>
      </c>
      <c r="AF977" s="155" t="s">
        <v>51</v>
      </c>
      <c r="AG977" s="155" t="s">
        <v>176</v>
      </c>
      <c r="AH977" s="155">
        <v>4.1547499999999999</v>
      </c>
      <c r="AJ977" s="155" t="s">
        <v>74</v>
      </c>
      <c r="AK977" s="155" t="s">
        <v>88</v>
      </c>
      <c r="AL977" s="155" t="s">
        <v>25</v>
      </c>
      <c r="AM977" s="155" t="s">
        <v>51</v>
      </c>
      <c r="AN977" s="155" t="s">
        <v>176</v>
      </c>
      <c r="AO977" s="155">
        <v>2.91930519695658</v>
      </c>
    </row>
    <row r="978" spans="29:41">
      <c r="AC978" s="155" t="s">
        <v>53</v>
      </c>
      <c r="AD978" s="155" t="s">
        <v>20</v>
      </c>
      <c r="AE978" s="155" t="s">
        <v>72</v>
      </c>
      <c r="AF978" s="155" t="s">
        <v>51</v>
      </c>
      <c r="AG978" s="155" t="s">
        <v>177</v>
      </c>
      <c r="AH978" s="155">
        <v>4.1547499999999999</v>
      </c>
      <c r="AJ978" s="155" t="s">
        <v>74</v>
      </c>
      <c r="AK978" s="155" t="s">
        <v>88</v>
      </c>
      <c r="AL978" s="155" t="s">
        <v>25</v>
      </c>
      <c r="AM978" s="155" t="s">
        <v>51</v>
      </c>
      <c r="AN978" s="155" t="s">
        <v>177</v>
      </c>
      <c r="AO978" s="155">
        <v>2.86177796804412</v>
      </c>
    </row>
    <row r="979" spans="29:41">
      <c r="AC979" s="155" t="s">
        <v>53</v>
      </c>
      <c r="AD979" s="155" t="s">
        <v>20</v>
      </c>
      <c r="AE979" s="155" t="s">
        <v>72</v>
      </c>
      <c r="AF979" s="155" t="s">
        <v>51</v>
      </c>
      <c r="AG979" s="155" t="s">
        <v>178</v>
      </c>
      <c r="AH979" s="155">
        <v>4.0274999999999999</v>
      </c>
      <c r="AJ979" s="155" t="s">
        <v>74</v>
      </c>
      <c r="AK979" s="155" t="s">
        <v>88</v>
      </c>
      <c r="AL979" s="155" t="s">
        <v>25</v>
      </c>
      <c r="AM979" s="155" t="s">
        <v>51</v>
      </c>
      <c r="AN979" s="155" t="s">
        <v>178</v>
      </c>
      <c r="AO979" s="155">
        <v>2.8101076932532698</v>
      </c>
    </row>
    <row r="980" spans="29:41">
      <c r="AC980" s="155" t="s">
        <v>53</v>
      </c>
      <c r="AD980" s="155" t="s">
        <v>20</v>
      </c>
      <c r="AE980" s="155" t="s">
        <v>72</v>
      </c>
      <c r="AF980" s="155" t="s">
        <v>51</v>
      </c>
      <c r="AG980" s="155" t="s">
        <v>179</v>
      </c>
      <c r="AH980" s="155">
        <v>4.1229999999999993</v>
      </c>
      <c r="AJ980" s="155" t="s">
        <v>74</v>
      </c>
      <c r="AK980" s="155" t="s">
        <v>88</v>
      </c>
      <c r="AL980" s="155" t="s">
        <v>25</v>
      </c>
      <c r="AM980" s="155" t="s">
        <v>51</v>
      </c>
      <c r="AN980" s="155" t="s">
        <v>179</v>
      </c>
      <c r="AO980" s="155">
        <v>2.9199815904284798</v>
      </c>
    </row>
    <row r="981" spans="29:41">
      <c r="AC981" s="155" t="s">
        <v>53</v>
      </c>
      <c r="AD981" s="155" t="s">
        <v>20</v>
      </c>
      <c r="AE981" s="155" t="s">
        <v>72</v>
      </c>
      <c r="AF981" s="155" t="s">
        <v>51</v>
      </c>
      <c r="AG981" s="155" t="s">
        <v>180</v>
      </c>
      <c r="AH981" s="155">
        <v>4.1229999999999993</v>
      </c>
      <c r="AJ981" s="155" t="s">
        <v>74</v>
      </c>
      <c r="AK981" s="155" t="s">
        <v>88</v>
      </c>
      <c r="AL981" s="155" t="s">
        <v>25</v>
      </c>
      <c r="AM981" s="155" t="s">
        <v>51</v>
      </c>
      <c r="AN981" s="155" t="s">
        <v>180</v>
      </c>
      <c r="AO981" s="155">
        <v>2.9362897451124002</v>
      </c>
    </row>
    <row r="982" spans="29:41">
      <c r="AC982" s="155" t="s">
        <v>53</v>
      </c>
      <c r="AD982" s="155" t="s">
        <v>20</v>
      </c>
      <c r="AE982" s="155" t="s">
        <v>72</v>
      </c>
      <c r="AF982" s="155" t="s">
        <v>51</v>
      </c>
      <c r="AG982" s="155" t="s">
        <v>181</v>
      </c>
      <c r="AH982" s="155">
        <v>4.1547499999999999</v>
      </c>
      <c r="AJ982" s="155" t="s">
        <v>74</v>
      </c>
      <c r="AK982" s="155" t="s">
        <v>88</v>
      </c>
      <c r="AL982" s="155" t="s">
        <v>25</v>
      </c>
      <c r="AM982" s="155" t="s">
        <v>51</v>
      </c>
      <c r="AN982" s="155" t="s">
        <v>181</v>
      </c>
      <c r="AO982" s="155">
        <v>2.9586092652733198</v>
      </c>
    </row>
    <row r="983" spans="29:41">
      <c r="AC983" s="155" t="s">
        <v>53</v>
      </c>
      <c r="AD983" s="155" t="s">
        <v>20</v>
      </c>
      <c r="AE983" s="155" t="s">
        <v>72</v>
      </c>
      <c r="AF983" s="155" t="s">
        <v>51</v>
      </c>
      <c r="AG983" s="155" t="s">
        <v>182</v>
      </c>
      <c r="AH983" s="155">
        <v>4.1547499999999999</v>
      </c>
      <c r="AJ983" s="155" t="s">
        <v>74</v>
      </c>
      <c r="AK983" s="155" t="s">
        <v>88</v>
      </c>
      <c r="AL983" s="155" t="s">
        <v>25</v>
      </c>
      <c r="AM983" s="155" t="s">
        <v>51</v>
      </c>
      <c r="AN983" s="155" t="s">
        <v>182</v>
      </c>
      <c r="AO983" s="155">
        <v>2.9068905487933598</v>
      </c>
    </row>
    <row r="984" spans="29:41">
      <c r="AC984" s="155" t="s">
        <v>53</v>
      </c>
      <c r="AD984" s="155" t="s">
        <v>20</v>
      </c>
      <c r="AE984" s="155" t="s">
        <v>72</v>
      </c>
      <c r="AF984" s="155" t="s">
        <v>51</v>
      </c>
      <c r="AG984" s="155" t="s">
        <v>183</v>
      </c>
      <c r="AH984" s="155">
        <v>4.0593750000000002</v>
      </c>
      <c r="AJ984" s="155" t="s">
        <v>74</v>
      </c>
      <c r="AK984" s="155" t="s">
        <v>88</v>
      </c>
      <c r="AL984" s="155" t="s">
        <v>25</v>
      </c>
      <c r="AM984" s="155" t="s">
        <v>51</v>
      </c>
      <c r="AN984" s="155" t="s">
        <v>183</v>
      </c>
      <c r="AO984" s="155">
        <v>2.82631669904023</v>
      </c>
    </row>
    <row r="985" spans="29:41">
      <c r="AC985" s="155" t="s">
        <v>53</v>
      </c>
      <c r="AD985" s="155" t="s">
        <v>20</v>
      </c>
      <c r="AE985" s="155" t="s">
        <v>72</v>
      </c>
      <c r="AF985" s="155" t="s">
        <v>51</v>
      </c>
      <c r="AG985" s="155" t="s">
        <v>184</v>
      </c>
      <c r="AH985" s="155">
        <v>4.0911249999999999</v>
      </c>
      <c r="AJ985" s="155" t="s">
        <v>74</v>
      </c>
      <c r="AK985" s="155" t="s">
        <v>88</v>
      </c>
      <c r="AL985" s="155" t="s">
        <v>25</v>
      </c>
      <c r="AM985" s="155" t="s">
        <v>51</v>
      </c>
      <c r="AN985" s="155" t="s">
        <v>184</v>
      </c>
      <c r="AO985" s="155">
        <v>2.8896799307946499</v>
      </c>
    </row>
    <row r="986" spans="29:41">
      <c r="AC986" s="155" t="s">
        <v>53</v>
      </c>
      <c r="AD986" s="155" t="s">
        <v>20</v>
      </c>
      <c r="AE986" s="155" t="s">
        <v>72</v>
      </c>
      <c r="AF986" s="155" t="s">
        <v>51</v>
      </c>
      <c r="AG986" s="155" t="s">
        <v>185</v>
      </c>
      <c r="AH986" s="155">
        <v>4.1547499999999999</v>
      </c>
      <c r="AJ986" s="155" t="s">
        <v>74</v>
      </c>
      <c r="AK986" s="155" t="s">
        <v>88</v>
      </c>
      <c r="AL986" s="155" t="s">
        <v>25</v>
      </c>
      <c r="AM986" s="155" t="s">
        <v>51</v>
      </c>
      <c r="AN986" s="155" t="s">
        <v>185</v>
      </c>
      <c r="AO986" s="155">
        <v>2.9214483553786899</v>
      </c>
    </row>
    <row r="987" spans="29:41">
      <c r="AC987" s="155" t="s">
        <v>53</v>
      </c>
      <c r="AD987" s="155" t="s">
        <v>20</v>
      </c>
      <c r="AE987" s="155" t="s">
        <v>72</v>
      </c>
      <c r="AF987" s="155" t="s">
        <v>51</v>
      </c>
      <c r="AG987" s="155" t="s">
        <v>186</v>
      </c>
      <c r="AH987" s="155">
        <v>4.1547499999999999</v>
      </c>
      <c r="AJ987" s="155" t="s">
        <v>74</v>
      </c>
      <c r="AK987" s="155" t="s">
        <v>88</v>
      </c>
      <c r="AL987" s="155" t="s">
        <v>25</v>
      </c>
      <c r="AM987" s="155" t="s">
        <v>51</v>
      </c>
      <c r="AN987" s="155" t="s">
        <v>186</v>
      </c>
      <c r="AO987" s="155">
        <v>2.9102623265110599</v>
      </c>
    </row>
    <row r="988" spans="29:41">
      <c r="AC988" s="155" t="s">
        <v>53</v>
      </c>
      <c r="AD988" s="155" t="s">
        <v>20</v>
      </c>
      <c r="AE988" s="155" t="s">
        <v>72</v>
      </c>
      <c r="AF988" s="155" t="s">
        <v>51</v>
      </c>
      <c r="AG988" s="155" t="s">
        <v>187</v>
      </c>
      <c r="AH988" s="155">
        <v>4.1547499999999999</v>
      </c>
      <c r="AJ988" s="155" t="s">
        <v>74</v>
      </c>
      <c r="AK988" s="155" t="s">
        <v>88</v>
      </c>
      <c r="AL988" s="155" t="s">
        <v>25</v>
      </c>
      <c r="AM988" s="155" t="s">
        <v>51</v>
      </c>
      <c r="AN988" s="155" t="s">
        <v>187</v>
      </c>
      <c r="AO988" s="155">
        <v>2.8599760435846102</v>
      </c>
    </row>
    <row r="989" spans="29:41">
      <c r="AC989" s="155" t="s">
        <v>53</v>
      </c>
      <c r="AD989" s="155" t="s">
        <v>20</v>
      </c>
      <c r="AE989" s="155" t="s">
        <v>72</v>
      </c>
      <c r="AF989" s="155" t="s">
        <v>51</v>
      </c>
      <c r="AG989" s="155" t="s">
        <v>188</v>
      </c>
      <c r="AH989" s="155">
        <v>4.1547499999999999</v>
      </c>
      <c r="AJ989" s="155" t="s">
        <v>74</v>
      </c>
      <c r="AK989" s="155" t="s">
        <v>88</v>
      </c>
      <c r="AL989" s="155" t="s">
        <v>25</v>
      </c>
      <c r="AM989" s="155" t="s">
        <v>51</v>
      </c>
      <c r="AN989" s="155" t="s">
        <v>188</v>
      </c>
      <c r="AO989" s="155">
        <v>2.8915210158303699</v>
      </c>
    </row>
    <row r="990" spans="29:41">
      <c r="AC990" s="155" t="s">
        <v>53</v>
      </c>
      <c r="AD990" s="155" t="s">
        <v>20</v>
      </c>
      <c r="AE990" s="155" t="s">
        <v>72</v>
      </c>
      <c r="AF990" s="155" t="s">
        <v>51</v>
      </c>
      <c r="AG990" s="155" t="s">
        <v>189</v>
      </c>
      <c r="AH990" s="155">
        <v>4.155125</v>
      </c>
      <c r="AJ990" s="155" t="s">
        <v>74</v>
      </c>
      <c r="AK990" s="155" t="s">
        <v>88</v>
      </c>
      <c r="AL990" s="155" t="s">
        <v>25</v>
      </c>
      <c r="AM990" s="155" t="s">
        <v>51</v>
      </c>
      <c r="AN990" s="155" t="s">
        <v>189</v>
      </c>
      <c r="AO990" s="155">
        <v>2.8500704386135798</v>
      </c>
    </row>
    <row r="991" spans="29:41">
      <c r="AC991" s="155" t="s">
        <v>53</v>
      </c>
      <c r="AD991" s="155" t="s">
        <v>20</v>
      </c>
      <c r="AE991" s="155" t="s">
        <v>72</v>
      </c>
      <c r="AF991" s="155" t="s">
        <v>51</v>
      </c>
      <c r="AG991" s="155" t="s">
        <v>190</v>
      </c>
      <c r="AH991" s="155">
        <v>4.1547499999999999</v>
      </c>
      <c r="AJ991" s="155" t="s">
        <v>74</v>
      </c>
      <c r="AK991" s="155" t="s">
        <v>88</v>
      </c>
      <c r="AL991" s="155" t="s">
        <v>25</v>
      </c>
      <c r="AM991" s="155" t="s">
        <v>51</v>
      </c>
      <c r="AN991" s="155" t="s">
        <v>190</v>
      </c>
      <c r="AO991" s="155">
        <v>2.8460665334928898</v>
      </c>
    </row>
    <row r="992" spans="29:41">
      <c r="AC992" s="155" t="s">
        <v>53</v>
      </c>
      <c r="AD992" s="155" t="s">
        <v>20</v>
      </c>
      <c r="AE992" s="155" t="s">
        <v>72</v>
      </c>
      <c r="AF992" s="155" t="s">
        <v>51</v>
      </c>
      <c r="AG992" s="155" t="s">
        <v>191</v>
      </c>
      <c r="AH992" s="155">
        <v>4.1229999999999993</v>
      </c>
      <c r="AJ992" s="155" t="s">
        <v>74</v>
      </c>
      <c r="AK992" s="155" t="s">
        <v>88</v>
      </c>
      <c r="AL992" s="155" t="s">
        <v>25</v>
      </c>
      <c r="AM992" s="155" t="s">
        <v>51</v>
      </c>
      <c r="AN992" s="155" t="s">
        <v>191</v>
      </c>
      <c r="AO992" s="155">
        <v>2.8413672152174398</v>
      </c>
    </row>
    <row r="993" spans="29:41">
      <c r="AC993" s="155" t="s">
        <v>53</v>
      </c>
      <c r="AD993" s="155" t="s">
        <v>20</v>
      </c>
      <c r="AE993" s="155" t="s">
        <v>72</v>
      </c>
      <c r="AF993" s="155" t="s">
        <v>51</v>
      </c>
      <c r="AG993" s="155" t="s">
        <v>192</v>
      </c>
      <c r="AH993" s="155">
        <v>4.0911249999999999</v>
      </c>
      <c r="AJ993" s="155" t="s">
        <v>74</v>
      </c>
      <c r="AK993" s="155" t="s">
        <v>88</v>
      </c>
      <c r="AL993" s="155" t="s">
        <v>25</v>
      </c>
      <c r="AM993" s="155" t="s">
        <v>51</v>
      </c>
      <c r="AN993" s="155" t="s">
        <v>192</v>
      </c>
      <c r="AO993" s="155">
        <v>2.8125589424365498</v>
      </c>
    </row>
    <row r="994" spans="29:41">
      <c r="AC994" s="155" t="s">
        <v>53</v>
      </c>
      <c r="AD994" s="155" t="s">
        <v>20</v>
      </c>
      <c r="AE994" s="155" t="s">
        <v>72</v>
      </c>
      <c r="AF994" s="155" t="s">
        <v>51</v>
      </c>
      <c r="AG994" s="155" t="s">
        <v>193</v>
      </c>
      <c r="AH994" s="155">
        <v>4.0993750000000002</v>
      </c>
      <c r="AJ994" s="155" t="s">
        <v>74</v>
      </c>
      <c r="AK994" s="155" t="s">
        <v>88</v>
      </c>
      <c r="AL994" s="155" t="s">
        <v>25</v>
      </c>
      <c r="AM994" s="155" t="s">
        <v>51</v>
      </c>
      <c r="AN994" s="155" t="s">
        <v>193</v>
      </c>
      <c r="AO994" s="155">
        <v>2.8873082715202201</v>
      </c>
    </row>
    <row r="995" spans="29:41">
      <c r="AC995" s="155" t="s">
        <v>53</v>
      </c>
      <c r="AD995" s="155" t="s">
        <v>20</v>
      </c>
      <c r="AE995" s="155" t="s">
        <v>72</v>
      </c>
      <c r="AF995" s="155" t="s">
        <v>51</v>
      </c>
      <c r="AG995" s="155" t="s">
        <v>194</v>
      </c>
      <c r="AH995" s="155">
        <v>4.0993750000000002</v>
      </c>
      <c r="AJ995" s="155" t="s">
        <v>74</v>
      </c>
      <c r="AK995" s="155" t="s">
        <v>88</v>
      </c>
      <c r="AL995" s="155" t="s">
        <v>25</v>
      </c>
      <c r="AM995" s="155" t="s">
        <v>51</v>
      </c>
      <c r="AN995" s="155" t="s">
        <v>194</v>
      </c>
      <c r="AO995" s="155">
        <v>2.96123512742628</v>
      </c>
    </row>
    <row r="996" spans="29:41">
      <c r="AC996" s="155" t="s">
        <v>53</v>
      </c>
      <c r="AD996" s="155" t="s">
        <v>20</v>
      </c>
      <c r="AE996" s="155" t="s">
        <v>72</v>
      </c>
      <c r="AF996" s="155" t="s">
        <v>51</v>
      </c>
      <c r="AG996" s="155" t="s">
        <v>195</v>
      </c>
      <c r="AH996" s="155">
        <v>4.2910000000000004</v>
      </c>
      <c r="AJ996" s="155" t="s">
        <v>74</v>
      </c>
      <c r="AK996" s="155" t="s">
        <v>88</v>
      </c>
      <c r="AL996" s="155" t="s">
        <v>25</v>
      </c>
      <c r="AM996" s="155" t="s">
        <v>51</v>
      </c>
      <c r="AN996" s="155" t="s">
        <v>195</v>
      </c>
      <c r="AO996" s="155">
        <v>3.0744144315737501</v>
      </c>
    </row>
    <row r="997" spans="29:41">
      <c r="AC997" s="155" t="s">
        <v>53</v>
      </c>
      <c r="AD997" s="155" t="s">
        <v>20</v>
      </c>
      <c r="AE997" s="155" t="s">
        <v>72</v>
      </c>
      <c r="AF997" s="155" t="s">
        <v>51</v>
      </c>
      <c r="AG997" s="155" t="s">
        <v>196</v>
      </c>
      <c r="AH997" s="155">
        <v>4.2588749999999997</v>
      </c>
      <c r="AJ997" s="155" t="s">
        <v>74</v>
      </c>
      <c r="AK997" s="155" t="s">
        <v>88</v>
      </c>
      <c r="AL997" s="155" t="s">
        <v>25</v>
      </c>
      <c r="AM997" s="155" t="s">
        <v>51</v>
      </c>
      <c r="AN997" s="155" t="s">
        <v>196</v>
      </c>
      <c r="AO997" s="155">
        <v>3.0256748636149999</v>
      </c>
    </row>
    <row r="998" spans="29:41">
      <c r="AC998" s="155" t="s">
        <v>53</v>
      </c>
      <c r="AD998" s="155" t="s">
        <v>20</v>
      </c>
      <c r="AE998" s="155" t="s">
        <v>72</v>
      </c>
      <c r="AF998" s="155" t="s">
        <v>51</v>
      </c>
      <c r="AG998" s="155" t="s">
        <v>197</v>
      </c>
      <c r="AH998" s="155">
        <v>4.2592500000000006</v>
      </c>
      <c r="AJ998" s="155" t="s">
        <v>74</v>
      </c>
      <c r="AK998" s="155" t="s">
        <v>88</v>
      </c>
      <c r="AL998" s="155" t="s">
        <v>25</v>
      </c>
      <c r="AM998" s="155" t="s">
        <v>51</v>
      </c>
      <c r="AN998" s="155" t="s">
        <v>197</v>
      </c>
      <c r="AO998" s="155">
        <v>3.1185389251118698</v>
      </c>
    </row>
    <row r="999" spans="29:41">
      <c r="AC999" s="155" t="s">
        <v>53</v>
      </c>
      <c r="AD999" s="155" t="s">
        <v>20</v>
      </c>
      <c r="AE999" s="155" t="s">
        <v>72</v>
      </c>
      <c r="AF999" s="155" t="s">
        <v>51</v>
      </c>
      <c r="AG999" s="155" t="s">
        <v>198</v>
      </c>
      <c r="AH999" s="155">
        <v>4.2275</v>
      </c>
      <c r="AJ999" s="155" t="s">
        <v>74</v>
      </c>
      <c r="AK999" s="155" t="s">
        <v>88</v>
      </c>
      <c r="AL999" s="155" t="s">
        <v>25</v>
      </c>
      <c r="AM999" s="155" t="s">
        <v>51</v>
      </c>
      <c r="AN999" s="155" t="s">
        <v>198</v>
      </c>
      <c r="AO999" s="155">
        <v>3.0852280715370801</v>
      </c>
    </row>
    <row r="1000" spans="29:41">
      <c r="AC1000" s="155" t="s">
        <v>53</v>
      </c>
      <c r="AD1000" s="155" t="s">
        <v>20</v>
      </c>
      <c r="AE1000" s="155" t="s">
        <v>72</v>
      </c>
      <c r="AF1000" s="155" t="s">
        <v>51</v>
      </c>
      <c r="AG1000" s="155" t="s">
        <v>199</v>
      </c>
      <c r="AH1000" s="155">
        <v>4.1956249999999997</v>
      </c>
      <c r="AJ1000" s="155" t="s">
        <v>74</v>
      </c>
      <c r="AK1000" s="155" t="s">
        <v>88</v>
      </c>
      <c r="AL1000" s="155" t="s">
        <v>25</v>
      </c>
      <c r="AM1000" s="155" t="s">
        <v>51</v>
      </c>
      <c r="AN1000" s="155" t="s">
        <v>199</v>
      </c>
      <c r="AO1000" s="155">
        <v>3.1292995796246399</v>
      </c>
    </row>
    <row r="1001" spans="29:41">
      <c r="AC1001" s="155" t="s">
        <v>53</v>
      </c>
      <c r="AD1001" s="155" t="s">
        <v>20</v>
      </c>
      <c r="AE1001" s="155" t="s">
        <v>72</v>
      </c>
      <c r="AF1001" s="155" t="s">
        <v>51</v>
      </c>
      <c r="AG1001" s="155" t="s">
        <v>200</v>
      </c>
      <c r="AH1001" s="155">
        <v>4.2275</v>
      </c>
      <c r="AJ1001" s="155" t="s">
        <v>74</v>
      </c>
      <c r="AK1001" s="155" t="s">
        <v>88</v>
      </c>
      <c r="AL1001" s="155" t="s">
        <v>25</v>
      </c>
      <c r="AM1001" s="155" t="s">
        <v>51</v>
      </c>
      <c r="AN1001" s="155" t="s">
        <v>200</v>
      </c>
      <c r="AO1001" s="155">
        <v>3.1773446759928401</v>
      </c>
    </row>
    <row r="1002" spans="29:41">
      <c r="AC1002" s="155" t="s">
        <v>53</v>
      </c>
      <c r="AD1002" s="155" t="s">
        <v>20</v>
      </c>
      <c r="AE1002" s="155" t="s">
        <v>72</v>
      </c>
      <c r="AF1002" s="155" t="s">
        <v>51</v>
      </c>
      <c r="AG1002" s="155" t="s">
        <v>201</v>
      </c>
      <c r="AH1002" s="155">
        <v>4.1956249999999997</v>
      </c>
      <c r="AJ1002" s="155" t="s">
        <v>74</v>
      </c>
      <c r="AK1002" s="155" t="s">
        <v>88</v>
      </c>
      <c r="AL1002" s="155" t="s">
        <v>25</v>
      </c>
      <c r="AM1002" s="155" t="s">
        <v>51</v>
      </c>
      <c r="AN1002" s="155" t="s">
        <v>201</v>
      </c>
      <c r="AO1002" s="155">
        <v>3.0761153132050598</v>
      </c>
    </row>
    <row r="1003" spans="29:41">
      <c r="AC1003" s="155" t="s">
        <v>53</v>
      </c>
      <c r="AD1003" s="155" t="s">
        <v>20</v>
      </c>
      <c r="AE1003" s="155" t="s">
        <v>72</v>
      </c>
      <c r="AF1003" s="155" t="s">
        <v>51</v>
      </c>
      <c r="AG1003" s="155" t="s">
        <v>202</v>
      </c>
      <c r="AH1003" s="155">
        <v>4.2906250000000004</v>
      </c>
      <c r="AJ1003" s="155" t="s">
        <v>74</v>
      </c>
      <c r="AK1003" s="155" t="s">
        <v>88</v>
      </c>
      <c r="AL1003" s="155" t="s">
        <v>25</v>
      </c>
      <c r="AM1003" s="155" t="s">
        <v>51</v>
      </c>
      <c r="AN1003" s="155" t="s">
        <v>202</v>
      </c>
      <c r="AO1003" s="155">
        <v>3.0919401279735599</v>
      </c>
    </row>
    <row r="1004" spans="29:41">
      <c r="AC1004" s="155" t="s">
        <v>53</v>
      </c>
      <c r="AD1004" s="155" t="s">
        <v>20</v>
      </c>
      <c r="AE1004" s="155" t="s">
        <v>72</v>
      </c>
      <c r="AF1004" s="155" t="s">
        <v>51</v>
      </c>
      <c r="AG1004" s="155" t="s">
        <v>203</v>
      </c>
      <c r="AH1004" s="155">
        <v>4.2906250000000004</v>
      </c>
      <c r="AJ1004" s="155" t="s">
        <v>74</v>
      </c>
      <c r="AK1004" s="155" t="s">
        <v>88</v>
      </c>
      <c r="AL1004" s="155" t="s">
        <v>25</v>
      </c>
      <c r="AM1004" s="155" t="s">
        <v>51</v>
      </c>
      <c r="AN1004" s="155" t="s">
        <v>203</v>
      </c>
      <c r="AO1004" s="155">
        <v>3.0848485059502999</v>
      </c>
    </row>
    <row r="1005" spans="29:41">
      <c r="AC1005" s="155" t="s">
        <v>53</v>
      </c>
      <c r="AD1005" s="155" t="s">
        <v>20</v>
      </c>
      <c r="AE1005" s="155" t="s">
        <v>72</v>
      </c>
      <c r="AF1005" s="155" t="s">
        <v>51</v>
      </c>
      <c r="AG1005" s="155" t="s">
        <v>204</v>
      </c>
      <c r="AH1005" s="155">
        <v>4.2275</v>
      </c>
      <c r="AJ1005" s="155" t="s">
        <v>74</v>
      </c>
      <c r="AK1005" s="155" t="s">
        <v>88</v>
      </c>
      <c r="AL1005" s="155" t="s">
        <v>25</v>
      </c>
      <c r="AM1005" s="155" t="s">
        <v>51</v>
      </c>
      <c r="AN1005" s="155" t="s">
        <v>204</v>
      </c>
      <c r="AO1005" s="155">
        <v>3.0537402902567599</v>
      </c>
    </row>
    <row r="1006" spans="29:41">
      <c r="AC1006" s="155" t="s">
        <v>53</v>
      </c>
      <c r="AD1006" s="155" t="s">
        <v>20</v>
      </c>
      <c r="AE1006" s="155" t="s">
        <v>72</v>
      </c>
      <c r="AF1006" s="155" t="s">
        <v>51</v>
      </c>
      <c r="AG1006" s="155" t="s">
        <v>205</v>
      </c>
      <c r="AH1006" s="155">
        <v>4.2275</v>
      </c>
      <c r="AJ1006" s="155" t="s">
        <v>74</v>
      </c>
      <c r="AK1006" s="155" t="s">
        <v>88</v>
      </c>
      <c r="AL1006" s="155" t="s">
        <v>25</v>
      </c>
      <c r="AM1006" s="155" t="s">
        <v>51</v>
      </c>
      <c r="AN1006" s="155" t="s">
        <v>205</v>
      </c>
      <c r="AO1006" s="155">
        <v>3.03216152423493</v>
      </c>
    </row>
    <row r="1007" spans="29:41">
      <c r="AC1007" s="155" t="s">
        <v>53</v>
      </c>
      <c r="AD1007" s="155" t="s">
        <v>20</v>
      </c>
      <c r="AE1007" s="155" t="s">
        <v>72</v>
      </c>
      <c r="AF1007" s="155" t="s">
        <v>51</v>
      </c>
      <c r="AG1007" s="155" t="s">
        <v>206</v>
      </c>
      <c r="AH1007" s="155">
        <v>4.2588749999999997</v>
      </c>
      <c r="AJ1007" s="155" t="s">
        <v>74</v>
      </c>
      <c r="AK1007" s="155" t="s">
        <v>88</v>
      </c>
      <c r="AL1007" s="155" t="s">
        <v>25</v>
      </c>
      <c r="AM1007" s="155" t="s">
        <v>51</v>
      </c>
      <c r="AN1007" s="155" t="s">
        <v>206</v>
      </c>
      <c r="AO1007" s="155">
        <v>3.0468019127231698</v>
      </c>
    </row>
    <row r="1008" spans="29:41">
      <c r="AC1008" s="155" t="s">
        <v>53</v>
      </c>
      <c r="AD1008" s="155" t="s">
        <v>20</v>
      </c>
      <c r="AE1008" s="155" t="s">
        <v>72</v>
      </c>
      <c r="AF1008" s="155" t="s">
        <v>51</v>
      </c>
      <c r="AG1008" s="155" t="s">
        <v>207</v>
      </c>
      <c r="AH1008" s="155">
        <v>4.2270000000000003</v>
      </c>
      <c r="AJ1008" s="155" t="s">
        <v>74</v>
      </c>
      <c r="AK1008" s="155" t="s">
        <v>88</v>
      </c>
      <c r="AL1008" s="155" t="s">
        <v>25</v>
      </c>
      <c r="AM1008" s="155" t="s">
        <v>51</v>
      </c>
      <c r="AN1008" s="155" t="s">
        <v>207</v>
      </c>
      <c r="AO1008" s="155">
        <v>2.9822174038917302</v>
      </c>
    </row>
    <row r="1009" spans="29:41">
      <c r="AC1009" s="155" t="s">
        <v>53</v>
      </c>
      <c r="AD1009" s="155" t="s">
        <v>20</v>
      </c>
      <c r="AE1009" s="155" t="s">
        <v>72</v>
      </c>
      <c r="AF1009" s="155" t="s">
        <v>51</v>
      </c>
      <c r="AG1009" s="155" t="s">
        <v>208</v>
      </c>
      <c r="AH1009" s="155">
        <v>4.2906250000000004</v>
      </c>
      <c r="AJ1009" s="155" t="s">
        <v>74</v>
      </c>
      <c r="AK1009" s="155" t="s">
        <v>88</v>
      </c>
      <c r="AL1009" s="155" t="s">
        <v>25</v>
      </c>
      <c r="AM1009" s="155" t="s">
        <v>51</v>
      </c>
      <c r="AN1009" s="155" t="s">
        <v>208</v>
      </c>
      <c r="AO1009" s="155">
        <v>3.0761568887156101</v>
      </c>
    </row>
    <row r="1010" spans="29:41">
      <c r="AC1010" s="155" t="s">
        <v>53</v>
      </c>
      <c r="AD1010" s="155" t="s">
        <v>20</v>
      </c>
      <c r="AE1010" s="155" t="s">
        <v>72</v>
      </c>
      <c r="AF1010" s="155" t="s">
        <v>51</v>
      </c>
      <c r="AG1010" s="155" t="s">
        <v>209</v>
      </c>
      <c r="AH1010" s="155">
        <v>4.3228750000000007</v>
      </c>
      <c r="AJ1010" s="155" t="s">
        <v>74</v>
      </c>
      <c r="AK1010" s="155" t="s">
        <v>88</v>
      </c>
      <c r="AL1010" s="155" t="s">
        <v>25</v>
      </c>
      <c r="AM1010" s="155" t="s">
        <v>51</v>
      </c>
      <c r="AN1010" s="155" t="s">
        <v>209</v>
      </c>
      <c r="AO1010" s="155">
        <v>3.1219045210798799</v>
      </c>
    </row>
    <row r="1011" spans="29:41">
      <c r="AC1011" s="155" t="s">
        <v>53</v>
      </c>
      <c r="AD1011" s="155" t="s">
        <v>20</v>
      </c>
      <c r="AE1011" s="155" t="s">
        <v>72</v>
      </c>
      <c r="AF1011" s="155" t="s">
        <v>51</v>
      </c>
      <c r="AG1011" s="155" t="s">
        <v>210</v>
      </c>
      <c r="AH1011" s="155">
        <v>4.2910000000000004</v>
      </c>
      <c r="AJ1011" s="155" t="s">
        <v>74</v>
      </c>
      <c r="AK1011" s="155" t="s">
        <v>88</v>
      </c>
      <c r="AL1011" s="155" t="s">
        <v>25</v>
      </c>
      <c r="AM1011" s="155" t="s">
        <v>51</v>
      </c>
      <c r="AN1011" s="155" t="s">
        <v>210</v>
      </c>
      <c r="AO1011" s="155">
        <v>3.0912606104251101</v>
      </c>
    </row>
    <row r="1012" spans="29:41">
      <c r="AC1012" s="155" t="s">
        <v>53</v>
      </c>
      <c r="AD1012" s="155" t="s">
        <v>20</v>
      </c>
      <c r="AE1012" s="155" t="s">
        <v>72</v>
      </c>
      <c r="AF1012" s="155" t="s">
        <v>51</v>
      </c>
      <c r="AG1012" s="155" t="s">
        <v>211</v>
      </c>
      <c r="AH1012" s="155">
        <v>4.2910000000000004</v>
      </c>
      <c r="AJ1012" s="155" t="s">
        <v>74</v>
      </c>
      <c r="AK1012" s="155" t="s">
        <v>88</v>
      </c>
      <c r="AL1012" s="155" t="s">
        <v>25</v>
      </c>
      <c r="AM1012" s="155" t="s">
        <v>51</v>
      </c>
      <c r="AN1012" s="155" t="s">
        <v>211</v>
      </c>
      <c r="AO1012" s="155">
        <v>3.1158923075545402</v>
      </c>
    </row>
    <row r="1013" spans="29:41">
      <c r="AC1013" s="155" t="s">
        <v>53</v>
      </c>
      <c r="AD1013" s="155" t="s">
        <v>20</v>
      </c>
      <c r="AE1013" s="155" t="s">
        <v>72</v>
      </c>
      <c r="AF1013" s="155" t="s">
        <v>51</v>
      </c>
      <c r="AG1013" s="155" t="s">
        <v>212</v>
      </c>
      <c r="AH1013" s="155">
        <v>4.3546250000000004</v>
      </c>
      <c r="AJ1013" s="155" t="s">
        <v>74</v>
      </c>
      <c r="AK1013" s="155" t="s">
        <v>88</v>
      </c>
      <c r="AL1013" s="155" t="s">
        <v>25</v>
      </c>
      <c r="AM1013" s="155" t="s">
        <v>51</v>
      </c>
      <c r="AN1013" s="155" t="s">
        <v>212</v>
      </c>
      <c r="AO1013" s="155">
        <v>3.2022687944333499</v>
      </c>
    </row>
    <row r="1014" spans="29:41">
      <c r="AC1014" s="155" t="s">
        <v>53</v>
      </c>
      <c r="AD1014" s="155" t="s">
        <v>20</v>
      </c>
      <c r="AE1014" s="155" t="s">
        <v>72</v>
      </c>
      <c r="AF1014" s="155" t="s">
        <v>51</v>
      </c>
      <c r="AG1014" s="155" t="s">
        <v>213</v>
      </c>
      <c r="AH1014" s="155">
        <v>4.2910000000000004</v>
      </c>
      <c r="AJ1014" s="155" t="s">
        <v>74</v>
      </c>
      <c r="AK1014" s="155" t="s">
        <v>88</v>
      </c>
      <c r="AL1014" s="155" t="s">
        <v>25</v>
      </c>
      <c r="AM1014" s="155" t="s">
        <v>51</v>
      </c>
      <c r="AN1014" s="155" t="s">
        <v>213</v>
      </c>
      <c r="AO1014" s="155">
        <v>3.0851869199683102</v>
      </c>
    </row>
    <row r="1015" spans="29:41">
      <c r="AC1015" s="155" t="s">
        <v>53</v>
      </c>
      <c r="AD1015" s="155" t="s">
        <v>20</v>
      </c>
      <c r="AE1015" s="155" t="s">
        <v>72</v>
      </c>
      <c r="AF1015" s="155" t="s">
        <v>51</v>
      </c>
      <c r="AG1015" s="155" t="s">
        <v>98</v>
      </c>
      <c r="AH1015" s="155">
        <v>4.2592500000000006</v>
      </c>
      <c r="AJ1015" s="155" t="s">
        <v>74</v>
      </c>
      <c r="AK1015" s="155" t="s">
        <v>88</v>
      </c>
      <c r="AL1015" s="155" t="s">
        <v>25</v>
      </c>
      <c r="AM1015" s="155" t="s">
        <v>51</v>
      </c>
      <c r="AN1015" s="155" t="s">
        <v>98</v>
      </c>
      <c r="AO1015" s="155">
        <v>3.0732804432921599</v>
      </c>
    </row>
    <row r="1016" spans="29:41">
      <c r="AC1016" s="155" t="s">
        <v>53</v>
      </c>
      <c r="AD1016" s="155" t="s">
        <v>20</v>
      </c>
      <c r="AE1016" s="155" t="s">
        <v>72</v>
      </c>
      <c r="AF1016" s="155" t="s">
        <v>51</v>
      </c>
      <c r="AG1016" s="155" t="s">
        <v>96</v>
      </c>
      <c r="AH1016" s="155">
        <v>4.3228750000000007</v>
      </c>
      <c r="AJ1016" s="155" t="s">
        <v>74</v>
      </c>
      <c r="AK1016" s="155" t="s">
        <v>88</v>
      </c>
      <c r="AL1016" s="155" t="s">
        <v>25</v>
      </c>
      <c r="AM1016" s="155" t="s">
        <v>51</v>
      </c>
      <c r="AN1016" s="155" t="s">
        <v>96</v>
      </c>
      <c r="AO1016" s="155">
        <v>3.16276525236256</v>
      </c>
    </row>
    <row r="1017" spans="29:41">
      <c r="AC1017" s="155" t="s">
        <v>53</v>
      </c>
      <c r="AD1017" s="155" t="s">
        <v>20</v>
      </c>
      <c r="AE1017" s="155" t="s">
        <v>72</v>
      </c>
      <c r="AF1017" s="155" t="s">
        <v>51</v>
      </c>
      <c r="AG1017" s="155" t="s">
        <v>97</v>
      </c>
      <c r="AH1017" s="155">
        <v>4.2910000000000004</v>
      </c>
      <c r="AJ1017" s="155" t="s">
        <v>74</v>
      </c>
      <c r="AK1017" s="155" t="s">
        <v>88</v>
      </c>
      <c r="AL1017" s="155" t="s">
        <v>25</v>
      </c>
      <c r="AM1017" s="155" t="s">
        <v>51</v>
      </c>
      <c r="AN1017" s="155" t="s">
        <v>97</v>
      </c>
      <c r="AO1017" s="155">
        <v>3.1329453977786899</v>
      </c>
    </row>
    <row r="1018" spans="29:41">
      <c r="AC1018" s="155" t="s">
        <v>53</v>
      </c>
      <c r="AD1018" s="155" t="s">
        <v>20</v>
      </c>
      <c r="AE1018" s="155" t="s">
        <v>72</v>
      </c>
      <c r="AF1018" s="155" t="s">
        <v>51</v>
      </c>
      <c r="AG1018" s="155" t="s">
        <v>101</v>
      </c>
      <c r="AH1018" s="155">
        <v>4.2592500000000006</v>
      </c>
      <c r="AJ1018" s="155" t="s">
        <v>74</v>
      </c>
      <c r="AK1018" s="155" t="s">
        <v>88</v>
      </c>
      <c r="AL1018" s="155" t="s">
        <v>25</v>
      </c>
      <c r="AM1018" s="155" t="s">
        <v>51</v>
      </c>
      <c r="AN1018" s="155" t="s">
        <v>101</v>
      </c>
      <c r="AO1018" s="155">
        <v>3.0409627195865201</v>
      </c>
    </row>
    <row r="1019" spans="29:41">
      <c r="AC1019" s="155" t="s">
        <v>53</v>
      </c>
      <c r="AD1019" s="155" t="s">
        <v>20</v>
      </c>
      <c r="AE1019" s="155" t="s">
        <v>72</v>
      </c>
      <c r="AF1019" s="155" t="s">
        <v>51</v>
      </c>
      <c r="AG1019" s="155" t="s">
        <v>102</v>
      </c>
      <c r="AH1019" s="155">
        <v>4.2906250000000004</v>
      </c>
      <c r="AJ1019" s="155" t="s">
        <v>74</v>
      </c>
      <c r="AK1019" s="155" t="s">
        <v>88</v>
      </c>
      <c r="AL1019" s="155" t="s">
        <v>25</v>
      </c>
      <c r="AM1019" s="155" t="s">
        <v>51</v>
      </c>
      <c r="AN1019" s="155" t="s">
        <v>102</v>
      </c>
      <c r="AO1019" s="155">
        <v>3.00985191194196</v>
      </c>
    </row>
    <row r="1020" spans="29:41">
      <c r="AC1020" s="155" t="s">
        <v>53</v>
      </c>
      <c r="AD1020" s="155" t="s">
        <v>20</v>
      </c>
      <c r="AE1020" s="155" t="s">
        <v>72</v>
      </c>
      <c r="AF1020" s="155" t="s">
        <v>51</v>
      </c>
      <c r="AG1020" s="155" t="s">
        <v>103</v>
      </c>
      <c r="AH1020" s="155">
        <v>4.2910000000000004</v>
      </c>
      <c r="AJ1020" s="155" t="s">
        <v>74</v>
      </c>
      <c r="AK1020" s="155" t="s">
        <v>88</v>
      </c>
      <c r="AL1020" s="155" t="s">
        <v>25</v>
      </c>
      <c r="AM1020" s="155" t="s">
        <v>51</v>
      </c>
      <c r="AN1020" s="155" t="s">
        <v>103</v>
      </c>
      <c r="AO1020" s="155">
        <v>2.9791453962399599</v>
      </c>
    </row>
    <row r="1021" spans="29:41">
      <c r="AC1021" s="155" t="s">
        <v>53</v>
      </c>
      <c r="AD1021" s="155" t="s">
        <v>20</v>
      </c>
      <c r="AE1021" s="155" t="s">
        <v>72</v>
      </c>
      <c r="AF1021" s="155" t="s">
        <v>51</v>
      </c>
      <c r="AG1021" s="155" t="s">
        <v>104</v>
      </c>
      <c r="AH1021" s="155">
        <v>4.2592500000000006</v>
      </c>
      <c r="AJ1021" s="155" t="s">
        <v>74</v>
      </c>
      <c r="AK1021" s="155" t="s">
        <v>88</v>
      </c>
      <c r="AL1021" s="155" t="s">
        <v>25</v>
      </c>
      <c r="AM1021" s="155" t="s">
        <v>51</v>
      </c>
      <c r="AN1021" s="155" t="s">
        <v>104</v>
      </c>
      <c r="AO1021" s="155">
        <v>3.0519928057207899</v>
      </c>
    </row>
    <row r="1022" spans="29:41">
      <c r="AC1022" s="155" t="s">
        <v>53</v>
      </c>
      <c r="AD1022" s="155" t="s">
        <v>20</v>
      </c>
      <c r="AE1022" s="155" t="s">
        <v>72</v>
      </c>
      <c r="AF1022" s="155" t="s">
        <v>51</v>
      </c>
      <c r="AG1022" s="155" t="s">
        <v>105</v>
      </c>
      <c r="AH1022" s="155">
        <v>4.3228750000000007</v>
      </c>
      <c r="AJ1022" s="155" t="s">
        <v>74</v>
      </c>
      <c r="AK1022" s="155" t="s">
        <v>88</v>
      </c>
      <c r="AL1022" s="155" t="s">
        <v>25</v>
      </c>
      <c r="AM1022" s="155" t="s">
        <v>51</v>
      </c>
      <c r="AN1022" s="155" t="s">
        <v>105</v>
      </c>
      <c r="AO1022" s="155">
        <v>3.1469144966257199</v>
      </c>
    </row>
    <row r="1023" spans="29:41">
      <c r="AC1023" s="155" t="s">
        <v>53</v>
      </c>
      <c r="AD1023" s="155" t="s">
        <v>20</v>
      </c>
      <c r="AE1023" s="155" t="s">
        <v>72</v>
      </c>
      <c r="AF1023" s="155" t="s">
        <v>51</v>
      </c>
      <c r="AG1023" s="155" t="s">
        <v>106</v>
      </c>
      <c r="AH1023" s="155">
        <v>4.3864999999999998</v>
      </c>
      <c r="AJ1023" s="155" t="s">
        <v>74</v>
      </c>
      <c r="AK1023" s="155" t="s">
        <v>88</v>
      </c>
      <c r="AL1023" s="155" t="s">
        <v>25</v>
      </c>
      <c r="AM1023" s="155" t="s">
        <v>51</v>
      </c>
      <c r="AN1023" s="155" t="s">
        <v>106</v>
      </c>
      <c r="AO1023" s="155">
        <v>3.1440801611331</v>
      </c>
    </row>
    <row r="1024" spans="29:41">
      <c r="AC1024" s="155" t="s">
        <v>53</v>
      </c>
      <c r="AD1024" s="155" t="s">
        <v>20</v>
      </c>
      <c r="AE1024" s="155" t="s">
        <v>72</v>
      </c>
      <c r="AF1024" s="155" t="s">
        <v>51</v>
      </c>
      <c r="AG1024" s="155" t="s">
        <v>107</v>
      </c>
      <c r="AH1024" s="155">
        <v>4.2910000000000004</v>
      </c>
      <c r="AJ1024" s="155" t="s">
        <v>74</v>
      </c>
      <c r="AK1024" s="155" t="s">
        <v>88</v>
      </c>
      <c r="AL1024" s="155" t="s">
        <v>25</v>
      </c>
      <c r="AM1024" s="155" t="s">
        <v>51</v>
      </c>
      <c r="AN1024" s="155" t="s">
        <v>107</v>
      </c>
      <c r="AO1024" s="155">
        <v>3.1081065530197201</v>
      </c>
    </row>
    <row r="1025" spans="29:41">
      <c r="AC1025" s="155" t="s">
        <v>53</v>
      </c>
      <c r="AD1025" s="155" t="s">
        <v>20</v>
      </c>
      <c r="AE1025" s="155" t="s">
        <v>72</v>
      </c>
      <c r="AF1025" s="155" t="s">
        <v>51</v>
      </c>
      <c r="AG1025" s="155" t="s">
        <v>108</v>
      </c>
      <c r="AH1025" s="155">
        <v>4.2592500000000006</v>
      </c>
      <c r="AJ1025" s="155" t="s">
        <v>74</v>
      </c>
      <c r="AK1025" s="155" t="s">
        <v>88</v>
      </c>
      <c r="AL1025" s="155" t="s">
        <v>25</v>
      </c>
      <c r="AM1025" s="155" t="s">
        <v>51</v>
      </c>
      <c r="AN1025" s="155" t="s">
        <v>108</v>
      </c>
      <c r="AO1025" s="155">
        <v>3.0651881254767099</v>
      </c>
    </row>
    <row r="1026" spans="29:41">
      <c r="AC1026" s="155" t="s">
        <v>53</v>
      </c>
      <c r="AD1026" s="155" t="s">
        <v>20</v>
      </c>
      <c r="AE1026" s="155" t="s">
        <v>72</v>
      </c>
      <c r="AF1026" s="155" t="s">
        <v>51</v>
      </c>
      <c r="AG1026" s="155" t="s">
        <v>100</v>
      </c>
      <c r="AH1026" s="155">
        <v>4.2592500000000006</v>
      </c>
      <c r="AJ1026" s="155" t="s">
        <v>74</v>
      </c>
      <c r="AK1026" s="155" t="s">
        <v>88</v>
      </c>
      <c r="AL1026" s="155" t="s">
        <v>25</v>
      </c>
      <c r="AM1026" s="155" t="s">
        <v>51</v>
      </c>
      <c r="AN1026" s="155" t="s">
        <v>100</v>
      </c>
      <c r="AO1026" s="155">
        <v>3.0642370952529001</v>
      </c>
    </row>
    <row r="1027" spans="29:41">
      <c r="AC1027" s="155" t="s">
        <v>53</v>
      </c>
      <c r="AD1027" s="155" t="s">
        <v>20</v>
      </c>
      <c r="AE1027" s="155" t="s">
        <v>72</v>
      </c>
      <c r="AF1027" s="155" t="s">
        <v>51</v>
      </c>
      <c r="AG1027" s="155" t="s">
        <v>109</v>
      </c>
      <c r="AH1027" s="155">
        <v>4.2592500000000006</v>
      </c>
      <c r="AJ1027" s="155" t="s">
        <v>74</v>
      </c>
      <c r="AK1027" s="155" t="s">
        <v>88</v>
      </c>
      <c r="AL1027" s="155" t="s">
        <v>25</v>
      </c>
      <c r="AM1027" s="155" t="s">
        <v>51</v>
      </c>
      <c r="AN1027" s="155" t="s">
        <v>109</v>
      </c>
      <c r="AO1027" s="155">
        <v>3.0508649511892498</v>
      </c>
    </row>
    <row r="1028" spans="29:41">
      <c r="AC1028" s="155" t="s">
        <v>53</v>
      </c>
      <c r="AD1028" s="155" t="s">
        <v>20</v>
      </c>
      <c r="AE1028" s="155" t="s">
        <v>72</v>
      </c>
      <c r="AF1028" s="155" t="s">
        <v>51</v>
      </c>
      <c r="AG1028" s="155" t="s">
        <v>110</v>
      </c>
      <c r="AH1028" s="155">
        <v>4.2910000000000004</v>
      </c>
      <c r="AJ1028" s="155" t="s">
        <v>74</v>
      </c>
      <c r="AK1028" s="155" t="s">
        <v>88</v>
      </c>
      <c r="AL1028" s="155" t="s">
        <v>25</v>
      </c>
      <c r="AM1028" s="155" t="s">
        <v>51</v>
      </c>
      <c r="AN1028" s="155" t="s">
        <v>110</v>
      </c>
      <c r="AO1028" s="155">
        <v>3.07026860246684</v>
      </c>
    </row>
    <row r="1029" spans="29:41">
      <c r="AC1029" s="155" t="s">
        <v>53</v>
      </c>
      <c r="AD1029" s="155" t="s">
        <v>20</v>
      </c>
      <c r="AE1029" s="155" t="s">
        <v>72</v>
      </c>
      <c r="AF1029" s="155" t="s">
        <v>51</v>
      </c>
      <c r="AG1029" s="155" t="s">
        <v>111</v>
      </c>
      <c r="AH1029" s="155">
        <v>4.2906250000000004</v>
      </c>
      <c r="AJ1029" s="155" t="s">
        <v>74</v>
      </c>
      <c r="AK1029" s="155" t="s">
        <v>88</v>
      </c>
      <c r="AL1029" s="155" t="s">
        <v>25</v>
      </c>
      <c r="AM1029" s="155" t="s">
        <v>51</v>
      </c>
      <c r="AN1029" s="155" t="s">
        <v>111</v>
      </c>
      <c r="AO1029" s="155">
        <v>3.04099858929172</v>
      </c>
    </row>
    <row r="1030" spans="29:41">
      <c r="AC1030" s="155" t="s">
        <v>53</v>
      </c>
      <c r="AD1030" s="155" t="s">
        <v>20</v>
      </c>
      <c r="AE1030" s="155" t="s">
        <v>72</v>
      </c>
      <c r="AF1030" s="155" t="s">
        <v>51</v>
      </c>
      <c r="AG1030" s="155" t="s">
        <v>99</v>
      </c>
      <c r="AH1030" s="155">
        <v>4.2906250000000004</v>
      </c>
      <c r="AJ1030" s="155" t="s">
        <v>74</v>
      </c>
      <c r="AK1030" s="155" t="s">
        <v>88</v>
      </c>
      <c r="AL1030" s="155" t="s">
        <v>25</v>
      </c>
      <c r="AM1030" s="155" t="s">
        <v>51</v>
      </c>
      <c r="AN1030" s="155" t="s">
        <v>99</v>
      </c>
      <c r="AO1030" s="155">
        <v>3.0272722743659699</v>
      </c>
    </row>
    <row r="1031" spans="29:41">
      <c r="AC1031" s="155" t="s">
        <v>53</v>
      </c>
      <c r="AD1031" s="155" t="s">
        <v>20</v>
      </c>
      <c r="AE1031" s="155" t="s">
        <v>72</v>
      </c>
      <c r="AF1031" s="155" t="s">
        <v>51</v>
      </c>
      <c r="AG1031" s="155" t="s">
        <v>126</v>
      </c>
      <c r="AH1031" s="155">
        <v>4.2592500000000006</v>
      </c>
      <c r="AJ1031" s="155" t="s">
        <v>74</v>
      </c>
      <c r="AK1031" s="155" t="s">
        <v>88</v>
      </c>
      <c r="AL1031" s="155" t="s">
        <v>25</v>
      </c>
      <c r="AM1031" s="155" t="s">
        <v>51</v>
      </c>
      <c r="AN1031" s="155" t="s">
        <v>126</v>
      </c>
      <c r="AO1031" s="155">
        <v>3.00152435884748</v>
      </c>
    </row>
    <row r="1032" spans="29:41">
      <c r="AC1032" s="155" t="s">
        <v>53</v>
      </c>
      <c r="AD1032" s="155" t="s">
        <v>20</v>
      </c>
      <c r="AE1032" s="155" t="s">
        <v>72</v>
      </c>
      <c r="AF1032" s="155" t="s">
        <v>51</v>
      </c>
      <c r="AG1032" s="155" t="s">
        <v>124</v>
      </c>
      <c r="AH1032" s="155">
        <v>4.2588749999999997</v>
      </c>
      <c r="AJ1032" s="155" t="s">
        <v>74</v>
      </c>
      <c r="AK1032" s="155" t="s">
        <v>88</v>
      </c>
      <c r="AL1032" s="155" t="s">
        <v>25</v>
      </c>
      <c r="AM1032" s="155" t="s">
        <v>51</v>
      </c>
      <c r="AN1032" s="155" t="s">
        <v>124</v>
      </c>
      <c r="AO1032" s="155">
        <v>3.00880742941581</v>
      </c>
    </row>
    <row r="1033" spans="29:41">
      <c r="AC1033" s="155" t="s">
        <v>53</v>
      </c>
      <c r="AD1033" s="155" t="s">
        <v>20</v>
      </c>
      <c r="AE1033" s="155" t="s">
        <v>72</v>
      </c>
      <c r="AF1033" s="155" t="s">
        <v>51</v>
      </c>
      <c r="AG1033" s="155" t="s">
        <v>127</v>
      </c>
      <c r="AH1033" s="155">
        <v>4.2588749999999997</v>
      </c>
      <c r="AJ1033" s="155" t="s">
        <v>74</v>
      </c>
      <c r="AK1033" s="155" t="s">
        <v>88</v>
      </c>
      <c r="AL1033" s="155" t="s">
        <v>25</v>
      </c>
      <c r="AM1033" s="155" t="s">
        <v>51</v>
      </c>
      <c r="AN1033" s="155" t="s">
        <v>127</v>
      </c>
      <c r="AO1033" s="155">
        <v>2.9768819813504899</v>
      </c>
    </row>
    <row r="1034" spans="29:41">
      <c r="AC1034" s="155" t="s">
        <v>53</v>
      </c>
      <c r="AD1034" s="155" t="s">
        <v>20</v>
      </c>
      <c r="AE1034" s="155" t="s">
        <v>72</v>
      </c>
      <c r="AF1034" s="155" t="s">
        <v>51</v>
      </c>
      <c r="AG1034" s="155" t="s">
        <v>128</v>
      </c>
      <c r="AH1034" s="155">
        <v>4.2906250000000004</v>
      </c>
      <c r="AJ1034" s="155" t="s">
        <v>74</v>
      </c>
      <c r="AK1034" s="155" t="s">
        <v>88</v>
      </c>
      <c r="AL1034" s="155" t="s">
        <v>25</v>
      </c>
      <c r="AM1034" s="155" t="s">
        <v>51</v>
      </c>
      <c r="AN1034" s="155" t="s">
        <v>128</v>
      </c>
      <c r="AO1034" s="155">
        <v>2.9700273705701301</v>
      </c>
    </row>
    <row r="1035" spans="29:41">
      <c r="AC1035" s="155" t="s">
        <v>53</v>
      </c>
      <c r="AD1035" s="155" t="s">
        <v>20</v>
      </c>
      <c r="AE1035" s="155" t="s">
        <v>72</v>
      </c>
      <c r="AF1035" s="155" t="s">
        <v>51</v>
      </c>
      <c r="AG1035" s="155" t="s">
        <v>129</v>
      </c>
      <c r="AH1035" s="155">
        <v>4.2906250000000004</v>
      </c>
      <c r="AJ1035" s="155" t="s">
        <v>74</v>
      </c>
      <c r="AK1035" s="155" t="s">
        <v>88</v>
      </c>
      <c r="AL1035" s="155" t="s">
        <v>25</v>
      </c>
      <c r="AM1035" s="155" t="s">
        <v>51</v>
      </c>
      <c r="AN1035" s="155" t="s">
        <v>129</v>
      </c>
      <c r="AO1035" s="155">
        <v>2.9952166878972601</v>
      </c>
    </row>
    <row r="1036" spans="29:41">
      <c r="AC1036" s="155" t="s">
        <v>53</v>
      </c>
      <c r="AD1036" s="155" t="s">
        <v>20</v>
      </c>
      <c r="AE1036" s="155" t="s">
        <v>72</v>
      </c>
      <c r="AF1036" s="155" t="s">
        <v>51</v>
      </c>
      <c r="AG1036" s="155" t="s">
        <v>123</v>
      </c>
      <c r="AH1036" s="155">
        <v>4.2906250000000004</v>
      </c>
      <c r="AJ1036" s="155" t="s">
        <v>74</v>
      </c>
      <c r="AK1036" s="155" t="s">
        <v>88</v>
      </c>
      <c r="AL1036" s="155" t="s">
        <v>25</v>
      </c>
      <c r="AM1036" s="155" t="s">
        <v>51</v>
      </c>
      <c r="AN1036" s="155" t="s">
        <v>123</v>
      </c>
      <c r="AO1036" s="155">
        <v>2.9944455468035298</v>
      </c>
    </row>
    <row r="1037" spans="29:41">
      <c r="AC1037" s="155" t="s">
        <v>53</v>
      </c>
      <c r="AD1037" s="155" t="s">
        <v>20</v>
      </c>
      <c r="AE1037" s="155" t="s">
        <v>72</v>
      </c>
      <c r="AF1037" s="155" t="s">
        <v>51</v>
      </c>
      <c r="AG1037" s="155" t="s">
        <v>125</v>
      </c>
      <c r="AH1037" s="155">
        <v>4.1630000000000003</v>
      </c>
      <c r="AJ1037" s="155" t="s">
        <v>74</v>
      </c>
      <c r="AK1037" s="155" t="s">
        <v>88</v>
      </c>
      <c r="AL1037" s="155" t="s">
        <v>25</v>
      </c>
      <c r="AM1037" s="155" t="s">
        <v>51</v>
      </c>
      <c r="AN1037" s="155" t="s">
        <v>125</v>
      </c>
      <c r="AO1037" s="155">
        <v>2.9155081259623699</v>
      </c>
    </row>
    <row r="1038" spans="29:41">
      <c r="AC1038" s="155" t="s">
        <v>53</v>
      </c>
      <c r="AD1038" s="155" t="s">
        <v>20</v>
      </c>
      <c r="AE1038" s="155" t="s">
        <v>72</v>
      </c>
      <c r="AF1038" s="155" t="s">
        <v>51</v>
      </c>
      <c r="AG1038" s="155" t="s">
        <v>215</v>
      </c>
      <c r="AH1038" s="155">
        <v>4.1312500000000005</v>
      </c>
      <c r="AJ1038" s="155" t="s">
        <v>74</v>
      </c>
      <c r="AK1038" s="155" t="s">
        <v>88</v>
      </c>
      <c r="AL1038" s="155" t="s">
        <v>25</v>
      </c>
      <c r="AM1038" s="155" t="s">
        <v>51</v>
      </c>
      <c r="AN1038" s="155" t="s">
        <v>215</v>
      </c>
      <c r="AO1038" s="155">
        <v>2.8859588833612699</v>
      </c>
    </row>
    <row r="1039" spans="29:41">
      <c r="AC1039" s="155" t="s">
        <v>53</v>
      </c>
      <c r="AD1039" s="155" t="s">
        <v>20</v>
      </c>
      <c r="AE1039" s="155" t="s">
        <v>72</v>
      </c>
      <c r="AF1039" s="155" t="s">
        <v>51</v>
      </c>
      <c r="AG1039" s="155" t="s">
        <v>219</v>
      </c>
      <c r="AH1039" s="155">
        <v>4.2588749999999997</v>
      </c>
      <c r="AJ1039" s="155" t="s">
        <v>74</v>
      </c>
      <c r="AK1039" s="155" t="s">
        <v>88</v>
      </c>
      <c r="AL1039" s="155" t="s">
        <v>25</v>
      </c>
      <c r="AM1039" s="155" t="s">
        <v>51</v>
      </c>
      <c r="AN1039" s="155" t="s">
        <v>219</v>
      </c>
      <c r="AO1039" s="155">
        <v>2.9592567116727899</v>
      </c>
    </row>
    <row r="1040" spans="29:41">
      <c r="AC1040" s="155" t="s">
        <v>53</v>
      </c>
      <c r="AD1040" s="155" t="s">
        <v>20</v>
      </c>
      <c r="AE1040" s="155" t="s">
        <v>72</v>
      </c>
      <c r="AF1040" s="155" t="s">
        <v>51</v>
      </c>
      <c r="AG1040" s="155" t="s">
        <v>220</v>
      </c>
      <c r="AH1040" s="155">
        <v>4.2906250000000004</v>
      </c>
      <c r="AJ1040" s="155" t="s">
        <v>74</v>
      </c>
      <c r="AK1040" s="155" t="s">
        <v>88</v>
      </c>
      <c r="AL1040" s="155" t="s">
        <v>25</v>
      </c>
      <c r="AM1040" s="155" t="s">
        <v>51</v>
      </c>
      <c r="AN1040" s="155" t="s">
        <v>220</v>
      </c>
      <c r="AO1040" s="155">
        <v>3.0089114844805001</v>
      </c>
    </row>
    <row r="1041" spans="29:41">
      <c r="AC1041" s="155" t="s">
        <v>53</v>
      </c>
      <c r="AD1041" s="155" t="s">
        <v>20</v>
      </c>
      <c r="AE1041" s="155" t="s">
        <v>72</v>
      </c>
      <c r="AF1041" s="155" t="s">
        <v>51</v>
      </c>
      <c r="AG1041" s="155" t="s">
        <v>221</v>
      </c>
      <c r="AH1041" s="155">
        <v>4.2588749999999997</v>
      </c>
      <c r="AJ1041" s="155" t="s">
        <v>74</v>
      </c>
      <c r="AK1041" s="155" t="s">
        <v>88</v>
      </c>
      <c r="AL1041" s="155" t="s">
        <v>25</v>
      </c>
      <c r="AM1041" s="155" t="s">
        <v>51</v>
      </c>
      <c r="AN1041" s="155" t="s">
        <v>221</v>
      </c>
      <c r="AO1041" s="155">
        <v>2.9719648499802398</v>
      </c>
    </row>
    <row r="1042" spans="29:41">
      <c r="AC1042" s="155" t="s">
        <v>53</v>
      </c>
      <c r="AD1042" s="155" t="s">
        <v>20</v>
      </c>
      <c r="AE1042" s="155" t="s">
        <v>72</v>
      </c>
      <c r="AF1042" s="155" t="s">
        <v>51</v>
      </c>
      <c r="AG1042" s="155" t="s">
        <v>222</v>
      </c>
      <c r="AH1042" s="155">
        <v>4.2270000000000003</v>
      </c>
      <c r="AJ1042" s="78" t="s">
        <v>74</v>
      </c>
      <c r="AK1042" s="78" t="s">
        <v>88</v>
      </c>
      <c r="AL1042" s="78" t="s">
        <v>25</v>
      </c>
      <c r="AM1042" s="78" t="s">
        <v>51</v>
      </c>
      <c r="AN1042" s="78" t="s">
        <v>222</v>
      </c>
      <c r="AO1042" s="78">
        <v>2.92350190324946</v>
      </c>
    </row>
    <row r="1043" spans="29:41">
      <c r="AC1043" s="155" t="s">
        <v>53</v>
      </c>
      <c r="AD1043" s="155" t="s">
        <v>20</v>
      </c>
      <c r="AE1043" s="155" t="s">
        <v>72</v>
      </c>
      <c r="AF1043" s="155" t="s">
        <v>51</v>
      </c>
      <c r="AG1043" s="155" t="s">
        <v>223</v>
      </c>
      <c r="AH1043" s="155">
        <v>4.2588749999999997</v>
      </c>
      <c r="AJ1043" s="78" t="s">
        <v>74</v>
      </c>
      <c r="AK1043" s="78" t="s">
        <v>88</v>
      </c>
      <c r="AL1043" s="78" t="s">
        <v>25</v>
      </c>
      <c r="AM1043" s="78" t="s">
        <v>51</v>
      </c>
      <c r="AN1043" s="78" t="s">
        <v>223</v>
      </c>
      <c r="AO1043" s="78">
        <v>2.9753003706109098</v>
      </c>
    </row>
    <row r="1044" spans="29:41">
      <c r="AC1044" s="155" t="s">
        <v>53</v>
      </c>
      <c r="AD1044" s="155" t="s">
        <v>20</v>
      </c>
      <c r="AE1044" s="155" t="s">
        <v>72</v>
      </c>
      <c r="AF1044" s="155" t="s">
        <v>51</v>
      </c>
      <c r="AG1044" s="155" t="s">
        <v>224</v>
      </c>
      <c r="AH1044" s="155">
        <v>4.1312500000000005</v>
      </c>
      <c r="AJ1044" s="78" t="s">
        <v>74</v>
      </c>
      <c r="AK1044" s="78" t="s">
        <v>88</v>
      </c>
      <c r="AL1044" s="78" t="s">
        <v>25</v>
      </c>
      <c r="AM1044" s="78" t="s">
        <v>51</v>
      </c>
      <c r="AN1044" s="78" t="s">
        <v>224</v>
      </c>
      <c r="AO1044" s="78">
        <v>2.8894517792115599</v>
      </c>
    </row>
    <row r="1045" spans="29:41">
      <c r="AC1045" s="155" t="s">
        <v>53</v>
      </c>
      <c r="AD1045" s="155" t="s">
        <v>20</v>
      </c>
      <c r="AE1045" s="155" t="s">
        <v>72</v>
      </c>
      <c r="AF1045" s="155" t="s">
        <v>51</v>
      </c>
      <c r="AG1045" s="155" t="s">
        <v>225</v>
      </c>
      <c r="AH1045" s="155">
        <v>4.0993750000000002</v>
      </c>
      <c r="AJ1045" s="78" t="s">
        <v>74</v>
      </c>
      <c r="AK1045" s="78" t="s">
        <v>88</v>
      </c>
      <c r="AL1045" s="78" t="s">
        <v>25</v>
      </c>
      <c r="AM1045" s="78" t="s">
        <v>51</v>
      </c>
      <c r="AN1045" s="78" t="s">
        <v>225</v>
      </c>
      <c r="AO1045" s="78">
        <v>2.8863432484098199</v>
      </c>
    </row>
    <row r="1046" spans="29:41">
      <c r="AC1046" s="155" t="s">
        <v>53</v>
      </c>
      <c r="AD1046" s="155" t="s">
        <v>20</v>
      </c>
      <c r="AE1046" s="155" t="s">
        <v>72</v>
      </c>
      <c r="AF1046" s="155" t="s">
        <v>51</v>
      </c>
      <c r="AG1046" s="155" t="s">
        <v>226</v>
      </c>
      <c r="AH1046" s="155">
        <v>4.0993750000000002</v>
      </c>
      <c r="AJ1046" s="78" t="s">
        <v>74</v>
      </c>
      <c r="AK1046" s="78" t="s">
        <v>88</v>
      </c>
      <c r="AL1046" s="78" t="s">
        <v>25</v>
      </c>
      <c r="AM1046" s="78" t="s">
        <v>51</v>
      </c>
      <c r="AN1046" s="78" t="s">
        <v>226</v>
      </c>
      <c r="AO1046" s="78">
        <v>2.94154866689746</v>
      </c>
    </row>
    <row r="1047" spans="29:41">
      <c r="AC1047" s="155" t="s">
        <v>53</v>
      </c>
      <c r="AD1047" s="155" t="s">
        <v>20</v>
      </c>
      <c r="AE1047" s="155" t="s">
        <v>72</v>
      </c>
      <c r="AF1047" s="155" t="s">
        <v>51</v>
      </c>
      <c r="AG1047" s="155" t="s">
        <v>227</v>
      </c>
      <c r="AH1047" s="155">
        <v>4.1630000000000003</v>
      </c>
      <c r="AJ1047" s="78" t="s">
        <v>74</v>
      </c>
      <c r="AK1047" s="78" t="s">
        <v>88</v>
      </c>
      <c r="AL1047" s="78" t="s">
        <v>25</v>
      </c>
      <c r="AM1047" s="78" t="s">
        <v>51</v>
      </c>
      <c r="AN1047" s="78" t="s">
        <v>227</v>
      </c>
      <c r="AO1047" s="78">
        <v>2.9622833477952701</v>
      </c>
    </row>
    <row r="1048" spans="29:41">
      <c r="AC1048" s="155" t="s">
        <v>53</v>
      </c>
      <c r="AD1048" s="155" t="s">
        <v>20</v>
      </c>
      <c r="AE1048" s="155" t="s">
        <v>72</v>
      </c>
      <c r="AF1048" s="155" t="s">
        <v>51</v>
      </c>
      <c r="AG1048" s="155" t="s">
        <v>228</v>
      </c>
      <c r="AH1048" s="155">
        <v>4.2270000000000003</v>
      </c>
      <c r="AJ1048" s="78" t="s">
        <v>74</v>
      </c>
      <c r="AK1048" s="78" t="s">
        <v>88</v>
      </c>
      <c r="AL1048" s="78" t="s">
        <v>25</v>
      </c>
      <c r="AM1048" s="78" t="s">
        <v>51</v>
      </c>
      <c r="AN1048" s="78" t="s">
        <v>228</v>
      </c>
      <c r="AO1048" s="78">
        <v>2.9357435322539001</v>
      </c>
    </row>
    <row r="1049" spans="29:41">
      <c r="AC1049" s="155" t="s">
        <v>53</v>
      </c>
      <c r="AD1049" s="155" t="s">
        <v>20</v>
      </c>
      <c r="AE1049" s="155" t="s">
        <v>72</v>
      </c>
      <c r="AF1049" s="155" t="s">
        <v>51</v>
      </c>
      <c r="AG1049" s="155" t="s">
        <v>229</v>
      </c>
      <c r="AH1049" s="155">
        <v>4.2588749999999997</v>
      </c>
      <c r="AJ1049" s="78" t="s">
        <v>74</v>
      </c>
      <c r="AK1049" s="78" t="s">
        <v>88</v>
      </c>
      <c r="AL1049" s="78" t="s">
        <v>25</v>
      </c>
      <c r="AM1049" s="78" t="s">
        <v>51</v>
      </c>
      <c r="AN1049" s="78" t="s">
        <v>229</v>
      </c>
      <c r="AO1049" s="78">
        <v>2.9596582925735899</v>
      </c>
    </row>
    <row r="1050" spans="29:41">
      <c r="AC1050" s="155" t="s">
        <v>53</v>
      </c>
      <c r="AD1050" s="155" t="s">
        <v>20</v>
      </c>
      <c r="AE1050" s="155" t="s">
        <v>72</v>
      </c>
      <c r="AF1050" s="155" t="s">
        <v>51</v>
      </c>
      <c r="AG1050" s="155" t="s">
        <v>230</v>
      </c>
      <c r="AH1050" s="155">
        <v>4.1630000000000003</v>
      </c>
      <c r="AJ1050" s="78" t="s">
        <v>74</v>
      </c>
      <c r="AK1050" s="78" t="s">
        <v>88</v>
      </c>
      <c r="AL1050" s="78" t="s">
        <v>25</v>
      </c>
      <c r="AM1050" s="78" t="s">
        <v>51</v>
      </c>
      <c r="AN1050" s="78" t="s">
        <v>230</v>
      </c>
      <c r="AO1050" s="78">
        <v>2.8898853758214198</v>
      </c>
    </row>
    <row r="1051" spans="29:41">
      <c r="AC1051" s="155" t="s">
        <v>53</v>
      </c>
      <c r="AD1051" s="155" t="s">
        <v>20</v>
      </c>
      <c r="AE1051" s="155" t="s">
        <v>72</v>
      </c>
      <c r="AF1051" s="155" t="s">
        <v>51</v>
      </c>
      <c r="AG1051" s="155" t="s">
        <v>217</v>
      </c>
      <c r="AH1051" s="155">
        <v>4.1312500000000005</v>
      </c>
      <c r="AJ1051" s="78" t="s">
        <v>74</v>
      </c>
      <c r="AK1051" s="78" t="s">
        <v>88</v>
      </c>
      <c r="AL1051" s="78" t="s">
        <v>25</v>
      </c>
      <c r="AM1051" s="78" t="s">
        <v>51</v>
      </c>
      <c r="AN1051" s="78" t="s">
        <v>217</v>
      </c>
      <c r="AO1051" s="78">
        <v>2.85986737962509</v>
      </c>
    </row>
    <row r="1052" spans="29:41">
      <c r="AC1052" s="155" t="s">
        <v>53</v>
      </c>
      <c r="AD1052" s="155" t="s">
        <v>20</v>
      </c>
      <c r="AE1052" s="155" t="s">
        <v>72</v>
      </c>
      <c r="AF1052" s="155" t="s">
        <v>51</v>
      </c>
      <c r="AG1052" s="155" t="s">
        <v>231</v>
      </c>
      <c r="AH1052" s="155">
        <v>4.0993750000000002</v>
      </c>
      <c r="AJ1052" s="78" t="s">
        <v>74</v>
      </c>
      <c r="AK1052" s="78" t="s">
        <v>88</v>
      </c>
      <c r="AL1052" s="78" t="s">
        <v>25</v>
      </c>
      <c r="AM1052" s="78" t="s">
        <v>51</v>
      </c>
      <c r="AN1052" s="78" t="s">
        <v>231</v>
      </c>
      <c r="AO1052" s="78">
        <v>2.8344803887664098</v>
      </c>
    </row>
    <row r="1053" spans="29:41">
      <c r="AC1053" s="155" t="s">
        <v>53</v>
      </c>
      <c r="AD1053" s="155" t="s">
        <v>20</v>
      </c>
      <c r="AE1053" s="155" t="s">
        <v>72</v>
      </c>
      <c r="AF1053" s="155" t="s">
        <v>51</v>
      </c>
      <c r="AG1053" s="155" t="s">
        <v>232</v>
      </c>
      <c r="AH1053" s="155">
        <v>4.0353750000000002</v>
      </c>
      <c r="AJ1053" s="78" t="s">
        <v>74</v>
      </c>
      <c r="AK1053" s="78" t="s">
        <v>88</v>
      </c>
      <c r="AL1053" s="78" t="s">
        <v>25</v>
      </c>
      <c r="AM1053" s="78" t="s">
        <v>51</v>
      </c>
      <c r="AN1053" s="78" t="s">
        <v>232</v>
      </c>
      <c r="AO1053" s="78">
        <v>2.79004351105465</v>
      </c>
    </row>
    <row r="1054" spans="29:41">
      <c r="AC1054" s="155" t="s">
        <v>53</v>
      </c>
      <c r="AD1054" s="155" t="s">
        <v>20</v>
      </c>
      <c r="AE1054" s="155" t="s">
        <v>72</v>
      </c>
      <c r="AF1054" s="155" t="s">
        <v>51</v>
      </c>
      <c r="AG1054" s="155" t="s">
        <v>233</v>
      </c>
      <c r="AH1054" s="155">
        <v>4.1630000000000003</v>
      </c>
      <c r="AJ1054" s="78" t="s">
        <v>74</v>
      </c>
      <c r="AK1054" s="78" t="s">
        <v>88</v>
      </c>
      <c r="AL1054" s="78" t="s">
        <v>25</v>
      </c>
      <c r="AM1054" s="78" t="s">
        <v>51</v>
      </c>
      <c r="AN1054" s="78" t="s">
        <v>233</v>
      </c>
      <c r="AO1054" s="78">
        <v>2.9080768711615201</v>
      </c>
    </row>
    <row r="1055" spans="29:41">
      <c r="AC1055" s="155" t="s">
        <v>53</v>
      </c>
      <c r="AD1055" s="155" t="s">
        <v>20</v>
      </c>
      <c r="AE1055" s="155" t="s">
        <v>72</v>
      </c>
      <c r="AF1055" s="155" t="s">
        <v>51</v>
      </c>
      <c r="AG1055" s="155" t="s">
        <v>216</v>
      </c>
      <c r="AH1055" s="155">
        <v>4.2270000000000003</v>
      </c>
      <c r="AJ1055" s="78" t="s">
        <v>74</v>
      </c>
      <c r="AK1055" s="78" t="s">
        <v>88</v>
      </c>
      <c r="AL1055" s="78" t="s">
        <v>25</v>
      </c>
      <c r="AM1055" s="78" t="s">
        <v>51</v>
      </c>
      <c r="AN1055" s="78" t="s">
        <v>216</v>
      </c>
      <c r="AO1055" s="78">
        <v>2.9117942461472701</v>
      </c>
    </row>
    <row r="1056" spans="29:41">
      <c r="AC1056" s="155" t="s">
        <v>53</v>
      </c>
      <c r="AD1056" s="155" t="s">
        <v>20</v>
      </c>
      <c r="AE1056" s="155" t="s">
        <v>72</v>
      </c>
      <c r="AF1056" s="155" t="s">
        <v>51</v>
      </c>
      <c r="AG1056" s="155" t="s">
        <v>218</v>
      </c>
      <c r="AH1056" s="155">
        <v>4.2270000000000003</v>
      </c>
      <c r="AJ1056" s="78" t="s">
        <v>74</v>
      </c>
      <c r="AK1056" s="78" t="s">
        <v>88</v>
      </c>
      <c r="AL1056" s="78" t="s">
        <v>25</v>
      </c>
      <c r="AM1056" s="78" t="s">
        <v>51</v>
      </c>
      <c r="AN1056" s="78" t="s">
        <v>218</v>
      </c>
      <c r="AO1056" s="78">
        <v>2.9085457311755398</v>
      </c>
    </row>
    <row r="1057" spans="29:41">
      <c r="AC1057" s="155" t="s">
        <v>53</v>
      </c>
      <c r="AD1057" s="155" t="s">
        <v>20</v>
      </c>
      <c r="AE1057" s="155" t="s">
        <v>72</v>
      </c>
      <c r="AF1057" s="155" t="s">
        <v>51</v>
      </c>
      <c r="AG1057" s="155" t="s">
        <v>238</v>
      </c>
      <c r="AH1057" s="155">
        <v>4.1312500000000005</v>
      </c>
      <c r="AJ1057" s="78" t="s">
        <v>74</v>
      </c>
      <c r="AK1057" s="78" t="s">
        <v>88</v>
      </c>
      <c r="AL1057" s="78" t="s">
        <v>25</v>
      </c>
      <c r="AM1057" s="78" t="s">
        <v>51</v>
      </c>
      <c r="AN1057" s="78" t="s">
        <v>238</v>
      </c>
      <c r="AO1057" s="78">
        <v>2.9130814289562301</v>
      </c>
    </row>
    <row r="1058" spans="29:41">
      <c r="AC1058" s="155" t="s">
        <v>53</v>
      </c>
      <c r="AD1058" s="155" t="s">
        <v>20</v>
      </c>
      <c r="AE1058" s="155" t="s">
        <v>72</v>
      </c>
      <c r="AF1058" s="155" t="s">
        <v>51</v>
      </c>
      <c r="AG1058" s="155" t="s">
        <v>239</v>
      </c>
      <c r="AH1058" s="155">
        <v>4.1312500000000005</v>
      </c>
      <c r="AJ1058" s="78" t="s">
        <v>74</v>
      </c>
      <c r="AK1058" s="78" t="s">
        <v>88</v>
      </c>
      <c r="AL1058" s="78" t="s">
        <v>25</v>
      </c>
      <c r="AM1058" s="78" t="s">
        <v>51</v>
      </c>
      <c r="AN1058" s="78" t="s">
        <v>239</v>
      </c>
      <c r="AO1058" s="78">
        <v>2.9344470402340699</v>
      </c>
    </row>
    <row r="1059" spans="29:41">
      <c r="AC1059" s="155" t="s">
        <v>53</v>
      </c>
      <c r="AD1059" s="155" t="s">
        <v>20</v>
      </c>
      <c r="AE1059" s="155" t="s">
        <v>72</v>
      </c>
      <c r="AF1059" s="155" t="s">
        <v>51</v>
      </c>
      <c r="AG1059" s="155" t="s">
        <v>240</v>
      </c>
      <c r="AH1059" s="155">
        <v>4.1312500000000005</v>
      </c>
      <c r="AJ1059" s="78" t="s">
        <v>74</v>
      </c>
      <c r="AK1059" s="78" t="s">
        <v>88</v>
      </c>
      <c r="AL1059" s="78" t="s">
        <v>25</v>
      </c>
      <c r="AM1059" s="78" t="s">
        <v>51</v>
      </c>
      <c r="AN1059" s="78" t="s">
        <v>240</v>
      </c>
      <c r="AO1059" s="78">
        <v>2.9096799662845698</v>
      </c>
    </row>
    <row r="1060" spans="29:41">
      <c r="AC1060" s="155" t="s">
        <v>53</v>
      </c>
      <c r="AD1060" s="155" t="s">
        <v>20</v>
      </c>
      <c r="AE1060" s="155" t="s">
        <v>72</v>
      </c>
      <c r="AF1060" s="155" t="s">
        <v>51</v>
      </c>
      <c r="AG1060" s="155" t="s">
        <v>241</v>
      </c>
      <c r="AH1060" s="155">
        <v>4.2270000000000003</v>
      </c>
      <c r="AJ1060" s="78" t="s">
        <v>74</v>
      </c>
      <c r="AK1060" s="78" t="s">
        <v>88</v>
      </c>
      <c r="AL1060" s="78" t="s">
        <v>25</v>
      </c>
      <c r="AM1060" s="78" t="s">
        <v>51</v>
      </c>
      <c r="AN1060" s="78" t="s">
        <v>241</v>
      </c>
      <c r="AO1060" s="78">
        <v>2.9358931445910401</v>
      </c>
    </row>
    <row r="1061" spans="29:41">
      <c r="AC1061" s="155" t="s">
        <v>53</v>
      </c>
      <c r="AD1061" s="155" t="s">
        <v>20</v>
      </c>
      <c r="AE1061" s="155" t="s">
        <v>72</v>
      </c>
      <c r="AF1061" s="155" t="s">
        <v>51</v>
      </c>
      <c r="AG1061" s="155" t="s">
        <v>242</v>
      </c>
      <c r="AH1061" s="155">
        <v>4.1630000000000003</v>
      </c>
      <c r="AJ1061" s="78" t="s">
        <v>74</v>
      </c>
      <c r="AK1061" s="78" t="s">
        <v>88</v>
      </c>
      <c r="AL1061" s="78" t="s">
        <v>25</v>
      </c>
      <c r="AM1061" s="78" t="s">
        <v>51</v>
      </c>
      <c r="AN1061" s="78" t="s">
        <v>242</v>
      </c>
      <c r="AO1061" s="78">
        <v>2.90498942377981</v>
      </c>
    </row>
    <row r="1062" spans="29:41">
      <c r="AC1062" s="155" t="s">
        <v>53</v>
      </c>
      <c r="AD1062" s="155" t="s">
        <v>20</v>
      </c>
      <c r="AE1062" s="155" t="s">
        <v>72</v>
      </c>
      <c r="AF1062" s="155" t="s">
        <v>51</v>
      </c>
      <c r="AG1062" s="155" t="s">
        <v>243</v>
      </c>
      <c r="AH1062" s="155">
        <v>4.1312500000000005</v>
      </c>
      <c r="AJ1062" s="78" t="s">
        <v>74</v>
      </c>
      <c r="AK1062" s="78" t="s">
        <v>88</v>
      </c>
      <c r="AL1062" s="78" t="s">
        <v>25</v>
      </c>
      <c r="AM1062" s="78" t="s">
        <v>51</v>
      </c>
      <c r="AN1062" s="78" t="s">
        <v>243</v>
      </c>
      <c r="AO1062" s="78">
        <v>2.8787744272910301</v>
      </c>
    </row>
    <row r="1063" spans="29:41">
      <c r="AC1063" s="155" t="s">
        <v>53</v>
      </c>
      <c r="AD1063" s="155" t="s">
        <v>20</v>
      </c>
      <c r="AE1063" s="155" t="s">
        <v>72</v>
      </c>
      <c r="AF1063" s="155" t="s">
        <v>51</v>
      </c>
      <c r="AG1063" s="155" t="s">
        <v>244</v>
      </c>
      <c r="AH1063" s="155">
        <v>4.1630000000000003</v>
      </c>
      <c r="AJ1063" s="78" t="s">
        <v>74</v>
      </c>
      <c r="AK1063" s="78" t="s">
        <v>88</v>
      </c>
      <c r="AL1063" s="78" t="s">
        <v>25</v>
      </c>
      <c r="AM1063" s="78" t="s">
        <v>51</v>
      </c>
      <c r="AN1063" s="78" t="s">
        <v>244</v>
      </c>
      <c r="AO1063" s="78">
        <v>2.9185627226684798</v>
      </c>
    </row>
    <row r="1064" spans="29:41">
      <c r="AC1064" s="155" t="s">
        <v>53</v>
      </c>
      <c r="AD1064" s="155" t="s">
        <v>20</v>
      </c>
      <c r="AE1064" s="155" t="s">
        <v>72</v>
      </c>
      <c r="AF1064" s="155" t="s">
        <v>51</v>
      </c>
      <c r="AG1064" s="155" t="s">
        <v>245</v>
      </c>
      <c r="AH1064" s="155">
        <v>4.1312500000000005</v>
      </c>
      <c r="AJ1064" s="78" t="s">
        <v>74</v>
      </c>
      <c r="AK1064" s="78" t="s">
        <v>88</v>
      </c>
      <c r="AL1064" s="78" t="s">
        <v>25</v>
      </c>
      <c r="AM1064" s="78" t="s">
        <v>51</v>
      </c>
      <c r="AN1064" s="78" t="s">
        <v>245</v>
      </c>
      <c r="AO1064" s="78">
        <v>2.9027513521030701</v>
      </c>
    </row>
    <row r="1065" spans="29:41">
      <c r="AC1065" s="155" t="s">
        <v>53</v>
      </c>
      <c r="AD1065" s="155" t="s">
        <v>20</v>
      </c>
      <c r="AE1065" s="155" t="s">
        <v>72</v>
      </c>
      <c r="AF1065" s="155" t="s">
        <v>51</v>
      </c>
      <c r="AG1065" s="155" t="s">
        <v>246</v>
      </c>
      <c r="AH1065" s="155">
        <v>4.0993750000000002</v>
      </c>
      <c r="AJ1065" s="78" t="s">
        <v>74</v>
      </c>
      <c r="AK1065" s="78" t="s">
        <v>88</v>
      </c>
      <c r="AL1065" s="78" t="s">
        <v>25</v>
      </c>
      <c r="AM1065" s="78" t="s">
        <v>51</v>
      </c>
      <c r="AN1065" s="78" t="s">
        <v>246</v>
      </c>
      <c r="AO1065" s="78">
        <v>2.9327229891480799</v>
      </c>
    </row>
    <row r="1066" spans="29:41">
      <c r="AC1066" s="155" t="s">
        <v>53</v>
      </c>
      <c r="AD1066" s="155" t="s">
        <v>20</v>
      </c>
      <c r="AE1066" s="155" t="s">
        <v>72</v>
      </c>
      <c r="AF1066" s="155" t="s">
        <v>51</v>
      </c>
      <c r="AG1066" s="155" t="s">
        <v>247</v>
      </c>
      <c r="AH1066" s="155">
        <v>4.0676249999999996</v>
      </c>
      <c r="AJ1066" s="78" t="s">
        <v>74</v>
      </c>
      <c r="AK1066" s="78" t="s">
        <v>88</v>
      </c>
      <c r="AL1066" s="78" t="s">
        <v>25</v>
      </c>
      <c r="AM1066" s="78" t="s">
        <v>51</v>
      </c>
      <c r="AN1066" s="78" t="s">
        <v>247</v>
      </c>
      <c r="AO1066" s="78">
        <v>2.9154645829543302</v>
      </c>
    </row>
    <row r="1067" spans="29:41">
      <c r="AC1067" s="155" t="s">
        <v>53</v>
      </c>
      <c r="AD1067" s="155" t="s">
        <v>20</v>
      </c>
      <c r="AE1067" s="155" t="s">
        <v>72</v>
      </c>
      <c r="AF1067" s="155" t="s">
        <v>51</v>
      </c>
      <c r="AG1067" s="155" t="s">
        <v>248</v>
      </c>
      <c r="AH1067" s="155">
        <v>4.0763750000000005</v>
      </c>
      <c r="AJ1067" s="78" t="s">
        <v>74</v>
      </c>
      <c r="AK1067" s="78" t="s">
        <v>88</v>
      </c>
      <c r="AL1067" s="78" t="s">
        <v>25</v>
      </c>
      <c r="AM1067" s="78" t="s">
        <v>51</v>
      </c>
      <c r="AN1067" s="78" t="s">
        <v>248</v>
      </c>
      <c r="AO1067" s="78">
        <v>2.90800506731745</v>
      </c>
    </row>
    <row r="1068" spans="29:41">
      <c r="AC1068" s="155" t="s">
        <v>53</v>
      </c>
      <c r="AD1068" s="155" t="s">
        <v>20</v>
      </c>
      <c r="AE1068" s="155" t="s">
        <v>72</v>
      </c>
      <c r="AF1068" s="155" t="s">
        <v>51</v>
      </c>
      <c r="AG1068" s="155" t="s">
        <v>249</v>
      </c>
      <c r="AH1068" s="155">
        <v>4.2357500000000003</v>
      </c>
      <c r="AJ1068" s="78" t="s">
        <v>74</v>
      </c>
      <c r="AK1068" s="78" t="s">
        <v>88</v>
      </c>
      <c r="AL1068" s="78" t="s">
        <v>25</v>
      </c>
      <c r="AM1068" s="78" t="s">
        <v>51</v>
      </c>
      <c r="AN1068" s="78" t="s">
        <v>249</v>
      </c>
      <c r="AO1068" s="78">
        <v>2.9912109118513701</v>
      </c>
    </row>
    <row r="1069" spans="29:41">
      <c r="AC1069" s="155" t="s">
        <v>53</v>
      </c>
      <c r="AD1069" s="155" t="s">
        <v>20</v>
      </c>
      <c r="AE1069" s="155" t="s">
        <v>72</v>
      </c>
      <c r="AF1069" s="155" t="s">
        <v>51</v>
      </c>
      <c r="AG1069" s="155" t="s">
        <v>250</v>
      </c>
      <c r="AH1069" s="155">
        <v>4.2676249999999998</v>
      </c>
      <c r="AJ1069" s="78" t="s">
        <v>74</v>
      </c>
      <c r="AK1069" s="78" t="s">
        <v>88</v>
      </c>
      <c r="AL1069" s="78" t="s">
        <v>25</v>
      </c>
      <c r="AM1069" s="78" t="s">
        <v>51</v>
      </c>
      <c r="AN1069" s="78" t="s">
        <v>250</v>
      </c>
      <c r="AO1069" s="78">
        <v>2.9926621611582802</v>
      </c>
    </row>
    <row r="1070" spans="29:41">
      <c r="AC1070" s="155" t="s">
        <v>53</v>
      </c>
      <c r="AD1070" s="155" t="s">
        <v>20</v>
      </c>
      <c r="AE1070" s="155" t="s">
        <v>72</v>
      </c>
      <c r="AF1070" s="155" t="s">
        <v>51</v>
      </c>
      <c r="AG1070" s="155" t="s">
        <v>251</v>
      </c>
      <c r="AH1070" s="155">
        <v>4.1717499999999994</v>
      </c>
      <c r="AJ1070" s="78" t="s">
        <v>74</v>
      </c>
      <c r="AK1070" s="78" t="s">
        <v>88</v>
      </c>
      <c r="AL1070" s="78" t="s">
        <v>25</v>
      </c>
      <c r="AM1070" s="78" t="s">
        <v>51</v>
      </c>
      <c r="AN1070" s="78" t="s">
        <v>251</v>
      </c>
      <c r="AO1070" s="78">
        <v>2.8946199392202701</v>
      </c>
    </row>
    <row r="1071" spans="29:41">
      <c r="AC1071" s="155" t="s">
        <v>53</v>
      </c>
      <c r="AD1071" s="155" t="s">
        <v>20</v>
      </c>
      <c r="AE1071" s="155" t="s">
        <v>72</v>
      </c>
      <c r="AF1071" s="155" t="s">
        <v>51</v>
      </c>
      <c r="AG1071" s="155" t="s">
        <v>252</v>
      </c>
      <c r="AH1071" s="155">
        <v>4.0123749999999996</v>
      </c>
      <c r="AJ1071" s="78" t="s">
        <v>74</v>
      </c>
      <c r="AK1071" s="78" t="s">
        <v>88</v>
      </c>
      <c r="AL1071" s="78" t="s">
        <v>25</v>
      </c>
      <c r="AM1071" s="78" t="s">
        <v>51</v>
      </c>
      <c r="AN1071" s="78" t="s">
        <v>252</v>
      </c>
      <c r="AO1071" s="78">
        <v>2.8362882018725202</v>
      </c>
    </row>
    <row r="1072" spans="29:41">
      <c r="AC1072" s="155" t="s">
        <v>53</v>
      </c>
      <c r="AD1072" s="155" t="s">
        <v>20</v>
      </c>
      <c r="AE1072" s="155" t="s">
        <v>72</v>
      </c>
      <c r="AF1072" s="155" t="s">
        <v>51</v>
      </c>
      <c r="AG1072" s="155" t="s">
        <v>253</v>
      </c>
      <c r="AH1072" s="155">
        <v>4.0441250000000002</v>
      </c>
      <c r="AJ1072" s="78" t="s">
        <v>74</v>
      </c>
      <c r="AK1072" s="78" t="s">
        <v>88</v>
      </c>
      <c r="AL1072" s="78" t="s">
        <v>25</v>
      </c>
      <c r="AM1072" s="78" t="s">
        <v>51</v>
      </c>
      <c r="AN1072" s="78" t="s">
        <v>253</v>
      </c>
      <c r="AO1072" s="78">
        <v>2.91486476009828</v>
      </c>
    </row>
    <row r="1073" spans="29:41">
      <c r="AC1073" s="155" t="s">
        <v>53</v>
      </c>
      <c r="AD1073" s="155" t="s">
        <v>20</v>
      </c>
      <c r="AE1073" s="155" t="s">
        <v>72</v>
      </c>
      <c r="AF1073" s="155" t="s">
        <v>51</v>
      </c>
      <c r="AG1073" s="155" t="s">
        <v>254</v>
      </c>
      <c r="AH1073" s="155">
        <v>4.0441250000000002</v>
      </c>
      <c r="AJ1073" s="78" t="s">
        <v>74</v>
      </c>
      <c r="AK1073" s="78" t="s">
        <v>88</v>
      </c>
      <c r="AL1073" s="78" t="s">
        <v>25</v>
      </c>
      <c r="AM1073" s="78" t="s">
        <v>51</v>
      </c>
      <c r="AN1073" s="78" t="s">
        <v>254</v>
      </c>
      <c r="AO1073" s="78">
        <v>2.8594352216235301</v>
      </c>
    </row>
    <row r="1074" spans="29:41">
      <c r="AC1074" s="155" t="s">
        <v>53</v>
      </c>
      <c r="AD1074" s="155" t="s">
        <v>20</v>
      </c>
      <c r="AE1074" s="155" t="s">
        <v>72</v>
      </c>
      <c r="AF1074" s="155" t="s">
        <v>51</v>
      </c>
      <c r="AG1074" s="155" t="s">
        <v>255</v>
      </c>
      <c r="AH1074" s="155">
        <v>4.0123749999999996</v>
      </c>
      <c r="AJ1074" s="78" t="s">
        <v>74</v>
      </c>
      <c r="AK1074" s="78" t="s">
        <v>88</v>
      </c>
      <c r="AL1074" s="78" t="s">
        <v>25</v>
      </c>
      <c r="AM1074" s="78" t="s">
        <v>51</v>
      </c>
      <c r="AN1074" s="78" t="s">
        <v>255</v>
      </c>
      <c r="AO1074" s="78">
        <v>2.8734950564364601</v>
      </c>
    </row>
    <row r="1075" spans="29:41">
      <c r="AC1075" s="155" t="s">
        <v>53</v>
      </c>
      <c r="AD1075" s="155" t="s">
        <v>20</v>
      </c>
      <c r="AE1075" s="155" t="s">
        <v>72</v>
      </c>
      <c r="AF1075" s="155" t="s">
        <v>51</v>
      </c>
      <c r="AG1075" s="155" t="s">
        <v>256</v>
      </c>
      <c r="AH1075" s="155">
        <v>4.0123749999999996</v>
      </c>
      <c r="AJ1075" s="78" t="s">
        <v>74</v>
      </c>
      <c r="AK1075" s="78" t="s">
        <v>88</v>
      </c>
      <c r="AL1075" s="78" t="s">
        <v>25</v>
      </c>
      <c r="AM1075" s="78" t="s">
        <v>51</v>
      </c>
      <c r="AN1075" s="78" t="s">
        <v>256</v>
      </c>
      <c r="AO1075" s="78">
        <v>2.8712695086990299</v>
      </c>
    </row>
    <row r="1076" spans="29:41">
      <c r="AC1076" s="155" t="s">
        <v>53</v>
      </c>
      <c r="AD1076" s="155" t="s">
        <v>20</v>
      </c>
      <c r="AE1076" s="155" t="s">
        <v>72</v>
      </c>
      <c r="AF1076" s="155" t="s">
        <v>51</v>
      </c>
      <c r="AG1076" s="155" t="s">
        <v>257</v>
      </c>
      <c r="AH1076" s="155">
        <v>4.0763750000000005</v>
      </c>
      <c r="AJ1076" s="78" t="s">
        <v>74</v>
      </c>
      <c r="AK1076" s="78" t="s">
        <v>88</v>
      </c>
      <c r="AL1076" s="78" t="s">
        <v>25</v>
      </c>
      <c r="AM1076" s="78" t="s">
        <v>51</v>
      </c>
      <c r="AN1076" s="78" t="s">
        <v>257</v>
      </c>
      <c r="AO1076" s="78">
        <v>2.8987506443333801</v>
      </c>
    </row>
    <row r="1077" spans="29:41">
      <c r="AC1077" s="155" t="s">
        <v>53</v>
      </c>
      <c r="AD1077" s="155" t="s">
        <v>20</v>
      </c>
      <c r="AE1077" s="155" t="s">
        <v>72</v>
      </c>
      <c r="AF1077" s="155" t="s">
        <v>51</v>
      </c>
      <c r="AG1077" s="155" t="s">
        <v>258</v>
      </c>
      <c r="AH1077" s="155">
        <v>4.1901250000000001</v>
      </c>
      <c r="AJ1077" s="78" t="s">
        <v>74</v>
      </c>
      <c r="AK1077" s="78" t="s">
        <v>88</v>
      </c>
      <c r="AL1077" s="78" t="s">
        <v>25</v>
      </c>
      <c r="AM1077" s="78" t="s">
        <v>51</v>
      </c>
      <c r="AN1077" s="78" t="s">
        <v>258</v>
      </c>
      <c r="AO1077" s="78">
        <v>2.8546348135519901</v>
      </c>
    </row>
    <row r="1078" spans="29:41">
      <c r="AC1078" s="155" t="s">
        <v>53</v>
      </c>
      <c r="AD1078" s="155" t="s">
        <v>20</v>
      </c>
      <c r="AE1078" s="155" t="s">
        <v>72</v>
      </c>
      <c r="AF1078" s="155" t="s">
        <v>51</v>
      </c>
      <c r="AG1078" s="155" t="s">
        <v>259</v>
      </c>
      <c r="AH1078" s="155">
        <v>4.1583750000000004</v>
      </c>
      <c r="AJ1078" s="78" t="s">
        <v>74</v>
      </c>
      <c r="AK1078" s="78" t="s">
        <v>88</v>
      </c>
      <c r="AL1078" s="78" t="s">
        <v>25</v>
      </c>
      <c r="AM1078" s="78" t="s">
        <v>51</v>
      </c>
      <c r="AN1078" s="78" t="s">
        <v>259</v>
      </c>
      <c r="AO1078" s="78">
        <v>2.8124515814242899</v>
      </c>
    </row>
    <row r="1079" spans="29:41">
      <c r="AC1079" s="155" t="s">
        <v>53</v>
      </c>
      <c r="AD1079" s="155" t="s">
        <v>20</v>
      </c>
      <c r="AE1079" s="155" t="s">
        <v>72</v>
      </c>
      <c r="AF1079" s="155" t="s">
        <v>51</v>
      </c>
      <c r="AG1079" s="155" t="s">
        <v>260</v>
      </c>
      <c r="AH1079" s="155">
        <v>4.126125</v>
      </c>
      <c r="AJ1079" s="78" t="s">
        <v>74</v>
      </c>
      <c r="AK1079" s="78" t="s">
        <v>88</v>
      </c>
      <c r="AL1079" s="78" t="s">
        <v>25</v>
      </c>
      <c r="AM1079" s="78" t="s">
        <v>51</v>
      </c>
      <c r="AN1079" s="78" t="s">
        <v>260</v>
      </c>
      <c r="AO1079" s="78">
        <v>2.8018988061488499</v>
      </c>
    </row>
    <row r="1080" spans="29:41">
      <c r="AC1080" s="155" t="s">
        <v>53</v>
      </c>
      <c r="AD1080" s="155" t="s">
        <v>20</v>
      </c>
      <c r="AE1080" s="155" t="s">
        <v>72</v>
      </c>
      <c r="AF1080" s="155" t="s">
        <v>51</v>
      </c>
      <c r="AG1080" s="155" t="s">
        <v>261</v>
      </c>
      <c r="AH1080" s="155">
        <v>4.0625</v>
      </c>
      <c r="AJ1080" s="78" t="s">
        <v>74</v>
      </c>
      <c r="AK1080" s="78" t="s">
        <v>88</v>
      </c>
      <c r="AL1080" s="78" t="s">
        <v>25</v>
      </c>
      <c r="AM1080" s="78" t="s">
        <v>51</v>
      </c>
      <c r="AN1080" s="78" t="s">
        <v>261</v>
      </c>
      <c r="AO1080" s="78">
        <v>2.7784102270308701</v>
      </c>
    </row>
    <row r="1081" spans="29:41">
      <c r="AC1081" s="155" t="s">
        <v>53</v>
      </c>
      <c r="AD1081" s="155" t="s">
        <v>20</v>
      </c>
      <c r="AE1081" s="155" t="s">
        <v>72</v>
      </c>
      <c r="AF1081" s="155" t="s">
        <v>51</v>
      </c>
      <c r="AG1081" s="155" t="s">
        <v>262</v>
      </c>
      <c r="AH1081" s="155">
        <v>3.9348750000000003</v>
      </c>
      <c r="AJ1081" s="78" t="s">
        <v>74</v>
      </c>
      <c r="AK1081" s="78" t="s">
        <v>88</v>
      </c>
      <c r="AL1081" s="78" t="s">
        <v>25</v>
      </c>
      <c r="AM1081" s="78" t="s">
        <v>51</v>
      </c>
      <c r="AN1081" s="78" t="s">
        <v>262</v>
      </c>
      <c r="AO1081" s="78">
        <v>2.7296334551710499</v>
      </c>
    </row>
    <row r="1082" spans="29:41">
      <c r="AC1082" s="155" t="s">
        <v>53</v>
      </c>
      <c r="AD1082" s="155" t="s">
        <v>20</v>
      </c>
      <c r="AE1082" s="155" t="s">
        <v>72</v>
      </c>
      <c r="AF1082" s="155" t="s">
        <v>51</v>
      </c>
      <c r="AG1082" s="155" t="s">
        <v>263</v>
      </c>
      <c r="AH1082" s="155">
        <v>4.0307500000000003</v>
      </c>
      <c r="AJ1082" s="78" t="s">
        <v>74</v>
      </c>
      <c r="AK1082" s="78" t="s">
        <v>88</v>
      </c>
      <c r="AL1082" s="78" t="s">
        <v>25</v>
      </c>
      <c r="AM1082" s="78" t="s">
        <v>51</v>
      </c>
      <c r="AN1082" s="78" t="s">
        <v>263</v>
      </c>
      <c r="AO1082" s="78">
        <v>2.7734212235563001</v>
      </c>
    </row>
    <row r="1083" spans="29:41">
      <c r="AC1083" s="155" t="s">
        <v>53</v>
      </c>
      <c r="AD1083" s="155" t="s">
        <v>20</v>
      </c>
      <c r="AE1083" s="155" t="s">
        <v>72</v>
      </c>
      <c r="AF1083" s="155" t="s">
        <v>51</v>
      </c>
      <c r="AG1083" s="155" t="s">
        <v>264</v>
      </c>
      <c r="AH1083" s="155">
        <v>4.0625</v>
      </c>
      <c r="AJ1083" s="78" t="s">
        <v>74</v>
      </c>
      <c r="AK1083" s="78" t="s">
        <v>88</v>
      </c>
      <c r="AL1083" s="78" t="s">
        <v>25</v>
      </c>
      <c r="AM1083" s="78" t="s">
        <v>51</v>
      </c>
      <c r="AN1083" s="78" t="s">
        <v>264</v>
      </c>
      <c r="AO1083" s="78">
        <v>2.7570320859498798</v>
      </c>
    </row>
    <row r="1084" spans="29:41">
      <c r="AC1084" s="155" t="s">
        <v>53</v>
      </c>
      <c r="AD1084" s="155" t="s">
        <v>20</v>
      </c>
      <c r="AE1084" s="155" t="s">
        <v>72</v>
      </c>
      <c r="AF1084" s="155" t="s">
        <v>51</v>
      </c>
      <c r="AG1084" s="155" t="s">
        <v>265</v>
      </c>
      <c r="AH1084" s="155">
        <v>4.0625</v>
      </c>
      <c r="AJ1084" s="78" t="s">
        <v>74</v>
      </c>
      <c r="AK1084" s="78" t="s">
        <v>88</v>
      </c>
      <c r="AL1084" s="78" t="s">
        <v>25</v>
      </c>
      <c r="AM1084" s="78" t="s">
        <v>51</v>
      </c>
      <c r="AN1084" s="78" t="s">
        <v>265</v>
      </c>
      <c r="AO1084" s="78">
        <v>2.77010275743095</v>
      </c>
    </row>
    <row r="1085" spans="29:41">
      <c r="AC1085" s="155" t="s">
        <v>53</v>
      </c>
      <c r="AD1085" s="155" t="s">
        <v>20</v>
      </c>
      <c r="AE1085" s="155" t="s">
        <v>72</v>
      </c>
      <c r="AF1085" s="155" t="s">
        <v>51</v>
      </c>
      <c r="AG1085" s="155" t="s">
        <v>266</v>
      </c>
      <c r="AH1085" s="155">
        <v>4.0307500000000003</v>
      </c>
      <c r="AJ1085" s="78" t="s">
        <v>74</v>
      </c>
      <c r="AK1085" s="78" t="s">
        <v>88</v>
      </c>
      <c r="AL1085" s="78" t="s">
        <v>25</v>
      </c>
      <c r="AM1085" s="78" t="s">
        <v>51</v>
      </c>
      <c r="AN1085" s="78" t="s">
        <v>266</v>
      </c>
      <c r="AO1085" s="78">
        <v>2.81486937200697</v>
      </c>
    </row>
    <row r="1086" spans="29:41">
      <c r="AC1086" s="155" t="s">
        <v>53</v>
      </c>
      <c r="AD1086" s="155" t="s">
        <v>20</v>
      </c>
      <c r="AE1086" s="155" t="s">
        <v>72</v>
      </c>
      <c r="AF1086" s="155" t="s">
        <v>51</v>
      </c>
      <c r="AG1086" s="155" t="s">
        <v>267</v>
      </c>
      <c r="AH1086" s="155">
        <v>4.0943750000000003</v>
      </c>
      <c r="AJ1086" s="78" t="s">
        <v>74</v>
      </c>
      <c r="AK1086" s="78" t="s">
        <v>88</v>
      </c>
      <c r="AL1086" s="78" t="s">
        <v>25</v>
      </c>
      <c r="AM1086" s="78" t="s">
        <v>51</v>
      </c>
      <c r="AN1086" s="78" t="s">
        <v>267</v>
      </c>
      <c r="AO1086" s="78">
        <v>2.8165675160693602</v>
      </c>
    </row>
    <row r="1087" spans="29:41">
      <c r="AC1087" s="155" t="s">
        <v>53</v>
      </c>
      <c r="AD1087" s="155" t="s">
        <v>20</v>
      </c>
      <c r="AE1087" s="155" t="s">
        <v>72</v>
      </c>
      <c r="AF1087" s="155" t="s">
        <v>51</v>
      </c>
      <c r="AG1087" s="155" t="s">
        <v>268</v>
      </c>
      <c r="AH1087" s="155">
        <v>4.0307500000000003</v>
      </c>
      <c r="AJ1087" s="78" t="s">
        <v>74</v>
      </c>
      <c r="AK1087" s="78" t="s">
        <v>88</v>
      </c>
      <c r="AL1087" s="78" t="s">
        <v>25</v>
      </c>
      <c r="AM1087" s="78" t="s">
        <v>51</v>
      </c>
      <c r="AN1087" s="78" t="s">
        <v>268</v>
      </c>
      <c r="AO1087" s="78">
        <v>2.7891999400544001</v>
      </c>
    </row>
    <row r="1088" spans="29:41">
      <c r="AC1088" s="155" t="s">
        <v>53</v>
      </c>
      <c r="AD1088" s="155" t="s">
        <v>20</v>
      </c>
      <c r="AE1088" s="155" t="s">
        <v>72</v>
      </c>
      <c r="AF1088" s="155" t="s">
        <v>51</v>
      </c>
      <c r="AG1088" s="155" t="s">
        <v>269</v>
      </c>
      <c r="AH1088" s="155">
        <v>3.9984999999999999</v>
      </c>
      <c r="AJ1088" s="78" t="s">
        <v>74</v>
      </c>
      <c r="AK1088" s="78" t="s">
        <v>88</v>
      </c>
      <c r="AL1088" s="78" t="s">
        <v>25</v>
      </c>
      <c r="AM1088" s="78" t="s">
        <v>51</v>
      </c>
      <c r="AN1088" s="78" t="s">
        <v>269</v>
      </c>
      <c r="AO1088" s="78">
        <v>2.7081035827114999</v>
      </c>
    </row>
    <row r="1089" spans="29:41">
      <c r="AC1089" s="155" t="s">
        <v>53</v>
      </c>
      <c r="AD1089" s="155" t="s">
        <v>20</v>
      </c>
      <c r="AE1089" s="155" t="s">
        <v>72</v>
      </c>
      <c r="AF1089" s="155" t="s">
        <v>51</v>
      </c>
      <c r="AG1089" s="155" t="s">
        <v>270</v>
      </c>
      <c r="AH1089" s="155">
        <v>3.9984999999999999</v>
      </c>
      <c r="AJ1089" s="78" t="s">
        <v>74</v>
      </c>
      <c r="AK1089" s="78" t="s">
        <v>88</v>
      </c>
      <c r="AL1089" s="78" t="s">
        <v>25</v>
      </c>
      <c r="AM1089" s="78" t="s">
        <v>51</v>
      </c>
      <c r="AN1089" s="78" t="s">
        <v>270</v>
      </c>
      <c r="AO1089" s="78">
        <v>2.73044392273518</v>
      </c>
    </row>
    <row r="1090" spans="29:41">
      <c r="AC1090" s="155" t="s">
        <v>53</v>
      </c>
      <c r="AD1090" s="155" t="s">
        <v>20</v>
      </c>
      <c r="AE1090" s="155" t="s">
        <v>72</v>
      </c>
      <c r="AF1090" s="155" t="s">
        <v>51</v>
      </c>
      <c r="AG1090" s="155" t="s">
        <v>271</v>
      </c>
      <c r="AH1090" s="155">
        <v>3.9667500000000002</v>
      </c>
      <c r="AJ1090" s="78" t="s">
        <v>74</v>
      </c>
      <c r="AK1090" s="78" t="s">
        <v>88</v>
      </c>
      <c r="AL1090" s="78" t="s">
        <v>25</v>
      </c>
      <c r="AM1090" s="78" t="s">
        <v>51</v>
      </c>
      <c r="AN1090" s="78" t="s">
        <v>271</v>
      </c>
      <c r="AO1090" s="78">
        <v>2.7334728347211201</v>
      </c>
    </row>
    <row r="1091" spans="29:41">
      <c r="AC1091" s="155" t="s">
        <v>53</v>
      </c>
      <c r="AD1091" s="155" t="s">
        <v>20</v>
      </c>
      <c r="AE1091" s="155" t="s">
        <v>72</v>
      </c>
      <c r="AF1091" s="155" t="s">
        <v>51</v>
      </c>
      <c r="AG1091" s="155" t="s">
        <v>272</v>
      </c>
      <c r="AH1091" s="155">
        <v>3.9984999999999999</v>
      </c>
      <c r="AJ1091" s="78" t="s">
        <v>74</v>
      </c>
      <c r="AK1091" s="78" t="s">
        <v>88</v>
      </c>
      <c r="AL1091" s="78" t="s">
        <v>25</v>
      </c>
      <c r="AM1091" s="78" t="s">
        <v>51</v>
      </c>
      <c r="AN1091" s="78" t="s">
        <v>272</v>
      </c>
      <c r="AO1091" s="78">
        <v>2.7352021596982001</v>
      </c>
    </row>
    <row r="1092" spans="29:41">
      <c r="AC1092" s="155" t="s">
        <v>53</v>
      </c>
      <c r="AD1092" s="155" t="s">
        <v>20</v>
      </c>
      <c r="AE1092" s="155" t="s">
        <v>72</v>
      </c>
      <c r="AF1092" s="155" t="s">
        <v>51</v>
      </c>
      <c r="AG1092" s="155" t="s">
        <v>273</v>
      </c>
      <c r="AH1092" s="155">
        <v>4.0307500000000003</v>
      </c>
      <c r="AJ1092" s="78" t="s">
        <v>74</v>
      </c>
      <c r="AK1092" s="78" t="s">
        <v>88</v>
      </c>
      <c r="AL1092" s="78" t="s">
        <v>25</v>
      </c>
      <c r="AM1092" s="78" t="s">
        <v>51</v>
      </c>
      <c r="AN1092" s="78" t="s">
        <v>273</v>
      </c>
      <c r="AO1092" s="78">
        <v>2.7729349961757701</v>
      </c>
    </row>
    <row r="1093" spans="29:41">
      <c r="AC1093" s="155" t="s">
        <v>53</v>
      </c>
      <c r="AD1093" s="155" t="s">
        <v>20</v>
      </c>
      <c r="AE1093" s="155" t="s">
        <v>72</v>
      </c>
      <c r="AF1093" s="155" t="s">
        <v>51</v>
      </c>
      <c r="AG1093" s="155" t="s">
        <v>274</v>
      </c>
      <c r="AH1093" s="155">
        <v>4.0307500000000003</v>
      </c>
      <c r="AJ1093" s="78" t="s">
        <v>74</v>
      </c>
      <c r="AK1093" s="78" t="s">
        <v>88</v>
      </c>
      <c r="AL1093" s="78" t="s">
        <v>25</v>
      </c>
      <c r="AM1093" s="78" t="s">
        <v>51</v>
      </c>
      <c r="AN1093" s="78" t="s">
        <v>274</v>
      </c>
      <c r="AO1093" s="78">
        <v>2.7446763066937101</v>
      </c>
    </row>
    <row r="1094" spans="29:41">
      <c r="AC1094" s="155" t="s">
        <v>53</v>
      </c>
      <c r="AD1094" s="155" t="s">
        <v>20</v>
      </c>
      <c r="AE1094" s="155" t="s">
        <v>72</v>
      </c>
      <c r="AF1094" s="155" t="s">
        <v>51</v>
      </c>
      <c r="AG1094" s="155" t="s">
        <v>275</v>
      </c>
      <c r="AH1094" s="155">
        <v>3.9984999999999999</v>
      </c>
      <c r="AJ1094" s="78" t="s">
        <v>74</v>
      </c>
      <c r="AK1094" s="78" t="s">
        <v>88</v>
      </c>
      <c r="AL1094" s="78" t="s">
        <v>25</v>
      </c>
      <c r="AM1094" s="78" t="s">
        <v>51</v>
      </c>
      <c r="AN1094" s="78" t="s">
        <v>275</v>
      </c>
      <c r="AO1094" s="78">
        <v>2.7173642653119501</v>
      </c>
    </row>
    <row r="1095" spans="29:41">
      <c r="AC1095" s="155" t="s">
        <v>53</v>
      </c>
      <c r="AD1095" s="155" t="s">
        <v>20</v>
      </c>
      <c r="AE1095" s="155" t="s">
        <v>72</v>
      </c>
      <c r="AF1095" s="155" t="s">
        <v>51</v>
      </c>
      <c r="AG1095" s="155" t="s">
        <v>276</v>
      </c>
      <c r="AH1095" s="155">
        <v>3.9984999999999999</v>
      </c>
      <c r="AJ1095" s="78" t="s">
        <v>74</v>
      </c>
      <c r="AK1095" s="78" t="s">
        <v>88</v>
      </c>
      <c r="AL1095" s="78" t="s">
        <v>25</v>
      </c>
      <c r="AM1095" s="78" t="s">
        <v>51</v>
      </c>
      <c r="AN1095" s="78" t="s">
        <v>276</v>
      </c>
      <c r="AO1095" s="78">
        <v>2.77127537293183</v>
      </c>
    </row>
    <row r="1096" spans="29:41">
      <c r="AC1096" s="155" t="s">
        <v>53</v>
      </c>
      <c r="AD1096" s="155" t="s">
        <v>20</v>
      </c>
      <c r="AE1096" s="155" t="s">
        <v>72</v>
      </c>
      <c r="AF1096" s="155" t="s">
        <v>51</v>
      </c>
      <c r="AG1096" s="155" t="s">
        <v>277</v>
      </c>
      <c r="AH1096" s="155">
        <v>3.9988749999999995</v>
      </c>
      <c r="AJ1096" s="78" t="s">
        <v>74</v>
      </c>
      <c r="AK1096" s="78" t="s">
        <v>88</v>
      </c>
      <c r="AL1096" s="78" t="s">
        <v>25</v>
      </c>
      <c r="AM1096" s="78" t="s">
        <v>51</v>
      </c>
      <c r="AN1096" s="78" t="s">
        <v>277</v>
      </c>
      <c r="AO1096" s="78">
        <v>2.7558575864349502</v>
      </c>
    </row>
    <row r="1097" spans="29:41">
      <c r="AC1097" s="155" t="s">
        <v>53</v>
      </c>
      <c r="AD1097" s="155" t="s">
        <v>20</v>
      </c>
      <c r="AE1097" s="155" t="s">
        <v>72</v>
      </c>
      <c r="AF1097" s="155" t="s">
        <v>51</v>
      </c>
      <c r="AG1097" s="155" t="s">
        <v>278</v>
      </c>
      <c r="AH1097" s="155">
        <v>3.9984999999999999</v>
      </c>
      <c r="AJ1097" s="78" t="s">
        <v>74</v>
      </c>
      <c r="AK1097" s="78" t="s">
        <v>88</v>
      </c>
      <c r="AL1097" s="78" t="s">
        <v>25</v>
      </c>
      <c r="AM1097" s="78" t="s">
        <v>51</v>
      </c>
      <c r="AN1097" s="78" t="s">
        <v>278</v>
      </c>
      <c r="AO1097" s="78">
        <v>2.7239833090670502</v>
      </c>
    </row>
    <row r="1098" spans="29:41">
      <c r="AC1098" s="155" t="s">
        <v>53</v>
      </c>
      <c r="AD1098" s="155" t="s">
        <v>20</v>
      </c>
      <c r="AE1098" s="155" t="s">
        <v>72</v>
      </c>
      <c r="AF1098" s="155" t="s">
        <v>51</v>
      </c>
      <c r="AG1098" s="155" t="s">
        <v>279</v>
      </c>
      <c r="AH1098" s="155">
        <v>3.9984999999999999</v>
      </c>
      <c r="AJ1098" s="78" t="s">
        <v>74</v>
      </c>
      <c r="AK1098" s="78" t="s">
        <v>88</v>
      </c>
      <c r="AL1098" s="78" t="s">
        <v>25</v>
      </c>
      <c r="AM1098" s="78" t="s">
        <v>51</v>
      </c>
      <c r="AN1098" s="78" t="s">
        <v>279</v>
      </c>
      <c r="AO1098" s="78">
        <v>2.7958120452124602</v>
      </c>
    </row>
    <row r="1099" spans="29:41">
      <c r="AC1099" s="155" t="s">
        <v>53</v>
      </c>
      <c r="AD1099" s="155" t="s">
        <v>20</v>
      </c>
      <c r="AE1099" s="155" t="s">
        <v>72</v>
      </c>
      <c r="AF1099" s="155" t="s">
        <v>51</v>
      </c>
      <c r="AG1099" s="155" t="s">
        <v>280</v>
      </c>
      <c r="AH1099" s="155">
        <v>4.0943750000000003</v>
      </c>
      <c r="AJ1099" s="78" t="s">
        <v>74</v>
      </c>
      <c r="AK1099" s="78" t="s">
        <v>88</v>
      </c>
      <c r="AL1099" s="78" t="s">
        <v>25</v>
      </c>
      <c r="AM1099" s="78" t="s">
        <v>51</v>
      </c>
      <c r="AN1099" s="78" t="s">
        <v>280</v>
      </c>
      <c r="AO1099" s="78">
        <v>2.8760429870518398</v>
      </c>
    </row>
    <row r="1100" spans="29:41">
      <c r="AC1100" s="155" t="s">
        <v>53</v>
      </c>
      <c r="AD1100" s="155" t="s">
        <v>20</v>
      </c>
      <c r="AE1100" s="155" t="s">
        <v>72</v>
      </c>
      <c r="AF1100" s="155" t="s">
        <v>51</v>
      </c>
      <c r="AG1100" s="155" t="s">
        <v>281</v>
      </c>
      <c r="AH1100" s="155">
        <v>4.126125</v>
      </c>
      <c r="AJ1100" s="78" t="s">
        <v>74</v>
      </c>
      <c r="AK1100" s="78" t="s">
        <v>88</v>
      </c>
      <c r="AL1100" s="78" t="s">
        <v>25</v>
      </c>
      <c r="AM1100" s="78" t="s">
        <v>51</v>
      </c>
      <c r="AN1100" s="78" t="s">
        <v>281</v>
      </c>
      <c r="AO1100" s="78">
        <v>2.8444181025455899</v>
      </c>
    </row>
    <row r="1101" spans="29:41">
      <c r="AC1101" s="155" t="s">
        <v>53</v>
      </c>
      <c r="AD1101" s="155" t="s">
        <v>20</v>
      </c>
      <c r="AE1101" s="155" t="s">
        <v>72</v>
      </c>
      <c r="AF1101" s="155" t="s">
        <v>51</v>
      </c>
      <c r="AG1101" s="155" t="s">
        <v>282</v>
      </c>
      <c r="AH1101" s="155">
        <v>4.0943750000000003</v>
      </c>
      <c r="AJ1101" s="78" t="s">
        <v>74</v>
      </c>
      <c r="AK1101" s="78" t="s">
        <v>88</v>
      </c>
      <c r="AL1101" s="78" t="s">
        <v>25</v>
      </c>
      <c r="AM1101" s="78" t="s">
        <v>51</v>
      </c>
      <c r="AN1101" s="78" t="s">
        <v>282</v>
      </c>
      <c r="AO1101" s="78">
        <v>2.8650468207927799</v>
      </c>
    </row>
    <row r="1102" spans="29:41">
      <c r="AC1102" s="155" t="s">
        <v>53</v>
      </c>
      <c r="AD1102" s="155" t="s">
        <v>20</v>
      </c>
      <c r="AE1102" s="155" t="s">
        <v>72</v>
      </c>
      <c r="AF1102" s="155" t="s">
        <v>51</v>
      </c>
      <c r="AG1102" s="155" t="s">
        <v>283</v>
      </c>
      <c r="AH1102" s="155">
        <v>4.0943750000000003</v>
      </c>
      <c r="AJ1102" s="78" t="s">
        <v>74</v>
      </c>
      <c r="AK1102" s="78" t="s">
        <v>88</v>
      </c>
      <c r="AL1102" s="78" t="s">
        <v>25</v>
      </c>
      <c r="AM1102" s="78" t="s">
        <v>51</v>
      </c>
      <c r="AN1102" s="78" t="s">
        <v>283</v>
      </c>
      <c r="AO1102" s="78">
        <v>2.8982983852453801</v>
      </c>
    </row>
    <row r="1103" spans="29:41">
      <c r="AC1103" s="155" t="s">
        <v>53</v>
      </c>
      <c r="AD1103" s="155" t="s">
        <v>20</v>
      </c>
      <c r="AE1103" s="155" t="s">
        <v>72</v>
      </c>
      <c r="AF1103" s="155" t="s">
        <v>51</v>
      </c>
      <c r="AG1103" s="155" t="s">
        <v>284</v>
      </c>
      <c r="AH1103" s="155">
        <v>4.126125</v>
      </c>
      <c r="AJ1103" s="78" t="s">
        <v>74</v>
      </c>
      <c r="AK1103" s="78" t="s">
        <v>88</v>
      </c>
      <c r="AL1103" s="78" t="s">
        <v>25</v>
      </c>
      <c r="AM1103" s="78" t="s">
        <v>51</v>
      </c>
      <c r="AN1103" s="78" t="s">
        <v>284</v>
      </c>
      <c r="AO1103" s="78">
        <v>2.9340630334667899</v>
      </c>
    </row>
    <row r="1104" spans="29:41">
      <c r="AC1104" s="155" t="s">
        <v>53</v>
      </c>
      <c r="AD1104" s="155" t="s">
        <v>20</v>
      </c>
      <c r="AE1104" s="155" t="s">
        <v>72</v>
      </c>
      <c r="AF1104" s="155" t="s">
        <v>51</v>
      </c>
      <c r="AG1104" s="155" t="s">
        <v>285</v>
      </c>
      <c r="AH1104" s="155">
        <v>4.1583750000000004</v>
      </c>
      <c r="AJ1104" s="78" t="s">
        <v>74</v>
      </c>
      <c r="AK1104" s="78" t="s">
        <v>88</v>
      </c>
      <c r="AL1104" s="78" t="s">
        <v>25</v>
      </c>
      <c r="AM1104" s="78" t="s">
        <v>51</v>
      </c>
      <c r="AN1104" s="78" t="s">
        <v>285</v>
      </c>
      <c r="AO1104" s="78">
        <v>2.9388026853832501</v>
      </c>
    </row>
    <row r="1105" spans="29:41">
      <c r="AC1105" s="155" t="s">
        <v>53</v>
      </c>
      <c r="AD1105" s="155" t="s">
        <v>20</v>
      </c>
      <c r="AE1105" s="155" t="s">
        <v>72</v>
      </c>
      <c r="AF1105" s="155" t="s">
        <v>51</v>
      </c>
      <c r="AG1105" s="155" t="s">
        <v>286</v>
      </c>
      <c r="AH1105" s="155">
        <v>4.2537500000000001</v>
      </c>
      <c r="AJ1105" s="78" t="s">
        <v>74</v>
      </c>
      <c r="AK1105" s="78" t="s">
        <v>88</v>
      </c>
      <c r="AL1105" s="78" t="s">
        <v>25</v>
      </c>
      <c r="AM1105" s="78" t="s">
        <v>51</v>
      </c>
      <c r="AN1105" s="78" t="s">
        <v>286</v>
      </c>
      <c r="AO1105" s="78">
        <v>3.0126979954339599</v>
      </c>
    </row>
    <row r="1106" spans="29:41">
      <c r="AC1106" s="155" t="s">
        <v>53</v>
      </c>
      <c r="AD1106" s="155" t="s">
        <v>20</v>
      </c>
      <c r="AE1106" s="155" t="s">
        <v>72</v>
      </c>
      <c r="AF1106" s="155" t="s">
        <v>51</v>
      </c>
      <c r="AG1106" s="155" t="s">
        <v>287</v>
      </c>
      <c r="AH1106" s="155">
        <v>4.2537500000000001</v>
      </c>
      <c r="AJ1106" s="78" t="s">
        <v>74</v>
      </c>
      <c r="AK1106" s="78" t="s">
        <v>88</v>
      </c>
      <c r="AL1106" s="78" t="s">
        <v>25</v>
      </c>
      <c r="AM1106" s="78" t="s">
        <v>51</v>
      </c>
      <c r="AN1106" s="78" t="s">
        <v>287</v>
      </c>
      <c r="AO1106" s="78">
        <v>3.0394713990433302</v>
      </c>
    </row>
    <row r="1107" spans="29:41">
      <c r="AC1107" s="155" t="s">
        <v>53</v>
      </c>
      <c r="AD1107" s="155" t="s">
        <v>20</v>
      </c>
      <c r="AE1107" s="155" t="s">
        <v>72</v>
      </c>
      <c r="AF1107" s="155" t="s">
        <v>51</v>
      </c>
      <c r="AG1107" s="155" t="s">
        <v>288</v>
      </c>
      <c r="AH1107" s="155">
        <v>4.3496249999999996</v>
      </c>
      <c r="AJ1107" s="78" t="s">
        <v>74</v>
      </c>
      <c r="AK1107" s="78" t="s">
        <v>88</v>
      </c>
      <c r="AL1107" s="78" t="s">
        <v>25</v>
      </c>
      <c r="AM1107" s="78" t="s">
        <v>51</v>
      </c>
      <c r="AN1107" s="78" t="s">
        <v>288</v>
      </c>
      <c r="AO1107" s="78">
        <v>3.0240881034818901</v>
      </c>
    </row>
    <row r="1108" spans="29:41">
      <c r="AC1108" s="155" t="s">
        <v>53</v>
      </c>
      <c r="AD1108" s="155" t="s">
        <v>20</v>
      </c>
      <c r="AE1108" s="155" t="s">
        <v>72</v>
      </c>
      <c r="AF1108" s="155" t="s">
        <v>51</v>
      </c>
      <c r="AG1108" s="155" t="s">
        <v>289</v>
      </c>
      <c r="AH1108" s="155">
        <v>4.3496249999999996</v>
      </c>
      <c r="AJ1108" s="78" t="s">
        <v>74</v>
      </c>
      <c r="AK1108" s="78" t="s">
        <v>88</v>
      </c>
      <c r="AL1108" s="78" t="s">
        <v>25</v>
      </c>
      <c r="AM1108" s="78" t="s">
        <v>51</v>
      </c>
      <c r="AN1108" s="78" t="s">
        <v>289</v>
      </c>
      <c r="AO1108" s="78">
        <v>3.0415503408748101</v>
      </c>
    </row>
    <row r="1109" spans="29:41">
      <c r="AC1109" s="155" t="s">
        <v>53</v>
      </c>
      <c r="AD1109" s="155" t="s">
        <v>20</v>
      </c>
      <c r="AE1109" s="155" t="s">
        <v>72</v>
      </c>
      <c r="AF1109" s="155" t="s">
        <v>51</v>
      </c>
      <c r="AG1109" s="155" t="s">
        <v>290</v>
      </c>
      <c r="AH1109" s="155">
        <v>4.2537500000000001</v>
      </c>
      <c r="AJ1109" s="78" t="s">
        <v>74</v>
      </c>
      <c r="AK1109" s="78" t="s">
        <v>88</v>
      </c>
      <c r="AL1109" s="78" t="s">
        <v>25</v>
      </c>
      <c r="AM1109" s="78" t="s">
        <v>51</v>
      </c>
      <c r="AN1109" s="78" t="s">
        <v>290</v>
      </c>
      <c r="AO1109" s="78">
        <v>3.0032203766891601</v>
      </c>
    </row>
    <row r="1110" spans="29:41">
      <c r="AC1110" s="155" t="s">
        <v>53</v>
      </c>
      <c r="AD1110" s="155" t="s">
        <v>20</v>
      </c>
      <c r="AE1110" s="155" t="s">
        <v>72</v>
      </c>
      <c r="AF1110" s="155" t="s">
        <v>51</v>
      </c>
      <c r="AG1110" s="155" t="s">
        <v>291</v>
      </c>
      <c r="AH1110" s="155">
        <v>4.2220000000000004</v>
      </c>
      <c r="AJ1110" s="78" t="s">
        <v>74</v>
      </c>
      <c r="AK1110" s="78" t="s">
        <v>88</v>
      </c>
      <c r="AL1110" s="78" t="s">
        <v>25</v>
      </c>
      <c r="AM1110" s="78" t="s">
        <v>51</v>
      </c>
      <c r="AN1110" s="78" t="s">
        <v>291</v>
      </c>
      <c r="AO1110" s="78">
        <v>2.9962349476624799</v>
      </c>
    </row>
    <row r="1111" spans="29:41">
      <c r="AC1111" s="155" t="s">
        <v>53</v>
      </c>
      <c r="AD1111" s="155" t="s">
        <v>20</v>
      </c>
      <c r="AE1111" s="155" t="s">
        <v>72</v>
      </c>
      <c r="AF1111" s="155" t="s">
        <v>51</v>
      </c>
      <c r="AG1111" s="155" t="s">
        <v>292</v>
      </c>
      <c r="AH1111" s="155">
        <v>4.2537500000000001</v>
      </c>
      <c r="AJ1111" s="78" t="s">
        <v>74</v>
      </c>
      <c r="AK1111" s="78" t="s">
        <v>88</v>
      </c>
      <c r="AL1111" s="78" t="s">
        <v>25</v>
      </c>
      <c r="AM1111" s="78" t="s">
        <v>51</v>
      </c>
      <c r="AN1111" s="78" t="s">
        <v>292</v>
      </c>
      <c r="AO1111" s="78">
        <v>2.9829487992520902</v>
      </c>
    </row>
    <row r="1112" spans="29:41">
      <c r="AC1112" s="155" t="s">
        <v>53</v>
      </c>
      <c r="AD1112" s="155" t="s">
        <v>20</v>
      </c>
      <c r="AE1112" s="155" t="s">
        <v>72</v>
      </c>
      <c r="AF1112" s="155" t="s">
        <v>51</v>
      </c>
      <c r="AG1112" s="155" t="s">
        <v>293</v>
      </c>
      <c r="AH1112" s="155">
        <v>4.2537500000000001</v>
      </c>
      <c r="AJ1112" s="78" t="s">
        <v>74</v>
      </c>
      <c r="AK1112" s="78" t="s">
        <v>88</v>
      </c>
      <c r="AL1112" s="78" t="s">
        <v>25</v>
      </c>
      <c r="AM1112" s="78" t="s">
        <v>51</v>
      </c>
      <c r="AN1112" s="78" t="s">
        <v>293</v>
      </c>
      <c r="AO1112" s="78">
        <v>2.97922271147955</v>
      </c>
    </row>
    <row r="1113" spans="29:41">
      <c r="AC1113" s="155" t="s">
        <v>53</v>
      </c>
      <c r="AD1113" s="155" t="s">
        <v>20</v>
      </c>
      <c r="AE1113" s="155" t="s">
        <v>72</v>
      </c>
      <c r="AF1113" s="155" t="s">
        <v>51</v>
      </c>
      <c r="AG1113" s="155" t="s">
        <v>294</v>
      </c>
      <c r="AH1113" s="155">
        <v>4.2220000000000004</v>
      </c>
      <c r="AJ1113" s="78" t="s">
        <v>74</v>
      </c>
      <c r="AK1113" s="78" t="s">
        <v>88</v>
      </c>
      <c r="AL1113" s="78" t="s">
        <v>25</v>
      </c>
      <c r="AM1113" s="78" t="s">
        <v>51</v>
      </c>
      <c r="AN1113" s="78" t="s">
        <v>294</v>
      </c>
      <c r="AO1113" s="78">
        <v>2.9567440380932299</v>
      </c>
    </row>
    <row r="1114" spans="29:41">
      <c r="AC1114" s="155" t="s">
        <v>53</v>
      </c>
      <c r="AD1114" s="155" t="s">
        <v>20</v>
      </c>
      <c r="AE1114" s="155" t="s">
        <v>72</v>
      </c>
      <c r="AF1114" s="155" t="s">
        <v>51</v>
      </c>
      <c r="AG1114" s="155" t="s">
        <v>295</v>
      </c>
      <c r="AH1114" s="155">
        <v>4.2537500000000001</v>
      </c>
      <c r="AJ1114" s="78" t="s">
        <v>74</v>
      </c>
      <c r="AK1114" s="78" t="s">
        <v>88</v>
      </c>
      <c r="AL1114" s="78" t="s">
        <v>25</v>
      </c>
      <c r="AM1114" s="78" t="s">
        <v>51</v>
      </c>
      <c r="AN1114" s="78" t="s">
        <v>295</v>
      </c>
      <c r="AO1114" s="78">
        <v>2.9778815410804498</v>
      </c>
    </row>
    <row r="1115" spans="29:41">
      <c r="AC1115" s="155" t="s">
        <v>53</v>
      </c>
      <c r="AD1115" s="155" t="s">
        <v>20</v>
      </c>
      <c r="AE1115" s="155" t="s">
        <v>72</v>
      </c>
      <c r="AF1115" s="155" t="s">
        <v>51</v>
      </c>
      <c r="AG1115" s="155" t="s">
        <v>236</v>
      </c>
      <c r="AH1115" s="155">
        <v>4.3177500000000002</v>
      </c>
      <c r="AJ1115" s="78" t="s">
        <v>74</v>
      </c>
      <c r="AK1115" s="78" t="s">
        <v>88</v>
      </c>
      <c r="AL1115" s="78" t="s">
        <v>25</v>
      </c>
      <c r="AM1115" s="78" t="s">
        <v>51</v>
      </c>
      <c r="AN1115" s="78" t="s">
        <v>236</v>
      </c>
      <c r="AO1115" s="78">
        <v>2.9783756626827098</v>
      </c>
    </row>
    <row r="1116" spans="29:41">
      <c r="AC1116" s="155" t="s">
        <v>53</v>
      </c>
      <c r="AD1116" s="155" t="s">
        <v>20</v>
      </c>
      <c r="AE1116" s="155" t="s">
        <v>72</v>
      </c>
      <c r="AF1116" s="155" t="s">
        <v>51</v>
      </c>
      <c r="AG1116" s="155" t="s">
        <v>296</v>
      </c>
      <c r="AH1116" s="155">
        <v>4.3177500000000002</v>
      </c>
      <c r="AJ1116" s="78" t="s">
        <v>74</v>
      </c>
      <c r="AK1116" s="78" t="s">
        <v>88</v>
      </c>
      <c r="AL1116" s="78" t="s">
        <v>25</v>
      </c>
      <c r="AM1116" s="78" t="s">
        <v>51</v>
      </c>
      <c r="AN1116" s="78" t="s">
        <v>296</v>
      </c>
      <c r="AO1116" s="78">
        <v>2.9726150604600501</v>
      </c>
    </row>
    <row r="1117" spans="29:41">
      <c r="AC1117" s="155" t="s">
        <v>53</v>
      </c>
      <c r="AD1117" s="155" t="s">
        <v>20</v>
      </c>
      <c r="AE1117" s="155" t="s">
        <v>72</v>
      </c>
      <c r="AF1117" s="155" t="s">
        <v>51</v>
      </c>
      <c r="AG1117" s="155" t="s">
        <v>297</v>
      </c>
      <c r="AH1117" s="155">
        <v>4.3177500000000002</v>
      </c>
      <c r="AJ1117" s="78" t="s">
        <v>74</v>
      </c>
      <c r="AK1117" s="78" t="s">
        <v>88</v>
      </c>
      <c r="AL1117" s="78" t="s">
        <v>25</v>
      </c>
      <c r="AM1117" s="78" t="s">
        <v>51</v>
      </c>
      <c r="AN1117" s="78" t="s">
        <v>297</v>
      </c>
      <c r="AO1117" s="78">
        <v>2.9699990408330801</v>
      </c>
    </row>
    <row r="1118" spans="29:41">
      <c r="AC1118" s="155" t="s">
        <v>53</v>
      </c>
      <c r="AD1118" s="155" t="s">
        <v>20</v>
      </c>
      <c r="AE1118" s="155" t="s">
        <v>72</v>
      </c>
      <c r="AF1118" s="155" t="s">
        <v>51</v>
      </c>
      <c r="AG1118" s="155" t="s">
        <v>298</v>
      </c>
      <c r="AH1118" s="155">
        <v>4.2537500000000001</v>
      </c>
      <c r="AJ1118" s="78" t="s">
        <v>74</v>
      </c>
      <c r="AK1118" s="78" t="s">
        <v>88</v>
      </c>
      <c r="AL1118" s="78" t="s">
        <v>25</v>
      </c>
      <c r="AM1118" s="78" t="s">
        <v>51</v>
      </c>
      <c r="AN1118" s="78" t="s">
        <v>298</v>
      </c>
      <c r="AO1118" s="78">
        <v>2.9627998266716902</v>
      </c>
    </row>
    <row r="1119" spans="29:41">
      <c r="AC1119" s="155" t="s">
        <v>53</v>
      </c>
      <c r="AD1119" s="155" t="s">
        <v>20</v>
      </c>
      <c r="AE1119" s="155" t="s">
        <v>72</v>
      </c>
      <c r="AF1119" s="155" t="s">
        <v>51</v>
      </c>
      <c r="AG1119" s="155" t="s">
        <v>299</v>
      </c>
      <c r="AH1119" s="155">
        <v>4.2220000000000004</v>
      </c>
      <c r="AJ1119" s="78" t="s">
        <v>74</v>
      </c>
      <c r="AK1119" s="78" t="s">
        <v>88</v>
      </c>
      <c r="AL1119" s="78" t="s">
        <v>25</v>
      </c>
      <c r="AM1119" s="78" t="s">
        <v>51</v>
      </c>
      <c r="AN1119" s="78" t="s">
        <v>299</v>
      </c>
      <c r="AO1119" s="78">
        <v>2.9474672658602201</v>
      </c>
    </row>
    <row r="1120" spans="29:41">
      <c r="AC1120" s="155" t="s">
        <v>53</v>
      </c>
      <c r="AD1120" s="155" t="s">
        <v>20</v>
      </c>
      <c r="AE1120" s="155" t="s">
        <v>72</v>
      </c>
      <c r="AF1120" s="155" t="s">
        <v>51</v>
      </c>
      <c r="AG1120" s="155" t="s">
        <v>300</v>
      </c>
      <c r="AH1120" s="155">
        <v>4.1583750000000004</v>
      </c>
      <c r="AJ1120" s="78" t="s">
        <v>74</v>
      </c>
      <c r="AK1120" s="78" t="s">
        <v>88</v>
      </c>
      <c r="AL1120" s="78" t="s">
        <v>25</v>
      </c>
      <c r="AM1120" s="78" t="s">
        <v>51</v>
      </c>
      <c r="AN1120" s="78" t="s">
        <v>300</v>
      </c>
      <c r="AO1120" s="78">
        <v>2.8947298491443201</v>
      </c>
    </row>
    <row r="1121" spans="29:41">
      <c r="AC1121" s="155" t="s">
        <v>53</v>
      </c>
      <c r="AD1121" s="155" t="s">
        <v>20</v>
      </c>
      <c r="AE1121" s="155" t="s">
        <v>72</v>
      </c>
      <c r="AF1121" s="155" t="s">
        <v>51</v>
      </c>
      <c r="AG1121" s="155" t="s">
        <v>301</v>
      </c>
      <c r="AH1121" s="155">
        <v>4.1901250000000001</v>
      </c>
      <c r="AJ1121" s="78" t="s">
        <v>74</v>
      </c>
      <c r="AK1121" s="78" t="s">
        <v>88</v>
      </c>
      <c r="AL1121" s="78" t="s">
        <v>25</v>
      </c>
      <c r="AM1121" s="78" t="s">
        <v>51</v>
      </c>
      <c r="AN1121" s="78" t="s">
        <v>301</v>
      </c>
      <c r="AO1121" s="78">
        <v>2.9165593470462001</v>
      </c>
    </row>
    <row r="1122" spans="29:41">
      <c r="AC1122" s="155" t="s">
        <v>53</v>
      </c>
      <c r="AD1122" s="155" t="s">
        <v>20</v>
      </c>
      <c r="AE1122" s="155" t="s">
        <v>72</v>
      </c>
      <c r="AF1122" s="155" t="s">
        <v>51</v>
      </c>
      <c r="AG1122" s="155" t="s">
        <v>302</v>
      </c>
      <c r="AH1122" s="155">
        <v>4.3813750000000002</v>
      </c>
      <c r="AJ1122" s="78" t="s">
        <v>74</v>
      </c>
      <c r="AK1122" s="78" t="s">
        <v>88</v>
      </c>
      <c r="AL1122" s="78" t="s">
        <v>25</v>
      </c>
      <c r="AM1122" s="78" t="s">
        <v>51</v>
      </c>
      <c r="AN1122" s="78" t="s">
        <v>302</v>
      </c>
      <c r="AO1122" s="78">
        <v>3.0544306669029599</v>
      </c>
    </row>
    <row r="1123" spans="29:41">
      <c r="AC1123" s="155" t="s">
        <v>53</v>
      </c>
      <c r="AD1123" s="155" t="s">
        <v>20</v>
      </c>
      <c r="AE1123" s="155" t="s">
        <v>72</v>
      </c>
      <c r="AF1123" s="155" t="s">
        <v>51</v>
      </c>
      <c r="AG1123" s="155" t="s">
        <v>303</v>
      </c>
      <c r="AH1123" s="155">
        <v>4.3177500000000002</v>
      </c>
      <c r="AJ1123" s="78" t="s">
        <v>74</v>
      </c>
      <c r="AK1123" s="78" t="s">
        <v>88</v>
      </c>
      <c r="AL1123" s="78" t="s">
        <v>25</v>
      </c>
      <c r="AM1123" s="78" t="s">
        <v>51</v>
      </c>
      <c r="AN1123" s="78" t="s">
        <v>303</v>
      </c>
      <c r="AO1123" s="78">
        <v>2.9966381834712199</v>
      </c>
    </row>
    <row r="1124" spans="29:41">
      <c r="AC1124" s="155" t="s">
        <v>53</v>
      </c>
      <c r="AD1124" s="155" t="s">
        <v>20</v>
      </c>
      <c r="AE1124" s="155" t="s">
        <v>72</v>
      </c>
      <c r="AF1124" s="155" t="s">
        <v>51</v>
      </c>
      <c r="AG1124" s="155" t="s">
        <v>304</v>
      </c>
      <c r="AH1124" s="155">
        <v>4.1901250000000001</v>
      </c>
      <c r="AJ1124" s="78" t="s">
        <v>74</v>
      </c>
      <c r="AK1124" s="78" t="s">
        <v>88</v>
      </c>
      <c r="AL1124" s="78" t="s">
        <v>25</v>
      </c>
      <c r="AM1124" s="78" t="s">
        <v>51</v>
      </c>
      <c r="AN1124" s="78" t="s">
        <v>304</v>
      </c>
      <c r="AO1124" s="78">
        <v>2.9498986890501602</v>
      </c>
    </row>
    <row r="1125" spans="29:41">
      <c r="AC1125" s="155" t="s">
        <v>53</v>
      </c>
      <c r="AD1125" s="155" t="s">
        <v>20</v>
      </c>
      <c r="AE1125" s="155" t="s">
        <v>72</v>
      </c>
      <c r="AF1125" s="155" t="s">
        <v>51</v>
      </c>
      <c r="AG1125" s="155" t="s">
        <v>305</v>
      </c>
      <c r="AH1125" s="155">
        <v>4.1583750000000004</v>
      </c>
      <c r="AJ1125" s="78" t="s">
        <v>74</v>
      </c>
      <c r="AK1125" s="78" t="s">
        <v>88</v>
      </c>
      <c r="AL1125" s="78" t="s">
        <v>25</v>
      </c>
      <c r="AM1125" s="78" t="s">
        <v>51</v>
      </c>
      <c r="AN1125" s="78" t="s">
        <v>305</v>
      </c>
      <c r="AO1125" s="78">
        <v>2.97492729888162</v>
      </c>
    </row>
    <row r="1126" spans="29:41">
      <c r="AC1126" s="155" t="s">
        <v>53</v>
      </c>
      <c r="AD1126" s="155" t="s">
        <v>20</v>
      </c>
      <c r="AE1126" s="155" t="s">
        <v>72</v>
      </c>
      <c r="AF1126" s="155" t="s">
        <v>51</v>
      </c>
      <c r="AG1126" s="155" t="s">
        <v>306</v>
      </c>
      <c r="AH1126" s="155">
        <v>4.1901250000000001</v>
      </c>
      <c r="AJ1126" s="78" t="s">
        <v>74</v>
      </c>
      <c r="AK1126" s="78" t="s">
        <v>88</v>
      </c>
      <c r="AL1126" s="78" t="s">
        <v>25</v>
      </c>
      <c r="AM1126" s="78" t="s">
        <v>51</v>
      </c>
      <c r="AN1126" s="78" t="s">
        <v>306</v>
      </c>
      <c r="AO1126" s="78">
        <v>2.9584562580557998</v>
      </c>
    </row>
    <row r="1127" spans="29:41">
      <c r="AC1127" s="155" t="s">
        <v>53</v>
      </c>
      <c r="AD1127" s="155" t="s">
        <v>20</v>
      </c>
      <c r="AE1127" s="155" t="s">
        <v>72</v>
      </c>
      <c r="AF1127" s="155" t="s">
        <v>51</v>
      </c>
      <c r="AG1127" s="155" t="s">
        <v>307</v>
      </c>
      <c r="AH1127" s="155">
        <v>4.1901250000000001</v>
      </c>
      <c r="AJ1127" s="78" t="s">
        <v>74</v>
      </c>
      <c r="AK1127" s="78" t="s">
        <v>88</v>
      </c>
      <c r="AL1127" s="78" t="s">
        <v>25</v>
      </c>
      <c r="AM1127" s="78" t="s">
        <v>51</v>
      </c>
      <c r="AN1127" s="78" t="s">
        <v>307</v>
      </c>
      <c r="AO1127" s="78">
        <v>2.9975278287112799</v>
      </c>
    </row>
    <row r="1128" spans="29:41">
      <c r="AC1128" s="155" t="s">
        <v>53</v>
      </c>
      <c r="AD1128" s="155" t="s">
        <v>20</v>
      </c>
      <c r="AE1128" s="155" t="s">
        <v>72</v>
      </c>
      <c r="AF1128" s="155" t="s">
        <v>51</v>
      </c>
      <c r="AG1128" s="155" t="s">
        <v>308</v>
      </c>
      <c r="AH1128" s="155">
        <v>4.1901250000000001</v>
      </c>
      <c r="AJ1128" s="78" t="s">
        <v>74</v>
      </c>
      <c r="AK1128" s="78" t="s">
        <v>88</v>
      </c>
      <c r="AL1128" s="78" t="s">
        <v>25</v>
      </c>
      <c r="AM1128" s="78" t="s">
        <v>51</v>
      </c>
      <c r="AN1128" s="78" t="s">
        <v>308</v>
      </c>
      <c r="AO1128" s="78">
        <v>2.93038775773327</v>
      </c>
    </row>
    <row r="1129" spans="29:41">
      <c r="AC1129" s="155" t="s">
        <v>53</v>
      </c>
      <c r="AD1129" s="155" t="s">
        <v>20</v>
      </c>
      <c r="AE1129" s="155" t="s">
        <v>72</v>
      </c>
      <c r="AF1129" s="155" t="s">
        <v>51</v>
      </c>
      <c r="AG1129" s="155" t="s">
        <v>309</v>
      </c>
      <c r="AH1129" s="155">
        <v>4.2220000000000004</v>
      </c>
      <c r="AJ1129" s="78" t="s">
        <v>74</v>
      </c>
      <c r="AK1129" s="78" t="s">
        <v>88</v>
      </c>
      <c r="AL1129" s="78" t="s">
        <v>25</v>
      </c>
      <c r="AM1129" s="78" t="s">
        <v>51</v>
      </c>
      <c r="AN1129" s="78" t="s">
        <v>309</v>
      </c>
      <c r="AO1129" s="78">
        <v>2.9956917661864102</v>
      </c>
    </row>
    <row r="1130" spans="29:41">
      <c r="AC1130" s="155" t="s">
        <v>53</v>
      </c>
      <c r="AD1130" s="155" t="s">
        <v>20</v>
      </c>
      <c r="AE1130" s="155" t="s">
        <v>72</v>
      </c>
      <c r="AF1130" s="155" t="s">
        <v>51</v>
      </c>
      <c r="AG1130" s="155" t="s">
        <v>310</v>
      </c>
      <c r="AH1130" s="155">
        <v>4.3496249999999996</v>
      </c>
      <c r="AJ1130" s="78" t="s">
        <v>74</v>
      </c>
      <c r="AK1130" s="78" t="s">
        <v>88</v>
      </c>
      <c r="AL1130" s="78" t="s">
        <v>25</v>
      </c>
      <c r="AM1130" s="78" t="s">
        <v>51</v>
      </c>
      <c r="AN1130" s="78" t="s">
        <v>310</v>
      </c>
      <c r="AO1130" s="78">
        <v>3.0277544715368299</v>
      </c>
    </row>
    <row r="1131" spans="29:41">
      <c r="AC1131" s="155" t="s">
        <v>53</v>
      </c>
      <c r="AD1131" s="155" t="s">
        <v>20</v>
      </c>
      <c r="AE1131" s="155" t="s">
        <v>72</v>
      </c>
      <c r="AF1131" s="155" t="s">
        <v>51</v>
      </c>
      <c r="AG1131" s="155" t="s">
        <v>311</v>
      </c>
      <c r="AH1131" s="155">
        <v>4.3496249999999996</v>
      </c>
      <c r="AJ1131" s="78" t="s">
        <v>74</v>
      </c>
      <c r="AK1131" s="78" t="s">
        <v>88</v>
      </c>
      <c r="AL1131" s="78" t="s">
        <v>25</v>
      </c>
      <c r="AM1131" s="78" t="s">
        <v>51</v>
      </c>
      <c r="AN1131" s="78" t="s">
        <v>311</v>
      </c>
      <c r="AO1131" s="78">
        <v>3.0337070171743399</v>
      </c>
    </row>
    <row r="1132" spans="29:41">
      <c r="AC1132" s="155" t="s">
        <v>53</v>
      </c>
      <c r="AD1132" s="155" t="s">
        <v>20</v>
      </c>
      <c r="AE1132" s="155" t="s">
        <v>72</v>
      </c>
      <c r="AF1132" s="155" t="s">
        <v>51</v>
      </c>
      <c r="AG1132" s="155" t="s">
        <v>235</v>
      </c>
      <c r="AH1132" s="155">
        <v>4.2537500000000001</v>
      </c>
      <c r="AJ1132" s="78" t="s">
        <v>74</v>
      </c>
      <c r="AK1132" s="78" t="s">
        <v>88</v>
      </c>
      <c r="AL1132" s="78" t="s">
        <v>25</v>
      </c>
      <c r="AM1132" s="78" t="s">
        <v>51</v>
      </c>
      <c r="AN1132" s="78" t="s">
        <v>235</v>
      </c>
      <c r="AO1132" s="78">
        <v>2.9938542795846499</v>
      </c>
    </row>
    <row r="1133" spans="29:41">
      <c r="AC1133" s="155" t="s">
        <v>53</v>
      </c>
      <c r="AD1133" s="155" t="s">
        <v>20</v>
      </c>
      <c r="AE1133" s="155" t="s">
        <v>72</v>
      </c>
      <c r="AF1133" s="155" t="s">
        <v>51</v>
      </c>
      <c r="AG1133" s="155" t="s">
        <v>312</v>
      </c>
      <c r="AH1133" s="155">
        <v>4.2220000000000004</v>
      </c>
      <c r="AJ1133" s="78" t="s">
        <v>74</v>
      </c>
      <c r="AK1133" s="78" t="s">
        <v>88</v>
      </c>
      <c r="AL1133" s="78" t="s">
        <v>25</v>
      </c>
      <c r="AM1133" s="78" t="s">
        <v>51</v>
      </c>
      <c r="AN1133" s="78" t="s">
        <v>312</v>
      </c>
      <c r="AO1133" s="78">
        <v>2.9654454819851401</v>
      </c>
    </row>
    <row r="1134" spans="29:41">
      <c r="AC1134" s="155" t="s">
        <v>53</v>
      </c>
      <c r="AD1134" s="155" t="s">
        <v>20</v>
      </c>
      <c r="AE1134" s="155" t="s">
        <v>72</v>
      </c>
      <c r="AF1134" s="155" t="s">
        <v>51</v>
      </c>
      <c r="AG1134" s="155" t="s">
        <v>313</v>
      </c>
      <c r="AH1134" s="155">
        <v>4.1901250000000001</v>
      </c>
      <c r="AJ1134" s="78" t="s">
        <v>74</v>
      </c>
      <c r="AK1134" s="78" t="s">
        <v>88</v>
      </c>
      <c r="AL1134" s="78" t="s">
        <v>25</v>
      </c>
      <c r="AM1134" s="78" t="s">
        <v>51</v>
      </c>
      <c r="AN1134" s="78" t="s">
        <v>313</v>
      </c>
      <c r="AO1134" s="78">
        <v>2.9731174036640602</v>
      </c>
    </row>
    <row r="1135" spans="29:41">
      <c r="AC1135" s="155" t="s">
        <v>53</v>
      </c>
      <c r="AD1135" s="155" t="s">
        <v>20</v>
      </c>
      <c r="AE1135" s="155" t="s">
        <v>72</v>
      </c>
      <c r="AF1135" s="155" t="s">
        <v>51</v>
      </c>
      <c r="AG1135" s="155" t="s">
        <v>314</v>
      </c>
      <c r="AH1135" s="155">
        <v>4.2220000000000004</v>
      </c>
      <c r="AJ1135" s="78" t="s">
        <v>74</v>
      </c>
      <c r="AK1135" s="78" t="s">
        <v>88</v>
      </c>
      <c r="AL1135" s="78" t="s">
        <v>25</v>
      </c>
      <c r="AM1135" s="78" t="s">
        <v>51</v>
      </c>
      <c r="AN1135" s="78" t="s">
        <v>314</v>
      </c>
      <c r="AO1135" s="78">
        <v>3.0177597197552002</v>
      </c>
    </row>
    <row r="1136" spans="29:41">
      <c r="AC1136" s="155" t="s">
        <v>53</v>
      </c>
      <c r="AD1136" s="155" t="s">
        <v>20</v>
      </c>
      <c r="AE1136" s="155" t="s">
        <v>72</v>
      </c>
      <c r="AF1136" s="155" t="s">
        <v>51</v>
      </c>
      <c r="AG1136" s="155" t="s">
        <v>234</v>
      </c>
      <c r="AH1136" s="155">
        <v>4.3496249999999996</v>
      </c>
      <c r="AJ1136" s="78" t="s">
        <v>74</v>
      </c>
      <c r="AK1136" s="78" t="s">
        <v>88</v>
      </c>
      <c r="AL1136" s="78" t="s">
        <v>25</v>
      </c>
      <c r="AM1136" s="78" t="s">
        <v>51</v>
      </c>
      <c r="AN1136" s="78" t="s">
        <v>234</v>
      </c>
      <c r="AO1136" s="78">
        <v>3.0426080275796101</v>
      </c>
    </row>
    <row r="1137" spans="29:41">
      <c r="AC1137" s="155" t="s">
        <v>53</v>
      </c>
      <c r="AD1137" s="155" t="s">
        <v>20</v>
      </c>
      <c r="AE1137" s="155" t="s">
        <v>72</v>
      </c>
      <c r="AF1137" s="155" t="s">
        <v>51</v>
      </c>
      <c r="AG1137" s="155" t="s">
        <v>237</v>
      </c>
      <c r="AH1137" s="155">
        <v>4.3177500000000002</v>
      </c>
      <c r="AJ1137" s="78" t="s">
        <v>74</v>
      </c>
      <c r="AK1137" s="78" t="s">
        <v>88</v>
      </c>
      <c r="AL1137" s="78" t="s">
        <v>25</v>
      </c>
      <c r="AM1137" s="78" t="s">
        <v>51</v>
      </c>
      <c r="AN1137" s="78" t="s">
        <v>237</v>
      </c>
      <c r="AO1137" s="78">
        <v>3.0275766664066102</v>
      </c>
    </row>
    <row r="1138" spans="29:41">
      <c r="AC1138" s="155" t="s">
        <v>53</v>
      </c>
      <c r="AD1138" s="155" t="s">
        <v>20</v>
      </c>
      <c r="AE1138" s="155" t="s">
        <v>72</v>
      </c>
      <c r="AF1138" s="155" t="s">
        <v>51</v>
      </c>
      <c r="AG1138" s="155" t="s">
        <v>319</v>
      </c>
      <c r="AH1138" s="155">
        <v>4.3496249999999996</v>
      </c>
      <c r="AJ1138" s="78" t="s">
        <v>74</v>
      </c>
      <c r="AK1138" s="78" t="s">
        <v>88</v>
      </c>
      <c r="AL1138" s="78" t="s">
        <v>25</v>
      </c>
      <c r="AM1138" s="78" t="s">
        <v>51</v>
      </c>
      <c r="AN1138" s="78" t="s">
        <v>319</v>
      </c>
      <c r="AO1138" s="78">
        <v>3.0029644484734299</v>
      </c>
    </row>
    <row r="1139" spans="29:41">
      <c r="AC1139" s="155" t="s">
        <v>53</v>
      </c>
      <c r="AD1139" s="155" t="s">
        <v>20</v>
      </c>
      <c r="AE1139" s="155" t="s">
        <v>72</v>
      </c>
      <c r="AF1139" s="155" t="s">
        <v>51</v>
      </c>
      <c r="AG1139" s="155" t="s">
        <v>320</v>
      </c>
      <c r="AH1139" s="155">
        <v>4.3177500000000002</v>
      </c>
      <c r="AJ1139" s="78" t="s">
        <v>74</v>
      </c>
      <c r="AK1139" s="78" t="s">
        <v>88</v>
      </c>
      <c r="AL1139" s="78" t="s">
        <v>25</v>
      </c>
      <c r="AM1139" s="78" t="s">
        <v>51</v>
      </c>
      <c r="AN1139" s="78" t="s">
        <v>320</v>
      </c>
      <c r="AO1139" s="78">
        <v>3.05738829293283</v>
      </c>
    </row>
    <row r="1140" spans="29:41">
      <c r="AC1140" s="155" t="s">
        <v>53</v>
      </c>
      <c r="AD1140" s="155" t="s">
        <v>20</v>
      </c>
      <c r="AE1140" s="155" t="s">
        <v>72</v>
      </c>
      <c r="AF1140" s="155" t="s">
        <v>51</v>
      </c>
      <c r="AG1140" s="155" t="s">
        <v>321</v>
      </c>
      <c r="AH1140" s="155">
        <v>4.3177500000000002</v>
      </c>
      <c r="AJ1140" s="78" t="s">
        <v>74</v>
      </c>
      <c r="AK1140" s="78" t="s">
        <v>88</v>
      </c>
      <c r="AL1140" s="78" t="s">
        <v>25</v>
      </c>
      <c r="AM1140" s="78" t="s">
        <v>51</v>
      </c>
      <c r="AN1140" s="78" t="s">
        <v>317</v>
      </c>
      <c r="AO1140" s="78">
        <v>3.0484600868524701</v>
      </c>
    </row>
    <row r="1141" spans="29:41">
      <c r="AC1141" s="155" t="s">
        <v>53</v>
      </c>
      <c r="AD1141" s="155" t="s">
        <v>20</v>
      </c>
      <c r="AE1141" s="155" t="s">
        <v>72</v>
      </c>
      <c r="AF1141" s="155" t="s">
        <v>51</v>
      </c>
      <c r="AG1141" s="155" t="s">
        <v>322</v>
      </c>
      <c r="AH1141" s="155">
        <v>4.2220000000000004</v>
      </c>
      <c r="AJ1141" s="78" t="s">
        <v>74</v>
      </c>
      <c r="AK1141" s="78" t="s">
        <v>88</v>
      </c>
      <c r="AL1141" s="78" t="s">
        <v>25</v>
      </c>
      <c r="AM1141" s="78" t="s">
        <v>51</v>
      </c>
      <c r="AN1141" s="78" t="s">
        <v>321</v>
      </c>
      <c r="AO1141" s="78">
        <v>3.0053894082817201</v>
      </c>
    </row>
    <row r="1142" spans="29:41">
      <c r="AC1142" s="155" t="s">
        <v>53</v>
      </c>
      <c r="AD1142" s="155" t="s">
        <v>20</v>
      </c>
      <c r="AE1142" s="155" t="s">
        <v>72</v>
      </c>
      <c r="AF1142" s="155" t="s">
        <v>51</v>
      </c>
      <c r="AG1142" s="155" t="s">
        <v>323</v>
      </c>
      <c r="AH1142" s="155">
        <v>4.2220000000000004</v>
      </c>
      <c r="AJ1142" s="78" t="s">
        <v>74</v>
      </c>
      <c r="AK1142" s="78" t="s">
        <v>88</v>
      </c>
      <c r="AL1142" s="78" t="s">
        <v>25</v>
      </c>
      <c r="AM1142" s="78" t="s">
        <v>51</v>
      </c>
      <c r="AN1142" s="78" t="s">
        <v>322</v>
      </c>
      <c r="AO1142" s="78">
        <v>2.993452685197</v>
      </c>
    </row>
    <row r="1143" spans="29:41">
      <c r="AC1143" s="155" t="s">
        <v>53</v>
      </c>
      <c r="AD1143" s="155" t="s">
        <v>20</v>
      </c>
      <c r="AE1143" s="155" t="s">
        <v>72</v>
      </c>
      <c r="AF1143" s="155" t="s">
        <v>51</v>
      </c>
      <c r="AG1143" s="155" t="s">
        <v>324</v>
      </c>
      <c r="AH1143" s="155">
        <v>4.2537500000000001</v>
      </c>
      <c r="AJ1143" s="78" t="s">
        <v>74</v>
      </c>
      <c r="AK1143" s="78" t="s">
        <v>88</v>
      </c>
      <c r="AL1143" s="78" t="s">
        <v>25</v>
      </c>
      <c r="AM1143" s="78" t="s">
        <v>51</v>
      </c>
      <c r="AN1143" s="78" t="s">
        <v>323</v>
      </c>
      <c r="AO1143" s="78">
        <v>2.99513727920968</v>
      </c>
    </row>
    <row r="1144" spans="29:41">
      <c r="AC1144" s="155" t="s">
        <v>53</v>
      </c>
      <c r="AD1144" s="155" t="s">
        <v>20</v>
      </c>
      <c r="AE1144" s="155" t="s">
        <v>72</v>
      </c>
      <c r="AF1144" s="155" t="s">
        <v>51</v>
      </c>
      <c r="AG1144" s="155" t="s">
        <v>325</v>
      </c>
      <c r="AH1144" s="155">
        <v>4.1901250000000001</v>
      </c>
      <c r="AJ1144" s="78" t="s">
        <v>74</v>
      </c>
      <c r="AK1144" s="78" t="s">
        <v>88</v>
      </c>
      <c r="AL1144" s="78" t="s">
        <v>25</v>
      </c>
      <c r="AM1144" s="78" t="s">
        <v>51</v>
      </c>
      <c r="AN1144" s="78" t="s">
        <v>324</v>
      </c>
      <c r="AO1144" s="78">
        <v>2.9334005201837599</v>
      </c>
    </row>
    <row r="1145" spans="29:41">
      <c r="AC1145" s="155" t="s">
        <v>53</v>
      </c>
      <c r="AD1145" s="155" t="s">
        <v>20</v>
      </c>
      <c r="AE1145" s="155" t="s">
        <v>72</v>
      </c>
      <c r="AF1145" s="155" t="s">
        <v>51</v>
      </c>
      <c r="AG1145" s="155" t="s">
        <v>326</v>
      </c>
      <c r="AH1145" s="155">
        <v>4.1583750000000004</v>
      </c>
      <c r="AJ1145" s="78" t="s">
        <v>74</v>
      </c>
      <c r="AK1145" s="78" t="s">
        <v>88</v>
      </c>
      <c r="AL1145" s="78" t="s">
        <v>25</v>
      </c>
      <c r="AM1145" s="78" t="s">
        <v>51</v>
      </c>
      <c r="AN1145" s="78" t="s">
        <v>325</v>
      </c>
      <c r="AO1145" s="78">
        <v>2.9119506998989602</v>
      </c>
    </row>
    <row r="1146" spans="29:41">
      <c r="AC1146" s="155" t="s">
        <v>53</v>
      </c>
      <c r="AD1146" s="155" t="s">
        <v>20</v>
      </c>
      <c r="AE1146" s="155" t="s">
        <v>72</v>
      </c>
      <c r="AF1146" s="155" t="s">
        <v>51</v>
      </c>
      <c r="AG1146" s="155" t="s">
        <v>327</v>
      </c>
      <c r="AH1146" s="155">
        <v>4.1901250000000001</v>
      </c>
      <c r="AJ1146" s="78" t="s">
        <v>74</v>
      </c>
      <c r="AK1146" s="78" t="s">
        <v>88</v>
      </c>
      <c r="AL1146" s="78" t="s">
        <v>25</v>
      </c>
      <c r="AM1146" s="78" t="s">
        <v>51</v>
      </c>
      <c r="AN1146" s="78" t="s">
        <v>326</v>
      </c>
      <c r="AO1146" s="78">
        <v>2.88545680781831</v>
      </c>
    </row>
    <row r="1147" spans="29:41">
      <c r="AC1147" s="155" t="s">
        <v>53</v>
      </c>
      <c r="AD1147" s="155" t="s">
        <v>20</v>
      </c>
      <c r="AE1147" s="155" t="s">
        <v>72</v>
      </c>
      <c r="AF1147" s="155" t="s">
        <v>51</v>
      </c>
      <c r="AG1147" s="155" t="s">
        <v>328</v>
      </c>
      <c r="AH1147" s="155">
        <v>4.126125</v>
      </c>
      <c r="AJ1147" s="78" t="s">
        <v>74</v>
      </c>
      <c r="AK1147" s="78" t="s">
        <v>88</v>
      </c>
      <c r="AL1147" s="78" t="s">
        <v>25</v>
      </c>
      <c r="AM1147" s="78" t="s">
        <v>51</v>
      </c>
      <c r="AN1147" s="78" t="s">
        <v>327</v>
      </c>
      <c r="AO1147" s="78">
        <v>2.8978342309890999</v>
      </c>
    </row>
    <row r="1148" spans="29:41">
      <c r="AC1148" s="155" t="s">
        <v>53</v>
      </c>
      <c r="AD1148" s="155" t="s">
        <v>20</v>
      </c>
      <c r="AE1148" s="155" t="s">
        <v>72</v>
      </c>
      <c r="AF1148" s="155" t="s">
        <v>51</v>
      </c>
      <c r="AG1148" s="155" t="s">
        <v>329</v>
      </c>
      <c r="AH1148" s="155">
        <v>4.1901250000000001</v>
      </c>
      <c r="AJ1148" s="78" t="s">
        <v>74</v>
      </c>
      <c r="AK1148" s="78" t="s">
        <v>88</v>
      </c>
      <c r="AL1148" s="78" t="s">
        <v>25</v>
      </c>
      <c r="AM1148" s="78" t="s">
        <v>51</v>
      </c>
      <c r="AN1148" s="78" t="s">
        <v>328</v>
      </c>
      <c r="AO1148" s="78">
        <v>2.8424738889513801</v>
      </c>
    </row>
    <row r="1149" spans="29:41">
      <c r="AC1149" s="155" t="s">
        <v>53</v>
      </c>
      <c r="AD1149" s="155" t="s">
        <v>20</v>
      </c>
      <c r="AE1149" s="155" t="s">
        <v>72</v>
      </c>
      <c r="AF1149" s="155" t="s">
        <v>51</v>
      </c>
      <c r="AG1149" s="155" t="s">
        <v>330</v>
      </c>
      <c r="AH1149" s="155">
        <v>4.1901250000000001</v>
      </c>
      <c r="AJ1149" s="78" t="s">
        <v>74</v>
      </c>
      <c r="AK1149" s="78" t="s">
        <v>88</v>
      </c>
      <c r="AL1149" s="78" t="s">
        <v>25</v>
      </c>
      <c r="AM1149" s="78" t="s">
        <v>51</v>
      </c>
      <c r="AN1149" s="78" t="s">
        <v>329</v>
      </c>
      <c r="AO1149" s="78">
        <v>2.8127941632470699</v>
      </c>
    </row>
    <row r="1150" spans="29:41">
      <c r="AC1150" s="155" t="s">
        <v>53</v>
      </c>
      <c r="AD1150" s="155" t="s">
        <v>20</v>
      </c>
      <c r="AE1150" s="155" t="s">
        <v>72</v>
      </c>
      <c r="AF1150" s="155" t="s">
        <v>51</v>
      </c>
      <c r="AG1150" s="155" t="s">
        <v>331</v>
      </c>
      <c r="AH1150" s="155">
        <v>4.0943750000000003</v>
      </c>
      <c r="AJ1150" s="78" t="s">
        <v>74</v>
      </c>
      <c r="AK1150" s="78" t="s">
        <v>88</v>
      </c>
      <c r="AL1150" s="78" t="s">
        <v>25</v>
      </c>
      <c r="AM1150" s="78" t="s">
        <v>51</v>
      </c>
      <c r="AN1150" s="78" t="s">
        <v>330</v>
      </c>
      <c r="AO1150" s="78">
        <v>2.82567876803239</v>
      </c>
    </row>
    <row r="1151" spans="29:41">
      <c r="AC1151" s="155" t="s">
        <v>53</v>
      </c>
      <c r="AD1151" s="155" t="s">
        <v>20</v>
      </c>
      <c r="AE1151" s="155" t="s">
        <v>72</v>
      </c>
      <c r="AF1151" s="155" t="s">
        <v>51</v>
      </c>
      <c r="AG1151" s="155" t="s">
        <v>332</v>
      </c>
      <c r="AH1151" s="155">
        <v>4.1583750000000004</v>
      </c>
      <c r="AJ1151" s="78" t="s">
        <v>74</v>
      </c>
      <c r="AK1151" s="78" t="s">
        <v>88</v>
      </c>
      <c r="AL1151" s="78" t="s">
        <v>25</v>
      </c>
      <c r="AM1151" s="78" t="s">
        <v>51</v>
      </c>
      <c r="AN1151" s="78" t="s">
        <v>331</v>
      </c>
      <c r="AO1151" s="78">
        <v>2.78255799649583</v>
      </c>
    </row>
    <row r="1152" spans="29:41">
      <c r="AC1152" s="155" t="s">
        <v>53</v>
      </c>
      <c r="AD1152" s="155" t="s">
        <v>20</v>
      </c>
      <c r="AE1152" s="155" t="s">
        <v>72</v>
      </c>
      <c r="AF1152" s="155" t="s">
        <v>51</v>
      </c>
      <c r="AG1152" s="155" t="s">
        <v>333</v>
      </c>
      <c r="AH1152" s="155">
        <v>4.0943750000000003</v>
      </c>
      <c r="AJ1152" s="78" t="s">
        <v>74</v>
      </c>
      <c r="AK1152" s="78" t="s">
        <v>88</v>
      </c>
      <c r="AL1152" s="78" t="s">
        <v>25</v>
      </c>
      <c r="AM1152" s="78" t="s">
        <v>51</v>
      </c>
      <c r="AN1152" s="78" t="s">
        <v>332</v>
      </c>
      <c r="AO1152" s="78">
        <v>2.78837847860318</v>
      </c>
    </row>
    <row r="1153" spans="29:41">
      <c r="AC1153" s="155" t="s">
        <v>53</v>
      </c>
      <c r="AD1153" s="155" t="s">
        <v>20</v>
      </c>
      <c r="AE1153" s="155" t="s">
        <v>72</v>
      </c>
      <c r="AF1153" s="155" t="s">
        <v>51</v>
      </c>
      <c r="AG1153" s="155" t="s">
        <v>334</v>
      </c>
      <c r="AH1153" s="155">
        <v>4.126125</v>
      </c>
      <c r="AJ1153" s="78" t="s">
        <v>74</v>
      </c>
      <c r="AK1153" s="78" t="s">
        <v>88</v>
      </c>
      <c r="AL1153" s="78" t="s">
        <v>25</v>
      </c>
      <c r="AM1153" s="78" t="s">
        <v>51</v>
      </c>
      <c r="AN1153" s="78" t="s">
        <v>333</v>
      </c>
      <c r="AO1153" s="78">
        <v>2.7399955828051801</v>
      </c>
    </row>
    <row r="1154" spans="29:41">
      <c r="AC1154" s="155" t="s">
        <v>53</v>
      </c>
      <c r="AD1154" s="155" t="s">
        <v>20</v>
      </c>
      <c r="AE1154" s="155" t="s">
        <v>72</v>
      </c>
      <c r="AF1154" s="155" t="s">
        <v>51</v>
      </c>
      <c r="AG1154" s="155" t="s">
        <v>335</v>
      </c>
      <c r="AH1154" s="155">
        <v>4.1901250000000001</v>
      </c>
      <c r="AJ1154" s="78" t="s">
        <v>74</v>
      </c>
      <c r="AK1154" s="78" t="s">
        <v>88</v>
      </c>
      <c r="AL1154" s="78" t="s">
        <v>25</v>
      </c>
      <c r="AM1154" s="78" t="s">
        <v>51</v>
      </c>
      <c r="AN1154" s="78" t="s">
        <v>334</v>
      </c>
      <c r="AO1154" s="78">
        <v>2.7634717888750999</v>
      </c>
    </row>
    <row r="1155" spans="29:41">
      <c r="AC1155" s="155" t="s">
        <v>53</v>
      </c>
      <c r="AD1155" s="155" t="s">
        <v>20</v>
      </c>
      <c r="AE1155" s="155" t="s">
        <v>72</v>
      </c>
      <c r="AF1155" s="155" t="s">
        <v>51</v>
      </c>
      <c r="AG1155" s="155" t="s">
        <v>336</v>
      </c>
      <c r="AH1155" s="155">
        <v>4.1583750000000004</v>
      </c>
      <c r="AJ1155" s="78" t="s">
        <v>74</v>
      </c>
      <c r="AK1155" s="78" t="s">
        <v>88</v>
      </c>
      <c r="AL1155" s="78" t="s">
        <v>25</v>
      </c>
      <c r="AM1155" s="78" t="s">
        <v>51</v>
      </c>
      <c r="AN1155" s="78" t="s">
        <v>335</v>
      </c>
      <c r="AO1155" s="78">
        <v>2.7884908118762199</v>
      </c>
    </row>
    <row r="1156" spans="29:41">
      <c r="AC1156" s="155" t="s">
        <v>53</v>
      </c>
      <c r="AD1156" s="155" t="s">
        <v>20</v>
      </c>
      <c r="AE1156" s="155" t="s">
        <v>72</v>
      </c>
      <c r="AF1156" s="155" t="s">
        <v>51</v>
      </c>
      <c r="AG1156" s="155" t="s">
        <v>316</v>
      </c>
      <c r="AH1156" s="155">
        <v>4.126125</v>
      </c>
      <c r="AJ1156" s="78" t="s">
        <v>74</v>
      </c>
      <c r="AK1156" s="78" t="s">
        <v>88</v>
      </c>
      <c r="AL1156" s="78" t="s">
        <v>25</v>
      </c>
      <c r="AM1156" s="78" t="s">
        <v>51</v>
      </c>
      <c r="AN1156" s="78" t="s">
        <v>336</v>
      </c>
      <c r="AO1156" s="78">
        <v>2.7702129413051901</v>
      </c>
    </row>
    <row r="1157" spans="29:41">
      <c r="AC1157" s="155" t="s">
        <v>53</v>
      </c>
      <c r="AD1157" s="155" t="s">
        <v>20</v>
      </c>
      <c r="AE1157" s="155" t="s">
        <v>72</v>
      </c>
      <c r="AF1157" s="155" t="s">
        <v>51</v>
      </c>
      <c r="AG1157" s="155" t="s">
        <v>337</v>
      </c>
      <c r="AH1157" s="155">
        <v>4.1583750000000004</v>
      </c>
      <c r="AJ1157" s="78" t="s">
        <v>74</v>
      </c>
      <c r="AK1157" s="78" t="s">
        <v>88</v>
      </c>
      <c r="AL1157" s="78" t="s">
        <v>25</v>
      </c>
      <c r="AM1157" s="78" t="s">
        <v>51</v>
      </c>
      <c r="AN1157" s="78" t="s">
        <v>316</v>
      </c>
      <c r="AO1157" s="78">
        <v>2.7316832790579499</v>
      </c>
    </row>
    <row r="1158" spans="29:41">
      <c r="AC1158" s="155" t="s">
        <v>53</v>
      </c>
      <c r="AD1158" s="155" t="s">
        <v>20</v>
      </c>
      <c r="AE1158" s="155" t="s">
        <v>72</v>
      </c>
      <c r="AF1158" s="155" t="s">
        <v>51</v>
      </c>
      <c r="AG1158" s="155" t="s">
        <v>338</v>
      </c>
      <c r="AH1158" s="155">
        <v>4.126125</v>
      </c>
      <c r="AJ1158" s="78" t="s">
        <v>74</v>
      </c>
      <c r="AK1158" s="78" t="s">
        <v>88</v>
      </c>
      <c r="AL1158" s="78" t="s">
        <v>25</v>
      </c>
      <c r="AM1158" s="78" t="s">
        <v>51</v>
      </c>
      <c r="AN1158" s="78" t="s">
        <v>337</v>
      </c>
      <c r="AO1158" s="78">
        <v>2.73574020589367</v>
      </c>
    </row>
    <row r="1159" spans="29:41">
      <c r="AC1159" s="155" t="s">
        <v>53</v>
      </c>
      <c r="AD1159" s="155" t="s">
        <v>20</v>
      </c>
      <c r="AE1159" s="155" t="s">
        <v>72</v>
      </c>
      <c r="AF1159" s="155" t="s">
        <v>51</v>
      </c>
      <c r="AG1159" s="155" t="s">
        <v>339</v>
      </c>
      <c r="AH1159" s="155">
        <v>4.0625</v>
      </c>
      <c r="AJ1159" s="78" t="s">
        <v>74</v>
      </c>
      <c r="AK1159" s="78" t="s">
        <v>88</v>
      </c>
      <c r="AL1159" s="78" t="s">
        <v>25</v>
      </c>
      <c r="AM1159" s="78" t="s">
        <v>51</v>
      </c>
      <c r="AN1159" s="78" t="s">
        <v>338</v>
      </c>
      <c r="AO1159" s="78">
        <v>2.70685241961761</v>
      </c>
    </row>
    <row r="1160" spans="29:41">
      <c r="AC1160" s="155" t="s">
        <v>53</v>
      </c>
      <c r="AD1160" s="155" t="s">
        <v>20</v>
      </c>
      <c r="AE1160" s="155" t="s">
        <v>72</v>
      </c>
      <c r="AF1160" s="155" t="s">
        <v>51</v>
      </c>
      <c r="AG1160" s="155" t="s">
        <v>315</v>
      </c>
      <c r="AH1160" s="155">
        <v>4.0943750000000003</v>
      </c>
      <c r="AJ1160" s="78" t="s">
        <v>74</v>
      </c>
      <c r="AK1160" s="78" t="s">
        <v>88</v>
      </c>
      <c r="AL1160" s="78" t="s">
        <v>25</v>
      </c>
      <c r="AM1160" s="78" t="s">
        <v>51</v>
      </c>
      <c r="AN1160" s="78" t="s">
        <v>339</v>
      </c>
      <c r="AO1160" s="78">
        <v>2.6475345232254401</v>
      </c>
    </row>
    <row r="1161" spans="29:41">
      <c r="AC1161" s="155" t="s">
        <v>53</v>
      </c>
      <c r="AD1161" s="155" t="s">
        <v>20</v>
      </c>
      <c r="AE1161" s="155" t="s">
        <v>72</v>
      </c>
      <c r="AF1161" s="155" t="s">
        <v>51</v>
      </c>
      <c r="AG1161" s="155" t="s">
        <v>318</v>
      </c>
      <c r="AH1161" s="155">
        <v>4.0943750000000003</v>
      </c>
      <c r="AJ1161" s="78" t="s">
        <v>74</v>
      </c>
      <c r="AK1161" s="78" t="s">
        <v>88</v>
      </c>
      <c r="AL1161" s="78" t="s">
        <v>25</v>
      </c>
      <c r="AM1161" s="78" t="s">
        <v>51</v>
      </c>
      <c r="AN1161" s="78" t="s">
        <v>315</v>
      </c>
      <c r="AO1161" s="78">
        <v>2.7082747576934199</v>
      </c>
    </row>
    <row r="1162" spans="29:41">
      <c r="AC1162" s="155" t="s">
        <v>54</v>
      </c>
      <c r="AD1162" s="155" t="s">
        <v>20</v>
      </c>
      <c r="AE1162" s="155" t="s">
        <v>72</v>
      </c>
      <c r="AF1162" s="155" t="s">
        <v>51</v>
      </c>
      <c r="AG1162" s="155" t="s">
        <v>130</v>
      </c>
      <c r="AH1162" s="155">
        <v>4.123888942161555</v>
      </c>
      <c r="AJ1162" s="78" t="s">
        <v>74</v>
      </c>
      <c r="AK1162" s="78" t="s">
        <v>88</v>
      </c>
      <c r="AL1162" s="78" t="s">
        <v>25</v>
      </c>
      <c r="AM1162" s="78" t="s">
        <v>51</v>
      </c>
      <c r="AN1162" s="78" t="s">
        <v>318</v>
      </c>
      <c r="AO1162" s="78">
        <v>2.6172888132357301</v>
      </c>
    </row>
    <row r="1163" spans="29:41">
      <c r="AC1163" s="155" t="s">
        <v>54</v>
      </c>
      <c r="AD1163" s="155" t="s">
        <v>20</v>
      </c>
      <c r="AE1163" s="155" t="s">
        <v>72</v>
      </c>
      <c r="AF1163" s="155" t="s">
        <v>51</v>
      </c>
      <c r="AG1163" s="155" t="s">
        <v>131</v>
      </c>
      <c r="AH1163" s="155">
        <v>4.123888942161555</v>
      </c>
      <c r="AJ1163" s="78"/>
      <c r="AK1163" s="78"/>
      <c r="AL1163" s="78"/>
      <c r="AM1163" s="78"/>
      <c r="AN1163" s="78"/>
      <c r="AO1163" s="78"/>
    </row>
    <row r="1164" spans="29:41">
      <c r="AC1164" s="155" t="s">
        <v>54</v>
      </c>
      <c r="AD1164" s="155" t="s">
        <v>20</v>
      </c>
      <c r="AE1164" s="155" t="s">
        <v>72</v>
      </c>
      <c r="AF1164" s="155" t="s">
        <v>51</v>
      </c>
      <c r="AG1164" s="155" t="s">
        <v>132</v>
      </c>
      <c r="AH1164" s="155">
        <v>4.123888942161555</v>
      </c>
      <c r="AJ1164" s="78"/>
      <c r="AK1164" s="78"/>
      <c r="AL1164" s="78"/>
      <c r="AM1164" s="78"/>
      <c r="AN1164" s="78"/>
      <c r="AO1164" s="78"/>
    </row>
    <row r="1165" spans="29:41">
      <c r="AC1165" s="155" t="s">
        <v>54</v>
      </c>
      <c r="AD1165" s="155" t="s">
        <v>20</v>
      </c>
      <c r="AE1165" s="155" t="s">
        <v>72</v>
      </c>
      <c r="AF1165" s="155" t="s">
        <v>51</v>
      </c>
      <c r="AG1165" s="155" t="s">
        <v>133</v>
      </c>
      <c r="AH1165" s="155">
        <v>4.145604497342033</v>
      </c>
      <c r="AJ1165" s="78"/>
      <c r="AK1165" s="78"/>
      <c r="AL1165" s="78"/>
      <c r="AM1165" s="78"/>
      <c r="AN1165" s="78"/>
      <c r="AO1165" s="78"/>
    </row>
    <row r="1166" spans="29:41">
      <c r="AC1166" s="155" t="s">
        <v>54</v>
      </c>
      <c r="AD1166" s="155" t="s">
        <v>20</v>
      </c>
      <c r="AE1166" s="155" t="s">
        <v>72</v>
      </c>
      <c r="AF1166" s="155" t="s">
        <v>51</v>
      </c>
      <c r="AG1166" s="155" t="s">
        <v>134</v>
      </c>
      <c r="AH1166" s="155">
        <v>4.0563500000000001</v>
      </c>
      <c r="AJ1166" s="78"/>
      <c r="AK1166" s="78"/>
      <c r="AL1166" s="78"/>
      <c r="AM1166" s="78"/>
      <c r="AN1166" s="78"/>
      <c r="AO1166" s="78"/>
    </row>
    <row r="1167" spans="29:41">
      <c r="AC1167" s="155" t="s">
        <v>54</v>
      </c>
      <c r="AD1167" s="155" t="s">
        <v>20</v>
      </c>
      <c r="AE1167" s="155" t="s">
        <v>72</v>
      </c>
      <c r="AF1167" s="155" t="s">
        <v>51</v>
      </c>
      <c r="AG1167" s="155" t="s">
        <v>135</v>
      </c>
      <c r="AH1167" s="155">
        <v>4.0251000000000001</v>
      </c>
      <c r="AJ1167" s="78"/>
      <c r="AK1167" s="78"/>
      <c r="AL1167" s="78"/>
      <c r="AM1167" s="78"/>
      <c r="AN1167" s="78"/>
      <c r="AO1167" s="78"/>
    </row>
    <row r="1168" spans="29:41">
      <c r="AC1168" s="155" t="s">
        <v>54</v>
      </c>
      <c r="AD1168" s="155" t="s">
        <v>20</v>
      </c>
      <c r="AE1168" s="155" t="s">
        <v>72</v>
      </c>
      <c r="AF1168" s="155" t="s">
        <v>51</v>
      </c>
      <c r="AG1168" s="155" t="s">
        <v>136</v>
      </c>
      <c r="AH1168" s="155">
        <v>4.123888942161555</v>
      </c>
      <c r="AJ1168" s="78"/>
      <c r="AK1168" s="78"/>
      <c r="AL1168" s="78"/>
      <c r="AM1168" s="78"/>
      <c r="AN1168" s="78"/>
      <c r="AO1168" s="78"/>
    </row>
    <row r="1169" spans="29:41">
      <c r="AC1169" s="155" t="s">
        <v>54</v>
      </c>
      <c r="AD1169" s="155" t="s">
        <v>20</v>
      </c>
      <c r="AE1169" s="155" t="s">
        <v>72</v>
      </c>
      <c r="AF1169" s="155" t="s">
        <v>51</v>
      </c>
      <c r="AG1169" s="155" t="s">
        <v>137</v>
      </c>
      <c r="AH1169" s="155">
        <v>4.0195510152855149</v>
      </c>
      <c r="AJ1169" s="78"/>
      <c r="AK1169" s="78"/>
      <c r="AL1169" s="78"/>
      <c r="AM1169" s="78"/>
      <c r="AN1169" s="78"/>
      <c r="AO1169" s="78"/>
    </row>
    <row r="1170" spans="29:41">
      <c r="AC1170" s="155" t="s">
        <v>54</v>
      </c>
      <c r="AD1170" s="155" t="s">
        <v>20</v>
      </c>
      <c r="AE1170" s="155" t="s">
        <v>72</v>
      </c>
      <c r="AF1170" s="155" t="s">
        <v>51</v>
      </c>
      <c r="AG1170" s="155" t="s">
        <v>138</v>
      </c>
      <c r="AH1170" s="155">
        <v>4.123888942161555</v>
      </c>
      <c r="AJ1170" s="78"/>
      <c r="AK1170" s="78"/>
      <c r="AL1170" s="78"/>
      <c r="AM1170" s="78"/>
      <c r="AN1170" s="78"/>
      <c r="AO1170" s="78"/>
    </row>
    <row r="1171" spans="29:41">
      <c r="AC1171" s="155" t="s">
        <v>54</v>
      </c>
      <c r="AD1171" s="155" t="s">
        <v>20</v>
      </c>
      <c r="AE1171" s="155" t="s">
        <v>72</v>
      </c>
      <c r="AF1171" s="155" t="s">
        <v>51</v>
      </c>
      <c r="AG1171" s="155" t="s">
        <v>139</v>
      </c>
      <c r="AH1171" s="155">
        <v>3.9301000000000004</v>
      </c>
      <c r="AJ1171" s="78"/>
      <c r="AK1171" s="78"/>
      <c r="AL1171" s="78"/>
      <c r="AM1171" s="78"/>
      <c r="AN1171" s="78"/>
      <c r="AO1171" s="78"/>
    </row>
    <row r="1172" spans="29:41">
      <c r="AC1172" s="155" t="s">
        <v>54</v>
      </c>
      <c r="AD1172" s="155" t="s">
        <v>20</v>
      </c>
      <c r="AE1172" s="155" t="s">
        <v>72</v>
      </c>
      <c r="AF1172" s="155" t="s">
        <v>51</v>
      </c>
      <c r="AG1172" s="155" t="s">
        <v>140</v>
      </c>
      <c r="AH1172" s="155">
        <v>3.8988500000000004</v>
      </c>
      <c r="AJ1172" s="78"/>
      <c r="AK1172" s="78"/>
      <c r="AL1172" s="78"/>
      <c r="AM1172" s="78"/>
      <c r="AN1172" s="78"/>
      <c r="AO1172" s="78"/>
    </row>
    <row r="1173" spans="29:41">
      <c r="AC1173" s="155" t="s">
        <v>54</v>
      </c>
      <c r="AD1173" s="155" t="s">
        <v>20</v>
      </c>
      <c r="AE1173" s="155" t="s">
        <v>72</v>
      </c>
      <c r="AF1173" s="155" t="s">
        <v>51</v>
      </c>
      <c r="AG1173" s="155" t="s">
        <v>141</v>
      </c>
      <c r="AH1173" s="155">
        <v>3.9367503938171491</v>
      </c>
      <c r="AJ1173" s="78"/>
      <c r="AK1173" s="78"/>
      <c r="AL1173" s="78"/>
      <c r="AM1173" s="78"/>
      <c r="AN1173" s="78"/>
      <c r="AO1173" s="78"/>
    </row>
    <row r="1174" spans="29:41">
      <c r="AC1174" s="155" t="s">
        <v>54</v>
      </c>
      <c r="AD1174" s="155" t="s">
        <v>20</v>
      </c>
      <c r="AE1174" s="155" t="s">
        <v>72</v>
      </c>
      <c r="AF1174" s="155" t="s">
        <v>51</v>
      </c>
      <c r="AG1174" s="155" t="s">
        <v>142</v>
      </c>
      <c r="AH1174" s="155">
        <v>3.872298391426404</v>
      </c>
      <c r="AJ1174" s="77"/>
      <c r="AK1174" s="77"/>
      <c r="AL1174" s="77"/>
      <c r="AM1174" s="77"/>
      <c r="AN1174" s="77"/>
      <c r="AO1174" s="77"/>
    </row>
    <row r="1175" spans="29:41">
      <c r="AC1175" s="155" t="s">
        <v>54</v>
      </c>
      <c r="AD1175" s="155" t="s">
        <v>20</v>
      </c>
      <c r="AE1175" s="155" t="s">
        <v>72</v>
      </c>
      <c r="AF1175" s="155" t="s">
        <v>51</v>
      </c>
      <c r="AG1175" s="155" t="s">
        <v>143</v>
      </c>
      <c r="AH1175" s="155">
        <v>3.9367503938171491</v>
      </c>
      <c r="AJ1175" s="77"/>
      <c r="AK1175" s="77"/>
      <c r="AL1175" s="77"/>
      <c r="AM1175" s="77"/>
      <c r="AN1175" s="77"/>
      <c r="AO1175" s="77"/>
    </row>
    <row r="1176" spans="29:41">
      <c r="AC1176" s="155" t="s">
        <v>54</v>
      </c>
      <c r="AD1176" s="155" t="s">
        <v>20</v>
      </c>
      <c r="AE1176" s="155" t="s">
        <v>72</v>
      </c>
      <c r="AF1176" s="155" t="s">
        <v>51</v>
      </c>
      <c r="AG1176" s="155" t="s">
        <v>144</v>
      </c>
      <c r="AH1176" s="155">
        <v>3.872298391426404</v>
      </c>
      <c r="AJ1176" s="77"/>
      <c r="AK1176" s="77"/>
      <c r="AL1176" s="77"/>
      <c r="AM1176" s="77"/>
      <c r="AN1176" s="77"/>
      <c r="AO1176" s="77"/>
    </row>
    <row r="1177" spans="29:41">
      <c r="AC1177" s="155" t="s">
        <v>54</v>
      </c>
      <c r="AD1177" s="155" t="s">
        <v>20</v>
      </c>
      <c r="AE1177" s="155" t="s">
        <v>72</v>
      </c>
      <c r="AF1177" s="155" t="s">
        <v>51</v>
      </c>
      <c r="AG1177" s="155" t="s">
        <v>145</v>
      </c>
      <c r="AH1177" s="155">
        <v>3.8107367176633482</v>
      </c>
      <c r="AJ1177" s="77"/>
      <c r="AK1177" s="77"/>
      <c r="AL1177" s="77"/>
      <c r="AM1177" s="77"/>
      <c r="AN1177" s="77"/>
      <c r="AO1177" s="77"/>
    </row>
    <row r="1178" spans="29:41">
      <c r="AC1178" s="155" t="s">
        <v>54</v>
      </c>
      <c r="AD1178" s="155" t="s">
        <v>20</v>
      </c>
      <c r="AE1178" s="155" t="s">
        <v>72</v>
      </c>
      <c r="AF1178" s="155" t="s">
        <v>51</v>
      </c>
      <c r="AG1178" s="155" t="s">
        <v>146</v>
      </c>
      <c r="AH1178" s="155">
        <v>3.872298391426404</v>
      </c>
      <c r="AJ1178" s="77"/>
      <c r="AK1178" s="77"/>
      <c r="AL1178" s="77"/>
      <c r="AM1178" s="77"/>
      <c r="AN1178" s="77"/>
      <c r="AO1178" s="77"/>
    </row>
    <row r="1179" spans="29:41">
      <c r="AC1179" s="155" t="s">
        <v>54</v>
      </c>
      <c r="AD1179" s="155" t="s">
        <v>20</v>
      </c>
      <c r="AE1179" s="155" t="s">
        <v>72</v>
      </c>
      <c r="AF1179" s="155" t="s">
        <v>51</v>
      </c>
      <c r="AG1179" s="155" t="s">
        <v>147</v>
      </c>
      <c r="AH1179" s="155">
        <v>3.9367503938171491</v>
      </c>
      <c r="AJ1179" s="77"/>
      <c r="AK1179" s="77"/>
      <c r="AL1179" s="77"/>
      <c r="AM1179" s="77"/>
      <c r="AN1179" s="77"/>
      <c r="AO1179" s="77"/>
    </row>
    <row r="1180" spans="29:41">
      <c r="AC1180" s="155" t="s">
        <v>54</v>
      </c>
      <c r="AD1180" s="155" t="s">
        <v>20</v>
      </c>
      <c r="AE1180" s="155" t="s">
        <v>72</v>
      </c>
      <c r="AF1180" s="155" t="s">
        <v>51</v>
      </c>
      <c r="AG1180" s="155" t="s">
        <v>148</v>
      </c>
      <c r="AH1180" s="155">
        <v>3.9980925223663326</v>
      </c>
      <c r="AJ1180" s="77"/>
      <c r="AK1180" s="77"/>
      <c r="AL1180" s="77"/>
      <c r="AM1180" s="77"/>
      <c r="AN1180" s="77"/>
      <c r="AO1180" s="77"/>
    </row>
    <row r="1181" spans="29:41">
      <c r="AC1181" s="155" t="s">
        <v>54</v>
      </c>
      <c r="AD1181" s="155" t="s">
        <v>20</v>
      </c>
      <c r="AE1181" s="155" t="s">
        <v>72</v>
      </c>
      <c r="AF1181" s="155" t="s">
        <v>51</v>
      </c>
      <c r="AG1181" s="155" t="s">
        <v>149</v>
      </c>
      <c r="AH1181" s="155">
        <v>3.9367503938171491</v>
      </c>
      <c r="AJ1181" s="77"/>
      <c r="AK1181" s="77"/>
      <c r="AL1181" s="77"/>
      <c r="AM1181" s="77"/>
      <c r="AN1181" s="77"/>
      <c r="AO1181" s="77"/>
    </row>
    <row r="1182" spans="29:41">
      <c r="AC1182" s="155" t="s">
        <v>54</v>
      </c>
      <c r="AD1182" s="155" t="s">
        <v>20</v>
      </c>
      <c r="AE1182" s="155" t="s">
        <v>72</v>
      </c>
      <c r="AF1182" s="155" t="s">
        <v>51</v>
      </c>
      <c r="AG1182" s="155" t="s">
        <v>150</v>
      </c>
      <c r="AH1182" s="155">
        <v>3.872298391426404</v>
      </c>
      <c r="AJ1182" s="77"/>
      <c r="AK1182" s="77"/>
      <c r="AL1182" s="77"/>
      <c r="AM1182" s="77"/>
      <c r="AN1182" s="77"/>
      <c r="AO1182" s="77"/>
    </row>
    <row r="1183" spans="29:41">
      <c r="AC1183" s="155" t="s">
        <v>54</v>
      </c>
      <c r="AD1183" s="155" t="s">
        <v>20</v>
      </c>
      <c r="AE1183" s="155" t="s">
        <v>72</v>
      </c>
      <c r="AF1183" s="155" t="s">
        <v>51</v>
      </c>
      <c r="AG1183" s="155" t="s">
        <v>151</v>
      </c>
      <c r="AH1183" s="155">
        <v>3.7673467858228435</v>
      </c>
      <c r="AJ1183" s="77"/>
      <c r="AK1183" s="77"/>
      <c r="AL1183" s="77"/>
      <c r="AM1183" s="77"/>
      <c r="AN1183" s="77"/>
      <c r="AO1183" s="77"/>
    </row>
    <row r="1184" spans="29:41">
      <c r="AC1184" s="155" t="s">
        <v>54</v>
      </c>
      <c r="AD1184" s="155" t="s">
        <v>20</v>
      </c>
      <c r="AE1184" s="155" t="s">
        <v>72</v>
      </c>
      <c r="AF1184" s="155" t="s">
        <v>51</v>
      </c>
      <c r="AG1184" s="155" t="s">
        <v>152</v>
      </c>
      <c r="AH1184" s="155">
        <v>3.7673467858228435</v>
      </c>
      <c r="AJ1184" s="77"/>
      <c r="AK1184" s="77"/>
      <c r="AL1184" s="77"/>
      <c r="AM1184" s="77"/>
      <c r="AN1184" s="77"/>
      <c r="AO1184" s="77"/>
    </row>
    <row r="1185" spans="29:41">
      <c r="AC1185" s="155" t="s">
        <v>54</v>
      </c>
      <c r="AD1185" s="155" t="s">
        <v>20</v>
      </c>
      <c r="AE1185" s="155" t="s">
        <v>72</v>
      </c>
      <c r="AF1185" s="155" t="s">
        <v>51</v>
      </c>
      <c r="AG1185" s="155" t="s">
        <v>153</v>
      </c>
      <c r="AH1185" s="155">
        <v>3.7178705124641254</v>
      </c>
      <c r="AJ1185" s="77"/>
      <c r="AK1185" s="77"/>
      <c r="AL1185" s="77"/>
      <c r="AM1185" s="77"/>
      <c r="AN1185" s="77"/>
      <c r="AO1185" s="77"/>
    </row>
    <row r="1186" spans="29:41">
      <c r="AC1186" s="155" t="s">
        <v>54</v>
      </c>
      <c r="AD1186" s="155" t="s">
        <v>20</v>
      </c>
      <c r="AE1186" s="155" t="s">
        <v>72</v>
      </c>
      <c r="AF1186" s="155" t="s">
        <v>51</v>
      </c>
      <c r="AG1186" s="155" t="s">
        <v>154</v>
      </c>
      <c r="AH1186" s="155">
        <v>3.8662066882918835</v>
      </c>
      <c r="AJ1186" s="77"/>
      <c r="AK1186" s="77"/>
      <c r="AL1186" s="77"/>
      <c r="AM1186" s="77"/>
      <c r="AN1186" s="77"/>
      <c r="AO1186" s="77"/>
    </row>
    <row r="1187" spans="29:41">
      <c r="AC1187" s="155" t="s">
        <v>54</v>
      </c>
      <c r="AD1187" s="155" t="s">
        <v>20</v>
      </c>
      <c r="AE1187" s="155" t="s">
        <v>72</v>
      </c>
      <c r="AF1187" s="155" t="s">
        <v>51</v>
      </c>
      <c r="AG1187" s="155" t="s">
        <v>155</v>
      </c>
      <c r="AH1187" s="155">
        <v>3.8662066882918835</v>
      </c>
      <c r="AJ1187" s="77"/>
      <c r="AK1187" s="77"/>
      <c r="AL1187" s="77"/>
      <c r="AM1187" s="77"/>
      <c r="AN1187" s="77"/>
      <c r="AO1187" s="77"/>
    </row>
    <row r="1188" spans="29:41">
      <c r="AC1188" s="155" t="s">
        <v>54</v>
      </c>
      <c r="AD1188" s="155" t="s">
        <v>20</v>
      </c>
      <c r="AE1188" s="155" t="s">
        <v>72</v>
      </c>
      <c r="AF1188" s="155" t="s">
        <v>51</v>
      </c>
      <c r="AG1188" s="155" t="s">
        <v>156</v>
      </c>
      <c r="AH1188" s="155">
        <v>3.804430007719005</v>
      </c>
      <c r="AJ1188" s="77"/>
      <c r="AK1188" s="77"/>
      <c r="AL1188" s="77"/>
      <c r="AM1188" s="77"/>
      <c r="AN1188" s="77"/>
      <c r="AO1188" s="77"/>
    </row>
    <row r="1189" spans="29:41">
      <c r="AC1189" s="155" t="s">
        <v>54</v>
      </c>
      <c r="AD1189" s="155" t="s">
        <v>20</v>
      </c>
      <c r="AE1189" s="155" t="s">
        <v>72</v>
      </c>
      <c r="AF1189" s="155" t="s">
        <v>51</v>
      </c>
      <c r="AG1189" s="155" t="s">
        <v>157</v>
      </c>
      <c r="AH1189" s="155">
        <v>3.7609539039308504</v>
      </c>
      <c r="AJ1189" s="77"/>
      <c r="AK1189" s="77"/>
      <c r="AL1189" s="77"/>
      <c r="AM1189" s="77"/>
      <c r="AN1189" s="77"/>
      <c r="AO1189" s="77"/>
    </row>
    <row r="1190" spans="29:41">
      <c r="AC1190" s="155" t="s">
        <v>54</v>
      </c>
      <c r="AD1190" s="155" t="s">
        <v>20</v>
      </c>
      <c r="AE1190" s="155" t="s">
        <v>72</v>
      </c>
      <c r="AF1190" s="155" t="s">
        <v>51</v>
      </c>
      <c r="AG1190" s="155" t="s">
        <v>158</v>
      </c>
      <c r="AH1190" s="155">
        <v>3.8662066882918835</v>
      </c>
      <c r="AJ1190" s="77"/>
      <c r="AK1190" s="77"/>
      <c r="AL1190" s="77"/>
      <c r="AM1190" s="77"/>
      <c r="AN1190" s="77"/>
      <c r="AO1190" s="77"/>
    </row>
    <row r="1191" spans="29:41">
      <c r="AC1191" s="155" t="s">
        <v>54</v>
      </c>
      <c r="AD1191" s="155" t="s">
        <v>20</v>
      </c>
      <c r="AE1191" s="155" t="s">
        <v>72</v>
      </c>
      <c r="AF1191" s="155" t="s">
        <v>51</v>
      </c>
      <c r="AG1191" s="155" t="s">
        <v>159</v>
      </c>
      <c r="AH1191" s="155">
        <v>3.8662066882918835</v>
      </c>
      <c r="AJ1191" s="77"/>
      <c r="AK1191" s="77"/>
      <c r="AL1191" s="77"/>
      <c r="AM1191" s="77"/>
      <c r="AN1191" s="77"/>
      <c r="AO1191" s="77"/>
    </row>
    <row r="1192" spans="29:41">
      <c r="AC1192" s="155" t="s">
        <v>54</v>
      </c>
      <c r="AD1192" s="155" t="s">
        <v>20</v>
      </c>
      <c r="AE1192" s="155" t="s">
        <v>72</v>
      </c>
      <c r="AF1192" s="155" t="s">
        <v>51</v>
      </c>
      <c r="AG1192" s="155" t="s">
        <v>160</v>
      </c>
      <c r="AH1192" s="155">
        <v>3.7113481910264978</v>
      </c>
      <c r="AJ1192" s="77"/>
      <c r="AK1192" s="77"/>
      <c r="AL1192" s="77"/>
      <c r="AM1192" s="77"/>
      <c r="AN1192" s="77"/>
      <c r="AO1192" s="77"/>
    </row>
    <row r="1193" spans="29:41">
      <c r="AC1193" s="155" t="s">
        <v>54</v>
      </c>
      <c r="AD1193" s="155" t="s">
        <v>20</v>
      </c>
      <c r="AE1193" s="155" t="s">
        <v>72</v>
      </c>
      <c r="AF1193" s="155" t="s">
        <v>51</v>
      </c>
      <c r="AG1193" s="155" t="s">
        <v>161</v>
      </c>
      <c r="AH1193" s="155">
        <v>3.804430007719005</v>
      </c>
      <c r="AJ1193" s="77"/>
      <c r="AK1193" s="77"/>
      <c r="AL1193" s="77"/>
      <c r="AM1193" s="77"/>
      <c r="AN1193" s="77"/>
      <c r="AO1193" s="77"/>
    </row>
    <row r="1194" spans="29:41">
      <c r="AC1194" s="155" t="s">
        <v>54</v>
      </c>
      <c r="AD1194" s="155" t="s">
        <v>20</v>
      </c>
      <c r="AE1194" s="155" t="s">
        <v>72</v>
      </c>
      <c r="AF1194" s="155" t="s">
        <v>51</v>
      </c>
      <c r="AG1194" s="155" t="s">
        <v>162</v>
      </c>
      <c r="AH1194" s="155">
        <v>3.804430007719005</v>
      </c>
      <c r="AJ1194" s="77"/>
      <c r="AK1194" s="77"/>
      <c r="AL1194" s="77"/>
      <c r="AM1194" s="77"/>
      <c r="AN1194" s="77"/>
      <c r="AO1194" s="77"/>
    </row>
    <row r="1195" spans="29:41">
      <c r="AC1195" s="155" t="s">
        <v>54</v>
      </c>
      <c r="AD1195" s="155" t="s">
        <v>20</v>
      </c>
      <c r="AE1195" s="155" t="s">
        <v>72</v>
      </c>
      <c r="AF1195" s="155" t="s">
        <v>51</v>
      </c>
      <c r="AG1195" s="155" t="s">
        <v>163</v>
      </c>
      <c r="AH1195" s="155">
        <v>3.8662066882918835</v>
      </c>
      <c r="AJ1195" s="77"/>
      <c r="AK1195" s="77"/>
      <c r="AL1195" s="77"/>
      <c r="AM1195" s="77"/>
      <c r="AN1195" s="77"/>
      <c r="AO1195" s="77"/>
    </row>
    <row r="1196" spans="29:41">
      <c r="AC1196" s="155" t="s">
        <v>54</v>
      </c>
      <c r="AD1196" s="155" t="s">
        <v>20</v>
      </c>
      <c r="AE1196" s="155" t="s">
        <v>72</v>
      </c>
      <c r="AF1196" s="155" t="s">
        <v>51</v>
      </c>
      <c r="AG1196" s="155" t="s">
        <v>164</v>
      </c>
      <c r="AH1196" s="155">
        <v>3.804430007719005</v>
      </c>
      <c r="AJ1196" s="77"/>
      <c r="AK1196" s="77"/>
      <c r="AL1196" s="77"/>
      <c r="AM1196" s="77"/>
      <c r="AN1196" s="77"/>
      <c r="AO1196" s="77"/>
    </row>
    <row r="1197" spans="29:41">
      <c r="AC1197" s="155" t="s">
        <v>54</v>
      </c>
      <c r="AD1197" s="155" t="s">
        <v>20</v>
      </c>
      <c r="AE1197" s="155" t="s">
        <v>72</v>
      </c>
      <c r="AF1197" s="155" t="s">
        <v>51</v>
      </c>
      <c r="AG1197" s="155" t="s">
        <v>165</v>
      </c>
      <c r="AH1197" s="155">
        <v>3.8662066882918835</v>
      </c>
      <c r="AJ1197" s="77"/>
      <c r="AK1197" s="77"/>
      <c r="AL1197" s="77"/>
      <c r="AM1197" s="77"/>
      <c r="AN1197" s="77"/>
      <c r="AO1197" s="77"/>
    </row>
    <row r="1198" spans="29:41">
      <c r="AC1198" s="155" t="s">
        <v>54</v>
      </c>
      <c r="AD1198" s="155" t="s">
        <v>20</v>
      </c>
      <c r="AE1198" s="155" t="s">
        <v>72</v>
      </c>
      <c r="AF1198" s="155" t="s">
        <v>51</v>
      </c>
      <c r="AG1198" s="155" t="s">
        <v>166</v>
      </c>
      <c r="AH1198" s="155">
        <v>3.8375095901912939</v>
      </c>
      <c r="AJ1198" s="77"/>
      <c r="AK1198" s="77"/>
      <c r="AL1198" s="77"/>
      <c r="AM1198" s="77"/>
      <c r="AN1198" s="77"/>
      <c r="AO1198" s="77"/>
    </row>
    <row r="1199" spans="29:41">
      <c r="AC1199" s="155" t="s">
        <v>54</v>
      </c>
      <c r="AD1199" s="155" t="s">
        <v>20</v>
      </c>
      <c r="AE1199" s="155" t="s">
        <v>72</v>
      </c>
      <c r="AF1199" s="155" t="s">
        <v>51</v>
      </c>
      <c r="AG1199" s="155" t="s">
        <v>167</v>
      </c>
      <c r="AH1199" s="155">
        <v>3.8869825871584012</v>
      </c>
      <c r="AJ1199" s="77"/>
      <c r="AK1199" s="77"/>
      <c r="AL1199" s="77"/>
      <c r="AM1199" s="77"/>
      <c r="AN1199" s="77"/>
      <c r="AO1199" s="77"/>
    </row>
    <row r="1200" spans="29:41">
      <c r="AC1200" s="155" t="s">
        <v>54</v>
      </c>
      <c r="AD1200" s="155" t="s">
        <v>20</v>
      </c>
      <c r="AE1200" s="155" t="s">
        <v>72</v>
      </c>
      <c r="AF1200" s="155" t="s">
        <v>51</v>
      </c>
      <c r="AG1200" s="155" t="s">
        <v>168</v>
      </c>
      <c r="AH1200" s="155">
        <v>3.8375095901912939</v>
      </c>
      <c r="AJ1200" s="77"/>
      <c r="AK1200" s="77"/>
      <c r="AL1200" s="77"/>
      <c r="AM1200" s="77"/>
      <c r="AN1200" s="77"/>
      <c r="AO1200" s="77"/>
    </row>
    <row r="1201" spans="29:41">
      <c r="AC1201" s="155" t="s">
        <v>54</v>
      </c>
      <c r="AD1201" s="155" t="s">
        <v>20</v>
      </c>
      <c r="AE1201" s="155" t="s">
        <v>72</v>
      </c>
      <c r="AF1201" s="155" t="s">
        <v>51</v>
      </c>
      <c r="AG1201" s="155" t="s">
        <v>169</v>
      </c>
      <c r="AH1201" s="155">
        <v>3.8375095901912939</v>
      </c>
      <c r="AJ1201" s="77"/>
      <c r="AK1201" s="77"/>
      <c r="AL1201" s="77"/>
      <c r="AM1201" s="77"/>
      <c r="AN1201" s="77"/>
      <c r="AO1201" s="77"/>
    </row>
    <row r="1202" spans="29:41">
      <c r="AC1202" s="155" t="s">
        <v>54</v>
      </c>
      <c r="AD1202" s="155" t="s">
        <v>20</v>
      </c>
      <c r="AE1202" s="155" t="s">
        <v>72</v>
      </c>
      <c r="AF1202" s="155" t="s">
        <v>51</v>
      </c>
      <c r="AG1202" s="155" t="s">
        <v>170</v>
      </c>
      <c r="AH1202" s="155">
        <v>3.9303703370483709</v>
      </c>
      <c r="AJ1202" s="77"/>
      <c r="AK1202" s="77"/>
      <c r="AL1202" s="77"/>
      <c r="AM1202" s="77"/>
      <c r="AN1202" s="77"/>
      <c r="AO1202" s="77"/>
    </row>
    <row r="1203" spans="29:41">
      <c r="AC1203" s="155" t="s">
        <v>54</v>
      </c>
      <c r="AD1203" s="155" t="s">
        <v>20</v>
      </c>
      <c r="AE1203" s="155" t="s">
        <v>72</v>
      </c>
      <c r="AF1203" s="155" t="s">
        <v>51</v>
      </c>
      <c r="AG1203" s="155" t="s">
        <v>171</v>
      </c>
      <c r="AH1203" s="155">
        <v>4.117698774030444</v>
      </c>
      <c r="AJ1203" s="77"/>
      <c r="AK1203" s="77"/>
      <c r="AL1203" s="77"/>
      <c r="AM1203" s="77"/>
      <c r="AN1203" s="77"/>
      <c r="AO1203" s="77"/>
    </row>
    <row r="1204" spans="29:41">
      <c r="AC1204" s="155" t="s">
        <v>54</v>
      </c>
      <c r="AD1204" s="155" t="s">
        <v>20</v>
      </c>
      <c r="AE1204" s="155" t="s">
        <v>72</v>
      </c>
      <c r="AF1204" s="155" t="s">
        <v>51</v>
      </c>
      <c r="AG1204" s="155" t="s">
        <v>172</v>
      </c>
      <c r="AH1204" s="155">
        <v>4.0563620311709938</v>
      </c>
      <c r="AJ1204" s="77"/>
      <c r="AK1204" s="77"/>
      <c r="AL1204" s="77"/>
      <c r="AM1204" s="77"/>
      <c r="AN1204" s="77"/>
      <c r="AO1204" s="77"/>
    </row>
    <row r="1205" spans="29:41">
      <c r="AC1205" s="155" t="s">
        <v>54</v>
      </c>
      <c r="AD1205" s="155" t="s">
        <v>20</v>
      </c>
      <c r="AE1205" s="155" t="s">
        <v>72</v>
      </c>
      <c r="AF1205" s="155" t="s">
        <v>51</v>
      </c>
      <c r="AG1205" s="155" t="s">
        <v>173</v>
      </c>
      <c r="AH1205" s="155">
        <v>4.0563620311709938</v>
      </c>
      <c r="AJ1205" s="77"/>
      <c r="AK1205" s="77"/>
      <c r="AL1205" s="77"/>
      <c r="AM1205" s="77"/>
      <c r="AN1205" s="77"/>
      <c r="AO1205" s="77"/>
    </row>
    <row r="1206" spans="29:41">
      <c r="AC1206" s="155" t="s">
        <v>54</v>
      </c>
      <c r="AD1206" s="155" t="s">
        <v>20</v>
      </c>
      <c r="AE1206" s="155" t="s">
        <v>72</v>
      </c>
      <c r="AF1206" s="155" t="s">
        <v>51</v>
      </c>
      <c r="AG1206" s="155" t="s">
        <v>174</v>
      </c>
      <c r="AH1206" s="155">
        <v>4.117698774030444</v>
      </c>
      <c r="AJ1206" s="77"/>
      <c r="AK1206" s="77"/>
      <c r="AL1206" s="77"/>
      <c r="AM1206" s="77"/>
      <c r="AN1206" s="77"/>
      <c r="AO1206" s="77"/>
    </row>
    <row r="1207" spans="29:41">
      <c r="AC1207" s="155" t="s">
        <v>54</v>
      </c>
      <c r="AD1207" s="155" t="s">
        <v>20</v>
      </c>
      <c r="AE1207" s="155" t="s">
        <v>72</v>
      </c>
      <c r="AF1207" s="155" t="s">
        <v>51</v>
      </c>
      <c r="AG1207" s="155" t="s">
        <v>175</v>
      </c>
      <c r="AH1207" s="155">
        <v>4.0154500000000004</v>
      </c>
      <c r="AJ1207" s="77"/>
      <c r="AK1207" s="77"/>
      <c r="AL1207" s="77"/>
      <c r="AM1207" s="77"/>
      <c r="AN1207" s="77"/>
      <c r="AO1207" s="77"/>
    </row>
    <row r="1208" spans="29:41">
      <c r="AC1208" s="155" t="s">
        <v>54</v>
      </c>
      <c r="AD1208" s="155" t="s">
        <v>20</v>
      </c>
      <c r="AE1208" s="155" t="s">
        <v>72</v>
      </c>
      <c r="AF1208" s="155" t="s">
        <v>51</v>
      </c>
      <c r="AG1208" s="155" t="s">
        <v>176</v>
      </c>
      <c r="AH1208" s="155">
        <v>4.0899335699667727</v>
      </c>
      <c r="AJ1208" s="77"/>
      <c r="AK1208" s="77"/>
      <c r="AL1208" s="77"/>
      <c r="AM1208" s="77"/>
      <c r="AN1208" s="77"/>
      <c r="AO1208" s="77"/>
    </row>
    <row r="1209" spans="29:41">
      <c r="AC1209" s="155" t="s">
        <v>54</v>
      </c>
      <c r="AD1209" s="155" t="s">
        <v>20</v>
      </c>
      <c r="AE1209" s="155" t="s">
        <v>72</v>
      </c>
      <c r="AF1209" s="155" t="s">
        <v>51</v>
      </c>
      <c r="AG1209" s="155" t="s">
        <v>177</v>
      </c>
      <c r="AH1209" s="155">
        <v>4.1391429031887403</v>
      </c>
      <c r="AJ1209" s="77"/>
      <c r="AK1209" s="77"/>
      <c r="AL1209" s="77"/>
      <c r="AM1209" s="77"/>
      <c r="AN1209" s="77"/>
      <c r="AO1209" s="77"/>
    </row>
    <row r="1210" spans="29:41">
      <c r="AC1210" s="155" t="s">
        <v>54</v>
      </c>
      <c r="AD1210" s="155" t="s">
        <v>20</v>
      </c>
      <c r="AE1210" s="155" t="s">
        <v>72</v>
      </c>
      <c r="AF1210" s="155" t="s">
        <v>51</v>
      </c>
      <c r="AG1210" s="155" t="s">
        <v>178</v>
      </c>
      <c r="AH1210" s="155">
        <v>4.117698774030444</v>
      </c>
      <c r="AJ1210" s="77"/>
      <c r="AK1210" s="77"/>
      <c r="AL1210" s="77"/>
      <c r="AM1210" s="77"/>
      <c r="AN1210" s="77"/>
      <c r="AO1210" s="77"/>
    </row>
    <row r="1211" spans="29:41">
      <c r="AC1211" s="155" t="s">
        <v>54</v>
      </c>
      <c r="AD1211" s="155" t="s">
        <v>20</v>
      </c>
      <c r="AE1211" s="155" t="s">
        <v>72</v>
      </c>
      <c r="AF1211" s="155" t="s">
        <v>51</v>
      </c>
      <c r="AG1211" s="155" t="s">
        <v>179</v>
      </c>
      <c r="AH1211" s="155">
        <v>4.0899335699667727</v>
      </c>
      <c r="AJ1211" s="77"/>
      <c r="AK1211" s="77"/>
      <c r="AL1211" s="77"/>
      <c r="AM1211" s="77"/>
      <c r="AN1211" s="77"/>
      <c r="AO1211" s="77"/>
    </row>
    <row r="1212" spans="29:41">
      <c r="AC1212" s="155" t="s">
        <v>54</v>
      </c>
      <c r="AD1212" s="155" t="s">
        <v>20</v>
      </c>
      <c r="AE1212" s="155" t="s">
        <v>72</v>
      </c>
      <c r="AF1212" s="155" t="s">
        <v>51</v>
      </c>
      <c r="AG1212" s="155" t="s">
        <v>180</v>
      </c>
      <c r="AH1212" s="155">
        <v>4.1823551213488175</v>
      </c>
      <c r="AJ1212" s="77"/>
      <c r="AK1212" s="77"/>
      <c r="AL1212" s="77"/>
      <c r="AM1212" s="77"/>
      <c r="AN1212" s="77"/>
      <c r="AO1212" s="77"/>
    </row>
    <row r="1213" spans="29:41">
      <c r="AC1213" s="155" t="s">
        <v>54</v>
      </c>
      <c r="AD1213" s="155" t="s">
        <v>20</v>
      </c>
      <c r="AE1213" s="155" t="s">
        <v>72</v>
      </c>
      <c r="AF1213" s="155" t="s">
        <v>51</v>
      </c>
      <c r="AG1213" s="155" t="s">
        <v>181</v>
      </c>
      <c r="AH1213" s="155">
        <v>4.1823551213488175</v>
      </c>
      <c r="AJ1213" s="77"/>
      <c r="AK1213" s="77"/>
      <c r="AL1213" s="77"/>
      <c r="AM1213" s="77"/>
      <c r="AN1213" s="77"/>
      <c r="AO1213" s="77"/>
    </row>
    <row r="1214" spans="29:41">
      <c r="AC1214" s="155" t="s">
        <v>54</v>
      </c>
      <c r="AD1214" s="155" t="s">
        <v>20</v>
      </c>
      <c r="AE1214" s="155" t="s">
        <v>72</v>
      </c>
      <c r="AF1214" s="155" t="s">
        <v>51</v>
      </c>
      <c r="AG1214" s="155" t="s">
        <v>182</v>
      </c>
      <c r="AH1214" s="155">
        <v>4.1823551213488175</v>
      </c>
      <c r="AJ1214" s="77"/>
      <c r="AK1214" s="77"/>
      <c r="AL1214" s="77"/>
      <c r="AM1214" s="77"/>
      <c r="AN1214" s="77"/>
      <c r="AO1214" s="77"/>
    </row>
    <row r="1215" spans="29:41">
      <c r="AC1215" s="155" t="s">
        <v>54</v>
      </c>
      <c r="AD1215" s="155" t="s">
        <v>20</v>
      </c>
      <c r="AE1215" s="155" t="s">
        <v>72</v>
      </c>
      <c r="AF1215" s="155" t="s">
        <v>51</v>
      </c>
      <c r="AG1215" s="155" t="s">
        <v>183</v>
      </c>
      <c r="AH1215" s="155">
        <v>4.0154500000000004</v>
      </c>
      <c r="AJ1215" s="77"/>
      <c r="AK1215" s="77"/>
      <c r="AL1215" s="77"/>
      <c r="AM1215" s="77"/>
      <c r="AN1215" s="77"/>
      <c r="AO1215" s="77"/>
    </row>
    <row r="1216" spans="29:41">
      <c r="AC1216" s="155" t="s">
        <v>54</v>
      </c>
      <c r="AD1216" s="155" t="s">
        <v>20</v>
      </c>
      <c r="AE1216" s="155" t="s">
        <v>72</v>
      </c>
      <c r="AF1216" s="155" t="s">
        <v>51</v>
      </c>
      <c r="AG1216" s="155" t="s">
        <v>184</v>
      </c>
      <c r="AH1216" s="155">
        <v>4.0154500000000004</v>
      </c>
      <c r="AJ1216" s="77"/>
      <c r="AK1216" s="77"/>
      <c r="AL1216" s="77"/>
      <c r="AM1216" s="77"/>
      <c r="AN1216" s="77"/>
      <c r="AO1216" s="77"/>
    </row>
    <row r="1217" spans="29:41">
      <c r="AC1217" s="155" t="s">
        <v>54</v>
      </c>
      <c r="AD1217" s="155" t="s">
        <v>20</v>
      </c>
      <c r="AE1217" s="155" t="s">
        <v>72</v>
      </c>
      <c r="AF1217" s="155" t="s">
        <v>51</v>
      </c>
      <c r="AG1217" s="155" t="s">
        <v>185</v>
      </c>
      <c r="AH1217" s="155">
        <v>4.1391429031887403</v>
      </c>
      <c r="AJ1217" s="77"/>
      <c r="AK1217" s="77"/>
      <c r="AL1217" s="77"/>
      <c r="AM1217" s="77"/>
      <c r="AN1217" s="77"/>
      <c r="AO1217" s="77"/>
    </row>
    <row r="1218" spans="29:41">
      <c r="AC1218" s="155" t="s">
        <v>54</v>
      </c>
      <c r="AD1218" s="155" t="s">
        <v>20</v>
      </c>
      <c r="AE1218" s="155" t="s">
        <v>72</v>
      </c>
      <c r="AF1218" s="155" t="s">
        <v>51</v>
      </c>
      <c r="AG1218" s="155" t="s">
        <v>186</v>
      </c>
      <c r="AH1218" s="155">
        <v>4.1078929031887403</v>
      </c>
      <c r="AJ1218" s="77"/>
      <c r="AK1218" s="77"/>
      <c r="AL1218" s="77"/>
      <c r="AM1218" s="77"/>
      <c r="AN1218" s="77"/>
      <c r="AO1218" s="77"/>
    </row>
    <row r="1219" spans="29:41">
      <c r="AC1219" s="155" t="s">
        <v>54</v>
      </c>
      <c r="AD1219" s="155" t="s">
        <v>20</v>
      </c>
      <c r="AE1219" s="155" t="s">
        <v>72</v>
      </c>
      <c r="AF1219" s="155" t="s">
        <v>51</v>
      </c>
      <c r="AG1219" s="155" t="s">
        <v>187</v>
      </c>
      <c r="AH1219" s="155">
        <v>4.1078929031887403</v>
      </c>
      <c r="AJ1219" s="77"/>
      <c r="AK1219" s="77"/>
      <c r="AL1219" s="77"/>
      <c r="AM1219" s="77"/>
      <c r="AN1219" s="77"/>
      <c r="AO1219" s="77"/>
    </row>
    <row r="1220" spans="29:41">
      <c r="AC1220" s="155" t="s">
        <v>54</v>
      </c>
      <c r="AD1220" s="155" t="s">
        <v>20</v>
      </c>
      <c r="AE1220" s="155" t="s">
        <v>72</v>
      </c>
      <c r="AF1220" s="155" t="s">
        <v>51</v>
      </c>
      <c r="AG1220" s="155" t="s">
        <v>188</v>
      </c>
      <c r="AH1220" s="155">
        <v>3.9529500000000004</v>
      </c>
      <c r="AJ1220" s="77"/>
      <c r="AK1220" s="77"/>
      <c r="AL1220" s="77"/>
      <c r="AM1220" s="77"/>
      <c r="AN1220" s="77"/>
      <c r="AO1220" s="77"/>
    </row>
    <row r="1221" spans="29:41">
      <c r="AC1221" s="155" t="s">
        <v>54</v>
      </c>
      <c r="AD1221" s="155" t="s">
        <v>20</v>
      </c>
      <c r="AE1221" s="155" t="s">
        <v>72</v>
      </c>
      <c r="AF1221" s="155" t="s">
        <v>51</v>
      </c>
      <c r="AG1221" s="155" t="s">
        <v>189</v>
      </c>
      <c r="AH1221" s="155">
        <v>3.9842000000000004</v>
      </c>
      <c r="AJ1221" s="77"/>
      <c r="AK1221" s="77"/>
      <c r="AL1221" s="77"/>
      <c r="AM1221" s="77"/>
      <c r="AN1221" s="77"/>
      <c r="AO1221" s="77"/>
    </row>
    <row r="1222" spans="29:41">
      <c r="AC1222" s="155" t="s">
        <v>54</v>
      </c>
      <c r="AD1222" s="155" t="s">
        <v>20</v>
      </c>
      <c r="AE1222" s="155" t="s">
        <v>72</v>
      </c>
      <c r="AF1222" s="155" t="s">
        <v>51</v>
      </c>
      <c r="AG1222" s="155" t="s">
        <v>190</v>
      </c>
      <c r="AH1222" s="155">
        <v>3.9529500000000004</v>
      </c>
      <c r="AJ1222" s="77"/>
      <c r="AK1222" s="77"/>
      <c r="AL1222" s="77"/>
      <c r="AM1222" s="77"/>
      <c r="AN1222" s="77"/>
      <c r="AO1222" s="77"/>
    </row>
    <row r="1223" spans="29:41">
      <c r="AC1223" s="155" t="s">
        <v>54</v>
      </c>
      <c r="AD1223" s="155" t="s">
        <v>20</v>
      </c>
      <c r="AE1223" s="155" t="s">
        <v>72</v>
      </c>
      <c r="AF1223" s="155" t="s">
        <v>51</v>
      </c>
      <c r="AG1223" s="155" t="s">
        <v>191</v>
      </c>
      <c r="AH1223" s="155">
        <v>4.117698774030444</v>
      </c>
      <c r="AJ1223" s="77"/>
      <c r="AK1223" s="77"/>
      <c r="AL1223" s="77"/>
      <c r="AM1223" s="77"/>
      <c r="AN1223" s="77"/>
      <c r="AO1223" s="77"/>
    </row>
    <row r="1224" spans="29:41">
      <c r="AC1224" s="155" t="s">
        <v>54</v>
      </c>
      <c r="AD1224" s="155" t="s">
        <v>20</v>
      </c>
      <c r="AE1224" s="155" t="s">
        <v>72</v>
      </c>
      <c r="AF1224" s="155" t="s">
        <v>51</v>
      </c>
      <c r="AG1224" s="155" t="s">
        <v>192</v>
      </c>
      <c r="AH1224" s="155">
        <v>4.0563620311709938</v>
      </c>
      <c r="AJ1224" s="77"/>
      <c r="AK1224" s="77"/>
      <c r="AL1224" s="77"/>
      <c r="AM1224" s="77"/>
      <c r="AN1224" s="77"/>
      <c r="AO1224" s="77"/>
    </row>
    <row r="1225" spans="29:41">
      <c r="AC1225" s="155" t="s">
        <v>54</v>
      </c>
      <c r="AD1225" s="155" t="s">
        <v>20</v>
      </c>
      <c r="AE1225" s="155" t="s">
        <v>72</v>
      </c>
      <c r="AF1225" s="155" t="s">
        <v>51</v>
      </c>
      <c r="AG1225" s="155" t="s">
        <v>193</v>
      </c>
      <c r="AH1225" s="155">
        <v>4.114354497342033</v>
      </c>
      <c r="AJ1225" s="77"/>
      <c r="AK1225" s="77"/>
      <c r="AL1225" s="77"/>
      <c r="AM1225" s="77"/>
      <c r="AN1225" s="77"/>
      <c r="AO1225" s="77"/>
    </row>
    <row r="1226" spans="29:41">
      <c r="AC1226" s="155" t="s">
        <v>54</v>
      </c>
      <c r="AD1226" s="155" t="s">
        <v>20</v>
      </c>
      <c r="AE1226" s="155" t="s">
        <v>72</v>
      </c>
      <c r="AF1226" s="155" t="s">
        <v>51</v>
      </c>
      <c r="AG1226" s="155" t="s">
        <v>194</v>
      </c>
      <c r="AH1226" s="155">
        <v>4.114354497342033</v>
      </c>
      <c r="AJ1226" s="77"/>
      <c r="AK1226" s="77"/>
      <c r="AL1226" s="77"/>
      <c r="AM1226" s="77"/>
      <c r="AN1226" s="77"/>
      <c r="AO1226" s="77"/>
    </row>
    <row r="1227" spans="29:41">
      <c r="AC1227" s="155" t="s">
        <v>54</v>
      </c>
      <c r="AD1227" s="155" t="s">
        <v>20</v>
      </c>
      <c r="AE1227" s="155" t="s">
        <v>72</v>
      </c>
      <c r="AF1227" s="155" t="s">
        <v>51</v>
      </c>
      <c r="AG1227" s="155" t="s">
        <v>195</v>
      </c>
      <c r="AH1227" s="155">
        <v>4.2717089165741537</v>
      </c>
      <c r="AJ1227" s="77"/>
      <c r="AK1227" s="77"/>
      <c r="AL1227" s="77"/>
      <c r="AM1227" s="77"/>
      <c r="AN1227" s="77"/>
      <c r="AO1227" s="77"/>
    </row>
    <row r="1228" spans="29:41">
      <c r="AC1228" s="155" t="s">
        <v>54</v>
      </c>
      <c r="AD1228" s="155" t="s">
        <v>20</v>
      </c>
      <c r="AE1228" s="155" t="s">
        <v>72</v>
      </c>
      <c r="AF1228" s="155" t="s">
        <v>51</v>
      </c>
      <c r="AG1228" s="155" t="s">
        <v>196</v>
      </c>
      <c r="AH1228" s="155">
        <v>4.2404589165741537</v>
      </c>
      <c r="AJ1228" s="77"/>
      <c r="AK1228" s="77"/>
      <c r="AL1228" s="77"/>
      <c r="AM1228" s="77"/>
      <c r="AN1228" s="77"/>
      <c r="AO1228" s="77"/>
    </row>
    <row r="1229" spans="29:41">
      <c r="AC1229" s="155" t="s">
        <v>54</v>
      </c>
      <c r="AD1229" s="155" t="s">
        <v>20</v>
      </c>
      <c r="AE1229" s="155" t="s">
        <v>72</v>
      </c>
      <c r="AF1229" s="155" t="s">
        <v>51</v>
      </c>
      <c r="AG1229" s="155" t="s">
        <v>197</v>
      </c>
      <c r="AH1229" s="155">
        <v>4.3147493145490214</v>
      </c>
      <c r="AJ1229" s="77"/>
      <c r="AK1229" s="77"/>
      <c r="AL1229" s="77"/>
      <c r="AM1229" s="77"/>
      <c r="AN1229" s="77"/>
      <c r="AO1229" s="77"/>
    </row>
    <row r="1230" spans="29:41">
      <c r="AC1230" s="155" t="s">
        <v>54</v>
      </c>
      <c r="AD1230" s="155" t="s">
        <v>20</v>
      </c>
      <c r="AE1230" s="155" t="s">
        <v>72</v>
      </c>
      <c r="AF1230" s="155" t="s">
        <v>51</v>
      </c>
      <c r="AG1230" s="155" t="s">
        <v>198</v>
      </c>
      <c r="AH1230" s="155">
        <v>4.2717089165741537</v>
      </c>
      <c r="AJ1230" s="77"/>
      <c r="AK1230" s="77"/>
      <c r="AL1230" s="77"/>
      <c r="AM1230" s="77"/>
      <c r="AN1230" s="77"/>
      <c r="AO1230" s="77"/>
    </row>
    <row r="1231" spans="29:41">
      <c r="AC1231" s="155" t="s">
        <v>54</v>
      </c>
      <c r="AD1231" s="155" t="s">
        <v>20</v>
      </c>
      <c r="AE1231" s="155" t="s">
        <v>72</v>
      </c>
      <c r="AF1231" s="155" t="s">
        <v>51</v>
      </c>
      <c r="AG1231" s="155" t="s">
        <v>199</v>
      </c>
      <c r="AH1231" s="155">
        <v>4.2717089165741537</v>
      </c>
      <c r="AJ1231" s="77"/>
      <c r="AK1231" s="77"/>
      <c r="AL1231" s="77"/>
      <c r="AM1231" s="77"/>
      <c r="AN1231" s="77"/>
      <c r="AO1231" s="77"/>
    </row>
    <row r="1232" spans="29:41">
      <c r="AC1232" s="155" t="s">
        <v>54</v>
      </c>
      <c r="AD1232" s="155" t="s">
        <v>20</v>
      </c>
      <c r="AE1232" s="155" t="s">
        <v>72</v>
      </c>
      <c r="AF1232" s="155" t="s">
        <v>51</v>
      </c>
      <c r="AG1232" s="155" t="s">
        <v>200</v>
      </c>
      <c r="AH1232" s="155">
        <v>4.5041620075276256</v>
      </c>
      <c r="AJ1232" s="77"/>
      <c r="AK1232" s="77"/>
      <c r="AL1232" s="77"/>
      <c r="AM1232" s="77"/>
      <c r="AN1232" s="77"/>
      <c r="AO1232" s="77"/>
    </row>
    <row r="1233" spans="29:41">
      <c r="AC1233" s="155" t="s">
        <v>54</v>
      </c>
      <c r="AD1233" s="155" t="s">
        <v>20</v>
      </c>
      <c r="AE1233" s="155" t="s">
        <v>72</v>
      </c>
      <c r="AF1233" s="155" t="s">
        <v>51</v>
      </c>
      <c r="AG1233" s="155" t="s">
        <v>201</v>
      </c>
      <c r="AH1233" s="155">
        <v>4.2717089165741537</v>
      </c>
      <c r="AJ1233" s="77"/>
      <c r="AK1233" s="77"/>
      <c r="AL1233" s="77"/>
      <c r="AM1233" s="77"/>
      <c r="AN1233" s="77"/>
      <c r="AO1233" s="77"/>
    </row>
    <row r="1234" spans="29:41">
      <c r="AC1234" s="155" t="s">
        <v>54</v>
      </c>
      <c r="AD1234" s="155" t="s">
        <v>20</v>
      </c>
      <c r="AE1234" s="155" t="s">
        <v>72</v>
      </c>
      <c r="AF1234" s="155" t="s">
        <v>51</v>
      </c>
      <c r="AG1234" s="155" t="s">
        <v>202</v>
      </c>
      <c r="AH1234" s="155">
        <v>4.2404589165741537</v>
      </c>
      <c r="AJ1234" s="77"/>
      <c r="AK1234" s="77"/>
      <c r="AL1234" s="77"/>
      <c r="AM1234" s="77"/>
      <c r="AN1234" s="77"/>
      <c r="AO1234" s="77"/>
    </row>
    <row r="1235" spans="29:41">
      <c r="AC1235" s="155" t="s">
        <v>54</v>
      </c>
      <c r="AD1235" s="155" t="s">
        <v>20</v>
      </c>
      <c r="AE1235" s="155" t="s">
        <v>72</v>
      </c>
      <c r="AF1235" s="155" t="s">
        <v>51</v>
      </c>
      <c r="AG1235" s="155" t="s">
        <v>203</v>
      </c>
      <c r="AH1235" s="155">
        <v>4.2033105887459152</v>
      </c>
      <c r="AJ1235" s="77"/>
      <c r="AK1235" s="77"/>
      <c r="AL1235" s="77"/>
      <c r="AM1235" s="77"/>
      <c r="AN1235" s="77"/>
      <c r="AO1235" s="77"/>
    </row>
    <row r="1236" spans="29:41">
      <c r="AC1236" s="155" t="s">
        <v>54</v>
      </c>
      <c r="AD1236" s="155" t="s">
        <v>20</v>
      </c>
      <c r="AE1236" s="155" t="s">
        <v>72</v>
      </c>
      <c r="AF1236" s="155" t="s">
        <v>51</v>
      </c>
      <c r="AG1236" s="155" t="s">
        <v>204</v>
      </c>
      <c r="AH1236" s="155">
        <v>4.2033105887459152</v>
      </c>
      <c r="AJ1236" s="77"/>
      <c r="AK1236" s="77"/>
      <c r="AL1236" s="77"/>
      <c r="AM1236" s="77"/>
      <c r="AN1236" s="77"/>
      <c r="AO1236" s="77"/>
    </row>
    <row r="1237" spans="29:41">
      <c r="AC1237" s="155" t="s">
        <v>54</v>
      </c>
      <c r="AD1237" s="155" t="s">
        <v>20</v>
      </c>
      <c r="AE1237" s="155" t="s">
        <v>72</v>
      </c>
      <c r="AF1237" s="155" t="s">
        <v>51</v>
      </c>
      <c r="AG1237" s="155" t="s">
        <v>205</v>
      </c>
      <c r="AH1237" s="155">
        <v>4.2033105887459152</v>
      </c>
      <c r="AJ1237" s="77"/>
      <c r="AK1237" s="77"/>
      <c r="AL1237" s="77"/>
      <c r="AM1237" s="77"/>
      <c r="AN1237" s="77"/>
      <c r="AO1237" s="77"/>
    </row>
    <row r="1238" spans="29:41">
      <c r="AC1238" s="155" t="s">
        <v>54</v>
      </c>
      <c r="AD1238" s="155" t="s">
        <v>20</v>
      </c>
      <c r="AE1238" s="155" t="s">
        <v>72</v>
      </c>
      <c r="AF1238" s="155" t="s">
        <v>51</v>
      </c>
      <c r="AG1238" s="155" t="s">
        <v>206</v>
      </c>
      <c r="AH1238" s="155">
        <v>4.2496377008409834</v>
      </c>
      <c r="AJ1238" s="77"/>
      <c r="AK1238" s="77"/>
      <c r="AL1238" s="77"/>
      <c r="AM1238" s="77"/>
      <c r="AN1238" s="77"/>
      <c r="AO1238" s="77"/>
    </row>
    <row r="1239" spans="29:41">
      <c r="AC1239" s="155" t="s">
        <v>54</v>
      </c>
      <c r="AD1239" s="155" t="s">
        <v>20</v>
      </c>
      <c r="AE1239" s="155" t="s">
        <v>72</v>
      </c>
      <c r="AF1239" s="155" t="s">
        <v>51</v>
      </c>
      <c r="AG1239" s="155" t="s">
        <v>207</v>
      </c>
      <c r="AH1239" s="155">
        <v>4.114354497342033</v>
      </c>
      <c r="AJ1239" s="77"/>
      <c r="AK1239" s="77"/>
      <c r="AL1239" s="77"/>
      <c r="AM1239" s="77"/>
      <c r="AN1239" s="77"/>
      <c r="AO1239" s="77"/>
    </row>
    <row r="1240" spans="29:41">
      <c r="AC1240" s="155" t="s">
        <v>54</v>
      </c>
      <c r="AD1240" s="155" t="s">
        <v>20</v>
      </c>
      <c r="AE1240" s="155" t="s">
        <v>72</v>
      </c>
      <c r="AF1240" s="155" t="s">
        <v>51</v>
      </c>
      <c r="AG1240" s="155" t="s">
        <v>208</v>
      </c>
      <c r="AH1240" s="155">
        <v>4.1887316643249344</v>
      </c>
      <c r="AJ1240" s="77"/>
      <c r="AK1240" s="77"/>
      <c r="AL1240" s="77"/>
      <c r="AM1240" s="77"/>
      <c r="AN1240" s="77"/>
      <c r="AO1240" s="77"/>
    </row>
    <row r="1241" spans="29:41">
      <c r="AC1241" s="155" t="s">
        <v>54</v>
      </c>
      <c r="AD1241" s="155" t="s">
        <v>20</v>
      </c>
      <c r="AE1241" s="155" t="s">
        <v>72</v>
      </c>
      <c r="AF1241" s="155" t="s">
        <v>51</v>
      </c>
      <c r="AG1241" s="155" t="s">
        <v>209</v>
      </c>
      <c r="AH1241" s="155">
        <v>4.2717089165741537</v>
      </c>
      <c r="AJ1241" s="77"/>
      <c r="AK1241" s="77"/>
      <c r="AL1241" s="77"/>
      <c r="AM1241" s="77"/>
      <c r="AN1241" s="77"/>
      <c r="AO1241" s="77"/>
    </row>
    <row r="1242" spans="29:41">
      <c r="AC1242" s="155" t="s">
        <v>54</v>
      </c>
      <c r="AD1242" s="155" t="s">
        <v>20</v>
      </c>
      <c r="AE1242" s="155" t="s">
        <v>72</v>
      </c>
      <c r="AF1242" s="155" t="s">
        <v>51</v>
      </c>
      <c r="AG1242" s="155" t="s">
        <v>210</v>
      </c>
      <c r="AH1242" s="155">
        <v>4.2717089165741537</v>
      </c>
      <c r="AJ1242" s="77"/>
      <c r="AK1242" s="77"/>
      <c r="AL1242" s="77"/>
      <c r="AM1242" s="77"/>
      <c r="AN1242" s="77"/>
      <c r="AO1242" s="77"/>
    </row>
    <row r="1243" spans="29:41">
      <c r="AC1243" s="155" t="s">
        <v>54</v>
      </c>
      <c r="AD1243" s="155" t="s">
        <v>20</v>
      </c>
      <c r="AE1243" s="155" t="s">
        <v>72</v>
      </c>
      <c r="AF1243" s="155" t="s">
        <v>51</v>
      </c>
      <c r="AG1243" s="155" t="s">
        <v>211</v>
      </c>
      <c r="AH1243" s="155">
        <v>4.375438847121214</v>
      </c>
      <c r="AJ1243" s="77"/>
      <c r="AK1243" s="77"/>
      <c r="AL1243" s="77"/>
      <c r="AM1243" s="77"/>
      <c r="AN1243" s="77"/>
      <c r="AO1243" s="77"/>
    </row>
    <row r="1244" spans="29:41">
      <c r="AC1244" s="155" t="s">
        <v>54</v>
      </c>
      <c r="AD1244" s="155" t="s">
        <v>20</v>
      </c>
      <c r="AE1244" s="155" t="s">
        <v>72</v>
      </c>
      <c r="AF1244" s="155" t="s">
        <v>51</v>
      </c>
      <c r="AG1244" s="155" t="s">
        <v>212</v>
      </c>
      <c r="AH1244" s="155">
        <v>4.3773</v>
      </c>
      <c r="AJ1244" s="77"/>
      <c r="AK1244" s="77"/>
      <c r="AL1244" s="77"/>
      <c r="AM1244" s="77"/>
      <c r="AN1244" s="77"/>
      <c r="AO1244" s="77"/>
    </row>
    <row r="1245" spans="29:41">
      <c r="AC1245" s="155" t="s">
        <v>54</v>
      </c>
      <c r="AD1245" s="155" t="s">
        <v>20</v>
      </c>
      <c r="AE1245" s="155" t="s">
        <v>72</v>
      </c>
      <c r="AF1245" s="155" t="s">
        <v>51</v>
      </c>
      <c r="AG1245" s="155" t="s">
        <v>213</v>
      </c>
      <c r="AH1245" s="155">
        <v>4.5041620075276256</v>
      </c>
      <c r="AJ1245" s="77"/>
      <c r="AK1245" s="77"/>
      <c r="AL1245" s="77"/>
      <c r="AM1245" s="77"/>
      <c r="AN1245" s="77"/>
      <c r="AO1245" s="77"/>
    </row>
    <row r="1246" spans="29:41">
      <c r="AC1246" s="155" t="s">
        <v>54</v>
      </c>
      <c r="AD1246" s="155" t="s">
        <v>20</v>
      </c>
      <c r="AE1246" s="155" t="s">
        <v>72</v>
      </c>
      <c r="AF1246" s="155" t="s">
        <v>51</v>
      </c>
      <c r="AG1246" s="155" t="s">
        <v>98</v>
      </c>
      <c r="AH1246" s="155">
        <v>4.2717089165741537</v>
      </c>
      <c r="AJ1246" s="77"/>
      <c r="AK1246" s="77"/>
      <c r="AL1246" s="77"/>
      <c r="AM1246" s="77"/>
      <c r="AN1246" s="77"/>
      <c r="AO1246" s="77"/>
    </row>
    <row r="1247" spans="29:41">
      <c r="AC1247" s="155" t="s">
        <v>54</v>
      </c>
      <c r="AD1247" s="155" t="s">
        <v>20</v>
      </c>
      <c r="AE1247" s="155" t="s">
        <v>72</v>
      </c>
      <c r="AF1247" s="155" t="s">
        <v>51</v>
      </c>
      <c r="AG1247" s="155" t="s">
        <v>96</v>
      </c>
      <c r="AH1247" s="155">
        <v>4.3773</v>
      </c>
    </row>
    <row r="1248" spans="29:41">
      <c r="AC1248" s="155" t="s">
        <v>54</v>
      </c>
      <c r="AD1248" s="155" t="s">
        <v>20</v>
      </c>
      <c r="AE1248" s="155" t="s">
        <v>72</v>
      </c>
      <c r="AF1248" s="155" t="s">
        <v>51</v>
      </c>
      <c r="AG1248" s="155" t="s">
        <v>97</v>
      </c>
      <c r="AH1248" s="155">
        <v>4.375438847121214</v>
      </c>
    </row>
    <row r="1249" spans="29:34">
      <c r="AC1249" s="155" t="s">
        <v>54</v>
      </c>
      <c r="AD1249" s="155" t="s">
        <v>20</v>
      </c>
      <c r="AE1249" s="155" t="s">
        <v>72</v>
      </c>
      <c r="AF1249" s="155" t="s">
        <v>51</v>
      </c>
      <c r="AG1249" s="155" t="s">
        <v>101</v>
      </c>
      <c r="AH1249" s="155">
        <v>4.2033105887459152</v>
      </c>
    </row>
    <row r="1250" spans="29:34">
      <c r="AC1250" s="155" t="s">
        <v>54</v>
      </c>
      <c r="AD1250" s="155" t="s">
        <v>20</v>
      </c>
      <c r="AE1250" s="155" t="s">
        <v>72</v>
      </c>
      <c r="AF1250" s="155" t="s">
        <v>51</v>
      </c>
      <c r="AG1250" s="155" t="s">
        <v>102</v>
      </c>
      <c r="AH1250" s="155">
        <v>4.1887316643249344</v>
      </c>
    </row>
    <row r="1251" spans="29:34">
      <c r="AC1251" s="155" t="s">
        <v>54</v>
      </c>
      <c r="AD1251" s="155" t="s">
        <v>20</v>
      </c>
      <c r="AE1251" s="155" t="s">
        <v>72</v>
      </c>
      <c r="AF1251" s="155" t="s">
        <v>51</v>
      </c>
      <c r="AG1251" s="155" t="s">
        <v>103</v>
      </c>
      <c r="AH1251" s="155">
        <v>4.2496377008409834</v>
      </c>
    </row>
    <row r="1252" spans="29:34">
      <c r="AC1252" s="155" t="s">
        <v>54</v>
      </c>
      <c r="AD1252" s="155" t="s">
        <v>20</v>
      </c>
      <c r="AE1252" s="155" t="s">
        <v>72</v>
      </c>
      <c r="AF1252" s="155" t="s">
        <v>51</v>
      </c>
      <c r="AG1252" s="155" t="s">
        <v>104</v>
      </c>
      <c r="AH1252" s="155">
        <v>4.2496377008409834</v>
      </c>
    </row>
    <row r="1253" spans="29:34">
      <c r="AC1253" s="155" t="s">
        <v>54</v>
      </c>
      <c r="AD1253" s="155" t="s">
        <v>20</v>
      </c>
      <c r="AE1253" s="155" t="s">
        <v>72</v>
      </c>
      <c r="AF1253" s="155" t="s">
        <v>51</v>
      </c>
      <c r="AG1253" s="155" t="s">
        <v>105</v>
      </c>
      <c r="AH1253" s="155">
        <v>4.4407683440906052</v>
      </c>
    </row>
    <row r="1254" spans="29:34">
      <c r="AC1254" s="155" t="s">
        <v>54</v>
      </c>
      <c r="AD1254" s="155" t="s">
        <v>20</v>
      </c>
      <c r="AE1254" s="155" t="s">
        <v>72</v>
      </c>
      <c r="AF1254" s="155" t="s">
        <v>51</v>
      </c>
      <c r="AG1254" s="155" t="s">
        <v>106</v>
      </c>
      <c r="AH1254" s="155">
        <v>4.5041620075276256</v>
      </c>
    </row>
    <row r="1255" spans="29:34">
      <c r="AC1255" s="155" t="s">
        <v>54</v>
      </c>
      <c r="AD1255" s="155" t="s">
        <v>20</v>
      </c>
      <c r="AE1255" s="155" t="s">
        <v>72</v>
      </c>
      <c r="AF1255" s="155" t="s">
        <v>51</v>
      </c>
      <c r="AG1255" s="155" t="s">
        <v>107</v>
      </c>
      <c r="AH1255" s="155">
        <v>4.3147493145490214</v>
      </c>
    </row>
    <row r="1256" spans="29:34">
      <c r="AC1256" s="155" t="s">
        <v>54</v>
      </c>
      <c r="AD1256" s="155" t="s">
        <v>20</v>
      </c>
      <c r="AE1256" s="155" t="s">
        <v>72</v>
      </c>
      <c r="AF1256" s="155" t="s">
        <v>51</v>
      </c>
      <c r="AG1256" s="155" t="s">
        <v>108</v>
      </c>
      <c r="AH1256" s="155">
        <v>4.2717089165741537</v>
      </c>
    </row>
    <row r="1257" spans="29:34">
      <c r="AC1257" s="155" t="s">
        <v>54</v>
      </c>
      <c r="AD1257" s="155" t="s">
        <v>20</v>
      </c>
      <c r="AE1257" s="155" t="s">
        <v>72</v>
      </c>
      <c r="AF1257" s="155" t="s">
        <v>51</v>
      </c>
      <c r="AG1257" s="155" t="s">
        <v>100</v>
      </c>
      <c r="AH1257" s="155">
        <v>4.3147493145490214</v>
      </c>
    </row>
    <row r="1258" spans="29:34">
      <c r="AC1258" s="155" t="s">
        <v>54</v>
      </c>
      <c r="AD1258" s="155" t="s">
        <v>20</v>
      </c>
      <c r="AE1258" s="155" t="s">
        <v>72</v>
      </c>
      <c r="AF1258" s="155" t="s">
        <v>51</v>
      </c>
      <c r="AG1258" s="155" t="s">
        <v>109</v>
      </c>
      <c r="AH1258" s="155">
        <v>4.2717089165741537</v>
      </c>
    </row>
    <row r="1259" spans="29:34">
      <c r="AC1259" s="155" t="s">
        <v>54</v>
      </c>
      <c r="AD1259" s="155" t="s">
        <v>20</v>
      </c>
      <c r="AE1259" s="155" t="s">
        <v>72</v>
      </c>
      <c r="AF1259" s="155" t="s">
        <v>51</v>
      </c>
      <c r="AG1259" s="155" t="s">
        <v>110</v>
      </c>
      <c r="AH1259" s="155">
        <v>4.2717089165741537</v>
      </c>
    </row>
    <row r="1260" spans="29:34">
      <c r="AC1260" s="155" t="s">
        <v>54</v>
      </c>
      <c r="AD1260" s="155" t="s">
        <v>20</v>
      </c>
      <c r="AE1260" s="155" t="s">
        <v>72</v>
      </c>
      <c r="AF1260" s="155" t="s">
        <v>51</v>
      </c>
      <c r="AG1260" s="155" t="s">
        <v>111</v>
      </c>
      <c r="AH1260" s="155">
        <v>4.2033105887459152</v>
      </c>
    </row>
    <row r="1261" spans="29:34">
      <c r="AC1261" s="155" t="s">
        <v>54</v>
      </c>
      <c r="AD1261" s="155" t="s">
        <v>20</v>
      </c>
      <c r="AE1261" s="155" t="s">
        <v>72</v>
      </c>
      <c r="AF1261" s="155" t="s">
        <v>51</v>
      </c>
      <c r="AG1261" s="155" t="s">
        <v>99</v>
      </c>
      <c r="AH1261" s="155">
        <v>4.2496377008409834</v>
      </c>
    </row>
    <row r="1262" spans="29:34">
      <c r="AC1262" s="155" t="s">
        <v>54</v>
      </c>
      <c r="AD1262" s="155" t="s">
        <v>20</v>
      </c>
      <c r="AE1262" s="155" t="s">
        <v>72</v>
      </c>
      <c r="AF1262" s="155" t="s">
        <v>51</v>
      </c>
      <c r="AG1262" s="155" t="s">
        <v>126</v>
      </c>
      <c r="AH1262" s="155">
        <v>4.2404589165741537</v>
      </c>
    </row>
    <row r="1263" spans="29:34">
      <c r="AC1263" s="155" t="s">
        <v>54</v>
      </c>
      <c r="AD1263" s="155" t="s">
        <v>20</v>
      </c>
      <c r="AE1263" s="155" t="s">
        <v>72</v>
      </c>
      <c r="AF1263" s="155" t="s">
        <v>51</v>
      </c>
      <c r="AG1263" s="155" t="s">
        <v>124</v>
      </c>
      <c r="AH1263" s="155">
        <v>4.1887316643249344</v>
      </c>
    </row>
    <row r="1264" spans="29:34">
      <c r="AC1264" s="155" t="s">
        <v>54</v>
      </c>
      <c r="AD1264" s="155" t="s">
        <v>20</v>
      </c>
      <c r="AE1264" s="155" t="s">
        <v>72</v>
      </c>
      <c r="AF1264" s="155" t="s">
        <v>51</v>
      </c>
      <c r="AG1264" s="155" t="s">
        <v>127</v>
      </c>
      <c r="AH1264" s="155">
        <v>4.145604497342033</v>
      </c>
    </row>
    <row r="1265" spans="29:34">
      <c r="AC1265" s="155" t="s">
        <v>54</v>
      </c>
      <c r="AD1265" s="155" t="s">
        <v>20</v>
      </c>
      <c r="AE1265" s="155" t="s">
        <v>72</v>
      </c>
      <c r="AF1265" s="155" t="s">
        <v>51</v>
      </c>
      <c r="AG1265" s="155" t="s">
        <v>128</v>
      </c>
      <c r="AH1265" s="155">
        <v>4.1887316643249344</v>
      </c>
    </row>
    <row r="1266" spans="29:34">
      <c r="AC1266" s="155" t="s">
        <v>54</v>
      </c>
      <c r="AD1266" s="155" t="s">
        <v>20</v>
      </c>
      <c r="AE1266" s="155" t="s">
        <v>72</v>
      </c>
      <c r="AF1266" s="155" t="s">
        <v>51</v>
      </c>
      <c r="AG1266" s="155" t="s">
        <v>129</v>
      </c>
      <c r="AH1266" s="155">
        <v>4.1887316643249344</v>
      </c>
    </row>
    <row r="1267" spans="29:34">
      <c r="AC1267" s="155" t="s">
        <v>54</v>
      </c>
      <c r="AD1267" s="155" t="s">
        <v>20</v>
      </c>
      <c r="AE1267" s="155" t="s">
        <v>72</v>
      </c>
      <c r="AF1267" s="155" t="s">
        <v>51</v>
      </c>
      <c r="AG1267" s="155" t="s">
        <v>123</v>
      </c>
      <c r="AH1267" s="155">
        <v>4.2496377008409834</v>
      </c>
    </row>
    <row r="1268" spans="29:34">
      <c r="AC1268" s="155" t="s">
        <v>54</v>
      </c>
      <c r="AD1268" s="155" t="s">
        <v>20</v>
      </c>
      <c r="AE1268" s="155" t="s">
        <v>72</v>
      </c>
      <c r="AF1268" s="155" t="s">
        <v>51</v>
      </c>
      <c r="AG1268" s="155" t="s">
        <v>125</v>
      </c>
      <c r="AH1268" s="155">
        <v>4.0771627490827687</v>
      </c>
    </row>
    <row r="1269" spans="29:34">
      <c r="AC1269" s="155" t="s">
        <v>54</v>
      </c>
      <c r="AD1269" s="155" t="s">
        <v>20</v>
      </c>
      <c r="AE1269" s="155" t="s">
        <v>72</v>
      </c>
      <c r="AF1269" s="155" t="s">
        <v>51</v>
      </c>
      <c r="AG1269" s="155" t="s">
        <v>215</v>
      </c>
      <c r="AH1269" s="155">
        <v>4.0771627490827687</v>
      </c>
    </row>
    <row r="1270" spans="29:34">
      <c r="AC1270" s="155" t="s">
        <v>54</v>
      </c>
      <c r="AD1270" s="155" t="s">
        <v>20</v>
      </c>
      <c r="AE1270" s="155" t="s">
        <v>72</v>
      </c>
      <c r="AF1270" s="155" t="s">
        <v>51</v>
      </c>
      <c r="AG1270" s="155" t="s">
        <v>219</v>
      </c>
      <c r="AH1270" s="155">
        <v>4.145604497342033</v>
      </c>
    </row>
    <row r="1271" spans="29:34">
      <c r="AC1271" s="155" t="s">
        <v>54</v>
      </c>
      <c r="AD1271" s="155" t="s">
        <v>20</v>
      </c>
      <c r="AE1271" s="155" t="s">
        <v>72</v>
      </c>
      <c r="AF1271" s="155" t="s">
        <v>51</v>
      </c>
      <c r="AG1271" s="155" t="s">
        <v>220</v>
      </c>
      <c r="AH1271" s="155">
        <v>4.1887316643249344</v>
      </c>
    </row>
    <row r="1272" spans="29:34">
      <c r="AC1272" s="155" t="s">
        <v>54</v>
      </c>
      <c r="AD1272" s="155" t="s">
        <v>20</v>
      </c>
      <c r="AE1272" s="155" t="s">
        <v>72</v>
      </c>
      <c r="AF1272" s="155" t="s">
        <v>51</v>
      </c>
      <c r="AG1272" s="155" t="s">
        <v>221</v>
      </c>
      <c r="AH1272" s="155">
        <v>4.1887316643249344</v>
      </c>
    </row>
    <row r="1273" spans="29:34">
      <c r="AC1273" s="155" t="s">
        <v>54</v>
      </c>
      <c r="AD1273" s="155" t="s">
        <v>20</v>
      </c>
      <c r="AE1273" s="155" t="s">
        <v>72</v>
      </c>
      <c r="AF1273" s="155" t="s">
        <v>51</v>
      </c>
      <c r="AG1273" s="155" t="s">
        <v>222</v>
      </c>
      <c r="AH1273" s="155">
        <v>4.114354497342033</v>
      </c>
    </row>
    <row r="1274" spans="29:34">
      <c r="AC1274" s="155" t="s">
        <v>54</v>
      </c>
      <c r="AD1274" s="155" t="s">
        <v>20</v>
      </c>
      <c r="AE1274" s="155" t="s">
        <v>72</v>
      </c>
      <c r="AF1274" s="155" t="s">
        <v>51</v>
      </c>
      <c r="AG1274" s="155" t="s">
        <v>223</v>
      </c>
      <c r="AH1274" s="155">
        <v>4.145604497342033</v>
      </c>
    </row>
    <row r="1275" spans="29:34">
      <c r="AC1275" s="155" t="s">
        <v>54</v>
      </c>
      <c r="AD1275" s="155" t="s">
        <v>20</v>
      </c>
      <c r="AE1275" s="155" t="s">
        <v>72</v>
      </c>
      <c r="AF1275" s="155" t="s">
        <v>51</v>
      </c>
      <c r="AG1275" s="155" t="s">
        <v>224</v>
      </c>
      <c r="AH1275" s="155">
        <v>4.0251000000000001</v>
      </c>
    </row>
    <row r="1276" spans="29:34">
      <c r="AC1276" s="155" t="s">
        <v>54</v>
      </c>
      <c r="AD1276" s="155" t="s">
        <v>20</v>
      </c>
      <c r="AE1276" s="155" t="s">
        <v>72</v>
      </c>
      <c r="AF1276" s="155" t="s">
        <v>51</v>
      </c>
      <c r="AG1276" s="155" t="s">
        <v>225</v>
      </c>
      <c r="AH1276" s="155">
        <v>4.0627653666023935</v>
      </c>
    </row>
    <row r="1277" spans="29:34">
      <c r="AC1277" s="155" t="s">
        <v>54</v>
      </c>
      <c r="AD1277" s="155" t="s">
        <v>20</v>
      </c>
      <c r="AE1277" s="155" t="s">
        <v>72</v>
      </c>
      <c r="AF1277" s="155" t="s">
        <v>51</v>
      </c>
      <c r="AG1277" s="155" t="s">
        <v>226</v>
      </c>
      <c r="AH1277" s="155">
        <v>4.0251000000000001</v>
      </c>
    </row>
    <row r="1278" spans="29:34">
      <c r="AC1278" s="155" t="s">
        <v>54</v>
      </c>
      <c r="AD1278" s="155" t="s">
        <v>20</v>
      </c>
      <c r="AE1278" s="155" t="s">
        <v>72</v>
      </c>
      <c r="AF1278" s="155" t="s">
        <v>51</v>
      </c>
      <c r="AG1278" s="155" t="s">
        <v>227</v>
      </c>
      <c r="AH1278" s="155">
        <v>4.114354497342033</v>
      </c>
    </row>
    <row r="1279" spans="29:34">
      <c r="AC1279" s="155" t="s">
        <v>54</v>
      </c>
      <c r="AD1279" s="155" t="s">
        <v>20</v>
      </c>
      <c r="AE1279" s="155" t="s">
        <v>72</v>
      </c>
      <c r="AF1279" s="155" t="s">
        <v>51</v>
      </c>
      <c r="AG1279" s="155" t="s">
        <v>228</v>
      </c>
      <c r="AH1279" s="155">
        <v>4.0771627490827687</v>
      </c>
    </row>
    <row r="1280" spans="29:34">
      <c r="AC1280" s="155" t="s">
        <v>54</v>
      </c>
      <c r="AD1280" s="155" t="s">
        <v>20</v>
      </c>
      <c r="AE1280" s="155" t="s">
        <v>72</v>
      </c>
      <c r="AF1280" s="155" t="s">
        <v>51</v>
      </c>
      <c r="AG1280" s="155" t="s">
        <v>229</v>
      </c>
      <c r="AH1280" s="155">
        <v>4.145604497342033</v>
      </c>
    </row>
    <row r="1281" spans="29:34">
      <c r="AC1281" s="155" t="s">
        <v>54</v>
      </c>
      <c r="AD1281" s="155" t="s">
        <v>20</v>
      </c>
      <c r="AE1281" s="155" t="s">
        <v>72</v>
      </c>
      <c r="AF1281" s="155" t="s">
        <v>51</v>
      </c>
      <c r="AG1281" s="155" t="s">
        <v>230</v>
      </c>
      <c r="AH1281" s="155">
        <v>4.0251000000000001</v>
      </c>
    </row>
    <row r="1282" spans="29:34">
      <c r="AC1282" s="155" t="s">
        <v>54</v>
      </c>
      <c r="AD1282" s="155" t="s">
        <v>20</v>
      </c>
      <c r="AE1282" s="155" t="s">
        <v>72</v>
      </c>
      <c r="AF1282" s="155" t="s">
        <v>51</v>
      </c>
      <c r="AG1282" s="155" t="s">
        <v>217</v>
      </c>
      <c r="AH1282" s="155">
        <v>4.123888942161555</v>
      </c>
    </row>
    <row r="1283" spans="29:34">
      <c r="AC1283" s="155" t="s">
        <v>54</v>
      </c>
      <c r="AD1283" s="155" t="s">
        <v>20</v>
      </c>
      <c r="AE1283" s="155" t="s">
        <v>72</v>
      </c>
      <c r="AF1283" s="155" t="s">
        <v>51</v>
      </c>
      <c r="AG1283" s="155" t="s">
        <v>231</v>
      </c>
      <c r="AH1283" s="155">
        <v>4.0627653666023935</v>
      </c>
    </row>
    <row r="1284" spans="29:34">
      <c r="AC1284" s="155" t="s">
        <v>54</v>
      </c>
      <c r="AD1284" s="155" t="s">
        <v>20</v>
      </c>
      <c r="AE1284" s="155" t="s">
        <v>72</v>
      </c>
      <c r="AF1284" s="155" t="s">
        <v>51</v>
      </c>
      <c r="AG1284" s="155" t="s">
        <v>232</v>
      </c>
      <c r="AH1284" s="155">
        <v>3.9480721497042097</v>
      </c>
    </row>
    <row r="1285" spans="29:34">
      <c r="AC1285" s="155" t="s">
        <v>54</v>
      </c>
      <c r="AD1285" s="155" t="s">
        <v>20</v>
      </c>
      <c r="AE1285" s="155" t="s">
        <v>72</v>
      </c>
      <c r="AF1285" s="155" t="s">
        <v>51</v>
      </c>
      <c r="AG1285" s="155" t="s">
        <v>233</v>
      </c>
      <c r="AH1285" s="155">
        <v>4.0251000000000001</v>
      </c>
    </row>
    <row r="1286" spans="29:34">
      <c r="AC1286" s="155" t="s">
        <v>54</v>
      </c>
      <c r="AD1286" s="155" t="s">
        <v>20</v>
      </c>
      <c r="AE1286" s="155" t="s">
        <v>72</v>
      </c>
      <c r="AF1286" s="155" t="s">
        <v>51</v>
      </c>
      <c r="AG1286" s="155" t="s">
        <v>216</v>
      </c>
      <c r="AH1286" s="155">
        <v>4.0251000000000001</v>
      </c>
    </row>
    <row r="1287" spans="29:34">
      <c r="AC1287" s="155" t="s">
        <v>54</v>
      </c>
      <c r="AD1287" s="155" t="s">
        <v>20</v>
      </c>
      <c r="AE1287" s="155" t="s">
        <v>72</v>
      </c>
      <c r="AF1287" s="155" t="s">
        <v>51</v>
      </c>
      <c r="AG1287" s="155" t="s">
        <v>218</v>
      </c>
      <c r="AH1287" s="155">
        <v>4.0771627490827687</v>
      </c>
    </row>
    <row r="1288" spans="29:34">
      <c r="AC1288" s="155" t="s">
        <v>54</v>
      </c>
      <c r="AD1288" s="155" t="s">
        <v>20</v>
      </c>
      <c r="AE1288" s="155" t="s">
        <v>72</v>
      </c>
      <c r="AF1288" s="155" t="s">
        <v>51</v>
      </c>
      <c r="AG1288" s="155" t="s">
        <v>238</v>
      </c>
      <c r="AH1288" s="155">
        <v>4.123888942161555</v>
      </c>
    </row>
    <row r="1289" spans="29:34">
      <c r="AC1289" s="155" t="s">
        <v>54</v>
      </c>
      <c r="AD1289" s="155" t="s">
        <v>20</v>
      </c>
      <c r="AE1289" s="155" t="s">
        <v>72</v>
      </c>
      <c r="AF1289" s="155" t="s">
        <v>51</v>
      </c>
      <c r="AG1289" s="155" t="s">
        <v>239</v>
      </c>
      <c r="AH1289" s="155">
        <v>4.123888942161555</v>
      </c>
    </row>
    <row r="1290" spans="29:34">
      <c r="AC1290" s="155" t="s">
        <v>54</v>
      </c>
      <c r="AD1290" s="155" t="s">
        <v>20</v>
      </c>
      <c r="AE1290" s="155" t="s">
        <v>72</v>
      </c>
      <c r="AF1290" s="155" t="s">
        <v>51</v>
      </c>
      <c r="AG1290" s="155" t="s">
        <v>240</v>
      </c>
      <c r="AH1290" s="155">
        <v>4.123888942161555</v>
      </c>
    </row>
    <row r="1291" spans="29:34">
      <c r="AC1291" s="155" t="s">
        <v>54</v>
      </c>
      <c r="AD1291" s="155" t="s">
        <v>20</v>
      </c>
      <c r="AE1291" s="155" t="s">
        <v>72</v>
      </c>
      <c r="AF1291" s="155" t="s">
        <v>51</v>
      </c>
      <c r="AG1291" s="155" t="s">
        <v>241</v>
      </c>
      <c r="AH1291" s="155">
        <v>4.0771627490827687</v>
      </c>
    </row>
    <row r="1292" spans="29:34">
      <c r="AC1292" s="155" t="s">
        <v>54</v>
      </c>
      <c r="AD1292" s="155" t="s">
        <v>20</v>
      </c>
      <c r="AE1292" s="155" t="s">
        <v>72</v>
      </c>
      <c r="AF1292" s="155" t="s">
        <v>51</v>
      </c>
      <c r="AG1292" s="155" t="s">
        <v>242</v>
      </c>
      <c r="AH1292" s="155">
        <v>4.123888942161555</v>
      </c>
    </row>
    <row r="1293" spans="29:34">
      <c r="AC1293" s="155" t="s">
        <v>54</v>
      </c>
      <c r="AD1293" s="155" t="s">
        <v>20</v>
      </c>
      <c r="AE1293" s="155" t="s">
        <v>72</v>
      </c>
      <c r="AF1293" s="155" t="s">
        <v>51</v>
      </c>
      <c r="AG1293" s="155" t="s">
        <v>243</v>
      </c>
      <c r="AH1293" s="155">
        <v>4.123888942161555</v>
      </c>
    </row>
    <row r="1294" spans="29:34">
      <c r="AC1294" s="155" t="s">
        <v>54</v>
      </c>
      <c r="AD1294" s="155" t="s">
        <v>20</v>
      </c>
      <c r="AE1294" s="155" t="s">
        <v>72</v>
      </c>
      <c r="AF1294" s="155" t="s">
        <v>51</v>
      </c>
      <c r="AG1294" s="155" t="s">
        <v>244</v>
      </c>
      <c r="AH1294" s="155">
        <v>4.0771627490827687</v>
      </c>
    </row>
    <row r="1295" spans="29:34">
      <c r="AC1295" s="155" t="s">
        <v>54</v>
      </c>
      <c r="AD1295" s="155" t="s">
        <v>20</v>
      </c>
      <c r="AE1295" s="155" t="s">
        <v>72</v>
      </c>
      <c r="AF1295" s="155" t="s">
        <v>51</v>
      </c>
      <c r="AG1295" s="155" t="s">
        <v>245</v>
      </c>
      <c r="AH1295" s="155">
        <v>4.123888942161555</v>
      </c>
    </row>
    <row r="1296" spans="29:34">
      <c r="AC1296" s="155" t="s">
        <v>54</v>
      </c>
      <c r="AD1296" s="155" t="s">
        <v>20</v>
      </c>
      <c r="AE1296" s="155" t="s">
        <v>72</v>
      </c>
      <c r="AF1296" s="155" t="s">
        <v>51</v>
      </c>
      <c r="AG1296" s="155" t="s">
        <v>246</v>
      </c>
      <c r="AH1296" s="155">
        <v>4.0627653666023935</v>
      </c>
    </row>
    <row r="1297" spans="29:34">
      <c r="AC1297" s="155" t="s">
        <v>54</v>
      </c>
      <c r="AD1297" s="155" t="s">
        <v>20</v>
      </c>
      <c r="AE1297" s="155" t="s">
        <v>72</v>
      </c>
      <c r="AF1297" s="155" t="s">
        <v>51</v>
      </c>
      <c r="AG1297" s="155" t="s">
        <v>247</v>
      </c>
      <c r="AH1297" s="155">
        <v>4.0195510152855149</v>
      </c>
    </row>
    <row r="1298" spans="29:34">
      <c r="AC1298" s="155" t="s">
        <v>54</v>
      </c>
      <c r="AD1298" s="155" t="s">
        <v>20</v>
      </c>
      <c r="AE1298" s="155" t="s">
        <v>72</v>
      </c>
      <c r="AF1298" s="155" t="s">
        <v>51</v>
      </c>
      <c r="AG1298" s="155" t="s">
        <v>248</v>
      </c>
      <c r="AH1298" s="155">
        <v>4.0627653666023935</v>
      </c>
    </row>
    <row r="1299" spans="29:34">
      <c r="AC1299" s="155" t="s">
        <v>54</v>
      </c>
      <c r="AD1299" s="155" t="s">
        <v>20</v>
      </c>
      <c r="AE1299" s="155" t="s">
        <v>72</v>
      </c>
      <c r="AF1299" s="155" t="s">
        <v>51</v>
      </c>
      <c r="AG1299" s="155" t="s">
        <v>249</v>
      </c>
      <c r="AH1299" s="155">
        <v>4.0771627490827687</v>
      </c>
    </row>
    <row r="1300" spans="29:34">
      <c r="AC1300" s="155" t="s">
        <v>54</v>
      </c>
      <c r="AD1300" s="155" t="s">
        <v>20</v>
      </c>
      <c r="AE1300" s="155" t="s">
        <v>72</v>
      </c>
      <c r="AF1300" s="155" t="s">
        <v>51</v>
      </c>
      <c r="AG1300" s="155" t="s">
        <v>250</v>
      </c>
      <c r="AH1300" s="155">
        <v>4.114354497342033</v>
      </c>
    </row>
    <row r="1301" spans="29:34">
      <c r="AC1301" s="155" t="s">
        <v>54</v>
      </c>
      <c r="AD1301" s="155" t="s">
        <v>20</v>
      </c>
      <c r="AE1301" s="155" t="s">
        <v>72</v>
      </c>
      <c r="AF1301" s="155" t="s">
        <v>51</v>
      </c>
      <c r="AG1301" s="155" t="s">
        <v>251</v>
      </c>
      <c r="AH1301" s="155">
        <v>4.0771627490827687</v>
      </c>
    </row>
    <row r="1302" spans="29:34">
      <c r="AC1302" s="155" t="s">
        <v>54</v>
      </c>
      <c r="AD1302" s="155" t="s">
        <v>20</v>
      </c>
      <c r="AE1302" s="155" t="s">
        <v>72</v>
      </c>
      <c r="AF1302" s="155" t="s">
        <v>51</v>
      </c>
      <c r="AG1302" s="155" t="s">
        <v>252</v>
      </c>
      <c r="AH1302" s="155">
        <v>3.9480721497042097</v>
      </c>
    </row>
    <row r="1303" spans="29:34">
      <c r="AC1303" s="155" t="s">
        <v>54</v>
      </c>
      <c r="AD1303" s="155" t="s">
        <v>20</v>
      </c>
      <c r="AE1303" s="155" t="s">
        <v>72</v>
      </c>
      <c r="AF1303" s="155" t="s">
        <v>51</v>
      </c>
      <c r="AG1303" s="155" t="s">
        <v>253</v>
      </c>
      <c r="AH1303" s="155">
        <v>3.9883010152855149</v>
      </c>
    </row>
    <row r="1304" spans="29:34">
      <c r="AC1304" s="155" t="s">
        <v>54</v>
      </c>
      <c r="AD1304" s="155" t="s">
        <v>20</v>
      </c>
      <c r="AE1304" s="155" t="s">
        <v>72</v>
      </c>
      <c r="AF1304" s="155" t="s">
        <v>51</v>
      </c>
      <c r="AG1304" s="155" t="s">
        <v>254</v>
      </c>
      <c r="AH1304" s="155">
        <v>3.9883010152855149</v>
      </c>
    </row>
    <row r="1305" spans="29:34">
      <c r="AC1305" s="155" t="s">
        <v>54</v>
      </c>
      <c r="AD1305" s="155" t="s">
        <v>20</v>
      </c>
      <c r="AE1305" s="155" t="s">
        <v>72</v>
      </c>
      <c r="AF1305" s="155" t="s">
        <v>51</v>
      </c>
      <c r="AG1305" s="155" t="s">
        <v>255</v>
      </c>
      <c r="AH1305" s="155">
        <v>3.9883010152855149</v>
      </c>
    </row>
    <row r="1306" spans="29:34">
      <c r="AC1306" s="155" t="s">
        <v>54</v>
      </c>
      <c r="AD1306" s="155" t="s">
        <v>20</v>
      </c>
      <c r="AE1306" s="155" t="s">
        <v>72</v>
      </c>
      <c r="AF1306" s="155" t="s">
        <v>51</v>
      </c>
      <c r="AG1306" s="155" t="s">
        <v>256</v>
      </c>
      <c r="AH1306" s="155">
        <v>3.9480721497042097</v>
      </c>
    </row>
    <row r="1307" spans="29:34">
      <c r="AC1307" s="155" t="s">
        <v>54</v>
      </c>
      <c r="AD1307" s="155" t="s">
        <v>20</v>
      </c>
      <c r="AE1307" s="155" t="s">
        <v>72</v>
      </c>
      <c r="AF1307" s="155" t="s">
        <v>51</v>
      </c>
      <c r="AG1307" s="155" t="s">
        <v>257</v>
      </c>
      <c r="AH1307" s="155">
        <v>4.0627653666023935</v>
      </c>
    </row>
    <row r="1308" spans="29:34">
      <c r="AC1308" s="155" t="s">
        <v>54</v>
      </c>
      <c r="AD1308" s="155" t="s">
        <v>20</v>
      </c>
      <c r="AE1308" s="155" t="s">
        <v>72</v>
      </c>
      <c r="AF1308" s="155" t="s">
        <v>51</v>
      </c>
      <c r="AG1308" s="155" t="s">
        <v>258</v>
      </c>
      <c r="AH1308" s="155">
        <v>4.1096088113743745</v>
      </c>
    </row>
    <row r="1309" spans="29:34">
      <c r="AC1309" s="155" t="s">
        <v>54</v>
      </c>
      <c r="AD1309" s="155" t="s">
        <v>20</v>
      </c>
      <c r="AE1309" s="155" t="s">
        <v>72</v>
      </c>
      <c r="AF1309" s="155" t="s">
        <v>51</v>
      </c>
      <c r="AG1309" s="155" t="s">
        <v>259</v>
      </c>
      <c r="AH1309" s="155">
        <v>4.0261842576350091</v>
      </c>
    </row>
    <row r="1310" spans="29:34">
      <c r="AC1310" s="155" t="s">
        <v>54</v>
      </c>
      <c r="AD1310" s="155" t="s">
        <v>20</v>
      </c>
      <c r="AE1310" s="155" t="s">
        <v>72</v>
      </c>
      <c r="AF1310" s="155" t="s">
        <v>51</v>
      </c>
      <c r="AG1310" s="155" t="s">
        <v>260</v>
      </c>
      <c r="AH1310" s="155">
        <v>3.9859585938118238</v>
      </c>
    </row>
    <row r="1311" spans="29:34">
      <c r="AC1311" s="155" t="s">
        <v>54</v>
      </c>
      <c r="AD1311" s="155" t="s">
        <v>20</v>
      </c>
      <c r="AE1311" s="155" t="s">
        <v>72</v>
      </c>
      <c r="AF1311" s="155" t="s">
        <v>51</v>
      </c>
      <c r="AG1311" s="155" t="s">
        <v>261</v>
      </c>
      <c r="AH1311" s="155">
        <v>4.0450184023842457</v>
      </c>
    </row>
    <row r="1312" spans="29:34">
      <c r="AC1312" s="155" t="s">
        <v>54</v>
      </c>
      <c r="AD1312" s="155" t="s">
        <v>20</v>
      </c>
      <c r="AE1312" s="155" t="s">
        <v>72</v>
      </c>
      <c r="AF1312" s="155" t="s">
        <v>51</v>
      </c>
      <c r="AG1312" s="155" t="s">
        <v>262</v>
      </c>
      <c r="AH1312" s="155">
        <v>3.8577993637589048</v>
      </c>
    </row>
    <row r="1313" spans="29:34">
      <c r="AC1313" s="155" t="s">
        <v>54</v>
      </c>
      <c r="AD1313" s="155" t="s">
        <v>20</v>
      </c>
      <c r="AE1313" s="155" t="s">
        <v>72</v>
      </c>
      <c r="AF1313" s="155" t="s">
        <v>51</v>
      </c>
      <c r="AG1313" s="155" t="s">
        <v>263</v>
      </c>
      <c r="AH1313" s="155">
        <v>4.0450184023842457</v>
      </c>
    </row>
    <row r="1314" spans="29:34">
      <c r="AC1314" s="155" t="s">
        <v>54</v>
      </c>
      <c r="AD1314" s="155" t="s">
        <v>20</v>
      </c>
      <c r="AE1314" s="155" t="s">
        <v>72</v>
      </c>
      <c r="AF1314" s="155" t="s">
        <v>51</v>
      </c>
      <c r="AG1314" s="155" t="s">
        <v>264</v>
      </c>
      <c r="AH1314" s="155">
        <v>3.8995000000000002</v>
      </c>
    </row>
    <row r="1315" spans="29:34">
      <c r="AC1315" s="155" t="s">
        <v>54</v>
      </c>
      <c r="AD1315" s="155" t="s">
        <v>20</v>
      </c>
      <c r="AE1315" s="155" t="s">
        <v>72</v>
      </c>
      <c r="AF1315" s="155" t="s">
        <v>51</v>
      </c>
      <c r="AG1315" s="155" t="s">
        <v>265</v>
      </c>
      <c r="AH1315" s="155">
        <v>3.8995000000000002</v>
      </c>
    </row>
    <row r="1316" spans="29:34">
      <c r="AC1316" s="155" t="s">
        <v>54</v>
      </c>
      <c r="AD1316" s="155" t="s">
        <v>20</v>
      </c>
      <c r="AE1316" s="155" t="s">
        <v>72</v>
      </c>
      <c r="AF1316" s="155" t="s">
        <v>51</v>
      </c>
      <c r="AG1316" s="155" t="s">
        <v>266</v>
      </c>
      <c r="AH1316" s="155">
        <v>4.0450184023842457</v>
      </c>
    </row>
    <row r="1317" spans="29:34">
      <c r="AC1317" s="155" t="s">
        <v>54</v>
      </c>
      <c r="AD1317" s="155" t="s">
        <v>20</v>
      </c>
      <c r="AE1317" s="155" t="s">
        <v>72</v>
      </c>
      <c r="AF1317" s="155" t="s">
        <v>51</v>
      </c>
      <c r="AG1317" s="155" t="s">
        <v>267</v>
      </c>
      <c r="AH1317" s="155">
        <v>3.9859585938118238</v>
      </c>
    </row>
    <row r="1318" spans="29:34">
      <c r="AC1318" s="155" t="s">
        <v>54</v>
      </c>
      <c r="AD1318" s="155" t="s">
        <v>20</v>
      </c>
      <c r="AE1318" s="155" t="s">
        <v>72</v>
      </c>
      <c r="AF1318" s="155" t="s">
        <v>51</v>
      </c>
      <c r="AG1318" s="155" t="s">
        <v>268</v>
      </c>
      <c r="AH1318" s="155">
        <v>3.9307500000000002</v>
      </c>
    </row>
    <row r="1319" spans="29:34">
      <c r="AC1319" s="155" t="s">
        <v>54</v>
      </c>
      <c r="AD1319" s="155" t="s">
        <v>20</v>
      </c>
      <c r="AE1319" s="155" t="s">
        <v>72</v>
      </c>
      <c r="AF1319" s="155" t="s">
        <v>51</v>
      </c>
      <c r="AG1319" s="155" t="s">
        <v>269</v>
      </c>
      <c r="AH1319" s="155">
        <v>4.0450184023842457</v>
      </c>
    </row>
    <row r="1320" spans="29:34">
      <c r="AC1320" s="155" t="s">
        <v>54</v>
      </c>
      <c r="AD1320" s="155" t="s">
        <v>20</v>
      </c>
      <c r="AE1320" s="155" t="s">
        <v>72</v>
      </c>
      <c r="AF1320" s="155" t="s">
        <v>51</v>
      </c>
      <c r="AG1320" s="155" t="s">
        <v>270</v>
      </c>
      <c r="AH1320" s="155">
        <v>3.9837031909148659</v>
      </c>
    </row>
    <row r="1321" spans="29:34">
      <c r="AC1321" s="155" t="s">
        <v>54</v>
      </c>
      <c r="AD1321" s="155" t="s">
        <v>20</v>
      </c>
      <c r="AE1321" s="155" t="s">
        <v>72</v>
      </c>
      <c r="AF1321" s="155" t="s">
        <v>51</v>
      </c>
      <c r="AG1321" s="155" t="s">
        <v>271</v>
      </c>
      <c r="AH1321" s="155">
        <v>4.0450184023842457</v>
      </c>
    </row>
    <row r="1322" spans="29:34">
      <c r="AC1322" s="155" t="s">
        <v>54</v>
      </c>
      <c r="AD1322" s="155" t="s">
        <v>20</v>
      </c>
      <c r="AE1322" s="155" t="s">
        <v>72</v>
      </c>
      <c r="AF1322" s="155" t="s">
        <v>51</v>
      </c>
      <c r="AG1322" s="155" t="s">
        <v>272</v>
      </c>
      <c r="AH1322" s="155">
        <v>4.0450184023842457</v>
      </c>
    </row>
    <row r="1323" spans="29:34">
      <c r="AC1323" s="155" t="s">
        <v>54</v>
      </c>
      <c r="AD1323" s="155" t="s">
        <v>20</v>
      </c>
      <c r="AE1323" s="155" t="s">
        <v>72</v>
      </c>
      <c r="AF1323" s="155" t="s">
        <v>51</v>
      </c>
      <c r="AG1323" s="155" t="s">
        <v>273</v>
      </c>
      <c r="AH1323" s="155">
        <v>3.8995000000000002</v>
      </c>
    </row>
    <row r="1324" spans="29:34">
      <c r="AC1324" s="155" t="s">
        <v>54</v>
      </c>
      <c r="AD1324" s="155" t="s">
        <v>20</v>
      </c>
      <c r="AE1324" s="155" t="s">
        <v>72</v>
      </c>
      <c r="AF1324" s="155" t="s">
        <v>51</v>
      </c>
      <c r="AG1324" s="155" t="s">
        <v>274</v>
      </c>
      <c r="AH1324" s="155">
        <v>4.0450184023842457</v>
      </c>
    </row>
    <row r="1325" spans="29:34">
      <c r="AC1325" s="155" t="s">
        <v>54</v>
      </c>
      <c r="AD1325" s="155" t="s">
        <v>20</v>
      </c>
      <c r="AE1325" s="155" t="s">
        <v>72</v>
      </c>
      <c r="AF1325" s="155" t="s">
        <v>51</v>
      </c>
      <c r="AG1325" s="155" t="s">
        <v>275</v>
      </c>
      <c r="AH1325" s="155">
        <v>4.0450184023842457</v>
      </c>
    </row>
    <row r="1326" spans="29:34">
      <c r="AC1326" s="155" t="s">
        <v>54</v>
      </c>
      <c r="AD1326" s="155" t="s">
        <v>20</v>
      </c>
      <c r="AE1326" s="155" t="s">
        <v>72</v>
      </c>
      <c r="AF1326" s="155" t="s">
        <v>51</v>
      </c>
      <c r="AG1326" s="155" t="s">
        <v>276</v>
      </c>
      <c r="AH1326" s="155">
        <v>4.0450184023842457</v>
      </c>
    </row>
    <row r="1327" spans="29:34">
      <c r="AC1327" s="155" t="s">
        <v>54</v>
      </c>
      <c r="AD1327" s="155" t="s">
        <v>20</v>
      </c>
      <c r="AE1327" s="155" t="s">
        <v>72</v>
      </c>
      <c r="AF1327" s="155" t="s">
        <v>51</v>
      </c>
      <c r="AG1327" s="155" t="s">
        <v>277</v>
      </c>
      <c r="AH1327" s="155">
        <v>3.8995000000000002</v>
      </c>
    </row>
    <row r="1328" spans="29:34">
      <c r="AC1328" s="155" t="s">
        <v>54</v>
      </c>
      <c r="AD1328" s="155" t="s">
        <v>20</v>
      </c>
      <c r="AE1328" s="155" t="s">
        <v>72</v>
      </c>
      <c r="AF1328" s="155" t="s">
        <v>51</v>
      </c>
      <c r="AG1328" s="155" t="s">
        <v>278</v>
      </c>
      <c r="AH1328" s="155">
        <v>4.0450184023842457</v>
      </c>
    </row>
    <row r="1329" spans="29:34">
      <c r="AC1329" s="155" t="s">
        <v>54</v>
      </c>
      <c r="AD1329" s="155" t="s">
        <v>20</v>
      </c>
      <c r="AE1329" s="155" t="s">
        <v>72</v>
      </c>
      <c r="AF1329" s="155" t="s">
        <v>51</v>
      </c>
      <c r="AG1329" s="155" t="s">
        <v>279</v>
      </c>
      <c r="AH1329" s="155">
        <v>4.0450184023842457</v>
      </c>
    </row>
    <row r="1330" spans="29:34">
      <c r="AC1330" s="155" t="s">
        <v>54</v>
      </c>
      <c r="AD1330" s="155" t="s">
        <v>20</v>
      </c>
      <c r="AE1330" s="155" t="s">
        <v>72</v>
      </c>
      <c r="AF1330" s="155" t="s">
        <v>51</v>
      </c>
      <c r="AG1330" s="155" t="s">
        <v>280</v>
      </c>
      <c r="AH1330" s="155">
        <v>4.0574342576350091</v>
      </c>
    </row>
    <row r="1331" spans="29:34">
      <c r="AC1331" s="155" t="s">
        <v>54</v>
      </c>
      <c r="AD1331" s="155" t="s">
        <v>20</v>
      </c>
      <c r="AE1331" s="155" t="s">
        <v>72</v>
      </c>
      <c r="AF1331" s="155" t="s">
        <v>51</v>
      </c>
      <c r="AG1331" s="155" t="s">
        <v>281</v>
      </c>
      <c r="AH1331" s="155">
        <v>4.1096088113743745</v>
      </c>
    </row>
    <row r="1332" spans="29:34">
      <c r="AC1332" s="155" t="s">
        <v>54</v>
      </c>
      <c r="AD1332" s="155" t="s">
        <v>20</v>
      </c>
      <c r="AE1332" s="155" t="s">
        <v>72</v>
      </c>
      <c r="AF1332" s="155" t="s">
        <v>51</v>
      </c>
      <c r="AG1332" s="155" t="s">
        <v>282</v>
      </c>
      <c r="AH1332" s="155">
        <v>4.0574342576350091</v>
      </c>
    </row>
    <row r="1333" spans="29:34">
      <c r="AC1333" s="155" t="s">
        <v>54</v>
      </c>
      <c r="AD1333" s="155" t="s">
        <v>20</v>
      </c>
      <c r="AE1333" s="155" t="s">
        <v>72</v>
      </c>
      <c r="AF1333" s="155" t="s">
        <v>51</v>
      </c>
      <c r="AG1333" s="155" t="s">
        <v>283</v>
      </c>
      <c r="AH1333" s="155">
        <v>4.1096088113743745</v>
      </c>
    </row>
    <row r="1334" spans="29:34">
      <c r="AC1334" s="155" t="s">
        <v>54</v>
      </c>
      <c r="AD1334" s="155" t="s">
        <v>20</v>
      </c>
      <c r="AE1334" s="155" t="s">
        <v>72</v>
      </c>
      <c r="AF1334" s="155" t="s">
        <v>51</v>
      </c>
      <c r="AG1334" s="155" t="s">
        <v>284</v>
      </c>
      <c r="AH1334" s="155">
        <v>4.1736875443783283</v>
      </c>
    </row>
    <row r="1335" spans="29:34">
      <c r="AC1335" s="155" t="s">
        <v>54</v>
      </c>
      <c r="AD1335" s="155" t="s">
        <v>20</v>
      </c>
      <c r="AE1335" s="155" t="s">
        <v>72</v>
      </c>
      <c r="AF1335" s="155" t="s">
        <v>51</v>
      </c>
      <c r="AG1335" s="155" t="s">
        <v>285</v>
      </c>
      <c r="AH1335" s="155">
        <v>4.1150044973420323</v>
      </c>
    </row>
    <row r="1336" spans="29:34">
      <c r="AC1336" s="155" t="s">
        <v>54</v>
      </c>
      <c r="AD1336" s="155" t="s">
        <v>20</v>
      </c>
      <c r="AE1336" s="155" t="s">
        <v>72</v>
      </c>
      <c r="AF1336" s="155" t="s">
        <v>51</v>
      </c>
      <c r="AG1336" s="155" t="s">
        <v>286</v>
      </c>
      <c r="AH1336" s="155">
        <v>4.2993060683645599</v>
      </c>
    </row>
    <row r="1337" spans="29:34">
      <c r="AC1337" s="155" t="s">
        <v>54</v>
      </c>
      <c r="AD1337" s="155" t="s">
        <v>20</v>
      </c>
      <c r="AE1337" s="155" t="s">
        <v>72</v>
      </c>
      <c r="AF1337" s="155" t="s">
        <v>51</v>
      </c>
      <c r="AG1337" s="155" t="s">
        <v>287</v>
      </c>
      <c r="AH1337" s="155">
        <v>4.2993060683645599</v>
      </c>
    </row>
    <row r="1338" spans="29:34">
      <c r="AC1338" s="155" t="s">
        <v>54</v>
      </c>
      <c r="AD1338" s="155" t="s">
        <v>20</v>
      </c>
      <c r="AE1338" s="155" t="s">
        <v>72</v>
      </c>
      <c r="AF1338" s="155" t="s">
        <v>51</v>
      </c>
      <c r="AG1338" s="155" t="s">
        <v>288</v>
      </c>
      <c r="AH1338" s="155">
        <v>4.2782551582169841</v>
      </c>
    </row>
    <row r="1339" spans="29:34">
      <c r="AC1339" s="155" t="s">
        <v>54</v>
      </c>
      <c r="AD1339" s="155" t="s">
        <v>20</v>
      </c>
      <c r="AE1339" s="155" t="s">
        <v>72</v>
      </c>
      <c r="AF1339" s="155" t="s">
        <v>51</v>
      </c>
      <c r="AG1339" s="155" t="s">
        <v>289</v>
      </c>
      <c r="AH1339" s="155">
        <v>4.2993060683645599</v>
      </c>
    </row>
    <row r="1340" spans="29:34">
      <c r="AC1340" s="155" t="s">
        <v>54</v>
      </c>
      <c r="AD1340" s="155" t="s">
        <v>20</v>
      </c>
      <c r="AE1340" s="155" t="s">
        <v>72</v>
      </c>
      <c r="AF1340" s="155" t="s">
        <v>51</v>
      </c>
      <c r="AG1340" s="155" t="s">
        <v>290</v>
      </c>
      <c r="AH1340" s="155">
        <v>4.235466264314165</v>
      </c>
    </row>
    <row r="1341" spans="29:34">
      <c r="AC1341" s="155" t="s">
        <v>54</v>
      </c>
      <c r="AD1341" s="155" t="s">
        <v>20</v>
      </c>
      <c r="AE1341" s="155" t="s">
        <v>72</v>
      </c>
      <c r="AF1341" s="155" t="s">
        <v>51</v>
      </c>
      <c r="AG1341" s="155" t="s">
        <v>291</v>
      </c>
      <c r="AH1341" s="155">
        <v>4.1834441354607952</v>
      </c>
    </row>
    <row r="1342" spans="29:34">
      <c r="AC1342" s="155" t="s">
        <v>54</v>
      </c>
      <c r="AD1342" s="155" t="s">
        <v>20</v>
      </c>
      <c r="AE1342" s="155" t="s">
        <v>72</v>
      </c>
      <c r="AF1342" s="155" t="s">
        <v>51</v>
      </c>
      <c r="AG1342" s="155" t="s">
        <v>292</v>
      </c>
      <c r="AH1342" s="155">
        <v>4.235466264314165</v>
      </c>
    </row>
    <row r="1343" spans="29:34">
      <c r="AC1343" s="155" t="s">
        <v>54</v>
      </c>
      <c r="AD1343" s="155" t="s">
        <v>20</v>
      </c>
      <c r="AE1343" s="155" t="s">
        <v>72</v>
      </c>
      <c r="AF1343" s="155" t="s">
        <v>51</v>
      </c>
      <c r="AG1343" s="155" t="s">
        <v>293</v>
      </c>
      <c r="AH1343" s="155">
        <v>4.1834441354607952</v>
      </c>
    </row>
    <row r="1344" spans="29:34">
      <c r="AC1344" s="155" t="s">
        <v>54</v>
      </c>
      <c r="AD1344" s="155" t="s">
        <v>20</v>
      </c>
      <c r="AE1344" s="155" t="s">
        <v>72</v>
      </c>
      <c r="AF1344" s="155" t="s">
        <v>51</v>
      </c>
      <c r="AG1344" s="155" t="s">
        <v>294</v>
      </c>
      <c r="AH1344" s="155">
        <v>4.1521941354607952</v>
      </c>
    </row>
    <row r="1345" spans="29:34">
      <c r="AC1345" s="155" t="s">
        <v>54</v>
      </c>
      <c r="AD1345" s="155" t="s">
        <v>20</v>
      </c>
      <c r="AE1345" s="155" t="s">
        <v>72</v>
      </c>
      <c r="AF1345" s="155" t="s">
        <v>51</v>
      </c>
      <c r="AG1345" s="155" t="s">
        <v>295</v>
      </c>
      <c r="AH1345" s="155">
        <v>4.1521941354607952</v>
      </c>
    </row>
    <row r="1346" spans="29:34">
      <c r="AC1346" s="155" t="s">
        <v>54</v>
      </c>
      <c r="AD1346" s="155" t="s">
        <v>20</v>
      </c>
      <c r="AE1346" s="155" t="s">
        <v>72</v>
      </c>
      <c r="AF1346" s="155" t="s">
        <v>51</v>
      </c>
      <c r="AG1346" s="155" t="s">
        <v>236</v>
      </c>
      <c r="AH1346" s="155">
        <v>4.1946941354607956</v>
      </c>
    </row>
    <row r="1347" spans="29:34">
      <c r="AC1347" s="155" t="s">
        <v>54</v>
      </c>
      <c r="AD1347" s="155" t="s">
        <v>20</v>
      </c>
      <c r="AE1347" s="155" t="s">
        <v>72</v>
      </c>
      <c r="AF1347" s="155" t="s">
        <v>51</v>
      </c>
      <c r="AG1347" s="155" t="s">
        <v>296</v>
      </c>
      <c r="AH1347" s="155">
        <v>4.1634441354607956</v>
      </c>
    </row>
    <row r="1348" spans="29:34">
      <c r="AC1348" s="155" t="s">
        <v>54</v>
      </c>
      <c r="AD1348" s="155" t="s">
        <v>20</v>
      </c>
      <c r="AE1348" s="155" t="s">
        <v>72</v>
      </c>
      <c r="AF1348" s="155" t="s">
        <v>51</v>
      </c>
      <c r="AG1348" s="155" t="s">
        <v>297</v>
      </c>
      <c r="AH1348" s="155">
        <v>4.1634441354607956</v>
      </c>
    </row>
    <row r="1349" spans="29:34">
      <c r="AC1349" s="155" t="s">
        <v>54</v>
      </c>
      <c r="AD1349" s="155" t="s">
        <v>20</v>
      </c>
      <c r="AE1349" s="155" t="s">
        <v>72</v>
      </c>
      <c r="AF1349" s="155" t="s">
        <v>51</v>
      </c>
      <c r="AG1349" s="155" t="s">
        <v>298</v>
      </c>
      <c r="AH1349" s="155">
        <v>4.1634441354607956</v>
      </c>
    </row>
    <row r="1350" spans="29:34">
      <c r="AC1350" s="155" t="s">
        <v>54</v>
      </c>
      <c r="AD1350" s="155" t="s">
        <v>20</v>
      </c>
      <c r="AE1350" s="155" t="s">
        <v>72</v>
      </c>
      <c r="AF1350" s="155" t="s">
        <v>51</v>
      </c>
      <c r="AG1350" s="155" t="s">
        <v>299</v>
      </c>
      <c r="AH1350" s="155">
        <v>4.1634441354607956</v>
      </c>
    </row>
    <row r="1351" spans="29:34">
      <c r="AC1351" s="155" t="s">
        <v>54</v>
      </c>
      <c r="AD1351" s="155" t="s">
        <v>20</v>
      </c>
      <c r="AE1351" s="155" t="s">
        <v>72</v>
      </c>
      <c r="AF1351" s="155" t="s">
        <v>51</v>
      </c>
      <c r="AG1351" s="155" t="s">
        <v>300</v>
      </c>
      <c r="AH1351" s="155">
        <v>4.1208588113743749</v>
      </c>
    </row>
    <row r="1352" spans="29:34">
      <c r="AC1352" s="155" t="s">
        <v>54</v>
      </c>
      <c r="AD1352" s="155" t="s">
        <v>20</v>
      </c>
      <c r="AE1352" s="155" t="s">
        <v>72</v>
      </c>
      <c r="AF1352" s="155" t="s">
        <v>51</v>
      </c>
      <c r="AG1352" s="155" t="s">
        <v>301</v>
      </c>
      <c r="AH1352" s="155">
        <v>4.1849375443783279</v>
      </c>
    </row>
    <row r="1353" spans="29:34">
      <c r="AC1353" s="155" t="s">
        <v>54</v>
      </c>
      <c r="AD1353" s="155" t="s">
        <v>20</v>
      </c>
      <c r="AE1353" s="155" t="s">
        <v>72</v>
      </c>
      <c r="AF1353" s="155" t="s">
        <v>51</v>
      </c>
      <c r="AG1353" s="155" t="s">
        <v>302</v>
      </c>
      <c r="AH1353" s="155">
        <v>4.3105560683645603</v>
      </c>
    </row>
    <row r="1354" spans="29:34">
      <c r="AC1354" s="155" t="s">
        <v>54</v>
      </c>
      <c r="AD1354" s="155" t="s">
        <v>20</v>
      </c>
      <c r="AE1354" s="155" t="s">
        <v>72</v>
      </c>
      <c r="AF1354" s="155" t="s">
        <v>51</v>
      </c>
      <c r="AG1354" s="155" t="s">
        <v>303</v>
      </c>
      <c r="AH1354" s="155">
        <v>4.2467162643141645</v>
      </c>
    </row>
    <row r="1355" spans="29:34">
      <c r="AC1355" s="155" t="s">
        <v>54</v>
      </c>
      <c r="AD1355" s="155" t="s">
        <v>20</v>
      </c>
      <c r="AE1355" s="155" t="s">
        <v>72</v>
      </c>
      <c r="AF1355" s="155" t="s">
        <v>51</v>
      </c>
      <c r="AG1355" s="155" t="s">
        <v>304</v>
      </c>
      <c r="AH1355" s="155">
        <v>4.1321941354607956</v>
      </c>
    </row>
    <row r="1356" spans="29:34">
      <c r="AC1356" s="155" t="s">
        <v>54</v>
      </c>
      <c r="AD1356" s="155" t="s">
        <v>20</v>
      </c>
      <c r="AE1356" s="155" t="s">
        <v>72</v>
      </c>
      <c r="AF1356" s="155" t="s">
        <v>51</v>
      </c>
      <c r="AG1356" s="155" t="s">
        <v>305</v>
      </c>
      <c r="AH1356" s="155">
        <v>4.1321941354607956</v>
      </c>
    </row>
    <row r="1357" spans="29:34">
      <c r="AC1357" s="155" t="s">
        <v>54</v>
      </c>
      <c r="AD1357" s="155" t="s">
        <v>20</v>
      </c>
      <c r="AE1357" s="155" t="s">
        <v>72</v>
      </c>
      <c r="AF1357" s="155" t="s">
        <v>51</v>
      </c>
      <c r="AG1357" s="155" t="s">
        <v>306</v>
      </c>
      <c r="AH1357" s="155">
        <v>4.1321941354607956</v>
      </c>
    </row>
    <row r="1358" spans="29:34">
      <c r="AC1358" s="155" t="s">
        <v>54</v>
      </c>
      <c r="AD1358" s="155" t="s">
        <v>20</v>
      </c>
      <c r="AE1358" s="155" t="s">
        <v>72</v>
      </c>
      <c r="AF1358" s="155" t="s">
        <v>51</v>
      </c>
      <c r="AG1358" s="155" t="s">
        <v>307</v>
      </c>
      <c r="AH1358" s="155">
        <v>4.1634441354607956</v>
      </c>
    </row>
    <row r="1359" spans="29:34">
      <c r="AC1359" s="155" t="s">
        <v>54</v>
      </c>
      <c r="AD1359" s="155" t="s">
        <v>20</v>
      </c>
      <c r="AE1359" s="155" t="s">
        <v>72</v>
      </c>
      <c r="AF1359" s="155" t="s">
        <v>51</v>
      </c>
      <c r="AG1359" s="155" t="s">
        <v>308</v>
      </c>
      <c r="AH1359" s="155">
        <v>4.1634441354607956</v>
      </c>
    </row>
    <row r="1360" spans="29:34">
      <c r="AC1360" s="155" t="s">
        <v>54</v>
      </c>
      <c r="AD1360" s="155" t="s">
        <v>20</v>
      </c>
      <c r="AE1360" s="155" t="s">
        <v>72</v>
      </c>
      <c r="AF1360" s="155" t="s">
        <v>51</v>
      </c>
      <c r="AG1360" s="155" t="s">
        <v>309</v>
      </c>
      <c r="AH1360" s="155">
        <v>4.1321941354607956</v>
      </c>
    </row>
    <row r="1361" spans="29:34">
      <c r="AC1361" s="155" t="s">
        <v>54</v>
      </c>
      <c r="AD1361" s="155" t="s">
        <v>20</v>
      </c>
      <c r="AE1361" s="155" t="s">
        <v>72</v>
      </c>
      <c r="AF1361" s="155" t="s">
        <v>51</v>
      </c>
      <c r="AG1361" s="155" t="s">
        <v>310</v>
      </c>
      <c r="AH1361" s="155">
        <v>4.3105560683645603</v>
      </c>
    </row>
    <row r="1362" spans="29:34">
      <c r="AC1362" s="155" t="s">
        <v>54</v>
      </c>
      <c r="AD1362" s="155" t="s">
        <v>20</v>
      </c>
      <c r="AE1362" s="155" t="s">
        <v>72</v>
      </c>
      <c r="AF1362" s="155" t="s">
        <v>51</v>
      </c>
      <c r="AG1362" s="155" t="s">
        <v>311</v>
      </c>
      <c r="AH1362" s="155">
        <v>4.3105560683645603</v>
      </c>
    </row>
    <row r="1363" spans="29:34">
      <c r="AC1363" s="155" t="s">
        <v>54</v>
      </c>
      <c r="AD1363" s="155" t="s">
        <v>20</v>
      </c>
      <c r="AE1363" s="155" t="s">
        <v>72</v>
      </c>
      <c r="AF1363" s="155" t="s">
        <v>51</v>
      </c>
      <c r="AG1363" s="155" t="s">
        <v>235</v>
      </c>
      <c r="AH1363" s="155">
        <v>4.2467162643141645</v>
      </c>
    </row>
    <row r="1364" spans="29:34">
      <c r="AC1364" s="155" t="s">
        <v>54</v>
      </c>
      <c r="AD1364" s="155" t="s">
        <v>20</v>
      </c>
      <c r="AE1364" s="155" t="s">
        <v>72</v>
      </c>
      <c r="AF1364" s="155" t="s">
        <v>51</v>
      </c>
      <c r="AG1364" s="155" t="s">
        <v>312</v>
      </c>
      <c r="AH1364" s="155">
        <v>4.1634441354607956</v>
      </c>
    </row>
    <row r="1365" spans="29:34">
      <c r="AC1365" s="155" t="s">
        <v>54</v>
      </c>
      <c r="AD1365" s="155" t="s">
        <v>20</v>
      </c>
      <c r="AE1365" s="155" t="s">
        <v>72</v>
      </c>
      <c r="AF1365" s="155" t="s">
        <v>51</v>
      </c>
      <c r="AG1365" s="155" t="s">
        <v>313</v>
      </c>
      <c r="AH1365" s="155">
        <v>4.1634441354607956</v>
      </c>
    </row>
    <row r="1366" spans="29:34">
      <c r="AC1366" s="155" t="s">
        <v>54</v>
      </c>
      <c r="AD1366" s="155" t="s">
        <v>20</v>
      </c>
      <c r="AE1366" s="155" t="s">
        <v>72</v>
      </c>
      <c r="AF1366" s="155" t="s">
        <v>51</v>
      </c>
      <c r="AG1366" s="155" t="s">
        <v>314</v>
      </c>
      <c r="AH1366" s="155">
        <v>4.1946941354607956</v>
      </c>
    </row>
    <row r="1367" spans="29:34">
      <c r="AC1367" s="155" t="s">
        <v>54</v>
      </c>
      <c r="AD1367" s="155" t="s">
        <v>20</v>
      </c>
      <c r="AE1367" s="155" t="s">
        <v>72</v>
      </c>
      <c r="AF1367" s="155" t="s">
        <v>51</v>
      </c>
      <c r="AG1367" s="155" t="s">
        <v>234</v>
      </c>
      <c r="AH1367" s="155">
        <v>4.2582551582169845</v>
      </c>
    </row>
    <row r="1368" spans="29:34">
      <c r="AC1368" s="155" t="s">
        <v>54</v>
      </c>
      <c r="AD1368" s="155" t="s">
        <v>20</v>
      </c>
      <c r="AE1368" s="155" t="s">
        <v>72</v>
      </c>
      <c r="AF1368" s="155" t="s">
        <v>51</v>
      </c>
      <c r="AG1368" s="155" t="s">
        <v>237</v>
      </c>
      <c r="AH1368" s="155">
        <v>4.3105560683645603</v>
      </c>
    </row>
    <row r="1369" spans="29:34">
      <c r="AC1369" s="155" t="s">
        <v>54</v>
      </c>
      <c r="AD1369" s="155" t="s">
        <v>20</v>
      </c>
      <c r="AE1369" s="155" t="s">
        <v>72</v>
      </c>
      <c r="AF1369" s="155" t="s">
        <v>51</v>
      </c>
      <c r="AG1369" s="155" t="s">
        <v>319</v>
      </c>
      <c r="AH1369" s="155">
        <v>4.3105560683645603</v>
      </c>
    </row>
    <row r="1370" spans="29:34">
      <c r="AC1370" s="155" t="s">
        <v>54</v>
      </c>
      <c r="AD1370" s="155" t="s">
        <v>20</v>
      </c>
      <c r="AE1370" s="155" t="s">
        <v>72</v>
      </c>
      <c r="AF1370" s="155" t="s">
        <v>51</v>
      </c>
      <c r="AG1370" s="155" t="s">
        <v>320</v>
      </c>
      <c r="AH1370" s="155">
        <v>4.3105560683645603</v>
      </c>
    </row>
    <row r="1371" spans="29:34">
      <c r="AC1371" s="155" t="s">
        <v>54</v>
      </c>
      <c r="AD1371" s="155" t="s">
        <v>20</v>
      </c>
      <c r="AE1371" s="155" t="s">
        <v>72</v>
      </c>
      <c r="AF1371" s="155" t="s">
        <v>51</v>
      </c>
      <c r="AG1371" s="155" t="s">
        <v>321</v>
      </c>
      <c r="AH1371" s="155">
        <v>4.2467162643141645</v>
      </c>
    </row>
    <row r="1372" spans="29:34">
      <c r="AC1372" s="155" t="s">
        <v>54</v>
      </c>
      <c r="AD1372" s="155" t="s">
        <v>20</v>
      </c>
      <c r="AE1372" s="155" t="s">
        <v>72</v>
      </c>
      <c r="AF1372" s="155" t="s">
        <v>51</v>
      </c>
      <c r="AG1372" s="155" t="s">
        <v>322</v>
      </c>
      <c r="AH1372" s="155">
        <v>4.1634441354607956</v>
      </c>
    </row>
    <row r="1373" spans="29:34">
      <c r="AC1373" s="155" t="s">
        <v>54</v>
      </c>
      <c r="AD1373" s="155" t="s">
        <v>20</v>
      </c>
      <c r="AE1373" s="155" t="s">
        <v>72</v>
      </c>
      <c r="AF1373" s="155" t="s">
        <v>51</v>
      </c>
      <c r="AG1373" s="155" t="s">
        <v>323</v>
      </c>
      <c r="AH1373" s="155">
        <v>4.1946941354607956</v>
      </c>
    </row>
    <row r="1374" spans="29:34">
      <c r="AC1374" s="155" t="s">
        <v>54</v>
      </c>
      <c r="AD1374" s="155" t="s">
        <v>20</v>
      </c>
      <c r="AE1374" s="155" t="s">
        <v>72</v>
      </c>
      <c r="AF1374" s="155" t="s">
        <v>51</v>
      </c>
      <c r="AG1374" s="155" t="s">
        <v>324</v>
      </c>
      <c r="AH1374" s="155">
        <v>4.1634441354607956</v>
      </c>
    </row>
    <row r="1375" spans="29:34">
      <c r="AC1375" s="155" t="s">
        <v>54</v>
      </c>
      <c r="AD1375" s="155" t="s">
        <v>20</v>
      </c>
      <c r="AE1375" s="155" t="s">
        <v>72</v>
      </c>
      <c r="AF1375" s="155" t="s">
        <v>51</v>
      </c>
      <c r="AG1375" s="155" t="s">
        <v>325</v>
      </c>
      <c r="AH1375" s="155">
        <v>4.0741991407434552</v>
      </c>
    </row>
    <row r="1376" spans="29:34">
      <c r="AC1376" s="155" t="s">
        <v>54</v>
      </c>
      <c r="AD1376" s="155" t="s">
        <v>20</v>
      </c>
      <c r="AE1376" s="155" t="s">
        <v>72</v>
      </c>
      <c r="AF1376" s="155" t="s">
        <v>51</v>
      </c>
      <c r="AG1376" s="155" t="s">
        <v>326</v>
      </c>
      <c r="AH1376" s="155">
        <v>4.0741991407434552</v>
      </c>
    </row>
    <row r="1377" spans="29:34">
      <c r="AC1377" s="155" t="s">
        <v>54</v>
      </c>
      <c r="AD1377" s="155" t="s">
        <v>20</v>
      </c>
      <c r="AE1377" s="155" t="s">
        <v>72</v>
      </c>
      <c r="AF1377" s="155" t="s">
        <v>51</v>
      </c>
      <c r="AG1377" s="155" t="s">
        <v>327</v>
      </c>
      <c r="AH1377" s="155">
        <v>4.0741991407434552</v>
      </c>
    </row>
    <row r="1378" spans="29:34">
      <c r="AC1378" s="155" t="s">
        <v>54</v>
      </c>
      <c r="AD1378" s="155" t="s">
        <v>20</v>
      </c>
      <c r="AE1378" s="155" t="s">
        <v>72</v>
      </c>
      <c r="AF1378" s="155" t="s">
        <v>51</v>
      </c>
      <c r="AG1378" s="155" t="s">
        <v>328</v>
      </c>
      <c r="AH1378" s="155">
        <v>4.1208588113743749</v>
      </c>
    </row>
    <row r="1379" spans="29:34">
      <c r="AC1379" s="155" t="s">
        <v>54</v>
      </c>
      <c r="AD1379" s="155" t="s">
        <v>20</v>
      </c>
      <c r="AE1379" s="155" t="s">
        <v>72</v>
      </c>
      <c r="AF1379" s="155" t="s">
        <v>51</v>
      </c>
      <c r="AG1379" s="155" t="s">
        <v>329</v>
      </c>
      <c r="AH1379" s="155">
        <v>4.1849375443783279</v>
      </c>
    </row>
    <row r="1380" spans="29:34">
      <c r="AC1380" s="155" t="s">
        <v>54</v>
      </c>
      <c r="AD1380" s="155" t="s">
        <v>20</v>
      </c>
      <c r="AE1380" s="155" t="s">
        <v>72</v>
      </c>
      <c r="AF1380" s="155" t="s">
        <v>51</v>
      </c>
      <c r="AG1380" s="155" t="s">
        <v>330</v>
      </c>
      <c r="AH1380" s="155">
        <v>4.1208588113743749</v>
      </c>
    </row>
    <row r="1381" spans="29:34">
      <c r="AC1381" s="155" t="s">
        <v>54</v>
      </c>
      <c r="AD1381" s="155" t="s">
        <v>20</v>
      </c>
      <c r="AE1381" s="155" t="s">
        <v>72</v>
      </c>
      <c r="AF1381" s="155" t="s">
        <v>51</v>
      </c>
      <c r="AG1381" s="155" t="s">
        <v>331</v>
      </c>
      <c r="AH1381" s="155">
        <v>4.0061842576350095</v>
      </c>
    </row>
    <row r="1382" spans="29:34">
      <c r="AC1382" s="155" t="s">
        <v>54</v>
      </c>
      <c r="AD1382" s="155" t="s">
        <v>20</v>
      </c>
      <c r="AE1382" s="155" t="s">
        <v>72</v>
      </c>
      <c r="AF1382" s="155" t="s">
        <v>51</v>
      </c>
      <c r="AG1382" s="155" t="s">
        <v>332</v>
      </c>
      <c r="AH1382" s="155">
        <v>4.0686842576350095</v>
      </c>
    </row>
    <row r="1383" spans="29:34">
      <c r="AC1383" s="155" t="s">
        <v>54</v>
      </c>
      <c r="AD1383" s="155" t="s">
        <v>20</v>
      </c>
      <c r="AE1383" s="155" t="s">
        <v>72</v>
      </c>
      <c r="AF1383" s="155" t="s">
        <v>51</v>
      </c>
      <c r="AG1383" s="155" t="s">
        <v>333</v>
      </c>
      <c r="AH1383" s="155">
        <v>4.0061842576350095</v>
      </c>
    </row>
    <row r="1384" spans="29:34">
      <c r="AC1384" s="155" t="s">
        <v>54</v>
      </c>
      <c r="AD1384" s="155" t="s">
        <v>20</v>
      </c>
      <c r="AE1384" s="155" t="s">
        <v>72</v>
      </c>
      <c r="AF1384" s="155" t="s">
        <v>51</v>
      </c>
      <c r="AG1384" s="155" t="s">
        <v>334</v>
      </c>
      <c r="AH1384" s="155">
        <v>4.0061842576350095</v>
      </c>
    </row>
    <row r="1385" spans="29:34">
      <c r="AC1385" s="155" t="s">
        <v>54</v>
      </c>
      <c r="AD1385" s="155" t="s">
        <v>20</v>
      </c>
      <c r="AE1385" s="155" t="s">
        <v>72</v>
      </c>
      <c r="AF1385" s="155" t="s">
        <v>51</v>
      </c>
      <c r="AG1385" s="155" t="s">
        <v>335</v>
      </c>
      <c r="AH1385" s="155">
        <v>4.0374342576350095</v>
      </c>
    </row>
    <row r="1386" spans="29:34">
      <c r="AC1386" s="155" t="s">
        <v>54</v>
      </c>
      <c r="AD1386" s="155" t="s">
        <v>20</v>
      </c>
      <c r="AE1386" s="155" t="s">
        <v>72</v>
      </c>
      <c r="AF1386" s="155" t="s">
        <v>51</v>
      </c>
      <c r="AG1386" s="155" t="s">
        <v>336</v>
      </c>
      <c r="AH1386" s="155">
        <v>4.0061842576350095</v>
      </c>
    </row>
    <row r="1387" spans="29:34">
      <c r="AC1387" s="155" t="s">
        <v>54</v>
      </c>
      <c r="AD1387" s="155" t="s">
        <v>20</v>
      </c>
      <c r="AE1387" s="155" t="s">
        <v>72</v>
      </c>
      <c r="AF1387" s="155" t="s">
        <v>51</v>
      </c>
      <c r="AG1387" s="155" t="s">
        <v>316</v>
      </c>
      <c r="AH1387" s="155">
        <v>4.0061842576350095</v>
      </c>
    </row>
    <row r="1388" spans="29:34">
      <c r="AC1388" s="155" t="s">
        <v>54</v>
      </c>
      <c r="AD1388" s="155" t="s">
        <v>20</v>
      </c>
      <c r="AE1388" s="155" t="s">
        <v>72</v>
      </c>
      <c r="AF1388" s="155" t="s">
        <v>51</v>
      </c>
      <c r="AG1388" s="155" t="s">
        <v>337</v>
      </c>
      <c r="AH1388" s="155">
        <v>4.0061842576350095</v>
      </c>
    </row>
    <row r="1389" spans="29:34">
      <c r="AC1389" s="155" t="s">
        <v>54</v>
      </c>
      <c r="AD1389" s="155" t="s">
        <v>20</v>
      </c>
      <c r="AE1389" s="155" t="s">
        <v>72</v>
      </c>
      <c r="AF1389" s="155" t="s">
        <v>51</v>
      </c>
      <c r="AG1389" s="155" t="s">
        <v>338</v>
      </c>
      <c r="AH1389" s="155">
        <v>4.0562684023842452</v>
      </c>
    </row>
    <row r="1390" spans="29:34">
      <c r="AC1390" s="155" t="s">
        <v>54</v>
      </c>
      <c r="AD1390" s="155" t="s">
        <v>20</v>
      </c>
      <c r="AE1390" s="155" t="s">
        <v>72</v>
      </c>
      <c r="AF1390" s="155" t="s">
        <v>51</v>
      </c>
      <c r="AG1390" s="155" t="s">
        <v>339</v>
      </c>
      <c r="AH1390" s="155">
        <v>3.942625501411162</v>
      </c>
    </row>
    <row r="1391" spans="29:34">
      <c r="AC1391" s="155" t="s">
        <v>54</v>
      </c>
      <c r="AD1391" s="155" t="s">
        <v>20</v>
      </c>
      <c r="AE1391" s="155" t="s">
        <v>72</v>
      </c>
      <c r="AF1391" s="155" t="s">
        <v>51</v>
      </c>
      <c r="AG1391" s="155" t="s">
        <v>315</v>
      </c>
      <c r="AH1391" s="155">
        <v>3.9949531909148654</v>
      </c>
    </row>
    <row r="1392" spans="29:34">
      <c r="AC1392" s="155" t="s">
        <v>54</v>
      </c>
      <c r="AD1392" s="155" t="s">
        <v>20</v>
      </c>
      <c r="AE1392" s="155" t="s">
        <v>72</v>
      </c>
      <c r="AF1392" s="155" t="s">
        <v>51</v>
      </c>
      <c r="AG1392" s="155" t="s">
        <v>318</v>
      </c>
      <c r="AH1392" s="155">
        <v>3.9949531909148654</v>
      </c>
    </row>
    <row r="1393" spans="29:34">
      <c r="AC1393" s="155" t="s">
        <v>55</v>
      </c>
      <c r="AD1393" s="155" t="s">
        <v>20</v>
      </c>
      <c r="AE1393" s="155" t="s">
        <v>72</v>
      </c>
      <c r="AF1393" s="155" t="s">
        <v>51</v>
      </c>
      <c r="AG1393" s="155" t="s">
        <v>130</v>
      </c>
      <c r="AH1393" s="155">
        <v>3.9170666666666665</v>
      </c>
    </row>
    <row r="1394" spans="29:34">
      <c r="AC1394" s="155" t="s">
        <v>55</v>
      </c>
      <c r="AD1394" s="155" t="s">
        <v>20</v>
      </c>
      <c r="AE1394" s="155" t="s">
        <v>72</v>
      </c>
      <c r="AF1394" s="155" t="s">
        <v>51</v>
      </c>
      <c r="AG1394" s="155" t="s">
        <v>131</v>
      </c>
      <c r="AH1394" s="155">
        <v>3.9170666666666665</v>
      </c>
    </row>
    <row r="1395" spans="29:34">
      <c r="AC1395" s="155" t="s">
        <v>55</v>
      </c>
      <c r="AD1395" s="155" t="s">
        <v>20</v>
      </c>
      <c r="AE1395" s="155" t="s">
        <v>72</v>
      </c>
      <c r="AF1395" s="155" t="s">
        <v>51</v>
      </c>
      <c r="AG1395" s="155" t="s">
        <v>132</v>
      </c>
      <c r="AH1395" s="155">
        <v>3.9170666666666665</v>
      </c>
    </row>
    <row r="1396" spans="29:34">
      <c r="AC1396" s="155" t="s">
        <v>55</v>
      </c>
      <c r="AD1396" s="155" t="s">
        <v>20</v>
      </c>
      <c r="AE1396" s="155" t="s">
        <v>72</v>
      </c>
      <c r="AF1396" s="155" t="s">
        <v>51</v>
      </c>
      <c r="AG1396" s="155" t="s">
        <v>133</v>
      </c>
      <c r="AH1396" s="155">
        <v>3.9975388163708763</v>
      </c>
    </row>
    <row r="1397" spans="29:34">
      <c r="AC1397" s="155" t="s">
        <v>55</v>
      </c>
      <c r="AD1397" s="155" t="s">
        <v>20</v>
      </c>
      <c r="AE1397" s="155" t="s">
        <v>72</v>
      </c>
      <c r="AF1397" s="155" t="s">
        <v>51</v>
      </c>
      <c r="AG1397" s="155" t="s">
        <v>134</v>
      </c>
      <c r="AH1397" s="155">
        <v>3.9543261870321942</v>
      </c>
    </row>
    <row r="1398" spans="29:34">
      <c r="AC1398" s="155" t="s">
        <v>55</v>
      </c>
      <c r="AD1398" s="155" t="s">
        <v>20</v>
      </c>
      <c r="AE1398" s="155" t="s">
        <v>72</v>
      </c>
      <c r="AF1398" s="155" t="s">
        <v>51</v>
      </c>
      <c r="AG1398" s="155" t="s">
        <v>135</v>
      </c>
      <c r="AH1398" s="155">
        <v>3.929789796110164</v>
      </c>
    </row>
    <row r="1399" spans="29:34">
      <c r="AC1399" s="155" t="s">
        <v>55</v>
      </c>
      <c r="AD1399" s="155" t="s">
        <v>20</v>
      </c>
      <c r="AE1399" s="155" t="s">
        <v>72</v>
      </c>
      <c r="AF1399" s="155" t="s">
        <v>51</v>
      </c>
      <c r="AG1399" s="155" t="s">
        <v>136</v>
      </c>
      <c r="AH1399" s="155">
        <v>3.929789796110164</v>
      </c>
    </row>
    <row r="1400" spans="29:34">
      <c r="AC1400" s="155" t="s">
        <v>55</v>
      </c>
      <c r="AD1400" s="155" t="s">
        <v>20</v>
      </c>
      <c r="AE1400" s="155" t="s">
        <v>72</v>
      </c>
      <c r="AF1400" s="155" t="s">
        <v>51</v>
      </c>
      <c r="AG1400" s="155" t="s">
        <v>137</v>
      </c>
      <c r="AH1400" s="155">
        <v>3.8281034376602534</v>
      </c>
    </row>
    <row r="1401" spans="29:34">
      <c r="AC1401" s="155" t="s">
        <v>55</v>
      </c>
      <c r="AD1401" s="155" t="s">
        <v>20</v>
      </c>
      <c r="AE1401" s="155" t="s">
        <v>72</v>
      </c>
      <c r="AF1401" s="155" t="s">
        <v>51</v>
      </c>
      <c r="AG1401" s="155" t="s">
        <v>138</v>
      </c>
      <c r="AH1401" s="155">
        <v>3.8714038285041039</v>
      </c>
    </row>
    <row r="1402" spans="29:34">
      <c r="AC1402" s="155" t="s">
        <v>55</v>
      </c>
      <c r="AD1402" s="155" t="s">
        <v>20</v>
      </c>
      <c r="AE1402" s="155" t="s">
        <v>72</v>
      </c>
      <c r="AF1402" s="155" t="s">
        <v>51</v>
      </c>
      <c r="AG1402" s="155" t="s">
        <v>139</v>
      </c>
      <c r="AH1402" s="155">
        <v>3.8281034376602534</v>
      </c>
    </row>
    <row r="1403" spans="29:34">
      <c r="AC1403" s="155" t="s">
        <v>55</v>
      </c>
      <c r="AD1403" s="155" t="s">
        <v>20</v>
      </c>
      <c r="AE1403" s="155" t="s">
        <v>72</v>
      </c>
      <c r="AF1403" s="155" t="s">
        <v>51</v>
      </c>
      <c r="AG1403" s="155" t="s">
        <v>140</v>
      </c>
      <c r="AH1403" s="155">
        <v>3.7907999999999999</v>
      </c>
    </row>
    <row r="1404" spans="29:34">
      <c r="AC1404" s="155" t="s">
        <v>55</v>
      </c>
      <c r="AD1404" s="155" t="s">
        <v>20</v>
      </c>
      <c r="AE1404" s="155" t="s">
        <v>72</v>
      </c>
      <c r="AF1404" s="155" t="s">
        <v>51</v>
      </c>
      <c r="AG1404" s="155" t="s">
        <v>141</v>
      </c>
      <c r="AH1404" s="155">
        <v>3.7452361066975079</v>
      </c>
    </row>
    <row r="1405" spans="29:34">
      <c r="AC1405" s="155" t="s">
        <v>55</v>
      </c>
      <c r="AD1405" s="155" t="s">
        <v>20</v>
      </c>
      <c r="AE1405" s="155" t="s">
        <v>72</v>
      </c>
      <c r="AF1405" s="155" t="s">
        <v>51</v>
      </c>
      <c r="AG1405" s="155" t="s">
        <v>142</v>
      </c>
      <c r="AH1405" s="155">
        <v>3.701847554934004</v>
      </c>
    </row>
    <row r="1406" spans="29:34">
      <c r="AC1406" s="155" t="s">
        <v>55</v>
      </c>
      <c r="AD1406" s="155" t="s">
        <v>20</v>
      </c>
      <c r="AE1406" s="155" t="s">
        <v>72</v>
      </c>
      <c r="AF1406" s="155" t="s">
        <v>51</v>
      </c>
      <c r="AG1406" s="155" t="s">
        <v>143</v>
      </c>
      <c r="AH1406" s="155">
        <v>3.7452361066975079</v>
      </c>
    </row>
    <row r="1407" spans="29:34">
      <c r="AC1407" s="155" t="s">
        <v>55</v>
      </c>
      <c r="AD1407" s="155" t="s">
        <v>20</v>
      </c>
      <c r="AE1407" s="155" t="s">
        <v>72</v>
      </c>
      <c r="AF1407" s="155" t="s">
        <v>51</v>
      </c>
      <c r="AG1407" s="155" t="s">
        <v>144</v>
      </c>
      <c r="AH1407" s="155">
        <v>3.7452361066975079</v>
      </c>
    </row>
    <row r="1408" spans="29:34">
      <c r="AC1408" s="155" t="s">
        <v>55</v>
      </c>
      <c r="AD1408" s="155" t="s">
        <v>20</v>
      </c>
      <c r="AE1408" s="155" t="s">
        <v>72</v>
      </c>
      <c r="AF1408" s="155" t="s">
        <v>51</v>
      </c>
      <c r="AG1408" s="155" t="s">
        <v>145</v>
      </c>
      <c r="AH1408" s="155">
        <v>3.7907999999999999</v>
      </c>
    </row>
    <row r="1409" spans="29:34">
      <c r="AC1409" s="155" t="s">
        <v>55</v>
      </c>
      <c r="AD1409" s="155" t="s">
        <v>20</v>
      </c>
      <c r="AE1409" s="155" t="s">
        <v>72</v>
      </c>
      <c r="AF1409" s="155" t="s">
        <v>51</v>
      </c>
      <c r="AG1409" s="155" t="s">
        <v>146</v>
      </c>
      <c r="AH1409" s="155">
        <v>3.8281034376602534</v>
      </c>
    </row>
    <row r="1410" spans="29:34">
      <c r="AC1410" s="155" t="s">
        <v>55</v>
      </c>
      <c r="AD1410" s="155" t="s">
        <v>20</v>
      </c>
      <c r="AE1410" s="155" t="s">
        <v>72</v>
      </c>
      <c r="AF1410" s="155" t="s">
        <v>51</v>
      </c>
      <c r="AG1410" s="155" t="s">
        <v>147</v>
      </c>
      <c r="AH1410" s="155">
        <v>3.8714038285041039</v>
      </c>
    </row>
    <row r="1411" spans="29:34">
      <c r="AC1411" s="155" t="s">
        <v>55</v>
      </c>
      <c r="AD1411" s="155" t="s">
        <v>20</v>
      </c>
      <c r="AE1411" s="155" t="s">
        <v>72</v>
      </c>
      <c r="AF1411" s="155" t="s">
        <v>51</v>
      </c>
      <c r="AG1411" s="155" t="s">
        <v>148</v>
      </c>
      <c r="AH1411" s="155">
        <v>3.8714038285041039</v>
      </c>
    </row>
    <row r="1412" spans="29:34">
      <c r="AC1412" s="155" t="s">
        <v>55</v>
      </c>
      <c r="AD1412" s="155" t="s">
        <v>20</v>
      </c>
      <c r="AE1412" s="155" t="s">
        <v>72</v>
      </c>
      <c r="AF1412" s="155" t="s">
        <v>51</v>
      </c>
      <c r="AG1412" s="155" t="s">
        <v>149</v>
      </c>
      <c r="AH1412" s="155">
        <v>3.8714038285041039</v>
      </c>
    </row>
    <row r="1413" spans="29:34">
      <c r="AC1413" s="155" t="s">
        <v>55</v>
      </c>
      <c r="AD1413" s="155" t="s">
        <v>20</v>
      </c>
      <c r="AE1413" s="155" t="s">
        <v>72</v>
      </c>
      <c r="AF1413" s="155" t="s">
        <v>51</v>
      </c>
      <c r="AG1413" s="155" t="s">
        <v>150</v>
      </c>
      <c r="AH1413" s="155">
        <v>3.8714038285041039</v>
      </c>
    </row>
    <row r="1414" spans="29:34">
      <c r="AC1414" s="155" t="s">
        <v>55</v>
      </c>
      <c r="AD1414" s="155" t="s">
        <v>20</v>
      </c>
      <c r="AE1414" s="155" t="s">
        <v>72</v>
      </c>
      <c r="AF1414" s="155" t="s">
        <v>51</v>
      </c>
      <c r="AG1414" s="155" t="s">
        <v>151</v>
      </c>
      <c r="AH1414" s="155">
        <v>3.7907999999999999</v>
      </c>
    </row>
    <row r="1415" spans="29:34">
      <c r="AC1415" s="155" t="s">
        <v>55</v>
      </c>
      <c r="AD1415" s="155" t="s">
        <v>20</v>
      </c>
      <c r="AE1415" s="155" t="s">
        <v>72</v>
      </c>
      <c r="AF1415" s="155" t="s">
        <v>51</v>
      </c>
      <c r="AG1415" s="155" t="s">
        <v>152</v>
      </c>
      <c r="AH1415" s="155">
        <v>3.7907999999999999</v>
      </c>
    </row>
    <row r="1416" spans="29:34">
      <c r="AC1416" s="155" t="s">
        <v>55</v>
      </c>
      <c r="AD1416" s="155" t="s">
        <v>20</v>
      </c>
      <c r="AE1416" s="155" t="s">
        <v>72</v>
      </c>
      <c r="AF1416" s="155" t="s">
        <v>51</v>
      </c>
      <c r="AG1416" s="155" t="s">
        <v>153</v>
      </c>
      <c r="AH1416" s="155">
        <v>3.8038200779030156</v>
      </c>
    </row>
    <row r="1417" spans="29:34">
      <c r="AC1417" s="155" t="s">
        <v>55</v>
      </c>
      <c r="AD1417" s="155" t="s">
        <v>20</v>
      </c>
      <c r="AE1417" s="155" t="s">
        <v>72</v>
      </c>
      <c r="AF1417" s="155" t="s">
        <v>51</v>
      </c>
      <c r="AG1417" s="155" t="s">
        <v>154</v>
      </c>
      <c r="AH1417" s="155">
        <v>3.6708585343811904</v>
      </c>
    </row>
    <row r="1418" spans="29:34">
      <c r="AC1418" s="155" t="s">
        <v>55</v>
      </c>
      <c r="AD1418" s="155" t="s">
        <v>20</v>
      </c>
      <c r="AE1418" s="155" t="s">
        <v>72</v>
      </c>
      <c r="AF1418" s="155" t="s">
        <v>51</v>
      </c>
      <c r="AG1418" s="155" t="s">
        <v>155</v>
      </c>
      <c r="AH1418" s="155">
        <v>3.6708585343811904</v>
      </c>
    </row>
    <row r="1419" spans="29:34">
      <c r="AC1419" s="155" t="s">
        <v>55</v>
      </c>
      <c r="AD1419" s="155" t="s">
        <v>20</v>
      </c>
      <c r="AE1419" s="155" t="s">
        <v>72</v>
      </c>
      <c r="AF1419" s="155" t="s">
        <v>51</v>
      </c>
      <c r="AG1419" s="155" t="s">
        <v>156</v>
      </c>
      <c r="AH1419" s="155">
        <v>3.6708585343811904</v>
      </c>
    </row>
    <row r="1420" spans="29:34">
      <c r="AC1420" s="155" t="s">
        <v>55</v>
      </c>
      <c r="AD1420" s="155" t="s">
        <v>20</v>
      </c>
      <c r="AE1420" s="155" t="s">
        <v>72</v>
      </c>
      <c r="AF1420" s="155" t="s">
        <v>51</v>
      </c>
      <c r="AG1420" s="155" t="s">
        <v>157</v>
      </c>
      <c r="AH1420" s="155">
        <v>3.6708585343811904</v>
      </c>
    </row>
    <row r="1421" spans="29:34">
      <c r="AC1421" s="155" t="s">
        <v>55</v>
      </c>
      <c r="AD1421" s="155" t="s">
        <v>20</v>
      </c>
      <c r="AE1421" s="155" t="s">
        <v>72</v>
      </c>
      <c r="AF1421" s="155" t="s">
        <v>51</v>
      </c>
      <c r="AG1421" s="155" t="s">
        <v>158</v>
      </c>
      <c r="AH1421" s="155">
        <v>3.6708585343811904</v>
      </c>
    </row>
    <row r="1422" spans="29:34">
      <c r="AC1422" s="155" t="s">
        <v>55</v>
      </c>
      <c r="AD1422" s="155" t="s">
        <v>20</v>
      </c>
      <c r="AE1422" s="155" t="s">
        <v>72</v>
      </c>
      <c r="AF1422" s="155" t="s">
        <v>51</v>
      </c>
      <c r="AG1422" s="155" t="s">
        <v>159</v>
      </c>
      <c r="AH1422" s="155">
        <v>3.7143356375412493</v>
      </c>
    </row>
    <row r="1423" spans="29:34">
      <c r="AC1423" s="155" t="s">
        <v>55</v>
      </c>
      <c r="AD1423" s="155" t="s">
        <v>20</v>
      </c>
      <c r="AE1423" s="155" t="s">
        <v>72</v>
      </c>
      <c r="AF1423" s="155" t="s">
        <v>51</v>
      </c>
      <c r="AG1423" s="155" t="s">
        <v>160</v>
      </c>
      <c r="AH1423" s="155">
        <v>3.6334666666666666</v>
      </c>
    </row>
    <row r="1424" spans="29:34">
      <c r="AC1424" s="155" t="s">
        <v>55</v>
      </c>
      <c r="AD1424" s="155" t="s">
        <v>20</v>
      </c>
      <c r="AE1424" s="155" t="s">
        <v>72</v>
      </c>
      <c r="AF1424" s="155" t="s">
        <v>51</v>
      </c>
      <c r="AG1424" s="155" t="s">
        <v>161</v>
      </c>
      <c r="AH1424" s="155">
        <v>3.6334666666666666</v>
      </c>
    </row>
    <row r="1425" spans="29:34">
      <c r="AC1425" s="155" t="s">
        <v>55</v>
      </c>
      <c r="AD1425" s="155" t="s">
        <v>20</v>
      </c>
      <c r="AE1425" s="155" t="s">
        <v>72</v>
      </c>
      <c r="AF1425" s="155" t="s">
        <v>51</v>
      </c>
      <c r="AG1425" s="155" t="s">
        <v>162</v>
      </c>
      <c r="AH1425" s="155">
        <v>3.6334666666666666</v>
      </c>
    </row>
    <row r="1426" spans="29:34">
      <c r="AC1426" s="155" t="s">
        <v>55</v>
      </c>
      <c r="AD1426" s="155" t="s">
        <v>20</v>
      </c>
      <c r="AE1426" s="155" t="s">
        <v>72</v>
      </c>
      <c r="AF1426" s="155" t="s">
        <v>51</v>
      </c>
      <c r="AG1426" s="155" t="s">
        <v>163</v>
      </c>
      <c r="AH1426" s="155">
        <v>3.6334666666666666</v>
      </c>
    </row>
    <row r="1427" spans="29:34">
      <c r="AC1427" s="155" t="s">
        <v>55</v>
      </c>
      <c r="AD1427" s="155" t="s">
        <v>20</v>
      </c>
      <c r="AE1427" s="155" t="s">
        <v>72</v>
      </c>
      <c r="AF1427" s="155" t="s">
        <v>51</v>
      </c>
      <c r="AG1427" s="155" t="s">
        <v>164</v>
      </c>
      <c r="AH1427" s="155">
        <v>3.6334666666666666</v>
      </c>
    </row>
    <row r="1428" spans="29:34">
      <c r="AC1428" s="155" t="s">
        <v>55</v>
      </c>
      <c r="AD1428" s="155" t="s">
        <v>20</v>
      </c>
      <c r="AE1428" s="155" t="s">
        <v>72</v>
      </c>
      <c r="AF1428" s="155" t="s">
        <v>51</v>
      </c>
      <c r="AG1428" s="155" t="s">
        <v>165</v>
      </c>
      <c r="AH1428" s="155">
        <v>3.6334666666666666</v>
      </c>
    </row>
    <row r="1429" spans="29:34">
      <c r="AC1429" s="155" t="s">
        <v>55</v>
      </c>
      <c r="AD1429" s="155" t="s">
        <v>20</v>
      </c>
      <c r="AE1429" s="155" t="s">
        <v>72</v>
      </c>
      <c r="AF1429" s="155" t="s">
        <v>51</v>
      </c>
      <c r="AG1429" s="155" t="s">
        <v>166</v>
      </c>
      <c r="AH1429" s="155">
        <v>3.7597333333333331</v>
      </c>
    </row>
    <row r="1430" spans="29:34">
      <c r="AC1430" s="155" t="s">
        <v>55</v>
      </c>
      <c r="AD1430" s="155" t="s">
        <v>20</v>
      </c>
      <c r="AE1430" s="155" t="s">
        <v>72</v>
      </c>
      <c r="AF1430" s="155" t="s">
        <v>51</v>
      </c>
      <c r="AG1430" s="155" t="s">
        <v>167</v>
      </c>
      <c r="AH1430" s="155">
        <v>3.7597333333333331</v>
      </c>
    </row>
    <row r="1431" spans="29:34">
      <c r="AC1431" s="155" t="s">
        <v>55</v>
      </c>
      <c r="AD1431" s="155" t="s">
        <v>20</v>
      </c>
      <c r="AE1431" s="155" t="s">
        <v>72</v>
      </c>
      <c r="AF1431" s="155" t="s">
        <v>51</v>
      </c>
      <c r="AG1431" s="155" t="s">
        <v>168</v>
      </c>
      <c r="AH1431" s="155">
        <v>3.7143356375412493</v>
      </c>
    </row>
    <row r="1432" spans="29:34">
      <c r="AC1432" s="155" t="s">
        <v>55</v>
      </c>
      <c r="AD1432" s="155" t="s">
        <v>20</v>
      </c>
      <c r="AE1432" s="155" t="s">
        <v>72</v>
      </c>
      <c r="AF1432" s="155" t="s">
        <v>51</v>
      </c>
      <c r="AG1432" s="155" t="s">
        <v>169</v>
      </c>
      <c r="AH1432" s="155">
        <v>3.7143356375412493</v>
      </c>
    </row>
    <row r="1433" spans="29:34">
      <c r="AC1433" s="155" t="s">
        <v>55</v>
      </c>
      <c r="AD1433" s="155" t="s">
        <v>20</v>
      </c>
      <c r="AE1433" s="155" t="s">
        <v>72</v>
      </c>
      <c r="AF1433" s="155" t="s">
        <v>51</v>
      </c>
      <c r="AG1433" s="155" t="s">
        <v>170</v>
      </c>
      <c r="AH1433" s="155">
        <v>3.7143356375412493</v>
      </c>
    </row>
    <row r="1434" spans="29:34">
      <c r="AC1434" s="155" t="s">
        <v>55</v>
      </c>
      <c r="AD1434" s="155" t="s">
        <v>20</v>
      </c>
      <c r="AE1434" s="155" t="s">
        <v>72</v>
      </c>
      <c r="AF1434" s="155" t="s">
        <v>51</v>
      </c>
      <c r="AG1434" s="155" t="s">
        <v>171</v>
      </c>
      <c r="AH1434" s="155">
        <v>3.7970808882673373</v>
      </c>
    </row>
    <row r="1435" spans="29:34">
      <c r="AC1435" s="155" t="s">
        <v>55</v>
      </c>
      <c r="AD1435" s="155" t="s">
        <v>20</v>
      </c>
      <c r="AE1435" s="155" t="s">
        <v>72</v>
      </c>
      <c r="AF1435" s="155" t="s">
        <v>51</v>
      </c>
      <c r="AG1435" s="155" t="s">
        <v>172</v>
      </c>
      <c r="AH1435" s="155">
        <v>3.7970808882673373</v>
      </c>
    </row>
    <row r="1436" spans="29:34">
      <c r="AC1436" s="155" t="s">
        <v>55</v>
      </c>
      <c r="AD1436" s="155" t="s">
        <v>20</v>
      </c>
      <c r="AE1436" s="155" t="s">
        <v>72</v>
      </c>
      <c r="AF1436" s="155" t="s">
        <v>51</v>
      </c>
      <c r="AG1436" s="155" t="s">
        <v>173</v>
      </c>
      <c r="AH1436" s="155">
        <v>3.7970808882673373</v>
      </c>
    </row>
    <row r="1437" spans="29:34">
      <c r="AC1437" s="155" t="s">
        <v>55</v>
      </c>
      <c r="AD1437" s="155" t="s">
        <v>20</v>
      </c>
      <c r="AE1437" s="155" t="s">
        <v>72</v>
      </c>
      <c r="AF1437" s="155" t="s">
        <v>51</v>
      </c>
      <c r="AG1437" s="155" t="s">
        <v>174</v>
      </c>
      <c r="AH1437" s="155">
        <v>3.7970808882673373</v>
      </c>
    </row>
    <row r="1438" spans="29:34">
      <c r="AC1438" s="155" t="s">
        <v>55</v>
      </c>
      <c r="AD1438" s="155" t="s">
        <v>20</v>
      </c>
      <c r="AE1438" s="155" t="s">
        <v>72</v>
      </c>
      <c r="AF1438" s="155" t="s">
        <v>51</v>
      </c>
      <c r="AG1438" s="155" t="s">
        <v>175</v>
      </c>
      <c r="AH1438" s="155">
        <v>3.8404694400308417</v>
      </c>
    </row>
    <row r="1439" spans="29:34">
      <c r="AC1439" s="155" t="s">
        <v>55</v>
      </c>
      <c r="AD1439" s="155" t="s">
        <v>20</v>
      </c>
      <c r="AE1439" s="155" t="s">
        <v>72</v>
      </c>
      <c r="AF1439" s="155" t="s">
        <v>51</v>
      </c>
      <c r="AG1439" s="155" t="s">
        <v>176</v>
      </c>
      <c r="AH1439" s="155">
        <v>3.9020859403395352</v>
      </c>
    </row>
    <row r="1440" spans="29:34">
      <c r="AC1440" s="155" t="s">
        <v>55</v>
      </c>
      <c r="AD1440" s="155" t="s">
        <v>20</v>
      </c>
      <c r="AE1440" s="155" t="s">
        <v>72</v>
      </c>
      <c r="AF1440" s="155" t="s">
        <v>51</v>
      </c>
      <c r="AG1440" s="155" t="s">
        <v>177</v>
      </c>
      <c r="AH1440" s="155">
        <v>3.9020859403395352</v>
      </c>
    </row>
    <row r="1441" spans="29:34">
      <c r="AC1441" s="155" t="s">
        <v>55</v>
      </c>
      <c r="AD1441" s="155" t="s">
        <v>20</v>
      </c>
      <c r="AE1441" s="155" t="s">
        <v>72</v>
      </c>
      <c r="AF1441" s="155" t="s">
        <v>51</v>
      </c>
      <c r="AG1441" s="155" t="s">
        <v>178</v>
      </c>
      <c r="AH1441" s="155">
        <v>3.7970808882673373</v>
      </c>
    </row>
    <row r="1442" spans="29:34">
      <c r="AC1442" s="155" t="s">
        <v>55</v>
      </c>
      <c r="AD1442" s="155" t="s">
        <v>20</v>
      </c>
      <c r="AE1442" s="155" t="s">
        <v>72</v>
      </c>
      <c r="AF1442" s="155" t="s">
        <v>51</v>
      </c>
      <c r="AG1442" s="155" t="s">
        <v>179</v>
      </c>
      <c r="AH1442" s="155">
        <v>3.8860333333333337</v>
      </c>
    </row>
    <row r="1443" spans="29:34">
      <c r="AC1443" s="155" t="s">
        <v>55</v>
      </c>
      <c r="AD1443" s="155" t="s">
        <v>20</v>
      </c>
      <c r="AE1443" s="155" t="s">
        <v>72</v>
      </c>
      <c r="AF1443" s="155" t="s">
        <v>51</v>
      </c>
      <c r="AG1443" s="155" t="s">
        <v>180</v>
      </c>
      <c r="AH1443" s="155">
        <v>3.9233367709935867</v>
      </c>
    </row>
    <row r="1444" spans="29:34">
      <c r="AC1444" s="155" t="s">
        <v>55</v>
      </c>
      <c r="AD1444" s="155" t="s">
        <v>20</v>
      </c>
      <c r="AE1444" s="155" t="s">
        <v>72</v>
      </c>
      <c r="AF1444" s="155" t="s">
        <v>51</v>
      </c>
      <c r="AG1444" s="155" t="s">
        <v>181</v>
      </c>
      <c r="AH1444" s="155">
        <v>3.9233367709935867</v>
      </c>
    </row>
    <row r="1445" spans="29:34">
      <c r="AC1445" s="155" t="s">
        <v>55</v>
      </c>
      <c r="AD1445" s="155" t="s">
        <v>20</v>
      </c>
      <c r="AE1445" s="155" t="s">
        <v>72</v>
      </c>
      <c r="AF1445" s="155" t="s">
        <v>51</v>
      </c>
      <c r="AG1445" s="155" t="s">
        <v>182</v>
      </c>
      <c r="AH1445" s="155">
        <v>3.8860333333333337</v>
      </c>
    </row>
    <row r="1446" spans="29:34">
      <c r="AC1446" s="155" t="s">
        <v>55</v>
      </c>
      <c r="AD1446" s="155" t="s">
        <v>20</v>
      </c>
      <c r="AE1446" s="155" t="s">
        <v>72</v>
      </c>
      <c r="AF1446" s="155" t="s">
        <v>51</v>
      </c>
      <c r="AG1446" s="155" t="s">
        <v>183</v>
      </c>
      <c r="AH1446" s="155">
        <v>3.8404694400308417</v>
      </c>
    </row>
    <row r="1447" spans="29:34">
      <c r="AC1447" s="155" t="s">
        <v>55</v>
      </c>
      <c r="AD1447" s="155" t="s">
        <v>20</v>
      </c>
      <c r="AE1447" s="155" t="s">
        <v>72</v>
      </c>
      <c r="AF1447" s="155" t="s">
        <v>51</v>
      </c>
      <c r="AG1447" s="155" t="s">
        <v>184</v>
      </c>
      <c r="AH1447" s="155">
        <v>3.8404694400308417</v>
      </c>
    </row>
    <row r="1448" spans="29:34">
      <c r="AC1448" s="155" t="s">
        <v>55</v>
      </c>
      <c r="AD1448" s="155" t="s">
        <v>20</v>
      </c>
      <c r="AE1448" s="155" t="s">
        <v>72</v>
      </c>
      <c r="AF1448" s="155" t="s">
        <v>51</v>
      </c>
      <c r="AG1448" s="155" t="s">
        <v>185</v>
      </c>
      <c r="AH1448" s="155">
        <v>3.9041371618374376</v>
      </c>
    </row>
    <row r="1449" spans="29:34">
      <c r="AC1449" s="155" t="s">
        <v>55</v>
      </c>
      <c r="AD1449" s="155" t="s">
        <v>20</v>
      </c>
      <c r="AE1449" s="155" t="s">
        <v>72</v>
      </c>
      <c r="AF1449" s="155" t="s">
        <v>51</v>
      </c>
      <c r="AG1449" s="155" t="s">
        <v>186</v>
      </c>
      <c r="AH1449" s="155">
        <v>3.9041371618374376</v>
      </c>
    </row>
    <row r="1450" spans="29:34">
      <c r="AC1450" s="155" t="s">
        <v>55</v>
      </c>
      <c r="AD1450" s="155" t="s">
        <v>20</v>
      </c>
      <c r="AE1450" s="155" t="s">
        <v>72</v>
      </c>
      <c r="AF1450" s="155" t="s">
        <v>51</v>
      </c>
      <c r="AG1450" s="155" t="s">
        <v>187</v>
      </c>
      <c r="AH1450" s="155">
        <v>3.9041371618374376</v>
      </c>
    </row>
    <row r="1451" spans="29:34">
      <c r="AC1451" s="155" t="s">
        <v>55</v>
      </c>
      <c r="AD1451" s="155" t="s">
        <v>20</v>
      </c>
      <c r="AE1451" s="155" t="s">
        <v>72</v>
      </c>
      <c r="AF1451" s="155" t="s">
        <v>51</v>
      </c>
      <c r="AG1451" s="155" t="s">
        <v>188</v>
      </c>
      <c r="AH1451" s="155">
        <v>3.7749314548968891</v>
      </c>
    </row>
    <row r="1452" spans="29:34">
      <c r="AC1452" s="155" t="s">
        <v>55</v>
      </c>
      <c r="AD1452" s="155" t="s">
        <v>20</v>
      </c>
      <c r="AE1452" s="155" t="s">
        <v>72</v>
      </c>
      <c r="AF1452" s="155" t="s">
        <v>51</v>
      </c>
      <c r="AG1452" s="155" t="s">
        <v>189</v>
      </c>
      <c r="AH1452" s="155">
        <v>3.7749314548968891</v>
      </c>
    </row>
    <row r="1453" spans="29:34">
      <c r="AC1453" s="155" t="s">
        <v>55</v>
      </c>
      <c r="AD1453" s="155" t="s">
        <v>20</v>
      </c>
      <c r="AE1453" s="155" t="s">
        <v>72</v>
      </c>
      <c r="AF1453" s="155" t="s">
        <v>51</v>
      </c>
      <c r="AG1453" s="155" t="s">
        <v>190</v>
      </c>
      <c r="AH1453" s="155">
        <v>3.7749314548968891</v>
      </c>
    </row>
    <row r="1454" spans="29:34">
      <c r="AC1454" s="155" t="s">
        <v>55</v>
      </c>
      <c r="AD1454" s="155" t="s">
        <v>20</v>
      </c>
      <c r="AE1454" s="155" t="s">
        <v>72</v>
      </c>
      <c r="AF1454" s="155" t="s">
        <v>51</v>
      </c>
      <c r="AG1454" s="155" t="s">
        <v>191</v>
      </c>
      <c r="AH1454" s="155">
        <v>3.7761730843118855</v>
      </c>
    </row>
    <row r="1455" spans="29:34">
      <c r="AC1455" s="155" t="s">
        <v>55</v>
      </c>
      <c r="AD1455" s="155" t="s">
        <v>20</v>
      </c>
      <c r="AE1455" s="155" t="s">
        <v>72</v>
      </c>
      <c r="AF1455" s="155" t="s">
        <v>51</v>
      </c>
      <c r="AG1455" s="155" t="s">
        <v>192</v>
      </c>
      <c r="AH1455" s="155">
        <v>3.7761730843118855</v>
      </c>
    </row>
    <row r="1456" spans="29:34">
      <c r="AC1456" s="78" t="s">
        <v>55</v>
      </c>
      <c r="AD1456" s="78" t="s">
        <v>20</v>
      </c>
      <c r="AE1456" s="78" t="s">
        <v>72</v>
      </c>
      <c r="AF1456" s="78" t="s">
        <v>51</v>
      </c>
      <c r="AG1456" s="78" t="s">
        <v>193</v>
      </c>
      <c r="AH1456" s="78">
        <v>4.0557276764206129</v>
      </c>
    </row>
    <row r="1457" spans="29:34">
      <c r="AC1457" s="78" t="s">
        <v>55</v>
      </c>
      <c r="AD1457" s="78" t="s">
        <v>20</v>
      </c>
      <c r="AE1457" s="78" t="s">
        <v>72</v>
      </c>
      <c r="AF1457" s="78" t="s">
        <v>51</v>
      </c>
      <c r="AG1457" s="78" t="s">
        <v>194</v>
      </c>
      <c r="AH1457" s="78">
        <v>4.0557276764206129</v>
      </c>
    </row>
    <row r="1458" spans="29:34">
      <c r="AC1458" s="78" t="s">
        <v>55</v>
      </c>
      <c r="AD1458" s="78" t="s">
        <v>20</v>
      </c>
      <c r="AE1458" s="78" t="s">
        <v>72</v>
      </c>
      <c r="AF1458" s="78" t="s">
        <v>51</v>
      </c>
      <c r="AG1458" s="78" t="s">
        <v>195</v>
      </c>
      <c r="AH1458" s="78">
        <v>4.1817004181546098</v>
      </c>
    </row>
    <row r="1459" spans="29:34">
      <c r="AC1459" s="78" t="s">
        <v>55</v>
      </c>
      <c r="AD1459" s="78" t="s">
        <v>20</v>
      </c>
      <c r="AE1459" s="78" t="s">
        <v>72</v>
      </c>
      <c r="AF1459" s="78" t="s">
        <v>51</v>
      </c>
      <c r="AG1459" s="78" t="s">
        <v>196</v>
      </c>
      <c r="AH1459" s="78">
        <v>4.1237077500397357</v>
      </c>
    </row>
    <row r="1460" spans="29:34">
      <c r="AC1460" s="78" t="s">
        <v>55</v>
      </c>
      <c r="AD1460" s="78" t="s">
        <v>20</v>
      </c>
      <c r="AE1460" s="78" t="s">
        <v>72</v>
      </c>
      <c r="AF1460" s="78" t="s">
        <v>51</v>
      </c>
      <c r="AG1460" s="78" t="s">
        <v>197</v>
      </c>
      <c r="AH1460" s="78">
        <v>4.2186106422383469</v>
      </c>
    </row>
    <row r="1461" spans="29:34">
      <c r="AC1461" s="78" t="s">
        <v>55</v>
      </c>
      <c r="AD1461" s="78" t="s">
        <v>20</v>
      </c>
      <c r="AE1461" s="78" t="s">
        <v>72</v>
      </c>
      <c r="AF1461" s="78" t="s">
        <v>51</v>
      </c>
      <c r="AG1461" s="78" t="s">
        <v>198</v>
      </c>
      <c r="AH1461" s="78">
        <v>4.1873439755716797</v>
      </c>
    </row>
    <row r="1462" spans="29:34">
      <c r="AC1462" s="78" t="s">
        <v>55</v>
      </c>
      <c r="AD1462" s="78" t="s">
        <v>20</v>
      </c>
      <c r="AE1462" s="78" t="s">
        <v>72</v>
      </c>
      <c r="AF1462" s="78" t="s">
        <v>51</v>
      </c>
      <c r="AG1462" s="78" t="s">
        <v>199</v>
      </c>
      <c r="AH1462" s="78">
        <v>4.1873439755716797</v>
      </c>
    </row>
    <row r="1463" spans="29:34">
      <c r="AC1463" s="78" t="s">
        <v>55</v>
      </c>
      <c r="AD1463" s="78" t="s">
        <v>20</v>
      </c>
      <c r="AE1463" s="78" t="s">
        <v>72</v>
      </c>
      <c r="AF1463" s="78" t="s">
        <v>51</v>
      </c>
      <c r="AG1463" s="78" t="s">
        <v>200</v>
      </c>
      <c r="AH1463" s="78">
        <v>4.310586640999877</v>
      </c>
    </row>
    <row r="1464" spans="29:34">
      <c r="AC1464" s="78" t="s">
        <v>55</v>
      </c>
      <c r="AD1464" s="78" t="s">
        <v>20</v>
      </c>
      <c r="AE1464" s="78" t="s">
        <v>72</v>
      </c>
      <c r="AF1464" s="78" t="s">
        <v>51</v>
      </c>
      <c r="AG1464" s="78" t="s">
        <v>201</v>
      </c>
      <c r="AH1464" s="78">
        <v>4.2186106422383469</v>
      </c>
    </row>
    <row r="1465" spans="29:34">
      <c r="AC1465" s="78" t="s">
        <v>55</v>
      </c>
      <c r="AD1465" s="78" t="s">
        <v>20</v>
      </c>
      <c r="AE1465" s="78" t="s">
        <v>72</v>
      </c>
      <c r="AF1465" s="78" t="s">
        <v>51</v>
      </c>
      <c r="AG1465" s="78" t="s">
        <v>202</v>
      </c>
      <c r="AH1465" s="78">
        <v>4.2186106422383469</v>
      </c>
    </row>
    <row r="1466" spans="29:34">
      <c r="AC1466" s="78" t="s">
        <v>55</v>
      </c>
      <c r="AD1466" s="78" t="s">
        <v>20</v>
      </c>
      <c r="AE1466" s="78" t="s">
        <v>72</v>
      </c>
      <c r="AF1466" s="78" t="s">
        <v>51</v>
      </c>
      <c r="AG1466" s="78" t="s">
        <v>203</v>
      </c>
      <c r="AH1466" s="78">
        <v>4.1817004181546098</v>
      </c>
    </row>
    <row r="1467" spans="29:34">
      <c r="AC1467" s="78" t="s">
        <v>55</v>
      </c>
      <c r="AD1467" s="78" t="s">
        <v>20</v>
      </c>
      <c r="AE1467" s="78" t="s">
        <v>72</v>
      </c>
      <c r="AF1467" s="78" t="s">
        <v>51</v>
      </c>
      <c r="AG1467" s="78" t="s">
        <v>204</v>
      </c>
      <c r="AH1467" s="78">
        <v>4.1817004181546098</v>
      </c>
    </row>
    <row r="1468" spans="29:34">
      <c r="AC1468" s="78" t="s">
        <v>55</v>
      </c>
      <c r="AD1468" s="78" t="s">
        <v>20</v>
      </c>
      <c r="AE1468" s="78" t="s">
        <v>72</v>
      </c>
      <c r="AF1468" s="78" t="s">
        <v>51</v>
      </c>
      <c r="AG1468" s="78" t="s">
        <v>205</v>
      </c>
      <c r="AH1468" s="78">
        <v>4.1873439755716797</v>
      </c>
    </row>
    <row r="1469" spans="29:34">
      <c r="AC1469" s="78" t="s">
        <v>55</v>
      </c>
      <c r="AD1469" s="78" t="s">
        <v>20</v>
      </c>
      <c r="AE1469" s="78" t="s">
        <v>72</v>
      </c>
      <c r="AF1469" s="78" t="s">
        <v>51</v>
      </c>
      <c r="AG1469" s="78" t="s">
        <v>206</v>
      </c>
      <c r="AH1469" s="78">
        <v>4.1873439755716797</v>
      </c>
    </row>
    <row r="1470" spans="29:34">
      <c r="AC1470" s="78" t="s">
        <v>55</v>
      </c>
      <c r="AD1470" s="78" t="s">
        <v>20</v>
      </c>
      <c r="AE1470" s="78" t="s">
        <v>72</v>
      </c>
      <c r="AF1470" s="78" t="s">
        <v>51</v>
      </c>
      <c r="AG1470" s="78" t="s">
        <v>207</v>
      </c>
      <c r="AH1470" s="78">
        <v>4.1817004181546098</v>
      </c>
    </row>
    <row r="1471" spans="29:34">
      <c r="AC1471" s="78" t="s">
        <v>55</v>
      </c>
      <c r="AD1471" s="78" t="s">
        <v>20</v>
      </c>
      <c r="AE1471" s="78" t="s">
        <v>72</v>
      </c>
      <c r="AF1471" s="78" t="s">
        <v>51</v>
      </c>
      <c r="AG1471" s="78" t="s">
        <v>208</v>
      </c>
      <c r="AH1471" s="78">
        <v>4.1873439755716797</v>
      </c>
    </row>
    <row r="1472" spans="29:34">
      <c r="AC1472" s="78" t="s">
        <v>55</v>
      </c>
      <c r="AD1472" s="78" t="s">
        <v>20</v>
      </c>
      <c r="AE1472" s="78" t="s">
        <v>72</v>
      </c>
      <c r="AF1472" s="78" t="s">
        <v>51</v>
      </c>
      <c r="AG1472" s="78" t="s">
        <v>209</v>
      </c>
      <c r="AH1472" s="78">
        <v>4.2186106422383469</v>
      </c>
    </row>
    <row r="1473" spans="29:34">
      <c r="AC1473" s="78" t="s">
        <v>55</v>
      </c>
      <c r="AD1473" s="78" t="s">
        <v>20</v>
      </c>
      <c r="AE1473" s="78" t="s">
        <v>72</v>
      </c>
      <c r="AF1473" s="78" t="s">
        <v>51</v>
      </c>
      <c r="AG1473" s="78" t="s">
        <v>210</v>
      </c>
      <c r="AH1473" s="78">
        <v>4.2186106422383469</v>
      </c>
    </row>
    <row r="1474" spans="29:34">
      <c r="AC1474" s="78" t="s">
        <v>55</v>
      </c>
      <c r="AD1474" s="78" t="s">
        <v>20</v>
      </c>
      <c r="AE1474" s="78" t="s">
        <v>72</v>
      </c>
      <c r="AF1474" s="78" t="s">
        <v>51</v>
      </c>
      <c r="AG1474" s="78" t="s">
        <v>211</v>
      </c>
      <c r="AH1474" s="78">
        <v>4.2186106422383469</v>
      </c>
    </row>
    <row r="1475" spans="29:34">
      <c r="AC1475" s="78" t="s">
        <v>55</v>
      </c>
      <c r="AD1475" s="78" t="s">
        <v>20</v>
      </c>
      <c r="AE1475" s="78" t="s">
        <v>72</v>
      </c>
      <c r="AF1475" s="78" t="s">
        <v>51</v>
      </c>
      <c r="AG1475" s="78" t="s">
        <v>212</v>
      </c>
      <c r="AH1475" s="78">
        <v>4.310586640999877</v>
      </c>
    </row>
    <row r="1476" spans="29:34">
      <c r="AC1476" s="78" t="s">
        <v>55</v>
      </c>
      <c r="AD1476" s="78" t="s">
        <v>20</v>
      </c>
      <c r="AE1476" s="78" t="s">
        <v>72</v>
      </c>
      <c r="AF1476" s="78" t="s">
        <v>51</v>
      </c>
      <c r="AG1476" s="78" t="s">
        <v>213</v>
      </c>
      <c r="AH1476" s="78">
        <v>4.2186106422383469</v>
      </c>
    </row>
    <row r="1477" spans="29:34">
      <c r="AC1477" s="78" t="s">
        <v>55</v>
      </c>
      <c r="AD1477" s="78" t="s">
        <v>20</v>
      </c>
      <c r="AE1477" s="78" t="s">
        <v>72</v>
      </c>
      <c r="AF1477" s="78" t="s">
        <v>51</v>
      </c>
      <c r="AG1477" s="78" t="s">
        <v>98</v>
      </c>
      <c r="AH1477" s="78">
        <v>4.1873439755716797</v>
      </c>
    </row>
    <row r="1478" spans="29:34">
      <c r="AC1478" s="78" t="s">
        <v>55</v>
      </c>
      <c r="AD1478" s="78" t="s">
        <v>20</v>
      </c>
      <c r="AE1478" s="78" t="s">
        <v>72</v>
      </c>
      <c r="AF1478" s="78" t="s">
        <v>51</v>
      </c>
      <c r="AG1478" s="78" t="s">
        <v>96</v>
      </c>
      <c r="AH1478" s="78">
        <v>4.2186106422383469</v>
      </c>
    </row>
    <row r="1479" spans="29:34">
      <c r="AC1479" s="78" t="s">
        <v>55</v>
      </c>
      <c r="AD1479" s="78" t="s">
        <v>20</v>
      </c>
      <c r="AE1479" s="78" t="s">
        <v>72</v>
      </c>
      <c r="AF1479" s="78" t="s">
        <v>51</v>
      </c>
      <c r="AG1479" s="78" t="s">
        <v>97</v>
      </c>
      <c r="AH1479" s="78">
        <v>4.2186106422383469</v>
      </c>
    </row>
    <row r="1480" spans="29:34">
      <c r="AC1480" s="78" t="s">
        <v>55</v>
      </c>
      <c r="AD1480" s="78" t="s">
        <v>20</v>
      </c>
      <c r="AE1480" s="78" t="s">
        <v>72</v>
      </c>
      <c r="AF1480" s="78" t="s">
        <v>51</v>
      </c>
      <c r="AG1480" s="78" t="s">
        <v>101</v>
      </c>
      <c r="AH1480" s="78">
        <v>4.1237077500397357</v>
      </c>
    </row>
    <row r="1481" spans="29:34">
      <c r="AC1481" s="78" t="s">
        <v>55</v>
      </c>
      <c r="AD1481" s="78" t="s">
        <v>20</v>
      </c>
      <c r="AE1481" s="78" t="s">
        <v>72</v>
      </c>
      <c r="AF1481" s="78" t="s">
        <v>51</v>
      </c>
      <c r="AG1481" s="78" t="s">
        <v>102</v>
      </c>
      <c r="AH1481" s="78">
        <v>4.0612077500397348</v>
      </c>
    </row>
    <row r="1482" spans="29:34">
      <c r="AC1482" s="78" t="s">
        <v>55</v>
      </c>
      <c r="AD1482" s="78" t="s">
        <v>20</v>
      </c>
      <c r="AE1482" s="78" t="s">
        <v>72</v>
      </c>
      <c r="AF1482" s="78" t="s">
        <v>51</v>
      </c>
      <c r="AG1482" s="78" t="s">
        <v>103</v>
      </c>
      <c r="AH1482" s="78">
        <v>4.092474416706402</v>
      </c>
    </row>
    <row r="1483" spans="29:34">
      <c r="AC1483" s="78" t="s">
        <v>55</v>
      </c>
      <c r="AD1483" s="78" t="s">
        <v>20</v>
      </c>
      <c r="AE1483" s="78" t="s">
        <v>72</v>
      </c>
      <c r="AF1483" s="78" t="s">
        <v>51</v>
      </c>
      <c r="AG1483" s="78" t="s">
        <v>104</v>
      </c>
      <c r="AH1483" s="78">
        <v>4.092474416706402</v>
      </c>
    </row>
    <row r="1484" spans="29:34">
      <c r="AC1484" s="78" t="s">
        <v>55</v>
      </c>
      <c r="AD1484" s="78" t="s">
        <v>20</v>
      </c>
      <c r="AE1484" s="78" t="s">
        <v>72</v>
      </c>
      <c r="AF1484" s="78" t="s">
        <v>51</v>
      </c>
      <c r="AG1484" s="78" t="s">
        <v>105</v>
      </c>
      <c r="AH1484" s="78">
        <v>4.1873439755716797</v>
      </c>
    </row>
    <row r="1485" spans="29:34">
      <c r="AC1485" s="78" t="s">
        <v>55</v>
      </c>
      <c r="AD1485" s="78" t="s">
        <v>20</v>
      </c>
      <c r="AE1485" s="78" t="s">
        <v>72</v>
      </c>
      <c r="AF1485" s="78" t="s">
        <v>51</v>
      </c>
      <c r="AG1485" s="78" t="s">
        <v>106</v>
      </c>
      <c r="AH1485" s="78">
        <v>4.2498439755716797</v>
      </c>
    </row>
    <row r="1486" spans="29:34">
      <c r="AC1486" s="78" t="s">
        <v>55</v>
      </c>
      <c r="AD1486" s="78" t="s">
        <v>20</v>
      </c>
      <c r="AE1486" s="78" t="s">
        <v>72</v>
      </c>
      <c r="AF1486" s="78" t="s">
        <v>51</v>
      </c>
      <c r="AG1486" s="78" t="s">
        <v>107</v>
      </c>
      <c r="AH1486" s="78">
        <v>4.1873439755716797</v>
      </c>
    </row>
    <row r="1487" spans="29:34">
      <c r="AC1487" s="78" t="s">
        <v>55</v>
      </c>
      <c r="AD1487" s="78" t="s">
        <v>20</v>
      </c>
      <c r="AE1487" s="78" t="s">
        <v>72</v>
      </c>
      <c r="AF1487" s="78" t="s">
        <v>51</v>
      </c>
      <c r="AG1487" s="78" t="s">
        <v>108</v>
      </c>
      <c r="AH1487" s="78">
        <v>4.1237077500397357</v>
      </c>
    </row>
    <row r="1488" spans="29:34">
      <c r="AC1488" s="78" t="s">
        <v>55</v>
      </c>
      <c r="AD1488" s="78" t="s">
        <v>20</v>
      </c>
      <c r="AE1488" s="78" t="s">
        <v>72</v>
      </c>
      <c r="AF1488" s="78" t="s">
        <v>51</v>
      </c>
      <c r="AG1488" s="78" t="s">
        <v>100</v>
      </c>
      <c r="AH1488" s="78">
        <v>4.1817004181546098</v>
      </c>
    </row>
    <row r="1489" spans="29:34">
      <c r="AC1489" s="78" t="s">
        <v>55</v>
      </c>
      <c r="AD1489" s="78" t="s">
        <v>20</v>
      </c>
      <c r="AE1489" s="78" t="s">
        <v>72</v>
      </c>
      <c r="AF1489" s="78" t="s">
        <v>51</v>
      </c>
      <c r="AG1489" s="78" t="s">
        <v>109</v>
      </c>
      <c r="AH1489" s="78">
        <v>4.1237077500397357</v>
      </c>
    </row>
    <row r="1490" spans="29:34">
      <c r="AC1490" s="78" t="s">
        <v>55</v>
      </c>
      <c r="AD1490" s="78" t="s">
        <v>20</v>
      </c>
      <c r="AE1490" s="78" t="s">
        <v>72</v>
      </c>
      <c r="AF1490" s="78" t="s">
        <v>51</v>
      </c>
      <c r="AG1490" s="78" t="s">
        <v>110</v>
      </c>
      <c r="AH1490" s="78">
        <v>4.1817004181546098</v>
      </c>
    </row>
    <row r="1491" spans="29:34">
      <c r="AC1491" s="78" t="s">
        <v>55</v>
      </c>
      <c r="AD1491" s="78" t="s">
        <v>20</v>
      </c>
      <c r="AE1491" s="78" t="s">
        <v>72</v>
      </c>
      <c r="AF1491" s="78" t="s">
        <v>51</v>
      </c>
      <c r="AG1491" s="78" t="s">
        <v>111</v>
      </c>
      <c r="AH1491" s="78">
        <v>4.1237077500397357</v>
      </c>
    </row>
    <row r="1492" spans="29:34">
      <c r="AC1492" s="78" t="s">
        <v>55</v>
      </c>
      <c r="AD1492" s="78" t="s">
        <v>20</v>
      </c>
      <c r="AE1492" s="78" t="s">
        <v>72</v>
      </c>
      <c r="AF1492" s="78" t="s">
        <v>51</v>
      </c>
      <c r="AG1492" s="78" t="s">
        <v>99</v>
      </c>
      <c r="AH1492" s="78">
        <v>4.1237077500397357</v>
      </c>
    </row>
    <row r="1493" spans="29:34">
      <c r="AC1493" s="78" t="s">
        <v>55</v>
      </c>
      <c r="AD1493" s="78" t="s">
        <v>20</v>
      </c>
      <c r="AE1493" s="78" t="s">
        <v>72</v>
      </c>
      <c r="AF1493" s="78" t="s">
        <v>51</v>
      </c>
      <c r="AG1493" s="78" t="s">
        <v>126</v>
      </c>
      <c r="AH1493" s="78">
        <v>4.1237077500397357</v>
      </c>
    </row>
    <row r="1494" spans="29:34">
      <c r="AC1494" s="78" t="s">
        <v>55</v>
      </c>
      <c r="AD1494" s="78" t="s">
        <v>20</v>
      </c>
      <c r="AE1494" s="78" t="s">
        <v>72</v>
      </c>
      <c r="AF1494" s="78" t="s">
        <v>51</v>
      </c>
      <c r="AG1494" s="78" t="s">
        <v>124</v>
      </c>
      <c r="AH1494" s="78">
        <v>4.0612077500397348</v>
      </c>
    </row>
    <row r="1495" spans="29:34">
      <c r="AC1495" s="78" t="s">
        <v>55</v>
      </c>
      <c r="AD1495" s="78" t="s">
        <v>20</v>
      </c>
      <c r="AE1495" s="78" t="s">
        <v>72</v>
      </c>
      <c r="AF1495" s="78" t="s">
        <v>51</v>
      </c>
      <c r="AG1495" s="78" t="s">
        <v>127</v>
      </c>
      <c r="AH1495" s="78">
        <v>4.0557276764206129</v>
      </c>
    </row>
    <row r="1496" spans="29:34">
      <c r="AC1496" s="78" t="s">
        <v>55</v>
      </c>
      <c r="AD1496" s="78" t="s">
        <v>20</v>
      </c>
      <c r="AE1496" s="78" t="s">
        <v>72</v>
      </c>
      <c r="AF1496" s="78" t="s">
        <v>51</v>
      </c>
      <c r="AG1496" s="78" t="s">
        <v>128</v>
      </c>
      <c r="AH1496" s="78">
        <v>4.0557276764206129</v>
      </c>
    </row>
    <row r="1497" spans="29:34">
      <c r="AC1497" s="78" t="s">
        <v>55</v>
      </c>
      <c r="AD1497" s="78" t="s">
        <v>20</v>
      </c>
      <c r="AE1497" s="78" t="s">
        <v>72</v>
      </c>
      <c r="AF1497" s="78" t="s">
        <v>51</v>
      </c>
      <c r="AG1497" s="78" t="s">
        <v>129</v>
      </c>
      <c r="AH1497" s="78">
        <v>4.0557276764206129</v>
      </c>
    </row>
    <row r="1498" spans="29:34">
      <c r="AC1498" s="78" t="s">
        <v>55</v>
      </c>
      <c r="AD1498" s="78" t="s">
        <v>20</v>
      </c>
      <c r="AE1498" s="78" t="s">
        <v>72</v>
      </c>
      <c r="AF1498" s="78" t="s">
        <v>51</v>
      </c>
      <c r="AG1498" s="78" t="s">
        <v>123</v>
      </c>
      <c r="AH1498" s="78">
        <v>4.0557276764206129</v>
      </c>
    </row>
    <row r="1499" spans="29:34">
      <c r="AC1499" s="78" t="s">
        <v>55</v>
      </c>
      <c r="AD1499" s="78" t="s">
        <v>20</v>
      </c>
      <c r="AE1499" s="78" t="s">
        <v>72</v>
      </c>
      <c r="AF1499" s="78" t="s">
        <v>51</v>
      </c>
      <c r="AG1499" s="78" t="s">
        <v>125</v>
      </c>
      <c r="AH1499" s="78">
        <v>3.966305483037543</v>
      </c>
    </row>
    <row r="1500" spans="29:34">
      <c r="AC1500" s="78" t="s">
        <v>55</v>
      </c>
      <c r="AD1500" s="78" t="s">
        <v>20</v>
      </c>
      <c r="AE1500" s="78" t="s">
        <v>72</v>
      </c>
      <c r="AF1500" s="78" t="s">
        <v>51</v>
      </c>
      <c r="AG1500" s="78" t="s">
        <v>215</v>
      </c>
      <c r="AH1500" s="78">
        <v>3.966305483037543</v>
      </c>
    </row>
    <row r="1501" spans="29:34">
      <c r="AC1501" s="78" t="s">
        <v>55</v>
      </c>
      <c r="AD1501" s="78" t="s">
        <v>20</v>
      </c>
      <c r="AE1501" s="78" t="s">
        <v>72</v>
      </c>
      <c r="AF1501" s="78" t="s">
        <v>51</v>
      </c>
      <c r="AG1501" s="78" t="s">
        <v>219</v>
      </c>
      <c r="AH1501" s="78">
        <v>3.9975388163708763</v>
      </c>
    </row>
    <row r="1502" spans="29:34">
      <c r="AC1502" s="78" t="s">
        <v>55</v>
      </c>
      <c r="AD1502" s="78" t="s">
        <v>20</v>
      </c>
      <c r="AE1502" s="78" t="s">
        <v>72</v>
      </c>
      <c r="AF1502" s="78" t="s">
        <v>51</v>
      </c>
      <c r="AG1502" s="78" t="s">
        <v>220</v>
      </c>
      <c r="AH1502" s="78">
        <v>4.0557276764206129</v>
      </c>
    </row>
    <row r="1503" spans="29:34">
      <c r="AC1503" s="78" t="s">
        <v>55</v>
      </c>
      <c r="AD1503" s="78" t="s">
        <v>20</v>
      </c>
      <c r="AE1503" s="78" t="s">
        <v>72</v>
      </c>
      <c r="AF1503" s="78" t="s">
        <v>51</v>
      </c>
      <c r="AG1503" s="78" t="s">
        <v>221</v>
      </c>
      <c r="AH1503" s="78">
        <v>4.0557276764206129</v>
      </c>
    </row>
    <row r="1504" spans="29:34">
      <c r="AC1504" s="78" t="s">
        <v>55</v>
      </c>
      <c r="AD1504" s="78" t="s">
        <v>20</v>
      </c>
      <c r="AE1504" s="78" t="s">
        <v>72</v>
      </c>
      <c r="AF1504" s="78" t="s">
        <v>51</v>
      </c>
      <c r="AG1504" s="78" t="s">
        <v>222</v>
      </c>
      <c r="AH1504" s="78">
        <v>3.9975388163708763</v>
      </c>
    </row>
    <row r="1505" spans="29:34">
      <c r="AC1505" s="78" t="s">
        <v>55</v>
      </c>
      <c r="AD1505" s="78" t="s">
        <v>20</v>
      </c>
      <c r="AE1505" s="78" t="s">
        <v>72</v>
      </c>
      <c r="AF1505" s="78" t="s">
        <v>51</v>
      </c>
      <c r="AG1505" s="78" t="s">
        <v>223</v>
      </c>
      <c r="AH1505" s="78">
        <v>3.9975388163708763</v>
      </c>
    </row>
    <row r="1506" spans="29:34">
      <c r="AC1506" s="78" t="s">
        <v>55</v>
      </c>
      <c r="AD1506" s="78" t="s">
        <v>20</v>
      </c>
      <c r="AE1506" s="78" t="s">
        <v>72</v>
      </c>
      <c r="AF1506" s="78" t="s">
        <v>51</v>
      </c>
      <c r="AG1506" s="78" t="s">
        <v>224</v>
      </c>
      <c r="AH1506" s="78">
        <v>3.966305483037543</v>
      </c>
    </row>
    <row r="1507" spans="29:34">
      <c r="AC1507" s="78" t="s">
        <v>55</v>
      </c>
      <c r="AD1507" s="78" t="s">
        <v>20</v>
      </c>
      <c r="AE1507" s="78" t="s">
        <v>72</v>
      </c>
      <c r="AF1507" s="78" t="s">
        <v>51</v>
      </c>
      <c r="AG1507" s="78" t="s">
        <v>225</v>
      </c>
      <c r="AH1507" s="78">
        <v>3.932044793512913</v>
      </c>
    </row>
    <row r="1508" spans="29:34">
      <c r="AC1508" s="78" t="s">
        <v>55</v>
      </c>
      <c r="AD1508" s="78" t="s">
        <v>20</v>
      </c>
      <c r="AE1508" s="78" t="s">
        <v>72</v>
      </c>
      <c r="AF1508" s="78" t="s">
        <v>51</v>
      </c>
      <c r="AG1508" s="78" t="s">
        <v>226</v>
      </c>
      <c r="AH1508" s="78">
        <v>3.966305483037543</v>
      </c>
    </row>
    <row r="1509" spans="29:34">
      <c r="AC1509" s="78" t="s">
        <v>55</v>
      </c>
      <c r="AD1509" s="78" t="s">
        <v>20</v>
      </c>
      <c r="AE1509" s="78" t="s">
        <v>72</v>
      </c>
      <c r="AF1509" s="78" t="s">
        <v>51</v>
      </c>
      <c r="AG1509" s="78" t="s">
        <v>227</v>
      </c>
      <c r="AH1509" s="78">
        <v>3.966305483037543</v>
      </c>
    </row>
    <row r="1510" spans="29:34">
      <c r="AC1510" s="78" t="s">
        <v>55</v>
      </c>
      <c r="AD1510" s="78" t="s">
        <v>20</v>
      </c>
      <c r="AE1510" s="78" t="s">
        <v>72</v>
      </c>
      <c r="AF1510" s="78" t="s">
        <v>51</v>
      </c>
      <c r="AG1510" s="78" t="s">
        <v>228</v>
      </c>
      <c r="AH1510" s="78">
        <v>3.932044793512913</v>
      </c>
    </row>
    <row r="1511" spans="29:34">
      <c r="AC1511" s="78" t="s">
        <v>55</v>
      </c>
      <c r="AD1511" s="78" t="s">
        <v>20</v>
      </c>
      <c r="AE1511" s="78" t="s">
        <v>72</v>
      </c>
      <c r="AF1511" s="78" t="s">
        <v>51</v>
      </c>
      <c r="AG1511" s="78" t="s">
        <v>229</v>
      </c>
      <c r="AH1511" s="78">
        <v>3.932044793512913</v>
      </c>
    </row>
    <row r="1512" spans="29:34">
      <c r="AC1512" s="78" t="s">
        <v>55</v>
      </c>
      <c r="AD1512" s="78" t="s">
        <v>20</v>
      </c>
      <c r="AE1512" s="78" t="s">
        <v>72</v>
      </c>
      <c r="AF1512" s="78" t="s">
        <v>51</v>
      </c>
      <c r="AG1512" s="78" t="s">
        <v>230</v>
      </c>
      <c r="AH1512" s="78">
        <v>3.929789796110164</v>
      </c>
    </row>
    <row r="1513" spans="29:34">
      <c r="AC1513" s="78" t="s">
        <v>55</v>
      </c>
      <c r="AD1513" s="78" t="s">
        <v>20</v>
      </c>
      <c r="AE1513" s="78" t="s">
        <v>72</v>
      </c>
      <c r="AF1513" s="78" t="s">
        <v>51</v>
      </c>
      <c r="AG1513" s="78" t="s">
        <v>217</v>
      </c>
      <c r="AH1513" s="78">
        <v>3.8714038285041039</v>
      </c>
    </row>
    <row r="1514" spans="29:34">
      <c r="AC1514" s="78" t="s">
        <v>55</v>
      </c>
      <c r="AD1514" s="78" t="s">
        <v>20</v>
      </c>
      <c r="AE1514" s="78" t="s">
        <v>72</v>
      </c>
      <c r="AF1514" s="78" t="s">
        <v>51</v>
      </c>
      <c r="AG1514" s="78" t="s">
        <v>231</v>
      </c>
      <c r="AH1514" s="78">
        <v>3.8401704951707707</v>
      </c>
    </row>
    <row r="1515" spans="29:34">
      <c r="AC1515" s="78" t="s">
        <v>55</v>
      </c>
      <c r="AD1515" s="78" t="s">
        <v>20</v>
      </c>
      <c r="AE1515" s="78" t="s">
        <v>72</v>
      </c>
      <c r="AF1515" s="78" t="s">
        <v>51</v>
      </c>
      <c r="AG1515" s="78" t="s">
        <v>232</v>
      </c>
      <c r="AH1515" s="78">
        <v>3.8058878744011344</v>
      </c>
    </row>
    <row r="1516" spans="29:34">
      <c r="AC1516" s="78" t="s">
        <v>55</v>
      </c>
      <c r="AD1516" s="78" t="s">
        <v>20</v>
      </c>
      <c r="AE1516" s="78" t="s">
        <v>72</v>
      </c>
      <c r="AF1516" s="78" t="s">
        <v>51</v>
      </c>
      <c r="AG1516" s="78" t="s">
        <v>233</v>
      </c>
      <c r="AH1516" s="78">
        <v>3.929789796110164</v>
      </c>
    </row>
    <row r="1517" spans="29:34">
      <c r="AC1517" s="78" t="s">
        <v>55</v>
      </c>
      <c r="AD1517" s="78" t="s">
        <v>20</v>
      </c>
      <c r="AE1517" s="78" t="s">
        <v>72</v>
      </c>
      <c r="AF1517" s="78" t="s">
        <v>51</v>
      </c>
      <c r="AG1517" s="78" t="s">
        <v>216</v>
      </c>
      <c r="AH1517" s="78">
        <v>3.932044793512913</v>
      </c>
    </row>
    <row r="1518" spans="29:34">
      <c r="AC1518" s="78" t="s">
        <v>55</v>
      </c>
      <c r="AD1518" s="78" t="s">
        <v>20</v>
      </c>
      <c r="AE1518" s="78" t="s">
        <v>72</v>
      </c>
      <c r="AF1518" s="78" t="s">
        <v>51</v>
      </c>
      <c r="AG1518" s="78" t="s">
        <v>218</v>
      </c>
      <c r="AH1518" s="78">
        <v>3.966305483037543</v>
      </c>
    </row>
    <row r="1519" spans="29:34">
      <c r="AC1519" s="78" t="s">
        <v>55</v>
      </c>
      <c r="AD1519" s="78" t="s">
        <v>20</v>
      </c>
      <c r="AE1519" s="78" t="s">
        <v>72</v>
      </c>
      <c r="AF1519" s="78" t="s">
        <v>51</v>
      </c>
      <c r="AG1519" s="78" t="s">
        <v>238</v>
      </c>
      <c r="AH1519" s="78">
        <v>3.932044793512913</v>
      </c>
    </row>
    <row r="1520" spans="29:34">
      <c r="AC1520" s="78" t="s">
        <v>55</v>
      </c>
      <c r="AD1520" s="78" t="s">
        <v>20</v>
      </c>
      <c r="AE1520" s="78" t="s">
        <v>72</v>
      </c>
      <c r="AF1520" s="78" t="s">
        <v>51</v>
      </c>
      <c r="AG1520" s="78" t="s">
        <v>239</v>
      </c>
      <c r="AH1520" s="78">
        <v>3.966305483037543</v>
      </c>
    </row>
    <row r="1521" spans="29:34">
      <c r="AC1521" s="78" t="s">
        <v>55</v>
      </c>
      <c r="AD1521" s="78" t="s">
        <v>20</v>
      </c>
      <c r="AE1521" s="78" t="s">
        <v>72</v>
      </c>
      <c r="AF1521" s="78" t="s">
        <v>51</v>
      </c>
      <c r="AG1521" s="78" t="s">
        <v>240</v>
      </c>
      <c r="AH1521" s="78">
        <v>3.966305483037543</v>
      </c>
    </row>
    <row r="1522" spans="29:34">
      <c r="AC1522" s="78" t="s">
        <v>55</v>
      </c>
      <c r="AD1522" s="78" t="s">
        <v>20</v>
      </c>
      <c r="AE1522" s="78" t="s">
        <v>72</v>
      </c>
      <c r="AF1522" s="78" t="s">
        <v>51</v>
      </c>
      <c r="AG1522" s="78" t="s">
        <v>241</v>
      </c>
      <c r="AH1522" s="78">
        <v>3.966305483037543</v>
      </c>
    </row>
    <row r="1523" spans="29:34">
      <c r="AC1523" s="78" t="s">
        <v>55</v>
      </c>
      <c r="AD1523" s="78" t="s">
        <v>20</v>
      </c>
      <c r="AE1523" s="78" t="s">
        <v>72</v>
      </c>
      <c r="AF1523" s="78" t="s">
        <v>51</v>
      </c>
      <c r="AG1523" s="78" t="s">
        <v>242</v>
      </c>
      <c r="AH1523" s="78">
        <v>3.966305483037543</v>
      </c>
    </row>
    <row r="1524" spans="29:34">
      <c r="AC1524" s="78" t="s">
        <v>55</v>
      </c>
      <c r="AD1524" s="78" t="s">
        <v>20</v>
      </c>
      <c r="AE1524" s="78" t="s">
        <v>72</v>
      </c>
      <c r="AF1524" s="78" t="s">
        <v>51</v>
      </c>
      <c r="AG1524" s="78" t="s">
        <v>243</v>
      </c>
      <c r="AH1524" s="78">
        <v>3.932044793512913</v>
      </c>
    </row>
    <row r="1525" spans="29:34">
      <c r="AC1525" s="78" t="s">
        <v>55</v>
      </c>
      <c r="AD1525" s="78" t="s">
        <v>20</v>
      </c>
      <c r="AE1525" s="78" t="s">
        <v>72</v>
      </c>
      <c r="AF1525" s="78" t="s">
        <v>51</v>
      </c>
      <c r="AG1525" s="78" t="s">
        <v>244</v>
      </c>
      <c r="AH1525" s="78">
        <v>3.966305483037543</v>
      </c>
    </row>
    <row r="1526" spans="29:34">
      <c r="AC1526" s="78" t="s">
        <v>55</v>
      </c>
      <c r="AD1526" s="78" t="s">
        <v>20</v>
      </c>
      <c r="AE1526" s="78" t="s">
        <v>72</v>
      </c>
      <c r="AF1526" s="78" t="s">
        <v>51</v>
      </c>
      <c r="AG1526" s="78" t="s">
        <v>245</v>
      </c>
      <c r="AH1526" s="78">
        <v>3.9975388163708763</v>
      </c>
    </row>
    <row r="1527" spans="29:34">
      <c r="AC1527" s="78" t="s">
        <v>55</v>
      </c>
      <c r="AD1527" s="78" t="s">
        <v>20</v>
      </c>
      <c r="AE1527" s="78" t="s">
        <v>72</v>
      </c>
      <c r="AF1527" s="78" t="s">
        <v>51</v>
      </c>
      <c r="AG1527" s="78" t="s">
        <v>246</v>
      </c>
      <c r="AH1527" s="78">
        <v>3.966305483037543</v>
      </c>
    </row>
    <row r="1528" spans="29:34">
      <c r="AC1528" s="78" t="s">
        <v>55</v>
      </c>
      <c r="AD1528" s="78" t="s">
        <v>20</v>
      </c>
      <c r="AE1528" s="78" t="s">
        <v>72</v>
      </c>
      <c r="AF1528" s="78" t="s">
        <v>51</v>
      </c>
      <c r="AG1528" s="78" t="s">
        <v>247</v>
      </c>
      <c r="AH1528" s="78">
        <v>3.966305483037543</v>
      </c>
    </row>
    <row r="1529" spans="29:34">
      <c r="AC1529" s="78" t="s">
        <v>55</v>
      </c>
      <c r="AD1529" s="78" t="s">
        <v>20</v>
      </c>
      <c r="AE1529" s="78" t="s">
        <v>72</v>
      </c>
      <c r="AF1529" s="78" t="s">
        <v>51</v>
      </c>
      <c r="AG1529" s="78" t="s">
        <v>248</v>
      </c>
      <c r="AH1529" s="78">
        <v>3.932044793512913</v>
      </c>
    </row>
    <row r="1530" spans="29:34">
      <c r="AC1530" s="78" t="s">
        <v>55</v>
      </c>
      <c r="AD1530" s="78" t="s">
        <v>20</v>
      </c>
      <c r="AE1530" s="78" t="s">
        <v>72</v>
      </c>
      <c r="AF1530" s="78" t="s">
        <v>51</v>
      </c>
      <c r="AG1530" s="78" t="s">
        <v>249</v>
      </c>
      <c r="AH1530" s="78">
        <v>4.0557276764206129</v>
      </c>
    </row>
    <row r="1531" spans="29:34">
      <c r="AC1531" s="78" t="s">
        <v>55</v>
      </c>
      <c r="AD1531" s="78" t="s">
        <v>20</v>
      </c>
      <c r="AE1531" s="78" t="s">
        <v>72</v>
      </c>
      <c r="AF1531" s="78" t="s">
        <v>51</v>
      </c>
      <c r="AG1531" s="78" t="s">
        <v>250</v>
      </c>
      <c r="AH1531" s="78">
        <v>4.0557276764206129</v>
      </c>
    </row>
    <row r="1532" spans="29:34">
      <c r="AC1532" s="78" t="s">
        <v>55</v>
      </c>
      <c r="AD1532" s="78" t="s">
        <v>20</v>
      </c>
      <c r="AE1532" s="78" t="s">
        <v>72</v>
      </c>
      <c r="AF1532" s="78" t="s">
        <v>51</v>
      </c>
      <c r="AG1532" s="78" t="s">
        <v>251</v>
      </c>
      <c r="AH1532" s="78">
        <v>3.966305483037543</v>
      </c>
    </row>
    <row r="1533" spans="29:34">
      <c r="AC1533" s="78" t="s">
        <v>55</v>
      </c>
      <c r="AD1533" s="78" t="s">
        <v>20</v>
      </c>
      <c r="AE1533" s="78" t="s">
        <v>72</v>
      </c>
      <c r="AF1533" s="78" t="s">
        <v>51</v>
      </c>
      <c r="AG1533" s="78" t="s">
        <v>252</v>
      </c>
      <c r="AH1533" s="78">
        <v>3.932044793512913</v>
      </c>
    </row>
    <row r="1534" spans="29:34">
      <c r="AC1534" s="78" t="s">
        <v>55</v>
      </c>
      <c r="AD1534" s="78" t="s">
        <v>20</v>
      </c>
      <c r="AE1534" s="78" t="s">
        <v>72</v>
      </c>
      <c r="AF1534" s="78" t="s">
        <v>51</v>
      </c>
      <c r="AG1534" s="78" t="s">
        <v>253</v>
      </c>
      <c r="AH1534" s="78">
        <v>3.932044793512913</v>
      </c>
    </row>
    <row r="1535" spans="29:34">
      <c r="AC1535" s="78" t="s">
        <v>55</v>
      </c>
      <c r="AD1535" s="78" t="s">
        <v>20</v>
      </c>
      <c r="AE1535" s="78" t="s">
        <v>72</v>
      </c>
      <c r="AF1535" s="78" t="s">
        <v>51</v>
      </c>
      <c r="AG1535" s="78" t="s">
        <v>254</v>
      </c>
      <c r="AH1535" s="78">
        <v>3.932044793512913</v>
      </c>
    </row>
    <row r="1536" spans="29:34">
      <c r="AC1536" s="78" t="s">
        <v>55</v>
      </c>
      <c r="AD1536" s="78" t="s">
        <v>20</v>
      </c>
      <c r="AE1536" s="78" t="s">
        <v>72</v>
      </c>
      <c r="AF1536" s="78" t="s">
        <v>51</v>
      </c>
      <c r="AG1536" s="78" t="s">
        <v>255</v>
      </c>
      <c r="AH1536" s="78">
        <v>3.932044793512913</v>
      </c>
    </row>
    <row r="1537" spans="29:34">
      <c r="AC1537" s="78" t="s">
        <v>55</v>
      </c>
      <c r="AD1537" s="78" t="s">
        <v>20</v>
      </c>
      <c r="AE1537" s="78" t="s">
        <v>72</v>
      </c>
      <c r="AF1537" s="78" t="s">
        <v>51</v>
      </c>
      <c r="AG1537" s="78" t="s">
        <v>256</v>
      </c>
      <c r="AH1537" s="78">
        <v>3.8714038285041039</v>
      </c>
    </row>
    <row r="1538" spans="29:34">
      <c r="AC1538" s="78" t="s">
        <v>55</v>
      </c>
      <c r="AD1538" s="78" t="s">
        <v>20</v>
      </c>
      <c r="AE1538" s="78" t="s">
        <v>72</v>
      </c>
      <c r="AF1538" s="78" t="s">
        <v>51</v>
      </c>
      <c r="AG1538" s="78" t="s">
        <v>257</v>
      </c>
      <c r="AH1538" s="78">
        <v>3.932044793512913</v>
      </c>
    </row>
    <row r="1539" spans="29:34">
      <c r="AC1539" s="78" t="s">
        <v>55</v>
      </c>
      <c r="AD1539" s="78" t="s">
        <v>20</v>
      </c>
      <c r="AE1539" s="78" t="s">
        <v>72</v>
      </c>
      <c r="AF1539" s="78" t="s">
        <v>51</v>
      </c>
      <c r="AG1539" s="78" t="s">
        <v>258</v>
      </c>
      <c r="AH1539" s="78">
        <v>3.9691038719099652</v>
      </c>
    </row>
    <row r="1540" spans="29:34">
      <c r="AC1540" s="78" t="s">
        <v>55</v>
      </c>
      <c r="AD1540" s="78" t="s">
        <v>20</v>
      </c>
      <c r="AE1540" s="78" t="s">
        <v>72</v>
      </c>
      <c r="AF1540" s="78" t="s">
        <v>51</v>
      </c>
      <c r="AG1540" s="78" t="s">
        <v>259</v>
      </c>
      <c r="AH1540" s="78">
        <v>3.836185909281542</v>
      </c>
    </row>
    <row r="1541" spans="29:34">
      <c r="AC1541" s="78" t="s">
        <v>55</v>
      </c>
      <c r="AD1541" s="78" t="s">
        <v>20</v>
      </c>
      <c r="AE1541" s="78" t="s">
        <v>72</v>
      </c>
      <c r="AF1541" s="78" t="s">
        <v>51</v>
      </c>
      <c r="AG1541" s="78" t="s">
        <v>260</v>
      </c>
      <c r="AH1541" s="78">
        <v>3.836185909281542</v>
      </c>
    </row>
    <row r="1542" spans="29:34">
      <c r="AC1542" s="78" t="s">
        <v>55</v>
      </c>
      <c r="AD1542" s="78" t="s">
        <v>20</v>
      </c>
      <c r="AE1542" s="78" t="s">
        <v>72</v>
      </c>
      <c r="AF1542" s="78" t="s">
        <v>51</v>
      </c>
      <c r="AG1542" s="78" t="s">
        <v>261</v>
      </c>
      <c r="AH1542" s="78">
        <v>3.8432439415632444</v>
      </c>
    </row>
    <row r="1543" spans="29:34">
      <c r="AC1543" s="78" t="s">
        <v>55</v>
      </c>
      <c r="AD1543" s="78" t="s">
        <v>20</v>
      </c>
      <c r="AE1543" s="78" t="s">
        <v>72</v>
      </c>
      <c r="AF1543" s="78" t="s">
        <v>51</v>
      </c>
      <c r="AG1543" s="78" t="s">
        <v>262</v>
      </c>
      <c r="AH1543" s="78">
        <v>3.7786134524895099</v>
      </c>
    </row>
    <row r="1544" spans="29:34">
      <c r="AC1544" s="78" t="s">
        <v>55</v>
      </c>
      <c r="AD1544" s="78" t="s">
        <v>20</v>
      </c>
      <c r="AE1544" s="78" t="s">
        <v>72</v>
      </c>
      <c r="AF1544" s="78" t="s">
        <v>51</v>
      </c>
      <c r="AG1544" s="78" t="s">
        <v>263</v>
      </c>
      <c r="AH1544" s="78">
        <v>3.8674525759482088</v>
      </c>
    </row>
    <row r="1545" spans="29:34">
      <c r="AC1545" s="78" t="s">
        <v>55</v>
      </c>
      <c r="AD1545" s="78" t="s">
        <v>20</v>
      </c>
      <c r="AE1545" s="78" t="s">
        <v>72</v>
      </c>
      <c r="AF1545" s="78" t="s">
        <v>51</v>
      </c>
      <c r="AG1545" s="78" t="s">
        <v>264</v>
      </c>
      <c r="AH1545" s="78">
        <v>3.9691038719099652</v>
      </c>
    </row>
    <row r="1546" spans="29:34">
      <c r="AC1546" s="78" t="s">
        <v>55</v>
      </c>
      <c r="AD1546" s="78" t="s">
        <v>20</v>
      </c>
      <c r="AE1546" s="78" t="s">
        <v>72</v>
      </c>
      <c r="AF1546" s="78" t="s">
        <v>51</v>
      </c>
      <c r="AG1546" s="78" t="s">
        <v>265</v>
      </c>
      <c r="AH1546" s="78">
        <v>3.9691038719099652</v>
      </c>
    </row>
    <row r="1547" spans="29:34">
      <c r="AC1547" s="78" t="s">
        <v>55</v>
      </c>
      <c r="AD1547" s="78" t="s">
        <v>20</v>
      </c>
      <c r="AE1547" s="78" t="s">
        <v>72</v>
      </c>
      <c r="AF1547" s="78" t="s">
        <v>51</v>
      </c>
      <c r="AG1547" s="78" t="s">
        <v>266</v>
      </c>
      <c r="AH1547" s="78">
        <v>3.9691038719099652</v>
      </c>
    </row>
    <row r="1548" spans="29:34">
      <c r="AC1548" s="78" t="s">
        <v>55</v>
      </c>
      <c r="AD1548" s="78" t="s">
        <v>20</v>
      </c>
      <c r="AE1548" s="78" t="s">
        <v>72</v>
      </c>
      <c r="AF1548" s="78" t="s">
        <v>51</v>
      </c>
      <c r="AG1548" s="78" t="s">
        <v>267</v>
      </c>
      <c r="AH1548" s="78">
        <v>3.9935656386559404</v>
      </c>
    </row>
    <row r="1549" spans="29:34">
      <c r="AC1549" s="78" t="s">
        <v>55</v>
      </c>
      <c r="AD1549" s="78" t="s">
        <v>20</v>
      </c>
      <c r="AE1549" s="78" t="s">
        <v>72</v>
      </c>
      <c r="AF1549" s="78" t="s">
        <v>51</v>
      </c>
      <c r="AG1549" s="78" t="s">
        <v>268</v>
      </c>
      <c r="AH1549" s="78">
        <v>3.9691038719099652</v>
      </c>
    </row>
    <row r="1550" spans="29:34">
      <c r="AC1550" s="78" t="s">
        <v>55</v>
      </c>
      <c r="AD1550" s="78" t="s">
        <v>20</v>
      </c>
      <c r="AE1550" s="78" t="s">
        <v>72</v>
      </c>
      <c r="AF1550" s="78" t="s">
        <v>51</v>
      </c>
      <c r="AG1550" s="78" t="s">
        <v>269</v>
      </c>
      <c r="AH1550" s="78">
        <v>3.9077289127981323</v>
      </c>
    </row>
    <row r="1551" spans="29:34">
      <c r="AC1551" s="78" t="s">
        <v>55</v>
      </c>
      <c r="AD1551" s="78" t="s">
        <v>20</v>
      </c>
      <c r="AE1551" s="78" t="s">
        <v>72</v>
      </c>
      <c r="AF1551" s="78" t="s">
        <v>51</v>
      </c>
      <c r="AG1551" s="78" t="s">
        <v>270</v>
      </c>
      <c r="AH1551" s="78">
        <v>3.9077289127981323</v>
      </c>
    </row>
    <row r="1552" spans="29:34">
      <c r="AC1552" s="78" t="s">
        <v>55</v>
      </c>
      <c r="AD1552" s="78" t="s">
        <v>20</v>
      </c>
      <c r="AE1552" s="78" t="s">
        <v>72</v>
      </c>
      <c r="AF1552" s="78" t="s">
        <v>51</v>
      </c>
      <c r="AG1552" s="78" t="s">
        <v>271</v>
      </c>
      <c r="AH1552" s="78">
        <v>3.9691038719099652</v>
      </c>
    </row>
    <row r="1553" spans="29:34">
      <c r="AC1553" s="78" t="s">
        <v>55</v>
      </c>
      <c r="AD1553" s="78" t="s">
        <v>20</v>
      </c>
      <c r="AE1553" s="78" t="s">
        <v>72</v>
      </c>
      <c r="AF1553" s="78" t="s">
        <v>51</v>
      </c>
      <c r="AG1553" s="78" t="s">
        <v>272</v>
      </c>
      <c r="AH1553" s="78">
        <v>3.9691038719099652</v>
      </c>
    </row>
    <row r="1554" spans="29:34">
      <c r="AC1554" s="78" t="s">
        <v>55</v>
      </c>
      <c r="AD1554" s="78" t="s">
        <v>20</v>
      </c>
      <c r="AE1554" s="78" t="s">
        <v>72</v>
      </c>
      <c r="AF1554" s="78" t="s">
        <v>51</v>
      </c>
      <c r="AG1554" s="78" t="s">
        <v>273</v>
      </c>
      <c r="AH1554" s="78">
        <v>3.9935656386559404</v>
      </c>
    </row>
    <row r="1555" spans="29:34">
      <c r="AC1555" s="78" t="s">
        <v>55</v>
      </c>
      <c r="AD1555" s="78" t="s">
        <v>20</v>
      </c>
      <c r="AE1555" s="78" t="s">
        <v>72</v>
      </c>
      <c r="AF1555" s="78" t="s">
        <v>51</v>
      </c>
      <c r="AG1555" s="78" t="s">
        <v>274</v>
      </c>
      <c r="AH1555" s="78">
        <v>3.9622989719892732</v>
      </c>
    </row>
    <row r="1556" spans="29:34">
      <c r="AC1556" s="78" t="s">
        <v>55</v>
      </c>
      <c r="AD1556" s="78" t="s">
        <v>20</v>
      </c>
      <c r="AE1556" s="78" t="s">
        <v>72</v>
      </c>
      <c r="AF1556" s="78" t="s">
        <v>51</v>
      </c>
      <c r="AG1556" s="78" t="s">
        <v>275</v>
      </c>
      <c r="AH1556" s="78">
        <v>3.9622989719892732</v>
      </c>
    </row>
    <row r="1557" spans="29:34">
      <c r="AC1557" s="78" t="s">
        <v>55</v>
      </c>
      <c r="AD1557" s="78" t="s">
        <v>20</v>
      </c>
      <c r="AE1557" s="78" t="s">
        <v>72</v>
      </c>
      <c r="AF1557" s="78" t="s">
        <v>51</v>
      </c>
      <c r="AG1557" s="78" t="s">
        <v>276</v>
      </c>
      <c r="AH1557" s="78">
        <v>3.9622989719892732</v>
      </c>
    </row>
    <row r="1558" spans="29:34">
      <c r="AC1558" s="78" t="s">
        <v>55</v>
      </c>
      <c r="AD1558" s="78" t="s">
        <v>20</v>
      </c>
      <c r="AE1558" s="78" t="s">
        <v>72</v>
      </c>
      <c r="AF1558" s="78" t="s">
        <v>51</v>
      </c>
      <c r="AG1558" s="78" t="s">
        <v>277</v>
      </c>
      <c r="AH1558" s="78">
        <v>3.9935656386559404</v>
      </c>
    </row>
    <row r="1559" spans="29:34">
      <c r="AC1559" s="78" t="s">
        <v>55</v>
      </c>
      <c r="AD1559" s="78" t="s">
        <v>20</v>
      </c>
      <c r="AE1559" s="78" t="s">
        <v>72</v>
      </c>
      <c r="AF1559" s="78" t="s">
        <v>51</v>
      </c>
      <c r="AG1559" s="78" t="s">
        <v>278</v>
      </c>
      <c r="AH1559" s="78">
        <v>3.9622989719892732</v>
      </c>
    </row>
    <row r="1560" spans="29:34">
      <c r="AC1560" s="78" t="s">
        <v>55</v>
      </c>
      <c r="AD1560" s="78" t="s">
        <v>20</v>
      </c>
      <c r="AE1560" s="78" t="s">
        <v>72</v>
      </c>
      <c r="AF1560" s="78" t="s">
        <v>51</v>
      </c>
      <c r="AG1560" s="78" t="s">
        <v>279</v>
      </c>
      <c r="AH1560" s="78">
        <v>3.9622989719892732</v>
      </c>
    </row>
    <row r="1561" spans="29:34">
      <c r="AC1561" s="78" t="s">
        <v>55</v>
      </c>
      <c r="AD1561" s="78" t="s">
        <v>20</v>
      </c>
      <c r="AE1561" s="78" t="s">
        <v>72</v>
      </c>
      <c r="AF1561" s="78" t="s">
        <v>51</v>
      </c>
      <c r="AG1561" s="78" t="s">
        <v>280</v>
      </c>
      <c r="AH1561" s="78">
        <v>4.09493246058208</v>
      </c>
    </row>
    <row r="1562" spans="29:34">
      <c r="AC1562" s="78" t="s">
        <v>55</v>
      </c>
      <c r="AD1562" s="78" t="s">
        <v>20</v>
      </c>
      <c r="AE1562" s="78" t="s">
        <v>72</v>
      </c>
      <c r="AF1562" s="78" t="s">
        <v>51</v>
      </c>
      <c r="AG1562" s="78" t="s">
        <v>281</v>
      </c>
      <c r="AH1562" s="78">
        <v>4.0884460824161017</v>
      </c>
    </row>
    <row r="1563" spans="29:34">
      <c r="AC1563" s="78" t="s">
        <v>55</v>
      </c>
      <c r="AD1563" s="78" t="s">
        <v>20</v>
      </c>
      <c r="AE1563" s="78" t="s">
        <v>72</v>
      </c>
      <c r="AF1563" s="78" t="s">
        <v>51</v>
      </c>
      <c r="AG1563" s="78" t="s">
        <v>282</v>
      </c>
      <c r="AH1563" s="78">
        <v>4.09493246058208</v>
      </c>
    </row>
    <row r="1564" spans="29:34">
      <c r="AC1564" s="78" t="s">
        <v>55</v>
      </c>
      <c r="AD1564" s="78" t="s">
        <v>20</v>
      </c>
      <c r="AE1564" s="78" t="s">
        <v>72</v>
      </c>
      <c r="AF1564" s="78" t="s">
        <v>51</v>
      </c>
      <c r="AG1564" s="78" t="s">
        <v>283</v>
      </c>
      <c r="AH1564" s="78">
        <v>3.9935656386559404</v>
      </c>
    </row>
    <row r="1565" spans="29:34">
      <c r="AC1565" s="78" t="s">
        <v>55</v>
      </c>
      <c r="AD1565" s="78" t="s">
        <v>20</v>
      </c>
      <c r="AE1565" s="78" t="s">
        <v>72</v>
      </c>
      <c r="AF1565" s="78" t="s">
        <v>51</v>
      </c>
      <c r="AG1565" s="78" t="s">
        <v>284</v>
      </c>
      <c r="AH1565" s="78">
        <v>4.0337762365220735</v>
      </c>
    </row>
    <row r="1566" spans="29:34">
      <c r="AC1566" s="78" t="s">
        <v>55</v>
      </c>
      <c r="AD1566" s="78" t="s">
        <v>20</v>
      </c>
      <c r="AE1566" s="78" t="s">
        <v>72</v>
      </c>
      <c r="AF1566" s="78" t="s">
        <v>51</v>
      </c>
      <c r="AG1566" s="78" t="s">
        <v>285</v>
      </c>
      <c r="AH1566" s="78">
        <v>4.09493246058208</v>
      </c>
    </row>
    <row r="1567" spans="29:34">
      <c r="AC1567" s="78" t="s">
        <v>55</v>
      </c>
      <c r="AD1567" s="78" t="s">
        <v>20</v>
      </c>
      <c r="AE1567" s="78" t="s">
        <v>72</v>
      </c>
      <c r="AF1567" s="78" t="s">
        <v>51</v>
      </c>
      <c r="AG1567" s="78" t="s">
        <v>286</v>
      </c>
      <c r="AH1567" s="78">
        <v>4.119712749082769</v>
      </c>
    </row>
    <row r="1568" spans="29:34">
      <c r="AC1568" s="78" t="s">
        <v>55</v>
      </c>
      <c r="AD1568" s="78" t="s">
        <v>20</v>
      </c>
      <c r="AE1568" s="78" t="s">
        <v>72</v>
      </c>
      <c r="AF1568" s="78" t="s">
        <v>51</v>
      </c>
      <c r="AG1568" s="78" t="s">
        <v>287</v>
      </c>
      <c r="AH1568" s="78">
        <v>4.1598579134474827</v>
      </c>
    </row>
    <row r="1569" spans="29:34">
      <c r="AC1569" s="78" t="s">
        <v>55</v>
      </c>
      <c r="AD1569" s="78" t="s">
        <v>20</v>
      </c>
      <c r="AE1569" s="78" t="s">
        <v>72</v>
      </c>
      <c r="AF1569" s="78" t="s">
        <v>51</v>
      </c>
      <c r="AG1569" s="78" t="s">
        <v>288</v>
      </c>
      <c r="AH1569" s="78">
        <v>4.1598579134474827</v>
      </c>
    </row>
    <row r="1570" spans="29:34">
      <c r="AC1570" s="78" t="s">
        <v>55</v>
      </c>
      <c r="AD1570" s="78" t="s">
        <v>20</v>
      </c>
      <c r="AE1570" s="78" t="s">
        <v>72</v>
      </c>
      <c r="AF1570" s="78" t="s">
        <v>51</v>
      </c>
      <c r="AG1570" s="78" t="s">
        <v>289</v>
      </c>
      <c r="AH1570" s="78">
        <v>4.1598579134474827</v>
      </c>
    </row>
    <row r="1571" spans="29:34">
      <c r="AC1571" s="78" t="s">
        <v>55</v>
      </c>
      <c r="AD1571" s="78" t="s">
        <v>20</v>
      </c>
      <c r="AE1571" s="78" t="s">
        <v>72</v>
      </c>
      <c r="AF1571" s="78" t="s">
        <v>51</v>
      </c>
      <c r="AG1571" s="78" t="s">
        <v>290</v>
      </c>
      <c r="AH1571" s="78">
        <v>4.0337762365220735</v>
      </c>
    </row>
    <row r="1572" spans="29:34">
      <c r="AC1572" s="78" t="s">
        <v>55</v>
      </c>
      <c r="AD1572" s="78" t="s">
        <v>20</v>
      </c>
      <c r="AE1572" s="78" t="s">
        <v>72</v>
      </c>
      <c r="AF1572" s="78" t="s">
        <v>51</v>
      </c>
      <c r="AG1572" s="78" t="s">
        <v>291</v>
      </c>
      <c r="AH1572" s="78">
        <v>3.9935656386559404</v>
      </c>
    </row>
    <row r="1573" spans="29:34">
      <c r="AC1573" s="78" t="s">
        <v>55</v>
      </c>
      <c r="AD1573" s="78" t="s">
        <v>20</v>
      </c>
      <c r="AE1573" s="78" t="s">
        <v>72</v>
      </c>
      <c r="AF1573" s="78" t="s">
        <v>51</v>
      </c>
      <c r="AG1573" s="78" t="s">
        <v>292</v>
      </c>
      <c r="AH1573" s="78">
        <v>4.0337762365220735</v>
      </c>
    </row>
    <row r="1574" spans="29:34">
      <c r="AC1574" s="78" t="s">
        <v>55</v>
      </c>
      <c r="AD1574" s="78" t="s">
        <v>20</v>
      </c>
      <c r="AE1574" s="78" t="s">
        <v>72</v>
      </c>
      <c r="AF1574" s="78" t="s">
        <v>51</v>
      </c>
      <c r="AG1574" s="78" t="s">
        <v>293</v>
      </c>
      <c r="AH1574" s="78">
        <v>4.0337762365220735</v>
      </c>
    </row>
    <row r="1575" spans="29:34">
      <c r="AC1575" s="78" t="s">
        <v>55</v>
      </c>
      <c r="AD1575" s="78" t="s">
        <v>20</v>
      </c>
      <c r="AE1575" s="78" t="s">
        <v>72</v>
      </c>
      <c r="AF1575" s="78" t="s">
        <v>51</v>
      </c>
      <c r="AG1575" s="78" t="s">
        <v>294</v>
      </c>
      <c r="AH1575" s="78">
        <v>3.9622989719892732</v>
      </c>
    </row>
    <row r="1576" spans="29:34">
      <c r="AC1576" s="78" t="s">
        <v>55</v>
      </c>
      <c r="AD1576" s="78" t="s">
        <v>20</v>
      </c>
      <c r="AE1576" s="78" t="s">
        <v>72</v>
      </c>
      <c r="AF1576" s="78" t="s">
        <v>51</v>
      </c>
      <c r="AG1576" s="78" t="s">
        <v>295</v>
      </c>
      <c r="AH1576" s="78">
        <v>3.9622989719892732</v>
      </c>
    </row>
    <row r="1577" spans="29:34">
      <c r="AC1577" s="78" t="s">
        <v>55</v>
      </c>
      <c r="AD1577" s="78" t="s">
        <v>20</v>
      </c>
      <c r="AE1577" s="78" t="s">
        <v>72</v>
      </c>
      <c r="AF1577" s="78" t="s">
        <v>51</v>
      </c>
      <c r="AG1577" s="78" t="s">
        <v>236</v>
      </c>
      <c r="AH1577" s="78">
        <v>3.965632305322607</v>
      </c>
    </row>
    <row r="1578" spans="29:34">
      <c r="AC1578" s="78" t="s">
        <v>55</v>
      </c>
      <c r="AD1578" s="78" t="s">
        <v>20</v>
      </c>
      <c r="AE1578" s="78" t="s">
        <v>72</v>
      </c>
      <c r="AF1578" s="78" t="s">
        <v>51</v>
      </c>
      <c r="AG1578" s="78" t="s">
        <v>296</v>
      </c>
      <c r="AH1578" s="78">
        <v>3.965632305322607</v>
      </c>
    </row>
    <row r="1579" spans="29:34">
      <c r="AC1579" s="78" t="s">
        <v>55</v>
      </c>
      <c r="AD1579" s="78" t="s">
        <v>20</v>
      </c>
      <c r="AE1579" s="78" t="s">
        <v>72</v>
      </c>
      <c r="AF1579" s="78" t="s">
        <v>51</v>
      </c>
      <c r="AG1579" s="78" t="s">
        <v>297</v>
      </c>
      <c r="AH1579" s="78">
        <v>3.965632305322607</v>
      </c>
    </row>
    <row r="1580" spans="29:34">
      <c r="AC1580" s="78" t="s">
        <v>55</v>
      </c>
      <c r="AD1580" s="78" t="s">
        <v>20</v>
      </c>
      <c r="AE1580" s="78" t="s">
        <v>72</v>
      </c>
      <c r="AF1580" s="78" t="s">
        <v>51</v>
      </c>
      <c r="AG1580" s="78" t="s">
        <v>298</v>
      </c>
      <c r="AH1580" s="78">
        <v>3.965632305322607</v>
      </c>
    </row>
    <row r="1581" spans="29:34">
      <c r="AC1581" s="78" t="s">
        <v>55</v>
      </c>
      <c r="AD1581" s="78" t="s">
        <v>20</v>
      </c>
      <c r="AE1581" s="78" t="s">
        <v>72</v>
      </c>
      <c r="AF1581" s="78" t="s">
        <v>51</v>
      </c>
      <c r="AG1581" s="78" t="s">
        <v>299</v>
      </c>
      <c r="AH1581" s="78">
        <v>3.965632305322607</v>
      </c>
    </row>
    <row r="1582" spans="29:34">
      <c r="AC1582" s="78" t="s">
        <v>55</v>
      </c>
      <c r="AD1582" s="78" t="s">
        <v>20</v>
      </c>
      <c r="AE1582" s="78" t="s">
        <v>72</v>
      </c>
      <c r="AF1582" s="78" t="s">
        <v>51</v>
      </c>
      <c r="AG1582" s="78" t="s">
        <v>300</v>
      </c>
      <c r="AH1582" s="78">
        <v>3.9110622461314657</v>
      </c>
    </row>
    <row r="1583" spans="29:34">
      <c r="AC1583" s="78" t="s">
        <v>55</v>
      </c>
      <c r="AD1583" s="78" t="s">
        <v>20</v>
      </c>
      <c r="AE1583" s="78" t="s">
        <v>72</v>
      </c>
      <c r="AF1583" s="78" t="s">
        <v>51</v>
      </c>
      <c r="AG1583" s="78" t="s">
        <v>301</v>
      </c>
      <c r="AH1583" s="78">
        <v>3.9110622461314657</v>
      </c>
    </row>
    <row r="1584" spans="29:34">
      <c r="AC1584" s="78" t="s">
        <v>55</v>
      </c>
      <c r="AD1584" s="78" t="s">
        <v>20</v>
      </c>
      <c r="AE1584" s="78" t="s">
        <v>72</v>
      </c>
      <c r="AF1584" s="78" t="s">
        <v>51</v>
      </c>
      <c r="AG1584" s="78" t="s">
        <v>302</v>
      </c>
      <c r="AH1584" s="78">
        <v>4.0371095698554074</v>
      </c>
    </row>
    <row r="1585" spans="29:34">
      <c r="AC1585" s="78" t="s">
        <v>55</v>
      </c>
      <c r="AD1585" s="78" t="s">
        <v>20</v>
      </c>
      <c r="AE1585" s="78" t="s">
        <v>72</v>
      </c>
      <c r="AF1585" s="78" t="s">
        <v>51</v>
      </c>
      <c r="AG1585" s="78" t="s">
        <v>303</v>
      </c>
      <c r="AH1585" s="78">
        <v>3.9724372052432981</v>
      </c>
    </row>
    <row r="1586" spans="29:34">
      <c r="AC1586" s="78" t="s">
        <v>55</v>
      </c>
      <c r="AD1586" s="78" t="s">
        <v>20</v>
      </c>
      <c r="AE1586" s="78" t="s">
        <v>72</v>
      </c>
      <c r="AF1586" s="78" t="s">
        <v>51</v>
      </c>
      <c r="AG1586" s="78" t="s">
        <v>304</v>
      </c>
      <c r="AH1586" s="78">
        <v>3.9724372052432981</v>
      </c>
    </row>
    <row r="1587" spans="29:34">
      <c r="AC1587" s="78" t="s">
        <v>55</v>
      </c>
      <c r="AD1587" s="78" t="s">
        <v>20</v>
      </c>
      <c r="AE1587" s="78" t="s">
        <v>72</v>
      </c>
      <c r="AF1587" s="78" t="s">
        <v>51</v>
      </c>
      <c r="AG1587" s="78" t="s">
        <v>305</v>
      </c>
      <c r="AH1587" s="78">
        <v>3.9724372052432981</v>
      </c>
    </row>
    <row r="1588" spans="29:34">
      <c r="AC1588" s="78" t="s">
        <v>55</v>
      </c>
      <c r="AD1588" s="78" t="s">
        <v>20</v>
      </c>
      <c r="AE1588" s="78" t="s">
        <v>72</v>
      </c>
      <c r="AF1588" s="78" t="s">
        <v>51</v>
      </c>
      <c r="AG1588" s="78" t="s">
        <v>306</v>
      </c>
      <c r="AH1588" s="78">
        <v>3.965632305322607</v>
      </c>
    </row>
    <row r="1589" spans="29:34">
      <c r="AC1589" s="78" t="s">
        <v>55</v>
      </c>
      <c r="AD1589" s="78" t="s">
        <v>20</v>
      </c>
      <c r="AE1589" s="78" t="s">
        <v>72</v>
      </c>
      <c r="AF1589" s="78" t="s">
        <v>51</v>
      </c>
      <c r="AG1589" s="78" t="s">
        <v>307</v>
      </c>
      <c r="AH1589" s="78">
        <v>3.965632305322607</v>
      </c>
    </row>
    <row r="1590" spans="29:34">
      <c r="AC1590" s="78" t="s">
        <v>55</v>
      </c>
      <c r="AD1590" s="78" t="s">
        <v>20</v>
      </c>
      <c r="AE1590" s="78" t="s">
        <v>72</v>
      </c>
      <c r="AF1590" s="78" t="s">
        <v>51</v>
      </c>
      <c r="AG1590" s="78" t="s">
        <v>308</v>
      </c>
      <c r="AH1590" s="78">
        <v>3.9724372052432981</v>
      </c>
    </row>
    <row r="1591" spans="29:34">
      <c r="AC1591" s="78" t="s">
        <v>55</v>
      </c>
      <c r="AD1591" s="78" t="s">
        <v>20</v>
      </c>
      <c r="AE1591" s="78" t="s">
        <v>72</v>
      </c>
      <c r="AF1591" s="78" t="s">
        <v>51</v>
      </c>
      <c r="AG1591" s="78" t="s">
        <v>309</v>
      </c>
      <c r="AH1591" s="78">
        <v>3.9724372052432981</v>
      </c>
    </row>
    <row r="1592" spans="29:34">
      <c r="AC1592" s="78" t="s">
        <v>55</v>
      </c>
      <c r="AD1592" s="78" t="s">
        <v>20</v>
      </c>
      <c r="AE1592" s="78" t="s">
        <v>72</v>
      </c>
      <c r="AF1592" s="78" t="s">
        <v>51</v>
      </c>
      <c r="AG1592" s="78" t="s">
        <v>310</v>
      </c>
      <c r="AH1592" s="78">
        <v>4.0371095698554074</v>
      </c>
    </row>
    <row r="1593" spans="29:34">
      <c r="AC1593" s="78" t="s">
        <v>55</v>
      </c>
      <c r="AD1593" s="78" t="s">
        <v>20</v>
      </c>
      <c r="AE1593" s="78" t="s">
        <v>72</v>
      </c>
      <c r="AF1593" s="78" t="s">
        <v>51</v>
      </c>
      <c r="AG1593" s="78" t="s">
        <v>311</v>
      </c>
      <c r="AH1593" s="78">
        <v>4.0371095698554074</v>
      </c>
    </row>
    <row r="1594" spans="29:34">
      <c r="AC1594" s="78" t="s">
        <v>55</v>
      </c>
      <c r="AD1594" s="78" t="s">
        <v>20</v>
      </c>
      <c r="AE1594" s="78" t="s">
        <v>72</v>
      </c>
      <c r="AF1594" s="78" t="s">
        <v>51</v>
      </c>
      <c r="AG1594" s="78" t="s">
        <v>235</v>
      </c>
      <c r="AH1594" s="78">
        <v>4.0371095698554074</v>
      </c>
    </row>
    <row r="1595" spans="29:34">
      <c r="AC1595" s="78" t="s">
        <v>55</v>
      </c>
      <c r="AD1595" s="78" t="s">
        <v>20</v>
      </c>
      <c r="AE1595" s="78" t="s">
        <v>72</v>
      </c>
      <c r="AF1595" s="78" t="s">
        <v>51</v>
      </c>
      <c r="AG1595" s="78" t="s">
        <v>312</v>
      </c>
      <c r="AH1595" s="78">
        <v>3.965632305322607</v>
      </c>
    </row>
    <row r="1596" spans="29:34">
      <c r="AC1596" s="78" t="s">
        <v>55</v>
      </c>
      <c r="AD1596" s="78" t="s">
        <v>20</v>
      </c>
      <c r="AE1596" s="78" t="s">
        <v>72</v>
      </c>
      <c r="AF1596" s="78" t="s">
        <v>51</v>
      </c>
      <c r="AG1596" s="78" t="s">
        <v>313</v>
      </c>
      <c r="AH1596" s="78">
        <v>3.965632305322607</v>
      </c>
    </row>
    <row r="1597" spans="29:34">
      <c r="AC1597" s="78" t="s">
        <v>55</v>
      </c>
      <c r="AD1597" s="78" t="s">
        <v>20</v>
      </c>
      <c r="AE1597" s="78" t="s">
        <v>72</v>
      </c>
      <c r="AF1597" s="78" t="s">
        <v>51</v>
      </c>
      <c r="AG1597" s="78" t="s">
        <v>314</v>
      </c>
      <c r="AH1597" s="78">
        <v>3.965632305322607</v>
      </c>
    </row>
    <row r="1598" spans="29:34">
      <c r="AC1598" s="78" t="s">
        <v>55</v>
      </c>
      <c r="AD1598" s="78" t="s">
        <v>20</v>
      </c>
      <c r="AE1598" s="78" t="s">
        <v>72</v>
      </c>
      <c r="AF1598" s="78" t="s">
        <v>51</v>
      </c>
      <c r="AG1598" s="78" t="s">
        <v>234</v>
      </c>
      <c r="AH1598" s="78">
        <v>4.0371095698554074</v>
      </c>
    </row>
    <row r="1599" spans="29:34">
      <c r="AC1599" s="78" t="s">
        <v>55</v>
      </c>
      <c r="AD1599" s="78" t="s">
        <v>20</v>
      </c>
      <c r="AE1599" s="78" t="s">
        <v>72</v>
      </c>
      <c r="AF1599" s="78" t="s">
        <v>51</v>
      </c>
      <c r="AG1599" s="78" t="s">
        <v>237</v>
      </c>
      <c r="AH1599" s="78">
        <v>4.0371095698554074</v>
      </c>
    </row>
    <row r="1600" spans="29:34">
      <c r="AC1600" s="78" t="s">
        <v>55</v>
      </c>
      <c r="AD1600" s="78" t="s">
        <v>20</v>
      </c>
      <c r="AE1600" s="78" t="s">
        <v>72</v>
      </c>
      <c r="AF1600" s="78" t="s">
        <v>51</v>
      </c>
      <c r="AG1600" s="78" t="s">
        <v>319</v>
      </c>
      <c r="AH1600" s="78">
        <v>3.9968989719892734</v>
      </c>
    </row>
    <row r="1601" spans="29:34">
      <c r="AC1601" s="78" t="s">
        <v>55</v>
      </c>
      <c r="AD1601" s="78" t="s">
        <v>20</v>
      </c>
      <c r="AE1601" s="78" t="s">
        <v>72</v>
      </c>
      <c r="AF1601" s="78" t="s">
        <v>51</v>
      </c>
      <c r="AG1601" s="78" t="s">
        <v>320</v>
      </c>
      <c r="AH1601" s="78">
        <v>3.9968989719892734</v>
      </c>
    </row>
    <row r="1602" spans="29:34">
      <c r="AC1602" s="78" t="s">
        <v>55</v>
      </c>
      <c r="AD1602" s="78" t="s">
        <v>20</v>
      </c>
      <c r="AE1602" s="78" t="s">
        <v>72</v>
      </c>
      <c r="AF1602" s="78" t="s">
        <v>51</v>
      </c>
      <c r="AG1602" s="78" t="s">
        <v>321</v>
      </c>
      <c r="AH1602" s="78">
        <v>4.0371095698554074</v>
      </c>
    </row>
    <row r="1603" spans="29:34">
      <c r="AC1603" s="78" t="s">
        <v>55</v>
      </c>
      <c r="AD1603" s="78" t="s">
        <v>20</v>
      </c>
      <c r="AE1603" s="78" t="s">
        <v>72</v>
      </c>
      <c r="AF1603" s="78" t="s">
        <v>51</v>
      </c>
      <c r="AG1603" s="78" t="s">
        <v>322</v>
      </c>
      <c r="AH1603" s="78">
        <v>3.9968989719892734</v>
      </c>
    </row>
    <row r="1604" spans="29:34">
      <c r="AC1604" s="78" t="s">
        <v>55</v>
      </c>
      <c r="AD1604" s="78" t="s">
        <v>20</v>
      </c>
      <c r="AE1604" s="78" t="s">
        <v>72</v>
      </c>
      <c r="AF1604" s="78" t="s">
        <v>51</v>
      </c>
      <c r="AG1604" s="78" t="s">
        <v>323</v>
      </c>
      <c r="AH1604" s="78">
        <v>3.9968989719892734</v>
      </c>
    </row>
    <row r="1605" spans="29:34">
      <c r="AC1605" s="78" t="s">
        <v>55</v>
      </c>
      <c r="AD1605" s="78" t="s">
        <v>20</v>
      </c>
      <c r="AE1605" s="78" t="s">
        <v>72</v>
      </c>
      <c r="AF1605" s="78" t="s">
        <v>51</v>
      </c>
      <c r="AG1605" s="78" t="s">
        <v>324</v>
      </c>
      <c r="AH1605" s="78">
        <v>3.965632305322607</v>
      </c>
    </row>
    <row r="1606" spans="29:34">
      <c r="AC1606" s="78" t="s">
        <v>55</v>
      </c>
      <c r="AD1606" s="78" t="s">
        <v>20</v>
      </c>
      <c r="AE1606" s="78" t="s">
        <v>72</v>
      </c>
      <c r="AF1606" s="78" t="s">
        <v>51</v>
      </c>
      <c r="AG1606" s="78" t="s">
        <v>325</v>
      </c>
      <c r="AH1606" s="78">
        <v>3.9110622461314657</v>
      </c>
    </row>
    <row r="1607" spans="29:34">
      <c r="AC1607" s="78" t="s">
        <v>55</v>
      </c>
      <c r="AD1607" s="78" t="s">
        <v>20</v>
      </c>
      <c r="AE1607" s="78" t="s">
        <v>72</v>
      </c>
      <c r="AF1607" s="78" t="s">
        <v>51</v>
      </c>
      <c r="AG1607" s="78" t="s">
        <v>326</v>
      </c>
      <c r="AH1607" s="78">
        <v>3.8395192426148759</v>
      </c>
    </row>
    <row r="1608" spans="29:34">
      <c r="AC1608" s="78" t="s">
        <v>55</v>
      </c>
      <c r="AD1608" s="78" t="s">
        <v>20</v>
      </c>
      <c r="AE1608" s="78" t="s">
        <v>72</v>
      </c>
      <c r="AF1608" s="78" t="s">
        <v>51</v>
      </c>
      <c r="AG1608" s="78" t="s">
        <v>327</v>
      </c>
      <c r="AH1608" s="78">
        <v>3.8395192426148759</v>
      </c>
    </row>
    <row r="1609" spans="29:34">
      <c r="AC1609" s="78" t="s">
        <v>55</v>
      </c>
      <c r="AD1609" s="78" t="s">
        <v>20</v>
      </c>
      <c r="AE1609" s="78" t="s">
        <v>72</v>
      </c>
      <c r="AF1609" s="78" t="s">
        <v>51</v>
      </c>
      <c r="AG1609" s="78" t="s">
        <v>328</v>
      </c>
      <c r="AH1609" s="78">
        <v>3.7819467858228437</v>
      </c>
    </row>
    <row r="1610" spans="29:34">
      <c r="AC1610" s="78" t="s">
        <v>55</v>
      </c>
      <c r="AD1610" s="78" t="s">
        <v>20</v>
      </c>
      <c r="AE1610" s="78" t="s">
        <v>72</v>
      </c>
      <c r="AF1610" s="78" t="s">
        <v>51</v>
      </c>
      <c r="AG1610" s="78" t="s">
        <v>329</v>
      </c>
      <c r="AH1610" s="78">
        <v>3.8465772748965774</v>
      </c>
    </row>
    <row r="1611" spans="29:34">
      <c r="AC1611" s="78" t="s">
        <v>55</v>
      </c>
      <c r="AD1611" s="78" t="s">
        <v>20</v>
      </c>
      <c r="AE1611" s="78" t="s">
        <v>72</v>
      </c>
      <c r="AF1611" s="78" t="s">
        <v>51</v>
      </c>
      <c r="AG1611" s="78" t="s">
        <v>330</v>
      </c>
      <c r="AH1611" s="78">
        <v>3.7819467858228437</v>
      </c>
    </row>
    <row r="1612" spans="29:34">
      <c r="AC1612" s="78" t="s">
        <v>55</v>
      </c>
      <c r="AD1612" s="78" t="s">
        <v>20</v>
      </c>
      <c r="AE1612" s="78" t="s">
        <v>72</v>
      </c>
      <c r="AF1612" s="78" t="s">
        <v>51</v>
      </c>
      <c r="AG1612" s="78" t="s">
        <v>331</v>
      </c>
      <c r="AH1612" s="78">
        <v>3.7133735457080617</v>
      </c>
    </row>
    <row r="1613" spans="29:34">
      <c r="AC1613" s="78" t="s">
        <v>55</v>
      </c>
      <c r="AD1613" s="78" t="s">
        <v>20</v>
      </c>
      <c r="AE1613" s="78" t="s">
        <v>72</v>
      </c>
      <c r="AF1613" s="78" t="s">
        <v>51</v>
      </c>
      <c r="AG1613" s="78" t="s">
        <v>332</v>
      </c>
      <c r="AH1613" s="78">
        <v>3.744640212374728</v>
      </c>
    </row>
    <row r="1614" spans="29:34">
      <c r="AC1614" s="78" t="s">
        <v>55</v>
      </c>
      <c r="AD1614" s="78" t="s">
        <v>20</v>
      </c>
      <c r="AE1614" s="78" t="s">
        <v>72</v>
      </c>
      <c r="AF1614" s="78" t="s">
        <v>51</v>
      </c>
      <c r="AG1614" s="78" t="s">
        <v>333</v>
      </c>
      <c r="AH1614" s="78">
        <v>3.7133735457080617</v>
      </c>
    </row>
    <row r="1615" spans="29:34">
      <c r="AC1615" s="78" t="s">
        <v>55</v>
      </c>
      <c r="AD1615" s="78" t="s">
        <v>20</v>
      </c>
      <c r="AE1615" s="78" t="s">
        <v>72</v>
      </c>
      <c r="AF1615" s="78" t="s">
        <v>51</v>
      </c>
      <c r="AG1615" s="78" t="s">
        <v>334</v>
      </c>
      <c r="AH1615" s="78">
        <v>3.7133735457080617</v>
      </c>
    </row>
    <row r="1616" spans="29:34">
      <c r="AC1616" s="78" t="s">
        <v>55</v>
      </c>
      <c r="AD1616" s="78" t="s">
        <v>20</v>
      </c>
      <c r="AE1616" s="78" t="s">
        <v>72</v>
      </c>
      <c r="AF1616" s="78" t="s">
        <v>51</v>
      </c>
      <c r="AG1616" s="78" t="s">
        <v>335</v>
      </c>
      <c r="AH1616" s="78">
        <v>3.7819467858228437</v>
      </c>
    </row>
    <row r="1617" spans="29:34">
      <c r="AC1617" s="78" t="s">
        <v>55</v>
      </c>
      <c r="AD1617" s="78" t="s">
        <v>20</v>
      </c>
      <c r="AE1617" s="78" t="s">
        <v>72</v>
      </c>
      <c r="AF1617" s="78" t="s">
        <v>51</v>
      </c>
      <c r="AG1617" s="78" t="s">
        <v>336</v>
      </c>
      <c r="AH1617" s="78">
        <v>3.744640212374728</v>
      </c>
    </row>
    <row r="1618" spans="29:34">
      <c r="AC1618" s="78" t="s">
        <v>55</v>
      </c>
      <c r="AD1618" s="78" t="s">
        <v>20</v>
      </c>
      <c r="AE1618" s="78" t="s">
        <v>72</v>
      </c>
      <c r="AF1618" s="78" t="s">
        <v>51</v>
      </c>
      <c r="AG1618" s="78" t="s">
        <v>316</v>
      </c>
      <c r="AH1618" s="78">
        <v>3.744640212374728</v>
      </c>
    </row>
    <row r="1619" spans="29:34">
      <c r="AC1619" s="78" t="s">
        <v>55</v>
      </c>
      <c r="AD1619" s="78" t="s">
        <v>20</v>
      </c>
      <c r="AE1619" s="78" t="s">
        <v>72</v>
      </c>
      <c r="AF1619" s="78" t="s">
        <v>51</v>
      </c>
      <c r="AG1619" s="78" t="s">
        <v>337</v>
      </c>
      <c r="AH1619" s="78">
        <v>3.7819467858228437</v>
      </c>
    </row>
    <row r="1620" spans="29:34">
      <c r="AC1620" s="78" t="s">
        <v>55</v>
      </c>
      <c r="AD1620" s="78" t="s">
        <v>20</v>
      </c>
      <c r="AE1620" s="78" t="s">
        <v>72</v>
      </c>
      <c r="AF1620" s="78" t="s">
        <v>51</v>
      </c>
      <c r="AG1620" s="78" t="s">
        <v>338</v>
      </c>
      <c r="AH1620" s="78">
        <v>3.744640212374728</v>
      </c>
    </row>
    <row r="1621" spans="29:34">
      <c r="AC1621" s="78" t="s">
        <v>55</v>
      </c>
      <c r="AD1621" s="78" t="s">
        <v>20</v>
      </c>
      <c r="AE1621" s="78" t="s">
        <v>72</v>
      </c>
      <c r="AF1621" s="78" t="s">
        <v>51</v>
      </c>
      <c r="AG1621" s="78" t="s">
        <v>339</v>
      </c>
      <c r="AH1621" s="78">
        <v>3.7133735457080617</v>
      </c>
    </row>
    <row r="1622" spans="29:34">
      <c r="AC1622" s="78" t="s">
        <v>55</v>
      </c>
      <c r="AD1622" s="78" t="s">
        <v>20</v>
      </c>
      <c r="AE1622" s="78" t="s">
        <v>72</v>
      </c>
      <c r="AF1622" s="78" t="s">
        <v>51</v>
      </c>
      <c r="AG1622" s="78" t="s">
        <v>315</v>
      </c>
      <c r="AH1622" s="78">
        <v>3.7454735457080615</v>
      </c>
    </row>
    <row r="1623" spans="29:34">
      <c r="AC1623" s="78" t="s">
        <v>55</v>
      </c>
      <c r="AD1623" s="78" t="s">
        <v>20</v>
      </c>
      <c r="AE1623" s="78" t="s">
        <v>72</v>
      </c>
      <c r="AF1623" s="78" t="s">
        <v>51</v>
      </c>
      <c r="AG1623" s="78" t="s">
        <v>318</v>
      </c>
      <c r="AH1623" s="78">
        <v>3.7142068790413951</v>
      </c>
    </row>
    <row r="1624" spans="29:34">
      <c r="AC1624" s="78"/>
      <c r="AD1624" s="78"/>
      <c r="AE1624" s="78"/>
      <c r="AF1624" s="78"/>
      <c r="AG1624" s="78"/>
      <c r="AH1624" s="78"/>
    </row>
    <row r="1625" spans="29:34">
      <c r="AC1625" s="78"/>
      <c r="AD1625" s="78"/>
      <c r="AE1625" s="78"/>
      <c r="AF1625" s="78"/>
      <c r="AG1625" s="78"/>
      <c r="AH1625" s="78"/>
    </row>
    <row r="1626" spans="29:34">
      <c r="AC1626" s="78"/>
      <c r="AD1626" s="78"/>
      <c r="AE1626" s="78"/>
      <c r="AF1626" s="78"/>
      <c r="AG1626" s="78"/>
      <c r="AH1626" s="78"/>
    </row>
    <row r="1627" spans="29:34">
      <c r="AC1627" s="78"/>
      <c r="AD1627" s="78"/>
      <c r="AE1627" s="78"/>
      <c r="AF1627" s="78"/>
      <c r="AG1627" s="78"/>
      <c r="AH1627" s="78"/>
    </row>
    <row r="1628" spans="29:34">
      <c r="AC1628" s="78"/>
      <c r="AD1628" s="78"/>
      <c r="AE1628" s="78"/>
      <c r="AF1628" s="78"/>
      <c r="AG1628" s="78"/>
      <c r="AH1628" s="78"/>
    </row>
    <row r="1629" spans="29:34">
      <c r="AC1629" s="78"/>
      <c r="AD1629" s="78"/>
      <c r="AE1629" s="78"/>
      <c r="AF1629" s="78"/>
      <c r="AG1629" s="78"/>
      <c r="AH1629" s="78"/>
    </row>
    <row r="1630" spans="29:34">
      <c r="AC1630" s="78"/>
      <c r="AD1630" s="78"/>
      <c r="AE1630" s="78"/>
      <c r="AF1630" s="78"/>
      <c r="AG1630" s="78"/>
      <c r="AH1630" s="78"/>
    </row>
    <row r="1631" spans="29:34">
      <c r="AC1631" s="78"/>
      <c r="AD1631" s="78"/>
      <c r="AE1631" s="78"/>
      <c r="AF1631" s="78"/>
      <c r="AG1631" s="78"/>
      <c r="AH1631" s="78"/>
    </row>
    <row r="1632" spans="29:34">
      <c r="AC1632" s="78"/>
      <c r="AD1632" s="78"/>
      <c r="AE1632" s="78"/>
      <c r="AF1632" s="78"/>
      <c r="AG1632" s="78"/>
      <c r="AH1632" s="78"/>
    </row>
    <row r="1633" spans="29:34">
      <c r="AC1633" s="78"/>
      <c r="AD1633" s="78"/>
      <c r="AE1633" s="78"/>
      <c r="AF1633" s="78"/>
      <c r="AG1633" s="78"/>
      <c r="AH1633" s="78"/>
    </row>
    <row r="1634" spans="29:34">
      <c r="AC1634" s="78"/>
      <c r="AD1634" s="78"/>
      <c r="AE1634" s="78"/>
      <c r="AF1634" s="78"/>
      <c r="AG1634" s="78"/>
      <c r="AH1634" s="78"/>
    </row>
    <row r="1635" spans="29:34">
      <c r="AC1635" s="78"/>
      <c r="AD1635" s="78"/>
      <c r="AE1635" s="78"/>
      <c r="AF1635" s="78"/>
      <c r="AG1635" s="78"/>
      <c r="AH1635" s="78"/>
    </row>
    <row r="1636" spans="29:34">
      <c r="AC1636" s="78"/>
      <c r="AD1636" s="78"/>
      <c r="AE1636" s="78"/>
      <c r="AF1636" s="78"/>
      <c r="AG1636" s="78"/>
      <c r="AH1636" s="78"/>
    </row>
    <row r="1637" spans="29:34">
      <c r="AC1637" s="78"/>
      <c r="AD1637" s="78"/>
      <c r="AE1637" s="78"/>
      <c r="AF1637" s="78"/>
      <c r="AG1637" s="78"/>
      <c r="AH1637" s="78"/>
    </row>
    <row r="1638" spans="29:34">
      <c r="AC1638" s="78"/>
      <c r="AD1638" s="78"/>
      <c r="AE1638" s="78"/>
      <c r="AF1638" s="78"/>
      <c r="AG1638" s="78"/>
      <c r="AH1638" s="78"/>
    </row>
    <row r="1639" spans="29:34">
      <c r="AC1639" s="78"/>
      <c r="AD1639" s="78"/>
      <c r="AE1639" s="78"/>
      <c r="AF1639" s="78"/>
      <c r="AG1639" s="78"/>
      <c r="AH1639" s="78"/>
    </row>
    <row r="1640" spans="29:34">
      <c r="AC1640" s="78"/>
      <c r="AD1640" s="78"/>
      <c r="AE1640" s="78"/>
      <c r="AF1640" s="78"/>
      <c r="AG1640" s="78"/>
      <c r="AH1640" s="78"/>
    </row>
    <row r="1641" spans="29:34">
      <c r="AC1641" s="78"/>
      <c r="AD1641" s="78"/>
      <c r="AE1641" s="78"/>
      <c r="AF1641" s="78"/>
      <c r="AG1641" s="78"/>
      <c r="AH1641" s="78"/>
    </row>
    <row r="1642" spans="29:34">
      <c r="AC1642" s="78"/>
      <c r="AD1642" s="78"/>
      <c r="AE1642" s="78"/>
      <c r="AF1642" s="78"/>
      <c r="AG1642" s="78"/>
      <c r="AH1642" s="78"/>
    </row>
    <row r="1643" spans="29:34">
      <c r="AC1643" s="78"/>
      <c r="AD1643" s="78"/>
      <c r="AE1643" s="78"/>
      <c r="AF1643" s="78"/>
      <c r="AG1643" s="78"/>
      <c r="AH1643" s="78"/>
    </row>
    <row r="1644" spans="29:34">
      <c r="AC1644" s="78"/>
      <c r="AD1644" s="78"/>
      <c r="AE1644" s="78"/>
      <c r="AF1644" s="78"/>
      <c r="AG1644" s="78"/>
      <c r="AH1644" s="78"/>
    </row>
    <row r="1645" spans="29:34">
      <c r="AC1645" s="78"/>
      <c r="AD1645" s="78"/>
      <c r="AE1645" s="78"/>
      <c r="AF1645" s="78"/>
      <c r="AG1645" s="78"/>
      <c r="AH1645" s="78"/>
    </row>
    <row r="1646" spans="29:34">
      <c r="AC1646" s="78"/>
      <c r="AD1646" s="78"/>
      <c r="AE1646" s="78"/>
      <c r="AF1646" s="78"/>
      <c r="AG1646" s="78"/>
      <c r="AH1646" s="78"/>
    </row>
    <row r="1647" spans="29:34">
      <c r="AC1647" s="78"/>
      <c r="AD1647" s="78"/>
      <c r="AE1647" s="78"/>
      <c r="AF1647" s="78"/>
      <c r="AG1647" s="78"/>
      <c r="AH1647" s="78"/>
    </row>
    <row r="1648" spans="29:34">
      <c r="AC1648" s="78"/>
      <c r="AD1648" s="78"/>
      <c r="AE1648" s="78"/>
      <c r="AF1648" s="78"/>
      <c r="AG1648" s="78"/>
      <c r="AH1648" s="78"/>
    </row>
    <row r="1649" spans="29:34">
      <c r="AC1649" s="78"/>
      <c r="AD1649" s="78"/>
      <c r="AE1649" s="78"/>
      <c r="AF1649" s="78"/>
      <c r="AG1649" s="78"/>
      <c r="AH1649" s="78"/>
    </row>
    <row r="1650" spans="29:34">
      <c r="AC1650" s="78"/>
      <c r="AD1650" s="78"/>
      <c r="AE1650" s="78"/>
      <c r="AF1650" s="78"/>
      <c r="AG1650" s="78"/>
      <c r="AH1650" s="78"/>
    </row>
    <row r="1651" spans="29:34">
      <c r="AC1651" s="77"/>
      <c r="AD1651" s="77"/>
      <c r="AE1651" s="77"/>
      <c r="AF1651" s="77"/>
      <c r="AG1651" s="77"/>
      <c r="AH1651" s="77"/>
    </row>
    <row r="1652" spans="29:34">
      <c r="AC1652" s="77"/>
      <c r="AD1652" s="77"/>
      <c r="AE1652" s="77"/>
      <c r="AF1652" s="77"/>
      <c r="AG1652" s="77"/>
      <c r="AH1652" s="77"/>
    </row>
    <row r="1653" spans="29:34">
      <c r="AC1653" s="77"/>
      <c r="AD1653" s="77"/>
      <c r="AE1653" s="77"/>
      <c r="AF1653" s="77"/>
      <c r="AG1653" s="77"/>
      <c r="AH1653" s="77"/>
    </row>
    <row r="1654" spans="29:34">
      <c r="AC1654" s="77"/>
      <c r="AD1654" s="77"/>
      <c r="AE1654" s="77"/>
      <c r="AF1654" s="77"/>
      <c r="AG1654" s="77"/>
      <c r="AH1654" s="77"/>
    </row>
    <row r="1655" spans="29:34">
      <c r="AC1655" s="77"/>
      <c r="AD1655" s="77"/>
      <c r="AE1655" s="77"/>
      <c r="AF1655" s="77"/>
      <c r="AG1655" s="77"/>
      <c r="AH1655" s="77"/>
    </row>
    <row r="1656" spans="29:34">
      <c r="AC1656" s="77"/>
      <c r="AD1656" s="77"/>
      <c r="AE1656" s="77"/>
      <c r="AF1656" s="77"/>
      <c r="AG1656" s="77"/>
      <c r="AH1656" s="77"/>
    </row>
    <row r="1657" spans="29:34">
      <c r="AC1657" s="77"/>
      <c r="AD1657" s="77"/>
      <c r="AE1657" s="77"/>
      <c r="AF1657" s="77"/>
      <c r="AG1657" s="77"/>
      <c r="AH1657" s="77"/>
    </row>
    <row r="1658" spans="29:34">
      <c r="AC1658" s="77"/>
      <c r="AD1658" s="77"/>
      <c r="AE1658" s="77"/>
      <c r="AF1658" s="77"/>
      <c r="AG1658" s="77"/>
      <c r="AH1658" s="77"/>
    </row>
    <row r="1659" spans="29:34">
      <c r="AC1659" s="77"/>
      <c r="AD1659" s="77"/>
      <c r="AE1659" s="77"/>
      <c r="AF1659" s="77"/>
      <c r="AG1659" s="77"/>
      <c r="AH1659" s="77"/>
    </row>
    <row r="1660" spans="29:34">
      <c r="AC1660" s="77"/>
      <c r="AD1660" s="77"/>
      <c r="AE1660" s="77"/>
      <c r="AF1660" s="77"/>
      <c r="AG1660" s="77"/>
      <c r="AH1660" s="77"/>
    </row>
    <row r="1661" spans="29:34">
      <c r="AC1661" s="77"/>
      <c r="AD1661" s="77"/>
      <c r="AE1661" s="77"/>
      <c r="AF1661" s="77"/>
      <c r="AG1661" s="77"/>
      <c r="AH1661" s="77"/>
    </row>
    <row r="1662" spans="29:34">
      <c r="AC1662" s="77"/>
      <c r="AD1662" s="77"/>
      <c r="AE1662" s="77"/>
      <c r="AF1662" s="77"/>
      <c r="AG1662" s="77"/>
      <c r="AH1662" s="77"/>
    </row>
    <row r="1663" spans="29:34">
      <c r="AC1663" s="77"/>
      <c r="AD1663" s="77"/>
      <c r="AE1663" s="77"/>
      <c r="AF1663" s="77"/>
      <c r="AG1663" s="77"/>
      <c r="AH1663" s="77"/>
    </row>
    <row r="1664" spans="29:34">
      <c r="AC1664" s="77"/>
      <c r="AD1664" s="77"/>
      <c r="AE1664" s="77"/>
      <c r="AF1664" s="77"/>
      <c r="AG1664" s="77"/>
      <c r="AH1664" s="77"/>
    </row>
    <row r="1665" spans="29:34">
      <c r="AC1665" s="77"/>
      <c r="AD1665" s="77"/>
      <c r="AE1665" s="77"/>
      <c r="AF1665" s="77"/>
      <c r="AG1665" s="77"/>
      <c r="AH1665" s="77"/>
    </row>
    <row r="1666" spans="29:34">
      <c r="AC1666" s="77"/>
      <c r="AD1666" s="77"/>
      <c r="AE1666" s="77"/>
      <c r="AF1666" s="77"/>
      <c r="AG1666" s="77"/>
      <c r="AH1666" s="77"/>
    </row>
    <row r="1667" spans="29:34">
      <c r="AC1667" s="77"/>
      <c r="AD1667" s="77"/>
      <c r="AE1667" s="77"/>
      <c r="AF1667" s="77"/>
      <c r="AG1667" s="77"/>
      <c r="AH1667" s="77"/>
    </row>
    <row r="1668" spans="29:34">
      <c r="AC1668" s="77"/>
      <c r="AD1668" s="77"/>
      <c r="AE1668" s="77"/>
      <c r="AF1668" s="77"/>
      <c r="AG1668" s="77"/>
      <c r="AH1668" s="77"/>
    </row>
    <row r="1669" spans="29:34">
      <c r="AC1669" s="77"/>
      <c r="AD1669" s="77"/>
      <c r="AE1669" s="77"/>
      <c r="AF1669" s="77"/>
      <c r="AG1669" s="77"/>
      <c r="AH1669" s="77"/>
    </row>
    <row r="1670" spans="29:34">
      <c r="AC1670" s="77"/>
      <c r="AD1670" s="77"/>
      <c r="AE1670" s="77"/>
      <c r="AF1670" s="77"/>
      <c r="AG1670" s="77"/>
      <c r="AH1670" s="77"/>
    </row>
    <row r="1671" spans="29:34">
      <c r="AC1671" s="77"/>
      <c r="AD1671" s="77"/>
      <c r="AE1671" s="77"/>
      <c r="AF1671" s="77"/>
      <c r="AG1671" s="77"/>
      <c r="AH1671" s="77"/>
    </row>
    <row r="1672" spans="29:34">
      <c r="AC1672" s="77"/>
      <c r="AD1672" s="77"/>
      <c r="AE1672" s="77"/>
      <c r="AF1672" s="77"/>
      <c r="AG1672" s="77"/>
      <c r="AH1672" s="77"/>
    </row>
    <row r="1673" spans="29:34">
      <c r="AC1673" s="77"/>
      <c r="AD1673" s="77"/>
      <c r="AE1673" s="77"/>
      <c r="AF1673" s="77"/>
      <c r="AG1673" s="77"/>
      <c r="AH1673" s="77"/>
    </row>
    <row r="1674" spans="29:34">
      <c r="AC1674" s="77"/>
      <c r="AD1674" s="77"/>
      <c r="AE1674" s="77"/>
      <c r="AF1674" s="77"/>
      <c r="AG1674" s="77"/>
      <c r="AH1674" s="77"/>
    </row>
    <row r="1675" spans="29:34">
      <c r="AC1675" s="77"/>
      <c r="AD1675" s="77"/>
      <c r="AE1675" s="77"/>
      <c r="AF1675" s="77"/>
      <c r="AG1675" s="77"/>
      <c r="AH1675" s="77"/>
    </row>
    <row r="1676" spans="29:34">
      <c r="AC1676" s="77"/>
      <c r="AD1676" s="77"/>
      <c r="AE1676" s="77"/>
      <c r="AF1676" s="77"/>
      <c r="AG1676" s="77"/>
      <c r="AH1676" s="77"/>
    </row>
    <row r="1677" spans="29:34">
      <c r="AC1677" s="77"/>
      <c r="AD1677" s="77"/>
      <c r="AE1677" s="77"/>
      <c r="AF1677" s="77"/>
      <c r="AG1677" s="77"/>
      <c r="AH1677" s="77"/>
    </row>
    <row r="1678" spans="29:34">
      <c r="AC1678" s="77"/>
      <c r="AD1678" s="77"/>
      <c r="AE1678" s="77"/>
      <c r="AF1678" s="77"/>
      <c r="AG1678" s="77"/>
      <c r="AH1678" s="77"/>
    </row>
    <row r="1679" spans="29:34">
      <c r="AC1679" s="77"/>
      <c r="AD1679" s="77"/>
      <c r="AE1679" s="77"/>
      <c r="AF1679" s="77"/>
      <c r="AG1679" s="77"/>
      <c r="AH1679" s="77"/>
    </row>
    <row r="1680" spans="29:34">
      <c r="AC1680" s="77"/>
      <c r="AD1680" s="77"/>
      <c r="AE1680" s="77"/>
      <c r="AF1680" s="77"/>
      <c r="AG1680" s="77"/>
      <c r="AH1680" s="77"/>
    </row>
    <row r="1681" spans="29:34">
      <c r="AC1681" s="77"/>
      <c r="AD1681" s="77"/>
      <c r="AE1681" s="77"/>
      <c r="AF1681" s="77"/>
      <c r="AG1681" s="77"/>
      <c r="AH1681" s="77"/>
    </row>
    <row r="1682" spans="29:34">
      <c r="AC1682" s="77"/>
      <c r="AD1682" s="77"/>
      <c r="AE1682" s="77"/>
      <c r="AF1682" s="77"/>
      <c r="AG1682" s="77"/>
      <c r="AH1682" s="77"/>
    </row>
    <row r="1683" spans="29:34">
      <c r="AC1683" s="77"/>
      <c r="AD1683" s="77"/>
      <c r="AE1683" s="77"/>
      <c r="AF1683" s="77"/>
      <c r="AG1683" s="77"/>
      <c r="AH1683" s="77"/>
    </row>
    <row r="1684" spans="29:34">
      <c r="AC1684" s="77"/>
      <c r="AD1684" s="77"/>
      <c r="AE1684" s="77"/>
      <c r="AF1684" s="77"/>
      <c r="AG1684" s="77"/>
      <c r="AH1684" s="77"/>
    </row>
    <row r="1685" spans="29:34">
      <c r="AC1685" s="77"/>
      <c r="AD1685" s="77"/>
      <c r="AE1685" s="77"/>
      <c r="AF1685" s="77"/>
      <c r="AG1685" s="77"/>
      <c r="AH1685" s="77"/>
    </row>
    <row r="1686" spans="29:34">
      <c r="AC1686" s="77"/>
      <c r="AD1686" s="77"/>
      <c r="AE1686" s="77"/>
      <c r="AF1686" s="77"/>
      <c r="AG1686" s="77"/>
      <c r="AH1686" s="77"/>
    </row>
    <row r="1687" spans="29:34">
      <c r="AC1687" s="77"/>
      <c r="AD1687" s="77"/>
      <c r="AE1687" s="77"/>
      <c r="AF1687" s="77"/>
      <c r="AG1687" s="77"/>
      <c r="AH1687" s="77"/>
    </row>
    <row r="1688" spans="29:34">
      <c r="AC1688" s="77"/>
      <c r="AD1688" s="77"/>
      <c r="AE1688" s="77"/>
      <c r="AF1688" s="77"/>
      <c r="AG1688" s="77"/>
      <c r="AH1688" s="77"/>
    </row>
    <row r="1689" spans="29:34">
      <c r="AC1689" s="77"/>
      <c r="AD1689" s="77"/>
      <c r="AE1689" s="77"/>
      <c r="AF1689" s="77"/>
      <c r="AG1689" s="77"/>
      <c r="AH1689" s="77"/>
    </row>
    <row r="1690" spans="29:34">
      <c r="AC1690" s="77"/>
      <c r="AD1690" s="77"/>
      <c r="AE1690" s="77"/>
      <c r="AF1690" s="77"/>
      <c r="AG1690" s="77"/>
      <c r="AH1690" s="77"/>
    </row>
    <row r="1691" spans="29:34">
      <c r="AC1691" s="77"/>
      <c r="AD1691" s="77"/>
      <c r="AE1691" s="77"/>
      <c r="AF1691" s="77"/>
      <c r="AG1691" s="77"/>
      <c r="AH1691" s="77"/>
    </row>
    <row r="1692" spans="29:34">
      <c r="AC1692" s="77"/>
      <c r="AD1692" s="77"/>
      <c r="AE1692" s="77"/>
      <c r="AF1692" s="77"/>
      <c r="AG1692" s="77"/>
      <c r="AH1692" s="77"/>
    </row>
    <row r="1693" spans="29:34">
      <c r="AC1693" s="77"/>
      <c r="AD1693" s="77"/>
      <c r="AE1693" s="77"/>
      <c r="AF1693" s="77"/>
      <c r="AG1693" s="77"/>
      <c r="AH1693" s="77"/>
    </row>
    <row r="1694" spans="29:34">
      <c r="AC1694" s="77"/>
      <c r="AD1694" s="77"/>
      <c r="AE1694" s="77"/>
      <c r="AF1694" s="77"/>
      <c r="AG1694" s="77"/>
      <c r="AH1694" s="77"/>
    </row>
    <row r="1695" spans="29:34">
      <c r="AC1695" s="77"/>
      <c r="AD1695" s="77"/>
      <c r="AE1695" s="77"/>
      <c r="AF1695" s="77"/>
      <c r="AG1695" s="77"/>
      <c r="AH1695" s="77"/>
    </row>
    <row r="1696" spans="29:34">
      <c r="AC1696" s="77"/>
      <c r="AD1696" s="77"/>
      <c r="AE1696" s="77"/>
      <c r="AF1696" s="77"/>
      <c r="AG1696" s="77"/>
      <c r="AH1696" s="77"/>
    </row>
    <row r="1697" spans="29:34">
      <c r="AC1697" s="77"/>
      <c r="AD1697" s="77"/>
      <c r="AE1697" s="77"/>
      <c r="AF1697" s="77"/>
      <c r="AG1697" s="77"/>
      <c r="AH1697" s="77"/>
    </row>
    <row r="1698" spans="29:34">
      <c r="AC1698" s="77"/>
      <c r="AD1698" s="77"/>
      <c r="AE1698" s="77"/>
      <c r="AF1698" s="77"/>
      <c r="AG1698" s="77"/>
      <c r="AH1698" s="77"/>
    </row>
    <row r="1699" spans="29:34">
      <c r="AC1699" s="77"/>
      <c r="AD1699" s="77"/>
      <c r="AE1699" s="77"/>
      <c r="AF1699" s="77"/>
      <c r="AG1699" s="77"/>
      <c r="AH1699" s="77"/>
    </row>
    <row r="1700" spans="29:34">
      <c r="AC1700" s="77"/>
      <c r="AD1700" s="77"/>
      <c r="AE1700" s="77"/>
      <c r="AF1700" s="77"/>
      <c r="AG1700" s="77"/>
      <c r="AH1700" s="77"/>
    </row>
    <row r="1701" spans="29:34">
      <c r="AC1701" s="77"/>
      <c r="AD1701" s="77"/>
      <c r="AE1701" s="77"/>
      <c r="AF1701" s="77"/>
      <c r="AG1701" s="77"/>
      <c r="AH1701" s="77"/>
    </row>
    <row r="1702" spans="29:34">
      <c r="AC1702" s="77"/>
      <c r="AD1702" s="77"/>
      <c r="AE1702" s="77"/>
      <c r="AF1702" s="77"/>
      <c r="AG1702" s="77"/>
      <c r="AH1702" s="77"/>
    </row>
    <row r="1703" spans="29:34">
      <c r="AC1703" s="77"/>
      <c r="AD1703" s="77"/>
      <c r="AE1703" s="77"/>
      <c r="AF1703" s="77"/>
      <c r="AG1703" s="77"/>
      <c r="AH1703" s="77"/>
    </row>
    <row r="1704" spans="29:34">
      <c r="AC1704" s="77"/>
      <c r="AD1704" s="77"/>
      <c r="AE1704" s="77"/>
      <c r="AF1704" s="77"/>
      <c r="AG1704" s="77"/>
      <c r="AH1704" s="77"/>
    </row>
    <row r="1705" spans="29:34">
      <c r="AC1705" s="77"/>
      <c r="AD1705" s="77"/>
      <c r="AE1705" s="77"/>
      <c r="AF1705" s="77"/>
      <c r="AG1705" s="77"/>
      <c r="AH1705" s="77"/>
    </row>
    <row r="1706" spans="29:34">
      <c r="AC1706" s="77"/>
      <c r="AD1706" s="77"/>
      <c r="AE1706" s="77"/>
      <c r="AF1706" s="77"/>
      <c r="AG1706" s="77"/>
      <c r="AH1706" s="77"/>
    </row>
    <row r="1707" spans="29:34">
      <c r="AC1707" s="77"/>
      <c r="AD1707" s="77"/>
      <c r="AE1707" s="77"/>
      <c r="AF1707" s="77"/>
      <c r="AG1707" s="77"/>
      <c r="AH1707" s="77"/>
    </row>
    <row r="1708" spans="29:34">
      <c r="AC1708" s="77"/>
      <c r="AD1708" s="77"/>
      <c r="AE1708" s="77"/>
      <c r="AF1708" s="77"/>
      <c r="AG1708" s="77"/>
      <c r="AH1708" s="77"/>
    </row>
    <row r="1709" spans="29:34">
      <c r="AC1709" s="77"/>
      <c r="AD1709" s="77"/>
      <c r="AE1709" s="77"/>
      <c r="AF1709" s="77"/>
      <c r="AG1709" s="77"/>
      <c r="AH1709" s="77"/>
    </row>
    <row r="1710" spans="29:34">
      <c r="AC1710" s="77"/>
      <c r="AD1710" s="77"/>
      <c r="AE1710" s="77"/>
      <c r="AF1710" s="77"/>
      <c r="AG1710" s="77"/>
      <c r="AH1710" s="77"/>
    </row>
    <row r="1711" spans="29:34">
      <c r="AC1711" s="77"/>
      <c r="AD1711" s="77"/>
      <c r="AE1711" s="77"/>
      <c r="AF1711" s="77"/>
      <c r="AG1711" s="77"/>
      <c r="AH1711" s="77"/>
    </row>
    <row r="1712" spans="29:34">
      <c r="AC1712" s="77"/>
      <c r="AD1712" s="77"/>
      <c r="AE1712" s="77"/>
      <c r="AF1712" s="77"/>
      <c r="AG1712" s="77"/>
      <c r="AH1712" s="77"/>
    </row>
    <row r="1713" spans="29:34">
      <c r="AC1713" s="77"/>
      <c r="AD1713" s="77"/>
      <c r="AE1713" s="77"/>
      <c r="AF1713" s="77"/>
      <c r="AG1713" s="77"/>
      <c r="AH1713" s="77"/>
    </row>
    <row r="1714" spans="29:34">
      <c r="AC1714" s="77"/>
      <c r="AD1714" s="77"/>
      <c r="AE1714" s="77"/>
      <c r="AF1714" s="77"/>
      <c r="AG1714" s="77"/>
      <c r="AH1714" s="77"/>
    </row>
    <row r="1715" spans="29:34">
      <c r="AC1715" s="77"/>
      <c r="AD1715" s="77"/>
      <c r="AE1715" s="77"/>
      <c r="AF1715" s="77"/>
      <c r="AG1715" s="77"/>
      <c r="AH1715" s="77"/>
    </row>
    <row r="1716" spans="29:34">
      <c r="AC1716" s="77"/>
      <c r="AD1716" s="77"/>
      <c r="AE1716" s="77"/>
      <c r="AF1716" s="77"/>
      <c r="AG1716" s="77"/>
      <c r="AH1716" s="77"/>
    </row>
    <row r="1717" spans="29:34">
      <c r="AC1717" s="77"/>
      <c r="AD1717" s="77"/>
      <c r="AE1717" s="77"/>
      <c r="AF1717" s="77"/>
      <c r="AG1717" s="77"/>
      <c r="AH1717" s="77"/>
    </row>
    <row r="1718" spans="29:34">
      <c r="AC1718" s="77"/>
      <c r="AD1718" s="77"/>
      <c r="AE1718" s="77"/>
      <c r="AF1718" s="77"/>
      <c r="AG1718" s="77"/>
      <c r="AH1718" s="77"/>
    </row>
    <row r="1719" spans="29:34">
      <c r="AC1719" s="77"/>
      <c r="AD1719" s="77"/>
      <c r="AE1719" s="77"/>
      <c r="AF1719" s="77"/>
      <c r="AG1719" s="77"/>
      <c r="AH1719" s="77"/>
    </row>
    <row r="1720" spans="29:34">
      <c r="AC1720" s="77"/>
      <c r="AD1720" s="77"/>
      <c r="AE1720" s="77"/>
      <c r="AF1720" s="77"/>
      <c r="AG1720" s="77"/>
      <c r="AH1720" s="77"/>
    </row>
    <row r="1721" spans="29:34">
      <c r="AC1721" s="77"/>
      <c r="AD1721" s="77"/>
      <c r="AE1721" s="77"/>
      <c r="AF1721" s="77"/>
      <c r="AG1721" s="77"/>
      <c r="AH1721" s="77"/>
    </row>
    <row r="1722" spans="29:34">
      <c r="AC1722" s="77"/>
      <c r="AD1722" s="77"/>
      <c r="AE1722" s="77"/>
      <c r="AF1722" s="77"/>
      <c r="AG1722" s="77"/>
      <c r="AH1722" s="77"/>
    </row>
    <row r="1723" spans="29:34">
      <c r="AC1723" s="77"/>
      <c r="AD1723" s="77"/>
      <c r="AE1723" s="77"/>
      <c r="AF1723" s="77"/>
      <c r="AG1723" s="77"/>
      <c r="AH1723" s="77"/>
    </row>
  </sheetData>
  <pageMargins left="0.7" right="0.7" top="0.75" bottom="0.75" header="0.3" footer="0.3"/>
  <pageSetup orientation="portrait" horizontalDpi="300" verticalDpi="300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O310"/>
  <sheetViews>
    <sheetView topLeftCell="B284" workbookViewId="0">
      <selection activeCell="O311" sqref="O311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15.7109375" customWidth="1"/>
    <col min="7" max="7" width="8.28515625" customWidth="1"/>
    <col min="8" max="8" width="15.7109375" customWidth="1"/>
    <col min="9" max="9" width="11.42578125" customWidth="1"/>
    <col min="10" max="11" width="15.7109375" customWidth="1"/>
    <col min="12" max="12" width="13.28515625" customWidth="1"/>
    <col min="13" max="14" width="26.42578125" customWidth="1"/>
    <col min="15" max="15" width="33.5703125" customWidth="1"/>
    <col min="16" max="16" width="14.28515625" bestFit="1" customWidth="1"/>
    <col min="17" max="17" width="19.28515625" customWidth="1"/>
    <col min="18" max="18" width="15.7109375" bestFit="1" customWidth="1"/>
    <col min="19" max="19" width="33.5703125" bestFit="1" customWidth="1"/>
    <col min="20" max="20" width="16.42578125" bestFit="1" customWidth="1"/>
  </cols>
  <sheetData>
    <row r="1" spans="1:11" ht="19.5">
      <c r="A1" s="192" t="s">
        <v>65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</row>
    <row r="3" spans="1:11" hidden="1">
      <c r="A3" s="39" t="s">
        <v>56</v>
      </c>
      <c r="D3" s="39" t="s">
        <v>47</v>
      </c>
    </row>
    <row r="4" spans="1:11" s="42" customFormat="1">
      <c r="A4" s="39" t="s">
        <v>49</v>
      </c>
      <c r="B4" s="39" t="s">
        <v>45</v>
      </c>
      <c r="C4" s="39" t="s">
        <v>46</v>
      </c>
      <c r="D4" s="42" t="s">
        <v>25</v>
      </c>
      <c r="E4" s="42" t="s">
        <v>7</v>
      </c>
      <c r="F4" s="42" t="s">
        <v>0</v>
      </c>
      <c r="G4" s="42" t="s">
        <v>40</v>
      </c>
      <c r="H4" s="42" t="s">
        <v>1</v>
      </c>
      <c r="I4" s="42" t="s">
        <v>41</v>
      </c>
      <c r="J4" s="42" t="s">
        <v>72</v>
      </c>
      <c r="K4" s="42" t="s">
        <v>28</v>
      </c>
    </row>
    <row r="5" spans="1:11">
      <c r="A5" s="1" t="s">
        <v>318</v>
      </c>
      <c r="B5" s="1" t="s">
        <v>20</v>
      </c>
      <c r="C5" s="1" t="s">
        <v>52</v>
      </c>
      <c r="D5" s="40">
        <v>4</v>
      </c>
      <c r="E5" s="40">
        <v>1</v>
      </c>
      <c r="F5" s="40">
        <v>4.0510000000000002</v>
      </c>
      <c r="G5" s="40">
        <v>3171</v>
      </c>
      <c r="H5" s="40">
        <v>200000</v>
      </c>
      <c r="I5" s="40"/>
      <c r="J5" s="40">
        <v>4.2996395977984392</v>
      </c>
      <c r="K5" s="40">
        <v>1.6823507845627088</v>
      </c>
    </row>
    <row r="6" spans="1:11">
      <c r="A6" s="1" t="s">
        <v>318</v>
      </c>
      <c r="B6" s="1" t="s">
        <v>20</v>
      </c>
      <c r="C6" s="1" t="s">
        <v>53</v>
      </c>
      <c r="D6" s="40">
        <v>3.875</v>
      </c>
      <c r="E6" s="40">
        <v>1</v>
      </c>
      <c r="F6" s="40">
        <v>4.923</v>
      </c>
      <c r="G6" s="40">
        <v>7255</v>
      </c>
      <c r="H6" s="40">
        <v>200000</v>
      </c>
      <c r="I6" s="40">
        <v>3500</v>
      </c>
      <c r="J6" s="40">
        <v>4.0943750000000003</v>
      </c>
      <c r="K6" s="40">
        <v>1.5946035741745701</v>
      </c>
    </row>
    <row r="7" spans="1:11">
      <c r="A7" s="1" t="s">
        <v>318</v>
      </c>
      <c r="B7" s="1" t="s">
        <v>20</v>
      </c>
      <c r="C7" s="1" t="s">
        <v>54</v>
      </c>
      <c r="D7" s="40">
        <v>4</v>
      </c>
      <c r="E7" s="40">
        <v>1</v>
      </c>
      <c r="F7" s="40">
        <v>4.0179999999999998</v>
      </c>
      <c r="G7" s="40">
        <v>3814</v>
      </c>
      <c r="H7" s="40">
        <v>500000</v>
      </c>
      <c r="I7" s="40"/>
      <c r="J7" s="40">
        <v>3.9949531909148654</v>
      </c>
      <c r="K7" s="40">
        <v>1.3776643776791355</v>
      </c>
    </row>
    <row r="8" spans="1:11">
      <c r="A8" s="1" t="s">
        <v>318</v>
      </c>
      <c r="B8" s="1" t="s">
        <v>20</v>
      </c>
      <c r="C8" s="1" t="s">
        <v>55</v>
      </c>
      <c r="D8" s="40">
        <v>3.875</v>
      </c>
      <c r="E8" s="40">
        <v>1</v>
      </c>
      <c r="F8" s="40">
        <v>3.8820000000000001</v>
      </c>
      <c r="G8" s="40">
        <v>2038</v>
      </c>
      <c r="H8" s="40">
        <v>750000</v>
      </c>
      <c r="I8" s="40"/>
      <c r="J8" s="40">
        <v>3.7142068790413951</v>
      </c>
      <c r="K8" s="40">
        <v>1.096918065805665</v>
      </c>
    </row>
    <row r="9" spans="1:11">
      <c r="A9" s="1" t="s">
        <v>318</v>
      </c>
      <c r="B9" s="1" t="s">
        <v>19</v>
      </c>
      <c r="C9" s="1" t="s">
        <v>52</v>
      </c>
      <c r="D9" s="40">
        <v>3.75</v>
      </c>
      <c r="E9" s="40">
        <v>1.75</v>
      </c>
      <c r="F9" s="40">
        <v>3.9790000000000001</v>
      </c>
      <c r="G9" s="40"/>
      <c r="H9" s="40"/>
      <c r="I9" s="40"/>
      <c r="J9" s="40">
        <v>4.1871940628292794</v>
      </c>
      <c r="K9" s="40">
        <v>1.5699052495935495</v>
      </c>
    </row>
    <row r="10" spans="1:11">
      <c r="A10" s="1" t="s">
        <v>318</v>
      </c>
      <c r="B10" s="1" t="s">
        <v>19</v>
      </c>
      <c r="C10" s="1" t="s">
        <v>53</v>
      </c>
      <c r="D10" s="40">
        <v>1</v>
      </c>
      <c r="E10" s="40">
        <v>1</v>
      </c>
      <c r="F10" s="40">
        <v>1</v>
      </c>
      <c r="G10" s="40"/>
      <c r="H10" s="40"/>
      <c r="I10" s="40"/>
      <c r="J10" s="40"/>
      <c r="K10" s="40"/>
    </row>
    <row r="11" spans="1:11">
      <c r="A11" s="1" t="s">
        <v>318</v>
      </c>
      <c r="B11" s="1" t="s">
        <v>17</v>
      </c>
      <c r="C11" s="1" t="s">
        <v>52</v>
      </c>
      <c r="D11" s="40">
        <v>4</v>
      </c>
      <c r="E11" s="40">
        <v>0.41199999999999998</v>
      </c>
      <c r="F11" s="40">
        <v>4.1189999999999998</v>
      </c>
      <c r="G11" s="40"/>
      <c r="H11" s="40"/>
      <c r="I11" s="40"/>
      <c r="J11" s="40">
        <v>4.105455800854287</v>
      </c>
      <c r="K11" s="40">
        <v>1.4881669876185573</v>
      </c>
    </row>
    <row r="12" spans="1:11">
      <c r="A12" s="1" t="s">
        <v>318</v>
      </c>
      <c r="B12" s="1" t="s">
        <v>18</v>
      </c>
      <c r="C12" s="1" t="s">
        <v>52</v>
      </c>
      <c r="D12" s="40">
        <v>3.75</v>
      </c>
      <c r="E12" s="40">
        <v>1.25</v>
      </c>
      <c r="F12" s="40">
        <v>3.8530000000000002</v>
      </c>
      <c r="G12" s="40"/>
      <c r="H12" s="40"/>
      <c r="I12" s="40"/>
      <c r="J12" s="40">
        <v>3.812592661796018</v>
      </c>
      <c r="K12" s="40">
        <v>1.195303848560288</v>
      </c>
    </row>
    <row r="28" spans="1:11" ht="19.5">
      <c r="A28" s="192" t="s">
        <v>66</v>
      </c>
      <c r="B28" s="192"/>
      <c r="C28" s="192"/>
      <c r="D28" s="192"/>
      <c r="E28" s="192"/>
      <c r="F28" s="192"/>
      <c r="G28" s="192"/>
      <c r="H28" s="192"/>
      <c r="I28" s="192"/>
      <c r="J28" s="192"/>
      <c r="K28" s="192"/>
    </row>
    <row r="29" spans="1:11">
      <c r="A29" s="39" t="s">
        <v>56</v>
      </c>
      <c r="D29" s="39" t="s">
        <v>47</v>
      </c>
    </row>
    <row r="30" spans="1:11">
      <c r="A30" s="39" t="s">
        <v>49</v>
      </c>
      <c r="B30" s="39" t="s">
        <v>45</v>
      </c>
      <c r="C30" s="39" t="s">
        <v>46</v>
      </c>
      <c r="D30" s="42" t="s">
        <v>25</v>
      </c>
      <c r="E30" s="42" t="s">
        <v>7</v>
      </c>
      <c r="F30" s="42" t="s">
        <v>0</v>
      </c>
      <c r="G30" s="42" t="s">
        <v>40</v>
      </c>
      <c r="H30" s="42" t="s">
        <v>1</v>
      </c>
      <c r="I30" s="42" t="s">
        <v>41</v>
      </c>
      <c r="J30" s="42" t="s">
        <v>72</v>
      </c>
      <c r="K30" s="42" t="s">
        <v>28</v>
      </c>
    </row>
    <row r="31" spans="1:11">
      <c r="A31" s="1" t="s">
        <v>315</v>
      </c>
      <c r="B31" s="1" t="s">
        <v>20</v>
      </c>
      <c r="C31" s="1" t="s">
        <v>52</v>
      </c>
      <c r="D31" s="40">
        <v>4</v>
      </c>
      <c r="E31" s="40">
        <v>1</v>
      </c>
      <c r="F31" s="40">
        <v>4.04</v>
      </c>
      <c r="G31" s="40">
        <v>2921</v>
      </c>
      <c r="H31" s="40">
        <v>200000</v>
      </c>
      <c r="I31" s="40"/>
      <c r="J31" s="40">
        <v>4.2354507174829195</v>
      </c>
      <c r="K31" s="40">
        <v>1.5271759597894994</v>
      </c>
    </row>
    <row r="32" spans="1:11">
      <c r="A32" s="1" t="s">
        <v>315</v>
      </c>
      <c r="B32" s="1" t="s">
        <v>20</v>
      </c>
      <c r="C32" s="1" t="s">
        <v>53</v>
      </c>
      <c r="D32" s="40">
        <v>3.875</v>
      </c>
      <c r="E32" s="40">
        <v>1</v>
      </c>
      <c r="F32" s="40">
        <v>4.923</v>
      </c>
      <c r="G32" s="40">
        <v>7255</v>
      </c>
      <c r="H32" s="40">
        <v>200000</v>
      </c>
      <c r="I32" s="40">
        <v>3500</v>
      </c>
      <c r="J32" s="40">
        <v>4.0943750000000003</v>
      </c>
      <c r="K32" s="40">
        <v>1.5255715728238399</v>
      </c>
    </row>
    <row r="33" spans="1:11">
      <c r="A33" s="1" t="s">
        <v>315</v>
      </c>
      <c r="B33" s="1" t="s">
        <v>20</v>
      </c>
      <c r="C33" s="1" t="s">
        <v>54</v>
      </c>
      <c r="D33" s="40">
        <v>4</v>
      </c>
      <c r="E33" s="40">
        <v>1</v>
      </c>
      <c r="F33" s="40">
        <v>4.0179999999999998</v>
      </c>
      <c r="G33" s="40">
        <v>3814</v>
      </c>
      <c r="H33" s="40">
        <v>500000</v>
      </c>
      <c r="I33" s="40"/>
      <c r="J33" s="40">
        <v>3.9949531909148654</v>
      </c>
      <c r="K33" s="40">
        <v>1.2866784332214456</v>
      </c>
    </row>
    <row r="34" spans="1:11">
      <c r="A34" s="1" t="s">
        <v>315</v>
      </c>
      <c r="B34" s="1" t="s">
        <v>20</v>
      </c>
      <c r="C34" s="1" t="s">
        <v>55</v>
      </c>
      <c r="D34" s="40">
        <v>3.875</v>
      </c>
      <c r="E34" s="40">
        <v>1</v>
      </c>
      <c r="F34" s="40">
        <v>3.8820000000000001</v>
      </c>
      <c r="G34" s="40">
        <v>2976</v>
      </c>
      <c r="H34" s="40">
        <v>750000</v>
      </c>
      <c r="I34" s="40"/>
      <c r="J34" s="40">
        <v>3.7454735457080615</v>
      </c>
      <c r="K34" s="40">
        <v>1.0371987880146414</v>
      </c>
    </row>
    <row r="35" spans="1:11">
      <c r="A35" s="1" t="s">
        <v>315</v>
      </c>
      <c r="B35" s="1" t="s">
        <v>19</v>
      </c>
      <c r="C35" s="1" t="s">
        <v>52</v>
      </c>
      <c r="D35" s="40">
        <v>3.75</v>
      </c>
      <c r="E35" s="40">
        <v>1.75</v>
      </c>
      <c r="F35" s="40">
        <v>3.9790000000000001</v>
      </c>
      <c r="G35" s="40"/>
      <c r="H35" s="40"/>
      <c r="I35" s="40"/>
      <c r="J35" s="40">
        <v>4.1871940628292794</v>
      </c>
      <c r="K35" s="40">
        <v>1.4789193051358598</v>
      </c>
    </row>
    <row r="36" spans="1:11">
      <c r="A36" s="1" t="s">
        <v>315</v>
      </c>
      <c r="B36" s="1" t="s">
        <v>19</v>
      </c>
      <c r="C36" s="1" t="s">
        <v>53</v>
      </c>
      <c r="D36" s="40">
        <v>1</v>
      </c>
      <c r="E36" s="40">
        <v>1</v>
      </c>
      <c r="F36" s="40">
        <v>1</v>
      </c>
      <c r="G36" s="40"/>
      <c r="H36" s="40"/>
      <c r="I36" s="40"/>
      <c r="J36" s="40"/>
      <c r="K36" s="40"/>
    </row>
    <row r="37" spans="1:11">
      <c r="A37" s="1" t="s">
        <v>315</v>
      </c>
      <c r="B37" s="1" t="s">
        <v>17</v>
      </c>
      <c r="C37" s="1" t="s">
        <v>52</v>
      </c>
      <c r="D37" s="40">
        <v>4</v>
      </c>
      <c r="E37" s="40">
        <v>0.439</v>
      </c>
      <c r="F37" s="40">
        <v>4.149</v>
      </c>
      <c r="G37" s="40"/>
      <c r="H37" s="40"/>
      <c r="I37" s="40"/>
      <c r="J37" s="40">
        <v>4.1938806357020679</v>
      </c>
      <c r="K37" s="40">
        <v>1.4856058780086481</v>
      </c>
    </row>
    <row r="38" spans="1:11">
      <c r="A38" s="1" t="s">
        <v>315</v>
      </c>
      <c r="B38" s="1" t="s">
        <v>18</v>
      </c>
      <c r="C38" s="1" t="s">
        <v>52</v>
      </c>
      <c r="D38" s="40">
        <v>3.75</v>
      </c>
      <c r="E38" s="40">
        <v>1.25</v>
      </c>
      <c r="F38" s="40">
        <v>3.8530000000000002</v>
      </c>
      <c r="G38" s="40"/>
      <c r="H38" s="40"/>
      <c r="I38" s="40"/>
      <c r="J38" s="40">
        <v>3.812592661796018</v>
      </c>
      <c r="K38" s="40">
        <v>1.1043179041025981</v>
      </c>
    </row>
    <row r="56" spans="1:11" ht="19.5">
      <c r="A56" s="192" t="s">
        <v>67</v>
      </c>
      <c r="B56" s="192"/>
      <c r="C56" s="192"/>
      <c r="D56" s="192"/>
      <c r="E56" s="192"/>
      <c r="F56" s="192"/>
      <c r="G56" s="192"/>
      <c r="H56" s="192"/>
      <c r="I56" s="192"/>
      <c r="J56" s="192"/>
      <c r="K56" s="192"/>
    </row>
    <row r="57" spans="1:11">
      <c r="A57" s="39" t="s">
        <v>56</v>
      </c>
      <c r="D57" s="39" t="s">
        <v>47</v>
      </c>
    </row>
    <row r="58" spans="1:11">
      <c r="A58" s="39" t="s">
        <v>49</v>
      </c>
      <c r="B58" s="39" t="s">
        <v>45</v>
      </c>
      <c r="C58" s="39" t="s">
        <v>46</v>
      </c>
      <c r="D58" s="42" t="s">
        <v>25</v>
      </c>
      <c r="E58" s="42" t="s">
        <v>7</v>
      </c>
      <c r="F58" s="42" t="s">
        <v>0</v>
      </c>
      <c r="G58" s="42" t="s">
        <v>40</v>
      </c>
      <c r="H58" s="42" t="s">
        <v>1</v>
      </c>
      <c r="I58" s="42" t="s">
        <v>41</v>
      </c>
      <c r="J58" s="42" t="s">
        <v>72</v>
      </c>
      <c r="K58" s="42" t="s">
        <v>28</v>
      </c>
    </row>
    <row r="59" spans="1:11">
      <c r="A59" s="1" t="s">
        <v>316</v>
      </c>
      <c r="B59" s="1" t="s">
        <v>20</v>
      </c>
      <c r="C59" s="1" t="s">
        <v>52</v>
      </c>
      <c r="D59" s="40">
        <v>4</v>
      </c>
      <c r="E59" s="40">
        <v>1</v>
      </c>
      <c r="F59" s="40">
        <v>4.0709999999999997</v>
      </c>
      <c r="G59" s="40">
        <v>3646</v>
      </c>
      <c r="H59" s="40">
        <v>200000</v>
      </c>
      <c r="I59" s="40"/>
      <c r="J59" s="40">
        <v>4.4187377611835057</v>
      </c>
      <c r="K59" s="40">
        <v>1.6870544821255555</v>
      </c>
    </row>
    <row r="60" spans="1:11">
      <c r="A60" s="1" t="s">
        <v>316</v>
      </c>
      <c r="B60" s="1" t="s">
        <v>20</v>
      </c>
      <c r="C60" s="1" t="s">
        <v>53</v>
      </c>
      <c r="D60" s="40">
        <v>3.875</v>
      </c>
      <c r="E60" s="40">
        <v>1</v>
      </c>
      <c r="F60" s="40">
        <v>4.9340000000000002</v>
      </c>
      <c r="G60" s="40">
        <v>7509</v>
      </c>
      <c r="H60" s="40">
        <v>200000</v>
      </c>
      <c r="I60" s="40">
        <v>3500</v>
      </c>
      <c r="J60" s="40">
        <v>4.126125</v>
      </c>
      <c r="K60" s="40">
        <v>1.5345815505845701</v>
      </c>
    </row>
    <row r="61" spans="1:11">
      <c r="A61" s="1" t="s">
        <v>316</v>
      </c>
      <c r="B61" s="1" t="s">
        <v>20</v>
      </c>
      <c r="C61" s="1" t="s">
        <v>54</v>
      </c>
      <c r="D61" s="40">
        <v>4.125</v>
      </c>
      <c r="E61" s="40">
        <v>1</v>
      </c>
      <c r="F61" s="40">
        <v>4.1360000000000001</v>
      </c>
      <c r="G61" s="40">
        <v>1965</v>
      </c>
      <c r="H61" s="40">
        <v>500000</v>
      </c>
      <c r="I61" s="40"/>
      <c r="J61" s="40">
        <v>4.0061842576350095</v>
      </c>
      <c r="K61" s="40">
        <v>1.2745009785770594</v>
      </c>
    </row>
    <row r="62" spans="1:11">
      <c r="A62" s="1" t="s">
        <v>316</v>
      </c>
      <c r="B62" s="1" t="s">
        <v>20</v>
      </c>
      <c r="C62" s="1" t="s">
        <v>55</v>
      </c>
      <c r="D62" s="40">
        <v>3.875</v>
      </c>
      <c r="E62" s="40">
        <v>1</v>
      </c>
      <c r="F62" s="40">
        <v>3.8820000000000001</v>
      </c>
      <c r="G62" s="40">
        <v>2951</v>
      </c>
      <c r="H62" s="40">
        <v>750000</v>
      </c>
      <c r="I62" s="40"/>
      <c r="J62" s="40">
        <v>3.744640212374728</v>
      </c>
      <c r="K62" s="40">
        <v>1.0129569333167781</v>
      </c>
    </row>
    <row r="63" spans="1:11">
      <c r="A63" s="1" t="s">
        <v>316</v>
      </c>
      <c r="B63" s="1" t="s">
        <v>19</v>
      </c>
      <c r="C63" s="1" t="s">
        <v>52</v>
      </c>
      <c r="D63" s="40">
        <v>3.75</v>
      </c>
      <c r="E63" s="40">
        <v>2.125</v>
      </c>
      <c r="F63" s="40">
        <v>4.0110000000000001</v>
      </c>
      <c r="G63" s="40"/>
      <c r="H63" s="40"/>
      <c r="I63" s="40"/>
      <c r="J63" s="40">
        <v>4.280990246513638</v>
      </c>
      <c r="K63" s="40">
        <v>1.5493069674556876</v>
      </c>
    </row>
    <row r="64" spans="1:11">
      <c r="A64" s="1" t="s">
        <v>316</v>
      </c>
      <c r="B64" s="1" t="s">
        <v>19</v>
      </c>
      <c r="C64" s="1" t="s">
        <v>53</v>
      </c>
      <c r="D64" s="40">
        <v>1</v>
      </c>
      <c r="E64" s="40">
        <v>1</v>
      </c>
      <c r="F64" s="40">
        <v>1</v>
      </c>
      <c r="G64" s="40"/>
      <c r="H64" s="40"/>
      <c r="I64" s="40"/>
      <c r="J64" s="40"/>
      <c r="K64" s="40"/>
    </row>
    <row r="65" spans="1:15">
      <c r="A65" s="1" t="s">
        <v>316</v>
      </c>
      <c r="B65" s="1" t="s">
        <v>17</v>
      </c>
      <c r="C65" s="1" t="s">
        <v>52</v>
      </c>
      <c r="D65" s="40">
        <v>4</v>
      </c>
      <c r="E65" s="40">
        <v>0.70499999999999996</v>
      </c>
      <c r="F65" s="40">
        <v>4.1520000000000001</v>
      </c>
      <c r="G65" s="40"/>
      <c r="H65" s="40"/>
      <c r="I65" s="40"/>
      <c r="J65" s="40">
        <v>4.2026971345497621</v>
      </c>
      <c r="K65" s="40">
        <v>1.471013855491812</v>
      </c>
    </row>
    <row r="66" spans="1:15">
      <c r="A66" s="1" t="s">
        <v>316</v>
      </c>
      <c r="B66" s="1" t="s">
        <v>18</v>
      </c>
      <c r="C66" s="1" t="s">
        <v>52</v>
      </c>
      <c r="D66" s="40">
        <v>3.875</v>
      </c>
      <c r="E66" s="40">
        <v>1.125</v>
      </c>
      <c r="F66" s="40">
        <v>3.968</v>
      </c>
      <c r="G66" s="40"/>
      <c r="H66" s="40"/>
      <c r="I66" s="40"/>
      <c r="J66" s="40">
        <v>3.9054628819113248</v>
      </c>
      <c r="K66" s="40">
        <v>1.1737796028533749</v>
      </c>
    </row>
    <row r="77" spans="1:15" ht="19.5">
      <c r="A77" s="192" t="s">
        <v>77</v>
      </c>
      <c r="B77" s="192"/>
      <c r="C77" s="192"/>
      <c r="D77" s="192"/>
      <c r="E77" s="192"/>
      <c r="M77" s="192" t="s">
        <v>89</v>
      </c>
      <c r="N77" s="192"/>
      <c r="O77" s="192"/>
    </row>
    <row r="78" spans="1:15">
      <c r="A78" s="39" t="s">
        <v>78</v>
      </c>
      <c r="M78" s="39" t="s">
        <v>78</v>
      </c>
    </row>
    <row r="79" spans="1:15">
      <c r="B79" s="1" t="s">
        <v>79</v>
      </c>
      <c r="C79" s="1" t="s">
        <v>80</v>
      </c>
      <c r="D79" s="1" t="s">
        <v>81</v>
      </c>
      <c r="E79" s="1" t="s">
        <v>82</v>
      </c>
      <c r="N79" s="1" t="s">
        <v>91</v>
      </c>
      <c r="O79" s="1" t="s">
        <v>90</v>
      </c>
    </row>
    <row r="80" spans="1:15">
      <c r="A80" s="117" t="s">
        <v>130</v>
      </c>
      <c r="B80" s="40">
        <v>4.2109722530911462</v>
      </c>
      <c r="C80" s="40">
        <v>4.0036250000000004</v>
      </c>
      <c r="D80" s="40">
        <v>4.123888942161555</v>
      </c>
      <c r="E80" s="40">
        <v>3.9170666666666665</v>
      </c>
      <c r="M80" s="117" t="s">
        <v>130</v>
      </c>
      <c r="N80" s="40">
        <v>2.8341999400292899</v>
      </c>
      <c r="O80" s="40">
        <v>1.3767723130618554</v>
      </c>
    </row>
    <row r="81" spans="1:15">
      <c r="A81" s="117" t="s">
        <v>131</v>
      </c>
      <c r="B81" s="40">
        <v>4.2092383259139474</v>
      </c>
      <c r="C81" s="40">
        <v>4.0036250000000004</v>
      </c>
      <c r="D81" s="40">
        <v>4.123888942161555</v>
      </c>
      <c r="E81" s="40">
        <v>3.9170666666666665</v>
      </c>
      <c r="M81" s="117" t="s">
        <v>131</v>
      </c>
      <c r="N81" s="40">
        <v>2.8241837227534399</v>
      </c>
      <c r="O81" s="40">
        <v>1.3850546031605075</v>
      </c>
    </row>
    <row r="82" spans="1:15">
      <c r="A82" s="117" t="s">
        <v>132</v>
      </c>
      <c r="B82" s="40">
        <v>4.1848202800158329</v>
      </c>
      <c r="C82" s="40">
        <v>3.9717500000000001</v>
      </c>
      <c r="D82" s="40">
        <v>4.123888942161555</v>
      </c>
      <c r="E82" s="40">
        <v>3.9170666666666665</v>
      </c>
      <c r="M82" s="117" t="s">
        <v>132</v>
      </c>
      <c r="N82" s="40">
        <v>2.81556157497667</v>
      </c>
      <c r="O82" s="40">
        <v>1.3692587050391631</v>
      </c>
    </row>
    <row r="83" spans="1:15">
      <c r="A83" s="117" t="s">
        <v>133</v>
      </c>
      <c r="B83" s="40">
        <v>4.2793845467200686</v>
      </c>
      <c r="C83" s="40">
        <v>4.0676249999999996</v>
      </c>
      <c r="D83" s="40">
        <v>4.145604497342033</v>
      </c>
      <c r="E83" s="40">
        <v>3.9975388163708763</v>
      </c>
      <c r="M83" s="117" t="s">
        <v>133</v>
      </c>
      <c r="N83" s="40">
        <v>2.9303170109018999</v>
      </c>
      <c r="O83" s="40">
        <v>1.3490675358181696</v>
      </c>
    </row>
    <row r="84" spans="1:15">
      <c r="A84" s="117" t="s">
        <v>134</v>
      </c>
      <c r="B84" s="40">
        <v>4.2526168084086038</v>
      </c>
      <c r="C84" s="40">
        <v>4.0353750000000002</v>
      </c>
      <c r="D84" s="40">
        <v>4.0563500000000001</v>
      </c>
      <c r="E84" s="40">
        <v>3.9543261870321942</v>
      </c>
      <c r="M84" s="117" t="s">
        <v>134</v>
      </c>
      <c r="N84" s="40">
        <v>2.90222752352993</v>
      </c>
      <c r="O84" s="40">
        <v>1.350389284878674</v>
      </c>
    </row>
    <row r="85" spans="1:15">
      <c r="A85" s="117" t="s">
        <v>135</v>
      </c>
      <c r="B85" s="40">
        <v>4.1948574056984462</v>
      </c>
      <c r="C85" s="40">
        <v>4.0353750000000002</v>
      </c>
      <c r="D85" s="40">
        <v>4.0251000000000001</v>
      </c>
      <c r="E85" s="40">
        <v>3.929789796110164</v>
      </c>
      <c r="M85" s="117" t="s">
        <v>135</v>
      </c>
      <c r="N85" s="40">
        <v>2.84635033680676</v>
      </c>
      <c r="O85" s="40">
        <v>1.3485070688916867</v>
      </c>
    </row>
    <row r="86" spans="1:15">
      <c r="A86" s="117" t="s">
        <v>136</v>
      </c>
      <c r="B86" s="40">
        <v>4.183912785416835</v>
      </c>
      <c r="C86" s="40">
        <v>4.0036250000000004</v>
      </c>
      <c r="D86" s="40">
        <v>4.123888942161555</v>
      </c>
      <c r="E86" s="40">
        <v>3.929789796110164</v>
      </c>
      <c r="M86" s="117" t="s">
        <v>136</v>
      </c>
      <c r="N86" s="40">
        <v>2.8278353033181198</v>
      </c>
      <c r="O86" s="40">
        <v>1.3560774820987149</v>
      </c>
    </row>
    <row r="87" spans="1:15">
      <c r="A87" s="117" t="s">
        <v>137</v>
      </c>
      <c r="B87" s="40">
        <v>4.1580287281176718</v>
      </c>
      <c r="C87" s="40">
        <v>3.9717500000000001</v>
      </c>
      <c r="D87" s="40">
        <v>4.0195510152855149</v>
      </c>
      <c r="E87" s="40">
        <v>3.8281034376602534</v>
      </c>
      <c r="M87" s="117" t="s">
        <v>137</v>
      </c>
      <c r="N87" s="40">
        <v>2.8138191102539798</v>
      </c>
      <c r="O87" s="40">
        <v>1.344209617863692</v>
      </c>
    </row>
    <row r="88" spans="1:15">
      <c r="A88" s="117" t="s">
        <v>138</v>
      </c>
      <c r="B88" s="40">
        <v>4.1711206525116253</v>
      </c>
      <c r="C88" s="40">
        <v>4.0036250000000004</v>
      </c>
      <c r="D88" s="40">
        <v>4.123888942161555</v>
      </c>
      <c r="E88" s="40">
        <v>3.8714038285041039</v>
      </c>
      <c r="M88" s="117" t="s">
        <v>138</v>
      </c>
      <c r="N88" s="40">
        <v>2.8315057491425</v>
      </c>
      <c r="O88" s="40">
        <v>1.3396149033691263</v>
      </c>
    </row>
    <row r="89" spans="1:15" ht="15.75" customHeight="1">
      <c r="A89" s="117" t="s">
        <v>139</v>
      </c>
      <c r="B89" s="40">
        <v>4.1349192739455276</v>
      </c>
      <c r="C89" s="40">
        <v>3.9717500000000001</v>
      </c>
      <c r="D89" s="40">
        <v>3.9301000000000004</v>
      </c>
      <c r="E89" s="40">
        <v>3.8281034376602534</v>
      </c>
      <c r="M89" s="117" t="s">
        <v>139</v>
      </c>
      <c r="N89" s="40">
        <v>2.8241768518279202</v>
      </c>
      <c r="O89" s="40">
        <v>1.3107424221176069</v>
      </c>
    </row>
    <row r="90" spans="1:15">
      <c r="A90" s="117" t="s">
        <v>140</v>
      </c>
      <c r="B90" s="40">
        <v>4.1195438104816251</v>
      </c>
      <c r="C90" s="40">
        <v>3.9717500000000001</v>
      </c>
      <c r="D90" s="40">
        <v>3.8988500000000004</v>
      </c>
      <c r="E90" s="40">
        <v>3.7907999999999999</v>
      </c>
      <c r="M90" s="117" t="s">
        <v>140</v>
      </c>
      <c r="N90" s="40">
        <v>2.79584100930466</v>
      </c>
      <c r="O90" s="40">
        <v>1.3237028011769647</v>
      </c>
    </row>
    <row r="91" spans="1:15">
      <c r="A91" s="117" t="s">
        <v>141</v>
      </c>
      <c r="B91" s="40">
        <v>4.0625796613669598</v>
      </c>
      <c r="C91" s="40">
        <v>3.8759999999999994</v>
      </c>
      <c r="D91" s="40">
        <v>3.9367503938171491</v>
      </c>
      <c r="E91" s="40">
        <v>3.7452361066975079</v>
      </c>
      <c r="M91" s="117" t="s">
        <v>141</v>
      </c>
      <c r="N91" s="40">
        <v>2.6928489030954199</v>
      </c>
      <c r="O91" s="40">
        <v>1.3697307582715406</v>
      </c>
    </row>
    <row r="92" spans="1:15">
      <c r="A92" s="117" t="s">
        <v>142</v>
      </c>
      <c r="B92" s="40">
        <v>4.0272197213430534</v>
      </c>
      <c r="C92" s="40">
        <v>3.8441249999999996</v>
      </c>
      <c r="D92" s="40">
        <v>3.872298391426404</v>
      </c>
      <c r="E92" s="40">
        <v>3.701847554934004</v>
      </c>
      <c r="M92" s="117" t="s">
        <v>142</v>
      </c>
      <c r="N92" s="40">
        <v>2.70955656376128</v>
      </c>
      <c r="O92" s="40">
        <v>1.3176631575817741</v>
      </c>
    </row>
    <row r="93" spans="1:15">
      <c r="A93" s="117" t="s">
        <v>143</v>
      </c>
      <c r="B93" s="40">
        <v>4.0522074267600177</v>
      </c>
      <c r="C93" s="40">
        <v>3.9077500000000001</v>
      </c>
      <c r="D93" s="40">
        <v>3.9367503938171491</v>
      </c>
      <c r="E93" s="40">
        <v>3.7452361066975079</v>
      </c>
      <c r="M93" s="117" t="s">
        <v>143</v>
      </c>
      <c r="N93" s="40">
        <v>2.6717729385436999</v>
      </c>
      <c r="O93" s="40">
        <v>1.380434488216318</v>
      </c>
    </row>
    <row r="94" spans="1:15">
      <c r="A94" s="117" t="s">
        <v>144</v>
      </c>
      <c r="B94" s="40">
        <v>4.0183878599642231</v>
      </c>
      <c r="C94" s="40">
        <v>3.8759999999999994</v>
      </c>
      <c r="D94" s="40">
        <v>3.872298391426404</v>
      </c>
      <c r="E94" s="40">
        <v>3.7452361066975079</v>
      </c>
      <c r="M94" s="117" t="s">
        <v>144</v>
      </c>
      <c r="N94" s="40">
        <v>2.6575094779916602</v>
      </c>
      <c r="O94" s="40">
        <v>1.3608783819725627</v>
      </c>
    </row>
    <row r="95" spans="1:15">
      <c r="A95" s="117" t="s">
        <v>145</v>
      </c>
      <c r="B95" s="40">
        <v>3.9852298964584785</v>
      </c>
      <c r="C95" s="40">
        <v>3.8441249999999996</v>
      </c>
      <c r="D95" s="40">
        <v>3.8107367176633482</v>
      </c>
      <c r="E95" s="40">
        <v>3.7907999999999999</v>
      </c>
      <c r="M95" s="117" t="s">
        <v>145</v>
      </c>
      <c r="N95" s="40">
        <v>2.60984671554638</v>
      </c>
      <c r="O95" s="40">
        <v>1.3753831809120984</v>
      </c>
    </row>
    <row r="96" spans="1:15">
      <c r="A96" s="117" t="s">
        <v>146</v>
      </c>
      <c r="B96" s="40">
        <v>4.0086704188015165</v>
      </c>
      <c r="C96" s="40">
        <v>3.8441249999999996</v>
      </c>
      <c r="D96" s="40">
        <v>3.872298391426404</v>
      </c>
      <c r="E96" s="40">
        <v>3.8281034376602534</v>
      </c>
      <c r="M96" s="117" t="s">
        <v>146</v>
      </c>
      <c r="N96" s="40">
        <v>2.6641693960453199</v>
      </c>
      <c r="O96" s="40">
        <v>1.3445010227561975</v>
      </c>
    </row>
    <row r="97" spans="1:15">
      <c r="A97" s="117" t="s">
        <v>147</v>
      </c>
      <c r="B97" s="40">
        <v>4.133340061547397</v>
      </c>
      <c r="C97" s="40">
        <v>3.9077500000000001</v>
      </c>
      <c r="D97" s="40">
        <v>3.9367503938171491</v>
      </c>
      <c r="E97" s="40">
        <v>3.8714038285041039</v>
      </c>
      <c r="M97" s="117" t="s">
        <v>147</v>
      </c>
      <c r="N97" s="40">
        <v>2.7519990602785001</v>
      </c>
      <c r="O97" s="40">
        <v>1.3813410012688965</v>
      </c>
    </row>
    <row r="98" spans="1:15">
      <c r="A98" s="117" t="s">
        <v>148</v>
      </c>
      <c r="B98" s="40">
        <v>4.1023271797597225</v>
      </c>
      <c r="C98" s="40">
        <v>3.9077500000000001</v>
      </c>
      <c r="D98" s="40">
        <v>3.9980925223663326</v>
      </c>
      <c r="E98" s="40">
        <v>3.8714038285041039</v>
      </c>
      <c r="M98" s="117" t="s">
        <v>148</v>
      </c>
      <c r="N98" s="40">
        <v>2.6934832462996599</v>
      </c>
      <c r="O98" s="40">
        <v>1.4088439334600631</v>
      </c>
    </row>
    <row r="99" spans="1:15">
      <c r="A99" s="117" t="s">
        <v>149</v>
      </c>
      <c r="B99" s="40">
        <v>4.0736179989078529</v>
      </c>
      <c r="C99" s="40">
        <v>3.9077500000000001</v>
      </c>
      <c r="D99" s="40">
        <v>3.9367503938171491</v>
      </c>
      <c r="E99" s="40">
        <v>3.8714038285041039</v>
      </c>
      <c r="M99" s="117" t="s">
        <v>149</v>
      </c>
      <c r="N99" s="40">
        <v>2.6906214304432701</v>
      </c>
      <c r="O99" s="40">
        <v>1.3829965684645829</v>
      </c>
    </row>
    <row r="100" spans="1:15">
      <c r="A100" s="117" t="s">
        <v>150</v>
      </c>
      <c r="B100" s="40">
        <v>4.0714417710088808</v>
      </c>
      <c r="C100" s="40">
        <v>3.8759999999999994</v>
      </c>
      <c r="D100" s="40">
        <v>3.872298391426404</v>
      </c>
      <c r="E100" s="40">
        <v>3.8714038285041039</v>
      </c>
      <c r="M100" s="117" t="s">
        <v>150</v>
      </c>
      <c r="N100" s="40">
        <v>2.66103516127894</v>
      </c>
      <c r="O100" s="40">
        <v>1.4104066097299408</v>
      </c>
    </row>
    <row r="101" spans="1:15">
      <c r="A101" s="117" t="s">
        <v>151</v>
      </c>
      <c r="B101" s="40">
        <v>4.0407390738732358</v>
      </c>
      <c r="C101" s="40">
        <v>3.8123749999999998</v>
      </c>
      <c r="D101" s="40">
        <v>3.7673467858228435</v>
      </c>
      <c r="E101" s="40">
        <v>3.7907999999999999</v>
      </c>
      <c r="M101" s="117" t="s">
        <v>151</v>
      </c>
      <c r="N101" s="40">
        <v>2.5992657753902901</v>
      </c>
      <c r="O101" s="40">
        <v>1.4414732984829457</v>
      </c>
    </row>
    <row r="102" spans="1:15">
      <c r="A102" s="117" t="s">
        <v>152</v>
      </c>
      <c r="B102" s="40">
        <v>4.0497476246961881</v>
      </c>
      <c r="C102" s="40">
        <v>3.7805</v>
      </c>
      <c r="D102" s="40">
        <v>3.7673467858228435</v>
      </c>
      <c r="E102" s="40">
        <v>3.7907999999999999</v>
      </c>
      <c r="M102" s="117" t="s">
        <v>152</v>
      </c>
      <c r="N102" s="40">
        <v>2.6512826680006101</v>
      </c>
      <c r="O102" s="40">
        <v>1.3984649566955778</v>
      </c>
    </row>
    <row r="103" spans="1:15">
      <c r="A103" s="117" t="s">
        <v>153</v>
      </c>
      <c r="B103" s="40">
        <v>4.0184302716039797</v>
      </c>
      <c r="C103" s="40">
        <v>3.7805</v>
      </c>
      <c r="D103" s="40">
        <v>3.7178705124641254</v>
      </c>
      <c r="E103" s="40">
        <v>3.8038200779030156</v>
      </c>
      <c r="M103" s="117" t="s">
        <v>153</v>
      </c>
      <c r="N103" s="40">
        <v>2.5908884215358099</v>
      </c>
      <c r="O103" s="40">
        <v>1.4275418500681698</v>
      </c>
    </row>
    <row r="104" spans="1:15">
      <c r="A104" s="117" t="s">
        <v>154</v>
      </c>
      <c r="B104" s="40">
        <v>4.0686879947021506</v>
      </c>
      <c r="C104" s="40">
        <v>3.964</v>
      </c>
      <c r="D104" s="40">
        <v>3.8662066882918835</v>
      </c>
      <c r="E104" s="40">
        <v>3.6708585343811904</v>
      </c>
      <c r="M104" s="117" t="s">
        <v>154</v>
      </c>
      <c r="N104" s="40">
        <v>2.63391710374052</v>
      </c>
      <c r="O104" s="40">
        <v>1.4347708909616306</v>
      </c>
    </row>
    <row r="105" spans="1:15">
      <c r="A105" s="117" t="s">
        <v>155</v>
      </c>
      <c r="B105" s="40">
        <v>4.0832773999934098</v>
      </c>
      <c r="C105" s="40">
        <v>3.964</v>
      </c>
      <c r="D105" s="40">
        <v>3.8662066882918835</v>
      </c>
      <c r="E105" s="40">
        <v>3.6708585343811904</v>
      </c>
      <c r="M105" s="117" t="s">
        <v>155</v>
      </c>
      <c r="N105" s="40">
        <v>2.6287824588785198</v>
      </c>
      <c r="O105" s="40">
        <v>1.45449494111489</v>
      </c>
    </row>
    <row r="106" spans="1:15">
      <c r="A106" s="117" t="s">
        <v>156</v>
      </c>
      <c r="B106" s="40">
        <v>4.0487453173162224</v>
      </c>
      <c r="C106" s="40">
        <v>4.0271249999999998</v>
      </c>
      <c r="D106" s="40">
        <v>3.804430007719005</v>
      </c>
      <c r="E106" s="40">
        <v>3.6708585343811904</v>
      </c>
      <c r="M106" s="117" t="s">
        <v>156</v>
      </c>
      <c r="N106" s="40">
        <v>2.62032151165119</v>
      </c>
      <c r="O106" s="40">
        <v>1.4284238056650325</v>
      </c>
    </row>
    <row r="107" spans="1:15">
      <c r="A107" s="117" t="s">
        <v>157</v>
      </c>
      <c r="B107" s="40">
        <v>4.081627655506578</v>
      </c>
      <c r="C107" s="40">
        <v>3.9634999999999998</v>
      </c>
      <c r="D107" s="40">
        <v>3.7609539039308504</v>
      </c>
      <c r="E107" s="40">
        <v>3.6708585343811904</v>
      </c>
      <c r="M107" s="117" t="s">
        <v>157</v>
      </c>
      <c r="N107" s="40">
        <v>2.6476582784281</v>
      </c>
      <c r="O107" s="40">
        <v>1.4339693770784783</v>
      </c>
    </row>
    <row r="108" spans="1:15">
      <c r="A108" s="117" t="s">
        <v>158</v>
      </c>
      <c r="B108" s="40">
        <v>4.0659316584268881</v>
      </c>
      <c r="C108" s="40">
        <v>4.0271249999999998</v>
      </c>
      <c r="D108" s="40">
        <v>3.8662066882918835</v>
      </c>
      <c r="E108" s="40">
        <v>3.6708585343811904</v>
      </c>
      <c r="M108" s="117" t="s">
        <v>158</v>
      </c>
      <c r="N108" s="40">
        <v>2.6673945625319102</v>
      </c>
      <c r="O108" s="40">
        <v>1.3985370958949779</v>
      </c>
    </row>
    <row r="109" spans="1:15">
      <c r="A109" s="117" t="s">
        <v>159</v>
      </c>
      <c r="B109" s="40">
        <v>4.0555237007239207</v>
      </c>
      <c r="C109" s="40">
        <v>4.0271249999999998</v>
      </c>
      <c r="D109" s="40">
        <v>3.8662066882918835</v>
      </c>
      <c r="E109" s="40">
        <v>3.7143356375412493</v>
      </c>
      <c r="M109" s="117" t="s">
        <v>159</v>
      </c>
      <c r="N109" s="40">
        <v>2.64134045041691</v>
      </c>
      <c r="O109" s="40">
        <v>1.4141832503070106</v>
      </c>
    </row>
    <row r="110" spans="1:15">
      <c r="A110" s="117" t="s">
        <v>160</v>
      </c>
      <c r="B110" s="40">
        <v>4.0368826735599121</v>
      </c>
      <c r="C110" s="40">
        <v>3.8995000000000002</v>
      </c>
      <c r="D110" s="40">
        <v>3.7113481910264978</v>
      </c>
      <c r="E110" s="40">
        <v>3.6334666666666666</v>
      </c>
      <c r="M110" s="117" t="s">
        <v>160</v>
      </c>
      <c r="N110" s="40">
        <v>2.5968587672613901</v>
      </c>
      <c r="O110" s="40">
        <v>1.4400239062985229</v>
      </c>
    </row>
    <row r="111" spans="1:15">
      <c r="A111" s="117" t="s">
        <v>161</v>
      </c>
      <c r="B111" s="40">
        <v>4.0612395217521149</v>
      </c>
      <c r="C111" s="40">
        <v>3.8995000000000002</v>
      </c>
      <c r="D111" s="40">
        <v>3.804430007719005</v>
      </c>
      <c r="E111" s="40">
        <v>3.6334666666666666</v>
      </c>
      <c r="M111" s="117" t="s">
        <v>161</v>
      </c>
      <c r="N111" s="40">
        <v>2.58469358456979</v>
      </c>
      <c r="O111" s="40">
        <v>1.4765459371823244</v>
      </c>
    </row>
    <row r="112" spans="1:15">
      <c r="A112" s="117" t="s">
        <v>162</v>
      </c>
      <c r="B112" s="40">
        <v>4.0575599907953466</v>
      </c>
      <c r="C112" s="40">
        <v>3.9634999999999998</v>
      </c>
      <c r="D112" s="40">
        <v>3.804430007719005</v>
      </c>
      <c r="E112" s="40">
        <v>3.6334666666666666</v>
      </c>
      <c r="M112" s="117" t="s">
        <v>162</v>
      </c>
      <c r="N112" s="40">
        <v>2.5759029417987498</v>
      </c>
      <c r="O112" s="40">
        <v>1.4816570489965968</v>
      </c>
    </row>
    <row r="113" spans="1:15">
      <c r="A113" s="117" t="s">
        <v>163</v>
      </c>
      <c r="B113" s="40">
        <v>4.0225179325894045</v>
      </c>
      <c r="C113" s="40">
        <v>3.9634999999999998</v>
      </c>
      <c r="D113" s="40">
        <v>3.8662066882918835</v>
      </c>
      <c r="E113" s="40">
        <v>3.6334666666666666</v>
      </c>
      <c r="M113" s="117" t="s">
        <v>163</v>
      </c>
      <c r="N113" s="40">
        <v>2.56712042045777</v>
      </c>
      <c r="O113" s="40">
        <v>1.4553975121316345</v>
      </c>
    </row>
    <row r="114" spans="1:15">
      <c r="A114" s="117" t="s">
        <v>164</v>
      </c>
      <c r="B114" s="40">
        <v>4.047073769815273</v>
      </c>
      <c r="C114" s="40">
        <v>3.8995000000000002</v>
      </c>
      <c r="D114" s="40">
        <v>3.804430007719005</v>
      </c>
      <c r="E114" s="40">
        <v>3.6334666666666666</v>
      </c>
      <c r="M114" s="117" t="s">
        <v>164</v>
      </c>
      <c r="N114" s="40">
        <v>2.59858921707026</v>
      </c>
      <c r="O114" s="40">
        <v>1.4484845527450128</v>
      </c>
    </row>
    <row r="115" spans="1:15">
      <c r="A115" s="117" t="s">
        <v>165</v>
      </c>
      <c r="B115" s="40">
        <v>4.0415040358882131</v>
      </c>
      <c r="C115" s="40">
        <v>3.9634999999999998</v>
      </c>
      <c r="D115" s="40">
        <v>3.8662066882918835</v>
      </c>
      <c r="E115" s="40">
        <v>3.6334666666666666</v>
      </c>
      <c r="M115" s="117" t="s">
        <v>165</v>
      </c>
      <c r="N115" s="40">
        <v>2.62252108008507</v>
      </c>
      <c r="O115" s="40">
        <v>1.4189829558031428</v>
      </c>
    </row>
    <row r="116" spans="1:15">
      <c r="A116" s="117" t="s">
        <v>166</v>
      </c>
      <c r="B116" s="40">
        <v>4.0709250025615749</v>
      </c>
      <c r="C116" s="40">
        <v>4.0271249999999998</v>
      </c>
      <c r="D116" s="40">
        <v>3.8375095901912939</v>
      </c>
      <c r="E116" s="40">
        <v>3.7597333333333331</v>
      </c>
      <c r="M116" s="117" t="s">
        <v>166</v>
      </c>
      <c r="N116" s="40">
        <v>2.6753264137467299</v>
      </c>
      <c r="O116" s="40">
        <v>1.3955985888148446</v>
      </c>
    </row>
    <row r="117" spans="1:15">
      <c r="A117" s="117" t="s">
        <v>167</v>
      </c>
      <c r="B117" s="40">
        <v>4.0590200464742132</v>
      </c>
      <c r="C117" s="40">
        <v>4.0271249999999998</v>
      </c>
      <c r="D117" s="40">
        <v>3.8869825871584012</v>
      </c>
      <c r="E117" s="40">
        <v>3.7597333333333331</v>
      </c>
      <c r="M117" s="117" t="s">
        <v>167</v>
      </c>
      <c r="N117" s="40">
        <v>2.6562875815293401</v>
      </c>
      <c r="O117" s="40">
        <v>1.4027324649448731</v>
      </c>
    </row>
    <row r="118" spans="1:15">
      <c r="A118" s="117" t="s">
        <v>168</v>
      </c>
      <c r="B118" s="40">
        <v>4.0582853232102964</v>
      </c>
      <c r="C118" s="40">
        <v>3.9953749999999997</v>
      </c>
      <c r="D118" s="40">
        <v>3.8375095901912939</v>
      </c>
      <c r="E118" s="40">
        <v>3.7143356375412493</v>
      </c>
      <c r="M118" s="117" t="s">
        <v>168</v>
      </c>
      <c r="N118" s="40">
        <v>2.62955921776924</v>
      </c>
      <c r="O118" s="40">
        <v>1.4287261054410563</v>
      </c>
    </row>
    <row r="119" spans="1:15">
      <c r="A119" s="117" t="s">
        <v>169</v>
      </c>
      <c r="B119" s="40">
        <v>4.0433720320738056</v>
      </c>
      <c r="C119" s="40">
        <v>4.0271249999999998</v>
      </c>
      <c r="D119" s="40">
        <v>3.8375095901912939</v>
      </c>
      <c r="E119" s="40">
        <v>3.7143356375412493</v>
      </c>
      <c r="M119" s="117" t="s">
        <v>169</v>
      </c>
      <c r="N119" s="40">
        <v>2.6437338504186898</v>
      </c>
      <c r="O119" s="40">
        <v>1.399638181655116</v>
      </c>
    </row>
    <row r="120" spans="1:15">
      <c r="A120" s="117" t="s">
        <v>170</v>
      </c>
      <c r="B120" s="40">
        <v>4.095665958992865</v>
      </c>
      <c r="C120" s="40">
        <v>3.9321250000000001</v>
      </c>
      <c r="D120" s="40">
        <v>3.9303703370483709</v>
      </c>
      <c r="E120" s="40">
        <v>3.7143356375412493</v>
      </c>
      <c r="M120" s="117" t="s">
        <v>170</v>
      </c>
      <c r="N120" s="40">
        <v>2.6991414546305501</v>
      </c>
      <c r="O120" s="40">
        <v>1.3965245043623147</v>
      </c>
    </row>
    <row r="121" spans="1:15">
      <c r="A121" s="117" t="s">
        <v>171</v>
      </c>
      <c r="B121" s="40">
        <v>4.1518717849292841</v>
      </c>
      <c r="C121" s="40">
        <v>4.0274999999999999</v>
      </c>
      <c r="D121" s="40">
        <v>4.117698774030444</v>
      </c>
      <c r="E121" s="40">
        <v>3.7970808882673373</v>
      </c>
      <c r="M121" s="117" t="s">
        <v>171</v>
      </c>
      <c r="N121" s="40">
        <v>2.7467458715573199</v>
      </c>
      <c r="O121" s="40">
        <v>1.4051259133719631</v>
      </c>
    </row>
    <row r="122" spans="1:15">
      <c r="A122" s="117" t="s">
        <v>172</v>
      </c>
      <c r="B122" s="40">
        <v>4.1403416826452109</v>
      </c>
      <c r="C122" s="40">
        <v>3.9957500000000001</v>
      </c>
      <c r="D122" s="40">
        <v>4.0563620311709938</v>
      </c>
      <c r="E122" s="40">
        <v>3.7970808882673373</v>
      </c>
      <c r="M122" s="117" t="s">
        <v>172</v>
      </c>
      <c r="N122" s="40">
        <v>2.7480147229669498</v>
      </c>
      <c r="O122" s="40">
        <v>1.392326959678261</v>
      </c>
    </row>
    <row r="123" spans="1:15">
      <c r="A123" s="117" t="s">
        <v>173</v>
      </c>
      <c r="B123" s="40">
        <v>4.1440136116171136</v>
      </c>
      <c r="C123" s="40">
        <v>3.9957500000000001</v>
      </c>
      <c r="D123" s="40">
        <v>4.0563620311709938</v>
      </c>
      <c r="E123" s="40">
        <v>3.7970808882673373</v>
      </c>
      <c r="M123" s="117" t="s">
        <v>173</v>
      </c>
      <c r="N123" s="40">
        <v>2.8064099070641602</v>
      </c>
      <c r="O123" s="40">
        <v>1.3376037045529532</v>
      </c>
    </row>
    <row r="124" spans="1:15">
      <c r="A124" s="117" t="s">
        <v>174</v>
      </c>
      <c r="B124" s="40">
        <v>4.1799628612746957</v>
      </c>
      <c r="C124" s="40">
        <v>4.0593750000000002</v>
      </c>
      <c r="D124" s="40">
        <v>4.117698774030444</v>
      </c>
      <c r="E124" s="40">
        <v>3.7970808882673373</v>
      </c>
      <c r="M124" s="117" t="s">
        <v>174</v>
      </c>
      <c r="N124" s="40">
        <v>2.8416760056146502</v>
      </c>
      <c r="O124" s="40">
        <v>1.3382868556600449</v>
      </c>
    </row>
    <row r="125" spans="1:15">
      <c r="A125" s="117" t="s">
        <v>175</v>
      </c>
      <c r="B125" s="40">
        <v>4.2347543125726199</v>
      </c>
      <c r="C125" s="40">
        <v>4.0911249999999999</v>
      </c>
      <c r="D125" s="40">
        <v>4.0154500000000004</v>
      </c>
      <c r="E125" s="40">
        <v>3.8404694400308417</v>
      </c>
      <c r="M125" s="117" t="s">
        <v>175</v>
      </c>
      <c r="N125" s="40">
        <v>2.8756484754346898</v>
      </c>
      <c r="O125" s="40">
        <v>1.3591058371379292</v>
      </c>
    </row>
    <row r="126" spans="1:15">
      <c r="A126" s="117" t="s">
        <v>176</v>
      </c>
      <c r="B126" s="40">
        <v>4.2681737145446403</v>
      </c>
      <c r="C126" s="40">
        <v>4.1547499999999999</v>
      </c>
      <c r="D126" s="40">
        <v>4.0899335699667727</v>
      </c>
      <c r="E126" s="40">
        <v>3.9020859403395352</v>
      </c>
      <c r="M126" s="117" t="s">
        <v>176</v>
      </c>
      <c r="N126" s="40">
        <v>2.91930519695658</v>
      </c>
      <c r="O126" s="40">
        <v>1.3488685175880604</v>
      </c>
    </row>
    <row r="127" spans="1:15">
      <c r="A127" s="117" t="s">
        <v>177</v>
      </c>
      <c r="B127" s="40">
        <v>4.2810922266017739</v>
      </c>
      <c r="C127" s="40">
        <v>4.1547499999999999</v>
      </c>
      <c r="D127" s="40">
        <v>4.1391429031887403</v>
      </c>
      <c r="E127" s="40">
        <v>3.9020859403395352</v>
      </c>
      <c r="M127" s="117" t="s">
        <v>177</v>
      </c>
      <c r="N127" s="40">
        <v>2.86177796804412</v>
      </c>
      <c r="O127" s="40">
        <v>1.4193142585576541</v>
      </c>
    </row>
    <row r="128" spans="1:15">
      <c r="A128" s="117" t="s">
        <v>178</v>
      </c>
      <c r="B128" s="40">
        <v>4.1649795879680038</v>
      </c>
      <c r="C128" s="40">
        <v>4.0274999999999999</v>
      </c>
      <c r="D128" s="40">
        <v>4.117698774030444</v>
      </c>
      <c r="E128" s="40">
        <v>3.7970808882673373</v>
      </c>
      <c r="M128" s="117" t="s">
        <v>178</v>
      </c>
      <c r="N128" s="40">
        <v>2.8101076932532698</v>
      </c>
      <c r="O128" s="40">
        <v>1.3548718947147338</v>
      </c>
    </row>
    <row r="129" spans="1:15">
      <c r="A129" s="117" t="s">
        <v>179</v>
      </c>
      <c r="B129" s="40">
        <v>4.2379897525498276</v>
      </c>
      <c r="C129" s="40">
        <v>4.1229999999999993</v>
      </c>
      <c r="D129" s="40">
        <v>4.0899335699667727</v>
      </c>
      <c r="E129" s="40">
        <v>3.8860333333333337</v>
      </c>
      <c r="M129" s="117" t="s">
        <v>179</v>
      </c>
      <c r="N129" s="40">
        <v>2.9199815904284798</v>
      </c>
      <c r="O129" s="40">
        <v>1.3180081621213482</v>
      </c>
    </row>
    <row r="130" spans="1:15">
      <c r="A130" s="117" t="s">
        <v>180</v>
      </c>
      <c r="B130" s="40">
        <v>4.2264521189694744</v>
      </c>
      <c r="C130" s="40">
        <v>4.1229999999999993</v>
      </c>
      <c r="D130" s="40">
        <v>4.1823551213488175</v>
      </c>
      <c r="E130" s="40">
        <v>3.9233367709935867</v>
      </c>
      <c r="M130" s="117" t="s">
        <v>180</v>
      </c>
      <c r="N130" s="40">
        <v>2.9362897451124002</v>
      </c>
      <c r="O130" s="40">
        <v>1.2901623738570742</v>
      </c>
    </row>
    <row r="131" spans="1:15">
      <c r="A131" s="117" t="s">
        <v>181</v>
      </c>
      <c r="B131" s="40">
        <v>4.2344098452321184</v>
      </c>
      <c r="C131" s="40">
        <v>4.1547499999999999</v>
      </c>
      <c r="D131" s="40">
        <v>4.1823551213488175</v>
      </c>
      <c r="E131" s="40">
        <v>3.9233367709935867</v>
      </c>
      <c r="M131" s="117" t="s">
        <v>181</v>
      </c>
      <c r="N131" s="40">
        <v>2.9586092652733198</v>
      </c>
      <c r="O131" s="40">
        <v>1.2758005799587988</v>
      </c>
    </row>
    <row r="132" spans="1:15">
      <c r="A132" s="117" t="s">
        <v>182</v>
      </c>
      <c r="B132" s="40">
        <v>4.2346857860149951</v>
      </c>
      <c r="C132" s="40">
        <v>4.1547499999999999</v>
      </c>
      <c r="D132" s="40">
        <v>4.1823551213488175</v>
      </c>
      <c r="E132" s="40">
        <v>3.8860333333333337</v>
      </c>
      <c r="M132" s="117" t="s">
        <v>182</v>
      </c>
      <c r="N132" s="40">
        <v>2.9068905487933598</v>
      </c>
      <c r="O132" s="40">
        <v>1.3277952372216348</v>
      </c>
    </row>
    <row r="133" spans="1:15">
      <c r="A133" s="117" t="s">
        <v>183</v>
      </c>
      <c r="B133" s="40">
        <v>4.2323574962017467</v>
      </c>
      <c r="C133" s="40">
        <v>4.0593750000000002</v>
      </c>
      <c r="D133" s="40">
        <v>4.0154500000000004</v>
      </c>
      <c r="E133" s="40">
        <v>3.8404694400308417</v>
      </c>
      <c r="M133" s="117" t="s">
        <v>183</v>
      </c>
      <c r="N133" s="40">
        <v>2.82631669904023</v>
      </c>
      <c r="O133" s="40">
        <v>1.4060407971615168</v>
      </c>
    </row>
    <row r="134" spans="1:15">
      <c r="A134" s="117" t="s">
        <v>184</v>
      </c>
      <c r="B134" s="40">
        <v>4.2147472340123695</v>
      </c>
      <c r="C134" s="40">
        <v>4.0911249999999999</v>
      </c>
      <c r="D134" s="40">
        <v>4.0154500000000004</v>
      </c>
      <c r="E134" s="40">
        <v>3.8404694400308417</v>
      </c>
      <c r="M134" s="117" t="s">
        <v>184</v>
      </c>
      <c r="N134" s="40">
        <v>2.8896799307946499</v>
      </c>
      <c r="O134" s="40">
        <v>1.3250673032177192</v>
      </c>
    </row>
    <row r="135" spans="1:15">
      <c r="A135" s="117" t="s">
        <v>185</v>
      </c>
      <c r="B135" s="40">
        <v>4.3068583158312457</v>
      </c>
      <c r="C135" s="40">
        <v>4.1547499999999999</v>
      </c>
      <c r="D135" s="40">
        <v>4.1391429031887403</v>
      </c>
      <c r="E135" s="40">
        <v>3.9041371618374376</v>
      </c>
      <c r="M135" s="117" t="s">
        <v>185</v>
      </c>
      <c r="N135" s="40">
        <v>2.9214483553786899</v>
      </c>
      <c r="O135" s="40">
        <v>1.3854099604525558</v>
      </c>
    </row>
    <row r="136" spans="1:15">
      <c r="A136" s="117" t="s">
        <v>186</v>
      </c>
      <c r="B136" s="40">
        <v>4.295933915293987</v>
      </c>
      <c r="C136" s="40">
        <v>4.1547499999999999</v>
      </c>
      <c r="D136" s="40">
        <v>4.1078929031887403</v>
      </c>
      <c r="E136" s="40">
        <v>3.9041371618374376</v>
      </c>
      <c r="M136" s="117" t="s">
        <v>186</v>
      </c>
      <c r="N136" s="40">
        <v>2.9102623265110599</v>
      </c>
      <c r="O136" s="40">
        <v>1.3856715887829274</v>
      </c>
    </row>
    <row r="137" spans="1:15">
      <c r="A137" s="117" t="s">
        <v>187</v>
      </c>
      <c r="B137" s="40">
        <v>4.2663749732293477</v>
      </c>
      <c r="C137" s="40">
        <v>4.1547499999999999</v>
      </c>
      <c r="D137" s="40">
        <v>4.1078929031887403</v>
      </c>
      <c r="E137" s="40">
        <v>3.9041371618374376</v>
      </c>
      <c r="M137" s="117" t="s">
        <v>187</v>
      </c>
      <c r="N137" s="40">
        <v>2.8599760435846102</v>
      </c>
      <c r="O137" s="40">
        <v>1.4063989296447374</v>
      </c>
    </row>
    <row r="138" spans="1:15">
      <c r="A138" s="117" t="s">
        <v>188</v>
      </c>
      <c r="B138" s="40">
        <v>4.294547379243582</v>
      </c>
      <c r="C138" s="40">
        <v>4.1547499999999999</v>
      </c>
      <c r="D138" s="40">
        <v>3.9529500000000004</v>
      </c>
      <c r="E138" s="40">
        <v>3.7749314548968891</v>
      </c>
      <c r="M138" s="117" t="s">
        <v>188</v>
      </c>
      <c r="N138" s="40">
        <v>2.8915210158303699</v>
      </c>
      <c r="O138" s="40">
        <v>1.4030263634132119</v>
      </c>
    </row>
    <row r="139" spans="1:15">
      <c r="A139" s="117" t="s">
        <v>189</v>
      </c>
      <c r="B139" s="40">
        <v>4.2920571022905696</v>
      </c>
      <c r="C139" s="40">
        <v>4.155125</v>
      </c>
      <c r="D139" s="40">
        <v>3.9842000000000004</v>
      </c>
      <c r="E139" s="40">
        <v>3.7749314548968891</v>
      </c>
      <c r="M139" s="117" t="s">
        <v>189</v>
      </c>
      <c r="N139" s="40">
        <v>2.8500704386135798</v>
      </c>
      <c r="O139" s="40">
        <v>1.44198666367699</v>
      </c>
    </row>
    <row r="140" spans="1:15">
      <c r="A140" s="117" t="s">
        <v>190</v>
      </c>
      <c r="B140" s="40">
        <v>4.2379068843211822</v>
      </c>
      <c r="C140" s="40">
        <v>4.1547499999999999</v>
      </c>
      <c r="D140" s="40">
        <v>3.9529500000000004</v>
      </c>
      <c r="E140" s="40">
        <v>3.7749314548968891</v>
      </c>
      <c r="M140" s="117" t="s">
        <v>190</v>
      </c>
      <c r="N140" s="40">
        <v>2.8460665334928898</v>
      </c>
      <c r="O140" s="40">
        <v>1.3918403508282922</v>
      </c>
    </row>
    <row r="141" spans="1:15">
      <c r="A141" s="117" t="s">
        <v>191</v>
      </c>
      <c r="B141" s="40">
        <v>4.2233209218479928</v>
      </c>
      <c r="C141" s="40">
        <v>4.1229999999999993</v>
      </c>
      <c r="D141" s="40">
        <v>4.117698774030444</v>
      </c>
      <c r="E141" s="40">
        <v>3.7761730843118855</v>
      </c>
      <c r="M141" s="117" t="s">
        <v>191</v>
      </c>
      <c r="N141" s="40">
        <v>2.8413672152174398</v>
      </c>
      <c r="O141" s="40">
        <v>1.3819537066305525</v>
      </c>
    </row>
    <row r="142" spans="1:15">
      <c r="A142" s="117" t="s">
        <v>192</v>
      </c>
      <c r="B142" s="40">
        <v>4.172073309877991</v>
      </c>
      <c r="C142" s="40">
        <v>4.0911249999999999</v>
      </c>
      <c r="D142" s="40">
        <v>4.0563620311709938</v>
      </c>
      <c r="E142" s="40">
        <v>3.7761730843118855</v>
      </c>
      <c r="M142" s="117" t="s">
        <v>192</v>
      </c>
      <c r="N142" s="40">
        <v>2.8125589424365498</v>
      </c>
      <c r="O142" s="40">
        <v>1.3595143674414412</v>
      </c>
    </row>
    <row r="143" spans="1:15">
      <c r="A143" s="117" t="s">
        <v>193</v>
      </c>
      <c r="B143" s="40">
        <v>4.2772299202203019</v>
      </c>
      <c r="C143" s="40">
        <v>4.0993750000000002</v>
      </c>
      <c r="D143" s="40">
        <v>4.114354497342033</v>
      </c>
      <c r="E143" s="40">
        <v>4.0557276764206129</v>
      </c>
      <c r="M143" s="117" t="s">
        <v>193</v>
      </c>
      <c r="N143" s="40">
        <v>2.8873082715202201</v>
      </c>
      <c r="O143" s="40">
        <v>1.3899216487000827</v>
      </c>
    </row>
    <row r="144" spans="1:15">
      <c r="A144" s="117" t="s">
        <v>194</v>
      </c>
      <c r="B144" s="40">
        <v>4.2772299202203019</v>
      </c>
      <c r="C144" s="40">
        <v>4.0993750000000002</v>
      </c>
      <c r="D144" s="40">
        <v>4.114354497342033</v>
      </c>
      <c r="E144" s="40">
        <v>4.0557276764206129</v>
      </c>
      <c r="M144" s="117" t="s">
        <v>194</v>
      </c>
      <c r="N144" s="40">
        <v>2.96123512742628</v>
      </c>
      <c r="O144" s="40">
        <v>1.3159947927940223</v>
      </c>
    </row>
    <row r="145" spans="1:15">
      <c r="A145" s="117" t="s">
        <v>195</v>
      </c>
      <c r="B145" s="40">
        <v>4.3923720218044648</v>
      </c>
      <c r="C145" s="40">
        <v>4.2910000000000004</v>
      </c>
      <c r="D145" s="40">
        <v>4.2717089165741537</v>
      </c>
      <c r="E145" s="40">
        <v>4.1817004181546098</v>
      </c>
      <c r="M145" s="117" t="s">
        <v>195</v>
      </c>
      <c r="N145" s="40">
        <v>3.0744144315737501</v>
      </c>
      <c r="O145" s="40">
        <v>1.3179575902307146</v>
      </c>
    </row>
    <row r="146" spans="1:15">
      <c r="A146" s="117" t="s">
        <v>196</v>
      </c>
      <c r="B146" s="40">
        <v>4.4021158998488241</v>
      </c>
      <c r="C146" s="40">
        <v>4.2588749999999997</v>
      </c>
      <c r="D146" s="40">
        <v>4.2404589165741537</v>
      </c>
      <c r="E146" s="40">
        <v>4.1237077500397357</v>
      </c>
      <c r="M146" s="117" t="s">
        <v>196</v>
      </c>
      <c r="N146" s="40">
        <v>3.0256748636149999</v>
      </c>
      <c r="O146" s="40">
        <v>1.3764410362338237</v>
      </c>
    </row>
    <row r="147" spans="1:15">
      <c r="A147" s="117" t="s">
        <v>197</v>
      </c>
      <c r="B147" s="40">
        <v>4.4471212470221824</v>
      </c>
      <c r="C147" s="40">
        <v>4.2592500000000006</v>
      </c>
      <c r="D147" s="40">
        <v>4.3147493145490214</v>
      </c>
      <c r="E147" s="40">
        <v>4.2186106422383469</v>
      </c>
      <c r="M147" s="117" t="s">
        <v>197</v>
      </c>
      <c r="N147" s="40">
        <v>3.1185389251118698</v>
      </c>
      <c r="O147" s="40">
        <v>1.328582321910313</v>
      </c>
    </row>
    <row r="148" spans="1:15">
      <c r="A148" s="117" t="s">
        <v>198</v>
      </c>
      <c r="B148" s="40">
        <v>4.4217882161894426</v>
      </c>
      <c r="C148" s="40">
        <v>4.2275</v>
      </c>
      <c r="D148" s="40">
        <v>4.2717089165741537</v>
      </c>
      <c r="E148" s="40">
        <v>4.1873439755716797</v>
      </c>
      <c r="M148" s="117" t="s">
        <v>198</v>
      </c>
      <c r="N148" s="40">
        <v>3.0852280715370801</v>
      </c>
      <c r="O148" s="40">
        <v>1.3365601446523632</v>
      </c>
    </row>
    <row r="149" spans="1:15">
      <c r="A149" s="117" t="s">
        <v>199</v>
      </c>
      <c r="B149" s="40">
        <v>4.4633281546176118</v>
      </c>
      <c r="C149" s="40">
        <v>4.1956249999999997</v>
      </c>
      <c r="D149" s="40">
        <v>4.2717089165741537</v>
      </c>
      <c r="E149" s="40">
        <v>4.1873439755716797</v>
      </c>
      <c r="M149" s="117" t="s">
        <v>199</v>
      </c>
      <c r="N149" s="40">
        <v>3.1292995796246399</v>
      </c>
      <c r="O149" s="40">
        <v>1.3340285749929719</v>
      </c>
    </row>
    <row r="150" spans="1:15">
      <c r="A150" s="117" t="s">
        <v>200</v>
      </c>
      <c r="B150" s="40">
        <v>4.5405932501440986</v>
      </c>
      <c r="C150" s="40">
        <v>4.2275</v>
      </c>
      <c r="D150" s="40">
        <v>4.5041620075276256</v>
      </c>
      <c r="E150" s="40">
        <v>4.310586640999877</v>
      </c>
      <c r="M150" s="117" t="s">
        <v>200</v>
      </c>
      <c r="N150" s="40">
        <v>3.1773446759928401</v>
      </c>
      <c r="O150" s="40">
        <v>1.363248574151259</v>
      </c>
    </row>
    <row r="151" spans="1:15">
      <c r="A151" s="117" t="s">
        <v>201</v>
      </c>
      <c r="B151" s="40">
        <v>4.4488627715372981</v>
      </c>
      <c r="C151" s="40">
        <v>4.1956249999999997</v>
      </c>
      <c r="D151" s="40">
        <v>4.2717089165741537</v>
      </c>
      <c r="E151" s="40">
        <v>4.2186106422383469</v>
      </c>
      <c r="M151" s="117" t="s">
        <v>201</v>
      </c>
      <c r="N151" s="40">
        <v>3.0761153132050598</v>
      </c>
      <c r="O151" s="40">
        <v>1.3727474583322374</v>
      </c>
    </row>
    <row r="152" spans="1:15">
      <c r="A152" s="117" t="s">
        <v>202</v>
      </c>
      <c r="B152" s="40">
        <v>4.4439837591100426</v>
      </c>
      <c r="C152" s="40">
        <v>4.2906250000000004</v>
      </c>
      <c r="D152" s="40">
        <v>4.2404589165741537</v>
      </c>
      <c r="E152" s="40">
        <v>4.2186106422383469</v>
      </c>
      <c r="M152" s="117" t="s">
        <v>202</v>
      </c>
      <c r="N152" s="40">
        <v>3.0919401279735599</v>
      </c>
      <c r="O152" s="40">
        <v>1.3520436311364827</v>
      </c>
    </row>
    <row r="153" spans="1:15">
      <c r="A153" s="117" t="s">
        <v>203</v>
      </c>
      <c r="B153" s="40">
        <v>4.4098494468306768</v>
      </c>
      <c r="C153" s="40">
        <v>4.2906250000000004</v>
      </c>
      <c r="D153" s="40">
        <v>4.2033105887459152</v>
      </c>
      <c r="E153" s="40">
        <v>4.1817004181546098</v>
      </c>
      <c r="M153" s="117" t="s">
        <v>203</v>
      </c>
      <c r="N153" s="40">
        <v>3.0848485059502999</v>
      </c>
      <c r="O153" s="40">
        <v>1.3250009408803773</v>
      </c>
    </row>
    <row r="154" spans="1:15">
      <c r="A154" s="117" t="s">
        <v>204</v>
      </c>
      <c r="B154" s="40">
        <v>4.4083993376568298</v>
      </c>
      <c r="C154" s="40">
        <v>4.2275</v>
      </c>
      <c r="D154" s="40">
        <v>4.2033105887459152</v>
      </c>
      <c r="E154" s="40">
        <v>4.1817004181546098</v>
      </c>
      <c r="M154" s="117" t="s">
        <v>204</v>
      </c>
      <c r="N154" s="40">
        <v>3.0537402902567599</v>
      </c>
      <c r="O154" s="40">
        <v>1.3546590474000695</v>
      </c>
    </row>
    <row r="155" spans="1:15">
      <c r="A155" s="117" t="s">
        <v>205</v>
      </c>
      <c r="B155" s="40">
        <v>4.4105641199278889</v>
      </c>
      <c r="C155" s="40">
        <v>4.2275</v>
      </c>
      <c r="D155" s="40">
        <v>4.2033105887459152</v>
      </c>
      <c r="E155" s="40">
        <v>4.1873439755716797</v>
      </c>
      <c r="M155" s="117" t="s">
        <v>205</v>
      </c>
      <c r="N155" s="40">
        <v>3.03216152423493</v>
      </c>
      <c r="O155" s="40">
        <v>1.3784025956929589</v>
      </c>
    </row>
    <row r="156" spans="1:15">
      <c r="A156" s="117" t="s">
        <v>206</v>
      </c>
      <c r="B156" s="40">
        <v>4.4094136727874513</v>
      </c>
      <c r="C156" s="40">
        <v>4.2588749999999997</v>
      </c>
      <c r="D156" s="40">
        <v>4.2496377008409834</v>
      </c>
      <c r="E156" s="40">
        <v>4.1873439755716797</v>
      </c>
      <c r="M156" s="117" t="s">
        <v>206</v>
      </c>
      <c r="N156" s="40">
        <v>3.0468019127231698</v>
      </c>
      <c r="O156" s="40">
        <v>1.3626117600642815</v>
      </c>
    </row>
    <row r="157" spans="1:15">
      <c r="A157" s="117" t="s">
        <v>207</v>
      </c>
      <c r="B157" s="40">
        <v>4.3215201199074498</v>
      </c>
      <c r="C157" s="40">
        <v>4.2270000000000003</v>
      </c>
      <c r="D157" s="40">
        <v>4.114354497342033</v>
      </c>
      <c r="E157" s="40">
        <v>4.1817004181546098</v>
      </c>
      <c r="M157" s="117" t="s">
        <v>207</v>
      </c>
      <c r="N157" s="40">
        <v>2.9822174038917302</v>
      </c>
      <c r="O157" s="40">
        <v>1.3393027160157196</v>
      </c>
    </row>
    <row r="158" spans="1:15">
      <c r="A158" s="117" t="s">
        <v>208</v>
      </c>
      <c r="B158" s="40">
        <v>4.4009763614890982</v>
      </c>
      <c r="C158" s="40">
        <v>4.2906250000000004</v>
      </c>
      <c r="D158" s="40">
        <v>4.1887316643249344</v>
      </c>
      <c r="E158" s="40">
        <v>4.1873439755716797</v>
      </c>
      <c r="M158" s="117" t="s">
        <v>208</v>
      </c>
      <c r="N158" s="40">
        <v>3.0761568887156101</v>
      </c>
      <c r="O158" s="40">
        <v>1.3248194727734872</v>
      </c>
    </row>
    <row r="159" spans="1:15">
      <c r="A159" s="117" t="s">
        <v>209</v>
      </c>
      <c r="B159" s="40">
        <v>4.4392183160681951</v>
      </c>
      <c r="C159" s="40">
        <v>4.3228750000000007</v>
      </c>
      <c r="D159" s="40">
        <v>4.2717089165741537</v>
      </c>
      <c r="E159" s="40">
        <v>4.2186106422383469</v>
      </c>
      <c r="M159" s="117" t="s">
        <v>209</v>
      </c>
      <c r="N159" s="40">
        <v>3.1219045210798799</v>
      </c>
      <c r="O159" s="40">
        <v>1.3173137949883147</v>
      </c>
    </row>
    <row r="160" spans="1:15">
      <c r="A160" s="117" t="s">
        <v>210</v>
      </c>
      <c r="B160" s="40">
        <v>4.4453796157833887</v>
      </c>
      <c r="C160" s="40">
        <v>4.2910000000000004</v>
      </c>
      <c r="D160" s="40">
        <v>4.2717089165741537</v>
      </c>
      <c r="E160" s="40">
        <v>4.2186106422383469</v>
      </c>
      <c r="M160" s="117" t="s">
        <v>210</v>
      </c>
      <c r="N160" s="40">
        <v>3.0912606104251101</v>
      </c>
      <c r="O160" s="40">
        <v>1.3541190053582786</v>
      </c>
    </row>
    <row r="161" spans="1:15">
      <c r="A161" s="117" t="s">
        <v>211</v>
      </c>
      <c r="B161" s="40">
        <v>4.4482669586560188</v>
      </c>
      <c r="C161" s="40">
        <v>4.2910000000000004</v>
      </c>
      <c r="D161" s="40">
        <v>4.375438847121214</v>
      </c>
      <c r="E161" s="40">
        <v>4.2186106422383469</v>
      </c>
      <c r="M161" s="117" t="s">
        <v>211</v>
      </c>
      <c r="N161" s="40">
        <v>3.1158923075545402</v>
      </c>
      <c r="O161" s="40">
        <v>1.3323746511014782</v>
      </c>
    </row>
    <row r="162" spans="1:15">
      <c r="A162" s="117" t="s">
        <v>212</v>
      </c>
      <c r="B162" s="40">
        <v>4.4711318074263238</v>
      </c>
      <c r="C162" s="40">
        <v>4.3546250000000004</v>
      </c>
      <c r="D162" s="40">
        <v>4.3773</v>
      </c>
      <c r="E162" s="40">
        <v>4.310586640999877</v>
      </c>
      <c r="M162" s="117" t="s">
        <v>212</v>
      </c>
      <c r="N162" s="40">
        <v>3.2022687944333499</v>
      </c>
      <c r="O162" s="40">
        <v>1.2688630129929737</v>
      </c>
    </row>
    <row r="163" spans="1:15">
      <c r="A163" s="117" t="s">
        <v>213</v>
      </c>
      <c r="B163" s="40">
        <v>4.4665872716104538</v>
      </c>
      <c r="C163" s="40">
        <v>4.2910000000000004</v>
      </c>
      <c r="D163" s="40">
        <v>4.5041620075276256</v>
      </c>
      <c r="E163" s="40">
        <v>4.2186106422383469</v>
      </c>
      <c r="M163" s="117" t="s">
        <v>213</v>
      </c>
      <c r="N163" s="40">
        <v>3.0851869199683102</v>
      </c>
      <c r="O163" s="40">
        <v>1.381400351642144</v>
      </c>
    </row>
    <row r="164" spans="1:15">
      <c r="A164" s="117" t="s">
        <v>98</v>
      </c>
      <c r="B164" s="40">
        <v>4.4146762877484873</v>
      </c>
      <c r="C164" s="40">
        <v>4.2592500000000006</v>
      </c>
      <c r="D164" s="40">
        <v>4.2717089165741537</v>
      </c>
      <c r="E164" s="40">
        <v>4.1873439755716797</v>
      </c>
      <c r="M164" s="117" t="s">
        <v>98</v>
      </c>
      <c r="N164" s="40">
        <v>3.0732804432921599</v>
      </c>
      <c r="O164" s="40">
        <v>1.341395844456327</v>
      </c>
    </row>
    <row r="165" spans="1:15">
      <c r="A165" s="117" t="s">
        <v>96</v>
      </c>
      <c r="B165" s="40">
        <v>4.5207040024477276</v>
      </c>
      <c r="C165" s="40">
        <v>4.3228750000000007</v>
      </c>
      <c r="D165" s="40">
        <v>4.3773</v>
      </c>
      <c r="E165" s="40">
        <v>4.2186106422383469</v>
      </c>
      <c r="M165" s="117" t="s">
        <v>96</v>
      </c>
      <c r="N165" s="40">
        <v>3.16276525236256</v>
      </c>
      <c r="O165" s="40">
        <v>1.3579387500851681</v>
      </c>
    </row>
    <row r="166" spans="1:15">
      <c r="A166" s="117" t="s">
        <v>97</v>
      </c>
      <c r="B166" s="40">
        <v>4.464829651284651</v>
      </c>
      <c r="C166" s="40">
        <v>4.2910000000000004</v>
      </c>
      <c r="D166" s="40">
        <v>4.375438847121214</v>
      </c>
      <c r="E166" s="40">
        <v>4.2186106422383469</v>
      </c>
      <c r="M166" s="117" t="s">
        <v>97</v>
      </c>
      <c r="N166" s="40">
        <v>3.1329453977786899</v>
      </c>
      <c r="O166" s="40">
        <v>1.3318842535059612</v>
      </c>
    </row>
    <row r="167" spans="1:15">
      <c r="A167" s="117" t="s">
        <v>101</v>
      </c>
      <c r="B167" s="40">
        <v>4.4440509154403669</v>
      </c>
      <c r="C167" s="40">
        <v>4.2592500000000006</v>
      </c>
      <c r="D167" s="40">
        <v>4.2033105887459152</v>
      </c>
      <c r="E167" s="40">
        <v>4.1237077500397357</v>
      </c>
      <c r="M167" s="117" t="s">
        <v>101</v>
      </c>
      <c r="N167" s="40">
        <v>3.0409627195865201</v>
      </c>
      <c r="O167" s="40">
        <v>1.403088195853847</v>
      </c>
    </row>
    <row r="168" spans="1:15">
      <c r="A168" s="117" t="s">
        <v>102</v>
      </c>
      <c r="B168" s="40">
        <v>4.3983780593055251</v>
      </c>
      <c r="C168" s="40">
        <v>4.2906250000000004</v>
      </c>
      <c r="D168" s="40">
        <v>4.1887316643249344</v>
      </c>
      <c r="E168" s="40">
        <v>4.0612077500397348</v>
      </c>
      <c r="M168" s="117" t="s">
        <v>102</v>
      </c>
      <c r="N168" s="40">
        <v>3.00985191194196</v>
      </c>
      <c r="O168" s="40">
        <v>1.3885261473635655</v>
      </c>
    </row>
    <row r="169" spans="1:15">
      <c r="A169" s="117" t="s">
        <v>103</v>
      </c>
      <c r="B169" s="40">
        <v>4.425564979941222</v>
      </c>
      <c r="C169" s="40">
        <v>4.2910000000000004</v>
      </c>
      <c r="D169" s="40">
        <v>4.2496377008409834</v>
      </c>
      <c r="E169" s="40">
        <v>4.092474416706402</v>
      </c>
      <c r="M169" s="117" t="s">
        <v>103</v>
      </c>
      <c r="N169" s="40">
        <v>2.9791453962399599</v>
      </c>
      <c r="O169" s="40">
        <v>1.4464195837012623</v>
      </c>
    </row>
    <row r="170" spans="1:15">
      <c r="A170" s="117" t="s">
        <v>104</v>
      </c>
      <c r="B170" s="40">
        <v>4.4311762126347389</v>
      </c>
      <c r="C170" s="40">
        <v>4.2592500000000006</v>
      </c>
      <c r="D170" s="40">
        <v>4.2496377008409834</v>
      </c>
      <c r="E170" s="40">
        <v>4.092474416706402</v>
      </c>
      <c r="M170" s="117" t="s">
        <v>104</v>
      </c>
      <c r="N170" s="40">
        <v>3.0519928057207899</v>
      </c>
      <c r="O170" s="40">
        <v>1.3791834069139486</v>
      </c>
    </row>
    <row r="171" spans="1:15">
      <c r="A171" s="117" t="s">
        <v>105</v>
      </c>
      <c r="B171" s="40">
        <v>4.5092366228623613</v>
      </c>
      <c r="C171" s="40">
        <v>4.3228750000000007</v>
      </c>
      <c r="D171" s="40">
        <v>4.4407683440906052</v>
      </c>
      <c r="E171" s="40">
        <v>4.1873439755716797</v>
      </c>
      <c r="M171" s="117" t="s">
        <v>105</v>
      </c>
      <c r="N171" s="40">
        <v>3.1469144966257199</v>
      </c>
      <c r="O171" s="40">
        <v>1.3623221262366418</v>
      </c>
    </row>
    <row r="172" spans="1:15">
      <c r="A172" s="117" t="s">
        <v>106</v>
      </c>
      <c r="B172" s="40">
        <v>4.4900516049545001</v>
      </c>
      <c r="C172" s="40">
        <v>4.3864999999999998</v>
      </c>
      <c r="D172" s="40">
        <v>4.5041620075276256</v>
      </c>
      <c r="E172" s="40">
        <v>4.2498439755716797</v>
      </c>
      <c r="M172" s="117" t="s">
        <v>106</v>
      </c>
      <c r="N172" s="40">
        <v>3.1440801611331</v>
      </c>
      <c r="O172" s="40">
        <v>1.3459714438214008</v>
      </c>
    </row>
    <row r="173" spans="1:15">
      <c r="A173" s="117" t="s">
        <v>107</v>
      </c>
      <c r="B173" s="40">
        <v>4.4632421539572196</v>
      </c>
      <c r="C173" s="40">
        <v>4.2910000000000004</v>
      </c>
      <c r="D173" s="40">
        <v>4.3147493145490214</v>
      </c>
      <c r="E173" s="40">
        <v>4.1873439755716797</v>
      </c>
      <c r="M173" s="117" t="s">
        <v>107</v>
      </c>
      <c r="N173" s="40">
        <v>3.1081065530197201</v>
      </c>
      <c r="O173" s="40">
        <v>1.3551356009374995</v>
      </c>
    </row>
    <row r="174" spans="1:15">
      <c r="A174" s="117" t="s">
        <v>108</v>
      </c>
      <c r="B174" s="40">
        <v>4.4514544365653475</v>
      </c>
      <c r="C174" s="40">
        <v>4.2592500000000006</v>
      </c>
      <c r="D174" s="40">
        <v>4.2717089165741537</v>
      </c>
      <c r="E174" s="40">
        <v>4.1237077500397357</v>
      </c>
      <c r="M174" s="117" t="s">
        <v>108</v>
      </c>
      <c r="N174" s="40">
        <v>3.0651881254767099</v>
      </c>
      <c r="O174" s="40">
        <v>1.3862663110886373</v>
      </c>
    </row>
    <row r="175" spans="1:15">
      <c r="A175" s="117" t="s">
        <v>100</v>
      </c>
      <c r="B175" s="40">
        <v>4.4290275255907448</v>
      </c>
      <c r="C175" s="40">
        <v>4.2592500000000006</v>
      </c>
      <c r="D175" s="40">
        <v>4.3147493145490214</v>
      </c>
      <c r="E175" s="40">
        <v>4.1817004181546098</v>
      </c>
      <c r="M175" s="117" t="s">
        <v>100</v>
      </c>
      <c r="N175" s="40">
        <v>3.0642370952529001</v>
      </c>
      <c r="O175" s="40">
        <v>1.3647904303378449</v>
      </c>
    </row>
    <row r="176" spans="1:15">
      <c r="A176" s="117" t="s">
        <v>109</v>
      </c>
      <c r="B176" s="40">
        <v>4.3810187767133026</v>
      </c>
      <c r="C176" s="40">
        <v>4.2592500000000006</v>
      </c>
      <c r="D176" s="40">
        <v>4.2717089165741537</v>
      </c>
      <c r="E176" s="40">
        <v>4.1237077500397357</v>
      </c>
      <c r="M176" s="117" t="s">
        <v>109</v>
      </c>
      <c r="N176" s="40">
        <v>3.0508649511892498</v>
      </c>
      <c r="O176" s="40">
        <v>1.3301538255240535</v>
      </c>
    </row>
    <row r="177" spans="1:15">
      <c r="A177" s="117" t="s">
        <v>110</v>
      </c>
      <c r="B177" s="40">
        <v>4.4078248196462049</v>
      </c>
      <c r="C177" s="40">
        <v>4.2910000000000004</v>
      </c>
      <c r="D177" s="40">
        <v>4.2717089165741537</v>
      </c>
      <c r="E177" s="40">
        <v>4.1817004181546098</v>
      </c>
      <c r="M177" s="117" t="s">
        <v>110</v>
      </c>
      <c r="N177" s="40">
        <v>3.07026860246684</v>
      </c>
      <c r="O177" s="40">
        <v>1.337556217179366</v>
      </c>
    </row>
    <row r="178" spans="1:15">
      <c r="A178" s="117" t="s">
        <v>111</v>
      </c>
      <c r="B178" s="40">
        <v>4.4364625323187852</v>
      </c>
      <c r="C178" s="40">
        <v>4.2906250000000004</v>
      </c>
      <c r="D178" s="40">
        <v>4.2033105887459152</v>
      </c>
      <c r="E178" s="40">
        <v>4.1237077500397357</v>
      </c>
      <c r="M178" s="117" t="s">
        <v>111</v>
      </c>
      <c r="N178" s="40">
        <v>3.04099858929172</v>
      </c>
      <c r="O178" s="40">
        <v>1.3954639430270657</v>
      </c>
    </row>
    <row r="179" spans="1:15">
      <c r="A179" s="117" t="s">
        <v>99</v>
      </c>
      <c r="B179" s="40">
        <v>4.426843113943276</v>
      </c>
      <c r="C179" s="40">
        <v>4.2906250000000004</v>
      </c>
      <c r="D179" s="40">
        <v>4.2496377008409834</v>
      </c>
      <c r="E179" s="40">
        <v>4.1237077500397357</v>
      </c>
      <c r="M179" s="117" t="s">
        <v>99</v>
      </c>
      <c r="N179" s="40">
        <v>3.0272722743659699</v>
      </c>
      <c r="O179" s="40">
        <v>1.3995708395773065</v>
      </c>
    </row>
    <row r="180" spans="1:15">
      <c r="A180" s="117" t="s">
        <v>126</v>
      </c>
      <c r="B180" s="40">
        <v>4.4426873504270654</v>
      </c>
      <c r="C180" s="40">
        <v>4.2592500000000006</v>
      </c>
      <c r="D180" s="40">
        <v>4.2404589165741537</v>
      </c>
      <c r="E180" s="40">
        <v>4.1237077500397357</v>
      </c>
      <c r="M180" s="117" t="s">
        <v>126</v>
      </c>
      <c r="N180" s="40">
        <v>3.00152435884748</v>
      </c>
      <c r="O180" s="40">
        <v>1.4411629915795856</v>
      </c>
    </row>
    <row r="181" spans="1:15">
      <c r="A181" s="117" t="s">
        <v>124</v>
      </c>
      <c r="B181" s="40">
        <v>4.3703983083468625</v>
      </c>
      <c r="C181" s="40">
        <v>4.2588749999999997</v>
      </c>
      <c r="D181" s="40">
        <v>4.1887316643249344</v>
      </c>
      <c r="E181" s="40">
        <v>4.0612077500397348</v>
      </c>
      <c r="M181" s="117" t="s">
        <v>124</v>
      </c>
      <c r="N181" s="40">
        <v>3.00880742941581</v>
      </c>
      <c r="O181" s="40">
        <v>1.3615908789310525</v>
      </c>
    </row>
    <row r="182" spans="1:15">
      <c r="A182" s="117" t="s">
        <v>127</v>
      </c>
      <c r="B182" s="40">
        <v>4.3673853128344291</v>
      </c>
      <c r="C182" s="40">
        <v>4.2588749999999997</v>
      </c>
      <c r="D182" s="40">
        <v>4.145604497342033</v>
      </c>
      <c r="E182" s="40">
        <v>4.0557276764206129</v>
      </c>
      <c r="M182" s="117" t="s">
        <v>127</v>
      </c>
      <c r="N182" s="40">
        <v>2.9768819813504899</v>
      </c>
      <c r="O182" s="40">
        <v>1.3905033314839395</v>
      </c>
    </row>
    <row r="183" spans="1:15">
      <c r="A183" s="117" t="s">
        <v>128</v>
      </c>
      <c r="B183" s="40">
        <v>4.3769220970021951</v>
      </c>
      <c r="C183" s="40">
        <v>4.2906250000000004</v>
      </c>
      <c r="D183" s="40">
        <v>4.1887316643249344</v>
      </c>
      <c r="E183" s="40">
        <v>4.0557276764206129</v>
      </c>
      <c r="M183" s="117" t="s">
        <v>128</v>
      </c>
      <c r="N183" s="40">
        <v>2.9700273705701301</v>
      </c>
      <c r="O183" s="40">
        <v>1.406894726432065</v>
      </c>
    </row>
    <row r="184" spans="1:15">
      <c r="A184" s="117" t="s">
        <v>129</v>
      </c>
      <c r="B184" s="40">
        <v>4.3942897588062166</v>
      </c>
      <c r="C184" s="40">
        <v>4.2906250000000004</v>
      </c>
      <c r="D184" s="40">
        <v>4.1887316643249344</v>
      </c>
      <c r="E184" s="40">
        <v>4.0557276764206129</v>
      </c>
      <c r="M184" s="117" t="s">
        <v>129</v>
      </c>
      <c r="N184" s="40">
        <v>2.9952166878972601</v>
      </c>
      <c r="O184" s="40">
        <v>1.3990730709089572</v>
      </c>
    </row>
    <row r="185" spans="1:15">
      <c r="A185" s="117" t="s">
        <v>123</v>
      </c>
      <c r="B185" s="40">
        <v>4.4087078229261731</v>
      </c>
      <c r="C185" s="40">
        <v>4.2906250000000004</v>
      </c>
      <c r="D185" s="40">
        <v>4.2496377008409834</v>
      </c>
      <c r="E185" s="40">
        <v>4.0557276764206129</v>
      </c>
      <c r="M185" s="117" t="s">
        <v>123</v>
      </c>
      <c r="N185" s="40">
        <v>2.9944455468035298</v>
      </c>
      <c r="O185" s="40">
        <v>1.4142622761226427</v>
      </c>
    </row>
    <row r="186" spans="1:15">
      <c r="A186" s="117" t="s">
        <v>125</v>
      </c>
      <c r="B186" s="40">
        <v>4.2901196607965808</v>
      </c>
      <c r="C186" s="40">
        <v>4.1630000000000003</v>
      </c>
      <c r="D186" s="40">
        <v>4.0771627490827687</v>
      </c>
      <c r="E186" s="40">
        <v>3.966305483037543</v>
      </c>
      <c r="M186" s="117" t="s">
        <v>125</v>
      </c>
      <c r="N186" s="40">
        <v>2.9155081259623699</v>
      </c>
      <c r="O186" s="40">
        <v>1.3746115348342114</v>
      </c>
    </row>
    <row r="187" spans="1:15">
      <c r="A187" s="117" t="s">
        <v>215</v>
      </c>
      <c r="B187" s="40">
        <v>4.2743799866887233</v>
      </c>
      <c r="C187" s="40">
        <v>4.1312500000000005</v>
      </c>
      <c r="D187" s="40">
        <v>4.0771627490827687</v>
      </c>
      <c r="E187" s="40">
        <v>3.966305483037543</v>
      </c>
      <c r="M187" s="117" t="s">
        <v>215</v>
      </c>
      <c r="N187" s="40">
        <v>2.8859588833612699</v>
      </c>
      <c r="O187" s="40">
        <v>1.3884211033274538</v>
      </c>
    </row>
    <row r="188" spans="1:15">
      <c r="A188" s="117" t="s">
        <v>219</v>
      </c>
      <c r="B188" s="40">
        <v>4.3009666321134858</v>
      </c>
      <c r="C188" s="40">
        <v>4.2588749999999997</v>
      </c>
      <c r="D188" s="40">
        <v>4.145604497342033</v>
      </c>
      <c r="E188" s="40">
        <v>3.9975388163708763</v>
      </c>
      <c r="M188" s="117" t="s">
        <v>219</v>
      </c>
      <c r="N188" s="40">
        <v>2.9592567116727899</v>
      </c>
      <c r="O188" s="40">
        <v>1.3417099204406964</v>
      </c>
    </row>
    <row r="189" spans="1:15">
      <c r="A189" s="117" t="s">
        <v>220</v>
      </c>
      <c r="B189" s="40">
        <v>4.398638713788694</v>
      </c>
      <c r="C189" s="40">
        <v>4.2906250000000004</v>
      </c>
      <c r="D189" s="40">
        <v>4.1887316643249344</v>
      </c>
      <c r="E189" s="40">
        <v>4.0557276764206129</v>
      </c>
      <c r="M189" s="117" t="s">
        <v>220</v>
      </c>
      <c r="N189" s="40">
        <v>3.0089114844805001</v>
      </c>
      <c r="O189" s="40">
        <v>1.3897272293081944</v>
      </c>
    </row>
    <row r="190" spans="1:15">
      <c r="A190" s="117" t="s">
        <v>221</v>
      </c>
      <c r="B190" s="40">
        <v>4.3781885102162965</v>
      </c>
      <c r="C190" s="40">
        <v>4.2588749999999997</v>
      </c>
      <c r="D190" s="40">
        <v>4.1887316643249344</v>
      </c>
      <c r="E190" s="40">
        <v>4.0557276764206129</v>
      </c>
      <c r="M190" s="117" t="s">
        <v>221</v>
      </c>
      <c r="N190" s="40">
        <v>2.9719648499802398</v>
      </c>
      <c r="O190" s="40">
        <v>1.4062236602360569</v>
      </c>
    </row>
    <row r="191" spans="1:15">
      <c r="A191" s="117" t="s">
        <v>222</v>
      </c>
      <c r="B191" s="40">
        <v>4.3054132350660215</v>
      </c>
      <c r="C191" s="40">
        <v>4.2270000000000003</v>
      </c>
      <c r="D191" s="40">
        <v>4.114354497342033</v>
      </c>
      <c r="E191" s="40">
        <v>3.9975388163708763</v>
      </c>
      <c r="M191" s="117" t="s">
        <v>222</v>
      </c>
      <c r="N191" s="40">
        <v>2.92350190324946</v>
      </c>
      <c r="O191" s="40">
        <v>1.3819113318165615</v>
      </c>
    </row>
    <row r="192" spans="1:15">
      <c r="A192" s="117" t="s">
        <v>223</v>
      </c>
      <c r="B192" s="40">
        <v>4.328119640526455</v>
      </c>
      <c r="C192" s="40">
        <v>4.2588749999999997</v>
      </c>
      <c r="D192" s="40">
        <v>4.145604497342033</v>
      </c>
      <c r="E192" s="40">
        <v>3.9975388163708763</v>
      </c>
      <c r="M192" s="117" t="s">
        <v>223</v>
      </c>
      <c r="N192" s="40">
        <v>2.9753003706109098</v>
      </c>
      <c r="O192" s="40">
        <v>1.3528192699155452</v>
      </c>
    </row>
    <row r="193" spans="1:15">
      <c r="A193" s="117" t="s">
        <v>224</v>
      </c>
      <c r="B193" s="40">
        <v>4.256251670682226</v>
      </c>
      <c r="C193" s="40">
        <v>4.1312500000000005</v>
      </c>
      <c r="D193" s="40">
        <v>4.0251000000000001</v>
      </c>
      <c r="E193" s="40">
        <v>3.966305483037543</v>
      </c>
      <c r="M193" s="117" t="s">
        <v>224</v>
      </c>
      <c r="N193" s="40">
        <v>2.8894517792115599</v>
      </c>
      <c r="O193" s="40">
        <v>1.3667998914706656</v>
      </c>
    </row>
    <row r="194" spans="1:15">
      <c r="A194" s="117" t="s">
        <v>225</v>
      </c>
      <c r="B194" s="40">
        <v>4.2798698058308915</v>
      </c>
      <c r="C194" s="40">
        <v>4.0993750000000002</v>
      </c>
      <c r="D194" s="40">
        <v>4.0627653666023935</v>
      </c>
      <c r="E194" s="40">
        <v>3.932044793512913</v>
      </c>
      <c r="M194" s="117" t="s">
        <v>225</v>
      </c>
      <c r="N194" s="40">
        <v>2.8863432484098199</v>
      </c>
      <c r="O194" s="40">
        <v>1.3935265574210718</v>
      </c>
    </row>
    <row r="195" spans="1:15">
      <c r="A195" s="117" t="s">
        <v>226</v>
      </c>
      <c r="B195" s="40">
        <v>4.2615155143787584</v>
      </c>
      <c r="C195" s="40">
        <v>4.0993750000000002</v>
      </c>
      <c r="D195" s="40">
        <v>4.0251000000000001</v>
      </c>
      <c r="E195" s="40">
        <v>3.966305483037543</v>
      </c>
      <c r="M195" s="117" t="s">
        <v>226</v>
      </c>
      <c r="N195" s="40">
        <v>2.94154866689746</v>
      </c>
      <c r="O195" s="40">
        <v>1.3199668474812989</v>
      </c>
    </row>
    <row r="196" spans="1:15">
      <c r="A196" s="117" t="s">
        <v>227</v>
      </c>
      <c r="B196" s="40">
        <v>4.3093959807899367</v>
      </c>
      <c r="C196" s="40">
        <v>4.1630000000000003</v>
      </c>
      <c r="D196" s="40">
        <v>4.114354497342033</v>
      </c>
      <c r="E196" s="40">
        <v>3.966305483037543</v>
      </c>
      <c r="M196" s="117" t="s">
        <v>227</v>
      </c>
      <c r="N196" s="40">
        <v>2.9622833477952701</v>
      </c>
      <c r="O196" s="40">
        <v>1.3471126329946661</v>
      </c>
    </row>
    <row r="197" spans="1:15">
      <c r="A197" s="117" t="s">
        <v>228</v>
      </c>
      <c r="B197" s="40">
        <v>4.2927085290160356</v>
      </c>
      <c r="C197" s="40">
        <v>4.2270000000000003</v>
      </c>
      <c r="D197" s="40">
        <v>4.0771627490827687</v>
      </c>
      <c r="E197" s="40">
        <v>3.932044793512913</v>
      </c>
      <c r="M197" s="117" t="s">
        <v>228</v>
      </c>
      <c r="N197" s="40">
        <v>2.9357435322539001</v>
      </c>
      <c r="O197" s="40">
        <v>1.3569649967621358</v>
      </c>
    </row>
    <row r="198" spans="1:15">
      <c r="A198" s="117" t="s">
        <v>229</v>
      </c>
      <c r="B198" s="40">
        <v>4.3383116630778407</v>
      </c>
      <c r="C198" s="40">
        <v>4.2588749999999997</v>
      </c>
      <c r="D198" s="40">
        <v>4.145604497342033</v>
      </c>
      <c r="E198" s="40">
        <v>3.932044793512913</v>
      </c>
      <c r="M198" s="117" t="s">
        <v>229</v>
      </c>
      <c r="N198" s="40">
        <v>2.9596582925735899</v>
      </c>
      <c r="O198" s="40">
        <v>1.3786533705042512</v>
      </c>
    </row>
    <row r="199" spans="1:15">
      <c r="A199" s="117" t="s">
        <v>230</v>
      </c>
      <c r="B199" s="40">
        <v>4.2741047638281264</v>
      </c>
      <c r="C199" s="40">
        <v>4.1630000000000003</v>
      </c>
      <c r="D199" s="40">
        <v>4.0251000000000001</v>
      </c>
      <c r="E199" s="40">
        <v>3.929789796110164</v>
      </c>
      <c r="M199" s="117" t="s">
        <v>230</v>
      </c>
      <c r="N199" s="40">
        <v>2.8898853758214198</v>
      </c>
      <c r="O199" s="40">
        <v>1.3842193880067069</v>
      </c>
    </row>
    <row r="200" spans="1:15">
      <c r="A200" s="117" t="s">
        <v>217</v>
      </c>
      <c r="B200" s="40">
        <v>4.2783479721846032</v>
      </c>
      <c r="C200" s="40">
        <v>4.1312500000000005</v>
      </c>
      <c r="D200" s="40">
        <v>4.123888942161555</v>
      </c>
      <c r="E200" s="40">
        <v>3.8714038285041039</v>
      </c>
      <c r="M200" s="117" t="s">
        <v>217</v>
      </c>
      <c r="N200" s="40">
        <v>2.85986737962509</v>
      </c>
      <c r="O200" s="40">
        <v>1.4184805925595136</v>
      </c>
    </row>
    <row r="201" spans="1:15">
      <c r="A201" s="117" t="s">
        <v>231</v>
      </c>
      <c r="B201" s="40">
        <v>4.2585314708060427</v>
      </c>
      <c r="C201" s="40">
        <v>4.0993750000000002</v>
      </c>
      <c r="D201" s="40">
        <v>4.0627653666023935</v>
      </c>
      <c r="E201" s="40">
        <v>3.8401704951707707</v>
      </c>
      <c r="M201" s="117" t="s">
        <v>231</v>
      </c>
      <c r="N201" s="40">
        <v>2.8344803887664098</v>
      </c>
      <c r="O201" s="40">
        <v>1.4240510820396328</v>
      </c>
    </row>
    <row r="202" spans="1:15">
      <c r="A202" s="117" t="s">
        <v>232</v>
      </c>
      <c r="B202" s="40">
        <v>4.1362210691810724</v>
      </c>
      <c r="C202" s="40">
        <v>4.0353750000000002</v>
      </c>
      <c r="D202" s="40">
        <v>3.9480721497042097</v>
      </c>
      <c r="E202" s="40">
        <v>3.8058878744011344</v>
      </c>
      <c r="M202" s="117" t="s">
        <v>232</v>
      </c>
      <c r="N202" s="40">
        <v>2.79004351105465</v>
      </c>
      <c r="O202" s="40">
        <v>1.3461775581264221</v>
      </c>
    </row>
    <row r="203" spans="1:15">
      <c r="A203" s="117" t="s">
        <v>233</v>
      </c>
      <c r="B203" s="40">
        <v>4.2843012936801426</v>
      </c>
      <c r="C203" s="40">
        <v>4.1630000000000003</v>
      </c>
      <c r="D203" s="40">
        <v>4.0251000000000001</v>
      </c>
      <c r="E203" s="40">
        <v>3.929789796110164</v>
      </c>
      <c r="M203" s="117" t="s">
        <v>233</v>
      </c>
      <c r="N203" s="40">
        <v>2.9080768711615201</v>
      </c>
      <c r="O203" s="40">
        <v>1.3762244225186233</v>
      </c>
    </row>
    <row r="204" spans="1:15">
      <c r="A204" s="117" t="s">
        <v>216</v>
      </c>
      <c r="B204" s="40">
        <v>4.2820818935349738</v>
      </c>
      <c r="C204" s="40">
        <v>4.2270000000000003</v>
      </c>
      <c r="D204" s="40">
        <v>4.0251000000000001</v>
      </c>
      <c r="E204" s="40">
        <v>3.932044793512913</v>
      </c>
      <c r="M204" s="117" t="s">
        <v>216</v>
      </c>
      <c r="N204" s="40">
        <v>2.9117942461472701</v>
      </c>
      <c r="O204" s="40">
        <v>1.3702876473877039</v>
      </c>
    </row>
    <row r="205" spans="1:15">
      <c r="A205" s="117" t="s">
        <v>218</v>
      </c>
      <c r="B205" s="40">
        <v>4.2801658704684504</v>
      </c>
      <c r="C205" s="40">
        <v>4.2270000000000003</v>
      </c>
      <c r="D205" s="40">
        <v>4.0771627490827687</v>
      </c>
      <c r="E205" s="40">
        <v>3.966305483037543</v>
      </c>
      <c r="M205" s="117" t="s">
        <v>218</v>
      </c>
      <c r="N205" s="40">
        <v>2.9085457311755398</v>
      </c>
      <c r="O205" s="40">
        <v>1.371620139292911</v>
      </c>
    </row>
    <row r="206" spans="1:15">
      <c r="A206" s="117" t="s">
        <v>238</v>
      </c>
      <c r="B206" s="40">
        <v>4.2489956925125085</v>
      </c>
      <c r="C206" s="40">
        <v>4.1312500000000005</v>
      </c>
      <c r="D206" s="40">
        <v>4.123888942161555</v>
      </c>
      <c r="E206" s="40">
        <v>3.932044793512913</v>
      </c>
      <c r="M206" s="117" t="s">
        <v>238</v>
      </c>
      <c r="N206" s="40">
        <v>2.9130814289562301</v>
      </c>
      <c r="O206" s="40">
        <v>1.3359142635562784</v>
      </c>
    </row>
    <row r="207" spans="1:15">
      <c r="A207" s="117" t="s">
        <v>239</v>
      </c>
      <c r="B207" s="40">
        <v>4.2743108149537381</v>
      </c>
      <c r="C207" s="40">
        <v>4.1312500000000005</v>
      </c>
      <c r="D207" s="40">
        <v>4.123888942161555</v>
      </c>
      <c r="E207" s="40">
        <v>3.966305483037543</v>
      </c>
      <c r="M207" s="117" t="s">
        <v>239</v>
      </c>
      <c r="N207" s="40">
        <v>2.9344470402340699</v>
      </c>
      <c r="O207" s="40">
        <v>1.3398637747196687</v>
      </c>
    </row>
    <row r="208" spans="1:15">
      <c r="A208" s="117" t="s">
        <v>240</v>
      </c>
      <c r="B208" s="40">
        <v>4.2759151287191974</v>
      </c>
      <c r="C208" s="40">
        <v>4.1312500000000005</v>
      </c>
      <c r="D208" s="40">
        <v>4.123888942161555</v>
      </c>
      <c r="E208" s="40">
        <v>3.966305483037543</v>
      </c>
      <c r="M208" s="117" t="s">
        <v>240</v>
      </c>
      <c r="N208" s="40">
        <v>2.9096799662845698</v>
      </c>
      <c r="O208" s="40">
        <v>1.3662351624346272</v>
      </c>
    </row>
    <row r="209" spans="1:15">
      <c r="A209" s="117" t="s">
        <v>241</v>
      </c>
      <c r="B209" s="40">
        <v>4.2693599909218944</v>
      </c>
      <c r="C209" s="40">
        <v>4.2270000000000003</v>
      </c>
      <c r="D209" s="40">
        <v>4.0771627490827687</v>
      </c>
      <c r="E209" s="40">
        <v>3.966305483037543</v>
      </c>
      <c r="M209" s="117" t="s">
        <v>241</v>
      </c>
      <c r="N209" s="40">
        <v>2.9358931445910401</v>
      </c>
      <c r="O209" s="40">
        <v>1.3334668463308543</v>
      </c>
    </row>
    <row r="210" spans="1:15">
      <c r="A210" s="117" t="s">
        <v>242</v>
      </c>
      <c r="B210" s="40">
        <v>4.2597906227196534</v>
      </c>
      <c r="C210" s="40">
        <v>4.1630000000000003</v>
      </c>
      <c r="D210" s="40">
        <v>4.123888942161555</v>
      </c>
      <c r="E210" s="40">
        <v>3.966305483037543</v>
      </c>
      <c r="M210" s="117" t="s">
        <v>242</v>
      </c>
      <c r="N210" s="40">
        <v>2.90498942377981</v>
      </c>
      <c r="O210" s="40">
        <v>1.3548011989398434</v>
      </c>
    </row>
    <row r="211" spans="1:15">
      <c r="A211" s="117" t="s">
        <v>243</v>
      </c>
      <c r="B211" s="40">
        <v>4.2247089731681386</v>
      </c>
      <c r="C211" s="40">
        <v>4.1312500000000005</v>
      </c>
      <c r="D211" s="40">
        <v>4.123888942161555</v>
      </c>
      <c r="E211" s="40">
        <v>3.932044793512913</v>
      </c>
      <c r="M211" s="117" t="s">
        <v>243</v>
      </c>
      <c r="N211" s="40">
        <v>2.8787744272910301</v>
      </c>
      <c r="O211" s="40">
        <v>1.345934545877109</v>
      </c>
    </row>
    <row r="212" spans="1:15">
      <c r="A212" s="117" t="s">
        <v>244</v>
      </c>
      <c r="B212" s="40">
        <v>4.2607544043214585</v>
      </c>
      <c r="C212" s="40">
        <v>4.1630000000000003</v>
      </c>
      <c r="D212" s="40">
        <v>4.0771627490827687</v>
      </c>
      <c r="E212" s="40">
        <v>3.966305483037543</v>
      </c>
      <c r="M212" s="117" t="s">
        <v>244</v>
      </c>
      <c r="N212" s="40">
        <v>2.9185627226684798</v>
      </c>
      <c r="O212" s="40">
        <v>1.3421916816529791</v>
      </c>
    </row>
    <row r="213" spans="1:15">
      <c r="A213" s="117" t="s">
        <v>245</v>
      </c>
      <c r="B213" s="40">
        <v>4.2828998142079913</v>
      </c>
      <c r="C213" s="40">
        <v>4.1312500000000005</v>
      </c>
      <c r="D213" s="40">
        <v>4.123888942161555</v>
      </c>
      <c r="E213" s="40">
        <v>3.9975388163708763</v>
      </c>
      <c r="M213" s="117" t="s">
        <v>245</v>
      </c>
      <c r="N213" s="40">
        <v>2.9027513521030701</v>
      </c>
      <c r="O213" s="40">
        <v>1.3801484621049211</v>
      </c>
    </row>
    <row r="214" spans="1:15">
      <c r="A214" s="117" t="s">
        <v>246</v>
      </c>
      <c r="B214" s="40">
        <v>4.2467122577530523</v>
      </c>
      <c r="C214" s="40">
        <v>4.0993750000000002</v>
      </c>
      <c r="D214" s="40">
        <v>4.0627653666023935</v>
      </c>
      <c r="E214" s="40">
        <v>3.966305483037543</v>
      </c>
      <c r="M214" s="117" t="s">
        <v>246</v>
      </c>
      <c r="N214" s="40">
        <v>2.9327229891480799</v>
      </c>
      <c r="O214" s="40">
        <v>1.3139892686049721</v>
      </c>
    </row>
    <row r="215" spans="1:15">
      <c r="A215" s="117" t="s">
        <v>247</v>
      </c>
      <c r="B215" s="40">
        <v>4.2248646767380205</v>
      </c>
      <c r="C215" s="40">
        <v>4.0676249999999996</v>
      </c>
      <c r="D215" s="40">
        <v>4.0195510152855149</v>
      </c>
      <c r="E215" s="40">
        <v>3.966305483037543</v>
      </c>
      <c r="M215" s="117" t="s">
        <v>247</v>
      </c>
      <c r="N215" s="40">
        <v>2.9154645829543302</v>
      </c>
      <c r="O215" s="40">
        <v>1.3094000937836907</v>
      </c>
    </row>
    <row r="216" spans="1:15">
      <c r="A216" s="117" t="s">
        <v>248</v>
      </c>
      <c r="B216" s="40">
        <v>4.2286816979480868</v>
      </c>
      <c r="C216" s="40">
        <v>4.0763750000000005</v>
      </c>
      <c r="D216" s="40">
        <v>4.0627653666023935</v>
      </c>
      <c r="E216" s="40">
        <v>3.932044793512913</v>
      </c>
      <c r="M216" s="117" t="s">
        <v>248</v>
      </c>
      <c r="N216" s="40">
        <v>2.90800506731745</v>
      </c>
      <c r="O216" s="40">
        <v>1.320676630630637</v>
      </c>
    </row>
    <row r="217" spans="1:15">
      <c r="A217" s="117" t="s">
        <v>249</v>
      </c>
      <c r="B217" s="40">
        <v>4.2753252212751045</v>
      </c>
      <c r="C217" s="40">
        <v>4.2357500000000003</v>
      </c>
      <c r="D217" s="40">
        <v>4.0771627490827687</v>
      </c>
      <c r="E217" s="40">
        <v>4.0557276764206129</v>
      </c>
      <c r="M217" s="117" t="s">
        <v>249</v>
      </c>
      <c r="N217" s="40">
        <v>2.9912109118513701</v>
      </c>
      <c r="O217" s="40">
        <v>1.2841143094237346</v>
      </c>
    </row>
    <row r="218" spans="1:15">
      <c r="A218" s="117" t="s">
        <v>250</v>
      </c>
      <c r="B218" s="40">
        <v>4.3079955529072969</v>
      </c>
      <c r="C218" s="40">
        <v>4.2676249999999998</v>
      </c>
      <c r="D218" s="40">
        <v>4.114354497342033</v>
      </c>
      <c r="E218" s="40">
        <v>4.0557276764206129</v>
      </c>
      <c r="M218" s="117" t="s">
        <v>250</v>
      </c>
      <c r="N218" s="40">
        <v>2.9926621611582802</v>
      </c>
      <c r="O218" s="40">
        <v>1.3153333917490166</v>
      </c>
    </row>
    <row r="219" spans="1:15">
      <c r="A219" s="117" t="s">
        <v>251</v>
      </c>
      <c r="B219" s="40">
        <v>4.2555514882447678</v>
      </c>
      <c r="C219" s="40">
        <v>4.1717499999999994</v>
      </c>
      <c r="D219" s="40">
        <v>4.0771627490827687</v>
      </c>
      <c r="E219" s="40">
        <v>3.966305483037543</v>
      </c>
      <c r="M219" s="117" t="s">
        <v>251</v>
      </c>
      <c r="N219" s="40">
        <v>2.8946199392202701</v>
      </c>
      <c r="O219" s="40">
        <v>1.3609315490244984</v>
      </c>
    </row>
    <row r="220" spans="1:15">
      <c r="A220" s="117" t="s">
        <v>252</v>
      </c>
      <c r="B220" s="40">
        <v>4.1796506024391906</v>
      </c>
      <c r="C220" s="40">
        <v>4.0123749999999996</v>
      </c>
      <c r="D220" s="40">
        <v>3.9480721497042097</v>
      </c>
      <c r="E220" s="40">
        <v>3.932044793512913</v>
      </c>
      <c r="M220" s="117" t="s">
        <v>252</v>
      </c>
      <c r="N220" s="40">
        <v>2.8362882018725202</v>
      </c>
      <c r="O220" s="40">
        <v>1.3433624005666713</v>
      </c>
    </row>
    <row r="221" spans="1:15">
      <c r="A221" s="117" t="s">
        <v>253</v>
      </c>
      <c r="B221" s="40">
        <v>4.1859939582552013</v>
      </c>
      <c r="C221" s="40">
        <v>4.0441250000000002</v>
      </c>
      <c r="D221" s="40">
        <v>3.9883010152855149</v>
      </c>
      <c r="E221" s="40">
        <v>3.932044793512913</v>
      </c>
      <c r="M221" s="117" t="s">
        <v>253</v>
      </c>
      <c r="N221" s="40">
        <v>2.91486476009828</v>
      </c>
      <c r="O221" s="40">
        <v>1.2711291981569215</v>
      </c>
    </row>
    <row r="222" spans="1:15">
      <c r="A222" s="117" t="s">
        <v>254</v>
      </c>
      <c r="B222" s="40">
        <v>4.1998208363295628</v>
      </c>
      <c r="C222" s="40">
        <v>4.0441250000000002</v>
      </c>
      <c r="D222" s="40">
        <v>3.9883010152855149</v>
      </c>
      <c r="E222" s="40">
        <v>3.932044793512913</v>
      </c>
      <c r="M222" s="117" t="s">
        <v>254</v>
      </c>
      <c r="N222" s="40">
        <v>2.8594352216235301</v>
      </c>
      <c r="O222" s="40">
        <v>1.3403856147060331</v>
      </c>
    </row>
    <row r="223" spans="1:15">
      <c r="A223" s="117" t="s">
        <v>255</v>
      </c>
      <c r="B223" s="40">
        <v>4.1822142987835784</v>
      </c>
      <c r="C223" s="40">
        <v>4.0123749999999996</v>
      </c>
      <c r="D223" s="40">
        <v>3.9883010152855149</v>
      </c>
      <c r="E223" s="40">
        <v>3.932044793512913</v>
      </c>
      <c r="M223" s="117" t="s">
        <v>255</v>
      </c>
      <c r="N223" s="40">
        <v>2.8734950564364601</v>
      </c>
      <c r="O223" s="40">
        <v>1.3087192423471181</v>
      </c>
    </row>
    <row r="224" spans="1:15">
      <c r="A224" s="117" t="s">
        <v>256</v>
      </c>
      <c r="B224" s="40">
        <v>4.1812861602079927</v>
      </c>
      <c r="C224" s="40">
        <v>4.0123749999999996</v>
      </c>
      <c r="D224" s="40">
        <v>3.9480721497042097</v>
      </c>
      <c r="E224" s="40">
        <v>3.8714038285041039</v>
      </c>
      <c r="M224" s="117" t="s">
        <v>256</v>
      </c>
      <c r="N224" s="40">
        <v>2.8712695086990299</v>
      </c>
      <c r="O224" s="40">
        <v>1.3100166515089626</v>
      </c>
    </row>
    <row r="225" spans="1:15">
      <c r="A225" s="117" t="s">
        <v>257</v>
      </c>
      <c r="B225" s="40">
        <v>4.2380105386356348</v>
      </c>
      <c r="C225" s="40">
        <v>4.0763750000000005</v>
      </c>
      <c r="D225" s="40">
        <v>4.0627653666023935</v>
      </c>
      <c r="E225" s="40">
        <v>3.932044793512913</v>
      </c>
      <c r="M225" s="117" t="s">
        <v>257</v>
      </c>
      <c r="N225" s="40">
        <v>2.8987506443333801</v>
      </c>
      <c r="O225" s="40">
        <v>1.3392598943022547</v>
      </c>
    </row>
    <row r="226" spans="1:15">
      <c r="A226" s="117" t="s">
        <v>258</v>
      </c>
      <c r="B226" s="40">
        <v>4.2563048986174703</v>
      </c>
      <c r="C226" s="40">
        <v>4.1901250000000001</v>
      </c>
      <c r="D226" s="40">
        <v>4.1096088113743745</v>
      </c>
      <c r="E226" s="40">
        <v>3.9691038719099652</v>
      </c>
      <c r="M226" s="117" t="s">
        <v>258</v>
      </c>
      <c r="N226" s="40">
        <v>2.8546348135519901</v>
      </c>
      <c r="O226" s="40">
        <v>1.4016700850654802</v>
      </c>
    </row>
    <row r="227" spans="1:15">
      <c r="A227" s="117" t="s">
        <v>259</v>
      </c>
      <c r="B227" s="40">
        <v>4.1820212108377133</v>
      </c>
      <c r="C227" s="40">
        <v>4.1583750000000004</v>
      </c>
      <c r="D227" s="40">
        <v>4.0261842576350091</v>
      </c>
      <c r="E227" s="40">
        <v>3.836185909281542</v>
      </c>
      <c r="M227" s="117" t="s">
        <v>259</v>
      </c>
      <c r="N227" s="40">
        <v>2.8124515814242899</v>
      </c>
      <c r="O227" s="40">
        <v>1.3695696294134241</v>
      </c>
    </row>
    <row r="228" spans="1:15">
      <c r="A228" s="117" t="s">
        <v>260</v>
      </c>
      <c r="B228" s="40">
        <v>4.1625060290770577</v>
      </c>
      <c r="C228" s="40">
        <v>4.126125</v>
      </c>
      <c r="D228" s="40">
        <v>3.9859585938118238</v>
      </c>
      <c r="E228" s="40">
        <v>3.836185909281542</v>
      </c>
      <c r="M228" s="117" t="s">
        <v>260</v>
      </c>
      <c r="N228" s="40">
        <v>2.8018988061488499</v>
      </c>
      <c r="O228" s="40">
        <v>1.360607222928208</v>
      </c>
    </row>
    <row r="229" spans="1:15">
      <c r="A229" s="117" t="s">
        <v>261</v>
      </c>
      <c r="B229" s="40">
        <v>4.1392619751477389</v>
      </c>
      <c r="C229" s="40">
        <v>4.0625</v>
      </c>
      <c r="D229" s="40">
        <v>4.0450184023842457</v>
      </c>
      <c r="E229" s="40">
        <v>3.8432439415632444</v>
      </c>
      <c r="M229" s="117" t="s">
        <v>261</v>
      </c>
      <c r="N229" s="40">
        <v>2.7784102270308701</v>
      </c>
      <c r="O229" s="40">
        <v>1.3608517481168692</v>
      </c>
    </row>
    <row r="230" spans="1:15">
      <c r="A230" s="117" t="s">
        <v>262</v>
      </c>
      <c r="B230" s="40">
        <v>4.0649189932097878</v>
      </c>
      <c r="C230" s="40">
        <v>3.9348750000000003</v>
      </c>
      <c r="D230" s="40">
        <v>3.8577993637589048</v>
      </c>
      <c r="E230" s="40">
        <v>3.7786134524895099</v>
      </c>
      <c r="M230" s="117" t="s">
        <v>262</v>
      </c>
      <c r="N230" s="40">
        <v>2.7296334551710499</v>
      </c>
      <c r="O230" s="40">
        <v>1.3352855380387381</v>
      </c>
    </row>
    <row r="231" spans="1:15">
      <c r="A231" s="117" t="s">
        <v>263</v>
      </c>
      <c r="B231" s="40">
        <v>4.1318788734843528</v>
      </c>
      <c r="C231" s="40">
        <v>4.0307500000000003</v>
      </c>
      <c r="D231" s="40">
        <v>4.0450184023842457</v>
      </c>
      <c r="E231" s="40">
        <v>3.8674525759482088</v>
      </c>
      <c r="M231" s="117" t="s">
        <v>263</v>
      </c>
      <c r="N231" s="40">
        <v>2.7734212235563001</v>
      </c>
      <c r="O231" s="40">
        <v>1.3584576499280527</v>
      </c>
    </row>
    <row r="232" spans="1:15">
      <c r="A232" s="117" t="s">
        <v>264</v>
      </c>
      <c r="B232" s="40">
        <v>4.1669826827441652</v>
      </c>
      <c r="C232" s="40">
        <v>4.0625</v>
      </c>
      <c r="D232" s="40">
        <v>3.8995000000000002</v>
      </c>
      <c r="E232" s="40">
        <v>3.9691038719099652</v>
      </c>
      <c r="M232" s="117" t="s">
        <v>264</v>
      </c>
      <c r="N232" s="40">
        <v>2.7570320859498798</v>
      </c>
      <c r="O232" s="40">
        <v>1.4099505967942854</v>
      </c>
    </row>
    <row r="233" spans="1:15">
      <c r="A233" s="117" t="s">
        <v>265</v>
      </c>
      <c r="B233" s="40">
        <v>4.1669874279537762</v>
      </c>
      <c r="C233" s="40">
        <v>4.0625</v>
      </c>
      <c r="D233" s="40">
        <v>3.8995000000000002</v>
      </c>
      <c r="E233" s="40">
        <v>3.9691038719099652</v>
      </c>
      <c r="M233" s="117" t="s">
        <v>265</v>
      </c>
      <c r="N233" s="40">
        <v>2.77010275743095</v>
      </c>
      <c r="O233" s="40">
        <v>1.3968846705228266</v>
      </c>
    </row>
    <row r="234" spans="1:15">
      <c r="A234" s="117" t="s">
        <v>266</v>
      </c>
      <c r="B234" s="40">
        <v>4.1606993820056015</v>
      </c>
      <c r="C234" s="40">
        <v>4.0307500000000003</v>
      </c>
      <c r="D234" s="40">
        <v>4.0450184023842457</v>
      </c>
      <c r="E234" s="40">
        <v>3.9691038719099652</v>
      </c>
      <c r="M234" s="117" t="s">
        <v>266</v>
      </c>
      <c r="N234" s="40">
        <v>2.81486937200697</v>
      </c>
      <c r="O234" s="40">
        <v>1.3458300099986316</v>
      </c>
    </row>
    <row r="235" spans="1:15">
      <c r="A235" s="117" t="s">
        <v>267</v>
      </c>
      <c r="B235" s="40">
        <v>4.1783542218482514</v>
      </c>
      <c r="C235" s="40">
        <v>4.0943750000000003</v>
      </c>
      <c r="D235" s="40">
        <v>3.9859585938118238</v>
      </c>
      <c r="E235" s="40">
        <v>3.9935656386559404</v>
      </c>
      <c r="M235" s="117" t="s">
        <v>267</v>
      </c>
      <c r="N235" s="40">
        <v>2.8165675160693602</v>
      </c>
      <c r="O235" s="40">
        <v>1.3617867057788908</v>
      </c>
    </row>
    <row r="236" spans="1:15">
      <c r="A236" s="117" t="s">
        <v>268</v>
      </c>
      <c r="B236" s="40">
        <v>4.1776026769725565</v>
      </c>
      <c r="C236" s="40">
        <v>4.0307500000000003</v>
      </c>
      <c r="D236" s="40">
        <v>3.9307500000000002</v>
      </c>
      <c r="E236" s="40">
        <v>3.9691038719099652</v>
      </c>
      <c r="M236" s="117" t="s">
        <v>268</v>
      </c>
      <c r="N236" s="40">
        <v>2.7891999400544001</v>
      </c>
      <c r="O236" s="40">
        <v>1.3884027369181562</v>
      </c>
    </row>
    <row r="237" spans="1:15">
      <c r="A237" s="117" t="s">
        <v>269</v>
      </c>
      <c r="B237" s="40">
        <v>4.1238187866684619</v>
      </c>
      <c r="C237" s="40">
        <v>3.9984999999999999</v>
      </c>
      <c r="D237" s="40">
        <v>4.0450184023842457</v>
      </c>
      <c r="E237" s="40">
        <v>3.9077289127981323</v>
      </c>
      <c r="M237" s="117" t="s">
        <v>269</v>
      </c>
      <c r="N237" s="40">
        <v>2.7081035827114999</v>
      </c>
      <c r="O237" s="40">
        <v>1.4157152039569625</v>
      </c>
    </row>
    <row r="238" spans="1:15">
      <c r="A238" s="117" t="s">
        <v>270</v>
      </c>
      <c r="B238" s="40">
        <v>4.1041106316567983</v>
      </c>
      <c r="C238" s="40">
        <v>3.9984999999999999</v>
      </c>
      <c r="D238" s="40">
        <v>3.9837031909148659</v>
      </c>
      <c r="E238" s="40">
        <v>3.9077289127981323</v>
      </c>
      <c r="M238" s="117" t="s">
        <v>270</v>
      </c>
      <c r="N238" s="40">
        <v>2.73044392273518</v>
      </c>
      <c r="O238" s="40">
        <v>1.3736667089216181</v>
      </c>
    </row>
    <row r="239" spans="1:15">
      <c r="A239" s="117" t="s">
        <v>271</v>
      </c>
      <c r="B239" s="40">
        <v>4.1282390424577491</v>
      </c>
      <c r="C239" s="40">
        <v>3.9667500000000002</v>
      </c>
      <c r="D239" s="40">
        <v>4.0450184023842457</v>
      </c>
      <c r="E239" s="40">
        <v>3.9691038719099652</v>
      </c>
      <c r="M239" s="117" t="s">
        <v>271</v>
      </c>
      <c r="N239" s="40">
        <v>2.7334728347211201</v>
      </c>
      <c r="O239" s="40">
        <v>1.3947662077366294</v>
      </c>
    </row>
    <row r="240" spans="1:15">
      <c r="A240" s="117" t="s">
        <v>272</v>
      </c>
      <c r="B240" s="40">
        <v>4.1495985584263186</v>
      </c>
      <c r="C240" s="40">
        <v>3.9984999999999999</v>
      </c>
      <c r="D240" s="40">
        <v>4.0450184023842457</v>
      </c>
      <c r="E240" s="40">
        <v>3.9691038719099652</v>
      </c>
      <c r="M240" s="117" t="s">
        <v>272</v>
      </c>
      <c r="N240" s="40">
        <v>2.7352021596982001</v>
      </c>
      <c r="O240" s="40">
        <v>1.4143963987281183</v>
      </c>
    </row>
    <row r="241" spans="1:15">
      <c r="A241" s="117" t="s">
        <v>273</v>
      </c>
      <c r="B241" s="40">
        <v>4.1743826382394378</v>
      </c>
      <c r="C241" s="40">
        <v>4.0307500000000003</v>
      </c>
      <c r="D241" s="40">
        <v>3.8995000000000002</v>
      </c>
      <c r="E241" s="40">
        <v>3.9935656386559404</v>
      </c>
      <c r="M241" s="117" t="s">
        <v>273</v>
      </c>
      <c r="N241" s="40">
        <v>2.7729349961757701</v>
      </c>
      <c r="O241" s="40">
        <v>1.4014476420636686</v>
      </c>
    </row>
    <row r="242" spans="1:15">
      <c r="A242" s="117" t="s">
        <v>274</v>
      </c>
      <c r="B242" s="40">
        <v>4.1459211077381877</v>
      </c>
      <c r="C242" s="40">
        <v>4.0307500000000003</v>
      </c>
      <c r="D242" s="40">
        <v>4.0450184023842457</v>
      </c>
      <c r="E242" s="40">
        <v>3.9622989719892732</v>
      </c>
      <c r="M242" s="117" t="s">
        <v>274</v>
      </c>
      <c r="N242" s="40">
        <v>2.7446763066937101</v>
      </c>
      <c r="O242" s="40">
        <v>1.4012448010444774</v>
      </c>
    </row>
    <row r="243" spans="1:15">
      <c r="A243" s="117" t="s">
        <v>275</v>
      </c>
      <c r="B243" s="40">
        <v>4.1385342073194886</v>
      </c>
      <c r="C243" s="40">
        <v>3.9984999999999999</v>
      </c>
      <c r="D243" s="40">
        <v>4.0450184023842457</v>
      </c>
      <c r="E243" s="40">
        <v>3.9622989719892732</v>
      </c>
      <c r="M243" s="117" t="s">
        <v>275</v>
      </c>
      <c r="N243" s="40">
        <v>2.7173642653119501</v>
      </c>
      <c r="O243" s="40">
        <v>1.4211699420075385</v>
      </c>
    </row>
    <row r="244" spans="1:15">
      <c r="A244" s="117" t="s">
        <v>276</v>
      </c>
      <c r="B244" s="40">
        <v>4.1385342073194886</v>
      </c>
      <c r="C244" s="40">
        <v>3.9984999999999999</v>
      </c>
      <c r="D244" s="40">
        <v>4.0450184023842457</v>
      </c>
      <c r="E244" s="40">
        <v>3.9622989719892732</v>
      </c>
      <c r="M244" s="117" t="s">
        <v>276</v>
      </c>
      <c r="N244" s="40">
        <v>2.77127537293183</v>
      </c>
      <c r="O244" s="40">
        <v>1.3672588343876586</v>
      </c>
    </row>
    <row r="245" spans="1:15">
      <c r="A245" s="117" t="s">
        <v>277</v>
      </c>
      <c r="B245" s="40">
        <v>4.1510417760607154</v>
      </c>
      <c r="C245" s="40">
        <v>3.9988749999999995</v>
      </c>
      <c r="D245" s="40">
        <v>3.8995000000000002</v>
      </c>
      <c r="E245" s="40">
        <v>3.9935656386559404</v>
      </c>
      <c r="M245" s="117" t="s">
        <v>277</v>
      </c>
      <c r="N245" s="40">
        <v>2.7558575864349502</v>
      </c>
      <c r="O245" s="40">
        <v>1.3951841896257662</v>
      </c>
    </row>
    <row r="246" spans="1:15">
      <c r="A246" s="117" t="s">
        <v>278</v>
      </c>
      <c r="B246" s="40">
        <v>4.1062481929392582</v>
      </c>
      <c r="C246" s="40">
        <v>3.9984999999999999</v>
      </c>
      <c r="D246" s="40">
        <v>4.0450184023842457</v>
      </c>
      <c r="E246" s="40">
        <v>3.9622989719892732</v>
      </c>
      <c r="M246" s="117" t="s">
        <v>278</v>
      </c>
      <c r="N246" s="40">
        <v>2.7239833090670502</v>
      </c>
      <c r="O246" s="40">
        <v>1.3822648838722078</v>
      </c>
    </row>
    <row r="247" spans="1:15">
      <c r="A247" s="117" t="s">
        <v>279</v>
      </c>
      <c r="B247" s="40">
        <v>4.1364060307916874</v>
      </c>
      <c r="C247" s="40">
        <v>3.9984999999999999</v>
      </c>
      <c r="D247" s="40">
        <v>4.0450184023842457</v>
      </c>
      <c r="E247" s="40">
        <v>3.9622989719892732</v>
      </c>
      <c r="M247" s="117" t="s">
        <v>279</v>
      </c>
      <c r="N247" s="40">
        <v>2.7958120452124602</v>
      </c>
      <c r="O247" s="40">
        <v>1.3405939855792273</v>
      </c>
    </row>
    <row r="248" spans="1:15">
      <c r="A248" s="117" t="s">
        <v>280</v>
      </c>
      <c r="B248" s="40">
        <v>4.1923855028192927</v>
      </c>
      <c r="C248" s="40">
        <v>4.0943750000000003</v>
      </c>
      <c r="D248" s="40">
        <v>4.0574342576350091</v>
      </c>
      <c r="E248" s="40">
        <v>4.09493246058208</v>
      </c>
      <c r="M248" s="117" t="s">
        <v>280</v>
      </c>
      <c r="N248" s="40">
        <v>2.8760429870518398</v>
      </c>
      <c r="O248" s="40">
        <v>1.3163425157674535</v>
      </c>
    </row>
    <row r="249" spans="1:15">
      <c r="A249" s="117" t="s">
        <v>281</v>
      </c>
      <c r="B249" s="40">
        <v>4.2270213818520324</v>
      </c>
      <c r="C249" s="40">
        <v>4.126125</v>
      </c>
      <c r="D249" s="40">
        <v>4.1096088113743745</v>
      </c>
      <c r="E249" s="40">
        <v>4.0884460824161017</v>
      </c>
      <c r="M249" s="117" t="s">
        <v>281</v>
      </c>
      <c r="N249" s="40">
        <v>2.8444181025455899</v>
      </c>
      <c r="O249" s="40">
        <v>1.382603279306442</v>
      </c>
    </row>
    <row r="250" spans="1:15">
      <c r="A250" s="117" t="s">
        <v>282</v>
      </c>
      <c r="B250" s="40">
        <v>4.1985621936498552</v>
      </c>
      <c r="C250" s="40">
        <v>4.0943750000000003</v>
      </c>
      <c r="D250" s="40">
        <v>4.0574342576350091</v>
      </c>
      <c r="E250" s="40">
        <v>4.09493246058208</v>
      </c>
      <c r="M250" s="117" t="s">
        <v>282</v>
      </c>
      <c r="N250" s="40">
        <v>2.8650468207927799</v>
      </c>
      <c r="O250" s="40">
        <v>1.333515372857075</v>
      </c>
    </row>
    <row r="251" spans="1:15">
      <c r="A251" s="117" t="s">
        <v>283</v>
      </c>
      <c r="B251" s="40">
        <v>4.2123473678777321</v>
      </c>
      <c r="C251" s="40">
        <v>4.0943750000000003</v>
      </c>
      <c r="D251" s="40">
        <v>4.1096088113743745</v>
      </c>
      <c r="E251" s="40">
        <v>3.9935656386559404</v>
      </c>
      <c r="M251" s="117" t="s">
        <v>283</v>
      </c>
      <c r="N251" s="40">
        <v>2.8982983852453801</v>
      </c>
      <c r="O251" s="40">
        <v>1.3140489826323516</v>
      </c>
    </row>
    <row r="252" spans="1:15">
      <c r="A252" s="117" t="s">
        <v>284</v>
      </c>
      <c r="B252" s="40">
        <v>4.2346419297223825</v>
      </c>
      <c r="C252" s="40">
        <v>4.126125</v>
      </c>
      <c r="D252" s="40">
        <v>4.1736875443783283</v>
      </c>
      <c r="E252" s="40">
        <v>4.0337762365220735</v>
      </c>
      <c r="M252" s="117" t="s">
        <v>284</v>
      </c>
      <c r="N252" s="40">
        <v>2.9340630334667899</v>
      </c>
      <c r="O252" s="40">
        <v>1.3005788962555929</v>
      </c>
    </row>
    <row r="253" spans="1:15">
      <c r="A253" s="117" t="s">
        <v>285</v>
      </c>
      <c r="B253" s="40">
        <v>4.285094245651238</v>
      </c>
      <c r="C253" s="40">
        <v>4.1583750000000004</v>
      </c>
      <c r="D253" s="40">
        <v>4.1150044973420323</v>
      </c>
      <c r="E253" s="40">
        <v>4.09493246058208</v>
      </c>
      <c r="M253" s="117" t="s">
        <v>285</v>
      </c>
      <c r="N253" s="40">
        <v>2.9388026853832501</v>
      </c>
      <c r="O253" s="40">
        <v>1.3462915602679879</v>
      </c>
    </row>
    <row r="254" spans="1:15">
      <c r="A254" s="117" t="s">
        <v>286</v>
      </c>
      <c r="B254" s="40">
        <v>4.329991724476109</v>
      </c>
      <c r="C254" s="40">
        <v>4.2537500000000001</v>
      </c>
      <c r="D254" s="40">
        <v>4.2993060683645599</v>
      </c>
      <c r="E254" s="40">
        <v>4.119712749082769</v>
      </c>
      <c r="M254" s="117" t="s">
        <v>286</v>
      </c>
      <c r="N254" s="40">
        <v>3.0126979954339599</v>
      </c>
      <c r="O254" s="40">
        <v>1.3172937290421491</v>
      </c>
    </row>
    <row r="255" spans="1:15">
      <c r="A255" s="117" t="s">
        <v>287</v>
      </c>
      <c r="B255" s="40">
        <v>4.3562584611930539</v>
      </c>
      <c r="C255" s="40">
        <v>4.2537500000000001</v>
      </c>
      <c r="D255" s="40">
        <v>4.2993060683645599</v>
      </c>
      <c r="E255" s="40">
        <v>4.1598579134474827</v>
      </c>
      <c r="M255" s="117" t="s">
        <v>287</v>
      </c>
      <c r="N255" s="40">
        <v>3.0394713990433302</v>
      </c>
      <c r="O255" s="40">
        <v>1.316787062149724</v>
      </c>
    </row>
    <row r="256" spans="1:15">
      <c r="A256" s="117" t="s">
        <v>288</v>
      </c>
      <c r="B256" s="40">
        <v>4.3751039547622605</v>
      </c>
      <c r="C256" s="40">
        <v>4.3496249999999996</v>
      </c>
      <c r="D256" s="40">
        <v>4.2782551582169841</v>
      </c>
      <c r="E256" s="40">
        <v>4.1598579134474827</v>
      </c>
      <c r="M256" s="117" t="s">
        <v>288</v>
      </c>
      <c r="N256" s="40">
        <v>3.0240881034818901</v>
      </c>
      <c r="O256" s="40">
        <v>1.3510158512803705</v>
      </c>
    </row>
    <row r="257" spans="1:15">
      <c r="A257" s="117" t="s">
        <v>289</v>
      </c>
      <c r="B257" s="40">
        <v>4.3533627128040342</v>
      </c>
      <c r="C257" s="40">
        <v>4.3496249999999996</v>
      </c>
      <c r="D257" s="40">
        <v>4.2993060683645599</v>
      </c>
      <c r="E257" s="40">
        <v>4.1598579134474827</v>
      </c>
      <c r="M257" s="117" t="s">
        <v>289</v>
      </c>
      <c r="N257" s="40">
        <v>3.0415503408748101</v>
      </c>
      <c r="O257" s="40">
        <v>1.3118123719292241</v>
      </c>
    </row>
    <row r="258" spans="1:15">
      <c r="A258" s="117" t="s">
        <v>290</v>
      </c>
      <c r="B258" s="40">
        <v>4.3441636403463884</v>
      </c>
      <c r="C258" s="40">
        <v>4.2537500000000001</v>
      </c>
      <c r="D258" s="40">
        <v>4.235466264314165</v>
      </c>
      <c r="E258" s="40">
        <v>4.0337762365220735</v>
      </c>
      <c r="M258" s="117" t="s">
        <v>290</v>
      </c>
      <c r="N258" s="40">
        <v>3.0032203766891601</v>
      </c>
      <c r="O258" s="40">
        <v>1.3409432636572283</v>
      </c>
    </row>
    <row r="259" spans="1:15">
      <c r="A259" s="117" t="s">
        <v>291</v>
      </c>
      <c r="B259" s="40">
        <v>4.3055819043234527</v>
      </c>
      <c r="C259" s="40">
        <v>4.2220000000000004</v>
      </c>
      <c r="D259" s="40">
        <v>4.1834441354607952</v>
      </c>
      <c r="E259" s="40">
        <v>3.9935656386559404</v>
      </c>
      <c r="M259" s="117" t="s">
        <v>291</v>
      </c>
      <c r="N259" s="40">
        <v>2.9962349476624799</v>
      </c>
      <c r="O259" s="40">
        <v>1.3093469566609726</v>
      </c>
    </row>
    <row r="260" spans="1:15">
      <c r="A260" s="117" t="s">
        <v>292</v>
      </c>
      <c r="B260" s="40">
        <v>4.3488950768631245</v>
      </c>
      <c r="C260" s="40">
        <v>4.2537500000000001</v>
      </c>
      <c r="D260" s="40">
        <v>4.235466264314165</v>
      </c>
      <c r="E260" s="40">
        <v>4.0337762365220735</v>
      </c>
      <c r="M260" s="117" t="s">
        <v>292</v>
      </c>
      <c r="N260" s="40">
        <v>2.9829487992520902</v>
      </c>
      <c r="O260" s="40">
        <v>1.3659462776110343</v>
      </c>
    </row>
    <row r="261" spans="1:15">
      <c r="A261" s="117" t="s">
        <v>293</v>
      </c>
      <c r="B261" s="40">
        <v>4.3213983472497244</v>
      </c>
      <c r="C261" s="40">
        <v>4.2537500000000001</v>
      </c>
      <c r="D261" s="40">
        <v>4.1834441354607952</v>
      </c>
      <c r="E261" s="40">
        <v>4.0337762365220735</v>
      </c>
      <c r="M261" s="117" t="s">
        <v>293</v>
      </c>
      <c r="N261" s="40">
        <v>2.97922271147955</v>
      </c>
      <c r="O261" s="40">
        <v>1.3421756357701742</v>
      </c>
    </row>
    <row r="262" spans="1:15">
      <c r="A262" s="117" t="s">
        <v>294</v>
      </c>
      <c r="B262" s="40">
        <v>4.2843052534227679</v>
      </c>
      <c r="C262" s="40">
        <v>4.2220000000000004</v>
      </c>
      <c r="D262" s="40">
        <v>4.1521941354607952</v>
      </c>
      <c r="E262" s="40">
        <v>3.9622989719892732</v>
      </c>
      <c r="M262" s="117" t="s">
        <v>294</v>
      </c>
      <c r="N262" s="40">
        <v>2.9567440380932299</v>
      </c>
      <c r="O262" s="40">
        <v>1.3275612153295382</v>
      </c>
    </row>
    <row r="263" spans="1:15">
      <c r="A263" s="117" t="s">
        <v>295</v>
      </c>
      <c r="B263" s="40">
        <v>4.3239170564645804</v>
      </c>
      <c r="C263" s="40">
        <v>4.2537500000000001</v>
      </c>
      <c r="D263" s="40">
        <v>4.1521941354607952</v>
      </c>
      <c r="E263" s="40">
        <v>3.9622989719892732</v>
      </c>
      <c r="M263" s="117" t="s">
        <v>295</v>
      </c>
      <c r="N263" s="40">
        <v>2.9778815410804498</v>
      </c>
      <c r="O263" s="40">
        <v>1.3460355153841306</v>
      </c>
    </row>
    <row r="264" spans="1:15">
      <c r="A264" s="117" t="s">
        <v>236</v>
      </c>
      <c r="B264" s="40">
        <v>4.3281334460035037</v>
      </c>
      <c r="C264" s="40">
        <v>4.3177500000000002</v>
      </c>
      <c r="D264" s="40">
        <v>4.1946941354607956</v>
      </c>
      <c r="E264" s="40">
        <v>3.965632305322607</v>
      </c>
      <c r="M264" s="117" t="s">
        <v>236</v>
      </c>
      <c r="N264" s="40">
        <v>2.9783756626827098</v>
      </c>
      <c r="O264" s="40">
        <v>1.3497577833207932</v>
      </c>
    </row>
    <row r="265" spans="1:15">
      <c r="A265" s="117" t="s">
        <v>296</v>
      </c>
      <c r="B265" s="40">
        <v>4.2851738715603451</v>
      </c>
      <c r="C265" s="40">
        <v>4.3177500000000002</v>
      </c>
      <c r="D265" s="40">
        <v>4.1634441354607956</v>
      </c>
      <c r="E265" s="40">
        <v>3.965632305322607</v>
      </c>
      <c r="M265" s="117" t="s">
        <v>296</v>
      </c>
      <c r="N265" s="40">
        <v>2.9726150604600501</v>
      </c>
      <c r="O265" s="40">
        <v>1.312558811100295</v>
      </c>
    </row>
    <row r="266" spans="1:15">
      <c r="A266" s="117" t="s">
        <v>297</v>
      </c>
      <c r="B266" s="40">
        <v>4.3028322612441263</v>
      </c>
      <c r="C266" s="40">
        <v>4.3177500000000002</v>
      </c>
      <c r="D266" s="40">
        <v>4.1634441354607956</v>
      </c>
      <c r="E266" s="40">
        <v>3.965632305322607</v>
      </c>
      <c r="M266" s="117" t="s">
        <v>297</v>
      </c>
      <c r="N266" s="40">
        <v>2.9699990408330801</v>
      </c>
      <c r="O266" s="40">
        <v>1.3328332204110456</v>
      </c>
    </row>
    <row r="267" spans="1:15">
      <c r="A267" s="117" t="s">
        <v>298</v>
      </c>
      <c r="B267" s="40">
        <v>4.3417083972590067</v>
      </c>
      <c r="C267" s="40">
        <v>4.2537500000000001</v>
      </c>
      <c r="D267" s="40">
        <v>4.1634441354607956</v>
      </c>
      <c r="E267" s="40">
        <v>3.965632305322607</v>
      </c>
      <c r="M267" s="117" t="s">
        <v>298</v>
      </c>
      <c r="N267" s="40">
        <v>2.9627998266716902</v>
      </c>
      <c r="O267" s="40">
        <v>1.3789085705873161</v>
      </c>
    </row>
    <row r="268" spans="1:15">
      <c r="A268" s="117" t="s">
        <v>299</v>
      </c>
      <c r="B268" s="40">
        <v>4.3344780097436102</v>
      </c>
      <c r="C268" s="40">
        <v>4.2220000000000004</v>
      </c>
      <c r="D268" s="40">
        <v>4.1634441354607956</v>
      </c>
      <c r="E268" s="40">
        <v>3.965632305322607</v>
      </c>
      <c r="M268" s="117" t="s">
        <v>299</v>
      </c>
      <c r="N268" s="40">
        <v>2.9474672658602201</v>
      </c>
      <c r="O268" s="40">
        <v>1.3870107438833901</v>
      </c>
    </row>
    <row r="269" spans="1:15">
      <c r="A269" s="117" t="s">
        <v>300</v>
      </c>
      <c r="B269" s="40">
        <v>4.2667796172403714</v>
      </c>
      <c r="C269" s="40">
        <v>4.1583750000000004</v>
      </c>
      <c r="D269" s="40">
        <v>4.1208588113743749</v>
      </c>
      <c r="E269" s="40">
        <v>3.9110622461314657</v>
      </c>
      <c r="M269" s="117" t="s">
        <v>300</v>
      </c>
      <c r="N269" s="40">
        <v>2.8947298491443201</v>
      </c>
      <c r="O269" s="40">
        <v>1.3720497680960513</v>
      </c>
    </row>
    <row r="270" spans="1:15">
      <c r="A270" s="117" t="s">
        <v>301</v>
      </c>
      <c r="B270" s="40">
        <v>4.2677991674350624</v>
      </c>
      <c r="C270" s="40">
        <v>4.1901250000000001</v>
      </c>
      <c r="D270" s="40">
        <v>4.1849375443783279</v>
      </c>
      <c r="E270" s="40">
        <v>3.9110622461314657</v>
      </c>
      <c r="M270" s="117" t="s">
        <v>301</v>
      </c>
      <c r="N270" s="40">
        <v>2.9165593470462001</v>
      </c>
      <c r="O270" s="40">
        <v>1.3512398203888618</v>
      </c>
    </row>
    <row r="271" spans="1:15">
      <c r="A271" s="117" t="s">
        <v>302</v>
      </c>
      <c r="B271" s="40">
        <v>4.38017479925937</v>
      </c>
      <c r="C271" s="40">
        <v>4.3813750000000002</v>
      </c>
      <c r="D271" s="40">
        <v>4.3105560683645603</v>
      </c>
      <c r="E271" s="40">
        <v>4.0371095698554074</v>
      </c>
      <c r="M271" s="117" t="s">
        <v>302</v>
      </c>
      <c r="N271" s="40">
        <v>3.0544306669029599</v>
      </c>
      <c r="O271" s="40">
        <v>1.3257441323564103</v>
      </c>
    </row>
    <row r="272" spans="1:15">
      <c r="A272" s="117" t="s">
        <v>303</v>
      </c>
      <c r="B272" s="40">
        <v>4.3489654663193029</v>
      </c>
      <c r="C272" s="40">
        <v>4.3177500000000002</v>
      </c>
      <c r="D272" s="40">
        <v>4.2467162643141645</v>
      </c>
      <c r="E272" s="40">
        <v>3.9724372052432981</v>
      </c>
      <c r="M272" s="117" t="s">
        <v>303</v>
      </c>
      <c r="N272" s="40">
        <v>2.9966381834712199</v>
      </c>
      <c r="O272" s="40">
        <v>1.3523272828480835</v>
      </c>
    </row>
    <row r="273" spans="1:15">
      <c r="A273" s="117" t="s">
        <v>304</v>
      </c>
      <c r="B273" s="40">
        <v>4.3599853464153728</v>
      </c>
      <c r="C273" s="40">
        <v>4.1901250000000001</v>
      </c>
      <c r="D273" s="40">
        <v>4.1321941354607956</v>
      </c>
      <c r="E273" s="40">
        <v>3.9724372052432981</v>
      </c>
      <c r="M273" s="117" t="s">
        <v>304</v>
      </c>
      <c r="N273" s="40">
        <v>2.9498986890501602</v>
      </c>
      <c r="O273" s="40">
        <v>1.4100866573652131</v>
      </c>
    </row>
    <row r="274" spans="1:15">
      <c r="A274" s="117" t="s">
        <v>305</v>
      </c>
      <c r="B274" s="40">
        <v>4.3056741522365538</v>
      </c>
      <c r="C274" s="40">
        <v>4.1583750000000004</v>
      </c>
      <c r="D274" s="40">
        <v>4.1321941354607956</v>
      </c>
      <c r="E274" s="40">
        <v>3.9724372052432981</v>
      </c>
      <c r="M274" s="117" t="s">
        <v>305</v>
      </c>
      <c r="N274" s="40">
        <v>2.97492729888162</v>
      </c>
      <c r="O274" s="40">
        <v>1.3307468533549343</v>
      </c>
    </row>
    <row r="275" spans="1:15">
      <c r="A275" s="117" t="s">
        <v>306</v>
      </c>
      <c r="B275" s="40">
        <v>4.3406635094447017</v>
      </c>
      <c r="C275" s="40">
        <v>4.1901250000000001</v>
      </c>
      <c r="D275" s="40">
        <v>4.1321941354607956</v>
      </c>
      <c r="E275" s="40">
        <v>3.965632305322607</v>
      </c>
      <c r="M275" s="117" t="s">
        <v>306</v>
      </c>
      <c r="N275" s="40">
        <v>2.9584562580557998</v>
      </c>
      <c r="O275" s="40">
        <v>1.3822072513889021</v>
      </c>
    </row>
    <row r="276" spans="1:15">
      <c r="A276" s="117" t="s">
        <v>307</v>
      </c>
      <c r="B276" s="40">
        <v>4.3010601394721419</v>
      </c>
      <c r="C276" s="40">
        <v>4.1901250000000001</v>
      </c>
      <c r="D276" s="40">
        <v>4.1634441354607956</v>
      </c>
      <c r="E276" s="40">
        <v>3.965632305322607</v>
      </c>
      <c r="M276" s="117" t="s">
        <v>307</v>
      </c>
      <c r="N276" s="40">
        <v>2.9975278287112799</v>
      </c>
      <c r="O276" s="40">
        <v>1.3035323107608618</v>
      </c>
    </row>
    <row r="277" spans="1:15">
      <c r="A277" s="117" t="s">
        <v>308</v>
      </c>
      <c r="B277" s="40">
        <v>4.2924844985640558</v>
      </c>
      <c r="C277" s="40">
        <v>4.1901250000000001</v>
      </c>
      <c r="D277" s="40">
        <v>4.1634441354607956</v>
      </c>
      <c r="E277" s="40">
        <v>3.9724372052432981</v>
      </c>
      <c r="M277" s="117" t="s">
        <v>308</v>
      </c>
      <c r="N277" s="40">
        <v>2.93038775773327</v>
      </c>
      <c r="O277" s="40">
        <v>1.3620967408307858</v>
      </c>
    </row>
    <row r="278" spans="1:15">
      <c r="A278" s="117" t="s">
        <v>309</v>
      </c>
      <c r="B278" s="40">
        <v>4.3294657649727935</v>
      </c>
      <c r="C278" s="40">
        <v>4.2220000000000004</v>
      </c>
      <c r="D278" s="40">
        <v>4.1321941354607956</v>
      </c>
      <c r="E278" s="40">
        <v>3.9724372052432981</v>
      </c>
      <c r="M278" s="117" t="s">
        <v>309</v>
      </c>
      <c r="N278" s="40">
        <v>2.9956917661864102</v>
      </c>
      <c r="O278" s="40">
        <v>1.333773998786383</v>
      </c>
    </row>
    <row r="279" spans="1:15">
      <c r="A279" s="117" t="s">
        <v>310</v>
      </c>
      <c r="B279" s="40">
        <v>4.422578091400803</v>
      </c>
      <c r="C279" s="40">
        <v>4.3496249999999996</v>
      </c>
      <c r="D279" s="40">
        <v>4.3105560683645603</v>
      </c>
      <c r="E279" s="40">
        <v>4.0371095698554074</v>
      </c>
      <c r="M279" s="117" t="s">
        <v>310</v>
      </c>
      <c r="N279" s="40">
        <v>3.0277544715368299</v>
      </c>
      <c r="O279" s="40">
        <v>1.3948236198639736</v>
      </c>
    </row>
    <row r="280" spans="1:15">
      <c r="A280" s="117" t="s">
        <v>311</v>
      </c>
      <c r="B280" s="40">
        <v>4.4110563488184518</v>
      </c>
      <c r="C280" s="40">
        <v>4.3496249999999996</v>
      </c>
      <c r="D280" s="40">
        <v>4.3105560683645603</v>
      </c>
      <c r="E280" s="40">
        <v>4.0371095698554074</v>
      </c>
      <c r="M280" s="117" t="s">
        <v>311</v>
      </c>
      <c r="N280" s="40">
        <v>3.0337070171743399</v>
      </c>
      <c r="O280" s="40">
        <v>1.3773493316441123</v>
      </c>
    </row>
    <row r="281" spans="1:15">
      <c r="A281" s="117" t="s">
        <v>235</v>
      </c>
      <c r="B281" s="40">
        <v>4.3449709393154823</v>
      </c>
      <c r="C281" s="40">
        <v>4.2537500000000001</v>
      </c>
      <c r="D281" s="40">
        <v>4.2467162643141645</v>
      </c>
      <c r="E281" s="40">
        <v>4.0371095698554074</v>
      </c>
      <c r="M281" s="117" t="s">
        <v>235</v>
      </c>
      <c r="N281" s="40">
        <v>2.9938542795846499</v>
      </c>
      <c r="O281" s="40">
        <v>1.3511166597308324</v>
      </c>
    </row>
    <row r="282" spans="1:15">
      <c r="A282" s="117" t="s">
        <v>312</v>
      </c>
      <c r="B282" s="40">
        <v>4.3272893529022571</v>
      </c>
      <c r="C282" s="40">
        <v>4.2220000000000004</v>
      </c>
      <c r="D282" s="40">
        <v>4.1634441354607956</v>
      </c>
      <c r="E282" s="40">
        <v>3.965632305322607</v>
      </c>
      <c r="M282" s="117" t="s">
        <v>312</v>
      </c>
      <c r="N282" s="40">
        <v>2.9654454819851401</v>
      </c>
      <c r="O282" s="40">
        <v>1.3618438709171168</v>
      </c>
    </row>
    <row r="283" spans="1:15">
      <c r="A283" s="117" t="s">
        <v>313</v>
      </c>
      <c r="B283" s="40">
        <v>4.3091130026065949</v>
      </c>
      <c r="C283" s="40">
        <v>4.1901250000000001</v>
      </c>
      <c r="D283" s="40">
        <v>4.1634441354607956</v>
      </c>
      <c r="E283" s="40">
        <v>3.965632305322607</v>
      </c>
      <c r="M283" s="117" t="s">
        <v>313</v>
      </c>
      <c r="N283" s="40">
        <v>2.9731174036640602</v>
      </c>
      <c r="O283" s="40">
        <v>1.3359955989425345</v>
      </c>
    </row>
    <row r="284" spans="1:15">
      <c r="A284" s="117" t="s">
        <v>314</v>
      </c>
      <c r="B284" s="40">
        <v>4.3432456541281885</v>
      </c>
      <c r="C284" s="40">
        <v>4.2220000000000004</v>
      </c>
      <c r="D284" s="40">
        <v>4.1946941354607956</v>
      </c>
      <c r="E284" s="40">
        <v>3.965632305322607</v>
      </c>
      <c r="M284" s="117" t="s">
        <v>314</v>
      </c>
      <c r="N284" s="40">
        <v>3.0177597197552002</v>
      </c>
      <c r="O284" s="40">
        <v>1.3254859343729883</v>
      </c>
    </row>
    <row r="285" spans="1:15">
      <c r="A285" s="117" t="s">
        <v>234</v>
      </c>
      <c r="B285" s="40">
        <v>4.4059671900560815</v>
      </c>
      <c r="C285" s="40">
        <v>4.3496249999999996</v>
      </c>
      <c r="D285" s="40">
        <v>4.2582551582169845</v>
      </c>
      <c r="E285" s="40">
        <v>4.0371095698554074</v>
      </c>
      <c r="M285" s="117" t="s">
        <v>234</v>
      </c>
      <c r="N285" s="40">
        <v>3.0426080275796101</v>
      </c>
      <c r="O285" s="40">
        <v>1.3633591624764714</v>
      </c>
    </row>
    <row r="286" spans="1:15">
      <c r="A286" s="117" t="s">
        <v>237</v>
      </c>
      <c r="B286" s="40">
        <v>4.4133668437379638</v>
      </c>
      <c r="C286" s="40">
        <v>4.3177500000000002</v>
      </c>
      <c r="D286" s="40">
        <v>4.3105560683645603</v>
      </c>
      <c r="E286" s="40">
        <v>4.0371095698554074</v>
      </c>
      <c r="M286" s="117" t="s">
        <v>237</v>
      </c>
      <c r="N286" s="40">
        <v>3.0275766664066102</v>
      </c>
      <c r="O286" s="40">
        <v>1.3857901773313539</v>
      </c>
    </row>
    <row r="287" spans="1:15">
      <c r="A287" s="117" t="s">
        <v>319</v>
      </c>
      <c r="B287" s="40">
        <v>4.4009593596309298</v>
      </c>
      <c r="C287" s="40">
        <v>4.3496249999999996</v>
      </c>
      <c r="D287" s="40">
        <v>4.3105560683645603</v>
      </c>
      <c r="E287" s="40">
        <v>3.9968989719892734</v>
      </c>
      <c r="M287" s="117" t="s">
        <v>319</v>
      </c>
      <c r="N287" s="40">
        <v>3.0029644484734299</v>
      </c>
      <c r="O287" s="40">
        <v>1.3979949111574996</v>
      </c>
    </row>
    <row r="288" spans="1:15">
      <c r="A288" s="117" t="s">
        <v>320</v>
      </c>
      <c r="B288" s="40">
        <v>4.3965952938816981</v>
      </c>
      <c r="C288" s="40">
        <v>4.3177500000000002</v>
      </c>
      <c r="D288" s="40">
        <v>4.3105560683645603</v>
      </c>
      <c r="E288" s="40">
        <v>3.9968989719892734</v>
      </c>
      <c r="M288" s="117" t="s">
        <v>320</v>
      </c>
      <c r="N288" s="40">
        <v>3.05738829293283</v>
      </c>
      <c r="O288" s="40">
        <v>1.3392070009488681</v>
      </c>
    </row>
    <row r="289" spans="1:15">
      <c r="A289" s="117" t="s">
        <v>321</v>
      </c>
      <c r="B289" s="40">
        <v>4.380525451363888</v>
      </c>
      <c r="C289" s="40">
        <v>4.3177500000000002</v>
      </c>
      <c r="D289" s="40">
        <v>4.2467162643141645</v>
      </c>
      <c r="E289" s="40">
        <v>4.0371095698554074</v>
      </c>
      <c r="M289" s="117" t="s">
        <v>321</v>
      </c>
      <c r="N289" s="40">
        <v>3.0053894082817201</v>
      </c>
      <c r="O289" s="40">
        <v>1.375136043082168</v>
      </c>
    </row>
    <row r="290" spans="1:15">
      <c r="A290" s="117" t="s">
        <v>322</v>
      </c>
      <c r="B290" s="40">
        <v>4.3210059259788007</v>
      </c>
      <c r="C290" s="40">
        <v>4.2220000000000004</v>
      </c>
      <c r="D290" s="40">
        <v>4.1634441354607956</v>
      </c>
      <c r="E290" s="40">
        <v>3.9968989719892734</v>
      </c>
      <c r="M290" s="117" t="s">
        <v>322</v>
      </c>
      <c r="N290" s="40">
        <v>2.993452685197</v>
      </c>
      <c r="O290" s="40">
        <v>1.3275532407818007</v>
      </c>
    </row>
    <row r="291" spans="1:15">
      <c r="A291" s="117" t="s">
        <v>323</v>
      </c>
      <c r="B291" s="40">
        <v>4.3455378353786811</v>
      </c>
      <c r="C291" s="40">
        <v>4.2220000000000004</v>
      </c>
      <c r="D291" s="40">
        <v>4.1946941354607956</v>
      </c>
      <c r="E291" s="40">
        <v>3.9968989719892734</v>
      </c>
      <c r="M291" s="117" t="s">
        <v>323</v>
      </c>
      <c r="N291" s="40">
        <v>2.99513727920968</v>
      </c>
      <c r="O291" s="40">
        <v>1.3504005561690013</v>
      </c>
    </row>
    <row r="292" spans="1:15">
      <c r="A292" s="117" t="s">
        <v>324</v>
      </c>
      <c r="B292" s="40">
        <v>4.3041739955411167</v>
      </c>
      <c r="C292" s="40">
        <v>4.2537500000000001</v>
      </c>
      <c r="D292" s="40">
        <v>4.1634441354607956</v>
      </c>
      <c r="E292" s="40">
        <v>3.965632305322607</v>
      </c>
      <c r="M292" s="117" t="s">
        <v>324</v>
      </c>
      <c r="N292" s="40">
        <v>2.9334005201837599</v>
      </c>
      <c r="O292" s="40">
        <v>1.3707734753573573</v>
      </c>
    </row>
    <row r="293" spans="1:15">
      <c r="A293" s="117" t="s">
        <v>325</v>
      </c>
      <c r="B293" s="40">
        <v>4.3173267663028305</v>
      </c>
      <c r="C293" s="40">
        <v>4.1901250000000001</v>
      </c>
      <c r="D293" s="40">
        <v>4.0741991407434552</v>
      </c>
      <c r="E293" s="40">
        <v>3.9110622461314657</v>
      </c>
      <c r="M293" s="117" t="s">
        <v>325</v>
      </c>
      <c r="N293" s="40">
        <v>2.9119506998989602</v>
      </c>
      <c r="O293" s="40">
        <v>1.4053760664038701</v>
      </c>
    </row>
    <row r="294" spans="1:15">
      <c r="A294" s="117" t="s">
        <v>326</v>
      </c>
      <c r="B294" s="40">
        <v>4.3217185985309348</v>
      </c>
      <c r="C294" s="40">
        <v>4.1583750000000004</v>
      </c>
      <c r="D294" s="40">
        <v>4.0741991407434552</v>
      </c>
      <c r="E294" s="40">
        <v>3.8395192426148759</v>
      </c>
      <c r="M294" s="117" t="s">
        <v>326</v>
      </c>
      <c r="N294" s="40">
        <v>2.88545680781831</v>
      </c>
      <c r="O294" s="40">
        <v>1.4362617907126243</v>
      </c>
    </row>
    <row r="295" spans="1:15">
      <c r="A295" s="117" t="s">
        <v>327</v>
      </c>
      <c r="B295" s="40">
        <v>4.3099775325285856</v>
      </c>
      <c r="C295" s="40">
        <v>4.1901250000000001</v>
      </c>
      <c r="D295" s="40">
        <v>4.0741991407434552</v>
      </c>
      <c r="E295" s="40">
        <v>3.8395192426148759</v>
      </c>
      <c r="M295" s="117" t="s">
        <v>327</v>
      </c>
      <c r="N295" s="40">
        <v>2.8978342309890999</v>
      </c>
      <c r="O295" s="40">
        <v>1.412143301539486</v>
      </c>
    </row>
    <row r="296" spans="1:15">
      <c r="A296" s="117" t="s">
        <v>328</v>
      </c>
      <c r="B296" s="40">
        <v>4.232728245736336</v>
      </c>
      <c r="C296" s="40">
        <v>4.126125</v>
      </c>
      <c r="D296" s="40">
        <v>4.1208588113743749</v>
      </c>
      <c r="E296" s="40">
        <v>3.7819467858228437</v>
      </c>
      <c r="M296" s="117" t="s">
        <v>328</v>
      </c>
      <c r="N296" s="40">
        <v>2.8424738889513801</v>
      </c>
      <c r="O296" s="40">
        <v>1.3902543567849559</v>
      </c>
    </row>
    <row r="297" spans="1:15">
      <c r="A297" s="117" t="s">
        <v>329</v>
      </c>
      <c r="B297" s="40">
        <v>4.2561914116256432</v>
      </c>
      <c r="C297" s="40">
        <v>4.1901250000000001</v>
      </c>
      <c r="D297" s="40">
        <v>4.1849375443783279</v>
      </c>
      <c r="E297" s="40">
        <v>3.8465772748965774</v>
      </c>
      <c r="M297" s="117" t="s">
        <v>329</v>
      </c>
      <c r="N297" s="40">
        <v>2.8127941632470699</v>
      </c>
      <c r="O297" s="40">
        <v>1.4433972483785733</v>
      </c>
    </row>
    <row r="298" spans="1:15">
      <c r="A298" s="117" t="s">
        <v>330</v>
      </c>
      <c r="B298" s="40">
        <v>4.2423825574580913</v>
      </c>
      <c r="C298" s="40">
        <v>4.1901250000000001</v>
      </c>
      <c r="D298" s="40">
        <v>4.1208588113743749</v>
      </c>
      <c r="E298" s="40">
        <v>3.7819467858228437</v>
      </c>
      <c r="M298" s="117" t="s">
        <v>330</v>
      </c>
      <c r="N298" s="40">
        <v>2.82567876803239</v>
      </c>
      <c r="O298" s="40">
        <v>1.4167037894257015</v>
      </c>
    </row>
    <row r="299" spans="1:15">
      <c r="A299" s="117" t="s">
        <v>331</v>
      </c>
      <c r="B299" s="40">
        <v>4.1692908446472829</v>
      </c>
      <c r="C299" s="40">
        <v>4.0943750000000003</v>
      </c>
      <c r="D299" s="40">
        <v>4.0061842576350095</v>
      </c>
      <c r="E299" s="40">
        <v>3.7133735457080617</v>
      </c>
      <c r="M299" s="117" t="s">
        <v>331</v>
      </c>
      <c r="N299" s="40">
        <v>2.78255799649583</v>
      </c>
      <c r="O299" s="40">
        <v>1.3867328481514531</v>
      </c>
    </row>
    <row r="300" spans="1:15">
      <c r="A300" s="117" t="s">
        <v>332</v>
      </c>
      <c r="B300" s="40">
        <v>4.1873076907920197</v>
      </c>
      <c r="C300" s="40">
        <v>4.1583750000000004</v>
      </c>
      <c r="D300" s="40">
        <v>4.0686842576350095</v>
      </c>
      <c r="E300" s="40">
        <v>3.744640212374728</v>
      </c>
      <c r="M300" s="117" t="s">
        <v>332</v>
      </c>
      <c r="N300" s="40">
        <v>2.78837847860318</v>
      </c>
      <c r="O300" s="40">
        <v>1.3989292121888393</v>
      </c>
    </row>
    <row r="301" spans="1:15">
      <c r="A301" s="117" t="s">
        <v>333</v>
      </c>
      <c r="B301" s="40">
        <v>4.1931919743411967</v>
      </c>
      <c r="C301" s="40">
        <v>4.0943750000000003</v>
      </c>
      <c r="D301" s="40">
        <v>4.0061842576350095</v>
      </c>
      <c r="E301" s="40">
        <v>3.7133735457080617</v>
      </c>
      <c r="M301" s="117" t="s">
        <v>333</v>
      </c>
      <c r="N301" s="40">
        <v>2.7399955828051801</v>
      </c>
      <c r="O301" s="40">
        <v>1.4531963915360162</v>
      </c>
    </row>
    <row r="302" spans="1:15">
      <c r="A302" s="117" t="s">
        <v>334</v>
      </c>
      <c r="B302" s="40">
        <v>4.1773392517801362</v>
      </c>
      <c r="C302" s="40">
        <v>4.126125</v>
      </c>
      <c r="D302" s="40">
        <v>4.0061842576350095</v>
      </c>
      <c r="E302" s="40">
        <v>3.7133735457080617</v>
      </c>
      <c r="M302" s="117" t="s">
        <v>334</v>
      </c>
      <c r="N302" s="40">
        <v>2.7634717888750999</v>
      </c>
      <c r="O302" s="40">
        <v>1.4138674629050358</v>
      </c>
    </row>
    <row r="303" spans="1:15">
      <c r="A303" s="117" t="s">
        <v>335</v>
      </c>
      <c r="B303" s="40">
        <v>4.1912504516498013</v>
      </c>
      <c r="C303" s="40">
        <v>4.1901250000000001</v>
      </c>
      <c r="D303" s="40">
        <v>4.0374342576350095</v>
      </c>
      <c r="E303" s="40">
        <v>3.7819467858228437</v>
      </c>
      <c r="M303" s="117" t="s">
        <v>335</v>
      </c>
      <c r="N303" s="40">
        <v>2.7884908118762199</v>
      </c>
      <c r="O303" s="40">
        <v>1.4027596397735813</v>
      </c>
    </row>
    <row r="304" spans="1:15">
      <c r="A304" s="117" t="s">
        <v>336</v>
      </c>
      <c r="B304" s="40">
        <v>4.2156916471790833</v>
      </c>
      <c r="C304" s="40">
        <v>4.1583750000000004</v>
      </c>
      <c r="D304" s="40">
        <v>4.0061842576350095</v>
      </c>
      <c r="E304" s="40">
        <v>3.744640212374728</v>
      </c>
      <c r="M304" s="117" t="s">
        <v>336</v>
      </c>
      <c r="N304" s="40">
        <v>2.7702129413051901</v>
      </c>
      <c r="O304" s="40">
        <v>1.4454787058738934</v>
      </c>
    </row>
    <row r="305" spans="1:15">
      <c r="A305" s="117" t="s">
        <v>316</v>
      </c>
      <c r="B305" s="40">
        <v>4.2019720060395578</v>
      </c>
      <c r="C305" s="40">
        <v>4.126125</v>
      </c>
      <c r="D305" s="40">
        <v>4.0061842576350095</v>
      </c>
      <c r="E305" s="40">
        <v>3.744640212374728</v>
      </c>
      <c r="M305" s="117" t="s">
        <v>316</v>
      </c>
      <c r="N305" s="40">
        <v>2.7316832790579499</v>
      </c>
      <c r="O305" s="40">
        <v>1.4702887269816074</v>
      </c>
    </row>
    <row r="306" spans="1:15">
      <c r="A306" s="117" t="s">
        <v>337</v>
      </c>
      <c r="B306" s="40">
        <v>4.2019720060395578</v>
      </c>
      <c r="C306" s="40">
        <v>4.1583750000000004</v>
      </c>
      <c r="D306" s="40">
        <v>4.0061842576350095</v>
      </c>
      <c r="E306" s="40">
        <v>3.7819467858228437</v>
      </c>
      <c r="M306" s="117" t="s">
        <v>337</v>
      </c>
      <c r="N306" s="40">
        <v>2.73574020589367</v>
      </c>
      <c r="O306" s="40">
        <v>1.4662318001458878</v>
      </c>
    </row>
    <row r="307" spans="1:15">
      <c r="A307" s="117" t="s">
        <v>338</v>
      </c>
      <c r="B307" s="40">
        <v>4.1471971909725784</v>
      </c>
      <c r="C307" s="40">
        <v>4.126125</v>
      </c>
      <c r="D307" s="40">
        <v>4.0562684023842452</v>
      </c>
      <c r="E307" s="40">
        <v>3.744640212374728</v>
      </c>
      <c r="M307" s="117" t="s">
        <v>338</v>
      </c>
      <c r="N307" s="40">
        <v>2.70685241961761</v>
      </c>
      <c r="O307" s="40">
        <v>1.4403447713549691</v>
      </c>
    </row>
    <row r="308" spans="1:15">
      <c r="A308" s="117" t="s">
        <v>339</v>
      </c>
      <c r="B308" s="40">
        <v>4.0969334301691225</v>
      </c>
      <c r="C308" s="40">
        <v>4.0625</v>
      </c>
      <c r="D308" s="40">
        <v>3.942625501411162</v>
      </c>
      <c r="E308" s="40">
        <v>3.7133735457080617</v>
      </c>
      <c r="M308" s="117" t="s">
        <v>339</v>
      </c>
      <c r="N308" s="40">
        <v>2.6475345232254401</v>
      </c>
      <c r="O308" s="40">
        <v>1.4493989069436828</v>
      </c>
    </row>
    <row r="309" spans="1:15">
      <c r="A309" s="117" t="s">
        <v>315</v>
      </c>
      <c r="B309" s="40">
        <v>4.1072795194525717</v>
      </c>
      <c r="C309" s="40">
        <v>4.0943750000000003</v>
      </c>
      <c r="D309" s="40">
        <v>3.9949531909148654</v>
      </c>
      <c r="E309" s="40">
        <v>3.7454735457080615</v>
      </c>
      <c r="M309" s="117" t="s">
        <v>315</v>
      </c>
      <c r="N309" s="40">
        <v>2.7082747576934199</v>
      </c>
      <c r="O309" s="40">
        <v>1.3990047617591512</v>
      </c>
    </row>
    <row r="310" spans="1:15">
      <c r="A310" s="117" t="s">
        <v>318</v>
      </c>
      <c r="B310" s="40">
        <v>4.1012205308195053</v>
      </c>
      <c r="C310" s="40">
        <v>4.0943750000000003</v>
      </c>
      <c r="D310" s="40">
        <v>3.9949531909148654</v>
      </c>
      <c r="E310" s="40">
        <v>3.7142068790413951</v>
      </c>
      <c r="M310" s="117" t="s">
        <v>318</v>
      </c>
      <c r="N310" s="40">
        <v>2.6172888132357301</v>
      </c>
      <c r="O310" s="40">
        <v>1.4839317175837758</v>
      </c>
    </row>
  </sheetData>
  <mergeCells count="5">
    <mergeCell ref="A28:K28"/>
    <mergeCell ref="A1:K1"/>
    <mergeCell ref="A56:K56"/>
    <mergeCell ref="A77:E77"/>
    <mergeCell ref="M77:O77"/>
  </mergeCells>
  <pageMargins left="0.7" right="0.7" top="0.75" bottom="0.75" header="0.3" footer="0.3"/>
  <pageSetup orientation="portrait" horizontalDpi="300" verticalDpi="300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E38" sqref="E38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03" t="s">
        <v>46</v>
      </c>
      <c r="C1" s="104" t="s">
        <v>45</v>
      </c>
      <c r="D1" s="105" t="s">
        <v>47</v>
      </c>
      <c r="E1" s="106" t="s">
        <v>50</v>
      </c>
    </row>
    <row r="2" spans="2:5">
      <c r="B2" s="107" t="s">
        <v>52</v>
      </c>
      <c r="C2" s="108" t="s">
        <v>17</v>
      </c>
      <c r="D2" s="109" t="s">
        <v>72</v>
      </c>
      <c r="E2" s="110">
        <f>Report!N10*100</f>
        <v>4.105455800854287</v>
      </c>
    </row>
    <row r="3" spans="2:5">
      <c r="B3" s="95" t="s">
        <v>52</v>
      </c>
      <c r="C3" s="89" t="s">
        <v>17</v>
      </c>
      <c r="D3" s="90" t="s">
        <v>28</v>
      </c>
      <c r="E3" s="96">
        <f>Report!O10*100</f>
        <v>1.4881669876185573</v>
      </c>
    </row>
    <row r="4" spans="2:5">
      <c r="B4" s="95" t="s">
        <v>52</v>
      </c>
      <c r="C4" s="89" t="s">
        <v>18</v>
      </c>
      <c r="D4" s="90" t="s">
        <v>72</v>
      </c>
      <c r="E4" s="96">
        <f>Report!N11*100</f>
        <v>3.812592661796018</v>
      </c>
    </row>
    <row r="5" spans="2:5">
      <c r="B5" s="95" t="s">
        <v>52</v>
      </c>
      <c r="C5" s="89" t="s">
        <v>18</v>
      </c>
      <c r="D5" s="90" t="s">
        <v>28</v>
      </c>
      <c r="E5" s="96">
        <f>Report!O11*100</f>
        <v>1.195303848560288</v>
      </c>
    </row>
    <row r="6" spans="2:5">
      <c r="B6" s="95" t="s">
        <v>52</v>
      </c>
      <c r="C6" s="89" t="s">
        <v>19</v>
      </c>
      <c r="D6" s="90" t="s">
        <v>72</v>
      </c>
      <c r="E6" s="96">
        <f>Report!N12*100</f>
        <v>4.1871940628292794</v>
      </c>
    </row>
    <row r="7" spans="2:5">
      <c r="B7" s="95" t="s">
        <v>52</v>
      </c>
      <c r="C7" s="89" t="s">
        <v>19</v>
      </c>
      <c r="D7" s="90" t="s">
        <v>28</v>
      </c>
      <c r="E7" s="96">
        <f>Report!O12*100</f>
        <v>1.5699052495935495</v>
      </c>
    </row>
    <row r="8" spans="2:5">
      <c r="B8" s="95" t="s">
        <v>52</v>
      </c>
      <c r="C8" s="89" t="s">
        <v>20</v>
      </c>
      <c r="D8" s="90" t="s">
        <v>72</v>
      </c>
      <c r="E8" s="96">
        <f>Report!N13*100</f>
        <v>4.2996395977984392</v>
      </c>
    </row>
    <row r="9" spans="2:5">
      <c r="B9" s="95" t="s">
        <v>52</v>
      </c>
      <c r="C9" s="89" t="s">
        <v>20</v>
      </c>
      <c r="D9" s="90" t="s">
        <v>28</v>
      </c>
      <c r="E9" s="96">
        <f>Report!O13*100</f>
        <v>1.6823507845627088</v>
      </c>
    </row>
    <row r="10" spans="2:5">
      <c r="B10" s="95" t="s">
        <v>53</v>
      </c>
      <c r="C10" s="89" t="s">
        <v>20</v>
      </c>
      <c r="D10" s="90" t="s">
        <v>72</v>
      </c>
      <c r="E10" s="96">
        <f>Report!N20*100</f>
        <v>4.0943750000000003</v>
      </c>
    </row>
    <row r="11" spans="2:5">
      <c r="B11" s="95" t="s">
        <v>53</v>
      </c>
      <c r="C11" s="89" t="s">
        <v>20</v>
      </c>
      <c r="D11" s="90" t="s">
        <v>28</v>
      </c>
      <c r="E11" s="96">
        <f>Report!O20*100</f>
        <v>1.5946035741745701</v>
      </c>
    </row>
    <row r="12" spans="2:5">
      <c r="B12" s="95" t="s">
        <v>54</v>
      </c>
      <c r="C12" s="89" t="s">
        <v>20</v>
      </c>
      <c r="D12" s="90" t="s">
        <v>72</v>
      </c>
      <c r="E12" s="96">
        <f>Report!N16*100</f>
        <v>3.9949531909148654</v>
      </c>
    </row>
    <row r="13" spans="2:5">
      <c r="B13" s="95" t="s">
        <v>54</v>
      </c>
      <c r="C13" s="89" t="s">
        <v>20</v>
      </c>
      <c r="D13" s="90" t="s">
        <v>28</v>
      </c>
      <c r="E13" s="96">
        <f>Report!O16*100</f>
        <v>1.3776643776791355</v>
      </c>
    </row>
    <row r="14" spans="2:5">
      <c r="B14" s="95" t="s">
        <v>55</v>
      </c>
      <c r="C14" s="89" t="s">
        <v>20</v>
      </c>
      <c r="D14" s="90" t="s">
        <v>72</v>
      </c>
      <c r="E14" s="96">
        <f>Report!N18*100</f>
        <v>3.7142068790413951</v>
      </c>
    </row>
    <row r="15" spans="2:5">
      <c r="B15" s="95" t="s">
        <v>55</v>
      </c>
      <c r="C15" s="89" t="s">
        <v>20</v>
      </c>
      <c r="D15" s="90" t="s">
        <v>28</v>
      </c>
      <c r="E15" s="96">
        <f>Report!O18*100</f>
        <v>1.096918065805665</v>
      </c>
    </row>
    <row r="16" spans="2:5">
      <c r="B16" s="97"/>
      <c r="C16" s="98"/>
      <c r="D16" s="98"/>
      <c r="E16" s="99"/>
    </row>
    <row r="17" spans="2:5">
      <c r="B17" s="97"/>
      <c r="C17" s="98"/>
      <c r="D17" s="98"/>
      <c r="E17" s="99"/>
    </row>
    <row r="18" spans="2:5">
      <c r="B18" s="97"/>
      <c r="C18" s="98"/>
      <c r="D18" s="98"/>
      <c r="E18" s="99"/>
    </row>
    <row r="19" spans="2:5">
      <c r="B19" s="97"/>
      <c r="C19" s="98"/>
      <c r="D19" s="98"/>
      <c r="E19" s="99"/>
    </row>
    <row r="20" spans="2:5">
      <c r="B20" s="97"/>
      <c r="C20" s="98"/>
      <c r="D20" s="98"/>
      <c r="E20" s="99"/>
    </row>
    <row r="21" spans="2:5">
      <c r="B21" s="97"/>
      <c r="C21" s="98"/>
      <c r="D21" s="98"/>
      <c r="E21" s="99"/>
    </row>
    <row r="22" spans="2:5">
      <c r="B22" s="97"/>
      <c r="C22" s="98"/>
      <c r="D22" s="98"/>
      <c r="E22" s="99"/>
    </row>
    <row r="23" spans="2:5">
      <c r="B23" s="97"/>
      <c r="C23" s="98"/>
      <c r="D23" s="98"/>
      <c r="E23" s="99"/>
    </row>
    <row r="24" spans="2:5">
      <c r="B24" s="97"/>
      <c r="C24" s="98"/>
      <c r="D24" s="98"/>
      <c r="E24" s="99"/>
    </row>
    <row r="25" spans="2:5">
      <c r="B25" s="97"/>
      <c r="C25" s="98"/>
      <c r="D25" s="98"/>
      <c r="E25" s="99"/>
    </row>
    <row r="26" spans="2:5">
      <c r="B26" s="97"/>
      <c r="C26" s="98"/>
      <c r="D26" s="98"/>
      <c r="E26" s="99"/>
    </row>
    <row r="27" spans="2:5">
      <c r="B27" s="97"/>
      <c r="C27" s="98"/>
      <c r="D27" s="98"/>
      <c r="E27" s="99"/>
    </row>
    <row r="28" spans="2:5">
      <c r="B28" s="97"/>
      <c r="C28" s="98"/>
      <c r="D28" s="98"/>
      <c r="E28" s="99"/>
    </row>
    <row r="29" spans="2:5">
      <c r="B29" s="97"/>
      <c r="C29" s="98"/>
      <c r="D29" s="98"/>
      <c r="E29" s="99"/>
    </row>
    <row r="30" spans="2:5">
      <c r="B30" s="100"/>
      <c r="C30" s="101"/>
      <c r="D30" s="101"/>
      <c r="E30" s="102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36</v>
      </c>
      <c r="C1" s="1" t="s">
        <v>37</v>
      </c>
      <c r="D1" s="1" t="s">
        <v>38</v>
      </c>
      <c r="E1" s="28" t="s">
        <v>25</v>
      </c>
      <c r="F1" s="28" t="s">
        <v>39</v>
      </c>
      <c r="G1" s="1" t="s">
        <v>0</v>
      </c>
      <c r="H1" s="1" t="s">
        <v>40</v>
      </c>
      <c r="I1" s="1" t="s">
        <v>1</v>
      </c>
      <c r="J1" s="1" t="s">
        <v>41</v>
      </c>
    </row>
    <row r="2" spans="2:16">
      <c r="B2" s="1">
        <v>20150304</v>
      </c>
      <c r="C2" s="1" t="s">
        <v>20</v>
      </c>
      <c r="D2" s="1" t="s">
        <v>53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26</v>
      </c>
      <c r="P2">
        <v>2.8341999400292899</v>
      </c>
    </row>
    <row r="3" spans="2:16">
      <c r="B3" s="1">
        <v>20150304</v>
      </c>
      <c r="C3" s="1" t="s">
        <v>20</v>
      </c>
      <c r="D3" s="1" t="s">
        <v>52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27</v>
      </c>
      <c r="P3">
        <v>2.7074000366412498</v>
      </c>
    </row>
    <row r="4" spans="2:16">
      <c r="B4" s="1">
        <v>20150304</v>
      </c>
      <c r="C4" s="1" t="s">
        <v>20</v>
      </c>
      <c r="D4" s="1" t="s">
        <v>69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55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53</v>
      </c>
      <c r="E6" s="1">
        <v>3.375</v>
      </c>
      <c r="F6" s="1" t="s">
        <v>70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52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52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52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M26" sqref="M26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  <col min="7" max="8" width="12.42578125" customWidth="1"/>
  </cols>
  <sheetData>
    <row r="3" spans="2:8">
      <c r="C3" s="193" t="s">
        <v>43</v>
      </c>
      <c r="D3" s="193"/>
      <c r="E3" s="193" t="s">
        <v>44</v>
      </c>
      <c r="F3" s="193"/>
      <c r="G3" s="193" t="s">
        <v>119</v>
      </c>
      <c r="H3" s="193"/>
    </row>
    <row r="4" spans="2:8">
      <c r="B4" s="111" t="s">
        <v>52</v>
      </c>
      <c r="C4" s="111" t="s">
        <v>72</v>
      </c>
      <c r="D4" s="111" t="s">
        <v>28</v>
      </c>
      <c r="E4" s="111" t="s">
        <v>72</v>
      </c>
      <c r="F4" s="111" t="s">
        <v>28</v>
      </c>
      <c r="G4" s="111" t="s">
        <v>72</v>
      </c>
      <c r="H4" s="111" t="s">
        <v>28</v>
      </c>
    </row>
    <row r="5" spans="2:8">
      <c r="B5" s="112" t="s">
        <v>17</v>
      </c>
      <c r="C5" s="113">
        <f t="array" ref="C5">VLOOKUP($B$4&amp;B5&amp;$C$4,IF({1,0},OneDayMtgRatesDataTable[TickerName]&amp;OneDayMtgRatesDataTable[Source]&amp;OneDayMtgRatesDataTable[SeriesType],OneDayMtgRatesDataTable[SeriesNumValue]),2,0)/100</f>
        <v>4.1938806357020679E-2</v>
      </c>
      <c r="D5" s="113">
        <f t="array" ref="D5">VLOOKUP($B$4&amp;$B5&amp;$D$4,IF({1,0},OneDayMtgRatesDataTable[TickerName]&amp;OneDayMtgRatesDataTable[Source]&amp;OneDayMtgRatesDataTable[SeriesType],OneDayMtgRatesDataTable[SeriesNumValue]),2,0)/100</f>
        <v>1.485605878008648E-2</v>
      </c>
      <c r="E5" s="113">
        <f t="array" ref="E5">VLOOKUP(B4&amp;B5&amp;E4,IF({1,0},OneWeekMtgRatesDataTable[TickerName]&amp;OneWeekMtgRatesDataTable[Source]&amp;OneWeekMtgRatesDataTable[SeriesType],OneWeekMtgRatesDataTable[SeriesNumValue]),2,0)/100</f>
        <v>4.202697134549762E-2</v>
      </c>
      <c r="F5" s="113">
        <f t="array" ref="F5">VLOOKUP($B$4&amp;$B5&amp;$F$4,IF({1,0},OneWeekMtgRatesDataTable[TickerName]&amp;OneWeekMtgRatesDataTable[Source]&amp;OneWeekMtgRatesDataTable[SeriesType],OneWeekMtgRatesDataTable[SeriesNumValue]),2,0)/100</f>
        <v>1.4710138554918119E-2</v>
      </c>
      <c r="G5" s="113" t="e">
        <f t="array" ref="G5">VLOOKUP(B4&amp;B5&amp;E4,IF({1,0},OneWeekMtgRatesDataTable8[TickerName]&amp;OneWeekMtgRatesDataTable8[Source]&amp;OneWeekMtgRatesDataTable8[SeriesType],OneWeekMtgRatesDataTable8[SeriesNumValue]),2,0)/100</f>
        <v>#N/A</v>
      </c>
      <c r="H5" s="113" t="e">
        <f t="array" ref="H5">VLOOKUP(B4&amp;B5&amp;F4,IF({1,0},OneWeekMtgRatesDataTable8[TickerName]&amp;OneWeekMtgRatesDataTable8[Source]&amp;OneWeekMtgRatesDataTable8[SeriesType],OneWeekMtgRatesDataTable8[SeriesNumValue]),2,0)/100</f>
        <v>#N/A</v>
      </c>
    </row>
    <row r="6" spans="2:8">
      <c r="B6" s="112" t="s">
        <v>18</v>
      </c>
      <c r="C6" s="113">
        <f t="array" ref="C6">VLOOKUP($B$4&amp;B6&amp;$C$4,IF({1,0},OneDayMtgRatesDataTable[TickerName]&amp;OneDayMtgRatesDataTable[Source]&amp;OneDayMtgRatesDataTable[SeriesType],OneDayMtgRatesDataTable[SeriesNumValue]),2,0)/100</f>
        <v>3.8125926617960181E-2</v>
      </c>
      <c r="D6" s="113">
        <f t="array" ref="D6">VLOOKUP($B$4&amp;$B6&amp;$D$4,IF({1,0},OneDayMtgRatesDataTable[TickerName]&amp;OneDayMtgRatesDataTable[Source]&amp;OneDayMtgRatesDataTable[SeriesType],OneDayMtgRatesDataTable[SeriesNumValue]),2,0)/100</f>
        <v>1.1043179041025981E-2</v>
      </c>
      <c r="E6" s="113">
        <f t="array" ref="E6">VLOOKUP($B$4&amp;$B6&amp;$E$4,IF({1,0},OneWeekMtgRatesDataTable[TickerName]&amp;OneWeekMtgRatesDataTable[Source]&amp;OneWeekMtgRatesDataTable[SeriesType],OneWeekMtgRatesDataTable[SeriesNumValue]),2,0)/100</f>
        <v>3.905462881911325E-2</v>
      </c>
      <c r="F6" s="113">
        <f t="array" ref="F6">VLOOKUP($B$4&amp;$B6&amp;$F$4,IF({1,0},OneWeekMtgRatesDataTable[TickerName]&amp;OneWeekMtgRatesDataTable[Source]&amp;OneWeekMtgRatesDataTable[SeriesType],OneWeekMtgRatesDataTable[SeriesNumValue]),2,0)/100</f>
        <v>1.1737796028533748E-2</v>
      </c>
      <c r="G6" s="113" t="e">
        <f t="array" ref="G6">VLOOKUP(B4&amp;B6&amp;E4,IF({1,0},OneWeekMtgRatesDataTable8[TickerName]&amp;OneWeekMtgRatesDataTable8[Source]&amp;OneWeekMtgRatesDataTable8[SeriesType],OneWeekMtgRatesDataTable8[SeriesNumValue]),2,0)/100</f>
        <v>#N/A</v>
      </c>
      <c r="H6" s="113" t="e">
        <f t="array" ref="H6">VLOOKUP(B4&amp;B6&amp;F4,IF({1,0},OneWeekMtgRatesDataTable8[TickerName]&amp;OneWeekMtgRatesDataTable8[Source]&amp;OneWeekMtgRatesDataTable8[SeriesType],OneWeekMtgRatesDataTable8[SeriesNumValue]),2,0)/100</f>
        <v>#N/A</v>
      </c>
    </row>
    <row r="7" spans="2:8">
      <c r="B7" s="112" t="s">
        <v>19</v>
      </c>
      <c r="C7" s="113">
        <f t="array" ref="C7">VLOOKUP($B$4&amp;B7&amp;$C$4,IF({1,0},OneDayMtgRatesDataTable[TickerName]&amp;OneDayMtgRatesDataTable[Source]&amp;OneDayMtgRatesDataTable[SeriesType],OneDayMtgRatesDataTable[SeriesNumValue]),2,0)/100</f>
        <v>4.1871940628292796E-2</v>
      </c>
      <c r="D7" s="113">
        <f t="array" ref="D7">VLOOKUP($B$4&amp;$B7&amp;$D$4,IF({1,0},OneDayMtgRatesDataTable[TickerName]&amp;OneDayMtgRatesDataTable[Source]&amp;OneDayMtgRatesDataTable[SeriesType],OneDayMtgRatesDataTable[SeriesNumValue]),2,0)/100</f>
        <v>1.4789193051358597E-2</v>
      </c>
      <c r="E7" s="113">
        <f t="array" ref="E7">VLOOKUP($B$4&amp;$B7&amp;$E$4,IF({1,0},OneWeekMtgRatesDataTable[TickerName]&amp;OneWeekMtgRatesDataTable[Source]&amp;OneWeekMtgRatesDataTable[SeriesType],OneWeekMtgRatesDataTable[SeriesNumValue]),2,0)/100</f>
        <v>4.2809902465136378E-2</v>
      </c>
      <c r="F7" s="113">
        <f t="array" ref="F7">VLOOKUP($B$4&amp;$B7&amp;$F$4,IF({1,0},OneWeekMtgRatesDataTable[TickerName]&amp;OneWeekMtgRatesDataTable[Source]&amp;OneWeekMtgRatesDataTable[SeriesType],OneWeekMtgRatesDataTable[SeriesNumValue]),2,0)/100</f>
        <v>1.5493069674556876E-2</v>
      </c>
      <c r="G7" s="113" t="e">
        <f t="array" ref="G7">VLOOKUP(B4&amp;B7&amp;E4,IF({1,0},OneWeekMtgRatesDataTable8[TickerName]&amp;OneWeekMtgRatesDataTable8[Source]&amp;OneWeekMtgRatesDataTable8[SeriesType],OneWeekMtgRatesDataTable8[SeriesNumValue]),2,0)/100</f>
        <v>#N/A</v>
      </c>
      <c r="H7" s="113" t="e">
        <f t="array" ref="H7">VLOOKUP(B4&amp;B7&amp;F4,IF({1,0},OneWeekMtgRatesDataTable8[TickerName]&amp;OneWeekMtgRatesDataTable8[Source]&amp;OneWeekMtgRatesDataTable8[SeriesType],OneWeekMtgRatesDataTable8[SeriesNumValue]),2,0)/100</f>
        <v>#N/A</v>
      </c>
    </row>
    <row r="8" spans="2:8">
      <c r="B8" s="112" t="s">
        <v>20</v>
      </c>
      <c r="C8" s="113">
        <f t="array" ref="C8">VLOOKUP($B$4&amp;B8&amp;$C$4,IF({1,0},OneDayMtgRatesDataTable[TickerName]&amp;OneDayMtgRatesDataTable[Source]&amp;OneDayMtgRatesDataTable[SeriesType],OneDayMtgRatesDataTable[SeriesNumValue]),2,0)/100</f>
        <v>4.2354507174829192E-2</v>
      </c>
      <c r="D8" s="113">
        <f t="array" ref="D8">VLOOKUP($B$4&amp;$B8&amp;$D$4,IF({1,0},OneDayMtgRatesDataTable[TickerName]&amp;OneDayMtgRatesDataTable[Source]&amp;OneDayMtgRatesDataTable[SeriesType],OneDayMtgRatesDataTable[SeriesNumValue]),2,0)/100</f>
        <v>1.5271759597894993E-2</v>
      </c>
      <c r="E8" s="113">
        <f t="array" ref="E8">VLOOKUP($B$4&amp;$B8&amp;$E$4,IF({1,0},OneWeekMtgRatesDataTable[TickerName]&amp;OneWeekMtgRatesDataTable[Source]&amp;OneWeekMtgRatesDataTable[SeriesType],OneWeekMtgRatesDataTable[SeriesNumValue]),2,0)/100</f>
        <v>4.4187377611835055E-2</v>
      </c>
      <c r="F8" s="113">
        <f t="array" ref="F8">VLOOKUP($B$4&amp;$B8&amp;$F$4,IF({1,0},OneWeekMtgRatesDataTable[TickerName]&amp;OneWeekMtgRatesDataTable[Source]&amp;OneWeekMtgRatesDataTable[SeriesType],OneWeekMtgRatesDataTable[SeriesNumValue]),2,0)/100</f>
        <v>1.6870544821255554E-2</v>
      </c>
      <c r="G8" s="113" t="e">
        <f t="array" ref="G8">VLOOKUP(B4&amp;B8&amp;E4,IF({1,0},OneWeekMtgRatesDataTable8[TickerName]&amp;OneWeekMtgRatesDataTable8[Source]&amp;OneWeekMtgRatesDataTable8[SeriesType],OneWeekMtgRatesDataTable8[SeriesNumValue]),2,0)/100</f>
        <v>#N/A</v>
      </c>
      <c r="H8" s="113" t="e">
        <f t="array" ref="H8">VLOOKUP(B4&amp;B8&amp;F4,IF({1,0},OneWeekMtgRatesDataTable8[TickerName]&amp;OneWeekMtgRatesDataTable8[Source]&amp;OneWeekMtgRatesDataTable8[SeriesType],OneWeekMtgRatesDataTable8[SeriesNumValue]),2,0)/100</f>
        <v>#N/A</v>
      </c>
    </row>
    <row r="9" spans="2:8">
      <c r="B9" s="111" t="s">
        <v>54</v>
      </c>
      <c r="C9" s="114"/>
      <c r="D9" s="114"/>
      <c r="E9" s="114"/>
      <c r="F9" s="114"/>
      <c r="G9" s="114"/>
      <c r="H9" s="114"/>
    </row>
    <row r="10" spans="2:8">
      <c r="B10" s="112" t="s">
        <v>20</v>
      </c>
      <c r="C10" s="113">
        <f t="array" ref="C10">VLOOKUP($B$9&amp;B10&amp;$C$4,IF({1,0},OneDayMtgRatesDataTable[TickerName]&amp;OneDayMtgRatesDataTable[Source]&amp;OneDayMtgRatesDataTable[SeriesType],OneDayMtgRatesDataTable[SeriesNumValue]),2,0)/100</f>
        <v>3.9949531909148656E-2</v>
      </c>
      <c r="D10" s="113">
        <f t="array" ref="D10">VLOOKUP($B$9&amp;$B10&amp;$D$4,IF({1,0},OneDayMtgRatesDataTable[TickerName]&amp;OneDayMtgRatesDataTable[Source]&amp;OneDayMtgRatesDataTable[SeriesType],OneDayMtgRatesDataTable[SeriesNumValue]),2,0)/100</f>
        <v>1.2866784332214456E-2</v>
      </c>
      <c r="E10" s="113">
        <f t="array" ref="E10">VLOOKUP($B$9&amp;$B10&amp;$E$4,IF({1,0},OneWeekMtgRatesDataTable[TickerName]&amp;OneWeekMtgRatesDataTable[Source]&amp;OneWeekMtgRatesDataTable[SeriesType],OneWeekMtgRatesDataTable[SeriesNumValue]),2,0)/100</f>
        <v>4.0061842576350093E-2</v>
      </c>
      <c r="F10" s="113">
        <f t="array" ref="F10">VLOOKUP($B$9&amp;$B10&amp;$F$4,IF({1,0},OneWeekMtgRatesDataTable[TickerName]&amp;OneWeekMtgRatesDataTable[Source]&amp;OneWeekMtgRatesDataTable[SeriesType],OneWeekMtgRatesDataTable[SeriesNumValue]),2,0)/100</f>
        <v>1.2745009785770594E-2</v>
      </c>
      <c r="G10" s="113" t="e">
        <f t="array" ref="G10">VLOOKUP(B9&amp;B10&amp;E4,IF({1,0},OneWeekMtgRatesDataTable8[TickerName]&amp;OneWeekMtgRatesDataTable8[Source]&amp;OneWeekMtgRatesDataTable8[SeriesType],OneWeekMtgRatesDataTable8[SeriesNumValue]),2,0)/100</f>
        <v>#N/A</v>
      </c>
      <c r="H10" s="113" t="e">
        <f t="array" ref="H10">VLOOKUP($B$9&amp;$B10&amp;$F$4,IF({1,0},OneWeekMtgRatesDataTable8[TickerName]&amp;OneWeekMtgRatesDataTable8[Source]&amp;OneWeekMtgRatesDataTable8[SeriesType],OneWeekMtgRatesDataTable8[SeriesNumValue]),2,0)/100</f>
        <v>#N/A</v>
      </c>
    </row>
    <row r="11" spans="2:8">
      <c r="B11" s="111" t="s">
        <v>55</v>
      </c>
      <c r="C11" s="114"/>
      <c r="D11" s="114"/>
      <c r="E11" s="114"/>
      <c r="F11" s="114"/>
      <c r="G11" s="114"/>
      <c r="H11" s="114"/>
    </row>
    <row r="12" spans="2:8">
      <c r="B12" s="112" t="s">
        <v>20</v>
      </c>
      <c r="C12" s="113">
        <f t="array" ref="C12">VLOOKUP($B$11&amp;B12&amp;$C$4,IF({1,0},OneDayMtgRatesDataTable[TickerName]&amp;OneDayMtgRatesDataTable[Source]&amp;OneDayMtgRatesDataTable[SeriesType],OneDayMtgRatesDataTable[SeriesNumValue]),2,0)/100</f>
        <v>3.7454735457080612E-2</v>
      </c>
      <c r="D12" s="113">
        <f t="array" ref="D12">VLOOKUP($B$11&amp;$B12&amp;$D$4,IF({1,0},OneDayMtgRatesDataTable[TickerName]&amp;OneDayMtgRatesDataTable[Source]&amp;OneDayMtgRatesDataTable[SeriesType],OneDayMtgRatesDataTable[SeriesNumValue]),2,0)/100</f>
        <v>1.0371987880146413E-2</v>
      </c>
      <c r="E12" s="113">
        <f t="array" ref="E12">VLOOKUP($B$11&amp;$B12&amp;$E$4,IF({1,0},OneWeekMtgRatesDataTable[TickerName]&amp;OneWeekMtgRatesDataTable[Source]&amp;OneWeekMtgRatesDataTable[SeriesType],OneWeekMtgRatesDataTable[SeriesNumValue]),2,0)/100</f>
        <v>3.744640212374728E-2</v>
      </c>
      <c r="F12" s="113">
        <f t="array" ref="F12">VLOOKUP($B$11&amp;$B12&amp;$F$4,IF({1,0},OneWeekMtgRatesDataTable[TickerName]&amp;OneWeekMtgRatesDataTable[Source]&amp;OneWeekMtgRatesDataTable[SeriesType],OneWeekMtgRatesDataTable[SeriesNumValue]),2,0)/100</f>
        <v>1.0129569333167781E-2</v>
      </c>
      <c r="G12" s="113" t="e">
        <f t="array" ref="G12">VLOOKUP($B$11&amp;$B12&amp;$E$4,IF({1,0},OneWeekMtgRatesDataTable8[TickerName]&amp;OneWeekMtgRatesDataTable8[Source]&amp;OneWeekMtgRatesDataTable8[SeriesType],OneWeekMtgRatesDataTable8[SeriesNumValue]),2,0)/100</f>
        <v>#N/A</v>
      </c>
      <c r="H12" s="113" t="e">
        <f t="array" ref="H12">VLOOKUP($B$11&amp;$B12&amp;$F$4,IF({1,0},OneWeekMtgRatesDataTable8[TickerName]&amp;OneWeekMtgRatesDataTable8[Source]&amp;OneWeekMtgRatesDataTable8[SeriesType],OneWeekMtgRatesDataTable8[SeriesNumValue]),2,0)/100</f>
        <v>#N/A</v>
      </c>
    </row>
    <row r="13" spans="2:8">
      <c r="B13" s="111" t="s">
        <v>53</v>
      </c>
      <c r="C13" s="114"/>
      <c r="D13" s="114"/>
      <c r="E13" s="114"/>
      <c r="F13" s="114"/>
      <c r="G13" s="114"/>
      <c r="H13" s="114"/>
    </row>
    <row r="14" spans="2:8">
      <c r="B14" s="112" t="s">
        <v>20</v>
      </c>
      <c r="C14" s="113">
        <f t="array" ref="C14">VLOOKUP($B$13&amp;B14&amp;$C$4,IF({1,0},OneDayMtgRatesDataTable[TickerName]&amp;OneDayMtgRatesDataTable[Source]&amp;OneDayMtgRatesDataTable[SeriesType],OneDayMtgRatesDataTable[SeriesNumValue]),2,0)/100</f>
        <v>4.0943750000000001E-2</v>
      </c>
      <c r="D14" s="113">
        <f t="array" ref="D14">VLOOKUP($B$13&amp;$B14&amp;$D$4,IF({1,0},OneDayMtgRatesDataTable[TickerName]&amp;OneDayMtgRatesDataTable[Source]&amp;OneDayMtgRatesDataTable[SeriesType],OneDayMtgRatesDataTable[SeriesNumValue]),2,0)/100</f>
        <v>1.52557157282384E-2</v>
      </c>
      <c r="E14" s="113">
        <f t="array" ref="E14">VLOOKUP($B$13&amp;$B14&amp;$E$4,IF({1,0},OneWeekMtgRatesDataTable[TickerName]&amp;OneWeekMtgRatesDataTable[Source]&amp;OneWeekMtgRatesDataTable[SeriesType],OneWeekMtgRatesDataTable[SeriesNumValue]),2,0)/100</f>
        <v>4.1261249999999999E-2</v>
      </c>
      <c r="F14" s="113">
        <f t="array" ref="F14">VLOOKUP($B$13&amp;$B14&amp;$F$4,IF({1,0},OneWeekMtgRatesDataTable[TickerName]&amp;OneWeekMtgRatesDataTable[Source]&amp;OneWeekMtgRatesDataTable[SeriesType],OneWeekMtgRatesDataTable[SeriesNumValue]),2,0)/100</f>
        <v>1.5345815505845701E-2</v>
      </c>
      <c r="G14" s="113" t="e">
        <f t="array" ref="G14">VLOOKUP($B$13&amp;$B14&amp;$E$4,IF({1,0},OneWeekMtgRatesDataTable8[TickerName]&amp;OneWeekMtgRatesDataTable8[Source]&amp;OneWeekMtgRatesDataTable8[SeriesType],OneWeekMtgRatesDataTable8[SeriesNumValue]),2,0)/100</f>
        <v>#N/A</v>
      </c>
      <c r="H14" s="113" t="e">
        <f t="array" ref="H14">VLOOKUP($B$13&amp;$B14&amp;$F$4,IF({1,0},OneWeekMtgRatesDataTable8[TickerName]&amp;OneWeekMtgRatesDataTable8[Source]&amp;OneWeekMtgRatesDataTable8[SeriesType],OneWeekMtgRatesDataTable8[SeriesNumValue]),2,0)/100</f>
        <v>#N/A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3">
    <mergeCell ref="C3:D3"/>
    <mergeCell ref="E3:F3"/>
    <mergeCell ref="G3:H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M32" sqref="M3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52</v>
      </c>
    </row>
    <row r="2" spans="2:11">
      <c r="B2" s="194" t="s">
        <v>3</v>
      </c>
      <c r="C2" s="194"/>
      <c r="D2" s="4"/>
      <c r="E2" s="194" t="s">
        <v>5</v>
      </c>
      <c r="F2" s="194"/>
      <c r="H2" s="194" t="s">
        <v>12</v>
      </c>
      <c r="I2" s="194"/>
    </row>
    <row r="4" spans="2:11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1.4218232034171496E-2</v>
      </c>
      <c r="H4" s="8" t="s">
        <v>11</v>
      </c>
      <c r="I4" s="9">
        <f>C4-(1%-F7)/4</f>
        <v>4.1054558008542873E-2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4.1189999999999997E-2</v>
      </c>
      <c r="D5" s="5"/>
      <c r="E5" s="6" t="s">
        <v>14</v>
      </c>
      <c r="F5" s="17">
        <f>C8</f>
        <v>4.1199999999999995E-3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4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1.0098232034171498E-2</v>
      </c>
      <c r="H6" s="2" t="s">
        <v>22</v>
      </c>
      <c r="I6" s="13">
        <f>C4-(0.01-(1-((C4/12*(1+C4/12)^360)/((1+C4/12)^360-1)*((1+C5/12)^360-1)/(C5/12*(1+C5/12)^360))))/4</f>
        <v>4.1054558008542873E-2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1.4218232034171496E-2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4.1199999999999995E-3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I22" sqref="I2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52</v>
      </c>
    </row>
    <row r="2" spans="2:9">
      <c r="B2" s="194" t="s">
        <v>3</v>
      </c>
      <c r="C2" s="194"/>
      <c r="D2" s="4"/>
      <c r="E2" s="194" t="s">
        <v>5</v>
      </c>
      <c r="F2" s="194"/>
      <c r="H2" s="194" t="s">
        <v>12</v>
      </c>
      <c r="I2" s="194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3.7499999999999999E-2</v>
      </c>
      <c r="D4" s="5"/>
      <c r="E4" s="5" t="s">
        <v>8</v>
      </c>
      <c r="F4" s="13">
        <f>1-((C4/12*(1+C4/12)^360)/((1+C4/12)^360-1)*((1+C5/12)^360-1)/(C5/12*(1+C5/12)^360))</f>
        <v>1.2503706471840736E-2</v>
      </c>
      <c r="H4" s="8" t="s">
        <v>11</v>
      </c>
      <c r="I4" s="9">
        <f>C4-(1%-F7)/4</f>
        <v>3.8125926617960181E-2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3.8530000000000002E-2</v>
      </c>
      <c r="D5" s="5"/>
      <c r="E5" s="6" t="s">
        <v>14</v>
      </c>
      <c r="F5" s="17">
        <f>C8</f>
        <v>1.2500000000000001E-2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3.7064718407357755E-6</v>
      </c>
      <c r="H6" s="2" t="s">
        <v>22</v>
      </c>
      <c r="I6" s="13">
        <f>C4-(0.01-(1-((C4/12*(1+C4/12)^360)/((1+C4/12)^360-1)*((1+C5/12)^360-1)/(C5/12*(1+C5/12)^360))))/4</f>
        <v>3.8125926617960181E-2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1.2503706471840736E-2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1.2500000000000001E-2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I4" sqref="I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19</v>
      </c>
      <c r="C1" s="90" t="s">
        <v>52</v>
      </c>
    </row>
    <row r="2" spans="2:9">
      <c r="B2" s="194" t="s">
        <v>3</v>
      </c>
      <c r="C2" s="194"/>
      <c r="D2" s="4"/>
      <c r="E2" s="194" t="s">
        <v>5</v>
      </c>
      <c r="F2" s="194"/>
      <c r="H2" s="194" t="s">
        <v>12</v>
      </c>
      <c r="I2" s="194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3.7499999999999999E-2</v>
      </c>
      <c r="D4" s="5"/>
      <c r="E4" s="5" t="s">
        <v>8</v>
      </c>
      <c r="F4" s="13">
        <f>1-((C4/12*(1+C4/12)^360)/((1+C4/12)^360-1)*((1+C5/12)^360-1)/(C5/12*(1+C5/12)^360))</f>
        <v>2.7487762513171199E-2</v>
      </c>
      <c r="H4" s="8" t="s">
        <v>11</v>
      </c>
      <c r="I4" s="124">
        <f>C4-(1%-F7)/4</f>
        <v>4.1871940628292796E-2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3.9789999999999999E-2</v>
      </c>
      <c r="D5" s="5"/>
      <c r="E5" s="6" t="s">
        <v>14</v>
      </c>
      <c r="F5" s="17">
        <f>C8</f>
        <v>1.7500000000000002E-2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9.9877625131711972E-3</v>
      </c>
      <c r="H6" s="2" t="s">
        <v>22</v>
      </c>
      <c r="I6" s="13">
        <f>C4-(0.01-(1-((C4/12*(1+C4/12)^360)/((1+C4/12)^360-1)*((1+C5/12)^360-1)/(C5/12*(1+C5/12)^360))))/4</f>
        <v>4.1871940628292796E-2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2.7487762513171199E-2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1.7500000000000002E-2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I4" sqref="I4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52</v>
      </c>
    </row>
    <row r="2" spans="2:9">
      <c r="B2" s="194" t="s">
        <v>3</v>
      </c>
      <c r="C2" s="194"/>
      <c r="D2" s="4"/>
      <c r="E2" s="194" t="s">
        <v>5</v>
      </c>
      <c r="F2" s="194"/>
      <c r="G2" s="2"/>
      <c r="H2" s="194" t="s">
        <v>12</v>
      </c>
      <c r="I2" s="194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6" t="s">
        <v>6</v>
      </c>
      <c r="F4" s="7">
        <f>((CIR/12*(1+CIR/12)^360)/((1+CIR/12)^360-1)*((1+CAPR/12)^360-1)/(CAPR/12*(1+CAPR/12)^360))*CP</f>
        <v>198773.88321761249</v>
      </c>
      <c r="G4" s="2"/>
      <c r="H4" s="8" t="s">
        <v>11</v>
      </c>
      <c r="I4" s="124">
        <f>CIR-(1%-F9)/4</f>
        <v>4.2996395977984388E-2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4.0510000000000004E-2</v>
      </c>
      <c r="D5" s="5"/>
      <c r="E5" s="10" t="s">
        <v>8</v>
      </c>
      <c r="F5" s="11">
        <f>1-F4/CP</f>
        <v>6.1305839119375483E-3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6.1305839119375483E-3</v>
      </c>
      <c r="G6" s="2"/>
      <c r="H6" s="2" t="s">
        <v>22</v>
      </c>
      <c r="I6" s="13">
        <f>CIR-(0.01-(1-((CIR/12*(1+CIR/12)^360)/((1+CIR/12)^360-1)*((1+CAPR/12)^360-1)/(CAPR/12*(1+CAPR/12)^360)) + C7/CP))/4</f>
        <v>4.2996395977984388E-2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3171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1.5855000000000001E-2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2.1985583911937549E-2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F15" sqref="F15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89" t="s">
        <v>20</v>
      </c>
      <c r="C1" s="90" t="s">
        <v>54</v>
      </c>
    </row>
    <row r="2" spans="2:9">
      <c r="B2" s="194" t="s">
        <v>3</v>
      </c>
      <c r="C2" s="194"/>
      <c r="D2" s="20"/>
      <c r="E2" s="194" t="s">
        <v>5</v>
      </c>
      <c r="F2" s="194"/>
      <c r="H2" s="194" t="s">
        <v>12</v>
      </c>
      <c r="I2" s="194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2.170127636594632E-3</v>
      </c>
      <c r="H4" s="8" t="s">
        <v>11</v>
      </c>
      <c r="I4" s="9">
        <f>C4-(1%-F7)/4</f>
        <v>3.9949531909148656E-2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4.018E-2</v>
      </c>
      <c r="D5" s="5"/>
      <c r="E5" s="6" t="s">
        <v>14</v>
      </c>
      <c r="F5" s="17">
        <f>F4</f>
        <v>2.170127636594632E-3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7.6280000000000002E-3</v>
      </c>
      <c r="H6" s="2" t="s">
        <v>22</v>
      </c>
      <c r="I6" s="13">
        <f>C4-(0.01-(1-((C4/12*(1+C4/12)^360)/((1+C4/12)^360-1)*((1+C5/12)^360-1)/(C5/12*(1+C5/12)^360)) + C7/C6))/4</f>
        <v>3.9949531909148656E-2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3814</v>
      </c>
      <c r="D7" s="12"/>
      <c r="E7" s="2" t="s">
        <v>10</v>
      </c>
      <c r="F7" s="16">
        <f>F5+F6</f>
        <v>9.7981276365946314E-3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M43" sqref="M43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55</v>
      </c>
    </row>
    <row r="2" spans="2:9">
      <c r="B2" s="194" t="s">
        <v>3</v>
      </c>
      <c r="C2" s="194"/>
      <c r="D2" s="20"/>
      <c r="E2" s="194" t="s">
        <v>5</v>
      </c>
      <c r="F2" s="194"/>
      <c r="H2" s="194" t="s">
        <v>12</v>
      </c>
      <c r="I2" s="194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8.5094182832246013E-4</v>
      </c>
      <c r="H4" s="8" t="s">
        <v>11</v>
      </c>
      <c r="I4" s="9">
        <f>C4-(1%-F7)/4</f>
        <v>3.714206879041395E-2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3.882E-2</v>
      </c>
      <c r="D5" s="5"/>
      <c r="E5" s="6" t="s">
        <v>14</v>
      </c>
      <c r="F5" s="17">
        <f>F4</f>
        <v>8.5094182832246013E-4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2.7173333333333333E-3</v>
      </c>
      <c r="H6" s="2" t="s">
        <v>22</v>
      </c>
      <c r="I6" s="13">
        <f>C4-(0.01-(1-((C4/12*(1+C4/12)^360)/((1+C4/12)^360-1)*((1+C5/12)^360-1)/(C5/12*(1+C5/12)^360)) + C7/C6))/4</f>
        <v>3.714206879041395E-2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2038</v>
      </c>
      <c r="D7" s="12"/>
      <c r="E7" s="2" t="s">
        <v>10</v>
      </c>
      <c r="F7" s="16">
        <f>F5+F6</f>
        <v>3.5682751616557934E-3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I10" sqref="I10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20</v>
      </c>
      <c r="C1" s="90" t="s">
        <v>53</v>
      </c>
    </row>
    <row r="2" spans="2:9">
      <c r="B2" s="194" t="s">
        <v>3</v>
      </c>
      <c r="C2" s="194"/>
      <c r="D2" s="21"/>
      <c r="E2" s="194" t="s">
        <v>5</v>
      </c>
      <c r="F2" s="194"/>
      <c r="H2" s="194" t="s">
        <v>12</v>
      </c>
      <c r="I2" s="194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34</v>
      </c>
      <c r="F4" s="13">
        <f>C9/C6</f>
        <v>1.7500000000000002E-2</v>
      </c>
      <c r="H4" s="8" t="s">
        <v>11</v>
      </c>
      <c r="I4" s="9">
        <f>C4-(1%-F7)/4</f>
        <v>4.0943750000000001E-2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4.9230000000000003E-2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1.8775E-2</v>
      </c>
      <c r="I6" s="13"/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7255</v>
      </c>
      <c r="D7" s="12"/>
      <c r="E7" s="2" t="s">
        <v>10</v>
      </c>
      <c r="F7" s="16">
        <f>F5+F6</f>
        <v>1.8775E-2</v>
      </c>
    </row>
    <row r="8" spans="2:9">
      <c r="B8" s="2" t="s">
        <v>7</v>
      </c>
      <c r="C8" s="34">
        <v>0</v>
      </c>
      <c r="D8" s="15"/>
    </row>
    <row r="9" spans="2:9">
      <c r="B9" s="76" t="s">
        <v>41</v>
      </c>
      <c r="C9" s="31">
        <f t="array" ref="C9">VLOOKUP($B$1&amp;$C$1&amp;B9,IF({1,0},CurrentMtgRatesDataTable[Source]&amp;CurrentMtgRatesDataTable[TickerName]&amp;CurrentMtgRatesDataTable[SeriesType],CurrentMtgRatesDataTable[SeriesNumValue]),2,0)</f>
        <v>3500</v>
      </c>
      <c r="E9" s="35" t="s">
        <v>42</v>
      </c>
      <c r="F9" s="13">
        <f>C7/C6</f>
        <v>3.6275000000000002E-2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24</vt:i4>
      </vt:variant>
    </vt:vector>
  </HeadingPairs>
  <TitlesOfParts>
    <vt:vector size="37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HistoricStartDate</vt:lpstr>
      <vt:lpstr>OneDayBusDate</vt:lpstr>
      <vt:lpstr>OneMonthBusDate</vt:lpstr>
      <vt:lpstr>OneMonthMtgRatesDataTable</vt:lpstr>
      <vt:lpstr>OneMonthMtgRatesDataTable1</vt:lpstr>
      <vt:lpstr>OneWeekBusDate</vt:lpstr>
      <vt:lpstr>PDFReportDir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2016-02-03T14:27:28Z</cp:lastPrinted>
  <dcterms:created xsi:type="dcterms:W3CDTF">2015-02-26T13:52:04Z</dcterms:created>
  <dcterms:modified xsi:type="dcterms:W3CDTF">2016-02-03T14:30:59Z</dcterms:modified>
</cp:coreProperties>
</file>