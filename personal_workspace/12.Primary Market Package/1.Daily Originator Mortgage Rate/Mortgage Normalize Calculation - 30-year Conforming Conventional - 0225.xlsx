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31635" windowHeight="17175"/>
  </bookViews>
  <sheets>
    <sheet name="Result" sheetId="6" r:id="rId1"/>
    <sheet name="Wells - Conventional" sheetId="2" r:id="rId2"/>
    <sheet name="BoA - Conventional" sheetId="3" r:id="rId3"/>
    <sheet name="Chase - Conventional" sheetId="4" r:id="rId4"/>
    <sheet name="Quicken - Conventional" sheetId="5" r:id="rId5"/>
  </sheets>
  <definedNames>
    <definedName name="AIR">'BoA - Conventional'!$AIR$4</definedName>
    <definedName name="BOAIR">'BoA - Conventional'!$AIR$4</definedName>
    <definedName name="CAPR">'Wells - Conventional'!$C$5</definedName>
    <definedName name="CIR">'Wells - Conventional'!$C$4</definedName>
    <definedName name="CP">'Wells - Conventional'!$C$6</definedName>
    <definedName name="IR">#REF!</definedName>
    <definedName name="WIR">'Wells - Conventional'!$C$4</definedName>
  </definedNames>
  <calcPr calcId="145621"/>
</workbook>
</file>

<file path=xl/calcChain.xml><?xml version="1.0" encoding="utf-8"?>
<calcChain xmlns="http://schemas.openxmlformats.org/spreadsheetml/2006/main">
  <c r="E12" i="6" l="1"/>
  <c r="F12" i="6"/>
  <c r="D12" i="6"/>
  <c r="F11" i="6"/>
  <c r="E11" i="6"/>
  <c r="D11" i="6"/>
  <c r="F10" i="6"/>
  <c r="E10" i="6"/>
  <c r="D10" i="6"/>
  <c r="F9" i="6"/>
  <c r="E9" i="6"/>
  <c r="D9" i="6"/>
  <c r="F8" i="6"/>
  <c r="E8" i="6"/>
  <c r="D8" i="6"/>
  <c r="F5" i="5"/>
  <c r="F4" i="5"/>
  <c r="F6" i="5" s="1"/>
  <c r="F5" i="4"/>
  <c r="F4" i="4"/>
  <c r="F6" i="4" s="1"/>
  <c r="F6" i="3"/>
  <c r="F5" i="3"/>
  <c r="F7" i="3" s="1"/>
  <c r="F4" i="3"/>
  <c r="F8" i="2"/>
  <c r="F6" i="2"/>
  <c r="F9" i="2" s="1"/>
  <c r="I4" i="2" s="1"/>
  <c r="F4" i="2"/>
  <c r="F5" i="2" s="1"/>
  <c r="F7" i="5" l="1"/>
  <c r="I4" i="5" s="1"/>
  <c r="F7" i="4"/>
  <c r="I4" i="4" s="1"/>
  <c r="I4" i="3"/>
</calcChain>
</file>

<file path=xl/sharedStrings.xml><?xml version="1.0" encoding="utf-8"?>
<sst xmlns="http://schemas.openxmlformats.org/spreadsheetml/2006/main" count="70" uniqueCount="25">
  <si>
    <t>Interest Rates</t>
  </si>
  <si>
    <t>APR</t>
  </si>
  <si>
    <t>Loan Amount</t>
  </si>
  <si>
    <t>n/a</t>
  </si>
  <si>
    <t>Input</t>
  </si>
  <si>
    <t>Closing costs</t>
  </si>
  <si>
    <t>Intermediate Calculation</t>
  </si>
  <si>
    <t>Loan Amount for APR</t>
  </si>
  <si>
    <t>Points</t>
  </si>
  <si>
    <t>Points for APR</t>
  </si>
  <si>
    <t>Origination Points</t>
  </si>
  <si>
    <t>Total Points</t>
  </si>
  <si>
    <t>1-point rate</t>
  </si>
  <si>
    <t>Result</t>
  </si>
  <si>
    <t>No need to calculate numbers in the gray area</t>
  </si>
  <si>
    <t>Discount Point</t>
  </si>
  <si>
    <t>Points for APR(as Discount Points)</t>
  </si>
  <si>
    <t>30-year Conforming Conventional</t>
  </si>
  <si>
    <t>Bank of America</t>
  </si>
  <si>
    <t>Chase</t>
  </si>
  <si>
    <t>Quicken</t>
  </si>
  <si>
    <t>Wells Fargo</t>
  </si>
  <si>
    <t>Interest Rate</t>
  </si>
  <si>
    <t>1-Point Rate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</si>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</sst>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6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71" formatCode="&quot;$&quot;#,##0.00"/>
    <numFmt numFmtId="172" formatCode="0.000%"/>
    <numFmt numFmtId="188" formatCode="0.000"/>
    <numFmt numFmtId="190" formatCode="0.0"/>
    <numFmt numFmtId="191" formatCode="\£\ #,##0_);[Red]\(\£\ #,##0\)"/>
    <numFmt numFmtId="192" formatCode="\¥\ #,##0_);[Red]\(\¥\ #,##0\)"/>
    <numFmt numFmtId="193" formatCode="\•\ \ @"/>
    <numFmt numFmtId="194" formatCode="_(&quot;$&quot;* #,##0_);_(&quot;$&quot;* \(#,##0.0\);_(&quot;$&quot;* &quot;-&quot;??_);_(@_)"/>
    <numFmt numFmtId="195" formatCode="&quot;$&quot;#,##0.000"/>
    <numFmt numFmtId="196" formatCode="&quot;$&quot;#,##0.000000_);\(&quot;$&quot;#,##0.000000\)"/>
    <numFmt numFmtId="197" formatCode="#,##0.0_);[Red]\(&quot;$&quot;#,##0.0\)"/>
    <numFmt numFmtId="198" formatCode="0.000_)"/>
    <numFmt numFmtId="199" formatCode="\ \ _•\–\ \ \ \ @"/>
    <numFmt numFmtId="200" formatCode="0.00&quot;%&quot;"/>
    <numFmt numFmtId="201" formatCode="0&quot;%&quot;"/>
    <numFmt numFmtId="202" formatCode="mmmm\ d\,\ yyyy"/>
    <numFmt numFmtId="203" formatCode="0.0000000"/>
    <numFmt numFmtId="204" formatCode="_([$€-2]* #,##0.00_);_([$€-2]* \(#,##0.00\);_([$€-2]* &quot;-&quot;??_)"/>
    <numFmt numFmtId="205" formatCode="dd\-mmm\-yy\ hh:mm:ss"/>
    <numFmt numFmtId="206" formatCode="0.00_)"/>
    <numFmt numFmtId="207" formatCode="0.0#\%;\-0.0#\%"/>
    <numFmt numFmtId="208" formatCode="#,##0.0\ ;\(#,##0.0\)"/>
    <numFmt numFmtId="209" formatCode="#,##0\ \ \ ;\(#,##0\)\ \ "/>
    <numFmt numFmtId="210" formatCode="0.0000_)"/>
    <numFmt numFmtId="211" formatCode="0.000;\-0.000"/>
    <numFmt numFmtId="212" formatCode="0.00;\-0.00"/>
    <numFmt numFmtId="213" formatCode="#,##0.0_);\(#,##0.0\)"/>
    <numFmt numFmtId="214" formatCode="mm/dd/yy"/>
    <numFmt numFmtId="215" formatCode="#,###\ &quot;Months&quot;"/>
    <numFmt numFmtId="216" formatCode="##########.###"/>
    <numFmt numFmtId="217" formatCode="0.0#%"/>
    <numFmt numFmtId="218" formatCode="0.0;\-0.0"/>
  </numFmts>
  <fonts count="1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0"/>
      <color theme="6" tint="-0.24994659260841701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1"/>
      <color theme="5"/>
      <name val="Calibri"/>
      <family val="2"/>
      <scheme val="minor"/>
    </font>
    <font>
      <sz val="11"/>
      <color theme="7" tint="-0.24994659260841701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26">
    <xf numFmtId="0" fontId="0" fillId="0" borderId="0"/>
    <xf numFmtId="9" fontId="1" fillId="0" borderId="0" applyFont="0" applyFill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6" fillId="6" borderId="3" applyNumberFormat="0"/>
    <xf numFmtId="0" fontId="7" fillId="7" borderId="4" applyNumberFormat="0"/>
    <xf numFmtId="14" fontId="8" fillId="6" borderId="5" applyNumberFormat="0" applyAlignment="0"/>
    <xf numFmtId="0" fontId="1" fillId="0" borderId="0"/>
    <xf numFmtId="0" fontId="1" fillId="0" borderId="0"/>
    <xf numFmtId="0" fontId="6" fillId="6" borderId="0"/>
    <xf numFmtId="0" fontId="6" fillId="3" borderId="2" applyNumberFormat="0" applyFont="0" applyAlignment="0" applyProtection="0"/>
    <xf numFmtId="0" fontId="6" fillId="8" borderId="6" applyBorder="0">
      <alignment horizontal="center" wrapText="1"/>
    </xf>
    <xf numFmtId="0" fontId="6" fillId="9" borderId="7" applyBorder="0">
      <alignment horizontal="center" wrapText="1"/>
    </xf>
    <xf numFmtId="0" fontId="5" fillId="10" borderId="7" applyBorder="0">
      <alignment horizontal="center" wrapText="1"/>
    </xf>
    <xf numFmtId="1" fontId="9" fillId="6" borderId="5"/>
    <xf numFmtId="0" fontId="10" fillId="6" borderId="4" applyNumberFormat="0" applyAlignment="0"/>
    <xf numFmtId="0" fontId="11" fillId="11" borderId="4" applyNumberFormat="0" applyAlignment="0"/>
    <xf numFmtId="188" fontId="12" fillId="11" borderId="5" applyNumberFormat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15" fillId="13" borderId="7" applyBorder="0">
      <alignment horizontal="center" wrapText="1"/>
    </xf>
    <xf numFmtId="0" fontId="6" fillId="14" borderId="3" applyNumberFormat="0"/>
    <xf numFmtId="0" fontId="7" fillId="7" borderId="4" applyNumberFormat="0" applyBorder="0"/>
    <xf numFmtId="0" fontId="7" fillId="7" borderId="4" applyNumberFormat="0"/>
    <xf numFmtId="0" fontId="1" fillId="0" borderId="0"/>
    <xf numFmtId="0" fontId="1" fillId="0" borderId="0"/>
    <xf numFmtId="0" fontId="16" fillId="0" borderId="0"/>
    <xf numFmtId="0" fontId="15" fillId="15" borderId="7" applyBorder="0">
      <alignment horizontal="center" wrapText="1"/>
    </xf>
    <xf numFmtId="0" fontId="15" fillId="15" borderId="7" applyBorder="0">
      <alignment horizontal="center" wrapText="1"/>
    </xf>
    <xf numFmtId="0" fontId="5" fillId="10" borderId="7" applyBorder="0">
      <alignment horizontal="center" wrapText="1"/>
    </xf>
    <xf numFmtId="0" fontId="5" fillId="10" borderId="7" applyBorder="0">
      <alignment horizontal="center" wrapText="1"/>
    </xf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7" fillId="0" borderId="0" applyNumberFormat="0" applyFill="0" applyBorder="0" applyAlignment="0" applyProtection="0">
      <alignment horizontal="left" wrapText="1"/>
    </xf>
    <xf numFmtId="0" fontId="17" fillId="0" borderId="0" applyNumberFormat="0" applyFill="0" applyBorder="0" applyAlignment="0" applyProtection="0">
      <alignment horizontal="left" wrapText="1"/>
    </xf>
    <xf numFmtId="0" fontId="17" fillId="0" borderId="0" applyNumberFormat="0" applyFill="0" applyBorder="0" applyAlignment="0" applyProtection="0">
      <alignment horizontal="left" wrapText="1"/>
    </xf>
    <xf numFmtId="0" fontId="17" fillId="0" borderId="0" applyNumberFormat="0" applyFill="0" applyBorder="0" applyAlignment="0" applyProtection="0">
      <alignment horizontal="left" wrapText="1"/>
    </xf>
    <xf numFmtId="191" fontId="18" fillId="0" borderId="0" applyFont="0" applyFill="0" applyBorder="0" applyAlignment="0" applyProtection="0"/>
    <xf numFmtId="192" fontId="18" fillId="0" borderId="0" applyFont="0" applyFill="0" applyBorder="0" applyAlignment="0" applyProtection="0"/>
    <xf numFmtId="0" fontId="19" fillId="16" borderId="0" applyNumberFormat="0" applyBorder="0" applyAlignment="0" applyProtection="0"/>
    <xf numFmtId="0" fontId="20" fillId="16" borderId="0" applyNumberFormat="0" applyBorder="0" applyAlignment="0" applyProtection="0"/>
    <xf numFmtId="0" fontId="21" fillId="17" borderId="0" applyNumberFormat="0" applyBorder="0" applyAlignment="0" applyProtection="0"/>
    <xf numFmtId="0" fontId="19" fillId="18" borderId="0" applyNumberFormat="0" applyBorder="0" applyAlignment="0" applyProtection="0"/>
    <xf numFmtId="0" fontId="20" fillId="18" borderId="0" applyNumberFormat="0" applyBorder="0" applyAlignment="0" applyProtection="0"/>
    <xf numFmtId="0" fontId="21" fillId="19" borderId="0" applyNumberFormat="0" applyBorder="0" applyAlignment="0" applyProtection="0"/>
    <xf numFmtId="0" fontId="19" fillId="20" borderId="0" applyNumberFormat="0" applyBorder="0" applyAlignment="0" applyProtection="0"/>
    <xf numFmtId="0" fontId="20" fillId="19" borderId="0" applyNumberFormat="0" applyBorder="0" applyAlignment="0" applyProtection="0"/>
    <xf numFmtId="0" fontId="21" fillId="21" borderId="0" applyNumberFormat="0" applyBorder="0" applyAlignment="0" applyProtection="0"/>
    <xf numFmtId="0" fontId="19" fillId="22" borderId="0" applyNumberFormat="0" applyBorder="0" applyAlignment="0" applyProtection="0"/>
    <xf numFmtId="0" fontId="20" fillId="23" borderId="0" applyNumberFormat="0" applyBorder="0" applyAlignment="0" applyProtection="0"/>
    <xf numFmtId="0" fontId="21" fillId="22" borderId="0" applyNumberFormat="0" applyBorder="0" applyAlignment="0" applyProtection="0"/>
    <xf numFmtId="0" fontId="19" fillId="16" borderId="0" applyNumberFormat="0" applyBorder="0" applyAlignment="0" applyProtection="0"/>
    <xf numFmtId="0" fontId="20" fillId="16" borderId="0" applyNumberFormat="0" applyBorder="0" applyAlignment="0" applyProtection="0"/>
    <xf numFmtId="0" fontId="21" fillId="16" borderId="0" applyNumberFormat="0" applyBorder="0" applyAlignment="0" applyProtection="0"/>
    <xf numFmtId="0" fontId="19" fillId="24" borderId="0" applyNumberFormat="0" applyBorder="0" applyAlignment="0" applyProtection="0"/>
    <xf numFmtId="0" fontId="20" fillId="25" borderId="0" applyNumberFormat="0" applyBorder="0" applyAlignment="0" applyProtection="0"/>
    <xf numFmtId="0" fontId="21" fillId="26" borderId="0" applyNumberFormat="0" applyBorder="0" applyAlignment="0" applyProtection="0"/>
    <xf numFmtId="0" fontId="19" fillId="27" borderId="0" applyNumberFormat="0" applyBorder="0" applyAlignment="0" applyProtection="0"/>
    <xf numFmtId="0" fontId="20" fillId="27" borderId="0" applyNumberFormat="0" applyBorder="0" applyAlignment="0" applyProtection="0"/>
    <xf numFmtId="0" fontId="21" fillId="27" borderId="0" applyNumberFormat="0" applyBorder="0" applyAlignment="0" applyProtection="0"/>
    <xf numFmtId="0" fontId="19" fillId="18" borderId="0" applyNumberFormat="0" applyBorder="0" applyAlignment="0" applyProtection="0"/>
    <xf numFmtId="0" fontId="20" fillId="21" borderId="0" applyNumberFormat="0" applyBorder="0" applyAlignment="0" applyProtection="0"/>
    <xf numFmtId="0" fontId="21" fillId="28" borderId="0" applyNumberFormat="0" applyBorder="0" applyAlignment="0" applyProtection="0"/>
    <xf numFmtId="0" fontId="19" fillId="24" borderId="0" applyNumberFormat="0" applyBorder="0" applyAlignment="0" applyProtection="0"/>
    <xf numFmtId="0" fontId="20" fillId="29" borderId="0" applyNumberFormat="0" applyBorder="0" applyAlignment="0" applyProtection="0"/>
    <xf numFmtId="0" fontId="21" fillId="21" borderId="0" applyNumberFormat="0" applyBorder="0" applyAlignment="0" applyProtection="0"/>
    <xf numFmtId="0" fontId="19" fillId="26" borderId="0" applyNumberFormat="0" applyBorder="0" applyAlignment="0" applyProtection="0"/>
    <xf numFmtId="0" fontId="20" fillId="23" borderId="0" applyNumberFormat="0" applyBorder="0" applyAlignment="0" applyProtection="0"/>
    <xf numFmtId="0" fontId="21" fillId="26" borderId="0" applyNumberFormat="0" applyBorder="0" applyAlignment="0" applyProtection="0"/>
    <xf numFmtId="0" fontId="19" fillId="16" borderId="0" applyNumberFormat="0" applyBorder="0" applyAlignment="0" applyProtection="0"/>
    <xf numFmtId="0" fontId="20" fillId="16" borderId="0" applyNumberFormat="0" applyBorder="0" applyAlignment="0" applyProtection="0"/>
    <xf numFmtId="0" fontId="21" fillId="30" borderId="0" applyNumberFormat="0" applyBorder="0" applyAlignment="0" applyProtection="0"/>
    <xf numFmtId="0" fontId="22" fillId="31" borderId="0" applyNumberFormat="0" applyBorder="0" applyAlignment="0" applyProtection="0"/>
    <xf numFmtId="0" fontId="23" fillId="32" borderId="0" applyNumberFormat="0" applyBorder="0" applyAlignment="0" applyProtection="0"/>
    <xf numFmtId="0" fontId="24" fillId="33" borderId="0" applyNumberFormat="0" applyBorder="0" applyAlignment="0" applyProtection="0"/>
    <xf numFmtId="0" fontId="22" fillId="27" borderId="0" applyNumberFormat="0" applyBorder="0" applyAlignment="0" applyProtection="0"/>
    <xf numFmtId="0" fontId="23" fillId="27" borderId="0" applyNumberFormat="0" applyBorder="0" applyAlignment="0" applyProtection="0"/>
    <xf numFmtId="0" fontId="24" fillId="27" borderId="0" applyNumberFormat="0" applyBorder="0" applyAlignment="0" applyProtection="0"/>
    <xf numFmtId="0" fontId="22" fillId="18" borderId="0" applyNumberFormat="0" applyBorder="0" applyAlignment="0" applyProtection="0"/>
    <xf numFmtId="0" fontId="23" fillId="21" borderId="0" applyNumberFormat="0" applyBorder="0" applyAlignment="0" applyProtection="0"/>
    <xf numFmtId="0" fontId="24" fillId="28" borderId="0" applyNumberFormat="0" applyBorder="0" applyAlignment="0" applyProtection="0"/>
    <xf numFmtId="0" fontId="22" fillId="24" borderId="0" applyNumberFormat="0" applyBorder="0" applyAlignment="0" applyProtection="0"/>
    <xf numFmtId="0" fontId="23" fillId="34" borderId="0" applyNumberFormat="0" applyBorder="0" applyAlignment="0" applyProtection="0"/>
    <xf numFmtId="0" fontId="24" fillId="35" borderId="0" applyNumberFormat="0" applyBorder="0" applyAlignment="0" applyProtection="0"/>
    <xf numFmtId="0" fontId="22" fillId="31" borderId="0" applyNumberFormat="0" applyBorder="0" applyAlignment="0" applyProtection="0"/>
    <xf numFmtId="0" fontId="23" fillId="32" borderId="0" applyNumberFormat="0" applyBorder="0" applyAlignment="0" applyProtection="0"/>
    <xf numFmtId="0" fontId="24" fillId="31" borderId="0" applyNumberFormat="0" applyBorder="0" applyAlignment="0" applyProtection="0"/>
    <xf numFmtId="0" fontId="22" fillId="16" borderId="0" applyNumberFormat="0" applyBorder="0" applyAlignment="0" applyProtection="0"/>
    <xf numFmtId="0" fontId="23" fillId="16" borderId="0" applyNumberFormat="0" applyBorder="0" applyAlignment="0" applyProtection="0"/>
    <xf numFmtId="0" fontId="24" fillId="36" borderId="0" applyNumberFormat="0" applyBorder="0" applyAlignment="0" applyProtection="0"/>
    <xf numFmtId="0" fontId="22" fillId="31" borderId="0" applyNumberFormat="0" applyBorder="0" applyAlignment="0" applyProtection="0"/>
    <xf numFmtId="0" fontId="23" fillId="37" borderId="0" applyNumberFormat="0" applyBorder="0" applyAlignment="0" applyProtection="0"/>
    <xf numFmtId="0" fontId="24" fillId="38" borderId="0" applyNumberFormat="0" applyBorder="0" applyAlignment="0" applyProtection="0"/>
    <xf numFmtId="0" fontId="22" fillId="39" borderId="0" applyNumberFormat="0" applyBorder="0" applyAlignment="0" applyProtection="0"/>
    <xf numFmtId="0" fontId="23" fillId="40" borderId="0" applyNumberFormat="0" applyBorder="0" applyAlignment="0" applyProtection="0"/>
    <xf numFmtId="0" fontId="24" fillId="39" borderId="0" applyNumberFormat="0" applyBorder="0" applyAlignment="0" applyProtection="0"/>
    <xf numFmtId="0" fontId="22" fillId="41" borderId="0" applyNumberFormat="0" applyBorder="0" applyAlignment="0" applyProtection="0"/>
    <xf numFmtId="0" fontId="23" fillId="40" borderId="0" applyNumberFormat="0" applyBorder="0" applyAlignment="0" applyProtection="0"/>
    <xf numFmtId="0" fontId="24" fillId="41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4" fillId="35" borderId="0" applyNumberFormat="0" applyBorder="0" applyAlignment="0" applyProtection="0"/>
    <xf numFmtId="0" fontId="22" fillId="31" borderId="0" applyNumberFormat="0" applyBorder="0" applyAlignment="0" applyProtection="0"/>
    <xf numFmtId="0" fontId="23" fillId="41" borderId="0" applyNumberFormat="0" applyBorder="0" applyAlignment="0" applyProtection="0"/>
    <xf numFmtId="0" fontId="24" fillId="31" borderId="0" applyNumberFormat="0" applyBorder="0" applyAlignment="0" applyProtection="0"/>
    <xf numFmtId="0" fontId="22" fillId="42" borderId="0" applyNumberFormat="0" applyBorder="0" applyAlignment="0" applyProtection="0"/>
    <xf numFmtId="0" fontId="23" fillId="42" borderId="0" applyNumberFormat="0" applyBorder="0" applyAlignment="0" applyProtection="0"/>
    <xf numFmtId="0" fontId="24" fillId="42" borderId="0" applyNumberFormat="0" applyBorder="0" applyAlignment="0" applyProtection="0"/>
    <xf numFmtId="0" fontId="17" fillId="0" borderId="0"/>
    <xf numFmtId="17" fontId="17" fillId="0" borderId="0" applyFont="0" applyFill="0" applyBorder="0" applyProtection="0">
      <alignment horizontal="left"/>
    </xf>
    <xf numFmtId="0" fontId="17" fillId="0" borderId="0" applyFont="0" applyFill="0" applyBorder="0" applyProtection="0">
      <alignment horizontal="left"/>
    </xf>
    <xf numFmtId="0" fontId="25" fillId="17" borderId="0" applyNumberFormat="0" applyBorder="0" applyAlignment="0" applyProtection="0"/>
    <xf numFmtId="0" fontId="26" fillId="17" borderId="0" applyNumberFormat="0" applyBorder="0" applyAlignment="0" applyProtection="0"/>
    <xf numFmtId="0" fontId="27" fillId="17" borderId="0" applyNumberFormat="0" applyBorder="0" applyAlignment="0" applyProtection="0"/>
    <xf numFmtId="38" fontId="28" fillId="20" borderId="0"/>
    <xf numFmtId="0" fontId="29" fillId="0" borderId="0" applyNumberFormat="0" applyFill="0" applyBorder="0" applyAlignment="0" applyProtection="0"/>
    <xf numFmtId="0" fontId="30" fillId="43" borderId="0">
      <alignment horizontal="left"/>
    </xf>
    <xf numFmtId="2" fontId="31" fillId="44" borderId="8" applyProtection="0">
      <alignment horizontal="left"/>
      <protection locked="0"/>
    </xf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7" fillId="45" borderId="0"/>
    <xf numFmtId="193" fontId="18" fillId="0" borderId="0" applyFont="0" applyFill="0" applyBorder="0" applyAlignment="0" applyProtection="0"/>
    <xf numFmtId="0" fontId="34" fillId="0" borderId="0" applyFill="0" applyBorder="0" applyAlignment="0"/>
    <xf numFmtId="194" fontId="17" fillId="0" borderId="0" applyFill="0" applyBorder="0" applyAlignment="0"/>
    <xf numFmtId="0" fontId="34" fillId="0" borderId="0" applyFill="0" applyBorder="0" applyAlignment="0"/>
    <xf numFmtId="195" fontId="17" fillId="0" borderId="0" applyFill="0" applyBorder="0" applyAlignment="0"/>
    <xf numFmtId="0" fontId="17" fillId="0" borderId="0" applyFill="0" applyBorder="0" applyAlignment="0"/>
    <xf numFmtId="196" fontId="17" fillId="0" borderId="0" applyFill="0" applyBorder="0" applyAlignment="0"/>
    <xf numFmtId="0" fontId="17" fillId="0" borderId="0" applyFill="0" applyBorder="0" applyAlignment="0"/>
    <xf numFmtId="194" fontId="35" fillId="0" borderId="0" applyFill="0" applyBorder="0" applyAlignment="0"/>
    <xf numFmtId="0" fontId="17" fillId="0" borderId="0" applyFill="0" applyBorder="0" applyAlignment="0"/>
    <xf numFmtId="197" fontId="17" fillId="0" borderId="0" applyFill="0" applyBorder="0" applyAlignment="0"/>
    <xf numFmtId="0" fontId="34" fillId="0" borderId="0" applyFill="0" applyBorder="0" applyAlignment="0"/>
    <xf numFmtId="194" fontId="17" fillId="0" borderId="0" applyFill="0" applyBorder="0" applyAlignment="0"/>
    <xf numFmtId="0" fontId="34" fillId="0" borderId="0" applyFill="0" applyBorder="0" applyAlignment="0"/>
    <xf numFmtId="194" fontId="17" fillId="0" borderId="0" applyFill="0" applyBorder="0" applyAlignment="0"/>
    <xf numFmtId="0" fontId="34" fillId="0" borderId="0" applyFill="0" applyBorder="0" applyAlignment="0"/>
    <xf numFmtId="195" fontId="17" fillId="0" borderId="0" applyFill="0" applyBorder="0" applyAlignment="0"/>
    <xf numFmtId="0" fontId="36" fillId="20" borderId="10" applyNumberFormat="0" applyAlignment="0" applyProtection="0"/>
    <xf numFmtId="0" fontId="37" fillId="22" borderId="10" applyNumberFormat="0" applyAlignment="0" applyProtection="0"/>
    <xf numFmtId="0" fontId="38" fillId="24" borderId="10" applyNumberFormat="0" applyAlignment="0" applyProtection="0"/>
    <xf numFmtId="0" fontId="39" fillId="14" borderId="3" applyNumberFormat="0"/>
    <xf numFmtId="0" fontId="15" fillId="46" borderId="7" applyBorder="0">
      <alignment horizontal="center" wrapText="1"/>
    </xf>
    <xf numFmtId="0" fontId="13" fillId="11" borderId="3" applyNumberFormat="0"/>
    <xf numFmtId="0" fontId="3" fillId="11" borderId="3" applyNumberFormat="0"/>
    <xf numFmtId="0" fontId="6" fillId="6" borderId="3" applyNumberFormat="0"/>
    <xf numFmtId="0" fontId="13" fillId="6" borderId="3" applyNumberFormat="0"/>
    <xf numFmtId="0" fontId="39" fillId="14" borderId="3" applyNumberFormat="0"/>
    <xf numFmtId="0" fontId="7" fillId="7" borderId="4" applyNumberFormat="0" applyBorder="0"/>
    <xf numFmtId="0" fontId="7" fillId="7" borderId="4" applyNumberFormat="0" applyBorder="0"/>
    <xf numFmtId="14" fontId="8" fillId="11" borderId="5" applyNumberFormat="0" applyAlignment="0"/>
    <xf numFmtId="14" fontId="40" fillId="11" borderId="5" applyNumberFormat="0" applyAlignment="0"/>
    <xf numFmtId="0" fontId="41" fillId="47" borderId="11" applyNumberFormat="0" applyAlignment="0" applyProtection="0"/>
    <xf numFmtId="0" fontId="42" fillId="47" borderId="11" applyNumberFormat="0" applyAlignment="0" applyProtection="0"/>
    <xf numFmtId="0" fontId="43" fillId="47" borderId="11" applyNumberFormat="0" applyAlignment="0" applyProtection="0"/>
    <xf numFmtId="0" fontId="44" fillId="0" borderId="0" applyNumberFormat="0" applyFill="0" applyBorder="0" applyAlignment="0" applyProtection="0"/>
    <xf numFmtId="198" fontId="45" fillId="0" borderId="0"/>
    <xf numFmtId="198" fontId="46" fillId="0" borderId="0"/>
    <xf numFmtId="198" fontId="45" fillId="0" borderId="0"/>
    <xf numFmtId="198" fontId="46" fillId="0" borderId="0"/>
    <xf numFmtId="198" fontId="45" fillId="0" borderId="0"/>
    <xf numFmtId="198" fontId="46" fillId="0" borderId="0"/>
    <xf numFmtId="198" fontId="45" fillId="0" borderId="0"/>
    <xf numFmtId="198" fontId="46" fillId="0" borderId="0"/>
    <xf numFmtId="198" fontId="45" fillId="0" borderId="0"/>
    <xf numFmtId="198" fontId="46" fillId="0" borderId="0"/>
    <xf numFmtId="198" fontId="45" fillId="0" borderId="0"/>
    <xf numFmtId="198" fontId="46" fillId="0" borderId="0"/>
    <xf numFmtId="198" fontId="45" fillId="0" borderId="0"/>
    <xf numFmtId="198" fontId="46" fillId="0" borderId="0"/>
    <xf numFmtId="198" fontId="45" fillId="0" borderId="0"/>
    <xf numFmtId="198" fontId="46" fillId="0" borderId="0"/>
    <xf numFmtId="0" fontId="34" fillId="0" borderId="0" applyFont="0" applyFill="0" applyBorder="0" applyAlignment="0" applyProtection="0"/>
    <xf numFmtId="19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3" fontId="17" fillId="0" borderId="0" applyFill="0" applyBorder="0" applyAlignment="0" applyProtection="0"/>
    <xf numFmtId="0" fontId="47" fillId="0" borderId="0"/>
    <xf numFmtId="0" fontId="48" fillId="0" borderId="0" applyNumberFormat="0" applyAlignment="0">
      <alignment horizontal="left"/>
    </xf>
    <xf numFmtId="0" fontId="49" fillId="0" borderId="0">
      <alignment horizontal="center"/>
    </xf>
    <xf numFmtId="0" fontId="47" fillId="0" borderId="0"/>
    <xf numFmtId="0" fontId="34" fillId="0" borderId="0" applyFont="0" applyFill="0" applyBorder="0" applyAlignment="0" applyProtection="0"/>
    <xf numFmtId="195" fontId="17" fillId="0" borderId="0" applyFont="0" applyFill="0" applyBorder="0" applyAlignment="0" applyProtection="0"/>
    <xf numFmtId="8" fontId="50" fillId="0" borderId="12">
      <protection locked="0"/>
    </xf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5" fontId="17" fillId="0" borderId="0" applyFill="0" applyBorder="0" applyAlignment="0" applyProtection="0"/>
    <xf numFmtId="199" fontId="18" fillId="0" borderId="0" applyFont="0" applyFill="0" applyBorder="0" applyAlignment="0" applyProtection="0"/>
    <xf numFmtId="10" fontId="17" fillId="0" borderId="0" applyFont="0" applyFill="0" applyBorder="0" applyProtection="0">
      <alignment horizontal="center"/>
    </xf>
    <xf numFmtId="200" fontId="17" fillId="0" borderId="0" applyFont="0" applyFill="0" applyBorder="0" applyProtection="0"/>
    <xf numFmtId="201" fontId="17" fillId="0" borderId="0" applyFont="0" applyFill="0" applyBorder="0" applyProtection="0"/>
    <xf numFmtId="15" fontId="51" fillId="0" borderId="0" applyFont="0" applyFill="0" applyBorder="0" applyAlignment="0" applyProtection="0"/>
    <xf numFmtId="0" fontId="47" fillId="0" borderId="0"/>
    <xf numFmtId="202" fontId="17" fillId="0" borderId="0" applyFill="0" applyBorder="0" applyAlignment="0" applyProtection="0"/>
    <xf numFmtId="202" fontId="17" fillId="0" borderId="0" applyFill="0" applyBorder="0" applyAlignment="0" applyProtection="0"/>
    <xf numFmtId="202" fontId="17" fillId="0" borderId="0" applyFill="0" applyBorder="0" applyAlignment="0" applyProtection="0"/>
    <xf numFmtId="202" fontId="17" fillId="0" borderId="0" applyFill="0" applyBorder="0" applyAlignment="0" applyProtection="0"/>
    <xf numFmtId="202" fontId="17" fillId="0" borderId="0" applyFill="0" applyBorder="0" applyAlignment="0" applyProtection="0"/>
    <xf numFmtId="15" fontId="20" fillId="20" borderId="0"/>
    <xf numFmtId="14" fontId="20" fillId="0" borderId="0" applyFill="0" applyBorder="0" applyAlignment="0"/>
    <xf numFmtId="0" fontId="49" fillId="44" borderId="0">
      <alignment horizontal="left"/>
    </xf>
    <xf numFmtId="202" fontId="17" fillId="0" borderId="0" applyFill="0" applyBorder="0" applyAlignment="0" applyProtection="0"/>
    <xf numFmtId="14" fontId="17" fillId="0" borderId="0"/>
    <xf numFmtId="0" fontId="52" fillId="27" borderId="0">
      <alignment horizontal="left"/>
    </xf>
    <xf numFmtId="0" fontId="53" fillId="0" borderId="0">
      <alignment horizontal="left"/>
    </xf>
    <xf numFmtId="38" fontId="54" fillId="0" borderId="13">
      <alignment vertical="center"/>
    </xf>
    <xf numFmtId="188" fontId="17" fillId="0" borderId="0">
      <alignment horizontal="right"/>
    </xf>
    <xf numFmtId="1" fontId="17" fillId="0" borderId="0">
      <alignment horizontal="right"/>
    </xf>
    <xf numFmtId="1" fontId="17" fillId="0" borderId="0">
      <alignment horizontal="right"/>
    </xf>
    <xf numFmtId="203" fontId="17" fillId="0" borderId="0">
      <alignment horizontal="right"/>
    </xf>
    <xf numFmtId="49" fontId="17" fillId="0" borderId="0">
      <alignment horizontal="left"/>
    </xf>
    <xf numFmtId="49" fontId="17" fillId="0" borderId="0">
      <alignment horizontal="left"/>
    </xf>
    <xf numFmtId="49" fontId="17" fillId="0" borderId="0">
      <alignment horizontal="right"/>
    </xf>
    <xf numFmtId="14" fontId="17" fillId="0" borderId="0">
      <alignment horizontal="left"/>
    </xf>
    <xf numFmtId="0" fontId="34" fillId="0" borderId="0" applyFill="0" applyBorder="0" applyAlignment="0"/>
    <xf numFmtId="194" fontId="17" fillId="0" borderId="0" applyFill="0" applyBorder="0" applyAlignment="0"/>
    <xf numFmtId="0" fontId="34" fillId="0" borderId="0" applyFill="0" applyBorder="0" applyAlignment="0"/>
    <xf numFmtId="195" fontId="17" fillId="0" borderId="0" applyFill="0" applyBorder="0" applyAlignment="0"/>
    <xf numFmtId="0" fontId="34" fillId="0" borderId="0" applyFill="0" applyBorder="0" applyAlignment="0"/>
    <xf numFmtId="194" fontId="17" fillId="0" borderId="0" applyFill="0" applyBorder="0" applyAlignment="0"/>
    <xf numFmtId="0" fontId="34" fillId="0" borderId="0" applyFill="0" applyBorder="0" applyAlignment="0"/>
    <xf numFmtId="194" fontId="17" fillId="0" borderId="0" applyFill="0" applyBorder="0" applyAlignment="0"/>
    <xf numFmtId="0" fontId="34" fillId="0" borderId="0" applyFill="0" applyBorder="0" applyAlignment="0"/>
    <xf numFmtId="195" fontId="17" fillId="0" borderId="0" applyFill="0" applyBorder="0" applyAlignment="0"/>
    <xf numFmtId="0" fontId="55" fillId="0" borderId="0" applyNumberFormat="0" applyAlignment="0">
      <alignment horizontal="left"/>
    </xf>
    <xf numFmtId="9" fontId="56" fillId="0" borderId="14" applyNumberFormat="0" applyBorder="0" applyAlignment="0">
      <protection locked="0"/>
    </xf>
    <xf numFmtId="204" fontId="17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2" fontId="17" fillId="0" borderId="0" applyFill="0" applyBorder="0" applyAlignment="0" applyProtection="0"/>
    <xf numFmtId="205" fontId="17" fillId="0" borderId="0" applyFont="0" applyFill="0" applyBorder="0" applyAlignment="0" applyProtection="0"/>
    <xf numFmtId="0" fontId="20" fillId="20" borderId="0"/>
    <xf numFmtId="0" fontId="60" fillId="19" borderId="0" applyNumberFormat="0" applyBorder="0" applyAlignment="0" applyProtection="0"/>
    <xf numFmtId="0" fontId="61" fillId="23" borderId="0" applyNumberFormat="0" applyBorder="0" applyAlignment="0" applyProtection="0"/>
    <xf numFmtId="0" fontId="62" fillId="19" borderId="0" applyNumberFormat="0" applyBorder="0" applyAlignment="0" applyProtection="0"/>
    <xf numFmtId="2" fontId="63" fillId="44" borderId="8" applyProtection="0">
      <alignment horizontal="left"/>
      <protection locked="0"/>
    </xf>
    <xf numFmtId="38" fontId="44" fillId="48" borderId="0" applyNumberFormat="0" applyBorder="0" applyAlignment="0" applyProtection="0"/>
    <xf numFmtId="0" fontId="64" fillId="0" borderId="15" applyNumberFormat="0" applyAlignment="0" applyProtection="0">
      <alignment horizontal="left" vertical="center"/>
    </xf>
    <xf numFmtId="0" fontId="64" fillId="0" borderId="16">
      <alignment horizontal="left" vertical="center"/>
    </xf>
    <xf numFmtId="0" fontId="65" fillId="24" borderId="14">
      <alignment horizontal="centerContinuous"/>
    </xf>
    <xf numFmtId="0" fontId="66" fillId="0" borderId="17" applyNumberFormat="0" applyFill="0" applyAlignment="0" applyProtection="0"/>
    <xf numFmtId="0" fontId="6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19" applyNumberFormat="0" applyFill="0" applyAlignment="0" applyProtection="0"/>
    <xf numFmtId="0" fontId="71" fillId="0" borderId="20" applyNumberFormat="0" applyFill="0" applyAlignment="0" applyProtection="0"/>
    <xf numFmtId="0" fontId="72" fillId="0" borderId="21" applyNumberFormat="0" applyFill="0" applyAlignment="0" applyProtection="0"/>
    <xf numFmtId="0" fontId="5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73" fillId="0" borderId="20" applyNumberFormat="0" applyFill="0" applyAlignment="0" applyProtection="0"/>
    <xf numFmtId="0" fontId="74" fillId="0" borderId="22" applyNumberFormat="0" applyFill="0" applyAlignment="0" applyProtection="0"/>
    <xf numFmtId="0" fontId="75" fillId="0" borderId="23" applyNumberFormat="0" applyFill="0" applyAlignment="0" applyProtection="0"/>
    <xf numFmtId="0" fontId="76" fillId="0" borderId="24" applyNumberFormat="0" applyFill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20" borderId="0"/>
    <xf numFmtId="0" fontId="6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10" fontId="44" fillId="49" borderId="14" applyNumberFormat="0" applyBorder="0" applyAlignment="0" applyProtection="0"/>
    <xf numFmtId="2" fontId="79" fillId="0" borderId="25" applyNumberFormat="0" applyFill="0" applyBorder="0" applyAlignment="0">
      <alignment horizontal="center"/>
      <protection locked="0"/>
    </xf>
    <xf numFmtId="2" fontId="79" fillId="0" borderId="25" applyNumberFormat="0" applyFill="0" applyBorder="0" applyAlignment="0">
      <alignment horizontal="center"/>
      <protection locked="0"/>
    </xf>
    <xf numFmtId="0" fontId="2" fillId="2" borderId="1" applyNumberFormat="0" applyAlignment="0" applyProtection="0"/>
    <xf numFmtId="0" fontId="80" fillId="16" borderId="10" applyNumberFormat="0" applyAlignment="0" applyProtection="0"/>
    <xf numFmtId="0" fontId="80" fillId="16" borderId="10" applyNumberFormat="0" applyAlignment="0" applyProtection="0"/>
    <xf numFmtId="0" fontId="80" fillId="16" borderId="10" applyNumberFormat="0" applyAlignment="0" applyProtection="0"/>
    <xf numFmtId="0" fontId="80" fillId="16" borderId="10" applyNumberFormat="0" applyAlignment="0" applyProtection="0"/>
    <xf numFmtId="37" fontId="81" fillId="0" borderId="0" applyNumberFormat="0" applyAlignment="0">
      <protection locked="0"/>
    </xf>
    <xf numFmtId="0" fontId="82" fillId="0" borderId="0"/>
    <xf numFmtId="0" fontId="34" fillId="0" borderId="0" applyFill="0" applyBorder="0" applyAlignment="0"/>
    <xf numFmtId="194" fontId="17" fillId="0" borderId="0" applyFill="0" applyBorder="0" applyAlignment="0"/>
    <xf numFmtId="0" fontId="34" fillId="0" borderId="0" applyFill="0" applyBorder="0" applyAlignment="0"/>
    <xf numFmtId="195" fontId="17" fillId="0" borderId="0" applyFill="0" applyBorder="0" applyAlignment="0"/>
    <xf numFmtId="0" fontId="34" fillId="0" borderId="0" applyFill="0" applyBorder="0" applyAlignment="0"/>
    <xf numFmtId="194" fontId="17" fillId="0" borderId="0" applyFill="0" applyBorder="0" applyAlignment="0"/>
    <xf numFmtId="0" fontId="34" fillId="0" borderId="0" applyFill="0" applyBorder="0" applyAlignment="0"/>
    <xf numFmtId="194" fontId="17" fillId="0" borderId="0" applyFill="0" applyBorder="0" applyAlignment="0"/>
    <xf numFmtId="0" fontId="34" fillId="0" borderId="0" applyFill="0" applyBorder="0" applyAlignment="0"/>
    <xf numFmtId="195" fontId="17" fillId="0" borderId="0" applyFill="0" applyBorder="0" applyAlignment="0"/>
    <xf numFmtId="0" fontId="83" fillId="0" borderId="26" applyNumberFormat="0" applyFill="0" applyAlignment="0" applyProtection="0"/>
    <xf numFmtId="0" fontId="84" fillId="0" borderId="26" applyNumberFormat="0" applyFill="0" applyAlignment="0" applyProtection="0"/>
    <xf numFmtId="0" fontId="85" fillId="0" borderId="26" applyNumberFormat="0" applyFill="0" applyAlignment="0" applyProtection="0"/>
    <xf numFmtId="0" fontId="17" fillId="48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8" fontId="20" fillId="20" borderId="0"/>
    <xf numFmtId="0" fontId="86" fillId="16" borderId="0" applyNumberFormat="0" applyBorder="0" applyAlignment="0" applyProtection="0"/>
    <xf numFmtId="0" fontId="87" fillId="21" borderId="0" applyNumberFormat="0" applyBorder="0" applyAlignment="0" applyProtection="0"/>
    <xf numFmtId="0" fontId="88" fillId="45" borderId="0" applyNumberFormat="0" applyBorder="0" applyAlignment="0" applyProtection="0"/>
    <xf numFmtId="37" fontId="89" fillId="0" borderId="0"/>
    <xf numFmtId="0" fontId="52" fillId="20" borderId="0" applyNumberFormat="0" applyFont="0" applyFill="0" applyBorder="0" applyAlignment="0"/>
    <xf numFmtId="10" fontId="20" fillId="20" borderId="0"/>
    <xf numFmtId="206" fontId="9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6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11" borderId="0"/>
    <xf numFmtId="0" fontId="17" fillId="11" borderId="0"/>
    <xf numFmtId="0" fontId="17" fillId="0" borderId="0"/>
    <xf numFmtId="0" fontId="17" fillId="0" borderId="0"/>
    <xf numFmtId="0" fontId="6" fillId="6" borderId="0"/>
    <xf numFmtId="0" fontId="6" fillId="6" borderId="0"/>
    <xf numFmtId="0" fontId="6" fillId="6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6" fillId="6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18" borderId="27" applyNumberFormat="0" applyFont="0" applyAlignment="0" applyProtection="0"/>
    <xf numFmtId="0" fontId="91" fillId="18" borderId="27" applyNumberFormat="0" applyFont="0" applyAlignment="0" applyProtection="0"/>
    <xf numFmtId="0" fontId="6" fillId="3" borderId="2" applyNumberFormat="0" applyFont="0" applyAlignment="0" applyProtection="0"/>
    <xf numFmtId="0" fontId="92" fillId="0" borderId="0"/>
    <xf numFmtId="0" fontId="21" fillId="18" borderId="27" applyNumberFormat="0" applyFont="0" applyAlignment="0" applyProtection="0"/>
    <xf numFmtId="0" fontId="6" fillId="3" borderId="2" applyNumberFormat="0" applyFont="0" applyAlignment="0" applyProtection="0"/>
    <xf numFmtId="0" fontId="6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207" fontId="34" fillId="0" borderId="0">
      <alignment horizontal="center"/>
    </xf>
    <xf numFmtId="37" fontId="17" fillId="0" borderId="0"/>
    <xf numFmtId="208" fontId="4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209" fontId="93" fillId="0" borderId="0" applyNumberFormat="0" applyFill="0" applyBorder="0" applyAlignment="0" applyProtection="0"/>
    <xf numFmtId="190" fontId="34" fillId="0" borderId="0">
      <alignment horizontal="center"/>
    </xf>
    <xf numFmtId="0" fontId="6" fillId="12" borderId="0" applyNumberFormat="0" applyFont="0" applyBorder="0" applyAlignment="0" applyProtection="0"/>
    <xf numFmtId="0" fontId="93" fillId="0" borderId="28"/>
    <xf numFmtId="2" fontId="94" fillId="44" borderId="8">
      <alignment horizontal="left"/>
    </xf>
    <xf numFmtId="0" fontId="95" fillId="20" borderId="29" applyNumberFormat="0" applyAlignment="0" applyProtection="0"/>
    <xf numFmtId="0" fontId="96" fillId="22" borderId="29" applyNumberFormat="0" applyAlignment="0" applyProtection="0"/>
    <xf numFmtId="0" fontId="97" fillId="24" borderId="29" applyNumberFormat="0" applyAlignment="0" applyProtection="0"/>
    <xf numFmtId="40" fontId="20" fillId="44" borderId="0">
      <alignment horizontal="right"/>
    </xf>
    <xf numFmtId="0" fontId="98" fillId="49" borderId="0">
      <alignment horizontal="center"/>
    </xf>
    <xf numFmtId="0" fontId="42" fillId="50" borderId="8"/>
    <xf numFmtId="0" fontId="99" fillId="0" borderId="0" applyBorder="0">
      <alignment horizontal="centerContinuous"/>
    </xf>
    <xf numFmtId="0" fontId="100" fillId="0" borderId="0" applyBorder="0">
      <alignment horizontal="centerContinuous"/>
    </xf>
    <xf numFmtId="0" fontId="64" fillId="0" borderId="0"/>
    <xf numFmtId="0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0" fontId="101" fillId="0" borderId="0" applyFont="0" applyFill="0" applyBorder="0" applyAlignment="0" applyProtection="0"/>
    <xf numFmtId="210" fontId="35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3" fillId="0" borderId="0"/>
    <xf numFmtId="0" fontId="34" fillId="0" borderId="0" applyFill="0" applyBorder="0" applyAlignment="0"/>
    <xf numFmtId="194" fontId="17" fillId="0" borderId="0" applyFill="0" applyBorder="0" applyAlignment="0"/>
    <xf numFmtId="0" fontId="34" fillId="0" borderId="0" applyFill="0" applyBorder="0" applyAlignment="0"/>
    <xf numFmtId="195" fontId="17" fillId="0" borderId="0" applyFill="0" applyBorder="0" applyAlignment="0"/>
    <xf numFmtId="0" fontId="34" fillId="0" borderId="0" applyFill="0" applyBorder="0" applyAlignment="0"/>
    <xf numFmtId="194" fontId="17" fillId="0" borderId="0" applyFill="0" applyBorder="0" applyAlignment="0"/>
    <xf numFmtId="0" fontId="34" fillId="0" borderId="0" applyFill="0" applyBorder="0" applyAlignment="0"/>
    <xf numFmtId="194" fontId="17" fillId="0" borderId="0" applyFill="0" applyBorder="0" applyAlignment="0"/>
    <xf numFmtId="0" fontId="34" fillId="0" borderId="0" applyFill="0" applyBorder="0" applyAlignment="0"/>
    <xf numFmtId="195" fontId="17" fillId="0" borderId="0" applyFill="0" applyBorder="0" applyAlignment="0"/>
    <xf numFmtId="211" fontId="34" fillId="0" borderId="0">
      <alignment horizontal="center"/>
    </xf>
    <xf numFmtId="212" fontId="34" fillId="0" borderId="14">
      <alignment horizontal="center"/>
    </xf>
    <xf numFmtId="0" fontId="102" fillId="0" borderId="30" applyAlignment="0">
      <alignment horizontal="center"/>
    </xf>
    <xf numFmtId="0" fontId="103" fillId="48" borderId="0"/>
    <xf numFmtId="0" fontId="54" fillId="0" borderId="0" applyNumberFormat="0" applyFont="0" applyFill="0" applyBorder="0" applyAlignment="0" applyProtection="0">
      <alignment horizontal="left"/>
    </xf>
    <xf numFmtId="0" fontId="104" fillId="0" borderId="31">
      <alignment horizontal="center"/>
    </xf>
    <xf numFmtId="0" fontId="51" fillId="0" borderId="0">
      <alignment vertical="top"/>
    </xf>
    <xf numFmtId="213" fontId="51" fillId="0" borderId="0">
      <alignment vertical="top"/>
    </xf>
    <xf numFmtId="0" fontId="102" fillId="0" borderId="0">
      <alignment horizontal="left"/>
    </xf>
    <xf numFmtId="0" fontId="102" fillId="0" borderId="0">
      <alignment horizontal="right"/>
    </xf>
    <xf numFmtId="0" fontId="20" fillId="0" borderId="8" applyNumberFormat="0" applyBorder="0" applyAlignment="0"/>
    <xf numFmtId="214" fontId="105" fillId="0" borderId="0" applyNumberFormat="0" applyFill="0" applyBorder="0" applyAlignment="0" applyProtection="0">
      <alignment horizontal="left"/>
    </xf>
    <xf numFmtId="0" fontId="52" fillId="41" borderId="0">
      <alignment horizontal="left"/>
    </xf>
    <xf numFmtId="0" fontId="106" fillId="0" borderId="32"/>
    <xf numFmtId="212" fontId="31" fillId="18" borderId="0">
      <alignment horizontal="center"/>
    </xf>
    <xf numFmtId="212" fontId="107" fillId="18" borderId="0">
      <alignment horizontal="center"/>
    </xf>
    <xf numFmtId="212" fontId="31" fillId="19" borderId="0">
      <alignment horizontal="center"/>
    </xf>
    <xf numFmtId="0" fontId="31" fillId="18" borderId="0">
      <alignment horizontal="left"/>
    </xf>
    <xf numFmtId="0" fontId="108" fillId="0" borderId="0" applyFont="0" applyFill="0" applyBorder="0" applyAlignment="0" applyProtection="0"/>
    <xf numFmtId="215" fontId="35" fillId="0" borderId="0" applyFont="0" applyFill="0" applyBorder="0" applyAlignment="0" applyProtection="0"/>
    <xf numFmtId="216" fontId="17" fillId="0" borderId="0"/>
    <xf numFmtId="0" fontId="17" fillId="0" borderId="0"/>
    <xf numFmtId="0" fontId="17" fillId="0" borderId="0">
      <alignment horizontal="left" wrapText="1"/>
    </xf>
    <xf numFmtId="0" fontId="31" fillId="18" borderId="0">
      <alignment horizontal="center"/>
    </xf>
    <xf numFmtId="0" fontId="102" fillId="0" borderId="0"/>
    <xf numFmtId="0" fontId="109" fillId="0" borderId="0"/>
    <xf numFmtId="40" fontId="110" fillId="0" borderId="0" applyBorder="0">
      <alignment horizontal="right"/>
    </xf>
    <xf numFmtId="0" fontId="17" fillId="44" borderId="27"/>
    <xf numFmtId="0" fontId="34" fillId="0" borderId="0">
      <alignment horizontal="center"/>
    </xf>
    <xf numFmtId="15" fontId="34" fillId="0" borderId="0">
      <alignment horizontal="center"/>
    </xf>
    <xf numFmtId="0" fontId="111" fillId="0" borderId="0">
      <alignment horizontal="center"/>
    </xf>
    <xf numFmtId="3" fontId="34" fillId="0" borderId="0">
      <alignment horizontal="center"/>
    </xf>
    <xf numFmtId="217" fontId="34" fillId="0" borderId="0">
      <alignment horizontal="center"/>
    </xf>
    <xf numFmtId="212" fontId="34" fillId="0" borderId="0">
      <alignment horizontal="center"/>
    </xf>
    <xf numFmtId="0" fontId="112" fillId="51" borderId="0"/>
    <xf numFmtId="218" fontId="34" fillId="0" borderId="0">
      <alignment horizontal="center"/>
    </xf>
    <xf numFmtId="218" fontId="34" fillId="0" borderId="33">
      <alignment horizontal="center"/>
    </xf>
    <xf numFmtId="0" fontId="34" fillId="0" borderId="0">
      <alignment horizontal="left"/>
    </xf>
    <xf numFmtId="0" fontId="113" fillId="0" borderId="0">
      <alignment horizontal="center"/>
    </xf>
    <xf numFmtId="0" fontId="114" fillId="0" borderId="0" applyNumberFormat="0" applyFill="0" applyBorder="0"/>
    <xf numFmtId="0" fontId="20" fillId="20" borderId="0"/>
    <xf numFmtId="49" fontId="20" fillId="0" borderId="0" applyFill="0" applyBorder="0" applyAlignment="0"/>
    <xf numFmtId="0" fontId="34" fillId="0" borderId="0" applyFill="0" applyBorder="0" applyAlignment="0"/>
    <xf numFmtId="195" fontId="17" fillId="0" borderId="0" applyFill="0" applyBorder="0" applyAlignment="0"/>
    <xf numFmtId="0" fontId="17" fillId="0" borderId="0" applyFill="0" applyBorder="0" applyAlignment="0"/>
    <xf numFmtId="197" fontId="17" fillId="0" borderId="0" applyFill="0" applyBorder="0" applyAlignment="0"/>
    <xf numFmtId="49" fontId="17" fillId="0" borderId="0"/>
    <xf numFmtId="0" fontId="115" fillId="0" borderId="0">
      <alignment horizontal="right"/>
    </xf>
    <xf numFmtId="0" fontId="116" fillId="0" borderId="0">
      <alignment horizontal="right"/>
      <protection locked="0"/>
    </xf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28" fillId="20" borderId="0"/>
    <xf numFmtId="0" fontId="15" fillId="13" borderId="7" applyBorder="0">
      <alignment horizontal="center" wrapText="1"/>
    </xf>
    <xf numFmtId="0" fontId="15" fillId="46" borderId="7" applyBorder="0">
      <alignment horizontal="center" wrapText="1"/>
    </xf>
    <xf numFmtId="0" fontId="5" fillId="10" borderId="7" applyBorder="0">
      <alignment horizontal="center" wrapText="1"/>
    </xf>
    <xf numFmtId="0" fontId="5" fillId="10" borderId="7" applyBorder="0">
      <alignment horizontal="center" wrapText="1"/>
    </xf>
    <xf numFmtId="0" fontId="102" fillId="0" borderId="0" applyNumberFormat="0" applyFill="0" applyBorder="0" applyAlignment="0" applyProtection="0"/>
    <xf numFmtId="0" fontId="120" fillId="0" borderId="34" applyNumberFormat="0" applyFill="0" applyAlignment="0" applyProtection="0"/>
    <xf numFmtId="0" fontId="28" fillId="0" borderId="35" applyNumberFormat="0" applyFill="0" applyAlignment="0" applyProtection="0"/>
    <xf numFmtId="0" fontId="17" fillId="0" borderId="36" applyNumberFormat="0" applyFill="0" applyAlignment="0" applyProtection="0"/>
    <xf numFmtId="0" fontId="121" fillId="0" borderId="37" applyNumberFormat="0" applyFill="0" applyAlignment="0" applyProtection="0"/>
    <xf numFmtId="0" fontId="122" fillId="20" borderId="0"/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1" fontId="9" fillId="11" borderId="5"/>
    <xf numFmtId="2" fontId="126" fillId="11" borderId="5"/>
    <xf numFmtId="1" fontId="127" fillId="11" borderId="5" applyNumberFormat="0"/>
    <xf numFmtId="0" fontId="17" fillId="0" borderId="0"/>
  </cellStyleXfs>
  <cellXfs count="29">
    <xf numFmtId="0" fontId="0" fillId="0" borderId="0" xfId="0"/>
    <xf numFmtId="10" fontId="0" fillId="0" borderId="0" xfId="1" applyNumberFormat="1" applyFont="1"/>
    <xf numFmtId="171" fontId="0" fillId="0" borderId="0" xfId="0" applyNumberFormat="1"/>
    <xf numFmtId="0" fontId="0" fillId="0" borderId="0" xfId="0"/>
    <xf numFmtId="172" fontId="0" fillId="0" borderId="0" xfId="1" applyNumberFormat="1" applyFont="1"/>
    <xf numFmtId="0" fontId="4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5" borderId="0" xfId="0" applyFill="1"/>
    <xf numFmtId="171" fontId="0" fillId="5" borderId="0" xfId="0" applyNumberFormat="1" applyFill="1"/>
    <xf numFmtId="10" fontId="0" fillId="5" borderId="0" xfId="1" applyNumberFormat="1" applyFont="1" applyFill="1"/>
    <xf numFmtId="172" fontId="0" fillId="5" borderId="0" xfId="1" applyNumberFormat="1" applyFont="1" applyFill="1"/>
    <xf numFmtId="172" fontId="0" fillId="0" borderId="0" xfId="0" applyNumberFormat="1"/>
    <xf numFmtId="172" fontId="4" fillId="0" borderId="0" xfId="0" applyNumberFormat="1" applyFont="1"/>
    <xf numFmtId="0" fontId="4" fillId="0" borderId="0" xfId="0" applyFont="1" applyAlignment="1">
      <alignment horizontal="center"/>
    </xf>
    <xf numFmtId="171" fontId="0" fillId="0" borderId="0" xfId="0" applyNumberFormat="1" applyAlignment="1">
      <alignment horizontal="right"/>
    </xf>
    <xf numFmtId="172" fontId="0" fillId="5" borderId="0" xfId="0" applyNumberFormat="1" applyFill="1"/>
    <xf numFmtId="172" fontId="5" fillId="0" borderId="0" xfId="1" applyNumberFormat="1" applyFont="1" applyBorder="1"/>
    <xf numFmtId="172" fontId="14" fillId="0" borderId="38" xfId="0" applyNumberFormat="1" applyFont="1" applyBorder="1"/>
    <xf numFmtId="172" fontId="14" fillId="0" borderId="16" xfId="0" applyNumberFormat="1" applyFont="1" applyBorder="1"/>
    <xf numFmtId="0" fontId="14" fillId="0" borderId="14" xfId="0" applyFont="1" applyFill="1" applyBorder="1" applyAlignment="1">
      <alignment horizontal="right" indent="1"/>
    </xf>
    <xf numFmtId="0" fontId="14" fillId="13" borderId="38" xfId="0" applyFont="1" applyFill="1" applyBorder="1" applyAlignment="1">
      <alignment horizontal="center"/>
    </xf>
    <xf numFmtId="0" fontId="14" fillId="13" borderId="16" xfId="0" applyFont="1" applyFill="1" applyBorder="1" applyAlignment="1">
      <alignment horizontal="center"/>
    </xf>
    <xf numFmtId="0" fontId="14" fillId="13" borderId="14" xfId="0" applyFont="1" applyFill="1" applyBorder="1" applyAlignment="1">
      <alignment horizontal="left"/>
    </xf>
    <xf numFmtId="0" fontId="5" fillId="0" borderId="41" xfId="0" applyFont="1" applyBorder="1" applyAlignment="1">
      <alignment horizontal="right" indent="1"/>
    </xf>
    <xf numFmtId="0" fontId="5" fillId="0" borderId="40" xfId="0" applyFont="1" applyBorder="1" applyAlignment="1">
      <alignment horizontal="right" indent="1"/>
    </xf>
    <xf numFmtId="172" fontId="5" fillId="0" borderId="39" xfId="1" applyNumberFormat="1" applyFont="1" applyBorder="1"/>
    <xf numFmtId="172" fontId="5" fillId="0" borderId="9" xfId="1" applyNumberFormat="1" applyFont="1" applyBorder="1"/>
    <xf numFmtId="172" fontId="5" fillId="0" borderId="8" xfId="1" applyNumberFormat="1" applyFont="1" applyBorder="1"/>
  </cellXfs>
  <cellStyles count="526">
    <cellStyle name="_Bonds" xfId="37"/>
    <cellStyle name="_Bonds 2" xfId="38"/>
    <cellStyle name="_Offering" xfId="39"/>
    <cellStyle name="_Offering 2" xfId="40"/>
    <cellStyle name="£ BP" xfId="41"/>
    <cellStyle name="¥ JY" xfId="42"/>
    <cellStyle name="20% - Accent1 2" xfId="2"/>
    <cellStyle name="20% - Accent1 2 2" xfId="18"/>
    <cellStyle name="20% - Accent1 2 3" xfId="19"/>
    <cellStyle name="20% - Accent1 3" xfId="3"/>
    <cellStyle name="20% - Accent1 3 2" xfId="20"/>
    <cellStyle name="20% - Accent1 3 3" xfId="21"/>
    <cellStyle name="20% - Accent1 4" xfId="22"/>
    <cellStyle name="20% - Accent1 5" xfId="23"/>
    <cellStyle name="20% - Accent2 2" xfId="43"/>
    <cellStyle name="20% - Accent2 3" xfId="44"/>
    <cellStyle name="20% - Accent2 4" xfId="45"/>
    <cellStyle name="20% - Accent3 2" xfId="46"/>
    <cellStyle name="20% - Accent3 3" xfId="47"/>
    <cellStyle name="20% - Accent3 4" xfId="48"/>
    <cellStyle name="20% - Accent4 2" xfId="49"/>
    <cellStyle name="20% - Accent4 3" xfId="50"/>
    <cellStyle name="20% - Accent4 4" xfId="51"/>
    <cellStyle name="20% - Accent5 2" xfId="52"/>
    <cellStyle name="20% - Accent5 3" xfId="53"/>
    <cellStyle name="20% - Accent5 4" xfId="54"/>
    <cellStyle name="20% - Accent6 2" xfId="55"/>
    <cellStyle name="20% - Accent6 3" xfId="56"/>
    <cellStyle name="20% - Accent6 4" xfId="57"/>
    <cellStyle name="40% - Accent1 2" xfId="58"/>
    <cellStyle name="40% - Accent1 3" xfId="59"/>
    <cellStyle name="40% - Accent1 4" xfId="60"/>
    <cellStyle name="40% - Accent2 2" xfId="61"/>
    <cellStyle name="40% - Accent2 3" xfId="62"/>
    <cellStyle name="40% - Accent2 4" xfId="63"/>
    <cellStyle name="40% - Accent3 2" xfId="64"/>
    <cellStyle name="40% - Accent3 3" xfId="65"/>
    <cellStyle name="40% - Accent3 4" xfId="66"/>
    <cellStyle name="40% - Accent4 2" xfId="67"/>
    <cellStyle name="40% - Accent4 3" xfId="68"/>
    <cellStyle name="40% - Accent4 4" xfId="69"/>
    <cellStyle name="40% - Accent5 2" xfId="70"/>
    <cellStyle name="40% - Accent5 3" xfId="71"/>
    <cellStyle name="40% - Accent5 4" xfId="72"/>
    <cellStyle name="40% - Accent6 2" xfId="73"/>
    <cellStyle name="40% - Accent6 3" xfId="74"/>
    <cellStyle name="40% - Accent6 4" xfId="75"/>
    <cellStyle name="60% - Accent1 2" xfId="76"/>
    <cellStyle name="60% - Accent1 3" xfId="77"/>
    <cellStyle name="60% - Accent1 4" xfId="78"/>
    <cellStyle name="60% - Accent2 2" xfId="79"/>
    <cellStyle name="60% - Accent2 3" xfId="80"/>
    <cellStyle name="60% - Accent2 4" xfId="81"/>
    <cellStyle name="60% - Accent3 2" xfId="82"/>
    <cellStyle name="60% - Accent3 3" xfId="83"/>
    <cellStyle name="60% - Accent3 4" xfId="84"/>
    <cellStyle name="60% - Accent4 2" xfId="85"/>
    <cellStyle name="60% - Accent4 3" xfId="86"/>
    <cellStyle name="60% - Accent4 4" xfId="87"/>
    <cellStyle name="60% - Accent5 2" xfId="88"/>
    <cellStyle name="60% - Accent5 3" xfId="89"/>
    <cellStyle name="60% - Accent5 4" xfId="90"/>
    <cellStyle name="60% - Accent6 2" xfId="91"/>
    <cellStyle name="60% - Accent6 3" xfId="92"/>
    <cellStyle name="60% - Accent6 4" xfId="93"/>
    <cellStyle name="Accent1 2" xfId="94"/>
    <cellStyle name="Accent1 3" xfId="95"/>
    <cellStyle name="Accent1 4" xfId="96"/>
    <cellStyle name="Accent2 2" xfId="97"/>
    <cellStyle name="Accent2 3" xfId="98"/>
    <cellStyle name="Accent2 4" xfId="99"/>
    <cellStyle name="Accent3 2" xfId="100"/>
    <cellStyle name="Accent3 3" xfId="101"/>
    <cellStyle name="Accent3 4" xfId="102"/>
    <cellStyle name="Accent4 2" xfId="103"/>
    <cellStyle name="Accent4 3" xfId="104"/>
    <cellStyle name="Accent4 4" xfId="105"/>
    <cellStyle name="Accent5 2" xfId="106"/>
    <cellStyle name="Accent5 3" xfId="107"/>
    <cellStyle name="Accent5 4" xfId="108"/>
    <cellStyle name="Accent6 2" xfId="109"/>
    <cellStyle name="Accent6 3" xfId="110"/>
    <cellStyle name="Accent6 4" xfId="111"/>
    <cellStyle name="Auto_OpenAuto_CloseExtractD_Sheet1" xfId="112"/>
    <cellStyle name="Axis.EffectiveDate" xfId="113"/>
    <cellStyle name="Axis.Seasoning" xfId="114"/>
    <cellStyle name="Bad 2" xfId="115"/>
    <cellStyle name="Bad 3" xfId="116"/>
    <cellStyle name="Bad 4" xfId="117"/>
    <cellStyle name="Big Money" xfId="118"/>
    <cellStyle name="Blue" xfId="119"/>
    <cellStyle name="blue axis cells" xfId="120"/>
    <cellStyle name="blue text cells" xfId="121"/>
    <cellStyle name="Body" xfId="122"/>
    <cellStyle name="Bold/Border" xfId="123"/>
    <cellStyle name="Border" xfId="124"/>
    <cellStyle name="Bullet" xfId="125"/>
    <cellStyle name="Calc Currency (0)" xfId="126"/>
    <cellStyle name="Calc Currency (0) 2" xfId="127"/>
    <cellStyle name="Calc Currency (2)" xfId="128"/>
    <cellStyle name="Calc Currency (2) 2" xfId="129"/>
    <cellStyle name="Calc Percent (0)" xfId="130"/>
    <cellStyle name="Calc Percent (0) 2" xfId="131"/>
    <cellStyle name="Calc Percent (1)" xfId="132"/>
    <cellStyle name="Calc Percent (1) 2" xfId="133"/>
    <cellStyle name="Calc Percent (2)" xfId="134"/>
    <cellStyle name="Calc Percent (2) 2" xfId="135"/>
    <cellStyle name="Calc Units (0)" xfId="136"/>
    <cellStyle name="Calc Units (0) 2" xfId="137"/>
    <cellStyle name="Calc Units (1)" xfId="138"/>
    <cellStyle name="Calc Units (1) 2" xfId="139"/>
    <cellStyle name="Calc Units (2)" xfId="140"/>
    <cellStyle name="Calc Units (2) 2" xfId="141"/>
    <cellStyle name="Calculation 2" xfId="142"/>
    <cellStyle name="Calculation 3" xfId="143"/>
    <cellStyle name="Calculation 4" xfId="144"/>
    <cellStyle name="CCM Input" xfId="145"/>
    <cellStyle name="CCM Title Calculations" xfId="24"/>
    <cellStyle name="CCM Title Indicative" xfId="146"/>
    <cellStyle name="Cello Calculation" xfId="4"/>
    <cellStyle name="Cello Calculation 2" xfId="147"/>
    <cellStyle name="Cello Calculation 2 2" xfId="148"/>
    <cellStyle name="Cello Calculation 3" xfId="149"/>
    <cellStyle name="Cello Calculation 4" xfId="150"/>
    <cellStyle name="Cello Input" xfId="5"/>
    <cellStyle name="Cello Input 2" xfId="25"/>
    <cellStyle name="Cello Input 2 2" xfId="151"/>
    <cellStyle name="Cello Input 2 3" xfId="152"/>
    <cellStyle name="Cello Input 2 5" xfId="26"/>
    <cellStyle name="Cello Input 3" xfId="27"/>
    <cellStyle name="Cello Input 4" xfId="153"/>
    <cellStyle name="Cello Linked Cell" xfId="6"/>
    <cellStyle name="Cello Linked Cell 2" xfId="154"/>
    <cellStyle name="Cello Linked Cell 2 2" xfId="155"/>
    <cellStyle name="Check Cell 2" xfId="156"/>
    <cellStyle name="Check Cell 3" xfId="157"/>
    <cellStyle name="Check Cell 4" xfId="158"/>
    <cellStyle name="Co. Names" xfId="159"/>
    <cellStyle name="Comma  - Style1" xfId="160"/>
    <cellStyle name="Comma  - Style1 2" xfId="161"/>
    <cellStyle name="Comma  - Style2" xfId="162"/>
    <cellStyle name="Comma  - Style2 2" xfId="163"/>
    <cellStyle name="Comma  - Style3" xfId="164"/>
    <cellStyle name="Comma  - Style3 2" xfId="165"/>
    <cellStyle name="Comma  - Style4" xfId="166"/>
    <cellStyle name="Comma  - Style4 2" xfId="167"/>
    <cellStyle name="Comma  - Style5" xfId="168"/>
    <cellStyle name="Comma  - Style5 2" xfId="169"/>
    <cellStyle name="Comma  - Style6" xfId="170"/>
    <cellStyle name="Comma  - Style6 2" xfId="171"/>
    <cellStyle name="Comma  - Style7" xfId="172"/>
    <cellStyle name="Comma  - Style7 2" xfId="173"/>
    <cellStyle name="Comma  - Style8" xfId="174"/>
    <cellStyle name="Comma  - Style8 2" xfId="175"/>
    <cellStyle name="Comma [00]" xfId="176"/>
    <cellStyle name="Comma [00] 2" xfId="177"/>
    <cellStyle name="Comma 10" xfId="178"/>
    <cellStyle name="Comma 11" xfId="179"/>
    <cellStyle name="Comma 12" xfId="180"/>
    <cellStyle name="Comma 13" xfId="181"/>
    <cellStyle name="Comma 14" xfId="182"/>
    <cellStyle name="Comma 15" xfId="183"/>
    <cellStyle name="Comma 16" xfId="184"/>
    <cellStyle name="Comma 16 2" xfId="185"/>
    <cellStyle name="Comma 17" xfId="186"/>
    <cellStyle name="Comma 18" xfId="187"/>
    <cellStyle name="Comma 19" xfId="188"/>
    <cellStyle name="Comma 2" xfId="35"/>
    <cellStyle name="Comma 20" xfId="189"/>
    <cellStyle name="Comma 21" xfId="190"/>
    <cellStyle name="Comma 22" xfId="191"/>
    <cellStyle name="Comma 23" xfId="192"/>
    <cellStyle name="Comma 24" xfId="193"/>
    <cellStyle name="Comma 25" xfId="194"/>
    <cellStyle name="Comma 26" xfId="195"/>
    <cellStyle name="Comma 27" xfId="196"/>
    <cellStyle name="Comma 28" xfId="197"/>
    <cellStyle name="Comma 29" xfId="198"/>
    <cellStyle name="Comma 29 2" xfId="199"/>
    <cellStyle name="Comma 3" xfId="200"/>
    <cellStyle name="Comma 30" xfId="201"/>
    <cellStyle name="Comma 4" xfId="202"/>
    <cellStyle name="Comma 4 2" xfId="203"/>
    <cellStyle name="Comma 5" xfId="204"/>
    <cellStyle name="Comma 6" xfId="205"/>
    <cellStyle name="Comma 7" xfId="206"/>
    <cellStyle name="Comma 8" xfId="207"/>
    <cellStyle name="Comma 9" xfId="208"/>
    <cellStyle name="Comma0" xfId="209"/>
    <cellStyle name="Comma1 - Style1" xfId="210"/>
    <cellStyle name="Copied" xfId="211"/>
    <cellStyle name="CTDSwitchAnalysisHeader" xfId="212"/>
    <cellStyle name="Curren - Style2" xfId="213"/>
    <cellStyle name="Currency [00]" xfId="214"/>
    <cellStyle name="Currency [00] 2" xfId="215"/>
    <cellStyle name="Currency [2]" xfId="216"/>
    <cellStyle name="Currency 10" xfId="217"/>
    <cellStyle name="Currency 11" xfId="218"/>
    <cellStyle name="Currency 12" xfId="219"/>
    <cellStyle name="Currency 13" xfId="220"/>
    <cellStyle name="Currency 14" xfId="221"/>
    <cellStyle name="Currency 15" xfId="222"/>
    <cellStyle name="Currency 2" xfId="223"/>
    <cellStyle name="Currency 3" xfId="224"/>
    <cellStyle name="Currency 4" xfId="225"/>
    <cellStyle name="Currency 5" xfId="226"/>
    <cellStyle name="Currency 6" xfId="227"/>
    <cellStyle name="Currency 7" xfId="228"/>
    <cellStyle name="Currency 8" xfId="229"/>
    <cellStyle name="Currency 9" xfId="230"/>
    <cellStyle name="Currency0" xfId="231"/>
    <cellStyle name="Dash" xfId="232"/>
    <cellStyle name="Data.LongPercent" xfId="233"/>
    <cellStyle name="Data.NumPercent" xfId="234"/>
    <cellStyle name="Data.NumShortPercent" xfId="235"/>
    <cellStyle name="date" xfId="236"/>
    <cellStyle name="Date - Style3" xfId="237"/>
    <cellStyle name="Date 2" xfId="238"/>
    <cellStyle name="Date 3" xfId="239"/>
    <cellStyle name="Date 4" xfId="240"/>
    <cellStyle name="Date 5" xfId="241"/>
    <cellStyle name="Date 6" xfId="242"/>
    <cellStyle name="Date 7" xfId="243"/>
    <cellStyle name="Date Short" xfId="244"/>
    <cellStyle name="date title" xfId="245"/>
    <cellStyle name="Date_DV01" xfId="246"/>
    <cellStyle name="DateFormat" xfId="247"/>
    <cellStyle name="DBAHandle" xfId="248"/>
    <cellStyle name="DBAParameter" xfId="249"/>
    <cellStyle name="DELTA" xfId="250"/>
    <cellStyle name="DS 0" xfId="251"/>
    <cellStyle name="DS 1" xfId="252"/>
    <cellStyle name="DS 2" xfId="253"/>
    <cellStyle name="DS 3" xfId="254"/>
    <cellStyle name="DS 4" xfId="255"/>
    <cellStyle name="DS 5" xfId="256"/>
    <cellStyle name="DS 5 2" xfId="257"/>
    <cellStyle name="DS 6" xfId="258"/>
    <cellStyle name="Enter Currency (0)" xfId="259"/>
    <cellStyle name="Enter Currency (0) 2" xfId="260"/>
    <cellStyle name="Enter Currency (2)" xfId="261"/>
    <cellStyle name="Enter Currency (2) 2" xfId="262"/>
    <cellStyle name="Enter Units (0)" xfId="263"/>
    <cellStyle name="Enter Units (0) 2" xfId="264"/>
    <cellStyle name="Enter Units (1)" xfId="265"/>
    <cellStyle name="Enter Units (1) 2" xfId="266"/>
    <cellStyle name="Enter Units (2)" xfId="267"/>
    <cellStyle name="Enter Units (2) 2" xfId="268"/>
    <cellStyle name="Entered" xfId="269"/>
    <cellStyle name="Entries" xfId="270"/>
    <cellStyle name="Euro" xfId="271"/>
    <cellStyle name="Explanatory Text 2" xfId="272"/>
    <cellStyle name="Explanatory Text 3" xfId="273"/>
    <cellStyle name="Explanatory Text 4" xfId="274"/>
    <cellStyle name="Fixed" xfId="275"/>
    <cellStyle name="FullTime" xfId="276"/>
    <cellStyle name="General" xfId="277"/>
    <cellStyle name="Good 2" xfId="278"/>
    <cellStyle name="Good 3" xfId="279"/>
    <cellStyle name="Good 4" xfId="280"/>
    <cellStyle name="gray text cells" xfId="281"/>
    <cellStyle name="Grey" xfId="282"/>
    <cellStyle name="Header1" xfId="283"/>
    <cellStyle name="Header2" xfId="284"/>
    <cellStyle name="Heading" xfId="285"/>
    <cellStyle name="Heading 1 2" xfId="286"/>
    <cellStyle name="Heading 1 2 2" xfId="287"/>
    <cellStyle name="Heading 1 3" xfId="288"/>
    <cellStyle name="Heading 1 4" xfId="289"/>
    <cellStyle name="Heading 1 5" xfId="290"/>
    <cellStyle name="Heading 2 2" xfId="291"/>
    <cellStyle name="Heading 2 2 2" xfId="292"/>
    <cellStyle name="Heading 2 3" xfId="293"/>
    <cellStyle name="Heading 2 4" xfId="294"/>
    <cellStyle name="Heading 2 5" xfId="295"/>
    <cellStyle name="Heading 3 2" xfId="296"/>
    <cellStyle name="Heading 3 3" xfId="297"/>
    <cellStyle name="Heading 3 4" xfId="298"/>
    <cellStyle name="Heading 4 2" xfId="299"/>
    <cellStyle name="Heading 4 3" xfId="300"/>
    <cellStyle name="Heading 4 4" xfId="301"/>
    <cellStyle name="Heading 5" xfId="302"/>
    <cellStyle name="HEADING1" xfId="303"/>
    <cellStyle name="HEADING2" xfId="304"/>
    <cellStyle name="Hyperlink 2" xfId="305"/>
    <cellStyle name="Input [yellow]" xfId="306"/>
    <cellStyle name="Input 2" xfId="307"/>
    <cellStyle name="Input 2 2" xfId="308"/>
    <cellStyle name="Input 2 3" xfId="309"/>
    <cellStyle name="Input 3" xfId="310"/>
    <cellStyle name="Input 4" xfId="311"/>
    <cellStyle name="Input 5" xfId="312"/>
    <cellStyle name="Input 6" xfId="313"/>
    <cellStyle name="Input 7" xfId="314"/>
    <cellStyle name="Item" xfId="315"/>
    <cellStyle name="Link Currency (0)" xfId="316"/>
    <cellStyle name="Link Currency (0) 2" xfId="317"/>
    <cellStyle name="Link Currency (2)" xfId="318"/>
    <cellStyle name="Link Currency (2) 2" xfId="319"/>
    <cellStyle name="Link Units (0)" xfId="320"/>
    <cellStyle name="Link Units (0) 2" xfId="321"/>
    <cellStyle name="Link Units (1)" xfId="322"/>
    <cellStyle name="Link Units (1) 2" xfId="323"/>
    <cellStyle name="Link Units (2)" xfId="324"/>
    <cellStyle name="Link Units (2) 2" xfId="325"/>
    <cellStyle name="Linked Cell 2" xfId="326"/>
    <cellStyle name="Linked Cell 3" xfId="327"/>
    <cellStyle name="Linked Cell 4" xfId="328"/>
    <cellStyle name="Lookup" xfId="329"/>
    <cellStyle name="Milliers [0]_Basis" xfId="330"/>
    <cellStyle name="Milliers_Basis" xfId="331"/>
    <cellStyle name="Monétaire [0]_Basis" xfId="332"/>
    <cellStyle name="Monétaire_Basis" xfId="333"/>
    <cellStyle name="Money" xfId="334"/>
    <cellStyle name="Neutral 2" xfId="335"/>
    <cellStyle name="Neutral 3" xfId="336"/>
    <cellStyle name="Neutral 4" xfId="337"/>
    <cellStyle name="no dec" xfId="338"/>
    <cellStyle name="NoChange" xfId="339"/>
    <cellStyle name="Non Zero" xfId="340"/>
    <cellStyle name="Normal" xfId="0" builtinId="0"/>
    <cellStyle name="Normal - Style1" xfId="341"/>
    <cellStyle name="Normal 10" xfId="342"/>
    <cellStyle name="Normal 10 2" xfId="343"/>
    <cellStyle name="Normal 107" xfId="28"/>
    <cellStyle name="Normal 11" xfId="344"/>
    <cellStyle name="Normal 11 2" xfId="345"/>
    <cellStyle name="Normal 12" xfId="346"/>
    <cellStyle name="Normal 13" xfId="347"/>
    <cellStyle name="Normal 14" xfId="348"/>
    <cellStyle name="Normal 15" xfId="349"/>
    <cellStyle name="Normal 16" xfId="350"/>
    <cellStyle name="Normal 17" xfId="351"/>
    <cellStyle name="Normal 18" xfId="352"/>
    <cellStyle name="Normal 19" xfId="353"/>
    <cellStyle name="Normal 2" xfId="7"/>
    <cellStyle name="Normal 2 2" xfId="354"/>
    <cellStyle name="Normal 2 2 2" xfId="355"/>
    <cellStyle name="Normal 2 3" xfId="356"/>
    <cellStyle name="Normal 2 3 2" xfId="29"/>
    <cellStyle name="Normal 2 3 2 2" xfId="357"/>
    <cellStyle name="Normal 2 3 3" xfId="358"/>
    <cellStyle name="Normal 2 4" xfId="359"/>
    <cellStyle name="Normal 2 4 2" xfId="360"/>
    <cellStyle name="Normal 2 4 2 2" xfId="361"/>
    <cellStyle name="Normal 2 4 3" xfId="362"/>
    <cellStyle name="Normal 2 5" xfId="363"/>
    <cellStyle name="Normal 2 5 2" xfId="364"/>
    <cellStyle name="Normal 2 6" xfId="365"/>
    <cellStyle name="Normal 2 7" xfId="366"/>
    <cellStyle name="Normal 20" xfId="367"/>
    <cellStyle name="Normal 21" xfId="368"/>
    <cellStyle name="Normal 22" xfId="369"/>
    <cellStyle name="Normal 23" xfId="370"/>
    <cellStyle name="Normal 24" xfId="371"/>
    <cellStyle name="Normal 25" xfId="372"/>
    <cellStyle name="Normal 26" xfId="373"/>
    <cellStyle name="Normal 27" xfId="374"/>
    <cellStyle name="Normal 28" xfId="375"/>
    <cellStyle name="Normal 28 2" xfId="376"/>
    <cellStyle name="Normal 29" xfId="377"/>
    <cellStyle name="Normal 3" xfId="8"/>
    <cellStyle name="Normal 3 2" xfId="378"/>
    <cellStyle name="Normal 30" xfId="379"/>
    <cellStyle name="Normal 31" xfId="380"/>
    <cellStyle name="Normal 32" xfId="381"/>
    <cellStyle name="Normal 33" xfId="382"/>
    <cellStyle name="Normal 34" xfId="383"/>
    <cellStyle name="Normal 35" xfId="384"/>
    <cellStyle name="Normal 36" xfId="385"/>
    <cellStyle name="Normal 37" xfId="386"/>
    <cellStyle name="Normal 38" xfId="387"/>
    <cellStyle name="Normal 38 2" xfId="388"/>
    <cellStyle name="Normal 38 2 2" xfId="389"/>
    <cellStyle name="Normal 38 3" xfId="390"/>
    <cellStyle name="Normal 39" xfId="391"/>
    <cellStyle name="Normal 4" xfId="9"/>
    <cellStyle name="Normal 4 2" xfId="392"/>
    <cellStyle name="Normal 4 3" xfId="393"/>
    <cellStyle name="Normal 4 4" xfId="394"/>
    <cellStyle name="Normal 40" xfId="395"/>
    <cellStyle name="Normal 41" xfId="396"/>
    <cellStyle name="Normal 42" xfId="397"/>
    <cellStyle name="Normal 42 2" xfId="398"/>
    <cellStyle name="Normal 5" xfId="399"/>
    <cellStyle name="Normal 6" xfId="400"/>
    <cellStyle name="Normal 6 2" xfId="401"/>
    <cellStyle name="Normal 7" xfId="402"/>
    <cellStyle name="Normal 7 2" xfId="403"/>
    <cellStyle name="Normal 8" xfId="404"/>
    <cellStyle name="Normal 88" xfId="30"/>
    <cellStyle name="Normal 9" xfId="405"/>
    <cellStyle name="Normal 9 2" xfId="406"/>
    <cellStyle name="Note 2" xfId="10"/>
    <cellStyle name="Note 2 2" xfId="407"/>
    <cellStyle name="Note 2 3" xfId="408"/>
    <cellStyle name="Note 2 4" xfId="409"/>
    <cellStyle name="Note 3" xfId="410"/>
    <cellStyle name="Note 4" xfId="411"/>
    <cellStyle name="Note 5" xfId="412"/>
    <cellStyle name="Note 6" xfId="413"/>
    <cellStyle name="Note 7" xfId="414"/>
    <cellStyle name="Note 7 2" xfId="415"/>
    <cellStyle name="Note 8" xfId="416"/>
    <cellStyle name="NumberAsPercent" xfId="417"/>
    <cellStyle name="NumberFormat" xfId="418"/>
    <cellStyle name="Numbers" xfId="419"/>
    <cellStyle name="Numbers - Bold" xfId="420"/>
    <cellStyle name="Numbers_increm pf" xfId="421"/>
    <cellStyle name="NumberTo1DecPlace" xfId="422"/>
    <cellStyle name="OffWhite" xfId="423"/>
    <cellStyle name="Option" xfId="424"/>
    <cellStyle name="orange text cell" xfId="425"/>
    <cellStyle name="Output 2" xfId="426"/>
    <cellStyle name="Output 3" xfId="427"/>
    <cellStyle name="Output 4" xfId="428"/>
    <cellStyle name="Output Amounts" xfId="429"/>
    <cellStyle name="Output Column Headings" xfId="430"/>
    <cellStyle name="Output Line Items" xfId="431"/>
    <cellStyle name="Output Report Heading" xfId="432"/>
    <cellStyle name="Output Report Title" xfId="433"/>
    <cellStyle name="Pageheading" xfId="434"/>
    <cellStyle name="Percent" xfId="1" builtinId="5"/>
    <cellStyle name="Percent [0]" xfId="435"/>
    <cellStyle name="Percent [0] 2" xfId="436"/>
    <cellStyle name="Percent [00]" xfId="437"/>
    <cellStyle name="Percent [00] 2" xfId="438"/>
    <cellStyle name="Percent [2]" xfId="439"/>
    <cellStyle name="Percent 2" xfId="36"/>
    <cellStyle name="Percent 2 2" xfId="440"/>
    <cellStyle name="Percent 3" xfId="441"/>
    <cellStyle name="Percentage" xfId="442"/>
    <cellStyle name="PrePop Currency (0)" xfId="443"/>
    <cellStyle name="PrePop Currency (0) 2" xfId="444"/>
    <cellStyle name="PrePop Currency (2)" xfId="445"/>
    <cellStyle name="PrePop Currency (2) 2" xfId="446"/>
    <cellStyle name="PrePop Units (0)" xfId="447"/>
    <cellStyle name="PrePop Units (0) 2" xfId="448"/>
    <cellStyle name="PrePop Units (1)" xfId="449"/>
    <cellStyle name="PrePop Units (1) 2" xfId="450"/>
    <cellStyle name="PrePop Units (2)" xfId="451"/>
    <cellStyle name="PrePop Units (2) 2" xfId="452"/>
    <cellStyle name="PriceTo3DecPlaces" xfId="453"/>
    <cellStyle name="PriceWithBorderAround" xfId="454"/>
    <cellStyle name="PRICING" xfId="455"/>
    <cellStyle name="Product Header" xfId="456"/>
    <cellStyle name="PSChar" xfId="457"/>
    <cellStyle name="PSHeading" xfId="458"/>
    <cellStyle name="r" xfId="459"/>
    <cellStyle name="r_pldt" xfId="460"/>
    <cellStyle name="ReportLeftHeader" xfId="461"/>
    <cellStyle name="ReportRightHeader" xfId="462"/>
    <cellStyle name="results" xfId="463"/>
    <cellStyle name="RevList" xfId="464"/>
    <cellStyle name="RVRQueryHandle" xfId="465"/>
    <cellStyle name="Section" xfId="466"/>
    <cellStyle name="SecuritiesPricingTable" xfId="467"/>
    <cellStyle name="SecuritiesPricingTableFinalData" xfId="468"/>
    <cellStyle name="SecuritiesPricingTableManualData" xfId="469"/>
    <cellStyle name="SecuritiesPricingTableText" xfId="470"/>
    <cellStyle name="Short $" xfId="471"/>
    <cellStyle name="Short $ 2" xfId="472"/>
    <cellStyle name="SIZE" xfId="473"/>
    <cellStyle name="Standard_Swaps-Bonds-Blending" xfId="474"/>
    <cellStyle name="Style 1" xfId="475"/>
    <cellStyle name="StyleSecuritiesPricingTableInteger" xfId="476"/>
    <cellStyle name="Subheading" xfId="477"/>
    <cellStyle name="subtitle" xfId="478"/>
    <cellStyle name="Subtotal" xfId="479"/>
    <cellStyle name="Table" xfId="480"/>
    <cellStyle name="Tablebody" xfId="481"/>
    <cellStyle name="TablebodyDate" xfId="482"/>
    <cellStyle name="TablebodyHeading" xfId="483"/>
    <cellStyle name="TablebodyOutstandingAmount" xfId="484"/>
    <cellStyle name="TablebodyPercent" xfId="485"/>
    <cellStyle name="TablebodyPrice" xfId="486"/>
    <cellStyle name="TablebodyReverse" xfId="487"/>
    <cellStyle name="TablebodySpread" xfId="488"/>
    <cellStyle name="TablebodySpreadBorder" xfId="489"/>
    <cellStyle name="TablebodyText" xfId="490"/>
    <cellStyle name="Tableheading" xfId="491"/>
    <cellStyle name="Text" xfId="492"/>
    <cellStyle name="Text 2" xfId="493"/>
    <cellStyle name="Text Indent A" xfId="494"/>
    <cellStyle name="Text Indent B" xfId="495"/>
    <cellStyle name="Text Indent B 2" xfId="496"/>
    <cellStyle name="Text Indent C" xfId="497"/>
    <cellStyle name="Text Indent C 2" xfId="498"/>
    <cellStyle name="TextStyle" xfId="499"/>
    <cellStyle name="tic display" xfId="500"/>
    <cellStyle name="tic input" xfId="501"/>
    <cellStyle name="Title - Underline" xfId="502"/>
    <cellStyle name="Title 2" xfId="503"/>
    <cellStyle name="Title 3" xfId="504"/>
    <cellStyle name="Title 4" xfId="505"/>
    <cellStyle name="Title 5" xfId="506"/>
    <cellStyle name="Title 6" xfId="507"/>
    <cellStyle name="Title 7" xfId="508"/>
    <cellStyle name="Title Calculations" xfId="11"/>
    <cellStyle name="Title Calculations 2" xfId="509"/>
    <cellStyle name="Title Indicative" xfId="12"/>
    <cellStyle name="Title Indicative 2" xfId="510"/>
    <cellStyle name="Title Pricing Assumptions" xfId="13"/>
    <cellStyle name="Title Pricing Assumptions 2" xfId="31"/>
    <cellStyle name="Title Pricing Assumptions 2 2" xfId="32"/>
    <cellStyle name="Title Pricing Assumptions 2 3" xfId="511"/>
    <cellStyle name="Title Pricing Assumptions 3" xfId="512"/>
    <cellStyle name="Title Pricing Assumptions 3 12 8" xfId="33"/>
    <cellStyle name="Title Pricing Assumptions 3 6 4 2 8" xfId="34"/>
    <cellStyle name="Titles - Other" xfId="513"/>
    <cellStyle name="Total 2" xfId="514"/>
    <cellStyle name="Total 2 2" xfId="515"/>
    <cellStyle name="Total 3" xfId="516"/>
    <cellStyle name="Total 4" xfId="517"/>
    <cellStyle name="Warning" xfId="518"/>
    <cellStyle name="Warning Text 2" xfId="519"/>
    <cellStyle name="Warning Text 3" xfId="520"/>
    <cellStyle name="Warning Text 4" xfId="521"/>
    <cellStyle name="YB Calculations" xfId="14"/>
    <cellStyle name="YB Calculations 2" xfId="522"/>
    <cellStyle name="YB Curve" xfId="523"/>
    <cellStyle name="YB Indicative" xfId="15"/>
    <cellStyle name="YBINDIC" xfId="16"/>
    <cellStyle name="YBIOPOBE" xfId="524"/>
    <cellStyle name="YBPRICE" xfId="17"/>
    <cellStyle name="一般_原始檔案" xfId="525"/>
  </cellStyles>
  <dxfs count="4">
    <dxf>
      <border>
        <top style="thin">
          <color rgb="FF2E398B"/>
        </top>
        <bottom style="thin">
          <color rgb="FF2E398B"/>
        </bottom>
      </border>
    </dxf>
    <dxf>
      <border>
        <right style="thin">
          <color rgb="FF2E398A"/>
        </right>
      </border>
    </dxf>
    <dxf>
      <font>
        <b/>
        <color theme="1"/>
      </font>
      <fill>
        <patternFill>
          <bgColor rgb="FFEFEBE4"/>
        </patternFill>
      </fill>
      <border diagonalUp="0" diagonalDown="0">
        <left style="thin">
          <color rgb="FF2E398A"/>
        </left>
        <right style="thin">
          <color rgb="FF2E398A"/>
        </right>
        <top/>
        <bottom style="thin">
          <color rgb="FF2E398A"/>
        </bottom>
        <vertical/>
        <horizont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1" defaultTableStyle="TableStyleMedium2" defaultPivotStyle="PivotStyleLight16">
    <tableStyle name="Report Style" table="0" count="4">
      <tableStyleElement type="wholeTable" dxfId="3"/>
      <tableStyleElement type="headerRow" dxfId="2"/>
      <tableStyleElement type="firstColumn" dxfId="1"/>
      <tableStyleElement type="firstSubtotal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F12"/>
  <sheetViews>
    <sheetView tabSelected="1" workbookViewId="0">
      <selection activeCell="J15" sqref="J15"/>
    </sheetView>
  </sheetViews>
  <sheetFormatPr defaultRowHeight="15"/>
  <cols>
    <col min="3" max="3" width="31.42578125" bestFit="1" customWidth="1"/>
    <col min="4" max="4" width="12.42578125" bestFit="1" customWidth="1"/>
    <col min="5" max="5" width="9.7109375" customWidth="1"/>
    <col min="6" max="6" width="10.5703125" bestFit="1" customWidth="1"/>
  </cols>
  <sheetData>
    <row r="7" spans="3:6">
      <c r="C7" s="23" t="s">
        <v>17</v>
      </c>
      <c r="D7" s="22" t="s">
        <v>22</v>
      </c>
      <c r="E7" s="22" t="s">
        <v>8</v>
      </c>
      <c r="F7" s="21" t="s">
        <v>23</v>
      </c>
    </row>
    <row r="8" spans="3:6">
      <c r="C8" s="25" t="s">
        <v>18</v>
      </c>
      <c r="D8" s="17">
        <f>'BoA - Conventional'!C4</f>
        <v>3.875E-2</v>
      </c>
      <c r="E8" s="17">
        <f>'BoA - Conventional'!F7</f>
        <v>2.0248435807783016E-2</v>
      </c>
      <c r="F8" s="28">
        <f>'BoA - Conventional'!I4</f>
        <v>4.1312108951945752E-2</v>
      </c>
    </row>
    <row r="9" spans="3:6">
      <c r="C9" s="25" t="s">
        <v>19</v>
      </c>
      <c r="D9" s="17">
        <f>'Chase - Conventional'!C4</f>
        <v>4.1250000000000002E-2</v>
      </c>
      <c r="E9" s="17">
        <f>'Chase - Conventional'!F7</f>
        <v>9.9947928123549357E-3</v>
      </c>
      <c r="F9" s="28">
        <f>'Chase - Conventional'!I4</f>
        <v>4.1248698203088734E-2</v>
      </c>
    </row>
    <row r="10" spans="3:6">
      <c r="C10" s="25" t="s">
        <v>20</v>
      </c>
      <c r="D10" s="17">
        <f>'Quicken - Conventional'!C4</f>
        <v>3.7499999999999999E-2</v>
      </c>
      <c r="E10" s="17">
        <f>'Quicken - Conventional'!F7</f>
        <v>2.7134922767622083E-2</v>
      </c>
      <c r="F10" s="28">
        <f>'Quicken - Conventional'!I4</f>
        <v>4.1783730691905517E-2</v>
      </c>
    </row>
    <row r="11" spans="3:6">
      <c r="C11" s="24" t="s">
        <v>21</v>
      </c>
      <c r="D11" s="27">
        <f>CIR</f>
        <v>0.04</v>
      </c>
      <c r="E11" s="27">
        <f>'Wells - Conventional'!F9</f>
        <v>1.9441772778087594E-2</v>
      </c>
      <c r="F11" s="26">
        <f>'Wells - Conventional'!I4</f>
        <v>4.2360443194521896E-2</v>
      </c>
    </row>
    <row r="12" spans="3:6">
      <c r="C12" s="20" t="s">
        <v>24</v>
      </c>
      <c r="D12" s="19">
        <f>AVERAGE(D8:D11)</f>
        <v>3.9375E-2</v>
      </c>
      <c r="E12" s="19">
        <f t="shared" ref="E12:F12" si="0">AVERAGE(E8:E11)</f>
        <v>1.9204981041461906E-2</v>
      </c>
      <c r="F12" s="18">
        <f t="shared" si="0"/>
        <v>4.1676245260365473E-2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L8" sqref="L8"/>
    </sheetView>
  </sheetViews>
  <sheetFormatPr defaultRowHeight="15"/>
  <cols>
    <col min="2" max="3" width="15.7109375" customWidth="1"/>
    <col min="4" max="4" width="2.140625" style="3" customWidth="1"/>
    <col min="5" max="5" width="23.140625" bestFit="1" customWidth="1"/>
    <col min="6" max="6" width="15.7109375" customWidth="1"/>
    <col min="7" max="7" width="2.7109375" customWidth="1"/>
    <col min="8" max="9" width="15.7109375" customWidth="1"/>
  </cols>
  <sheetData>
    <row r="2" spans="2:9">
      <c r="B2" s="14" t="s">
        <v>4</v>
      </c>
      <c r="C2" s="14"/>
      <c r="D2" s="7"/>
      <c r="E2" s="14" t="s">
        <v>6</v>
      </c>
      <c r="F2" s="14"/>
      <c r="H2" s="14" t="s">
        <v>13</v>
      </c>
      <c r="I2" s="14"/>
    </row>
    <row r="4" spans="2:9">
      <c r="B4" t="s">
        <v>0</v>
      </c>
      <c r="C4" s="1">
        <v>0.04</v>
      </c>
      <c r="D4" s="1"/>
      <c r="E4" s="8" t="s">
        <v>7</v>
      </c>
      <c r="F4" s="9">
        <f>((CIR/12*(1+CIR/12)^360)/((1+CIR/12)^360-1)*((1+CAPR/12)^360-1)/(CAPR/12*(1+CAPR/12)^360))*CP</f>
        <v>198869.64544438248</v>
      </c>
      <c r="H4" s="5" t="s">
        <v>12</v>
      </c>
      <c r="I4" s="13">
        <f>CIR-(1%-F9)/4</f>
        <v>4.2360443194521896E-2</v>
      </c>
    </row>
    <row r="5" spans="2:9">
      <c r="B5" t="s">
        <v>1</v>
      </c>
      <c r="C5" s="1">
        <v>4.0469999999999999E-2</v>
      </c>
      <c r="D5" s="1"/>
      <c r="E5" s="10" t="s">
        <v>9</v>
      </c>
      <c r="F5" s="11">
        <f>1-F4/CP</f>
        <v>5.6517727780875937E-3</v>
      </c>
    </row>
    <row r="6" spans="2:9">
      <c r="B6" s="3" t="s">
        <v>2</v>
      </c>
      <c r="C6" s="2">
        <v>200000</v>
      </c>
      <c r="D6"/>
      <c r="E6" s="1" t="s">
        <v>16</v>
      </c>
      <c r="F6" s="4">
        <f>1-((CIR/12*(1+CIR/12)^360)/((1+CIR/12)^360-1)*((1+CAPR/12)^360-1)/(CAPR/12*(1+CAPR/12)^360))</f>
        <v>5.6517727780875937E-3</v>
      </c>
    </row>
    <row r="7" spans="2:9">
      <c r="B7" s="3" t="s">
        <v>5</v>
      </c>
      <c r="C7" s="2">
        <v>2758</v>
      </c>
      <c r="D7" s="2"/>
    </row>
    <row r="8" spans="2:9">
      <c r="B8" t="s">
        <v>8</v>
      </c>
      <c r="C8" s="6" t="s">
        <v>3</v>
      </c>
      <c r="D8" s="6"/>
      <c r="E8" t="s">
        <v>10</v>
      </c>
      <c r="F8" s="4">
        <f>C7/CP</f>
        <v>1.379E-2</v>
      </c>
    </row>
    <row r="9" spans="2:9">
      <c r="E9" t="s">
        <v>11</v>
      </c>
      <c r="F9" s="12">
        <f>F6+F8</f>
        <v>1.9441772778087594E-2</v>
      </c>
    </row>
    <row r="13" spans="2:9">
      <c r="B13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I8" sqref="I8"/>
    </sheetView>
  </sheetViews>
  <sheetFormatPr defaultRowHeight="15"/>
  <cols>
    <col min="2" max="2" width="15.7109375" customWidth="1"/>
    <col min="3" max="3" width="16.85546875" customWidth="1"/>
    <col min="4" max="4" width="2.140625" customWidth="1"/>
    <col min="5" max="5" width="23.140625" bestFit="1" customWidth="1"/>
    <col min="6" max="6" width="15.7109375" customWidth="1"/>
    <col min="7" max="7" width="2.7109375" customWidth="1"/>
    <col min="8" max="8" width="15.7109375" customWidth="1"/>
    <col min="9" max="9" width="16.140625" customWidth="1"/>
  </cols>
  <sheetData>
    <row r="2" spans="2:9">
      <c r="B2" s="14" t="s">
        <v>4</v>
      </c>
      <c r="C2" s="14"/>
      <c r="D2" s="7"/>
      <c r="E2" s="14" t="s">
        <v>6</v>
      </c>
      <c r="F2" s="14"/>
      <c r="H2" s="14" t="s">
        <v>13</v>
      </c>
      <c r="I2" s="14"/>
    </row>
    <row r="3" spans="2:9">
      <c r="B3" s="3"/>
      <c r="C3" s="3"/>
      <c r="D3" s="3"/>
      <c r="E3" s="3"/>
      <c r="F3" s="3"/>
      <c r="H3" s="3"/>
      <c r="I3" s="3"/>
    </row>
    <row r="4" spans="2:9">
      <c r="B4" s="3" t="s">
        <v>0</v>
      </c>
      <c r="C4" s="4">
        <v>3.875E-2</v>
      </c>
      <c r="D4" s="1"/>
      <c r="E4" s="1" t="s">
        <v>9</v>
      </c>
      <c r="F4" s="4">
        <f>1-((C4/12*(1+C4/12)^360)/((1+C4/12)^360-1)*((1+C5/12)^360-1)/(C5/12*(1+C5/12)^360))</f>
        <v>2.0248435807783016E-2</v>
      </c>
      <c r="H4" s="5" t="s">
        <v>12</v>
      </c>
      <c r="I4" s="13">
        <f>C4-(1%-F7)/4</f>
        <v>4.1312108951945752E-2</v>
      </c>
    </row>
    <row r="5" spans="2:9">
      <c r="B5" t="s">
        <v>1</v>
      </c>
      <c r="C5" s="4">
        <v>4.0439999999999997E-2</v>
      </c>
      <c r="D5" s="1"/>
      <c r="E5" s="8" t="s">
        <v>15</v>
      </c>
      <c r="F5" s="16">
        <f>C8</f>
        <v>8.9300000000000004E-3</v>
      </c>
      <c r="H5" s="3"/>
      <c r="I5" s="3"/>
    </row>
    <row r="6" spans="2:9">
      <c r="B6" t="s">
        <v>2</v>
      </c>
      <c r="C6" s="2">
        <v>200000</v>
      </c>
      <c r="D6" s="3"/>
      <c r="E6" s="8" t="s">
        <v>10</v>
      </c>
      <c r="F6" s="11">
        <f>F4-C8</f>
        <v>1.1318435807783016E-2</v>
      </c>
      <c r="H6" s="3"/>
      <c r="I6" s="3"/>
    </row>
    <row r="7" spans="2:9">
      <c r="B7" t="s">
        <v>5</v>
      </c>
      <c r="C7" s="15" t="s">
        <v>3</v>
      </c>
      <c r="D7" s="2"/>
      <c r="E7" s="3" t="s">
        <v>11</v>
      </c>
      <c r="F7" s="12">
        <f>F5+F6</f>
        <v>2.0248435807783016E-2</v>
      </c>
      <c r="H7" s="3"/>
      <c r="I7" s="3"/>
    </row>
    <row r="8" spans="2:9">
      <c r="B8" t="s">
        <v>8</v>
      </c>
      <c r="C8" s="4">
        <v>8.9300000000000004E-3</v>
      </c>
      <c r="D8" s="6"/>
      <c r="E8" s="3"/>
      <c r="H8" s="3"/>
      <c r="I8" s="3"/>
    </row>
    <row r="9" spans="2:9">
      <c r="B9" s="3"/>
      <c r="C9" s="3"/>
      <c r="D9" s="3"/>
      <c r="H9" s="3"/>
      <c r="I9" s="3"/>
    </row>
    <row r="10" spans="2:9">
      <c r="B10" s="3"/>
      <c r="C10" s="3"/>
      <c r="D10" s="3"/>
      <c r="E10" s="3"/>
      <c r="F10" s="3"/>
      <c r="H10" s="3"/>
      <c r="I10" s="3"/>
    </row>
    <row r="11" spans="2:9">
      <c r="B11" s="3"/>
      <c r="C11" s="3"/>
      <c r="D11" s="3"/>
      <c r="E11" s="3"/>
      <c r="F11" s="3"/>
      <c r="H11" s="3"/>
      <c r="I11" s="3"/>
    </row>
    <row r="12" spans="2:9">
      <c r="B12" s="3"/>
      <c r="C12" s="3"/>
      <c r="D12" s="3"/>
      <c r="E12" s="3"/>
      <c r="F12" s="3"/>
      <c r="H12" s="3"/>
      <c r="I12" s="3"/>
    </row>
    <row r="13" spans="2:9">
      <c r="B13" s="3" t="s">
        <v>14</v>
      </c>
      <c r="C13" s="3"/>
      <c r="D13" s="3"/>
      <c r="E13" s="3"/>
      <c r="F13" s="3"/>
      <c r="H13" s="3"/>
      <c r="I13" s="3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H37" sqref="H37"/>
    </sheetView>
  </sheetViews>
  <sheetFormatPr defaultRowHeight="15"/>
  <cols>
    <col min="1" max="1" width="9.140625" style="3"/>
    <col min="2" max="2" width="15.7109375" style="3" customWidth="1"/>
    <col min="3" max="3" width="16.85546875" style="3" customWidth="1"/>
    <col min="4" max="4" width="2.140625" style="3" customWidth="1"/>
    <col min="5" max="5" width="23.140625" style="3" bestFit="1" customWidth="1"/>
    <col min="6" max="6" width="15.7109375" style="3" customWidth="1"/>
    <col min="7" max="7" width="2.7109375" style="3" customWidth="1"/>
    <col min="8" max="8" width="15.7109375" style="3" customWidth="1"/>
    <col min="9" max="9" width="16.140625" style="3" customWidth="1"/>
    <col min="10" max="16384" width="9.140625" style="3"/>
  </cols>
  <sheetData>
    <row r="2" spans="2:9">
      <c r="B2" s="14" t="s">
        <v>4</v>
      </c>
      <c r="C2" s="14"/>
      <c r="D2" s="7"/>
      <c r="E2" s="14" t="s">
        <v>6</v>
      </c>
      <c r="F2" s="14"/>
      <c r="H2" s="14" t="s">
        <v>13</v>
      </c>
      <c r="I2" s="14"/>
    </row>
    <row r="4" spans="2:9">
      <c r="B4" s="3" t="s">
        <v>0</v>
      </c>
      <c r="C4" s="4">
        <v>4.1250000000000002E-2</v>
      </c>
      <c r="D4" s="1"/>
      <c r="E4" s="1" t="s">
        <v>9</v>
      </c>
      <c r="F4" s="4">
        <f>1-((C4/12*(1+C4/12)^360)/((1+C4/12)^360-1)*((1+C5/12)^360-1)/(C5/12*(1+C5/12)^360))</f>
        <v>9.9947928123549357E-3</v>
      </c>
      <c r="H4" s="5" t="s">
        <v>12</v>
      </c>
      <c r="I4" s="13">
        <f>C4-(1%-F7)/4</f>
        <v>4.1248698203088734E-2</v>
      </c>
    </row>
    <row r="5" spans="2:9">
      <c r="B5" s="3" t="s">
        <v>1</v>
      </c>
      <c r="C5" s="4">
        <v>4.2090000000000002E-2</v>
      </c>
      <c r="D5" s="1"/>
      <c r="E5" s="8" t="s">
        <v>15</v>
      </c>
      <c r="F5" s="16">
        <f>C8</f>
        <v>0.01</v>
      </c>
    </row>
    <row r="6" spans="2:9">
      <c r="B6" s="3" t="s">
        <v>2</v>
      </c>
      <c r="C6" s="2">
        <v>215000</v>
      </c>
      <c r="E6" s="8" t="s">
        <v>10</v>
      </c>
      <c r="F6" s="11">
        <f>F4-C8</f>
        <v>-5.2071876450645455E-6</v>
      </c>
    </row>
    <row r="7" spans="2:9">
      <c r="B7" s="3" t="s">
        <v>5</v>
      </c>
      <c r="C7" s="15" t="s">
        <v>3</v>
      </c>
      <c r="D7" s="2"/>
      <c r="E7" s="3" t="s">
        <v>11</v>
      </c>
      <c r="F7" s="12">
        <f>F5+F6</f>
        <v>9.9947928123549357E-3</v>
      </c>
    </row>
    <row r="8" spans="2:9">
      <c r="B8" s="3" t="s">
        <v>8</v>
      </c>
      <c r="C8" s="4">
        <v>0.01</v>
      </c>
      <c r="D8" s="6"/>
    </row>
    <row r="13" spans="2:9">
      <c r="B13" s="3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H7" sqref="H7"/>
    </sheetView>
  </sheetViews>
  <sheetFormatPr defaultRowHeight="15"/>
  <cols>
    <col min="1" max="1" width="9.140625" style="3"/>
    <col min="2" max="2" width="15.7109375" style="3" customWidth="1"/>
    <col min="3" max="3" width="16.85546875" style="3" customWidth="1"/>
    <col min="4" max="4" width="2.140625" style="3" customWidth="1"/>
    <col min="5" max="5" width="23.140625" style="3" bestFit="1" customWidth="1"/>
    <col min="6" max="6" width="15.7109375" style="3" customWidth="1"/>
    <col min="7" max="7" width="2.7109375" style="3" customWidth="1"/>
    <col min="8" max="8" width="15.7109375" style="3" customWidth="1"/>
    <col min="9" max="9" width="16.140625" style="3" customWidth="1"/>
    <col min="10" max="16384" width="9.140625" style="3"/>
  </cols>
  <sheetData>
    <row r="2" spans="2:9">
      <c r="B2" s="14" t="s">
        <v>4</v>
      </c>
      <c r="C2" s="14"/>
      <c r="D2" s="7"/>
      <c r="E2" s="14" t="s">
        <v>6</v>
      </c>
      <c r="F2" s="14"/>
      <c r="H2" s="14" t="s">
        <v>13</v>
      </c>
      <c r="I2" s="14"/>
    </row>
    <row r="4" spans="2:9">
      <c r="B4" s="3" t="s">
        <v>0</v>
      </c>
      <c r="C4" s="4">
        <v>3.7499999999999999E-2</v>
      </c>
      <c r="D4" s="1"/>
      <c r="E4" s="1" t="s">
        <v>9</v>
      </c>
      <c r="F4" s="4">
        <f>1-((C4/12*(1+C4/12)^360)/((1+C4/12)^360-1)*((1+C5/12)^360-1)/(C5/12*(1+C5/12)^360))</f>
        <v>2.7134922767622083E-2</v>
      </c>
      <c r="H4" s="5" t="s">
        <v>12</v>
      </c>
      <c r="I4" s="13">
        <f>C4-(1%-F7)/4</f>
        <v>4.1783730691905517E-2</v>
      </c>
    </row>
    <row r="5" spans="2:9">
      <c r="B5" s="3" t="s">
        <v>1</v>
      </c>
      <c r="C5" s="4">
        <v>3.9759999999999997E-2</v>
      </c>
      <c r="D5" s="1"/>
      <c r="E5" s="8" t="s">
        <v>15</v>
      </c>
      <c r="F5" s="16">
        <f>C8</f>
        <v>0.01</v>
      </c>
    </row>
    <row r="6" spans="2:9">
      <c r="B6" s="3" t="s">
        <v>2</v>
      </c>
      <c r="C6" s="2">
        <v>200000</v>
      </c>
      <c r="E6" s="8" t="s">
        <v>10</v>
      </c>
      <c r="F6" s="11">
        <f>F4-C8</f>
        <v>1.7134922767622081E-2</v>
      </c>
    </row>
    <row r="7" spans="2:9">
      <c r="B7" s="3" t="s">
        <v>5</v>
      </c>
      <c r="C7" s="15" t="s">
        <v>3</v>
      </c>
      <c r="D7" s="2"/>
      <c r="E7" s="3" t="s">
        <v>11</v>
      </c>
      <c r="F7" s="12">
        <f>F5+F6</f>
        <v>2.7134922767622083E-2</v>
      </c>
    </row>
    <row r="8" spans="2:9">
      <c r="B8" s="3" t="s">
        <v>8</v>
      </c>
      <c r="C8" s="4">
        <v>0.01</v>
      </c>
      <c r="D8" s="6"/>
    </row>
    <row r="13" spans="2:9">
      <c r="B13" s="3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Result</vt:lpstr>
      <vt:lpstr>Wells - Conventional</vt:lpstr>
      <vt:lpstr>BoA - Conventional</vt:lpstr>
      <vt:lpstr>Chase - Conventional</vt:lpstr>
      <vt:lpstr>Quicken - Conventional</vt:lpstr>
      <vt:lpstr>AIR</vt:lpstr>
      <vt:lpstr>BOAIR</vt:lpstr>
      <vt:lpstr>CAPR</vt:lpstr>
      <vt:lpstr>CIR</vt:lpstr>
      <vt:lpstr>CP</vt:lpstr>
      <vt:lpstr>WIR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2015-02-26T13:52:04Z</dcterms:created>
  <dcterms:modified xsi:type="dcterms:W3CDTF">2015-02-26T19:14:08Z</dcterms:modified>
</cp:coreProperties>
</file>