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Report!$B$1:$S$46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Query'!$Q$6:$V$33</definedName>
    <definedName name="Query_from_Agency_5" localSheetId="1" hidden="1">'Time Series Query'!$X$6:$Z$8</definedName>
    <definedName name="Query_from_Agency_6" localSheetId="1" hidden="1">'Time Series Query'!$AC$6:$AH$41</definedName>
    <definedName name="Query_from_Agency_7" localSheetId="1" hidden="1">'Time Series Query'!$AB$1:$AB$2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/>
  <pivotCaches>
    <pivotCache cacheId="97" r:id="rId15"/>
    <pivotCache cacheId="101" r:id="rId16"/>
    <pivotCache cacheId="107" r:id="rId17"/>
    <pivotCache cacheId="113" r:id="rId18"/>
  </pivotCaches>
</workbook>
</file>

<file path=xl/calcChain.xml><?xml version="1.0" encoding="utf-8"?>
<calcChain xmlns="http://schemas.openxmlformats.org/spreadsheetml/2006/main"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V3" i="6" l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8" i="6" s="1"/>
  <c r="Z12" i="18"/>
  <c r="D27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09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6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09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09' AND AsOfDate &gt;= '2015-02-04' order by TickerName,Source,SeriesType,AsOfDate"/>
  </connection>
  <connection id="5" name="1WeekBusDateQuery" type="1" refreshedVersion="4" savePassword="1" saveData="1">
    <dbPr connection="DSN=Cello SQL Server;UID=report;PWD=gm4SJDw4;APP=Microsoft Office 2010;WSID=CELLO-PC4;DATABASE=Cello" command="select dbo.GetNthBusinessDate('2015-03-09',-5)"/>
  </connection>
  <connection id="6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2' order by TickerName,Source,SeriesType,AsOfDate"/>
  </connection>
  <connection id="7" name="CurrentCouponQuery" type="1" refreshedVersion="4" savePassword="1" saveData="1">
    <dbPr connection="DSN=Cello SQL Server Dev;Description=Cello SQL Server Dev;UID=dev;PWD=ufmg71dkiw;APP=Microsoft Office 2010;WSID=CELLO-PC4;DATABASE=Cello0217" command="select d.AsOfDate, m.TickerName, d.SeriesNumValue_x000d__x000a_ from TimeSeriesMeta as m,TimeSeries as d_x000d__x000a_               where m.TimeSeriesMetaId = d.TimeSeriesMetaId_x000d__x000a_               and d.AsOfDate = '20150310'_x000d__x000a__x0009__x0009__x0009__x0009_and m.source = 'CELLO' _x000d__x000a__x0009__x0009__x0009__x0009_--and *m.TickerName like'GN_CMM_30%'_x000d__x000a__x0009__x0009__x0009__x0009_and m.category = 'MTG' _x000d__x000a__x0009__x0009__x0009__x0009_order by d.AsOfDate"/>
  </connection>
  <connection id="8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9' order by TickerName,Source,SeriesType,AsOfDate"/>
  </connection>
</connections>
</file>

<file path=xl/sharedStrings.xml><?xml version="1.0" encoding="utf-8"?>
<sst xmlns="http://schemas.openxmlformats.org/spreadsheetml/2006/main" count="1213" uniqueCount="100">
  <si>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</si>
  <si>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</si>
  <si>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</si>
  <si>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</si>
  <si>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</si>
  <si>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</si>
  <si>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</si>
  <si>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</si>
  <si>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</si>
  <si>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</si>
  <si>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</si>
  <si>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</si>
  <si>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</si>
  <si>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</si>
  <si>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</si>
  <si>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</si>
  <si>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</si>
  <si>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</si>
  <si>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</si>
  <si>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</si>
  <si>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</si>
  <si>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</si>
  <si>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</si>
  <si>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</si>
  <si>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</si>
  <si>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</si>
  <si>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</si>
  <si>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</si>
  <si>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</si>
  <si>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</si>
  <si>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</si>
  <si>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</si>
  <si>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</si>
  <si>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</si>
  <si>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</si>
  <si>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</si>
  <si>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</si>
  <si>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</si>
  <si>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</si>
  <si>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</si>
  <si>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</si>
  <si>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</si>
  <si>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</si>
  <si>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</si>
  <si>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</si>
  <si>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</si>
  <si>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</si>
  <si>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</si>
  <si>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</si>
  <si>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</si>
  <si>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</si>
  <si>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</si>
  <si>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</si>
  <si>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</si>
  <si>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</si>
  <si>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</si>
  <si>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</si>
  <si>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</si>
  <si>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</si>
  <si>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</si>
  <si>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</si>
  <si>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</si>
  <si>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</si>
  <si>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</si>
  <si>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</si>
  <si>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</si>
  <si>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</si>
  <si>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</si>
  <si>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</si>
  <si>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</si>
  <si>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</si>
  <si>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</si>
  <si>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</si>
  <si>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</si>
  <si>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</si>
  <si>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</si>
  <si>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</si>
  <si>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</si>
  <si>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</si>
  <si>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</si>
  <si>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</si>
  <si>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</si>
  <si>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</si>
  <si>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</si>
  <si>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</si>
  <si>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</si>
  <si>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</si>
  <si>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1 month historic</t>
  </si>
  <si>
    <t>2015-03-04</t>
  </si>
  <si>
    <t>2015-03-05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</si>
  <si>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</si>
  <si>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</si>
  <si>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</si>
  <si>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</si>
  <si>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</si>
  <si>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</si>
  <si>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</si>
  <si>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2015-03-02</t>
  </si>
  <si>
    <t>No</t>
  </si>
  <si>
    <t>2015-02-04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</si>
</sst>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</numFmts>
  <fonts count="14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8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72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0" fontId="14" fillId="12" borderId="50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39" fillId="6" borderId="0" xfId="366" applyFont="1"/>
    <xf numFmtId="14" fontId="139" fillId="6" borderId="0" xfId="366" applyNumberFormat="1" applyFont="1"/>
  </cellXfs>
  <cellStyles count="528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numFmt numFmtId="198" formatCode="m/d;@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44"/>
      <tableStyleElement type="headerRow" dxfId="43"/>
      <tableStyleElement type="firstColumn" dxfId="42"/>
      <tableStyleElement type="firstSubtotalRow" dxfId="41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- template - 0310.xlsm]Rates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none"/>
          </c:marker>
          <c:cat>
            <c:strRef>
              <c:f>'Rates Summary'!$A$80:$A$84</c:f>
              <c:strCache>
                <c:ptCount val="5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</c:strCache>
            </c:strRef>
          </c:cat>
          <c:val>
            <c:numRef>
              <c:f>'Rates Summary'!$B$80:$B$84</c:f>
              <c:numCache>
                <c:formatCode>General</c:formatCode>
                <c:ptCount val="5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Summary'!$A$80:$A$84</c:f>
              <c:strCache>
                <c:ptCount val="5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</c:strCache>
            </c:strRef>
          </c:cat>
          <c:val>
            <c:numRef>
              <c:f>'Rates Summary'!$C$80:$C$84</c:f>
              <c:numCache>
                <c:formatCode>General</c:formatCode>
                <c:ptCount val="5"/>
                <c:pt idx="0">
                  <c:v>3.9717500000000001</c:v>
                </c:pt>
                <c:pt idx="1">
                  <c:v>3.9717500000000001</c:v>
                </c:pt>
                <c:pt idx="2">
                  <c:v>3.9717500000000001</c:v>
                </c:pt>
                <c:pt idx="3">
                  <c:v>3.9717500000000001</c:v>
                </c:pt>
                <c:pt idx="4">
                  <c:v>3.9717500000000001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Summary'!$A$80:$A$84</c:f>
              <c:strCache>
                <c:ptCount val="5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</c:strCache>
            </c:strRef>
          </c:cat>
          <c:val>
            <c:numRef>
              <c:f>'Rates Summary'!$D$80:$D$84</c:f>
              <c:numCache>
                <c:formatCode>General</c:formatCode>
                <c:ptCount val="5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Summary'!$A$80:$A$84</c:f>
              <c:strCache>
                <c:ptCount val="5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</c:strCache>
            </c:strRef>
          </c:cat>
          <c:val>
            <c:numRef>
              <c:f>'Rates Summary'!$E$80:$E$84</c:f>
              <c:numCache>
                <c:formatCode>General</c:formatCode>
                <c:ptCount val="5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221504"/>
        <c:axId val="293223040"/>
      </c:lineChart>
      <c:catAx>
        <c:axId val="293221504"/>
        <c:scaling>
          <c:orientation val="minMax"/>
        </c:scaling>
        <c:delete val="0"/>
        <c:axPos val="b"/>
        <c:majorTickMark val="out"/>
        <c:minorTickMark val="none"/>
        <c:tickLblPos val="nextTo"/>
        <c:crossAx val="293223040"/>
        <c:crosses val="autoZero"/>
        <c:auto val="1"/>
        <c:lblAlgn val="ctr"/>
        <c:lblOffset val="100"/>
        <c:noMultiLvlLbl val="0"/>
      </c:catAx>
      <c:valAx>
        <c:axId val="293223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93221504"/>
        <c:crosses val="autoZero"/>
        <c:crossBetween val="between"/>
      </c:valAx>
      <c:spPr>
        <a:ln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349249</xdr:colOff>
      <xdr:row>30</xdr:row>
      <xdr:rowOff>111125</xdr:rowOff>
    </xdr:from>
    <xdr:to>
      <xdr:col>17</xdr:col>
      <xdr:colOff>298450</xdr:colOff>
      <xdr:row>43</xdr:row>
      <xdr:rowOff>60326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4.472761921294" createdVersion="5" refreshedVersion="4" minRefreshableVersion="3" recordCount="2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APR"/>
        <s v="Points"/>
        <s v="Rate"/>
        <s v="Closing Cost"/>
        <s v="Loan Amount"/>
        <s v="Upfront MIP"/>
        <m u="1"/>
        <s v="Servicing Spread" u="1"/>
        <s v="1Point Rate" u="1"/>
      </sharedItems>
    </cacheField>
    <cacheField name="Category" numFmtId="0">
      <sharedItems/>
    </cacheField>
    <cacheField name="AsOfDate" numFmtId="0">
      <sharedItems containsBlank="1" count="3">
        <s v="2015-03-02"/>
        <m u="1"/>
        <s v="2015-03-03" u="1"/>
      </sharedItems>
    </cacheField>
    <cacheField name="SeriesNumValue" numFmtId="0">
      <sharedItems containsSemiMixedTypes="0" containsString="0" containsNumber="1" minValue="0.875" maxValue="2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4.47276203704" createdVersion="4" refreshedVersion="4" minRefreshableVersion="3" recordCount="35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6">
        <s v="2015-03-03"/>
        <s v="2015-03-04"/>
        <s v="2015-03-05"/>
        <s v="2015-03-06"/>
        <s v="2015-03-09"/>
        <s v="2015-03-10" u="1"/>
      </sharedItems>
    </cacheField>
    <cacheField name="SeriesNumValue" numFmtId="0">
      <sharedItems containsSemiMixedTypes="0" containsString="0" containsNumber="1" minValue="3.9170666666666665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4.47276203704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6">
        <s v="2015-03-06"/>
        <s v="2015-03-04" u="1"/>
        <s v="2015-03-05" u="1"/>
        <s v="2015-03-09" u="1"/>
        <s v="2015-03-02" u="1"/>
        <s v="2015-03-03" u="1"/>
      </sharedItems>
    </cacheField>
    <cacheField name="SeriesNumValue" numFmtId="0">
      <sharedItems containsSemiMixedTypes="0" containsString="0" containsNumber="1" minValue="0.62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74.472762152778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8">
        <s v="2015-03-09"/>
        <m u="1"/>
        <s v="2015-03-04" u="1"/>
        <s v="2015-03-05" u="1"/>
        <s v="2015-03-06" u="1"/>
        <s v="2015-03-10" u="1"/>
        <s v="2015-03-02" u="1"/>
        <s v="2015-03-03" u="1"/>
      </sharedItems>
    </cacheField>
    <cacheField name="SeriesNumValue" numFmtId="0">
      <sharedItems containsSemiMixedTypes="0" containsString="0" containsNumber="1" minValue="0.95399999999999996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x v="0"/>
    <s v="MTG"/>
    <x v="0"/>
    <n v="4.0629999999999997"/>
  </r>
  <r>
    <x v="0"/>
    <x v="0"/>
    <x v="1"/>
    <s v="MTG"/>
    <x v="0"/>
    <n v="0.95799999999999996"/>
  </r>
  <r>
    <x v="0"/>
    <x v="0"/>
    <x v="2"/>
    <s v="MTG"/>
    <x v="0"/>
    <n v="3.875"/>
  </r>
  <r>
    <x v="0"/>
    <x v="1"/>
    <x v="0"/>
    <s v="MTG"/>
    <x v="0"/>
    <n v="4.1980000000000004"/>
  </r>
  <r>
    <x v="0"/>
    <x v="1"/>
    <x v="1"/>
    <s v="MTG"/>
    <x v="0"/>
    <n v="0.875"/>
  </r>
  <r>
    <x v="0"/>
    <x v="1"/>
    <x v="2"/>
    <s v="MTG"/>
    <x v="0"/>
    <n v="4.1980000000000004"/>
  </r>
  <r>
    <x v="0"/>
    <x v="2"/>
    <x v="0"/>
    <s v="MTG"/>
    <x v="0"/>
    <n v="3.9980000000000002"/>
  </r>
  <r>
    <x v="0"/>
    <x v="2"/>
    <x v="1"/>
    <s v="MTG"/>
    <x v="0"/>
    <n v="2.125"/>
  </r>
  <r>
    <x v="0"/>
    <x v="2"/>
    <x v="2"/>
    <s v="MTG"/>
    <x v="0"/>
    <n v="3.75"/>
  </r>
  <r>
    <x v="0"/>
    <x v="3"/>
    <x v="0"/>
    <s v="MTG"/>
    <x v="0"/>
    <n v="4.0469999999999997"/>
  </r>
  <r>
    <x v="0"/>
    <x v="3"/>
    <x v="1"/>
    <s v="MTG"/>
    <x v="0"/>
    <n v="1"/>
  </r>
  <r>
    <x v="0"/>
    <x v="3"/>
    <x v="2"/>
    <s v="MTG"/>
    <x v="0"/>
    <n v="4"/>
  </r>
  <r>
    <x v="1"/>
    <x v="2"/>
    <x v="0"/>
    <s v="MTG"/>
    <x v="0"/>
    <n v="4.2699999999999996"/>
  </r>
  <r>
    <x v="1"/>
    <x v="2"/>
    <x v="1"/>
    <s v="MTG"/>
    <x v="0"/>
    <n v="2.25"/>
  </r>
  <r>
    <x v="1"/>
    <x v="2"/>
    <x v="2"/>
    <s v="MTG"/>
    <x v="0"/>
    <n v="3.375"/>
  </r>
  <r>
    <x v="1"/>
    <x v="3"/>
    <x v="0"/>
    <s v="MTG"/>
    <x v="0"/>
    <n v="4.79"/>
  </r>
  <r>
    <x v="1"/>
    <x v="3"/>
    <x v="3"/>
    <s v="MTG"/>
    <x v="0"/>
    <n v="6762"/>
  </r>
  <r>
    <x v="1"/>
    <x v="3"/>
    <x v="4"/>
    <s v="MTG"/>
    <x v="0"/>
    <n v="200000"/>
  </r>
  <r>
    <x v="1"/>
    <x v="3"/>
    <x v="1"/>
    <s v="MTG"/>
    <x v="0"/>
    <n v="1"/>
  </r>
  <r>
    <x v="1"/>
    <x v="3"/>
    <x v="2"/>
    <s v="MTG"/>
    <x v="0"/>
    <n v="3.75"/>
  </r>
  <r>
    <x v="1"/>
    <x v="3"/>
    <x v="5"/>
    <s v="MTG"/>
    <x v="0"/>
    <n v="3500"/>
  </r>
  <r>
    <x v="2"/>
    <x v="3"/>
    <x v="0"/>
    <s v="MTG"/>
    <x v="0"/>
    <n v="4.1280000000000001"/>
  </r>
  <r>
    <x v="2"/>
    <x v="3"/>
    <x v="1"/>
    <s v="MTG"/>
    <x v="0"/>
    <n v="1"/>
  </r>
  <r>
    <x v="2"/>
    <x v="3"/>
    <x v="2"/>
    <s v="MTG"/>
    <x v="0"/>
    <n v="4.125"/>
  </r>
  <r>
    <x v="3"/>
    <x v="3"/>
    <x v="0"/>
    <s v="MTG"/>
    <x v="0"/>
    <n v="4.0149999999999997"/>
  </r>
  <r>
    <x v="3"/>
    <x v="3"/>
    <x v="1"/>
    <s v="MTG"/>
    <x v="0"/>
    <n v="1"/>
  </r>
  <r>
    <x v="3"/>
    <x v="3"/>
    <x v="2"/>
    <s v="MTG"/>
    <x v="0"/>
    <n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1"/>
    <s v="Wells Fargo"/>
    <s v="1Point Rate"/>
    <s v="MTG"/>
    <x v="0"/>
    <n v="3.9717500000000001"/>
  </r>
  <r>
    <x v="1"/>
    <s v="Wells Fargo"/>
    <s v="1Point Rate"/>
    <s v="MTG"/>
    <x v="1"/>
    <n v="3.9717500000000001"/>
  </r>
  <r>
    <x v="1"/>
    <s v="Wells Fargo"/>
    <s v="1Point Rate"/>
    <s v="MTG"/>
    <x v="2"/>
    <n v="3.9717500000000001"/>
  </r>
  <r>
    <x v="1"/>
    <s v="Wells Fargo"/>
    <s v="1Point Rate"/>
    <s v="MTG"/>
    <x v="3"/>
    <n v="3.9717500000000001"/>
  </r>
  <r>
    <x v="1"/>
    <s v="Wells Fargo"/>
    <s v="1Point Rate"/>
    <s v="MTG"/>
    <x v="4"/>
    <n v="3.9717500000000001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664099742286595"/>
  </r>
  <r>
    <x v="0"/>
    <x v="0"/>
    <x v="1"/>
    <s v="MTG"/>
    <x v="0"/>
    <n v="4.2080000000000002"/>
  </r>
  <r>
    <x v="0"/>
    <x v="0"/>
    <x v="2"/>
    <s v="MTG"/>
    <x v="0"/>
    <n v="1.163"/>
  </r>
  <r>
    <x v="0"/>
    <x v="0"/>
    <x v="3"/>
    <s v="MTG"/>
    <x v="0"/>
    <n v="4"/>
  </r>
  <r>
    <x v="0"/>
    <x v="0"/>
    <x v="4"/>
    <s v="MTG"/>
    <x v="0"/>
    <n v="1.4360929633267601"/>
  </r>
  <r>
    <x v="0"/>
    <x v="1"/>
    <x v="0"/>
    <s v="MTG"/>
    <x v="0"/>
    <n v="4.0301218665618999"/>
  </r>
  <r>
    <x v="0"/>
    <x v="1"/>
    <x v="1"/>
    <s v="MTG"/>
    <x v="0"/>
    <n v="4.1769999999999996"/>
  </r>
  <r>
    <x v="0"/>
    <x v="1"/>
    <x v="2"/>
    <s v="MTG"/>
    <x v="0"/>
    <n v="0.625"/>
  </r>
  <r>
    <x v="0"/>
    <x v="1"/>
    <x v="3"/>
    <s v="MTG"/>
    <x v="0"/>
    <n v="4.125"/>
  </r>
  <r>
    <x v="0"/>
    <x v="1"/>
    <x v="4"/>
    <s v="MTG"/>
    <x v="0"/>
    <n v="1.09980485566"/>
  </r>
  <r>
    <x v="0"/>
    <x v="2"/>
    <x v="0"/>
    <s v="MTG"/>
    <x v="0"/>
    <n v="4.356765969784167"/>
  </r>
  <r>
    <x v="0"/>
    <x v="2"/>
    <x v="1"/>
    <s v="MTG"/>
    <x v="0"/>
    <n v="4.1980000000000004"/>
  </r>
  <r>
    <x v="0"/>
    <x v="2"/>
    <x v="2"/>
    <s v="MTG"/>
    <x v="0"/>
    <n v="1.625"/>
  </r>
  <r>
    <x v="0"/>
    <x v="2"/>
    <x v="3"/>
    <s v="MTG"/>
    <x v="0"/>
    <n v="3.99"/>
  </r>
  <r>
    <x v="0"/>
    <x v="2"/>
    <x v="4"/>
    <s v="MTG"/>
    <x v="0"/>
    <n v="1.4264489588822669"/>
  </r>
  <r>
    <x v="0"/>
    <x v="3"/>
    <x v="0"/>
    <s v="MTG"/>
    <x v="0"/>
    <n v="4.3642403763055508"/>
  </r>
  <r>
    <x v="0"/>
    <x v="3"/>
    <x v="1"/>
    <s v="MTG"/>
    <x v="0"/>
    <n v="4.173"/>
  </r>
  <r>
    <x v="0"/>
    <x v="3"/>
    <x v="5"/>
    <s v="MTG"/>
    <x v="0"/>
    <n v="2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4339233654036512"/>
  </r>
  <r>
    <x v="1"/>
    <x v="2"/>
    <x v="1"/>
    <s v="MTG"/>
    <x v="0"/>
    <n v="4.4000000000000004"/>
  </r>
  <r>
    <x v="1"/>
    <x v="2"/>
    <x v="2"/>
    <s v="MTG"/>
    <x v="0"/>
    <n v="2.2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5.0090000000000003"/>
  </r>
  <r>
    <x v="1"/>
    <x v="3"/>
    <x v="5"/>
    <s v="MTG"/>
    <x v="0"/>
    <n v="6041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4"/>
  </r>
  <r>
    <x v="1"/>
    <x v="3"/>
    <x v="4"/>
    <s v="MTG"/>
    <x v="0"/>
    <n v="1.1865322640026403"/>
  </r>
  <r>
    <x v="1"/>
    <x v="3"/>
    <x v="7"/>
    <s v="MTG"/>
    <x v="0"/>
    <n v="3500"/>
  </r>
  <r>
    <x v="2"/>
    <x v="3"/>
    <x v="0"/>
    <s v="MTG"/>
    <x v="0"/>
    <n v="4.145604497342033"/>
  </r>
  <r>
    <x v="2"/>
    <x v="3"/>
    <x v="1"/>
    <s v="MTG"/>
    <x v="0"/>
    <n v="4.2590000000000003"/>
  </r>
  <r>
    <x v="2"/>
    <x v="3"/>
    <x v="5"/>
    <s v="MTG"/>
    <x v="0"/>
    <n v="2377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2152874864401328"/>
  </r>
  <r>
    <x v="3"/>
    <x v="3"/>
    <x v="0"/>
    <s v="MTG"/>
    <x v="0"/>
    <n v="3.9975388163708763"/>
  </r>
  <r>
    <x v="3"/>
    <x v="3"/>
    <x v="1"/>
    <s v="MTG"/>
    <x v="0"/>
    <n v="4.1310000000000002"/>
  </r>
  <r>
    <x v="3"/>
    <x v="3"/>
    <x v="5"/>
    <s v="MTG"/>
    <x v="0"/>
    <n v="31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67221805468976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313965889771076"/>
  </r>
  <r>
    <x v="0"/>
    <x v="0"/>
    <x v="1"/>
    <s v="MTG"/>
    <x v="0"/>
    <n v="4.1900000000000004"/>
  </r>
  <r>
    <x v="0"/>
    <x v="0"/>
    <x v="2"/>
    <s v="MTG"/>
    <x v="0"/>
    <n v="0.95399999999999996"/>
  </r>
  <r>
    <x v="0"/>
    <x v="0"/>
    <x v="3"/>
    <s v="MTG"/>
    <x v="0"/>
    <n v="4"/>
  </r>
  <r>
    <x v="0"/>
    <x v="0"/>
    <x v="4"/>
    <s v="MTG"/>
    <x v="0"/>
    <n v="1.467615552964316"/>
  </r>
  <r>
    <x v="1"/>
    <x v="0"/>
    <x v="0"/>
    <s v="MTG"/>
    <x v="0"/>
    <n v="3.9987193359155064"/>
  </r>
  <r>
    <x v="1"/>
    <x v="0"/>
    <x v="1"/>
    <s v="MTG"/>
    <x v="0"/>
    <n v="4.0830000000000002"/>
  </r>
  <r>
    <x v="1"/>
    <x v="0"/>
    <x v="2"/>
    <s v="MTG"/>
    <x v="0"/>
    <n v="1"/>
  </r>
  <r>
    <x v="1"/>
    <x v="0"/>
    <x v="3"/>
    <s v="MTG"/>
    <x v="0"/>
    <n v="4"/>
  </r>
  <r>
    <x v="1"/>
    <x v="0"/>
    <x v="4"/>
    <s v="MTG"/>
    <x v="0"/>
    <n v="1.1523689991087465"/>
  </r>
  <r>
    <x v="2"/>
    <x v="0"/>
    <x v="0"/>
    <s v="MTG"/>
    <x v="0"/>
    <n v="4.3975094107446839"/>
  </r>
  <r>
    <x v="2"/>
    <x v="0"/>
    <x v="1"/>
    <s v="MTG"/>
    <x v="0"/>
    <n v="4.1349999999999998"/>
  </r>
  <r>
    <x v="2"/>
    <x v="0"/>
    <x v="2"/>
    <s v="MTG"/>
    <x v="0"/>
    <n v="2.25"/>
  </r>
  <r>
    <x v="2"/>
    <x v="0"/>
    <x v="3"/>
    <s v="MTG"/>
    <x v="0"/>
    <n v="3.875"/>
  </r>
  <r>
    <x v="2"/>
    <x v="0"/>
    <x v="4"/>
    <s v="MTG"/>
    <x v="0"/>
    <n v="1.5511590739379244"/>
  </r>
  <r>
    <x v="3"/>
    <x v="0"/>
    <x v="0"/>
    <s v="MTG"/>
    <x v="0"/>
    <n v="4.3002725972031506"/>
  </r>
  <r>
    <x v="3"/>
    <x v="0"/>
    <x v="1"/>
    <s v="MTG"/>
    <x v="0"/>
    <n v="4.1619999999999999"/>
  </r>
  <r>
    <x v="3"/>
    <x v="0"/>
    <x v="5"/>
    <s v="MTG"/>
    <x v="0"/>
    <n v="251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4539222603963904"/>
  </r>
  <r>
    <x v="2"/>
    <x v="1"/>
    <x v="1"/>
    <s v="MTG"/>
    <x v="0"/>
    <n v="4.3879999999999999"/>
  </r>
  <r>
    <x v="2"/>
    <x v="1"/>
    <x v="2"/>
    <s v="MTG"/>
    <x v="0"/>
    <n v="2.125"/>
  </r>
  <r>
    <x v="2"/>
    <x v="1"/>
    <x v="3"/>
    <s v="MTG"/>
    <x v="0"/>
    <n v="3.5"/>
  </r>
  <r>
    <x v="3"/>
    <x v="1"/>
    <x v="0"/>
    <s v="MTG"/>
    <x v="0"/>
    <n v="3.9717500000000001"/>
  </r>
  <r>
    <x v="3"/>
    <x v="1"/>
    <x v="1"/>
    <s v="MTG"/>
    <x v="0"/>
    <n v="4.9169999999999998"/>
  </r>
  <r>
    <x v="3"/>
    <x v="1"/>
    <x v="5"/>
    <s v="MTG"/>
    <x v="0"/>
    <n v="6783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2648114361650704"/>
  </r>
  <r>
    <x v="3"/>
    <x v="1"/>
    <x v="7"/>
    <s v="MTG"/>
    <x v="0"/>
    <n v="3500"/>
  </r>
  <r>
    <x v="3"/>
    <x v="2"/>
    <x v="0"/>
    <s v="MTG"/>
    <x v="0"/>
    <n v="4.0563500000000001"/>
  </r>
  <r>
    <x v="3"/>
    <x v="2"/>
    <x v="1"/>
    <s v="MTG"/>
    <x v="0"/>
    <n v="4.25"/>
  </r>
  <r>
    <x v="3"/>
    <x v="2"/>
    <x v="5"/>
    <s v="MTG"/>
    <x v="0"/>
    <n v="1127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25"/>
  </r>
  <r>
    <x v="3"/>
    <x v="2"/>
    <x v="4"/>
    <s v="MTG"/>
    <x v="0"/>
    <n v="1.2099996631932404"/>
  </r>
  <r>
    <x v="3"/>
    <x v="3"/>
    <x v="0"/>
    <s v="MTG"/>
    <x v="0"/>
    <n v="3.9543261870321942"/>
  </r>
  <r>
    <x v="3"/>
    <x v="3"/>
    <x v="1"/>
    <s v="MTG"/>
    <x v="0"/>
    <n v="4.1269999999999998"/>
  </r>
  <r>
    <x v="3"/>
    <x v="3"/>
    <x v="5"/>
    <s v="MTG"/>
    <x v="0"/>
    <n v="2200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10797585022543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97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I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2"/>
        <item x="1"/>
        <item x="0"/>
        <item x="3"/>
        <item x="4"/>
        <item x="5"/>
        <item m="1" x="6"/>
        <item m="1" x="8"/>
        <item m="1" x="7"/>
        <item t="default"/>
      </items>
    </pivotField>
    <pivotField compact="0" outline="0" showAll="0"/>
    <pivotField axis="axisRow" compact="0" outline="0" showAll="0" defaultSubtotal="0">
      <items count="3"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2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um of SeriesNumValue" fld="5" baseField="0" baseItem="0"/>
  </dataFields>
  <formats count="1">
    <format dxfId="24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5" cacheId="101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4">
  <location ref="A78:E84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7">
        <item x="0"/>
        <item x="1"/>
        <item x="2"/>
        <item x="3"/>
        <item x="4"/>
        <item m="1" x="5"/>
        <item t="default"/>
      </items>
    </pivotField>
    <pivotField dataField="1" showAll="0"/>
  </pivotFields>
  <rowFields count="1">
    <field x="4"/>
  </rowFields>
  <rowItems count="5">
    <i>
      <x/>
    </i>
    <i>
      <x v="1"/>
    </i>
    <i>
      <x v="2"/>
    </i>
    <i>
      <x v="3"/>
    </i>
    <i>
      <x v="4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25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107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6">
        <item m="1" x="5"/>
        <item m="1" x="4"/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4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26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RatesSummaryTable" cacheId="113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8">
        <item m="1" x="6"/>
        <item m="1" x="7"/>
        <item m="1" x="2"/>
        <item m="1" x="1"/>
        <item m="1" x="3"/>
        <item m="1" x="4"/>
        <item x="0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6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7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8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5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40" dataDxfId="39">
  <tableColumns count="6">
    <tableColumn id="3" uniqueName="3" name="Source" queryTableFieldId="44" dataDxfId="23" dataCellStyle="Normal 2 7"/>
    <tableColumn id="4" uniqueName="4" name="TickerName" queryTableFieldId="45" dataDxfId="22" dataCellStyle="Normal 2 7"/>
    <tableColumn id="5" uniqueName="5" name="SeriesType" queryTableFieldId="46" dataDxfId="21" dataCellStyle="Normal 2 7"/>
    <tableColumn id="6" uniqueName="6" name="Category" queryTableFieldId="47" dataDxfId="20" dataCellStyle="Normal 2 7"/>
    <tableColumn id="10" uniqueName="10" name="AsOfDate" queryTableFieldId="51" dataDxfId="19" dataCellStyle="Normal 2 7"/>
    <tableColumn id="11" uniqueName="11" name="SeriesNumValue" queryTableFieldId="52" dataDxfId="18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8" dataDxfId="37">
  <tableColumns count="6">
    <tableColumn id="2" uniqueName="2" name="TickerName" queryTableFieldId="57" dataDxfId="17"/>
    <tableColumn id="3" uniqueName="3" name="Source" queryTableFieldId="58" dataDxfId="16"/>
    <tableColumn id="4" uniqueName="4" name="SeriesType" queryTableFieldId="59" dataDxfId="15"/>
    <tableColumn id="5" uniqueName="5" name="Category" queryTableFieldId="60" dataDxfId="14"/>
    <tableColumn id="6" uniqueName="6" name="AsOfDate" queryTableFieldId="61" dataDxfId="13"/>
    <tableColumn id="7" uniqueName="7" name="SeriesNumValue" queryTableFieldId="62" dataDxfId="1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33" tableType="queryTable" totalsRowShown="0" headerRowDxfId="36" dataDxfId="35">
  <tableColumns count="6">
    <tableColumn id="2" uniqueName="2" name="TickerName" queryTableFieldId="57" dataDxfId="11" dataCellStyle="Normal 2 7"/>
    <tableColumn id="3" uniqueName="3" name="Source" queryTableFieldId="58" dataDxfId="10" dataCellStyle="Normal 2 7"/>
    <tableColumn id="4" uniqueName="4" name="SeriesType" queryTableFieldId="59" dataDxfId="9" dataCellStyle="Normal 2 7"/>
    <tableColumn id="5" uniqueName="5" name="Category" queryTableFieldId="60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34" dataDxfId="33">
  <tableColumns count="3">
    <tableColumn id="2" uniqueName="2" name="TickerName" queryTableFieldId="57" dataDxfId="32" dataCellStyle="Normal 2 7"/>
    <tableColumn id="6" uniqueName="6" name="AsOfDate" queryTableFieldId="61" dataDxfId="31" dataCellStyle="Normal 2 7"/>
    <tableColumn id="7" uniqueName="7" name="SeriesNumValue" queryTableFieldId="62" dataDxfId="30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41" tableType="queryTable" totalsRowShown="0" headerRowDxfId="29" dataDxfId="28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28"/>
  <sheetViews>
    <sheetView tabSelected="1" zoomScaleNormal="100" workbookViewId="0">
      <selection activeCell="AA10" sqref="AA10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98</v>
      </c>
    </row>
    <row r="2" spans="3:24">
      <c r="U2" s="86" t="s">
        <v>60</v>
      </c>
      <c r="V2" s="88">
        <v>42072</v>
      </c>
    </row>
    <row r="3" spans="3:24" s="1" customFormat="1">
      <c r="U3" s="86" t="s">
        <v>71</v>
      </c>
      <c r="V3" s="87" t="str">
        <f>"S:\Users\Lien\Daily Report\Daily Originator Mortgage Rate Report\Daily Originator Mortgage Rate Report " &amp; TEXT(CurrentCloseDate, "yyyy-mm-dd") &amp; ".pdf"</f>
        <v>S:\Users\Lien\Daily Report\Daily Originator Mortgage Rate Report\Daily Originator Mortgage Rate Report 2015-03-09.pdf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61" t="s">
        <v>31</v>
      </c>
      <c r="E11" s="162"/>
      <c r="F11" s="162"/>
      <c r="G11" s="162" t="s">
        <v>0</v>
      </c>
      <c r="H11" s="162"/>
      <c r="I11" s="165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74</v>
      </c>
      <c r="Q11" s="80" t="s">
        <v>72</v>
      </c>
      <c r="R11" s="82" t="s">
        <v>73</v>
      </c>
    </row>
    <row r="12" spans="3:24" s="99" customFormat="1" ht="18" customHeight="1">
      <c r="C12" s="98" t="s">
        <v>17</v>
      </c>
      <c r="D12" s="163">
        <f>'BoA - Conventional'!C4</f>
        <v>0.04</v>
      </c>
      <c r="E12" s="164"/>
      <c r="F12" s="164"/>
      <c r="G12" s="164">
        <f>'BoA - Conventional'!C5</f>
        <v>4.1900000000000007E-2</v>
      </c>
      <c r="H12" s="164"/>
      <c r="I12" s="166"/>
      <c r="J12" s="37">
        <f>'BoA - Conventional'!F5</f>
        <v>9.5399999999999999E-3</v>
      </c>
      <c r="K12" s="37">
        <f>'BoA - Conventional'!F6</f>
        <v>1.3018635590843035E-2</v>
      </c>
      <c r="L12" s="37">
        <f>'BoA - Conventional'!F7</f>
        <v>2.2558635590843035E-2</v>
      </c>
      <c r="M12" s="47">
        <f>'BoA - Conventional'!I4</f>
        <v>4.3139658897710757E-2</v>
      </c>
      <c r="N12" s="48">
        <f>M12-D$27</f>
        <v>1.4676155529643159E-2</v>
      </c>
      <c r="O12" s="50">
        <f>(M12-'Historic Result'!C5)*100*100</f>
        <v>-5.2444084457584079</v>
      </c>
      <c r="P12" s="36">
        <f>(N12-'Historic Result'!D5)*100*100</f>
        <v>3.1522589637555769</v>
      </c>
      <c r="Q12" s="36" t="e">
        <f>(M12-'Historic Result'!E5)*100*100</f>
        <v>#N/A</v>
      </c>
      <c r="R12" s="44" t="e">
        <f>(N12-'Historic Result'!F5)*100*100</f>
        <v>#N/A</v>
      </c>
    </row>
    <row r="13" spans="3:24" s="99" customFormat="1" ht="18" customHeight="1">
      <c r="C13" s="98" t="s">
        <v>18</v>
      </c>
      <c r="D13" s="163">
        <f>'Chase - Conventional'!C4</f>
        <v>0.04</v>
      </c>
      <c r="E13" s="164"/>
      <c r="F13" s="164"/>
      <c r="G13" s="164">
        <f>'Chase - Conventional'!C5</f>
        <v>4.0830000000000005E-2</v>
      </c>
      <c r="H13" s="164"/>
      <c r="I13" s="166"/>
      <c r="J13" s="37" t="s">
        <v>2</v>
      </c>
      <c r="K13" s="37" t="s">
        <v>2</v>
      </c>
      <c r="L13" s="37">
        <f>'Chase - Conventional'!F7</f>
        <v>9.9487734366202618E-3</v>
      </c>
      <c r="M13" s="47">
        <f>'Chase - Conventional'!I4</f>
        <v>3.9987193359155064E-2</v>
      </c>
      <c r="N13" s="48">
        <f>M13-D$27</f>
        <v>1.1523689991087466E-2</v>
      </c>
      <c r="O13" s="50">
        <f>(M13-'Historic Result'!C6)*100*100</f>
        <v>-3.1402530646393312</v>
      </c>
      <c r="P13" s="36">
        <f>(N13-'Historic Result'!D6)*100*100</f>
        <v>5.2564143448746536</v>
      </c>
      <c r="Q13" s="36" t="e">
        <f>(M13-'Historic Result'!E6)*100*100</f>
        <v>#N/A</v>
      </c>
      <c r="R13" s="44" t="e">
        <f>(N13-'Historic Result'!F6)*100*100</f>
        <v>#N/A</v>
      </c>
    </row>
    <row r="14" spans="3:24" s="99" customFormat="1" ht="18" customHeight="1">
      <c r="C14" s="98" t="s">
        <v>19</v>
      </c>
      <c r="D14" s="163">
        <f>'Quicken - Conventional'!C4</f>
        <v>3.875E-2</v>
      </c>
      <c r="E14" s="164"/>
      <c r="F14" s="164"/>
      <c r="G14" s="164">
        <f>'Quicken - Conventional'!C5</f>
        <v>4.1349999999999998E-2</v>
      </c>
      <c r="H14" s="164"/>
      <c r="I14" s="166"/>
      <c r="J14" s="37">
        <f>'Quicken - Conventional'!F5</f>
        <v>2.2499999999999999E-2</v>
      </c>
      <c r="K14" s="37">
        <f>'Quicken - Conventional'!F6</f>
        <v>8.4003764297873804E-3</v>
      </c>
      <c r="L14" s="37">
        <f>'Quicken - Conventional'!F7</f>
        <v>3.090037642978738E-2</v>
      </c>
      <c r="M14" s="47">
        <f>'Quicken - Conventional'!I4</f>
        <v>4.3975094107446842E-2</v>
      </c>
      <c r="N14" s="48">
        <f>M14-D$27</f>
        <v>1.5511590739379244E-2</v>
      </c>
      <c r="O14" s="50">
        <f>(M14-'Historic Result'!C7)*100*100</f>
        <v>4.0743440960517434</v>
      </c>
      <c r="P14" s="36">
        <f>(N14-'Historic Result'!D7)*100*100</f>
        <v>12.471011505565746</v>
      </c>
      <c r="Q14" s="36" t="e">
        <f>(M14-'Historic Result'!E7)*100*100</f>
        <v>#N/A</v>
      </c>
      <c r="R14" s="44" t="e">
        <f>(N14-'Historic Result'!F7)*100*100</f>
        <v>#N/A</v>
      </c>
    </row>
    <row r="15" spans="3:24" s="99" customFormat="1" ht="18" customHeight="1">
      <c r="C15" s="98" t="s">
        <v>20</v>
      </c>
      <c r="D15" s="163">
        <f>CIR</f>
        <v>4.1250000000000002E-2</v>
      </c>
      <c r="E15" s="164"/>
      <c r="F15" s="164"/>
      <c r="G15" s="164">
        <f>CAPR</f>
        <v>4.1619999999999997E-2</v>
      </c>
      <c r="H15" s="164"/>
      <c r="I15" s="166"/>
      <c r="J15" s="37">
        <f>'Wells - Conventional'!F6</f>
        <v>4.4209038881259932E-3</v>
      </c>
      <c r="K15" s="37">
        <f>'Wells - Conventional'!F8</f>
        <v>1.259E-2</v>
      </c>
      <c r="L15" s="37">
        <f>'Wells - Conventional'!F9</f>
        <v>1.7010903888125994E-2</v>
      </c>
      <c r="M15" s="47">
        <f>'Wells - Conventional'!I4</f>
        <v>4.3002725972031502E-2</v>
      </c>
      <c r="N15" s="48">
        <f>M15-D$27</f>
        <v>1.4539222603963904E-2</v>
      </c>
      <c r="O15" s="50">
        <f>(M15-'Historic Result'!C8)*100*100</f>
        <v>-6.3967779102400844</v>
      </c>
      <c r="P15" s="36">
        <f>(N15-'Historic Result'!D8)*100*100</f>
        <v>1.9998894992739187</v>
      </c>
      <c r="Q15" s="36" t="e">
        <f>(M15-'Historic Result'!E8)*100*100</f>
        <v>#N/A</v>
      </c>
      <c r="R15" s="44" t="e">
        <f>(N15-'Historic Result'!F8)*100*100</f>
        <v>#N/A</v>
      </c>
    </row>
    <row r="16" spans="3:24" s="99" customFormat="1" ht="18" customHeight="1">
      <c r="C16" s="100" t="s">
        <v>22</v>
      </c>
      <c r="D16" s="151">
        <f>AVERAGE(D12:D15)</f>
        <v>0.04</v>
      </c>
      <c r="E16" s="149"/>
      <c r="F16" s="149"/>
      <c r="G16" s="149">
        <f>AVERAGE(G12:I15)</f>
        <v>4.1425000000000003E-2</v>
      </c>
      <c r="H16" s="149"/>
      <c r="I16" s="150"/>
      <c r="J16" s="64">
        <f>AVERAGE(J12,J14:J15)</f>
        <v>1.2153634629375331E-2</v>
      </c>
      <c r="K16" s="64">
        <f>AVERAGE(K12,K14:K15)</f>
        <v>1.133633734021014E-2</v>
      </c>
      <c r="L16" s="64">
        <f>AVERAGE(L12,L14:L15)</f>
        <v>2.3489971969585469E-2</v>
      </c>
      <c r="M16" s="65">
        <f t="shared" ref="M16" si="0">AVERAGE(M12:M15)</f>
        <v>4.252616808408604E-2</v>
      </c>
      <c r="N16" s="66">
        <f>M16-D$27</f>
        <v>1.4062664716018441E-2</v>
      </c>
      <c r="O16" s="67">
        <f>AVERAGE(O12:O15)</f>
        <v>-2.6767738311465203</v>
      </c>
      <c r="P16" s="68">
        <f>AVERAGE(P12:P15)</f>
        <v>5.7198935783674738</v>
      </c>
      <c r="Q16" s="68" t="e">
        <f t="shared" ref="Q16:R16" si="1">AVERAGE(Q12:Q15)</f>
        <v>#N/A</v>
      </c>
      <c r="R16" s="69" t="e">
        <f t="shared" si="1"/>
        <v>#N/A</v>
      </c>
    </row>
    <row r="17" spans="3:18" s="99" customFormat="1" ht="18" customHeight="1">
      <c r="C17" s="95" t="s">
        <v>32</v>
      </c>
      <c r="D17" s="152" t="s">
        <v>31</v>
      </c>
      <c r="E17" s="153"/>
      <c r="F17" s="153"/>
      <c r="G17" s="153" t="s">
        <v>0</v>
      </c>
      <c r="H17" s="153"/>
      <c r="I17" s="158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54">
        <f>'Wells - Jumbo conformin'!C4</f>
        <v>4.2500000000000003E-2</v>
      </c>
      <c r="E18" s="155"/>
      <c r="F18" s="155"/>
      <c r="G18" s="155">
        <f>'Wells - Jumbo conformin'!C5</f>
        <v>4.2500000000000003E-2</v>
      </c>
      <c r="H18" s="155"/>
      <c r="I18" s="159"/>
      <c r="J18" s="70">
        <f>'Wells - Jumbo conformin'!F5</f>
        <v>0</v>
      </c>
      <c r="K18" s="70">
        <f>'Wells - Jumbo conformin'!F6</f>
        <v>2.2539999999999999E-3</v>
      </c>
      <c r="L18" s="70">
        <f>'Wells - Jumbo conformin'!F7</f>
        <v>2.2539999999999999E-3</v>
      </c>
      <c r="M18" s="71">
        <f>'Wells - Jumbo conformin'!I4</f>
        <v>4.0563500000000002E-2</v>
      </c>
      <c r="N18" s="72">
        <f>M18-D$27</f>
        <v>1.2099996631932404E-2</v>
      </c>
      <c r="O18" s="73">
        <f>(M18-'Historic Result'!C10)*100*100</f>
        <v>-8.925449734203255</v>
      </c>
      <c r="P18" s="74">
        <f>(N18-'Historic Result'!D10)*100*100</f>
        <v>-0.52878232468925312</v>
      </c>
      <c r="Q18" s="74" t="e">
        <f>(M18-'Historic Result'!E10)*100*100</f>
        <v>#N/A</v>
      </c>
      <c r="R18" s="75" t="e">
        <f>(N18-'Historic Result'!F10)*100*100</f>
        <v>#N/A</v>
      </c>
    </row>
    <row r="19" spans="3:18" s="99" customFormat="1" ht="18" customHeight="1">
      <c r="C19" s="96" t="s">
        <v>33</v>
      </c>
      <c r="D19" s="156" t="s">
        <v>31</v>
      </c>
      <c r="E19" s="157"/>
      <c r="F19" s="157"/>
      <c r="G19" s="157" t="s">
        <v>0</v>
      </c>
      <c r="H19" s="157"/>
      <c r="I19" s="160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54">
        <f>'Wells - Jumbo Non-conforming'!C4</f>
        <v>4.1250000000000002E-2</v>
      </c>
      <c r="E20" s="155"/>
      <c r="F20" s="155"/>
      <c r="G20" s="155">
        <f>'Wells - Jumbo Non-conforming'!C5</f>
        <v>4.1270000000000001E-2</v>
      </c>
      <c r="H20" s="155"/>
      <c r="I20" s="159"/>
      <c r="J20" s="70">
        <f>'Wells - Jumbo Non-conforming'!F5</f>
        <v>2.3971414795442847E-4</v>
      </c>
      <c r="K20" s="70">
        <f>'Wells - Jumbo Non-conforming'!F6</f>
        <v>2.9333333333333334E-3</v>
      </c>
      <c r="L20" s="70">
        <f>'Wells - Jumbo Non-conforming'!F7</f>
        <v>3.1730474812877618E-3</v>
      </c>
      <c r="M20" s="71">
        <f>'Wells - Jumbo Non-conforming'!I4</f>
        <v>3.9543261870321943E-2</v>
      </c>
      <c r="N20" s="72">
        <f>M20-D$27</f>
        <v>1.1079758502254344E-2</v>
      </c>
      <c r="O20" s="73">
        <f>(M20-'Historic Result'!C12)*100*100</f>
        <v>-4.3212629338681978</v>
      </c>
      <c r="P20" s="74">
        <f>(N20-'Historic Result'!D12)*100*100</f>
        <v>4.0754044756458052</v>
      </c>
      <c r="Q20" s="74" t="e">
        <f>(M20-'Historic Result'!E12)*100*100</f>
        <v>#N/A</v>
      </c>
      <c r="R20" s="75" t="e">
        <f>(N20-'Historic Result'!F12)*100*100</f>
        <v>#N/A</v>
      </c>
    </row>
    <row r="21" spans="3:18" s="99" customFormat="1" ht="18" customHeight="1">
      <c r="C21" s="97" t="s">
        <v>34</v>
      </c>
      <c r="D21" s="146" t="s">
        <v>31</v>
      </c>
      <c r="E21" s="147"/>
      <c r="F21" s="144" t="s">
        <v>35</v>
      </c>
      <c r="G21" s="144"/>
      <c r="H21" s="144" t="s">
        <v>36</v>
      </c>
      <c r="I21" s="145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42">
        <v>3.875E-2</v>
      </c>
      <c r="E22" s="143"/>
      <c r="F22" s="143">
        <v>1.7500000000000002E-2</v>
      </c>
      <c r="G22" s="143"/>
      <c r="H22" s="143">
        <v>8.5000000000000006E-3</v>
      </c>
      <c r="I22" s="148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M22-D28</f>
        <v>1.2648114361650704E-2</v>
      </c>
      <c r="O22" s="51">
        <f>(M22-'Historic Result'!C14)*100*100</f>
        <v>0</v>
      </c>
      <c r="P22" s="45">
        <f>(N22-'Historic Result'!D14)*100*100</f>
        <v>7.8279172162430157</v>
      </c>
      <c r="Q22" s="45" t="e">
        <f>(M22-'Historic Result'!E14)*100*100</f>
        <v>#N/A</v>
      </c>
      <c r="R22" s="46" t="e">
        <f>(N22-'Historic Result'!F14)*100*100</f>
        <v>#N/A</v>
      </c>
    </row>
    <row r="24" spans="3:18">
      <c r="I24"/>
      <c r="J24"/>
      <c r="K24"/>
      <c r="O24" s="1"/>
    </row>
    <row r="25" spans="3:18">
      <c r="C25" s="89" t="s">
        <v>24</v>
      </c>
      <c r="D25" s="3"/>
      <c r="E25" s="3"/>
      <c r="F25" s="3"/>
      <c r="G25" s="3"/>
      <c r="H25" s="3"/>
      <c r="I25"/>
      <c r="J25"/>
      <c r="K25"/>
      <c r="O25" s="1"/>
    </row>
    <row r="26" spans="3:18" ht="18" customHeight="1">
      <c r="C26" s="103" t="s">
        <v>25</v>
      </c>
      <c r="D26" s="133" t="s">
        <v>26</v>
      </c>
      <c r="E26" s="134"/>
      <c r="F26" s="135"/>
      <c r="G26"/>
      <c r="H26"/>
      <c r="O26" s="1"/>
    </row>
    <row r="27" spans="3:18" ht="18" customHeight="1">
      <c r="C27" s="76" t="s">
        <v>27</v>
      </c>
      <c r="D27" s="136">
        <f>VLOOKUP(C27,'Time Series Query'!X12:Z13,3,0)</f>
        <v>2.8463503368067598E-2</v>
      </c>
      <c r="E27" s="137"/>
      <c r="F27" s="138"/>
      <c r="G27" s="27"/>
      <c r="H27" s="27"/>
      <c r="O27" s="1"/>
    </row>
    <row r="28" spans="3:18" ht="18" customHeight="1">
      <c r="C28" s="77" t="s">
        <v>28</v>
      </c>
      <c r="D28" s="139">
        <f>VLOOKUP(C28,'Time Series Query'!X13:Z14,3,0)</f>
        <v>2.7069385638349298E-2</v>
      </c>
      <c r="E28" s="140"/>
      <c r="F28" s="141"/>
      <c r="G28" s="27"/>
      <c r="H28" s="27"/>
      <c r="O28" s="1"/>
    </row>
  </sheetData>
  <mergeCells count="29">
    <mergeCell ref="G11:I11"/>
    <mergeCell ref="G12:I12"/>
    <mergeCell ref="G13:I13"/>
    <mergeCell ref="G14:I14"/>
    <mergeCell ref="G15:I15"/>
    <mergeCell ref="D11:F11"/>
    <mergeCell ref="D12:F12"/>
    <mergeCell ref="D13:F13"/>
    <mergeCell ref="D14:F14"/>
    <mergeCell ref="D15:F15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26:F26"/>
    <mergeCell ref="D27:F27"/>
    <mergeCell ref="D28:F28"/>
    <mergeCell ref="D22:E22"/>
    <mergeCell ref="F22:G22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pageMargins left="0.25" right="0.25" top="0.255" bottom="0.25" header="0.1" footer="0.1"/>
  <pageSetup scale="70" orientation="landscape" horizontalDpi="1200" verticalDpi="1200" r:id="rId1"/>
  <headerFooter scaleWithDoc="0">
    <oddHeader>&amp;L&amp;G&amp;C&amp;"-,Bold"&amp;10&amp;K2E398A
&amp;15Daily Originator Mortgage Rates&amp;R&amp;"-,Bold"&amp;10&amp;K2E398A
As of 2015-03-09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H179"/>
  <sheetViews>
    <sheetView topLeftCell="N1" workbookViewId="0">
      <selection activeCell="AC7" sqref="AC7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36" width="12.5703125" style="38" bestFit="1" customWidth="1"/>
    <col min="37" max="38" width="12" style="38" bestFit="1" customWidth="1"/>
    <col min="39" max="39" width="12.28515625" style="38" bestFit="1" customWidth="1"/>
    <col min="40" max="40" width="12" style="38" bestFit="1" customWidth="1"/>
    <col min="41" max="41" width="8.5703125" style="38" bestFit="1" customWidth="1"/>
    <col min="42" max="46" width="12" style="38" bestFit="1" customWidth="1"/>
    <col min="47" max="47" width="8" style="38" bestFit="1" customWidth="1"/>
    <col min="48" max="48" width="12" style="38" bestFit="1" customWidth="1"/>
    <col min="49" max="49" width="5.7109375" style="38" bestFit="1" customWidth="1"/>
    <col min="50" max="51" width="12" style="38" bestFit="1" customWidth="1"/>
    <col min="52" max="52" width="17.5703125" style="38" bestFit="1" customWidth="1"/>
    <col min="53" max="53" width="8.85546875" style="38" bestFit="1" customWidth="1"/>
    <col min="54" max="55" width="16" style="38" bestFit="1" customWidth="1"/>
    <col min="56" max="56" width="14.7109375" style="38" bestFit="1" customWidth="1"/>
    <col min="57" max="57" width="16" style="38" bestFit="1" customWidth="1"/>
    <col min="58" max="58" width="17.5703125" style="38" bestFit="1" customWidth="1"/>
    <col min="59" max="59" width="12.140625" style="38" bestFit="1" customWidth="1"/>
    <col min="60" max="60" width="8.5703125" style="38" bestFit="1" customWidth="1"/>
    <col min="61" max="61" width="15.28515625" style="38" customWidth="1"/>
    <col min="62" max="62" width="11.7109375" style="38" bestFit="1" customWidth="1"/>
    <col min="63" max="63" width="10.28515625" style="38" bestFit="1" customWidth="1"/>
    <col min="64" max="64" width="12" style="38" bestFit="1" customWidth="1"/>
    <col min="65" max="65" width="14.42578125" style="38" customWidth="1"/>
    <col min="66" max="66" width="18.5703125" style="38" bestFit="1" customWidth="1"/>
    <col min="67" max="67" width="10.7109375" style="38" bestFit="1" customWidth="1"/>
    <col min="68" max="68" width="16.42578125" style="38" bestFit="1" customWidth="1"/>
    <col min="69" max="69" width="16.140625" style="38" bestFit="1" customWidth="1"/>
    <col min="70" max="70" width="14.42578125" style="38" customWidth="1"/>
    <col min="71" max="71" width="12.28515625" style="38" customWidth="1"/>
    <col min="72" max="16384" width="9.140625" style="38"/>
  </cols>
  <sheetData>
    <row r="1" spans="1:34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96</v>
      </c>
      <c r="AB1" s="38" t="s">
        <v>62</v>
      </c>
    </row>
    <row r="2" spans="1:34">
      <c r="H2" s="38" t="s">
        <v>83</v>
      </c>
      <c r="P2" s="38" t="s">
        <v>97</v>
      </c>
      <c r="AB2" s="38" t="s">
        <v>99</v>
      </c>
    </row>
    <row r="5" spans="1:34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87</v>
      </c>
      <c r="AF5" s="90"/>
    </row>
    <row r="6" spans="1:34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</row>
    <row r="7" spans="1:34" s="93" customFormat="1">
      <c r="A7" s="93" t="s">
        <v>17</v>
      </c>
      <c r="B7" s="93" t="s">
        <v>54</v>
      </c>
      <c r="C7" s="93" t="s">
        <v>78</v>
      </c>
      <c r="D7" s="93" t="s">
        <v>53</v>
      </c>
      <c r="E7" s="94" t="s">
        <v>84</v>
      </c>
      <c r="F7" s="93">
        <v>4.313965889771076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83</v>
      </c>
      <c r="N7" s="93">
        <v>4.3664099742286595</v>
      </c>
      <c r="Q7" s="93" t="s">
        <v>54</v>
      </c>
      <c r="R7" s="93" t="s">
        <v>17</v>
      </c>
      <c r="S7" s="93" t="s">
        <v>0</v>
      </c>
      <c r="T7" s="93" t="s">
        <v>53</v>
      </c>
      <c r="U7" s="93" t="s">
        <v>97</v>
      </c>
      <c r="V7" s="93">
        <v>4.0629999999999997</v>
      </c>
      <c r="X7" s="93" t="s">
        <v>80</v>
      </c>
      <c r="Y7" s="93" t="s">
        <v>85</v>
      </c>
      <c r="Z7" s="93">
        <v>2.84635033680676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</row>
    <row r="8" spans="1:34" s="93" customFormat="1">
      <c r="A8" s="170" t="s">
        <v>17</v>
      </c>
      <c r="B8" s="170" t="s">
        <v>54</v>
      </c>
      <c r="C8" s="170" t="s">
        <v>0</v>
      </c>
      <c r="D8" s="170" t="s">
        <v>53</v>
      </c>
      <c r="E8" s="171" t="s">
        <v>84</v>
      </c>
      <c r="F8" s="170">
        <v>4.1900000000000004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83</v>
      </c>
      <c r="N8" s="91">
        <v>4.2080000000000002</v>
      </c>
      <c r="Q8" s="93" t="s">
        <v>54</v>
      </c>
      <c r="R8" s="93" t="s">
        <v>17</v>
      </c>
      <c r="S8" s="93" t="s">
        <v>7</v>
      </c>
      <c r="T8" s="93" t="s">
        <v>53</v>
      </c>
      <c r="U8" s="93" t="s">
        <v>97</v>
      </c>
      <c r="V8" s="93">
        <v>0.95799999999999996</v>
      </c>
      <c r="X8" s="130" t="s">
        <v>79</v>
      </c>
      <c r="Y8" s="130" t="s">
        <v>85</v>
      </c>
      <c r="Z8" s="130">
        <v>2.7069385638349299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88</v>
      </c>
      <c r="AH8" s="93">
        <v>4.2780642423920208</v>
      </c>
    </row>
    <row r="9" spans="1:34" s="93" customFormat="1">
      <c r="A9" s="170" t="s">
        <v>17</v>
      </c>
      <c r="B9" s="170" t="s">
        <v>54</v>
      </c>
      <c r="C9" s="170" t="s">
        <v>7</v>
      </c>
      <c r="D9" s="170" t="s">
        <v>53</v>
      </c>
      <c r="E9" s="171" t="s">
        <v>84</v>
      </c>
      <c r="F9" s="170">
        <v>0.95399999999999996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83</v>
      </c>
      <c r="N9" s="91">
        <v>1.163</v>
      </c>
      <c r="Q9" s="93" t="s">
        <v>54</v>
      </c>
      <c r="R9" s="93" t="s">
        <v>17</v>
      </c>
      <c r="S9" s="93" t="s">
        <v>26</v>
      </c>
      <c r="T9" s="93" t="s">
        <v>53</v>
      </c>
      <c r="U9" s="93" t="s">
        <v>97</v>
      </c>
      <c r="V9" s="93">
        <v>3.875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89</v>
      </c>
      <c r="AH9" s="93">
        <v>4.2751400125465349</v>
      </c>
    </row>
    <row r="10" spans="1:34" s="93" customFormat="1">
      <c r="A10" s="170" t="s">
        <v>17</v>
      </c>
      <c r="B10" s="170" t="s">
        <v>54</v>
      </c>
      <c r="C10" s="170" t="s">
        <v>26</v>
      </c>
      <c r="D10" s="170" t="s">
        <v>53</v>
      </c>
      <c r="E10" s="171" t="s">
        <v>84</v>
      </c>
      <c r="F10" s="170">
        <v>4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83</v>
      </c>
      <c r="N10" s="91">
        <v>4</v>
      </c>
      <c r="Q10" s="93" t="s">
        <v>54</v>
      </c>
      <c r="R10" s="93" t="s">
        <v>18</v>
      </c>
      <c r="S10" s="93" t="s">
        <v>0</v>
      </c>
      <c r="T10" s="93" t="s">
        <v>53</v>
      </c>
      <c r="U10" s="93" t="s">
        <v>97</v>
      </c>
      <c r="V10" s="93">
        <v>4.1980000000000004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</row>
    <row r="11" spans="1:34" s="93" customFormat="1">
      <c r="A11" s="170" t="s">
        <v>17</v>
      </c>
      <c r="B11" s="170" t="s">
        <v>54</v>
      </c>
      <c r="C11" s="170" t="s">
        <v>29</v>
      </c>
      <c r="D11" s="170" t="s">
        <v>53</v>
      </c>
      <c r="E11" s="171" t="s">
        <v>84</v>
      </c>
      <c r="F11" s="170">
        <v>1.467615552964316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83</v>
      </c>
      <c r="N11" s="91">
        <v>1.4360929633267601</v>
      </c>
      <c r="Q11" s="93" t="s">
        <v>54</v>
      </c>
      <c r="R11" s="93" t="s">
        <v>18</v>
      </c>
      <c r="S11" s="93" t="s">
        <v>7</v>
      </c>
      <c r="T11" s="93" t="s">
        <v>53</v>
      </c>
      <c r="U11" s="93" t="s">
        <v>97</v>
      </c>
      <c r="V11" s="93">
        <v>0.875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</row>
    <row r="12" spans="1:34" s="93" customFormat="1">
      <c r="A12" s="170" t="s">
        <v>18</v>
      </c>
      <c r="B12" s="170" t="s">
        <v>54</v>
      </c>
      <c r="C12" s="170" t="s">
        <v>78</v>
      </c>
      <c r="D12" s="170" t="s">
        <v>53</v>
      </c>
      <c r="E12" s="171" t="s">
        <v>84</v>
      </c>
      <c r="F12" s="170">
        <v>3.9987193359155064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83</v>
      </c>
      <c r="N12" s="91">
        <v>4.0301218665618999</v>
      </c>
      <c r="Q12" s="93" t="s">
        <v>54</v>
      </c>
      <c r="R12" s="93" t="s">
        <v>18</v>
      </c>
      <c r="S12" s="93" t="s">
        <v>26</v>
      </c>
      <c r="T12" s="93" t="s">
        <v>53</v>
      </c>
      <c r="U12" s="93" t="s">
        <v>97</v>
      </c>
      <c r="V12" s="93">
        <v>4.1980000000000004</v>
      </c>
      <c r="X12" s="107" t="s">
        <v>27</v>
      </c>
      <c r="Y12" s="108" t="s">
        <v>80</v>
      </c>
      <c r="Z12" s="108">
        <f>VLOOKUP(Y12,OneWeekMtgRatesDataTable7[],3,0)/100</f>
        <v>2.8463503368067598E-2</v>
      </c>
      <c r="AA12" s="131"/>
      <c r="AB12" s="106"/>
      <c r="AC12" s="93" t="s">
        <v>54</v>
      </c>
      <c r="AD12" s="93" t="s">
        <v>18</v>
      </c>
      <c r="AE12" s="93" t="s">
        <v>78</v>
      </c>
      <c r="AF12" s="93" t="s">
        <v>53</v>
      </c>
      <c r="AG12" s="93" t="s">
        <v>86</v>
      </c>
      <c r="AH12" s="93">
        <v>4.1543680910694123</v>
      </c>
    </row>
    <row r="13" spans="1:34" s="93" customFormat="1">
      <c r="A13" s="170" t="s">
        <v>18</v>
      </c>
      <c r="B13" s="170" t="s">
        <v>54</v>
      </c>
      <c r="C13" s="170" t="s">
        <v>0</v>
      </c>
      <c r="D13" s="170" t="s">
        <v>53</v>
      </c>
      <c r="E13" s="171" t="s">
        <v>84</v>
      </c>
      <c r="F13" s="170">
        <v>4.0830000000000002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83</v>
      </c>
      <c r="N13" s="91">
        <v>4.1769999999999996</v>
      </c>
      <c r="Q13" s="93" t="s">
        <v>54</v>
      </c>
      <c r="R13" s="93" t="s">
        <v>19</v>
      </c>
      <c r="S13" s="93" t="s">
        <v>0</v>
      </c>
      <c r="T13" s="93" t="s">
        <v>53</v>
      </c>
      <c r="U13" s="93" t="s">
        <v>97</v>
      </c>
      <c r="V13" s="93">
        <v>3.9980000000000002</v>
      </c>
      <c r="X13" s="107" t="s">
        <v>28</v>
      </c>
      <c r="Y13" s="109" t="s">
        <v>79</v>
      </c>
      <c r="Z13" s="108">
        <f>VLOOKUP(Y13,OneWeekMtgRatesDataTable7[],3,0)/100</f>
        <v>2.7069385638349298E-2</v>
      </c>
      <c r="AA13" s="131"/>
      <c r="AB13" s="106"/>
      <c r="AC13" s="93" t="s">
        <v>54</v>
      </c>
      <c r="AD13" s="93" t="s">
        <v>18</v>
      </c>
      <c r="AE13" s="93" t="s">
        <v>78</v>
      </c>
      <c r="AF13" s="93" t="s">
        <v>53</v>
      </c>
      <c r="AG13" s="93" t="s">
        <v>88</v>
      </c>
      <c r="AH13" s="93">
        <v>4.1248698203088709</v>
      </c>
    </row>
    <row r="14" spans="1:34" s="93" customFormat="1">
      <c r="A14" s="170" t="s">
        <v>18</v>
      </c>
      <c r="B14" s="170" t="s">
        <v>54</v>
      </c>
      <c r="C14" s="170" t="s">
        <v>7</v>
      </c>
      <c r="D14" s="170" t="s">
        <v>53</v>
      </c>
      <c r="E14" s="171" t="s">
        <v>84</v>
      </c>
      <c r="F14" s="170">
        <v>1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83</v>
      </c>
      <c r="N14" s="91">
        <v>0.625</v>
      </c>
      <c r="Q14" s="93" t="s">
        <v>54</v>
      </c>
      <c r="R14" s="93" t="s">
        <v>19</v>
      </c>
      <c r="S14" s="93" t="s">
        <v>7</v>
      </c>
      <c r="T14" s="93" t="s">
        <v>53</v>
      </c>
      <c r="U14" s="93" t="s">
        <v>97</v>
      </c>
      <c r="V14" s="93">
        <v>2.125</v>
      </c>
      <c r="AC14" s="93" t="s">
        <v>54</v>
      </c>
      <c r="AD14" s="93" t="s">
        <v>18</v>
      </c>
      <c r="AE14" s="93" t="s">
        <v>78</v>
      </c>
      <c r="AF14" s="93" t="s">
        <v>53</v>
      </c>
      <c r="AG14" s="93" t="s">
        <v>89</v>
      </c>
      <c r="AH14" s="93">
        <v>4.0301218665618999</v>
      </c>
    </row>
    <row r="15" spans="1:34" s="93" customFormat="1">
      <c r="A15" s="170" t="s">
        <v>18</v>
      </c>
      <c r="B15" s="170" t="s">
        <v>54</v>
      </c>
      <c r="C15" s="170" t="s">
        <v>26</v>
      </c>
      <c r="D15" s="170" t="s">
        <v>53</v>
      </c>
      <c r="E15" s="171" t="s">
        <v>84</v>
      </c>
      <c r="F15" s="170">
        <v>4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83</v>
      </c>
      <c r="N15" s="91">
        <v>4.125</v>
      </c>
      <c r="Q15" s="93" t="s">
        <v>54</v>
      </c>
      <c r="R15" s="93" t="s">
        <v>19</v>
      </c>
      <c r="S15" s="93" t="s">
        <v>26</v>
      </c>
      <c r="T15" s="93" t="s">
        <v>53</v>
      </c>
      <c r="U15" s="93" t="s">
        <v>97</v>
      </c>
      <c r="V15" s="93">
        <v>3.75</v>
      </c>
      <c r="AC15" s="93" t="s">
        <v>54</v>
      </c>
      <c r="AD15" s="93" t="s">
        <v>18</v>
      </c>
      <c r="AE15" s="93" t="s">
        <v>78</v>
      </c>
      <c r="AF15" s="93" t="s">
        <v>53</v>
      </c>
      <c r="AG15" s="93" t="s">
        <v>83</v>
      </c>
      <c r="AH15" s="93">
        <v>4.0301218665618999</v>
      </c>
    </row>
    <row r="16" spans="1:34" s="93" customFormat="1">
      <c r="A16" s="170" t="s">
        <v>18</v>
      </c>
      <c r="B16" s="170" t="s">
        <v>54</v>
      </c>
      <c r="C16" s="170" t="s">
        <v>29</v>
      </c>
      <c r="D16" s="170" t="s">
        <v>53</v>
      </c>
      <c r="E16" s="171" t="s">
        <v>84</v>
      </c>
      <c r="F16" s="170">
        <v>1.1523689991087465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83</v>
      </c>
      <c r="N16" s="91">
        <v>1.09980485566</v>
      </c>
      <c r="Q16" s="93" t="s">
        <v>54</v>
      </c>
      <c r="R16" s="93" t="s">
        <v>20</v>
      </c>
      <c r="S16" s="93" t="s">
        <v>0</v>
      </c>
      <c r="T16" s="93" t="s">
        <v>53</v>
      </c>
      <c r="U16" s="93" t="s">
        <v>97</v>
      </c>
      <c r="V16" s="93">
        <v>4.0469999999999997</v>
      </c>
      <c r="AC16" s="93" t="s">
        <v>54</v>
      </c>
      <c r="AD16" s="93" t="s">
        <v>18</v>
      </c>
      <c r="AE16" s="93" t="s">
        <v>78</v>
      </c>
      <c r="AF16" s="93" t="s">
        <v>53</v>
      </c>
      <c r="AG16" s="93" t="s">
        <v>84</v>
      </c>
      <c r="AH16" s="93">
        <v>3.9987193359155064</v>
      </c>
    </row>
    <row r="17" spans="1:34" s="93" customFormat="1">
      <c r="A17" s="170" t="s">
        <v>19</v>
      </c>
      <c r="B17" s="170" t="s">
        <v>54</v>
      </c>
      <c r="C17" s="170" t="s">
        <v>78</v>
      </c>
      <c r="D17" s="170" t="s">
        <v>53</v>
      </c>
      <c r="E17" s="171" t="s">
        <v>84</v>
      </c>
      <c r="F17" s="170">
        <v>4.3975094107446839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83</v>
      </c>
      <c r="N17" s="91">
        <v>4.356765969784167</v>
      </c>
      <c r="Q17" s="93" t="s">
        <v>54</v>
      </c>
      <c r="R17" s="93" t="s">
        <v>20</v>
      </c>
      <c r="S17" s="93" t="s">
        <v>7</v>
      </c>
      <c r="T17" s="93" t="s">
        <v>53</v>
      </c>
      <c r="U17" s="93" t="s">
        <v>97</v>
      </c>
      <c r="V17" s="93">
        <v>1</v>
      </c>
      <c r="AC17" s="93" t="s">
        <v>54</v>
      </c>
      <c r="AD17" s="93" t="s">
        <v>19</v>
      </c>
      <c r="AE17" s="93" t="s">
        <v>78</v>
      </c>
      <c r="AF17" s="93" t="s">
        <v>53</v>
      </c>
      <c r="AG17" s="93" t="s">
        <v>86</v>
      </c>
      <c r="AH17" s="93">
        <v>4.2722196725487462</v>
      </c>
    </row>
    <row r="18" spans="1:34" s="93" customFormat="1">
      <c r="A18" s="170" t="s">
        <v>19</v>
      </c>
      <c r="B18" s="170" t="s">
        <v>54</v>
      </c>
      <c r="C18" s="170" t="s">
        <v>0</v>
      </c>
      <c r="D18" s="170" t="s">
        <v>53</v>
      </c>
      <c r="E18" s="171" t="s">
        <v>84</v>
      </c>
      <c r="F18" s="170">
        <v>4.1349999999999998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83</v>
      </c>
      <c r="N18" s="91">
        <v>4.1980000000000004</v>
      </c>
      <c r="Q18" s="93" t="s">
        <v>54</v>
      </c>
      <c r="R18" s="93" t="s">
        <v>20</v>
      </c>
      <c r="S18" s="93" t="s">
        <v>26</v>
      </c>
      <c r="T18" s="93" t="s">
        <v>53</v>
      </c>
      <c r="U18" s="93" t="s">
        <v>97</v>
      </c>
      <c r="V18" s="93">
        <v>4</v>
      </c>
      <c r="AC18" s="93" t="s">
        <v>54</v>
      </c>
      <c r="AD18" s="93" t="s">
        <v>19</v>
      </c>
      <c r="AE18" s="93" t="s">
        <v>78</v>
      </c>
      <c r="AF18" s="93" t="s">
        <v>53</v>
      </c>
      <c r="AG18" s="93" t="s">
        <v>88</v>
      </c>
      <c r="AH18" s="93">
        <v>4.2722152605049795</v>
      </c>
    </row>
    <row r="19" spans="1:34" s="93" customFormat="1">
      <c r="A19" s="170" t="s">
        <v>19</v>
      </c>
      <c r="B19" s="170" t="s">
        <v>54</v>
      </c>
      <c r="C19" s="170" t="s">
        <v>7</v>
      </c>
      <c r="D19" s="170" t="s">
        <v>53</v>
      </c>
      <c r="E19" s="171" t="s">
        <v>84</v>
      </c>
      <c r="F19" s="170">
        <v>2.25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83</v>
      </c>
      <c r="N19" s="91">
        <v>1.625</v>
      </c>
      <c r="Q19" s="93" t="s">
        <v>55</v>
      </c>
      <c r="R19" s="93" t="s">
        <v>19</v>
      </c>
      <c r="S19" s="93" t="s">
        <v>0</v>
      </c>
      <c r="T19" s="93" t="s">
        <v>53</v>
      </c>
      <c r="U19" s="93" t="s">
        <v>97</v>
      </c>
      <c r="V19" s="93">
        <v>4.2699999999999996</v>
      </c>
      <c r="AC19" s="93" t="s">
        <v>54</v>
      </c>
      <c r="AD19" s="93" t="s">
        <v>19</v>
      </c>
      <c r="AE19" s="93" t="s">
        <v>78</v>
      </c>
      <c r="AF19" s="93" t="s">
        <v>53</v>
      </c>
      <c r="AG19" s="93" t="s">
        <v>89</v>
      </c>
      <c r="AH19" s="93">
        <v>4.2722152605049795</v>
      </c>
    </row>
    <row r="20" spans="1:34" s="93" customFormat="1">
      <c r="A20" s="170" t="s">
        <v>19</v>
      </c>
      <c r="B20" s="170" t="s">
        <v>54</v>
      </c>
      <c r="C20" s="170" t="s">
        <v>26</v>
      </c>
      <c r="D20" s="170" t="s">
        <v>53</v>
      </c>
      <c r="E20" s="171" t="s">
        <v>84</v>
      </c>
      <c r="F20" s="170">
        <v>3.875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83</v>
      </c>
      <c r="N20" s="91">
        <v>3.99</v>
      </c>
      <c r="Q20" s="93" t="s">
        <v>55</v>
      </c>
      <c r="R20" s="93" t="s">
        <v>19</v>
      </c>
      <c r="S20" s="93" t="s">
        <v>7</v>
      </c>
      <c r="T20" s="93" t="s">
        <v>53</v>
      </c>
      <c r="U20" s="93" t="s">
        <v>97</v>
      </c>
      <c r="V20" s="93">
        <v>2.25</v>
      </c>
      <c r="AC20" s="93" t="s">
        <v>54</v>
      </c>
      <c r="AD20" s="93" t="s">
        <v>19</v>
      </c>
      <c r="AE20" s="93" t="s">
        <v>78</v>
      </c>
      <c r="AF20" s="93" t="s">
        <v>53</v>
      </c>
      <c r="AG20" s="93" t="s">
        <v>83</v>
      </c>
      <c r="AH20" s="93">
        <v>4.356765969784167</v>
      </c>
    </row>
    <row r="21" spans="1:34" s="93" customFormat="1">
      <c r="A21" s="170" t="s">
        <v>19</v>
      </c>
      <c r="B21" s="170" t="s">
        <v>54</v>
      </c>
      <c r="C21" s="170" t="s">
        <v>29</v>
      </c>
      <c r="D21" s="170" t="s">
        <v>53</v>
      </c>
      <c r="E21" s="171" t="s">
        <v>84</v>
      </c>
      <c r="F21" s="170">
        <v>1.5511590739379244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83</v>
      </c>
      <c r="N21" s="91">
        <v>1.4264489588822669</v>
      </c>
      <c r="Q21" s="93" t="s">
        <v>55</v>
      </c>
      <c r="R21" s="93" t="s">
        <v>19</v>
      </c>
      <c r="S21" s="93" t="s">
        <v>26</v>
      </c>
      <c r="T21" s="93" t="s">
        <v>53</v>
      </c>
      <c r="U21" s="93" t="s">
        <v>97</v>
      </c>
      <c r="V21" s="93">
        <v>3.375</v>
      </c>
      <c r="AC21" s="93" t="s">
        <v>54</v>
      </c>
      <c r="AD21" s="93" t="s">
        <v>19</v>
      </c>
      <c r="AE21" s="93" t="s">
        <v>78</v>
      </c>
      <c r="AF21" s="93" t="s">
        <v>53</v>
      </c>
      <c r="AG21" s="93" t="s">
        <v>84</v>
      </c>
      <c r="AH21" s="93">
        <v>4.3975094107446839</v>
      </c>
    </row>
    <row r="22" spans="1:34" s="93" customFormat="1">
      <c r="A22" s="170" t="s">
        <v>20</v>
      </c>
      <c r="B22" s="170" t="s">
        <v>54</v>
      </c>
      <c r="C22" s="170" t="s">
        <v>78</v>
      </c>
      <c r="D22" s="170" t="s">
        <v>53</v>
      </c>
      <c r="E22" s="171" t="s">
        <v>84</v>
      </c>
      <c r="F22" s="170">
        <v>4.3002725972031506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83</v>
      </c>
      <c r="N22" s="91">
        <v>4.3642403763055508</v>
      </c>
      <c r="Q22" s="93" t="s">
        <v>55</v>
      </c>
      <c r="R22" s="93" t="s">
        <v>20</v>
      </c>
      <c r="S22" s="93" t="s">
        <v>0</v>
      </c>
      <c r="T22" s="93" t="s">
        <v>53</v>
      </c>
      <c r="U22" s="93" t="s">
        <v>97</v>
      </c>
      <c r="V22" s="93">
        <v>4.79</v>
      </c>
      <c r="AC22" s="93" t="s">
        <v>54</v>
      </c>
      <c r="AD22" s="93" t="s">
        <v>20</v>
      </c>
      <c r="AE22" s="93" t="s">
        <v>78</v>
      </c>
      <c r="AF22" s="93" t="s">
        <v>53</v>
      </c>
      <c r="AG22" s="93" t="s">
        <v>86</v>
      </c>
      <c r="AH22" s="93">
        <v>4.1618039804499194</v>
      </c>
    </row>
    <row r="23" spans="1:34" s="93" customFormat="1">
      <c r="A23" s="170" t="s">
        <v>20</v>
      </c>
      <c r="B23" s="170" t="s">
        <v>54</v>
      </c>
      <c r="C23" s="170" t="s">
        <v>0</v>
      </c>
      <c r="D23" s="170" t="s">
        <v>53</v>
      </c>
      <c r="E23" s="171" t="s">
        <v>84</v>
      </c>
      <c r="F23" s="170">
        <v>4.1619999999999999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83</v>
      </c>
      <c r="N23" s="91">
        <v>4.173</v>
      </c>
      <c r="Q23" s="93" t="s">
        <v>55</v>
      </c>
      <c r="R23" s="93" t="s">
        <v>20</v>
      </c>
      <c r="S23" s="93" t="s">
        <v>41</v>
      </c>
      <c r="T23" s="93" t="s">
        <v>53</v>
      </c>
      <c r="U23" s="93" t="s">
        <v>97</v>
      </c>
      <c r="V23" s="93">
        <v>6762</v>
      </c>
      <c r="AC23" s="93" t="s">
        <v>54</v>
      </c>
      <c r="AD23" s="93" t="s">
        <v>20</v>
      </c>
      <c r="AE23" s="93" t="s">
        <v>78</v>
      </c>
      <c r="AF23" s="93" t="s">
        <v>53</v>
      </c>
      <c r="AG23" s="93" t="s">
        <v>88</v>
      </c>
      <c r="AH23" s="93">
        <v>4.1618039804499194</v>
      </c>
    </row>
    <row r="24" spans="1:34" s="93" customFormat="1">
      <c r="A24" s="170" t="s">
        <v>20</v>
      </c>
      <c r="B24" s="170" t="s">
        <v>54</v>
      </c>
      <c r="C24" s="170" t="s">
        <v>41</v>
      </c>
      <c r="D24" s="170" t="s">
        <v>53</v>
      </c>
      <c r="E24" s="171" t="s">
        <v>84</v>
      </c>
      <c r="F24" s="170">
        <v>2518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83</v>
      </c>
      <c r="N24" s="91">
        <v>2768</v>
      </c>
      <c r="Q24" s="93" t="s">
        <v>55</v>
      </c>
      <c r="R24" s="93" t="s">
        <v>20</v>
      </c>
      <c r="S24" s="93" t="s">
        <v>1</v>
      </c>
      <c r="T24" s="93" t="s">
        <v>53</v>
      </c>
      <c r="U24" s="93" t="s">
        <v>97</v>
      </c>
      <c r="V24" s="93">
        <v>200000</v>
      </c>
      <c r="AC24" s="93" t="s">
        <v>54</v>
      </c>
      <c r="AD24" s="93" t="s">
        <v>20</v>
      </c>
      <c r="AE24" s="93" t="s">
        <v>78</v>
      </c>
      <c r="AF24" s="93" t="s">
        <v>53</v>
      </c>
      <c r="AG24" s="93" t="s">
        <v>89</v>
      </c>
      <c r="AH24" s="93">
        <v>4.1618039804499194</v>
      </c>
    </row>
    <row r="25" spans="1:34" s="93" customFormat="1">
      <c r="A25" s="170" t="s">
        <v>20</v>
      </c>
      <c r="B25" s="170" t="s">
        <v>54</v>
      </c>
      <c r="C25" s="170" t="s">
        <v>1</v>
      </c>
      <c r="D25" s="170" t="s">
        <v>53</v>
      </c>
      <c r="E25" s="171" t="s">
        <v>84</v>
      </c>
      <c r="F25" s="170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83</v>
      </c>
      <c r="N25" s="91">
        <v>200000</v>
      </c>
      <c r="Q25" s="93" t="s">
        <v>55</v>
      </c>
      <c r="R25" s="93" t="s">
        <v>20</v>
      </c>
      <c r="S25" s="93" t="s">
        <v>7</v>
      </c>
      <c r="T25" s="93" t="s">
        <v>53</v>
      </c>
      <c r="U25" s="93" t="s">
        <v>97</v>
      </c>
      <c r="V25" s="93">
        <v>1</v>
      </c>
      <c r="AC25" s="93" t="s">
        <v>54</v>
      </c>
      <c r="AD25" s="93" t="s">
        <v>20</v>
      </c>
      <c r="AE25" s="93" t="s">
        <v>78</v>
      </c>
      <c r="AF25" s="93" t="s">
        <v>53</v>
      </c>
      <c r="AG25" s="93" t="s">
        <v>83</v>
      </c>
      <c r="AH25" s="93">
        <v>4.3642403763055508</v>
      </c>
    </row>
    <row r="26" spans="1:34" s="93" customFormat="1">
      <c r="A26" s="170" t="s">
        <v>20</v>
      </c>
      <c r="B26" s="170" t="s">
        <v>54</v>
      </c>
      <c r="C26" s="170" t="s">
        <v>7</v>
      </c>
      <c r="D26" s="170" t="s">
        <v>53</v>
      </c>
      <c r="E26" s="171" t="s">
        <v>84</v>
      </c>
      <c r="F26" s="170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83</v>
      </c>
      <c r="N26" s="91">
        <v>1</v>
      </c>
      <c r="Q26" s="93" t="s">
        <v>55</v>
      </c>
      <c r="R26" s="93" t="s">
        <v>20</v>
      </c>
      <c r="S26" s="93" t="s">
        <v>26</v>
      </c>
      <c r="T26" s="93" t="s">
        <v>53</v>
      </c>
      <c r="U26" s="93" t="s">
        <v>97</v>
      </c>
      <c r="V26" s="93">
        <v>3.75</v>
      </c>
      <c r="AC26" s="93" t="s">
        <v>54</v>
      </c>
      <c r="AD26" s="93" t="s">
        <v>20</v>
      </c>
      <c r="AE26" s="93" t="s">
        <v>78</v>
      </c>
      <c r="AF26" s="93" t="s">
        <v>53</v>
      </c>
      <c r="AG26" s="93" t="s">
        <v>84</v>
      </c>
      <c r="AH26" s="93">
        <v>4.3002725972031506</v>
      </c>
    </row>
    <row r="27" spans="1:34" s="93" customFormat="1">
      <c r="A27" s="170" t="s">
        <v>20</v>
      </c>
      <c r="B27" s="170" t="s">
        <v>54</v>
      </c>
      <c r="C27" s="170" t="s">
        <v>26</v>
      </c>
      <c r="D27" s="170" t="s">
        <v>53</v>
      </c>
      <c r="E27" s="171" t="s">
        <v>84</v>
      </c>
      <c r="F27" s="170">
        <v>4.125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83</v>
      </c>
      <c r="N27" s="91">
        <v>4.125</v>
      </c>
      <c r="Q27" s="93" t="s">
        <v>55</v>
      </c>
      <c r="R27" s="93" t="s">
        <v>20</v>
      </c>
      <c r="S27" s="93" t="s">
        <v>42</v>
      </c>
      <c r="T27" s="93" t="s">
        <v>53</v>
      </c>
      <c r="U27" s="93" t="s">
        <v>97</v>
      </c>
      <c r="V27" s="93">
        <v>3500</v>
      </c>
      <c r="AC27" s="93" t="s">
        <v>55</v>
      </c>
      <c r="AD27" s="93" t="s">
        <v>20</v>
      </c>
      <c r="AE27" s="93" t="s">
        <v>78</v>
      </c>
      <c r="AF27" s="93" t="s">
        <v>53</v>
      </c>
      <c r="AG27" s="93" t="s">
        <v>86</v>
      </c>
      <c r="AH27" s="93">
        <v>3.9717500000000001</v>
      </c>
    </row>
    <row r="28" spans="1:34" s="93" customFormat="1">
      <c r="A28" s="170" t="s">
        <v>20</v>
      </c>
      <c r="B28" s="170" t="s">
        <v>54</v>
      </c>
      <c r="C28" s="170" t="s">
        <v>29</v>
      </c>
      <c r="D28" s="170" t="s">
        <v>53</v>
      </c>
      <c r="E28" s="171" t="s">
        <v>84</v>
      </c>
      <c r="F28" s="170">
        <v>1.4539222603963904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83</v>
      </c>
      <c r="N28" s="91">
        <v>1.4339233654036512</v>
      </c>
      <c r="Q28" s="93" t="s">
        <v>56</v>
      </c>
      <c r="R28" s="93" t="s">
        <v>20</v>
      </c>
      <c r="S28" s="93" t="s">
        <v>0</v>
      </c>
      <c r="T28" s="93" t="s">
        <v>53</v>
      </c>
      <c r="U28" s="93" t="s">
        <v>97</v>
      </c>
      <c r="V28" s="93">
        <v>4.1280000000000001</v>
      </c>
      <c r="AC28" s="93" t="s">
        <v>55</v>
      </c>
      <c r="AD28" s="93" t="s">
        <v>20</v>
      </c>
      <c r="AE28" s="93" t="s">
        <v>78</v>
      </c>
      <c r="AF28" s="93" t="s">
        <v>53</v>
      </c>
      <c r="AG28" s="93" t="s">
        <v>88</v>
      </c>
      <c r="AH28" s="93">
        <v>3.9717500000000001</v>
      </c>
    </row>
    <row r="29" spans="1:34" s="93" customFormat="1">
      <c r="A29" s="170" t="s">
        <v>19</v>
      </c>
      <c r="B29" s="170" t="s">
        <v>55</v>
      </c>
      <c r="C29" s="170" t="s">
        <v>0</v>
      </c>
      <c r="D29" s="170" t="s">
        <v>53</v>
      </c>
      <c r="E29" s="171" t="s">
        <v>84</v>
      </c>
      <c r="F29" s="170">
        <v>4.3879999999999999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83</v>
      </c>
      <c r="N29" s="91">
        <v>4.4000000000000004</v>
      </c>
      <c r="Q29" s="93" t="s">
        <v>56</v>
      </c>
      <c r="R29" s="93" t="s">
        <v>20</v>
      </c>
      <c r="S29" s="93" t="s">
        <v>7</v>
      </c>
      <c r="T29" s="93" t="s">
        <v>53</v>
      </c>
      <c r="U29" s="93" t="s">
        <v>97</v>
      </c>
      <c r="V29" s="93">
        <v>1</v>
      </c>
      <c r="AC29" s="93" t="s">
        <v>55</v>
      </c>
      <c r="AD29" s="93" t="s">
        <v>20</v>
      </c>
      <c r="AE29" s="93" t="s">
        <v>78</v>
      </c>
      <c r="AF29" s="93" t="s">
        <v>53</v>
      </c>
      <c r="AG29" s="93" t="s">
        <v>89</v>
      </c>
      <c r="AH29" s="93">
        <v>3.9717500000000001</v>
      </c>
    </row>
    <row r="30" spans="1:34" s="93" customFormat="1">
      <c r="A30" s="170" t="s">
        <v>19</v>
      </c>
      <c r="B30" s="170" t="s">
        <v>55</v>
      </c>
      <c r="C30" s="170" t="s">
        <v>7</v>
      </c>
      <c r="D30" s="170" t="s">
        <v>53</v>
      </c>
      <c r="E30" s="171" t="s">
        <v>84</v>
      </c>
      <c r="F30" s="170">
        <v>2.125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83</v>
      </c>
      <c r="N30" s="91">
        <v>2.25</v>
      </c>
      <c r="Q30" s="93" t="s">
        <v>56</v>
      </c>
      <c r="R30" s="93" t="s">
        <v>20</v>
      </c>
      <c r="S30" s="93" t="s">
        <v>26</v>
      </c>
      <c r="T30" s="93" t="s">
        <v>53</v>
      </c>
      <c r="U30" s="93" t="s">
        <v>97</v>
      </c>
      <c r="V30" s="93">
        <v>4.125</v>
      </c>
      <c r="AC30" s="93" t="s">
        <v>55</v>
      </c>
      <c r="AD30" s="93" t="s">
        <v>20</v>
      </c>
      <c r="AE30" s="93" t="s">
        <v>78</v>
      </c>
      <c r="AF30" s="93" t="s">
        <v>53</v>
      </c>
      <c r="AG30" s="93" t="s">
        <v>83</v>
      </c>
      <c r="AH30" s="93">
        <v>3.9717500000000001</v>
      </c>
    </row>
    <row r="31" spans="1:34" s="93" customFormat="1">
      <c r="A31" s="170" t="s">
        <v>19</v>
      </c>
      <c r="B31" s="170" t="s">
        <v>55</v>
      </c>
      <c r="C31" s="170" t="s">
        <v>26</v>
      </c>
      <c r="D31" s="170" t="s">
        <v>53</v>
      </c>
      <c r="E31" s="171" t="s">
        <v>84</v>
      </c>
      <c r="F31" s="170">
        <v>3.5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83</v>
      </c>
      <c r="N31" s="91">
        <v>3.5</v>
      </c>
      <c r="Q31" s="93" t="s">
        <v>57</v>
      </c>
      <c r="R31" s="93" t="s">
        <v>20</v>
      </c>
      <c r="S31" s="93" t="s">
        <v>0</v>
      </c>
      <c r="T31" s="93" t="s">
        <v>53</v>
      </c>
      <c r="U31" s="93" t="s">
        <v>97</v>
      </c>
      <c r="V31" s="93">
        <v>4.0149999999999997</v>
      </c>
      <c r="AC31" s="93" t="s">
        <v>55</v>
      </c>
      <c r="AD31" s="93" t="s">
        <v>20</v>
      </c>
      <c r="AE31" s="93" t="s">
        <v>78</v>
      </c>
      <c r="AF31" s="93" t="s">
        <v>53</v>
      </c>
      <c r="AG31" s="93" t="s">
        <v>84</v>
      </c>
      <c r="AH31" s="93">
        <v>3.9717500000000001</v>
      </c>
    </row>
    <row r="32" spans="1:34" s="93" customFormat="1">
      <c r="A32" s="170" t="s">
        <v>20</v>
      </c>
      <c r="B32" s="170" t="s">
        <v>55</v>
      </c>
      <c r="C32" s="170" t="s">
        <v>78</v>
      </c>
      <c r="D32" s="170" t="s">
        <v>53</v>
      </c>
      <c r="E32" s="171" t="s">
        <v>84</v>
      </c>
      <c r="F32" s="170">
        <v>3.9717500000000001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83</v>
      </c>
      <c r="N32" s="91">
        <v>3.9717500000000001</v>
      </c>
      <c r="Q32" s="93" t="s">
        <v>57</v>
      </c>
      <c r="R32" s="93" t="s">
        <v>20</v>
      </c>
      <c r="S32" s="93" t="s">
        <v>7</v>
      </c>
      <c r="T32" s="93" t="s">
        <v>53</v>
      </c>
      <c r="U32" s="93" t="s">
        <v>97</v>
      </c>
      <c r="V32" s="93">
        <v>1</v>
      </c>
      <c r="AC32" s="93" t="s">
        <v>56</v>
      </c>
      <c r="AD32" s="93" t="s">
        <v>20</v>
      </c>
      <c r="AE32" s="93" t="s">
        <v>78</v>
      </c>
      <c r="AF32" s="93" t="s">
        <v>53</v>
      </c>
      <c r="AG32" s="93" t="s">
        <v>86</v>
      </c>
      <c r="AH32" s="93">
        <v>4.123888942161555</v>
      </c>
    </row>
    <row r="33" spans="1:34" s="93" customFormat="1">
      <c r="A33" s="170" t="s">
        <v>20</v>
      </c>
      <c r="B33" s="170" t="s">
        <v>55</v>
      </c>
      <c r="C33" s="170" t="s">
        <v>0</v>
      </c>
      <c r="D33" s="170" t="s">
        <v>53</v>
      </c>
      <c r="E33" s="171" t="s">
        <v>84</v>
      </c>
      <c r="F33" s="170">
        <v>4.9169999999999998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83</v>
      </c>
      <c r="N33" s="91">
        <v>5.0090000000000003</v>
      </c>
      <c r="Q33" s="93" t="s">
        <v>57</v>
      </c>
      <c r="R33" s="93" t="s">
        <v>20</v>
      </c>
      <c r="S33" s="93" t="s">
        <v>26</v>
      </c>
      <c r="T33" s="93" t="s">
        <v>53</v>
      </c>
      <c r="U33" s="93" t="s">
        <v>97</v>
      </c>
      <c r="V33" s="93">
        <v>4</v>
      </c>
      <c r="AC33" s="93" t="s">
        <v>56</v>
      </c>
      <c r="AD33" s="93" t="s">
        <v>20</v>
      </c>
      <c r="AE33" s="93" t="s">
        <v>78</v>
      </c>
      <c r="AF33" s="93" t="s">
        <v>53</v>
      </c>
      <c r="AG33" s="93" t="s">
        <v>88</v>
      </c>
      <c r="AH33" s="93">
        <v>4.123888942161555</v>
      </c>
    </row>
    <row r="34" spans="1:34" s="93" customFormat="1">
      <c r="A34" s="170" t="s">
        <v>20</v>
      </c>
      <c r="B34" s="170" t="s">
        <v>55</v>
      </c>
      <c r="C34" s="170" t="s">
        <v>41</v>
      </c>
      <c r="D34" s="170" t="s">
        <v>53</v>
      </c>
      <c r="E34" s="171" t="s">
        <v>84</v>
      </c>
      <c r="F34" s="170">
        <v>6783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83</v>
      </c>
      <c r="N34" s="91">
        <v>6041</v>
      </c>
      <c r="AC34" s="93" t="s">
        <v>56</v>
      </c>
      <c r="AD34" s="93" t="s">
        <v>20</v>
      </c>
      <c r="AE34" s="93" t="s">
        <v>78</v>
      </c>
      <c r="AF34" s="93" t="s">
        <v>53</v>
      </c>
      <c r="AG34" s="93" t="s">
        <v>89</v>
      </c>
      <c r="AH34" s="93">
        <v>4.123888942161555</v>
      </c>
    </row>
    <row r="35" spans="1:34" s="93" customFormat="1">
      <c r="A35" s="170" t="s">
        <v>20</v>
      </c>
      <c r="B35" s="170" t="s">
        <v>55</v>
      </c>
      <c r="C35" s="170" t="s">
        <v>1</v>
      </c>
      <c r="D35" s="170" t="s">
        <v>53</v>
      </c>
      <c r="E35" s="171" t="s">
        <v>84</v>
      </c>
      <c r="F35" s="170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83</v>
      </c>
      <c r="N35" s="91">
        <v>200000</v>
      </c>
      <c r="AC35" s="93" t="s">
        <v>56</v>
      </c>
      <c r="AD35" s="93" t="s">
        <v>20</v>
      </c>
      <c r="AE35" s="93" t="s">
        <v>78</v>
      </c>
      <c r="AF35" s="93" t="s">
        <v>53</v>
      </c>
      <c r="AG35" s="93" t="s">
        <v>83</v>
      </c>
      <c r="AH35" s="93">
        <v>4.145604497342033</v>
      </c>
    </row>
    <row r="36" spans="1:34" s="93" customFormat="1">
      <c r="A36" s="170" t="s">
        <v>20</v>
      </c>
      <c r="B36" s="170" t="s">
        <v>55</v>
      </c>
      <c r="C36" s="170" t="s">
        <v>7</v>
      </c>
      <c r="D36" s="170" t="s">
        <v>53</v>
      </c>
      <c r="E36" s="171" t="s">
        <v>84</v>
      </c>
      <c r="F36" s="170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83</v>
      </c>
      <c r="N36" s="91">
        <v>1</v>
      </c>
      <c r="AC36" s="93" t="s">
        <v>56</v>
      </c>
      <c r="AD36" s="93" t="s">
        <v>20</v>
      </c>
      <c r="AE36" s="93" t="s">
        <v>78</v>
      </c>
      <c r="AF36" s="93" t="s">
        <v>53</v>
      </c>
      <c r="AG36" s="93" t="s">
        <v>84</v>
      </c>
      <c r="AH36" s="93">
        <v>4.0563500000000001</v>
      </c>
    </row>
    <row r="37" spans="1:34" s="93" customFormat="1">
      <c r="A37" s="170" t="s">
        <v>20</v>
      </c>
      <c r="B37" s="170" t="s">
        <v>55</v>
      </c>
      <c r="C37" s="170" t="s">
        <v>26</v>
      </c>
      <c r="D37" s="170" t="s">
        <v>53</v>
      </c>
      <c r="E37" s="171" t="s">
        <v>84</v>
      </c>
      <c r="F37" s="170">
        <v>3.875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83</v>
      </c>
      <c r="N37" s="91">
        <v>4</v>
      </c>
      <c r="AC37" s="93" t="s">
        <v>57</v>
      </c>
      <c r="AD37" s="93" t="s">
        <v>20</v>
      </c>
      <c r="AE37" s="93" t="s">
        <v>78</v>
      </c>
      <c r="AF37" s="93" t="s">
        <v>53</v>
      </c>
      <c r="AG37" s="93" t="s">
        <v>86</v>
      </c>
      <c r="AH37" s="93">
        <v>3.9170666666666665</v>
      </c>
    </row>
    <row r="38" spans="1:34" s="93" customFormat="1">
      <c r="A38" s="170" t="s">
        <v>20</v>
      </c>
      <c r="B38" s="170" t="s">
        <v>55</v>
      </c>
      <c r="C38" s="170" t="s">
        <v>29</v>
      </c>
      <c r="D38" s="170" t="s">
        <v>53</v>
      </c>
      <c r="E38" s="171" t="s">
        <v>84</v>
      </c>
      <c r="F38" s="170">
        <v>1.2648114361650704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83</v>
      </c>
      <c r="N38" s="91">
        <v>1.1865322640026403</v>
      </c>
      <c r="AC38" s="93" t="s">
        <v>57</v>
      </c>
      <c r="AD38" s="93" t="s">
        <v>20</v>
      </c>
      <c r="AE38" s="93" t="s">
        <v>78</v>
      </c>
      <c r="AF38" s="93" t="s">
        <v>53</v>
      </c>
      <c r="AG38" s="93" t="s">
        <v>88</v>
      </c>
      <c r="AH38" s="93">
        <v>3.9170666666666665</v>
      </c>
    </row>
    <row r="39" spans="1:34" s="93" customFormat="1">
      <c r="A39" s="170" t="s">
        <v>20</v>
      </c>
      <c r="B39" s="170" t="s">
        <v>55</v>
      </c>
      <c r="C39" s="170" t="s">
        <v>42</v>
      </c>
      <c r="D39" s="170" t="s">
        <v>53</v>
      </c>
      <c r="E39" s="171" t="s">
        <v>84</v>
      </c>
      <c r="F39" s="170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83</v>
      </c>
      <c r="N39" s="91">
        <v>3500</v>
      </c>
      <c r="AC39" s="93" t="s">
        <v>57</v>
      </c>
      <c r="AD39" s="93" t="s">
        <v>20</v>
      </c>
      <c r="AE39" s="93" t="s">
        <v>78</v>
      </c>
      <c r="AF39" s="93" t="s">
        <v>53</v>
      </c>
      <c r="AG39" s="93" t="s">
        <v>89</v>
      </c>
      <c r="AH39" s="93">
        <v>3.9170666666666665</v>
      </c>
    </row>
    <row r="40" spans="1:34" s="93" customFormat="1">
      <c r="A40" s="170" t="s">
        <v>20</v>
      </c>
      <c r="B40" s="170" t="s">
        <v>56</v>
      </c>
      <c r="C40" s="170" t="s">
        <v>78</v>
      </c>
      <c r="D40" s="170" t="s">
        <v>53</v>
      </c>
      <c r="E40" s="171" t="s">
        <v>84</v>
      </c>
      <c r="F40" s="170">
        <v>4.0563500000000001</v>
      </c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83</v>
      </c>
      <c r="N40" s="91">
        <v>4.145604497342033</v>
      </c>
      <c r="AC40" s="93" t="s">
        <v>57</v>
      </c>
      <c r="AD40" s="93" t="s">
        <v>20</v>
      </c>
      <c r="AE40" s="93" t="s">
        <v>78</v>
      </c>
      <c r="AF40" s="93" t="s">
        <v>53</v>
      </c>
      <c r="AG40" s="93" t="s">
        <v>83</v>
      </c>
      <c r="AH40" s="93">
        <v>3.9975388163708763</v>
      </c>
    </row>
    <row r="41" spans="1:34" s="93" customFormat="1">
      <c r="A41" s="170" t="s">
        <v>20</v>
      </c>
      <c r="B41" s="170" t="s">
        <v>56</v>
      </c>
      <c r="C41" s="170" t="s">
        <v>0</v>
      </c>
      <c r="D41" s="170" t="s">
        <v>53</v>
      </c>
      <c r="E41" s="171" t="s">
        <v>84</v>
      </c>
      <c r="F41" s="170">
        <v>4.25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83</v>
      </c>
      <c r="N41" s="91">
        <v>4.2590000000000003</v>
      </c>
      <c r="AC41" s="93" t="s">
        <v>57</v>
      </c>
      <c r="AD41" s="93" t="s">
        <v>20</v>
      </c>
      <c r="AE41" s="93" t="s">
        <v>78</v>
      </c>
      <c r="AF41" s="93" t="s">
        <v>53</v>
      </c>
      <c r="AG41" s="93" t="s">
        <v>84</v>
      </c>
      <c r="AH41" s="93">
        <v>3.9543261870321942</v>
      </c>
    </row>
    <row r="42" spans="1:34" s="93" customFormat="1">
      <c r="A42" s="170" t="s">
        <v>20</v>
      </c>
      <c r="B42" s="170" t="s">
        <v>56</v>
      </c>
      <c r="C42" s="170" t="s">
        <v>41</v>
      </c>
      <c r="D42" s="170" t="s">
        <v>53</v>
      </c>
      <c r="E42" s="171" t="s">
        <v>84</v>
      </c>
      <c r="F42" s="170">
        <v>1127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83</v>
      </c>
      <c r="N42" s="91">
        <v>2377</v>
      </c>
    </row>
    <row r="43" spans="1:34" s="93" customFormat="1">
      <c r="A43" s="170" t="s">
        <v>20</v>
      </c>
      <c r="B43" s="170" t="s">
        <v>56</v>
      </c>
      <c r="C43" s="170" t="s">
        <v>1</v>
      </c>
      <c r="D43" s="170" t="s">
        <v>53</v>
      </c>
      <c r="E43" s="171" t="s">
        <v>84</v>
      </c>
      <c r="F43" s="170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83</v>
      </c>
      <c r="N43" s="91">
        <v>500000</v>
      </c>
    </row>
    <row r="44" spans="1:34" s="93" customFormat="1">
      <c r="A44" s="170" t="s">
        <v>20</v>
      </c>
      <c r="B44" s="170" t="s">
        <v>56</v>
      </c>
      <c r="C44" s="170" t="s">
        <v>7</v>
      </c>
      <c r="D44" s="170" t="s">
        <v>53</v>
      </c>
      <c r="E44" s="171" t="s">
        <v>84</v>
      </c>
      <c r="F44" s="170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83</v>
      </c>
      <c r="N44" s="91">
        <v>1</v>
      </c>
    </row>
    <row r="45" spans="1:34" s="93" customFormat="1">
      <c r="A45" s="170" t="s">
        <v>20</v>
      </c>
      <c r="B45" s="170" t="s">
        <v>56</v>
      </c>
      <c r="C45" s="170" t="s">
        <v>26</v>
      </c>
      <c r="D45" s="170" t="s">
        <v>53</v>
      </c>
      <c r="E45" s="171" t="s">
        <v>84</v>
      </c>
      <c r="F45" s="170">
        <v>4.25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83</v>
      </c>
      <c r="N45" s="91">
        <v>4.25</v>
      </c>
    </row>
    <row r="46" spans="1:34" s="93" customFormat="1">
      <c r="A46" s="170" t="s">
        <v>20</v>
      </c>
      <c r="B46" s="170" t="s">
        <v>56</v>
      </c>
      <c r="C46" s="170" t="s">
        <v>29</v>
      </c>
      <c r="D46" s="170" t="s">
        <v>53</v>
      </c>
      <c r="E46" s="171" t="s">
        <v>84</v>
      </c>
      <c r="F46" s="170">
        <v>1.2099996631932404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83</v>
      </c>
      <c r="N46" s="91">
        <v>1.2152874864401328</v>
      </c>
    </row>
    <row r="47" spans="1:34" s="93" customFormat="1">
      <c r="A47" s="170" t="s">
        <v>20</v>
      </c>
      <c r="B47" s="170" t="s">
        <v>57</v>
      </c>
      <c r="C47" s="170" t="s">
        <v>78</v>
      </c>
      <c r="D47" s="170" t="s">
        <v>53</v>
      </c>
      <c r="E47" s="171" t="s">
        <v>84</v>
      </c>
      <c r="F47" s="170">
        <v>3.9543261870321942</v>
      </c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83</v>
      </c>
      <c r="N47" s="91">
        <v>3.9975388163708763</v>
      </c>
    </row>
    <row r="48" spans="1:34" s="93" customFormat="1">
      <c r="A48" s="170" t="s">
        <v>20</v>
      </c>
      <c r="B48" s="170" t="s">
        <v>57</v>
      </c>
      <c r="C48" s="170" t="s">
        <v>0</v>
      </c>
      <c r="D48" s="170" t="s">
        <v>53</v>
      </c>
      <c r="E48" s="171" t="s">
        <v>84</v>
      </c>
      <c r="F48" s="170">
        <v>4.1269999999999998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83</v>
      </c>
      <c r="N48" s="91">
        <v>4.1310000000000002</v>
      </c>
    </row>
    <row r="49" spans="1:14" s="93" customFormat="1">
      <c r="A49" s="170" t="s">
        <v>20</v>
      </c>
      <c r="B49" s="170" t="s">
        <v>57</v>
      </c>
      <c r="C49" s="170" t="s">
        <v>41</v>
      </c>
      <c r="D49" s="170" t="s">
        <v>53</v>
      </c>
      <c r="E49" s="171" t="s">
        <v>84</v>
      </c>
      <c r="F49" s="170">
        <v>2200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83</v>
      </c>
      <c r="N49" s="91">
        <v>3137</v>
      </c>
    </row>
    <row r="50" spans="1:14" s="93" customFormat="1">
      <c r="A50" s="170" t="s">
        <v>20</v>
      </c>
      <c r="B50" s="170" t="s">
        <v>57</v>
      </c>
      <c r="C50" s="170" t="s">
        <v>1</v>
      </c>
      <c r="D50" s="170" t="s">
        <v>53</v>
      </c>
      <c r="E50" s="171" t="s">
        <v>84</v>
      </c>
      <c r="F50" s="170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83</v>
      </c>
      <c r="N50" s="91">
        <v>750000</v>
      </c>
    </row>
    <row r="51" spans="1:14" s="93" customFormat="1">
      <c r="A51" s="170" t="s">
        <v>20</v>
      </c>
      <c r="B51" s="170" t="s">
        <v>57</v>
      </c>
      <c r="C51" s="170" t="s">
        <v>7</v>
      </c>
      <c r="D51" s="170" t="s">
        <v>53</v>
      </c>
      <c r="E51" s="171" t="s">
        <v>84</v>
      </c>
      <c r="F51" s="170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83</v>
      </c>
      <c r="N51" s="91">
        <v>1</v>
      </c>
    </row>
    <row r="52" spans="1:14" s="93" customFormat="1">
      <c r="A52" s="170" t="s">
        <v>20</v>
      </c>
      <c r="B52" s="170" t="s">
        <v>57</v>
      </c>
      <c r="C52" s="170" t="s">
        <v>26</v>
      </c>
      <c r="D52" s="170" t="s">
        <v>53</v>
      </c>
      <c r="E52" s="171" t="s">
        <v>84</v>
      </c>
      <c r="F52" s="170">
        <v>4.125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83</v>
      </c>
      <c r="N52" s="91">
        <v>4.125</v>
      </c>
    </row>
    <row r="53" spans="1:14" s="93" customFormat="1">
      <c r="A53" s="170" t="s">
        <v>20</v>
      </c>
      <c r="B53" s="170" t="s">
        <v>57</v>
      </c>
      <c r="C53" s="170" t="s">
        <v>29</v>
      </c>
      <c r="D53" s="170" t="s">
        <v>53</v>
      </c>
      <c r="E53" s="171" t="s">
        <v>84</v>
      </c>
      <c r="F53" s="170">
        <v>1.1079758502254344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83</v>
      </c>
      <c r="N53" s="91">
        <v>1.0672218054689764</v>
      </c>
    </row>
    <row r="54" spans="1:14" s="93" customFormat="1"/>
    <row r="55" spans="1:14" s="93" customFormat="1"/>
    <row r="56" spans="1:14" s="93" customFormat="1"/>
    <row r="57" spans="1:14" s="93" customFormat="1"/>
    <row r="58" spans="1:14" s="93" customFormat="1"/>
    <row r="59" spans="1:14" s="93" customFormat="1"/>
    <row r="60" spans="1:14" s="93" customFormat="1"/>
    <row r="61" spans="1:14" s="93" customFormat="1"/>
    <row r="62" spans="1:14" s="93" customFormat="1"/>
    <row r="63" spans="1:14" s="93" customFormat="1"/>
    <row r="64" spans="1:14" s="93" customFormat="1"/>
    <row r="65" spans="29:34" s="93" customFormat="1"/>
    <row r="66" spans="29:34" s="93" customFormat="1"/>
    <row r="67" spans="29:34" s="93" customFormat="1"/>
    <row r="68" spans="29:34" s="93" customFormat="1"/>
    <row r="69" spans="29:34" s="93" customFormat="1">
      <c r="AC69" s="92"/>
      <c r="AD69" s="92"/>
      <c r="AE69" s="92"/>
      <c r="AF69" s="92"/>
      <c r="AG69" s="92"/>
      <c r="AH69" s="92"/>
    </row>
    <row r="70" spans="29:34" s="93" customFormat="1">
      <c r="AC70" s="92"/>
      <c r="AD70" s="92"/>
      <c r="AE70" s="92"/>
      <c r="AF70" s="92"/>
      <c r="AG70" s="92"/>
      <c r="AH70" s="92"/>
    </row>
    <row r="71" spans="29:34" s="93" customFormat="1">
      <c r="AC71" s="92"/>
      <c r="AD71" s="92"/>
      <c r="AE71" s="92"/>
      <c r="AF71" s="92"/>
      <c r="AG71" s="92"/>
      <c r="AH71" s="92"/>
    </row>
    <row r="72" spans="29:34" s="93" customFormat="1">
      <c r="AC72" s="92"/>
      <c r="AD72" s="92"/>
      <c r="AE72" s="92"/>
      <c r="AF72" s="92"/>
      <c r="AG72" s="92"/>
      <c r="AH72" s="92"/>
    </row>
    <row r="73" spans="29:34" s="93" customFormat="1">
      <c r="AC73" s="92"/>
      <c r="AD73" s="92"/>
      <c r="AE73" s="92"/>
      <c r="AF73" s="92"/>
      <c r="AG73" s="92"/>
      <c r="AH73" s="92"/>
    </row>
    <row r="74" spans="29:34" s="93" customFormat="1">
      <c r="AC74" s="92"/>
      <c r="AD74" s="92"/>
      <c r="AE74" s="92"/>
      <c r="AF74" s="92"/>
      <c r="AG74" s="92"/>
      <c r="AH74" s="92"/>
    </row>
    <row r="75" spans="29:34" s="93" customFormat="1">
      <c r="AC75" s="92"/>
      <c r="AD75" s="92"/>
      <c r="AE75" s="92"/>
      <c r="AF75" s="92"/>
      <c r="AG75" s="92"/>
      <c r="AH75" s="92"/>
    </row>
    <row r="76" spans="29:34" s="93" customFormat="1">
      <c r="AC76" s="92"/>
      <c r="AD76" s="92"/>
      <c r="AE76" s="92"/>
      <c r="AF76" s="92"/>
      <c r="AG76" s="92"/>
      <c r="AH76" s="92"/>
    </row>
    <row r="77" spans="29:34" s="93" customFormat="1">
      <c r="AC77" s="92"/>
      <c r="AD77" s="92"/>
      <c r="AE77" s="92"/>
      <c r="AF77" s="92"/>
      <c r="AG77" s="92"/>
      <c r="AH77" s="92"/>
    </row>
    <row r="78" spans="29:34" s="93" customFormat="1">
      <c r="AC78" s="92"/>
      <c r="AD78" s="92"/>
      <c r="AE78" s="92"/>
      <c r="AF78" s="92"/>
      <c r="AG78" s="92"/>
      <c r="AH78" s="92"/>
    </row>
    <row r="79" spans="29:34" s="93" customFormat="1">
      <c r="AC79" s="92"/>
      <c r="AD79" s="92"/>
      <c r="AE79" s="92"/>
      <c r="AF79" s="92"/>
      <c r="AG79" s="92"/>
      <c r="AH79" s="92"/>
    </row>
    <row r="80" spans="29:34" s="93" customFormat="1">
      <c r="AC80" s="92"/>
      <c r="AD80" s="92"/>
      <c r="AE80" s="92"/>
      <c r="AF80" s="92"/>
      <c r="AG80" s="92"/>
      <c r="AH80" s="92"/>
    </row>
    <row r="81" spans="1:27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</row>
    <row r="82" spans="1:27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</row>
    <row r="83" spans="1:27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</row>
    <row r="84" spans="1:27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</row>
    <row r="85" spans="1:27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</row>
    <row r="86" spans="1:27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</row>
    <row r="87" spans="1:27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</row>
    <row r="88" spans="1:27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</row>
    <row r="89" spans="1:27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</row>
    <row r="90" spans="1:27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</row>
    <row r="91" spans="1:27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</row>
    <row r="92" spans="1:27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</row>
    <row r="93" spans="1:27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</row>
    <row r="94" spans="1:27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</row>
    <row r="95" spans="1:27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</row>
    <row r="96" spans="1:27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</row>
    <row r="97" spans="9:22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</row>
    <row r="98" spans="9:22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</row>
    <row r="99" spans="9:22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</row>
    <row r="100" spans="9:22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</row>
    <row r="101" spans="9:22" s="92" customFormat="1">
      <c r="Q101" s="93"/>
      <c r="R101" s="93"/>
      <c r="S101" s="93"/>
      <c r="T101" s="93"/>
      <c r="U101" s="93"/>
      <c r="V101" s="93"/>
    </row>
    <row r="102" spans="9:22" s="92" customFormat="1">
      <c r="Q102" s="93"/>
      <c r="R102" s="93"/>
      <c r="S102" s="93"/>
      <c r="T102" s="93"/>
      <c r="U102" s="93"/>
      <c r="V102" s="93"/>
    </row>
    <row r="103" spans="9:22" s="92" customFormat="1">
      <c r="Q103" s="93"/>
      <c r="R103" s="93"/>
      <c r="S103" s="93"/>
      <c r="T103" s="93"/>
      <c r="U103" s="93"/>
      <c r="V103" s="93"/>
    </row>
    <row r="104" spans="9:22" s="92" customFormat="1">
      <c r="Q104" s="93"/>
      <c r="R104" s="93"/>
      <c r="S104" s="93"/>
      <c r="T104" s="93"/>
      <c r="U104" s="93"/>
      <c r="V104" s="93"/>
    </row>
    <row r="105" spans="9:22" s="92" customFormat="1">
      <c r="Q105" s="93"/>
      <c r="R105" s="93"/>
      <c r="S105" s="93"/>
      <c r="T105" s="93"/>
      <c r="U105" s="93"/>
      <c r="V105" s="93"/>
    </row>
    <row r="106" spans="9:22" s="92" customFormat="1">
      <c r="Q106" s="93"/>
      <c r="R106" s="93"/>
      <c r="S106" s="93"/>
      <c r="T106" s="93"/>
      <c r="U106" s="93"/>
      <c r="V106" s="93"/>
    </row>
    <row r="107" spans="9:22" s="92" customFormat="1" ht="12"/>
    <row r="108" spans="9:22" s="92" customFormat="1" ht="12"/>
    <row r="109" spans="9:22" s="92" customFormat="1" ht="12"/>
    <row r="110" spans="9:22" s="92" customFormat="1" ht="12"/>
    <row r="111" spans="9:22" s="92" customFormat="1" ht="12"/>
    <row r="112" spans="9:22" s="92" customFormat="1" ht="12"/>
    <row r="113" s="92" customFormat="1" ht="12"/>
    <row r="114" s="92" customFormat="1" ht="12"/>
    <row r="115" s="92" customFormat="1" ht="12"/>
    <row r="116" s="92" customFormat="1" ht="12"/>
    <row r="117" s="92" customFormat="1" ht="12"/>
    <row r="118" s="92" customFormat="1" ht="12"/>
    <row r="119" s="92" customFormat="1" ht="12"/>
    <row r="120" s="92" customFormat="1" ht="12"/>
    <row r="121" s="92" customFormat="1" ht="12"/>
    <row r="122" s="92" customFormat="1" ht="12"/>
    <row r="123" s="92" customFormat="1" ht="12"/>
    <row r="124" s="92" customFormat="1" ht="12"/>
    <row r="125" s="92" customFormat="1" ht="12"/>
    <row r="126" s="92" customFormat="1" ht="12"/>
    <row r="127" s="92" customFormat="1" ht="12"/>
    <row r="128" s="92" customFormat="1" ht="12"/>
    <row r="129" spans="29:34" s="92" customFormat="1" ht="12"/>
    <row r="130" spans="29:34" s="92" customFormat="1" ht="12"/>
    <row r="131" spans="29:34" s="92" customFormat="1" ht="12"/>
    <row r="132" spans="29:34" s="92" customFormat="1" ht="12"/>
    <row r="133" spans="29:34" s="92" customFormat="1" ht="12"/>
    <row r="134" spans="29:34" s="92" customFormat="1" ht="12"/>
    <row r="135" spans="29:34" s="92" customFormat="1" ht="12"/>
    <row r="136" spans="29:34" s="92" customFormat="1" ht="12"/>
    <row r="137" spans="29:34" s="92" customFormat="1" ht="12"/>
    <row r="138" spans="29:34" s="92" customFormat="1" ht="12"/>
    <row r="139" spans="29:34" s="92" customFormat="1" ht="12"/>
    <row r="140" spans="29:34" s="92" customFormat="1" ht="12"/>
    <row r="141" spans="29:34" s="92" customFormat="1" ht="12"/>
    <row r="142" spans="29:34" s="92" customFormat="1">
      <c r="AC142" s="38"/>
      <c r="AD142" s="38"/>
      <c r="AE142" s="38"/>
      <c r="AF142" s="38"/>
      <c r="AG142" s="38"/>
      <c r="AH142" s="38"/>
    </row>
    <row r="143" spans="29:34" s="92" customFormat="1">
      <c r="AC143" s="38"/>
      <c r="AD143" s="38"/>
      <c r="AE143" s="38"/>
      <c r="AF143" s="38"/>
      <c r="AG143" s="38"/>
      <c r="AH143" s="38"/>
    </row>
    <row r="144" spans="29:34" s="92" customFormat="1">
      <c r="AC144" s="38"/>
      <c r="AD144" s="38"/>
      <c r="AE144" s="38"/>
      <c r="AF144" s="38"/>
      <c r="AG144" s="38"/>
      <c r="AH144" s="38"/>
    </row>
    <row r="145" spans="1:34" s="92" customFormat="1">
      <c r="AC145" s="38"/>
      <c r="AD145" s="38"/>
      <c r="AE145" s="38"/>
      <c r="AF145" s="38"/>
      <c r="AG145" s="38"/>
      <c r="AH145" s="38"/>
    </row>
    <row r="146" spans="1:34" s="92" customFormat="1">
      <c r="AC146" s="38"/>
      <c r="AD146" s="38"/>
      <c r="AE146" s="38"/>
      <c r="AF146" s="38"/>
      <c r="AG146" s="38"/>
      <c r="AH146" s="38"/>
    </row>
    <row r="147" spans="1:34" s="92" customFormat="1">
      <c r="AC147" s="38"/>
      <c r="AD147" s="38"/>
      <c r="AE147" s="38"/>
      <c r="AF147" s="38"/>
      <c r="AG147" s="38"/>
      <c r="AH147" s="38"/>
    </row>
    <row r="148" spans="1:34" s="92" customFormat="1">
      <c r="AC148" s="38"/>
      <c r="AD148" s="38"/>
      <c r="AE148" s="38"/>
      <c r="AF148" s="38"/>
      <c r="AG148" s="38"/>
      <c r="AH148" s="38"/>
    </row>
    <row r="149" spans="1:34" s="92" customFormat="1">
      <c r="AC149" s="38"/>
      <c r="AD149" s="38"/>
      <c r="AE149" s="38"/>
      <c r="AF149" s="38"/>
      <c r="AG149" s="38"/>
      <c r="AH149" s="38"/>
    </row>
    <row r="150" spans="1:34" s="92" customFormat="1">
      <c r="AC150" s="38"/>
      <c r="AD150" s="38"/>
      <c r="AE150" s="38"/>
      <c r="AF150" s="38"/>
      <c r="AG150" s="38"/>
      <c r="AH150" s="38"/>
    </row>
    <row r="151" spans="1:34" s="92" customFormat="1">
      <c r="AC151" s="38"/>
      <c r="AD151" s="38"/>
      <c r="AE151" s="38"/>
      <c r="AF151" s="38"/>
      <c r="AG151" s="38"/>
      <c r="AH151" s="38"/>
    </row>
    <row r="152" spans="1:34" s="92" customFormat="1">
      <c r="AC152" s="38"/>
      <c r="AD152" s="38"/>
      <c r="AE152" s="38"/>
      <c r="AF152" s="38"/>
      <c r="AG152" s="38"/>
      <c r="AH152" s="38"/>
    </row>
    <row r="153" spans="1:34" s="92" customFormat="1">
      <c r="AC153" s="38"/>
      <c r="AD153" s="38"/>
      <c r="AE153" s="38"/>
      <c r="AF153" s="38"/>
      <c r="AG153" s="38"/>
      <c r="AH153" s="38"/>
    </row>
    <row r="154" spans="1:34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</row>
    <row r="155" spans="1:34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</row>
    <row r="156" spans="1:34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</row>
    <row r="157" spans="1:34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</row>
    <row r="158" spans="1:34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</row>
    <row r="159" spans="1:34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</row>
    <row r="160" spans="1:34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</row>
    <row r="161" spans="1:22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</row>
    <row r="162" spans="1:22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</row>
    <row r="163" spans="1:22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</row>
    <row r="164" spans="1:22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</row>
    <row r="165" spans="1:22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</row>
    <row r="166" spans="1:22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</row>
    <row r="167" spans="1:22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</row>
    <row r="168" spans="1:22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</row>
    <row r="169" spans="1:22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</row>
    <row r="170" spans="1:22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</row>
    <row r="171" spans="1:22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</row>
    <row r="172" spans="1:22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</row>
    <row r="173" spans="1:22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</row>
    <row r="174" spans="1:22">
      <c r="Q174" s="92"/>
      <c r="R174" s="92"/>
      <c r="S174" s="92"/>
      <c r="T174" s="92"/>
      <c r="U174" s="92"/>
      <c r="V174" s="92"/>
    </row>
    <row r="175" spans="1:22">
      <c r="Q175" s="92"/>
      <c r="R175" s="92"/>
      <c r="S175" s="92"/>
      <c r="T175" s="92"/>
      <c r="U175" s="92"/>
      <c r="V175" s="92"/>
    </row>
    <row r="176" spans="1:22">
      <c r="Q176" s="92"/>
      <c r="R176" s="92"/>
      <c r="S176" s="92"/>
      <c r="T176" s="92"/>
      <c r="U176" s="92"/>
      <c r="V176" s="92"/>
    </row>
    <row r="177" spans="17:22">
      <c r="Q177" s="92"/>
      <c r="R177" s="92"/>
      <c r="S177" s="92"/>
      <c r="T177" s="92"/>
      <c r="U177" s="92"/>
      <c r="V177" s="92"/>
    </row>
    <row r="178" spans="17:22">
      <c r="Q178" s="92"/>
      <c r="R178" s="92"/>
      <c r="S178" s="92"/>
      <c r="T178" s="92"/>
      <c r="U178" s="92"/>
      <c r="V178" s="92"/>
    </row>
    <row r="179" spans="17:22">
      <c r="Q179" s="92"/>
      <c r="R179" s="92"/>
      <c r="S179" s="92"/>
      <c r="T179" s="92"/>
      <c r="U179" s="92"/>
      <c r="V179" s="92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84"/>
  <sheetViews>
    <sheetView topLeftCell="A46" workbookViewId="0">
      <selection activeCell="D55" sqref="D55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32.7109375" customWidth="1"/>
    <col min="7" max="7" width="19.140625" customWidth="1"/>
    <col min="8" max="8" width="24.140625" customWidth="1"/>
    <col min="9" max="9" width="21.5703125" customWidth="1"/>
    <col min="10" max="10" width="26.5703125" bestFit="1" customWidth="1"/>
    <col min="11" max="11" width="25.28515625" customWidth="1"/>
    <col min="12" max="12" width="30.42578125" bestFit="1" customWidth="1"/>
    <col min="13" max="13" width="12" bestFit="1" customWidth="1"/>
  </cols>
  <sheetData>
    <row r="1" spans="1:11" ht="19.5">
      <c r="A1" s="167" t="s">
        <v>68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78</v>
      </c>
      <c r="K4" s="42" t="s">
        <v>29</v>
      </c>
    </row>
    <row r="5" spans="1:11">
      <c r="A5" s="1" t="s">
        <v>84</v>
      </c>
      <c r="B5" s="1" t="s">
        <v>20</v>
      </c>
      <c r="C5" s="1" t="s">
        <v>54</v>
      </c>
      <c r="D5" s="40">
        <v>4.125</v>
      </c>
      <c r="E5" s="40">
        <v>1</v>
      </c>
      <c r="F5" s="40">
        <v>4.1619999999999999</v>
      </c>
      <c r="G5" s="40">
        <v>2518</v>
      </c>
      <c r="H5" s="40">
        <v>200000</v>
      </c>
      <c r="I5" s="40"/>
      <c r="J5" s="40">
        <v>4.3002725972031506</v>
      </c>
      <c r="K5" s="40">
        <v>1.4539222603963904</v>
      </c>
    </row>
    <row r="6" spans="1:11">
      <c r="A6" s="1" t="s">
        <v>84</v>
      </c>
      <c r="B6" s="1" t="s">
        <v>20</v>
      </c>
      <c r="C6" s="1" t="s">
        <v>55</v>
      </c>
      <c r="D6" s="40">
        <v>3.875</v>
      </c>
      <c r="E6" s="40">
        <v>1</v>
      </c>
      <c r="F6" s="40">
        <v>4.9169999999999998</v>
      </c>
      <c r="G6" s="40">
        <v>6783</v>
      </c>
      <c r="H6" s="40">
        <v>200000</v>
      </c>
      <c r="I6" s="40">
        <v>3500</v>
      </c>
      <c r="J6" s="40">
        <v>3.9717500000000001</v>
      </c>
      <c r="K6" s="40">
        <v>1.2648114361650704</v>
      </c>
    </row>
    <row r="7" spans="1:11">
      <c r="A7" s="1" t="s">
        <v>84</v>
      </c>
      <c r="B7" s="1" t="s">
        <v>20</v>
      </c>
      <c r="C7" s="1" t="s">
        <v>56</v>
      </c>
      <c r="D7" s="40">
        <v>4.25</v>
      </c>
      <c r="E7" s="40">
        <v>1</v>
      </c>
      <c r="F7" s="40">
        <v>4.25</v>
      </c>
      <c r="G7" s="40">
        <v>1127</v>
      </c>
      <c r="H7" s="40">
        <v>500000</v>
      </c>
      <c r="I7" s="40"/>
      <c r="J7" s="40">
        <v>4.0563500000000001</v>
      </c>
      <c r="K7" s="40">
        <v>1.2099996631932404</v>
      </c>
    </row>
    <row r="8" spans="1:11">
      <c r="A8" s="1" t="s">
        <v>84</v>
      </c>
      <c r="B8" s="1" t="s">
        <v>20</v>
      </c>
      <c r="C8" s="1" t="s">
        <v>57</v>
      </c>
      <c r="D8" s="40">
        <v>4.125</v>
      </c>
      <c r="E8" s="40">
        <v>1</v>
      </c>
      <c r="F8" s="40">
        <v>4.1269999999999998</v>
      </c>
      <c r="G8" s="40">
        <v>2200</v>
      </c>
      <c r="H8" s="40">
        <v>750000</v>
      </c>
      <c r="I8" s="40"/>
      <c r="J8" s="40">
        <v>3.9543261870321942</v>
      </c>
      <c r="K8" s="40">
        <v>1.1079758502254344</v>
      </c>
    </row>
    <row r="9" spans="1:11">
      <c r="A9" s="1" t="s">
        <v>84</v>
      </c>
      <c r="B9" s="1" t="s">
        <v>19</v>
      </c>
      <c r="C9" s="1" t="s">
        <v>54</v>
      </c>
      <c r="D9" s="40">
        <v>3.875</v>
      </c>
      <c r="E9" s="40">
        <v>2.25</v>
      </c>
      <c r="F9" s="40">
        <v>4.1349999999999998</v>
      </c>
      <c r="G9" s="40"/>
      <c r="H9" s="40"/>
      <c r="I9" s="40"/>
      <c r="J9" s="40">
        <v>4.3975094107446839</v>
      </c>
      <c r="K9" s="40">
        <v>1.5511590739379244</v>
      </c>
    </row>
    <row r="10" spans="1:11">
      <c r="A10" s="1" t="s">
        <v>84</v>
      </c>
      <c r="B10" s="1" t="s">
        <v>19</v>
      </c>
      <c r="C10" s="1" t="s">
        <v>55</v>
      </c>
      <c r="D10" s="40">
        <v>3.5</v>
      </c>
      <c r="E10" s="40">
        <v>2.125</v>
      </c>
      <c r="F10" s="40">
        <v>4.3879999999999999</v>
      </c>
      <c r="G10" s="40"/>
      <c r="H10" s="40"/>
      <c r="I10" s="40"/>
      <c r="J10" s="40"/>
      <c r="K10" s="40"/>
    </row>
    <row r="11" spans="1:11">
      <c r="A11" s="1" t="s">
        <v>84</v>
      </c>
      <c r="B11" s="1" t="s">
        <v>17</v>
      </c>
      <c r="C11" s="1" t="s">
        <v>54</v>
      </c>
      <c r="D11" s="40">
        <v>4</v>
      </c>
      <c r="E11" s="40">
        <v>0.95399999999999996</v>
      </c>
      <c r="F11" s="40">
        <v>4.1900000000000004</v>
      </c>
      <c r="G11" s="40"/>
      <c r="H11" s="40"/>
      <c r="I11" s="40"/>
      <c r="J11" s="40">
        <v>4.313965889771076</v>
      </c>
      <c r="K11" s="40">
        <v>1.467615552964316</v>
      </c>
    </row>
    <row r="12" spans="1:11">
      <c r="A12" s="1" t="s">
        <v>84</v>
      </c>
      <c r="B12" s="1" t="s">
        <v>18</v>
      </c>
      <c r="C12" s="1" t="s">
        <v>54</v>
      </c>
      <c r="D12" s="40">
        <v>4</v>
      </c>
      <c r="E12" s="40">
        <v>1</v>
      </c>
      <c r="F12" s="40">
        <v>4.0830000000000002</v>
      </c>
      <c r="G12" s="40"/>
      <c r="H12" s="40"/>
      <c r="I12" s="40"/>
      <c r="J12" s="40">
        <v>3.9987193359155064</v>
      </c>
      <c r="K12" s="40">
        <v>1.1523689991087465</v>
      </c>
    </row>
    <row r="28" spans="1:11" ht="19.5">
      <c r="A28" s="167" t="s">
        <v>69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83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4.173</v>
      </c>
      <c r="G31" s="40">
        <v>2768</v>
      </c>
      <c r="H31" s="40">
        <v>200000</v>
      </c>
      <c r="I31" s="40"/>
      <c r="J31" s="40">
        <v>4.3642403763055508</v>
      </c>
      <c r="K31" s="40">
        <v>1.4339233654036512</v>
      </c>
    </row>
    <row r="32" spans="1:11">
      <c r="A32" s="1" t="s">
        <v>83</v>
      </c>
      <c r="B32" s="1" t="s">
        <v>20</v>
      </c>
      <c r="C32" s="1" t="s">
        <v>55</v>
      </c>
      <c r="D32" s="40">
        <v>4</v>
      </c>
      <c r="E32" s="40">
        <v>1</v>
      </c>
      <c r="F32" s="40">
        <v>5.0090000000000003</v>
      </c>
      <c r="G32" s="40">
        <v>6041</v>
      </c>
      <c r="H32" s="40">
        <v>200000</v>
      </c>
      <c r="I32" s="40">
        <v>3500</v>
      </c>
      <c r="J32" s="40">
        <v>3.9717500000000001</v>
      </c>
      <c r="K32" s="40">
        <v>1.1865322640026403</v>
      </c>
    </row>
    <row r="33" spans="1:11">
      <c r="A33" s="1" t="s">
        <v>83</v>
      </c>
      <c r="B33" s="1" t="s">
        <v>20</v>
      </c>
      <c r="C33" s="1" t="s">
        <v>56</v>
      </c>
      <c r="D33" s="40">
        <v>4.25</v>
      </c>
      <c r="E33" s="40">
        <v>1</v>
      </c>
      <c r="F33" s="40">
        <v>4.2590000000000003</v>
      </c>
      <c r="G33" s="40">
        <v>2377</v>
      </c>
      <c r="H33" s="40">
        <v>500000</v>
      </c>
      <c r="I33" s="40"/>
      <c r="J33" s="40">
        <v>4.145604497342033</v>
      </c>
      <c r="K33" s="40">
        <v>1.2152874864401328</v>
      </c>
    </row>
    <row r="34" spans="1:11">
      <c r="A34" s="1" t="s">
        <v>83</v>
      </c>
      <c r="B34" s="1" t="s">
        <v>20</v>
      </c>
      <c r="C34" s="1" t="s">
        <v>57</v>
      </c>
      <c r="D34" s="40">
        <v>4.125</v>
      </c>
      <c r="E34" s="40">
        <v>1</v>
      </c>
      <c r="F34" s="40">
        <v>4.1310000000000002</v>
      </c>
      <c r="G34" s="40">
        <v>3137</v>
      </c>
      <c r="H34" s="40">
        <v>750000</v>
      </c>
      <c r="I34" s="40"/>
      <c r="J34" s="40">
        <v>3.9975388163708763</v>
      </c>
      <c r="K34" s="40">
        <v>1.0672218054689764</v>
      </c>
    </row>
    <row r="35" spans="1:11">
      <c r="A35" s="1" t="s">
        <v>83</v>
      </c>
      <c r="B35" s="1" t="s">
        <v>19</v>
      </c>
      <c r="C35" s="1" t="s">
        <v>54</v>
      </c>
      <c r="D35" s="40">
        <v>3.99</v>
      </c>
      <c r="E35" s="40">
        <v>1.625</v>
      </c>
      <c r="F35" s="40">
        <v>4.1980000000000004</v>
      </c>
      <c r="G35" s="40"/>
      <c r="H35" s="40"/>
      <c r="I35" s="40"/>
      <c r="J35" s="40">
        <v>4.356765969784167</v>
      </c>
      <c r="K35" s="40">
        <v>1.4264489588822669</v>
      </c>
    </row>
    <row r="36" spans="1:11">
      <c r="A36" s="1" t="s">
        <v>83</v>
      </c>
      <c r="B36" s="1" t="s">
        <v>19</v>
      </c>
      <c r="C36" s="1" t="s">
        <v>55</v>
      </c>
      <c r="D36" s="40">
        <v>3.5</v>
      </c>
      <c r="E36" s="40">
        <v>2.25</v>
      </c>
      <c r="F36" s="40">
        <v>4.4000000000000004</v>
      </c>
      <c r="G36" s="40"/>
      <c r="H36" s="40"/>
      <c r="I36" s="40"/>
      <c r="J36" s="40"/>
      <c r="K36" s="40"/>
    </row>
    <row r="37" spans="1:11">
      <c r="A37" s="1" t="s">
        <v>83</v>
      </c>
      <c r="B37" s="1" t="s">
        <v>17</v>
      </c>
      <c r="C37" s="1" t="s">
        <v>54</v>
      </c>
      <c r="D37" s="40">
        <v>4</v>
      </c>
      <c r="E37" s="40">
        <v>1.163</v>
      </c>
      <c r="F37" s="40">
        <v>4.2080000000000002</v>
      </c>
      <c r="G37" s="40"/>
      <c r="H37" s="40"/>
      <c r="I37" s="40"/>
      <c r="J37" s="40">
        <v>4.3664099742286595</v>
      </c>
      <c r="K37" s="40">
        <v>1.4360929633267601</v>
      </c>
    </row>
    <row r="38" spans="1:11">
      <c r="A38" s="1" t="s">
        <v>83</v>
      </c>
      <c r="B38" s="1" t="s">
        <v>18</v>
      </c>
      <c r="C38" s="1" t="s">
        <v>54</v>
      </c>
      <c r="D38" s="40">
        <v>4.125</v>
      </c>
      <c r="E38" s="40">
        <v>0.625</v>
      </c>
      <c r="F38" s="40">
        <v>4.1769999999999996</v>
      </c>
      <c r="G38" s="40"/>
      <c r="H38" s="40"/>
      <c r="I38" s="40"/>
      <c r="J38" s="40">
        <v>4.0301218665618999</v>
      </c>
      <c r="K38" s="40">
        <v>1.09980485566</v>
      </c>
    </row>
    <row r="56" spans="1:11" ht="19.5">
      <c r="A56" s="167" t="s">
        <v>70</v>
      </c>
      <c r="B56" s="167"/>
      <c r="C56" s="167"/>
      <c r="D56" s="167"/>
      <c r="E56" s="167"/>
      <c r="F56" s="167"/>
      <c r="G56" s="167"/>
      <c r="H56" s="167"/>
      <c r="I56" s="167"/>
      <c r="J56" s="167"/>
      <c r="K56" s="167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</row>
    <row r="59" spans="1:11">
      <c r="A59" s="1" t="s">
        <v>97</v>
      </c>
      <c r="B59" s="1" t="s">
        <v>20</v>
      </c>
      <c r="C59" s="1" t="s">
        <v>54</v>
      </c>
      <c r="D59" s="40">
        <v>4</v>
      </c>
      <c r="E59" s="40">
        <v>1</v>
      </c>
      <c r="F59" s="40">
        <v>4.0469999999999997</v>
      </c>
      <c r="G59" s="40"/>
      <c r="H59" s="40"/>
      <c r="I59" s="40"/>
    </row>
    <row r="60" spans="1:11">
      <c r="A60" s="1" t="s">
        <v>97</v>
      </c>
      <c r="B60" s="1" t="s">
        <v>20</v>
      </c>
      <c r="C60" s="1" t="s">
        <v>55</v>
      </c>
      <c r="D60" s="40">
        <v>3.75</v>
      </c>
      <c r="E60" s="40">
        <v>1</v>
      </c>
      <c r="F60" s="40">
        <v>4.79</v>
      </c>
      <c r="G60" s="40">
        <v>6762</v>
      </c>
      <c r="H60" s="40">
        <v>200000</v>
      </c>
      <c r="I60" s="40">
        <v>3500</v>
      </c>
    </row>
    <row r="61" spans="1:11">
      <c r="A61" s="1" t="s">
        <v>97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4.1280000000000001</v>
      </c>
      <c r="G61" s="40"/>
      <c r="H61" s="40"/>
      <c r="I61" s="40"/>
    </row>
    <row r="62" spans="1:11">
      <c r="A62" s="1" t="s">
        <v>97</v>
      </c>
      <c r="B62" s="1" t="s">
        <v>20</v>
      </c>
      <c r="C62" s="1" t="s">
        <v>57</v>
      </c>
      <c r="D62" s="40">
        <v>4</v>
      </c>
      <c r="E62" s="40">
        <v>1</v>
      </c>
      <c r="F62" s="40">
        <v>4.0149999999999997</v>
      </c>
      <c r="G62" s="40"/>
      <c r="H62" s="40"/>
      <c r="I62" s="40"/>
    </row>
    <row r="63" spans="1:11">
      <c r="A63" s="1" t="s">
        <v>97</v>
      </c>
      <c r="B63" s="1" t="s">
        <v>19</v>
      </c>
      <c r="C63" s="1" t="s">
        <v>54</v>
      </c>
      <c r="D63" s="40">
        <v>3.75</v>
      </c>
      <c r="E63" s="40">
        <v>2.125</v>
      </c>
      <c r="F63" s="40">
        <v>3.9980000000000002</v>
      </c>
      <c r="G63" s="40"/>
      <c r="H63" s="40"/>
      <c r="I63" s="40"/>
    </row>
    <row r="64" spans="1:11">
      <c r="A64" s="1" t="s">
        <v>97</v>
      </c>
      <c r="B64" s="1" t="s">
        <v>19</v>
      </c>
      <c r="C64" s="1" t="s">
        <v>55</v>
      </c>
      <c r="D64" s="40">
        <v>3.375</v>
      </c>
      <c r="E64" s="40">
        <v>2.25</v>
      </c>
      <c r="F64" s="40">
        <v>4.2699999999999996</v>
      </c>
      <c r="G64" s="40"/>
      <c r="H64" s="40"/>
      <c r="I64" s="40"/>
    </row>
    <row r="65" spans="1:11">
      <c r="A65" s="1" t="s">
        <v>97</v>
      </c>
      <c r="B65" s="1" t="s">
        <v>17</v>
      </c>
      <c r="C65" s="1" t="s">
        <v>54</v>
      </c>
      <c r="D65" s="40">
        <v>3.875</v>
      </c>
      <c r="E65" s="40">
        <v>0.95799999999999996</v>
      </c>
      <c r="F65" s="40">
        <v>4.0629999999999997</v>
      </c>
      <c r="G65" s="40"/>
      <c r="H65" s="40"/>
      <c r="I65" s="40"/>
    </row>
    <row r="66" spans="1:11">
      <c r="A66" s="1" t="s">
        <v>97</v>
      </c>
      <c r="B66" s="1" t="s">
        <v>18</v>
      </c>
      <c r="C66" s="1" t="s">
        <v>54</v>
      </c>
      <c r="D66" s="40">
        <v>4.1980000000000004</v>
      </c>
      <c r="E66" s="40">
        <v>0.875</v>
      </c>
      <c r="F66" s="40">
        <v>4.1980000000000004</v>
      </c>
      <c r="G66" s="40"/>
      <c r="H66" s="40"/>
      <c r="I66" s="40"/>
    </row>
    <row r="77" spans="1:11" ht="19.5">
      <c r="A77" s="167" t="s">
        <v>90</v>
      </c>
      <c r="B77" s="167"/>
      <c r="C77" s="167"/>
      <c r="D77" s="167"/>
      <c r="E77" s="167"/>
      <c r="F77" s="167"/>
      <c r="G77" s="167"/>
      <c r="H77" s="167"/>
      <c r="I77" s="167"/>
      <c r="J77" s="167"/>
      <c r="K77" s="167"/>
    </row>
    <row r="78" spans="1:11">
      <c r="A78" s="39" t="s">
        <v>91</v>
      </c>
    </row>
    <row r="79" spans="1:11">
      <c r="B79" s="1" t="s">
        <v>92</v>
      </c>
      <c r="C79" s="1" t="s">
        <v>93</v>
      </c>
      <c r="D79" s="1" t="s">
        <v>94</v>
      </c>
      <c r="E79" s="1" t="s">
        <v>95</v>
      </c>
    </row>
    <row r="80" spans="1:11">
      <c r="A80" s="132" t="s">
        <v>86</v>
      </c>
      <c r="B80" s="40">
        <v>4.2109722530911462</v>
      </c>
      <c r="C80" s="40">
        <v>3.9717500000000001</v>
      </c>
      <c r="D80" s="40">
        <v>4.123888942161555</v>
      </c>
      <c r="E80" s="40">
        <v>3.9170666666666665</v>
      </c>
    </row>
    <row r="81" spans="1:5">
      <c r="A81" s="132" t="s">
        <v>88</v>
      </c>
      <c r="B81" s="40">
        <v>4.2092383259139474</v>
      </c>
      <c r="C81" s="40">
        <v>3.9717500000000001</v>
      </c>
      <c r="D81" s="40">
        <v>4.123888942161555</v>
      </c>
      <c r="E81" s="40">
        <v>3.9170666666666665</v>
      </c>
    </row>
    <row r="82" spans="1:5">
      <c r="A82" s="132" t="s">
        <v>89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</row>
    <row r="83" spans="1:5">
      <c r="A83" s="132" t="s">
        <v>83</v>
      </c>
      <c r="B83" s="40">
        <v>4.2793845467200686</v>
      </c>
      <c r="C83" s="40">
        <v>3.9717500000000001</v>
      </c>
      <c r="D83" s="40">
        <v>4.145604497342033</v>
      </c>
      <c r="E83" s="40">
        <v>3.9975388163708763</v>
      </c>
    </row>
    <row r="84" spans="1:5">
      <c r="A84" s="132" t="s">
        <v>84</v>
      </c>
      <c r="B84" s="40">
        <v>4.2526168084086038</v>
      </c>
      <c r="C84" s="40">
        <v>3.9717500000000001</v>
      </c>
      <c r="D84" s="40">
        <v>4.0563500000000001</v>
      </c>
      <c r="E84" s="40">
        <v>3.9543261870321942</v>
      </c>
    </row>
  </sheetData>
  <mergeCells count="4">
    <mergeCell ref="A77:K77"/>
    <mergeCell ref="A28:K28"/>
    <mergeCell ref="A1:K1"/>
    <mergeCell ref="A56:K56"/>
  </mergeCells>
  <pageMargins left="0.7" right="0.7" top="0.75" bottom="0.75" header="0.3" footer="0.3"/>
  <pageSetup orientation="portrait" horizontalDpi="300" verticalDpi="30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B1" sqref="B1:E5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Report!M12*100</f>
        <v>4.313965889771076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1.467615552964316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Report!M13*100</f>
        <v>3.9987193359155064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1.1523689991087465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Report!M14*100</f>
        <v>4.3975094107446839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1.5511590739379244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Report!M15*100</f>
        <v>4.3002725972031506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1.4539222603963904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1.2648114361650704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Report!M18*100</f>
        <v>4.0563500000000001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1.2099996631932404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Report!M20*100</f>
        <v>3.9543261870321942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1.1079758502254344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68" t="s">
        <v>44</v>
      </c>
      <c r="D3" s="168"/>
      <c r="E3" s="168" t="s">
        <v>45</v>
      </c>
      <c r="F3" s="168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4.3664099742286598E-2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1.4360929633267601E-2</v>
      </c>
      <c r="E5" s="128" t="e">
        <f t="array" ref="E5">VLOOKUP(B4&amp;B5&amp;E4,IF({1,0},OneWeekMtgRatesDataTable[TickerName]&amp;OneWeekMtgRatesDataTable[Source]&amp;OneWeekMtgRatesDataTable[SeriesType],OneWeekMtgRatesDataTable[SeriesNumValue]),2,0)/100</f>
        <v>#N/A</v>
      </c>
      <c r="F5" s="128" t="e">
        <f t="array" ref="F5">VLOOKUP($B$4&amp;$B5&amp;$F$4,IF({1,0},OneWeekMtgRatesDataTable[TickerName]&amp;OneWeekMtgRatesDataTable[Source]&amp;OneWeekMtgRatesDataTable[SeriesType],OneWeekMtgRatesDataTable[SeriesNumValue]),2,0)/100</f>
        <v>#N/A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4.0301218665618997E-2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1.09980485566E-2</v>
      </c>
      <c r="E6" s="128" t="e">
        <f t="array" ref="E6">VLOOKUP($B$4&amp;$B6&amp;$E$4,IF({1,0},OneWeekMtgRatesDataTable[TickerName]&amp;OneWeekMtgRatesDataTable[Source]&amp;OneWeekMtgRatesDataTable[SeriesType],OneWeekMtgRatesDataTable[SeriesNumValue]),2,0)/100</f>
        <v>#N/A</v>
      </c>
      <c r="F6" s="128" t="e">
        <f t="array" ref="F6">VLOOKUP($B$4&amp;$B6&amp;$F$4,IF({1,0},OneWeekMtgRatesDataTable[TickerName]&amp;OneWeekMtgRatesDataTable[Source]&amp;OneWeekMtgRatesDataTable[SeriesType],OneWeekMtgRatesDataTable[SeriesNumValue]),2,0)/100</f>
        <v>#N/A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4.3567659697841668E-2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1.4264489588822669E-2</v>
      </c>
      <c r="E7" s="128" t="e">
        <f t="array" ref="E7">VLOOKUP($B$4&amp;$B7&amp;$E$4,IF({1,0},OneWeekMtgRatesDataTable[TickerName]&amp;OneWeekMtgRatesDataTable[Source]&amp;OneWeekMtgRatesDataTable[SeriesType],OneWeekMtgRatesDataTable[SeriesNumValue]),2,0)/100</f>
        <v>#N/A</v>
      </c>
      <c r="F7" s="128" t="e">
        <f t="array" ref="F7">VLOOKUP($B$4&amp;$B7&amp;$F$4,IF({1,0},OneWeekMtgRatesDataTable[TickerName]&amp;OneWeekMtgRatesDataTable[Source]&amp;OneWeekMtgRatesDataTable[SeriesType],OneWeekMtgRatesDataTable[SeriesNumValue]),2,0)/100</f>
        <v>#N/A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4.3642403763055511E-2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1.4339233654036512E-2</v>
      </c>
      <c r="E8" s="128" t="e">
        <f t="array" ref="E8">VLOOKUP($B$4&amp;$B8&amp;$E$4,IF({1,0},OneWeekMtgRatesDataTable[TickerName]&amp;OneWeekMtgRatesDataTable[Source]&amp;OneWeekMtgRatesDataTable[SeriesType],OneWeekMtgRatesDataTable[SeriesNumValue]),2,0)/100</f>
        <v>#N/A</v>
      </c>
      <c r="F8" s="128" t="e">
        <f t="array" ref="F8">VLOOKUP($B$4&amp;$B8&amp;$F$4,IF({1,0},OneWeekMtgRatesDataTable[TickerName]&amp;OneWeekMtgRatesDataTable[Source]&amp;OneWeekMtgRatesDataTable[SeriesType],OneWeekMtgRatesDataTable[SeriesNumValue]),2,0)/100</f>
        <v>#N/A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4.1456044973420328E-2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1.2152874864401329E-2</v>
      </c>
      <c r="E10" s="128" t="e">
        <f t="array" ref="E10">VLOOKUP($B$9&amp;$B10&amp;$E$4,IF({1,0},OneWeekMtgRatesDataTable[TickerName]&amp;OneWeekMtgRatesDataTable[Source]&amp;OneWeekMtgRatesDataTable[SeriesType],OneWeekMtgRatesDataTable[SeriesNumValue]),2,0)/100</f>
        <v>#N/A</v>
      </c>
      <c r="F10" s="128" t="e">
        <f t="array" ref="F10">VLOOKUP($B$9&amp;$B10&amp;$F$4,IF({1,0},OneWeekMtgRatesDataTable[TickerName]&amp;OneWeekMtgRatesDataTable[Source]&amp;OneWeekMtgRatesDataTable[SeriesType],OneWeekMtgRatesDataTable[SeriesNumValue]),2,0)/100</f>
        <v>#N/A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3.9975388163708762E-2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1.0672218054689764E-2</v>
      </c>
      <c r="E12" s="128" t="e">
        <f t="array" ref="E12">VLOOKUP($B$11&amp;$B12&amp;$E$4,IF({1,0},OneWeekMtgRatesDataTable[TickerName]&amp;OneWeekMtgRatesDataTable[Source]&amp;OneWeekMtgRatesDataTable[SeriesType],OneWeekMtgRatesDataTable[SeriesNumValue]),2,0)/100</f>
        <v>#N/A</v>
      </c>
      <c r="F12" s="128" t="e">
        <f t="array" ref="F12">VLOOKUP($B$11&amp;$B12&amp;$F$4,IF({1,0},OneWeekMtgRatesDataTable[TickerName]&amp;OneWeekMtgRatesDataTable[Source]&amp;OneWeekMtgRatesDataTable[SeriesType],OneWeekMtgRatesDataTable[SeriesNumValue]),2,0)/100</f>
        <v>#N/A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1.1865322640026403E-2</v>
      </c>
      <c r="E14" s="128" t="e">
        <f t="array" ref="E14">VLOOKUP($B$13&amp;$B14&amp;$E$4,IF({1,0},OneWeekMtgRatesDataTable[TickerName]&amp;OneWeekMtgRatesDataTable[Source]&amp;OneWeekMtgRatesDataTable[SeriesType],OneWeekMtgRatesDataTable[SeriesNumValue]),2,0)/100</f>
        <v>#N/A</v>
      </c>
      <c r="F14" s="128" t="e">
        <f t="array" ref="F14">VLOOKUP($B$13&amp;$B14&amp;$F$4,IF({1,0},OneWeekMtgRatesDataTable[TickerName]&amp;OneWeekMtgRatesDataTable[Source]&amp;OneWeekMtgRatesDataTable[SeriesType],OneWeekMtgRatesDataTable[SeriesNumValue]),2,0)/100</f>
        <v>#N/A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69" t="s">
        <v>3</v>
      </c>
      <c r="C2" s="169"/>
      <c r="D2" s="4"/>
      <c r="E2" s="169" t="s">
        <v>5</v>
      </c>
      <c r="F2" s="169"/>
      <c r="H2" s="169" t="s">
        <v>12</v>
      </c>
      <c r="I2" s="169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2.2558635590843035E-2</v>
      </c>
      <c r="H4" s="8" t="s">
        <v>11</v>
      </c>
      <c r="I4" s="9">
        <f>C4-(1%-F7)/4</f>
        <v>4.3139658897710757E-2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4.1900000000000007E-2</v>
      </c>
      <c r="D5" s="5"/>
      <c r="E5" s="6" t="s">
        <v>14</v>
      </c>
      <c r="F5" s="17">
        <f>C8</f>
        <v>9.5399999999999999E-3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4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1.3018635590843035E-2</v>
      </c>
      <c r="H6" s="2" t="s">
        <v>23</v>
      </c>
      <c r="I6" s="13">
        <f>C4-(0.01-(1-((C4/12*(1+C4/12)^360)/((1+C4/12)^360-1)*((1+C5/12)^360-1)/(C5/12*(1+C5/12)^360))))/4</f>
        <v>4.3139658897710757E-2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2.2558635590843035E-2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9.5399999999999999E-3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69" t="s">
        <v>3</v>
      </c>
      <c r="C2" s="169"/>
      <c r="D2" s="4"/>
      <c r="E2" s="169" t="s">
        <v>5</v>
      </c>
      <c r="F2" s="169"/>
      <c r="H2" s="169" t="s">
        <v>12</v>
      </c>
      <c r="I2" s="169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9.9487734366202618E-3</v>
      </c>
      <c r="H4" s="8" t="s">
        <v>11</v>
      </c>
      <c r="I4" s="9">
        <f>C4-(1%-F7)/4</f>
        <v>3.9987193359155064E-2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4.0830000000000005E-2</v>
      </c>
      <c r="D5" s="5"/>
      <c r="E5" s="6" t="s">
        <v>14</v>
      </c>
      <c r="F5" s="17">
        <f>C8</f>
        <v>0.01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-5.1226563379738396E-5</v>
      </c>
      <c r="H6" s="2" t="s">
        <v>23</v>
      </c>
      <c r="I6" s="13">
        <f>C4-(0.01-(1-((C4/12*(1+C4/12)^360)/((1+C4/12)^360-1)*((1+C5/12)^360-1)/(C5/12*(1+C5/12)^360))))/4</f>
        <v>3.9987193359155064E-2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9.9487734366202618E-3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0.01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69" t="s">
        <v>3</v>
      </c>
      <c r="C2" s="169"/>
      <c r="D2" s="4"/>
      <c r="E2" s="169" t="s">
        <v>5</v>
      </c>
      <c r="F2" s="169"/>
      <c r="H2" s="169" t="s">
        <v>12</v>
      </c>
      <c r="I2" s="169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3.090037642978738E-2</v>
      </c>
      <c r="H4" s="8" t="s">
        <v>11</v>
      </c>
      <c r="I4" s="9">
        <f>C4-(1%-F7)/4</f>
        <v>4.3975094107446842E-2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4.1349999999999998E-2</v>
      </c>
      <c r="D5" s="5"/>
      <c r="E5" s="6" t="s">
        <v>14</v>
      </c>
      <c r="F5" s="17">
        <f>C8</f>
        <v>2.2499999999999999E-2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8.4003764297873804E-3</v>
      </c>
      <c r="H6" s="2" t="s">
        <v>23</v>
      </c>
      <c r="I6" s="13">
        <f>C4-(0.01-(1-((C4/12*(1+C4/12)^360)/((1+C4/12)^360-1)*((1+C5/12)^360-1)/(C5/12*(1+C5/12)^360))))/4</f>
        <v>4.3975094107446842E-2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3.090037642978738E-2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2.2499999999999999E-2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69" t="s">
        <v>3</v>
      </c>
      <c r="C2" s="169"/>
      <c r="D2" s="4"/>
      <c r="E2" s="169" t="s">
        <v>5</v>
      </c>
      <c r="F2" s="169"/>
      <c r="G2" s="2"/>
      <c r="H2" s="169" t="s">
        <v>12</v>
      </c>
      <c r="I2" s="169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199115.81922237479</v>
      </c>
      <c r="G4" s="2"/>
      <c r="H4" s="8" t="s">
        <v>11</v>
      </c>
      <c r="I4" s="9">
        <f>CIR-(1%-F9)/4</f>
        <v>4.3002725972031502E-2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4.1619999999999997E-2</v>
      </c>
      <c r="D5" s="5"/>
      <c r="E5" s="10" t="s">
        <v>8</v>
      </c>
      <c r="F5" s="11">
        <f>1-F4/CP</f>
        <v>4.4209038881261042E-3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4.4209038881259932E-3</v>
      </c>
      <c r="G6" s="2"/>
      <c r="H6" s="2" t="s">
        <v>23</v>
      </c>
      <c r="I6" s="13">
        <f>CIR-(0.01-(1-((CIR/12*(1+CIR/12)^360)/((1+CIR/12)^360-1)*((1+CAPR/12)^360-1)/(CAPR/12*(1+CAPR/12)^360)) + C7/CP))/4</f>
        <v>4.3002725972031502E-2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2518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1.259E-2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1.7010903888125994E-2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69" t="s">
        <v>3</v>
      </c>
      <c r="C2" s="169"/>
      <c r="D2" s="20"/>
      <c r="E2" s="169" t="s">
        <v>5</v>
      </c>
      <c r="F2" s="169"/>
      <c r="H2" s="169" t="s">
        <v>12</v>
      </c>
      <c r="I2" s="169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4.2500000000000003E-2</v>
      </c>
      <c r="D4" s="5"/>
      <c r="E4" s="5" t="s">
        <v>8</v>
      </c>
      <c r="F4" s="13">
        <f>1-((C4/12*(1+C4/12)^360)/((1+C4/12)^360-1)*((1+C5/12)^360-1)/(C5/12*(1+C5/12)^360))</f>
        <v>0</v>
      </c>
      <c r="H4" s="8" t="s">
        <v>11</v>
      </c>
      <c r="I4" s="9">
        <f>C4-(1%-F7)/4</f>
        <v>4.0563500000000002E-2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4.2500000000000003E-2</v>
      </c>
      <c r="D5" s="5"/>
      <c r="E5" s="6" t="s">
        <v>14</v>
      </c>
      <c r="F5" s="17">
        <f>F4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2.2539999999999999E-3</v>
      </c>
      <c r="H6" s="2" t="s">
        <v>23</v>
      </c>
      <c r="I6" s="13">
        <f>C4-(0.01-(1-((C4/12*(1+C4/12)^360)/((1+C4/12)^360-1)*((1+C5/12)^360-1)/(C5/12*(1+C5/12)^360)) + C7/C6))/4</f>
        <v>4.056350000000003E-2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1127</v>
      </c>
      <c r="D7" s="12"/>
      <c r="E7" s="2" t="s">
        <v>10</v>
      </c>
      <c r="F7" s="16">
        <f>F5+F6</f>
        <v>2.2539999999999999E-3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69" t="s">
        <v>3</v>
      </c>
      <c r="C2" s="169"/>
      <c r="D2" s="20"/>
      <c r="E2" s="169" t="s">
        <v>5</v>
      </c>
      <c r="F2" s="169"/>
      <c r="H2" s="169" t="s">
        <v>12</v>
      </c>
      <c r="I2" s="169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2.3971414795442847E-4</v>
      </c>
      <c r="H4" s="8" t="s">
        <v>11</v>
      </c>
      <c r="I4" s="9">
        <f>C4-(1%-F7)/4</f>
        <v>3.9543261870321943E-2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4.1270000000000001E-2</v>
      </c>
      <c r="D5" s="5"/>
      <c r="E5" s="6" t="s">
        <v>14</v>
      </c>
      <c r="F5" s="17">
        <f>F4</f>
        <v>2.3971414795442847E-4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2.9333333333333334E-3</v>
      </c>
      <c r="H6" s="2" t="s">
        <v>23</v>
      </c>
      <c r="I6" s="13">
        <f>C4-(0.01-(1-((C4/12*(1+C4/12)^360)/((1+C4/12)^360-1)*((1+C5/12)^360-1)/(C5/12*(1+C5/12)^360)) + C7/C6))/4</f>
        <v>3.9543261870321943E-2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2200</v>
      </c>
      <c r="D7" s="12"/>
      <c r="E7" s="2" t="s">
        <v>10</v>
      </c>
      <c r="F7" s="16">
        <f>F5+F6</f>
        <v>3.1730474812877618E-3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69" t="s">
        <v>3</v>
      </c>
      <c r="C2" s="169"/>
      <c r="D2" s="21"/>
      <c r="E2" s="169" t="s">
        <v>5</v>
      </c>
      <c r="F2" s="169"/>
      <c r="H2" s="169" t="s">
        <v>12</v>
      </c>
      <c r="I2" s="169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C5/C6</f>
        <v>2.4584999999999999E-7</v>
      </c>
      <c r="H4" s="8" t="s">
        <v>11</v>
      </c>
      <c r="I4" s="9">
        <f>C4-(1%-F7)/4</f>
        <v>4.4728688537499998E-2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4.9169999999999998E-2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3.3914754150000004E-2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6783</v>
      </c>
      <c r="D7" s="12"/>
      <c r="E7" s="2" t="s">
        <v>10</v>
      </c>
      <c r="F7" s="16">
        <f>F5+F6</f>
        <v>3.3914754150000004E-2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3.3915000000000001E-2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2015-03-11T14:17:08Z</cp:lastPrinted>
  <dcterms:created xsi:type="dcterms:W3CDTF">2015-02-26T13:52:04Z</dcterms:created>
  <dcterms:modified xsi:type="dcterms:W3CDTF">2015-03-11T15:21:13Z</dcterms:modified>
</cp:coreProperties>
</file>