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40" windowWidth="14355" windowHeight="7620" firstSheet="1" activeTab="3"/>
  </bookViews>
  <sheets>
    <sheet name="Bank of America - Conventional" sheetId="1" r:id="rId1"/>
    <sheet name="Chase - Conventional" sheetId="4" r:id="rId2"/>
    <sheet name="Wells - Conventional" sheetId="5" r:id="rId3"/>
    <sheet name="Quicken - Conventional" sheetId="6" r:id="rId4"/>
    <sheet name="Sheet2" sheetId="2" r:id="rId5"/>
    <sheet name="Sheet3" sheetId="3" r:id="rId6"/>
  </sheets>
  <definedNames>
    <definedName name="solver_adj" localSheetId="0" hidden="1">'Bank of America - Conventional'!$F$6</definedName>
    <definedName name="solver_adj" localSheetId="1" hidden="1">'Chase - Conventional'!$F$6</definedName>
    <definedName name="solver_adj" localSheetId="3" hidden="1">'Quicken - Conventional'!$F$6</definedName>
    <definedName name="solver_adj" localSheetId="2" hidden="1">'Wells - Conventional'!$F$6</definedName>
    <definedName name="solver_cvg" localSheetId="0" hidden="1">0.0001</definedName>
    <definedName name="solver_cvg" localSheetId="1" hidden="1">0.0001</definedName>
    <definedName name="solver_cvg" localSheetId="3" hidden="1">0.0001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3" hidden="1">1</definedName>
    <definedName name="solver_drv" localSheetId="2" hidden="1">1</definedName>
    <definedName name="solver_eng" localSheetId="0" hidden="1">1</definedName>
    <definedName name="solver_eng" localSheetId="1" hidden="1">1</definedName>
    <definedName name="solver_eng" localSheetId="3" hidden="1">1</definedName>
    <definedName name="solver_eng" localSheetId="2" hidden="1">1</definedName>
    <definedName name="solver_est" localSheetId="0" hidden="1">1</definedName>
    <definedName name="solver_est" localSheetId="1" hidden="1">1</definedName>
    <definedName name="solver_est" localSheetId="3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3" hidden="1">2147483647</definedName>
    <definedName name="solver_itr" localSheetId="2" hidden="1">2147483647</definedName>
    <definedName name="solver_mip" localSheetId="0" hidden="1">2147483647</definedName>
    <definedName name="solver_mip" localSheetId="1" hidden="1">2147483647</definedName>
    <definedName name="solver_mip" localSheetId="3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3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3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3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3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3" hidden="1">2147483647</definedName>
    <definedName name="solver_nod" localSheetId="2" hidden="1">2147483647</definedName>
    <definedName name="solver_num" localSheetId="0" hidden="1">0</definedName>
    <definedName name="solver_num" localSheetId="1" hidden="1">0</definedName>
    <definedName name="solver_num" localSheetId="3" hidden="1">0</definedName>
    <definedName name="solver_num" localSheetId="2" hidden="1">0</definedName>
    <definedName name="solver_nwt" localSheetId="0" hidden="1">1</definedName>
    <definedName name="solver_nwt" localSheetId="1" hidden="1">1</definedName>
    <definedName name="solver_nwt" localSheetId="3" hidden="1">1</definedName>
    <definedName name="solver_nwt" localSheetId="2" hidden="1">1</definedName>
    <definedName name="solver_opt" localSheetId="0" hidden="1">'Bank of America - Conventional'!$E$11</definedName>
    <definedName name="solver_opt" localSheetId="1" hidden="1">'Chase - Conventional'!$E$11</definedName>
    <definedName name="solver_opt" localSheetId="3" hidden="1">'Quicken - Conventional'!$E$11</definedName>
    <definedName name="solver_opt" localSheetId="2" hidden="1">'Wells - Conventional'!$E$11</definedName>
    <definedName name="solver_pre" localSheetId="0" hidden="1">0.000001</definedName>
    <definedName name="solver_pre" localSheetId="1" hidden="1">0.000001</definedName>
    <definedName name="solver_pre" localSheetId="3" hidden="1">0.000001</definedName>
    <definedName name="solver_pre" localSheetId="2" hidden="1">0.000001</definedName>
    <definedName name="solver_rbv" localSheetId="0" hidden="1">1</definedName>
    <definedName name="solver_rbv" localSheetId="1" hidden="1">1</definedName>
    <definedName name="solver_rbv" localSheetId="3" hidden="1">1</definedName>
    <definedName name="solver_rbv" localSheetId="2" hidden="1">1</definedName>
    <definedName name="solver_rlx" localSheetId="0" hidden="1">2</definedName>
    <definedName name="solver_rlx" localSheetId="1" hidden="1">2</definedName>
    <definedName name="solver_rlx" localSheetId="3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3" hidden="1">0</definedName>
    <definedName name="solver_rsd" localSheetId="2" hidden="1">0</definedName>
    <definedName name="solver_scl" localSheetId="0" hidden="1">1</definedName>
    <definedName name="solver_scl" localSheetId="1" hidden="1">1</definedName>
    <definedName name="solver_scl" localSheetId="3" hidden="1">1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3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3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3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3" hidden="1">0.01</definedName>
    <definedName name="solver_tol" localSheetId="2" hidden="1">0.01</definedName>
    <definedName name="solver_typ" localSheetId="0" hidden="1">3</definedName>
    <definedName name="solver_typ" localSheetId="1" hidden="1">3</definedName>
    <definedName name="solver_typ" localSheetId="3" hidden="1">3</definedName>
    <definedName name="solver_typ" localSheetId="2" hidden="1">3</definedName>
    <definedName name="solver_val" localSheetId="0" hidden="1">940.37</definedName>
    <definedName name="solver_val" localSheetId="1" hidden="1">1042</definedName>
    <definedName name="solver_val" localSheetId="3" hidden="1">926.23</definedName>
    <definedName name="solver_val" localSheetId="2" hidden="1">954.83</definedName>
    <definedName name="solver_ver" localSheetId="0" hidden="1">3</definedName>
    <definedName name="solver_ver" localSheetId="1" hidden="1">3</definedName>
    <definedName name="solver_ver" localSheetId="3" hidden="1">3</definedName>
    <definedName name="solver_ver" localSheetId="2" hidden="1">3</definedName>
  </definedNames>
  <calcPr calcId="145621"/>
</workbook>
</file>

<file path=xl/calcChain.xml><?xml version="1.0" encoding="utf-8"?>
<calcChain xmlns="http://schemas.openxmlformats.org/spreadsheetml/2006/main">
  <c r="I9" i="6" l="1"/>
  <c r="I9" i="5"/>
  <c r="I9" i="4"/>
  <c r="I9" i="1"/>
  <c r="F8" i="6"/>
  <c r="I5" i="6"/>
  <c r="I6" i="6" s="1"/>
  <c r="I4" i="6"/>
  <c r="I3" i="6"/>
  <c r="I4" i="5"/>
  <c r="I5" i="5"/>
  <c r="F8" i="5"/>
  <c r="I3" i="5"/>
  <c r="F8" i="4"/>
  <c r="I5" i="4"/>
  <c r="I6" i="4" s="1"/>
  <c r="I4" i="4"/>
  <c r="I3" i="4"/>
  <c r="I8" i="4" s="1"/>
  <c r="I8" i="1"/>
  <c r="I6" i="1"/>
  <c r="I5" i="1"/>
  <c r="I4" i="1"/>
  <c r="I3" i="1"/>
  <c r="F8" i="1"/>
  <c r="C6" i="6"/>
  <c r="F4" i="6"/>
  <c r="F5" i="6" s="1"/>
  <c r="C4" i="6"/>
  <c r="C5" i="6" s="1"/>
  <c r="B11" i="6" s="1"/>
  <c r="F7" i="6"/>
  <c r="C7" i="6"/>
  <c r="C3" i="6"/>
  <c r="F3" i="6" s="1"/>
  <c r="C8" i="5"/>
  <c r="F4" i="5"/>
  <c r="C4" i="5"/>
  <c r="C6" i="4"/>
  <c r="F4" i="4"/>
  <c r="F5" i="4" s="1"/>
  <c r="C4" i="4"/>
  <c r="C5" i="4" s="1"/>
  <c r="C3" i="4"/>
  <c r="C3" i="5"/>
  <c r="F3" i="5" s="1"/>
  <c r="F7" i="5"/>
  <c r="C7" i="5"/>
  <c r="F5" i="5"/>
  <c r="C5" i="5"/>
  <c r="B11" i="5" s="1"/>
  <c r="F3" i="4"/>
  <c r="C6" i="1"/>
  <c r="F7" i="4"/>
  <c r="C7" i="4"/>
  <c r="F3" i="1"/>
  <c r="F4" i="1"/>
  <c r="F5" i="1" s="1"/>
  <c r="F7" i="1"/>
  <c r="I8" i="6" l="1"/>
  <c r="I6" i="5"/>
  <c r="I8" i="5" s="1"/>
  <c r="E11" i="6"/>
  <c r="E11" i="5"/>
  <c r="E11" i="4"/>
  <c r="B11" i="4"/>
  <c r="C7" i="1"/>
  <c r="C5" i="1"/>
  <c r="B11" i="1" s="1"/>
  <c r="C4" i="1"/>
  <c r="C3" i="1"/>
  <c r="E11" i="1"/>
</calcChain>
</file>

<file path=xl/sharedStrings.xml><?xml version="1.0" encoding="utf-8"?>
<sst xmlns="http://schemas.openxmlformats.org/spreadsheetml/2006/main" count="108" uniqueCount="26">
  <si>
    <t>Loan Amount</t>
  </si>
  <si>
    <t>Points</t>
  </si>
  <si>
    <t>Standard Calculation</t>
  </si>
  <si>
    <t>Annual Interest Rate</t>
  </si>
  <si>
    <t>Periodic Interest Rate</t>
  </si>
  <si>
    <t>Term (months)</t>
  </si>
  <si>
    <t>Monthly Payment</t>
  </si>
  <si>
    <t>APR Calculation</t>
  </si>
  <si>
    <t>Notes</t>
  </si>
  <si>
    <t>Points shown correspond to discount points</t>
  </si>
  <si>
    <t>APR calculation includes closing costs + discount points</t>
  </si>
  <si>
    <t>APR calculation includes points (origination or discount not specified)</t>
  </si>
  <si>
    <t>n/a</t>
  </si>
  <si>
    <t>Closing costs</t>
  </si>
  <si>
    <t>Points not shown</t>
  </si>
  <si>
    <t>APR calculation includes points (does not specify origination or discount)</t>
  </si>
  <si>
    <t>Points not specified as origination or discount</t>
  </si>
  <si>
    <t>Points not specified as discount or origination</t>
  </si>
  <si>
    <t>No discussion of what's included in APR</t>
  </si>
  <si>
    <t>No-point Rate</t>
  </si>
  <si>
    <t>Rate Calculation</t>
  </si>
  <si>
    <t>Base Rate</t>
  </si>
  <si>
    <t>Discount Points</t>
  </si>
  <si>
    <t>Origination Points</t>
  </si>
  <si>
    <t>Total Points</t>
  </si>
  <si>
    <t>1-point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</si>
</sst>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164" formatCode="0.000%"/>
    <numFmt numFmtId="165" formatCode="0.0%"/>
    <numFmt numFmtId="168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164" fontId="0" fillId="0" borderId="0" xfId="2" applyNumberFormat="1" applyFont="1"/>
    <xf numFmtId="44" fontId="0" fillId="0" borderId="0" xfId="1" applyFont="1"/>
    <xf numFmtId="44" fontId="0" fillId="0" borderId="0" xfId="1" applyFont="1" applyAlignment="1">
      <alignment horizontal="left" indent="1"/>
    </xf>
    <xf numFmtId="165" fontId="0" fillId="0" borderId="0" xfId="2" applyNumberFormat="1" applyFont="1"/>
    <xf numFmtId="164" fontId="0" fillId="0" borderId="0" xfId="2" applyNumberFormat="1" applyFon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5" fontId="0" fillId="0" borderId="0" xfId="2" applyNumberFormat="1" applyFont="1" applyAlignment="1">
      <alignment horizontal="right"/>
    </xf>
    <xf numFmtId="168" fontId="0" fillId="0" borderId="0" xfId="1" applyNumberFormat="1" applyFont="1"/>
    <xf numFmtId="0" fontId="0" fillId="0" borderId="0" xfId="0" applyAlignment="1">
      <alignment horizontal="right"/>
    </xf>
    <xf numFmtId="0" fontId="3" fillId="0" borderId="0" xfId="0" applyFont="1"/>
    <xf numFmtId="168" fontId="0" fillId="0" borderId="0" xfId="1" applyNumberFormat="1" applyFont="1" applyAlignment="1">
      <alignment horizontal="right"/>
    </xf>
    <xf numFmtId="44" fontId="0" fillId="0" borderId="0" xfId="1" applyFont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10" fontId="2" fillId="0" borderId="0" xfId="2" applyNumberFormat="1" applyFont="1" applyAlignment="1">
      <alignment horizontal="left"/>
    </xf>
    <xf numFmtId="0" fontId="2" fillId="0" borderId="0" xfId="0" applyFont="1" applyAlignment="1"/>
    <xf numFmtId="0" fontId="0" fillId="0" borderId="0" xfId="0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2" fillId="0" borderId="0" xfId="0" applyNumberFormat="1" applyFont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6"/>
  <sheetViews>
    <sheetView workbookViewId="0">
      <selection activeCell="C25" sqref="C25"/>
    </sheetView>
  </sheetViews>
  <sheetFormatPr defaultRowHeight="15" x14ac:dyDescent="0.25"/>
  <cols>
    <col min="2" max="2" width="20.42578125" customWidth="1"/>
    <col min="3" max="3" width="14" bestFit="1" customWidth="1"/>
    <col min="4" max="4" width="2" customWidth="1"/>
    <col min="5" max="5" width="20.42578125" customWidth="1"/>
    <col min="6" max="6" width="20.42578125" bestFit="1" customWidth="1"/>
    <col min="7" max="7" width="2" customWidth="1"/>
    <col min="8" max="8" width="20.85546875" customWidth="1"/>
    <col min="9" max="9" width="13" customWidth="1"/>
  </cols>
  <sheetData>
    <row r="2" spans="2:9" x14ac:dyDescent="0.25">
      <c r="B2" s="7" t="s">
        <v>2</v>
      </c>
      <c r="C2" s="7"/>
      <c r="E2" s="7" t="s">
        <v>7</v>
      </c>
      <c r="F2" s="7"/>
      <c r="H2" s="7" t="s">
        <v>20</v>
      </c>
      <c r="I2" s="6"/>
    </row>
    <row r="3" spans="2:9" x14ac:dyDescent="0.25">
      <c r="B3" t="s">
        <v>0</v>
      </c>
      <c r="C3" s="3">
        <f>200000</f>
        <v>200000</v>
      </c>
      <c r="E3" t="s">
        <v>0</v>
      </c>
      <c r="F3" s="3">
        <f>$C$3-($C$3*F6)</f>
        <v>195928.60921222257</v>
      </c>
      <c r="H3" s="16" t="s">
        <v>21</v>
      </c>
      <c r="I3" s="17">
        <f>$C$4</f>
        <v>3.875E-2</v>
      </c>
    </row>
    <row r="4" spans="2:9" x14ac:dyDescent="0.25">
      <c r="B4" t="s">
        <v>3</v>
      </c>
      <c r="C4" s="1">
        <f>3.875%</f>
        <v>3.875E-2</v>
      </c>
      <c r="E4" t="s">
        <v>3</v>
      </c>
      <c r="F4" s="1">
        <f>4.044%</f>
        <v>4.0439999999999997E-2</v>
      </c>
      <c r="H4" s="11" t="s">
        <v>22</v>
      </c>
      <c r="I4" s="18">
        <f>C6</f>
        <v>8.9300000000000004E-3</v>
      </c>
    </row>
    <row r="5" spans="2:9" x14ac:dyDescent="0.25">
      <c r="B5" t="s">
        <v>4</v>
      </c>
      <c r="C5" s="5">
        <f>C4/12</f>
        <v>3.2291666666666666E-3</v>
      </c>
      <c r="E5" t="s">
        <v>4</v>
      </c>
      <c r="F5" s="5">
        <f>F4/12</f>
        <v>3.3699999999999997E-3</v>
      </c>
      <c r="H5" s="11" t="s">
        <v>23</v>
      </c>
      <c r="I5" s="19">
        <f>F8</f>
        <v>1.1426953938887159E-2</v>
      </c>
    </row>
    <row r="6" spans="2:9" x14ac:dyDescent="0.25">
      <c r="B6" t="s">
        <v>1</v>
      </c>
      <c r="C6" s="1">
        <f>0.893%</f>
        <v>8.9300000000000004E-3</v>
      </c>
      <c r="E6" t="s">
        <v>1</v>
      </c>
      <c r="F6" s="4">
        <v>2.035695393888716E-2</v>
      </c>
      <c r="H6" s="8" t="s">
        <v>24</v>
      </c>
      <c r="I6" s="17">
        <f>I4+I5</f>
        <v>2.035695393888716E-2</v>
      </c>
    </row>
    <row r="7" spans="2:9" x14ac:dyDescent="0.25">
      <c r="B7" t="s">
        <v>5</v>
      </c>
      <c r="C7">
        <f>360</f>
        <v>360</v>
      </c>
      <c r="E7" t="s">
        <v>5</v>
      </c>
      <c r="F7">
        <f>360</f>
        <v>360</v>
      </c>
    </row>
    <row r="8" spans="2:9" x14ac:dyDescent="0.25">
      <c r="B8" t="s">
        <v>13</v>
      </c>
      <c r="C8" s="11" t="s">
        <v>12</v>
      </c>
      <c r="E8" t="s">
        <v>13</v>
      </c>
      <c r="F8" s="15">
        <f>F6-C6</f>
        <v>1.1426953938887159E-2</v>
      </c>
      <c r="H8" s="8" t="s">
        <v>19</v>
      </c>
      <c r="I8" s="20">
        <f>I3+(I6*0.25)</f>
        <v>4.3839238484721793E-2</v>
      </c>
    </row>
    <row r="9" spans="2:9" x14ac:dyDescent="0.25">
      <c r="H9" s="8" t="s">
        <v>25</v>
      </c>
      <c r="I9" s="25">
        <f>I8-0.25%</f>
        <v>4.1339238484721791E-2</v>
      </c>
    </row>
    <row r="10" spans="2:9" x14ac:dyDescent="0.25">
      <c r="B10" t="s">
        <v>6</v>
      </c>
      <c r="E10" t="s">
        <v>6</v>
      </c>
    </row>
    <row r="11" spans="2:9" x14ac:dyDescent="0.25">
      <c r="B11" s="2">
        <f>(C5*(1+C5)^(C7)*C3)/((1+C5)^C7-1)</f>
        <v>940.47416773268344</v>
      </c>
      <c r="E11" s="2">
        <f>(F5*(1+F5)^(F7)*F3)/((1+F5)^F7-1)</f>
        <v>940.37000000000091</v>
      </c>
    </row>
    <row r="14" spans="2:9" x14ac:dyDescent="0.25">
      <c r="B14" s="8" t="s">
        <v>8</v>
      </c>
    </row>
    <row r="15" spans="2:9" x14ac:dyDescent="0.25">
      <c r="B15" s="12" t="s">
        <v>9</v>
      </c>
      <c r="C15" s="12"/>
      <c r="D15" s="12"/>
      <c r="E15" s="12"/>
      <c r="G15" s="12"/>
    </row>
    <row r="16" spans="2:9" x14ac:dyDescent="0.25">
      <c r="B16" s="12" t="s">
        <v>10</v>
      </c>
    </row>
  </sheetData>
  <mergeCells count="3">
    <mergeCell ref="B2:C2"/>
    <mergeCell ref="E2:F2"/>
    <mergeCell ref="H2:I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6"/>
  <sheetViews>
    <sheetView workbookViewId="0">
      <selection activeCell="H9" sqref="H9:I9"/>
    </sheetView>
  </sheetViews>
  <sheetFormatPr defaultRowHeight="15" x14ac:dyDescent="0.25"/>
  <cols>
    <col min="2" max="2" width="20.42578125" customWidth="1"/>
    <col min="3" max="3" width="14" bestFit="1" customWidth="1"/>
    <col min="4" max="4" width="2" customWidth="1"/>
    <col min="5" max="5" width="20.42578125" customWidth="1"/>
    <col min="6" max="6" width="14" bestFit="1" customWidth="1"/>
    <col min="7" max="7" width="2" customWidth="1"/>
    <col min="8" max="8" width="19.7109375" customWidth="1"/>
  </cols>
  <sheetData>
    <row r="2" spans="2:9" x14ac:dyDescent="0.25">
      <c r="B2" s="7" t="s">
        <v>2</v>
      </c>
      <c r="C2" s="7"/>
      <c r="E2" s="7" t="s">
        <v>7</v>
      </c>
      <c r="F2" s="7"/>
      <c r="H2" s="7" t="s">
        <v>20</v>
      </c>
      <c r="I2" s="6"/>
    </row>
    <row r="3" spans="2:9" x14ac:dyDescent="0.25">
      <c r="B3" t="s">
        <v>0</v>
      </c>
      <c r="C3" s="3">
        <f>215000</f>
        <v>215000</v>
      </c>
      <c r="E3" t="s">
        <v>0</v>
      </c>
      <c r="F3" s="3">
        <f>$C$3-($C$3*F6)</f>
        <v>212851.74770910939</v>
      </c>
      <c r="H3" s="16" t="s">
        <v>21</v>
      </c>
      <c r="I3" s="17">
        <f>$C$4</f>
        <v>4.1250000000000002E-2</v>
      </c>
    </row>
    <row r="4" spans="2:9" x14ac:dyDescent="0.25">
      <c r="B4" t="s">
        <v>3</v>
      </c>
      <c r="C4" s="1">
        <f>4.125%</f>
        <v>4.1250000000000002E-2</v>
      </c>
      <c r="E4" t="s">
        <v>3</v>
      </c>
      <c r="F4" s="1">
        <f>4.209%</f>
        <v>4.2089999999999995E-2</v>
      </c>
      <c r="H4" s="11" t="s">
        <v>22</v>
      </c>
      <c r="I4" s="18">
        <f>C6</f>
        <v>0.01</v>
      </c>
    </row>
    <row r="5" spans="2:9" x14ac:dyDescent="0.25">
      <c r="B5" t="s">
        <v>4</v>
      </c>
      <c r="C5" s="5">
        <f>C4/12</f>
        <v>3.4375E-3</v>
      </c>
      <c r="E5" t="s">
        <v>4</v>
      </c>
      <c r="F5" s="5">
        <f>F4/12</f>
        <v>3.5074999999999998E-3</v>
      </c>
      <c r="H5" s="11" t="s">
        <v>23</v>
      </c>
      <c r="I5" s="19">
        <f>F8</f>
        <v>-8.1288795785502271E-6</v>
      </c>
    </row>
    <row r="6" spans="2:9" x14ac:dyDescent="0.25">
      <c r="B6" t="s">
        <v>1</v>
      </c>
      <c r="C6" s="9">
        <f>1%</f>
        <v>0.01</v>
      </c>
      <c r="E6" t="s">
        <v>1</v>
      </c>
      <c r="F6" s="4">
        <v>9.99187112042145E-3</v>
      </c>
      <c r="H6" s="8" t="s">
        <v>24</v>
      </c>
      <c r="I6" s="17">
        <f>I4+I5</f>
        <v>9.99187112042145E-3</v>
      </c>
    </row>
    <row r="7" spans="2:9" x14ac:dyDescent="0.25">
      <c r="B7" t="s">
        <v>5</v>
      </c>
      <c r="C7">
        <f>360</f>
        <v>360</v>
      </c>
      <c r="E7" t="s">
        <v>5</v>
      </c>
      <c r="F7">
        <f>360</f>
        <v>360</v>
      </c>
    </row>
    <row r="8" spans="2:9" x14ac:dyDescent="0.25">
      <c r="B8" t="s">
        <v>13</v>
      </c>
      <c r="C8" s="13" t="s">
        <v>12</v>
      </c>
      <c r="E8" t="s">
        <v>13</v>
      </c>
      <c r="F8" s="15">
        <f>F6-C6</f>
        <v>-8.1288795785502271E-6</v>
      </c>
      <c r="H8" s="8" t="s">
        <v>19</v>
      </c>
      <c r="I8" s="20">
        <f>I3+(I6*0.25)</f>
        <v>4.3747967780105368E-2</v>
      </c>
    </row>
    <row r="9" spans="2:9" x14ac:dyDescent="0.25">
      <c r="C9" s="10"/>
      <c r="H9" s="8" t="s">
        <v>25</v>
      </c>
      <c r="I9" s="25">
        <f>I8-0.25%</f>
        <v>4.1247967780105366E-2</v>
      </c>
    </row>
    <row r="10" spans="2:9" x14ac:dyDescent="0.25">
      <c r="B10" t="s">
        <v>6</v>
      </c>
      <c r="E10" t="s">
        <v>6</v>
      </c>
    </row>
    <row r="11" spans="2:9" x14ac:dyDescent="0.25">
      <c r="B11" s="2">
        <f>(C5*(1+C5)^(C7)*C3)/((1+C5)^C7-1)</f>
        <v>1041.9969248707159</v>
      </c>
      <c r="E11" s="2">
        <f>(F5*(1+F5)^(F7)*F3)/((1+F5)^F7-1)</f>
        <v>1042.0000000000059</v>
      </c>
    </row>
    <row r="14" spans="2:9" x14ac:dyDescent="0.25">
      <c r="B14" s="8" t="s">
        <v>8</v>
      </c>
    </row>
    <row r="15" spans="2:9" x14ac:dyDescent="0.25">
      <c r="B15" s="12" t="s">
        <v>16</v>
      </c>
    </row>
    <row r="16" spans="2:9" x14ac:dyDescent="0.25">
      <c r="B16" s="12" t="s">
        <v>15</v>
      </c>
    </row>
  </sheetData>
  <mergeCells count="3">
    <mergeCell ref="B2:C2"/>
    <mergeCell ref="E2:F2"/>
    <mergeCell ref="H2:I2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6"/>
  <sheetViews>
    <sheetView workbookViewId="0">
      <selection activeCell="H14" sqref="H14"/>
    </sheetView>
  </sheetViews>
  <sheetFormatPr defaultRowHeight="15" x14ac:dyDescent="0.25"/>
  <cols>
    <col min="2" max="2" width="20.42578125" customWidth="1"/>
    <col min="3" max="3" width="14" bestFit="1" customWidth="1"/>
    <col min="4" max="4" width="2" customWidth="1"/>
    <col min="5" max="5" width="20.42578125" customWidth="1"/>
    <col min="6" max="6" width="14" bestFit="1" customWidth="1"/>
    <col min="7" max="7" width="2" customWidth="1"/>
    <col min="8" max="8" width="18.7109375" customWidth="1"/>
  </cols>
  <sheetData>
    <row r="2" spans="2:13" x14ac:dyDescent="0.25">
      <c r="B2" s="7" t="s">
        <v>2</v>
      </c>
      <c r="C2" s="7"/>
      <c r="E2" s="7" t="s">
        <v>7</v>
      </c>
      <c r="F2" s="7"/>
      <c r="H2" s="23" t="s">
        <v>20</v>
      </c>
      <c r="I2" s="24"/>
    </row>
    <row r="3" spans="2:13" x14ac:dyDescent="0.25">
      <c r="B3" t="s">
        <v>0</v>
      </c>
      <c r="C3" s="3">
        <f>200000</f>
        <v>200000</v>
      </c>
      <c r="E3" t="s">
        <v>0</v>
      </c>
      <c r="F3" s="3">
        <f>$C$3-($C$3*F6)</f>
        <v>198869.72036864379</v>
      </c>
      <c r="H3" s="21" t="s">
        <v>21</v>
      </c>
      <c r="I3" s="17">
        <f>$C$4</f>
        <v>0.04</v>
      </c>
    </row>
    <row r="4" spans="2:13" x14ac:dyDescent="0.25">
      <c r="B4" t="s">
        <v>3</v>
      </c>
      <c r="C4" s="1">
        <f>4%</f>
        <v>0.04</v>
      </c>
      <c r="E4" t="s">
        <v>3</v>
      </c>
      <c r="F4" s="1">
        <f>4.047%</f>
        <v>4.0469999999999999E-2</v>
      </c>
      <c r="H4" s="11" t="s">
        <v>22</v>
      </c>
      <c r="I4" s="18">
        <f>F6</f>
        <v>5.6513981567811221E-3</v>
      </c>
    </row>
    <row r="5" spans="2:13" x14ac:dyDescent="0.25">
      <c r="B5" t="s">
        <v>4</v>
      </c>
      <c r="C5" s="5">
        <f>C4/12</f>
        <v>3.3333333333333335E-3</v>
      </c>
      <c r="E5" t="s">
        <v>4</v>
      </c>
      <c r="F5" s="5">
        <f>F4/12</f>
        <v>3.3725000000000001E-3</v>
      </c>
      <c r="H5" s="11" t="s">
        <v>23</v>
      </c>
      <c r="I5" s="19">
        <f>F8</f>
        <v>1.379E-2</v>
      </c>
    </row>
    <row r="6" spans="2:13" x14ac:dyDescent="0.25">
      <c r="B6" t="s">
        <v>1</v>
      </c>
      <c r="C6" s="9" t="s">
        <v>12</v>
      </c>
      <c r="E6" t="s">
        <v>1</v>
      </c>
      <c r="F6" s="4">
        <v>5.6513981567811221E-3</v>
      </c>
      <c r="H6" s="21" t="s">
        <v>24</v>
      </c>
      <c r="I6" s="17">
        <f>I4+I5</f>
        <v>1.9441398156781121E-2</v>
      </c>
    </row>
    <row r="7" spans="2:13" x14ac:dyDescent="0.25">
      <c r="B7" t="s">
        <v>5</v>
      </c>
      <c r="C7">
        <f>360</f>
        <v>360</v>
      </c>
      <c r="E7" t="s">
        <v>5</v>
      </c>
      <c r="F7">
        <f>360</f>
        <v>360</v>
      </c>
      <c r="H7" s="22"/>
    </row>
    <row r="8" spans="2:13" x14ac:dyDescent="0.25">
      <c r="B8" t="s">
        <v>13</v>
      </c>
      <c r="C8" s="2">
        <f>2758</f>
        <v>2758</v>
      </c>
      <c r="E8" t="s">
        <v>13</v>
      </c>
      <c r="F8" s="15">
        <f>$C$8/$C$3</f>
        <v>1.379E-2</v>
      </c>
      <c r="H8" s="21" t="s">
        <v>19</v>
      </c>
      <c r="I8" s="20">
        <f>I3+(I6*0.25)</f>
        <v>4.4860349539195279E-2</v>
      </c>
    </row>
    <row r="9" spans="2:13" x14ac:dyDescent="0.25">
      <c r="H9" s="8" t="s">
        <v>25</v>
      </c>
      <c r="I9" s="25">
        <f>I8-0.25%</f>
        <v>4.2360349539195277E-2</v>
      </c>
    </row>
    <row r="10" spans="2:13" x14ac:dyDescent="0.25">
      <c r="B10" t="s">
        <v>6</v>
      </c>
      <c r="E10" t="s">
        <v>6</v>
      </c>
      <c r="M10" s="1"/>
    </row>
    <row r="11" spans="2:13" x14ac:dyDescent="0.25">
      <c r="B11" s="2">
        <f>(C5*(1+C5)^(C7)*C3)/((1+C5)^C7-1)</f>
        <v>954.83059093090571</v>
      </c>
      <c r="E11" s="2">
        <f>(F5*(1+F5)^(F7)*F3)/((1+F5)^F7-1)</f>
        <v>954.83095066391843</v>
      </c>
    </row>
    <row r="14" spans="2:13" x14ac:dyDescent="0.25">
      <c r="B14" s="8" t="s">
        <v>8</v>
      </c>
    </row>
    <row r="15" spans="2:13" x14ac:dyDescent="0.25">
      <c r="B15" s="12" t="s">
        <v>14</v>
      </c>
    </row>
    <row r="16" spans="2:13" x14ac:dyDescent="0.25">
      <c r="B16" s="12" t="s">
        <v>11</v>
      </c>
    </row>
  </sheetData>
  <mergeCells count="2">
    <mergeCell ref="B2:C2"/>
    <mergeCell ref="E2:F2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6"/>
  <sheetViews>
    <sheetView tabSelected="1" workbookViewId="0">
      <selection activeCell="F23" sqref="F23"/>
    </sheetView>
  </sheetViews>
  <sheetFormatPr defaultRowHeight="15" x14ac:dyDescent="0.25"/>
  <cols>
    <col min="2" max="2" width="20.42578125" customWidth="1"/>
    <col min="3" max="3" width="14" bestFit="1" customWidth="1"/>
    <col min="4" max="4" width="2" customWidth="1"/>
    <col min="5" max="5" width="20.42578125" customWidth="1"/>
    <col min="6" max="6" width="14" bestFit="1" customWidth="1"/>
    <col min="7" max="7" width="2" customWidth="1"/>
    <col min="8" max="8" width="18.7109375" customWidth="1"/>
  </cols>
  <sheetData>
    <row r="2" spans="2:9" x14ac:dyDescent="0.25">
      <c r="B2" s="7" t="s">
        <v>2</v>
      </c>
      <c r="C2" s="7"/>
      <c r="E2" s="7" t="s">
        <v>7</v>
      </c>
      <c r="F2" s="7"/>
      <c r="H2" s="7" t="s">
        <v>20</v>
      </c>
      <c r="I2" s="6"/>
    </row>
    <row r="3" spans="2:9" x14ac:dyDescent="0.25">
      <c r="B3" t="s">
        <v>0</v>
      </c>
      <c r="C3" s="3">
        <f>200000</f>
        <v>200000</v>
      </c>
      <c r="E3" t="s">
        <v>0</v>
      </c>
      <c r="F3" s="3">
        <f>$C$3-($C$3*F6)</f>
        <v>194572.76690383366</v>
      </c>
      <c r="H3" s="16" t="s">
        <v>21</v>
      </c>
      <c r="I3" s="17">
        <f>$C$4</f>
        <v>3.7499999999999999E-2</v>
      </c>
    </row>
    <row r="4" spans="2:9" x14ac:dyDescent="0.25">
      <c r="B4" t="s">
        <v>3</v>
      </c>
      <c r="C4" s="1">
        <f>3.75%</f>
        <v>3.7499999999999999E-2</v>
      </c>
      <c r="E4" t="s">
        <v>3</v>
      </c>
      <c r="F4" s="1">
        <f>3.976%</f>
        <v>3.9759999999999997E-2</v>
      </c>
      <c r="H4" s="11" t="s">
        <v>22</v>
      </c>
      <c r="I4" s="18">
        <f>C6</f>
        <v>1.8749999999999999E-2</v>
      </c>
    </row>
    <row r="5" spans="2:9" x14ac:dyDescent="0.25">
      <c r="B5" t="s">
        <v>4</v>
      </c>
      <c r="C5" s="5">
        <f>C4/12</f>
        <v>3.1249999999999997E-3</v>
      </c>
      <c r="E5" t="s">
        <v>4</v>
      </c>
      <c r="F5" s="5">
        <f>F4/12</f>
        <v>3.3133333333333331E-3</v>
      </c>
      <c r="H5" s="11" t="s">
        <v>23</v>
      </c>
      <c r="I5" s="19">
        <f>F8</f>
        <v>8.3861654808316602E-3</v>
      </c>
    </row>
    <row r="6" spans="2:9" x14ac:dyDescent="0.25">
      <c r="B6" t="s">
        <v>1</v>
      </c>
      <c r="C6" s="5">
        <f>1.875%</f>
        <v>1.8749999999999999E-2</v>
      </c>
      <c r="E6" t="s">
        <v>1</v>
      </c>
      <c r="F6" s="4">
        <v>2.7136165480831659E-2</v>
      </c>
      <c r="H6" s="8" t="s">
        <v>24</v>
      </c>
      <c r="I6" s="17">
        <f>I4+I5</f>
        <v>2.7136165480831659E-2</v>
      </c>
    </row>
    <row r="7" spans="2:9" x14ac:dyDescent="0.25">
      <c r="B7" t="s">
        <v>5</v>
      </c>
      <c r="C7">
        <f>360</f>
        <v>360</v>
      </c>
      <c r="E7" t="s">
        <v>5</v>
      </c>
      <c r="F7">
        <f>360</f>
        <v>360</v>
      </c>
    </row>
    <row r="8" spans="2:9" x14ac:dyDescent="0.25">
      <c r="B8" t="s">
        <v>13</v>
      </c>
      <c r="C8" s="14" t="s">
        <v>12</v>
      </c>
      <c r="E8" t="s">
        <v>13</v>
      </c>
      <c r="F8" s="15">
        <f>F6-C6</f>
        <v>8.3861654808316602E-3</v>
      </c>
      <c r="H8" s="8" t="s">
        <v>19</v>
      </c>
      <c r="I8" s="20">
        <f>I3+(I6*0.25)</f>
        <v>4.4284041370207916E-2</v>
      </c>
    </row>
    <row r="9" spans="2:9" x14ac:dyDescent="0.25">
      <c r="H9" s="8" t="s">
        <v>25</v>
      </c>
      <c r="I9" s="25">
        <f>I8-0.25%</f>
        <v>4.1784041370207914E-2</v>
      </c>
    </row>
    <row r="10" spans="2:9" x14ac:dyDescent="0.25">
      <c r="B10" t="s">
        <v>6</v>
      </c>
      <c r="E10" t="s">
        <v>6</v>
      </c>
    </row>
    <row r="11" spans="2:9" x14ac:dyDescent="0.25">
      <c r="B11" s="2">
        <f>(C5*(1+C5)^(C7)*C3)/((1+C5)^C7-1)</f>
        <v>926.23118314424869</v>
      </c>
      <c r="E11" s="2">
        <f>(F5*(1+F5)^(F7)*F3)/((1+F5)^F7-1)</f>
        <v>926.22999999999422</v>
      </c>
    </row>
    <row r="14" spans="2:9" x14ac:dyDescent="0.25">
      <c r="B14" s="8" t="s">
        <v>8</v>
      </c>
    </row>
    <row r="15" spans="2:9" x14ac:dyDescent="0.25">
      <c r="B15" s="12" t="s">
        <v>17</v>
      </c>
    </row>
    <row r="16" spans="2:9" x14ac:dyDescent="0.25">
      <c r="B16" s="12" t="s">
        <v>18</v>
      </c>
    </row>
  </sheetData>
  <mergeCells count="3">
    <mergeCell ref="B2:C2"/>
    <mergeCell ref="E2:F2"/>
    <mergeCell ref="H2:I2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Bank of America - Conventional</vt:lpstr>
      <vt:lpstr>Chase - Conventional</vt:lpstr>
      <vt:lpstr>Wells - Conventional</vt:lpstr>
      <vt:lpstr>Quicken - Conventional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Chaudhary</dc:creator>
  <cp:lastModifiedBy>Sharad Chaudhary</cp:lastModifiedBy>
  <dcterms:created xsi:type="dcterms:W3CDTF">2015-02-24T20:51:16Z</dcterms:created>
  <dcterms:modified xsi:type="dcterms:W3CDTF">2015-02-26T16:18:18Z</dcterms:modified>
</cp:coreProperties>
</file>