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 activeTab="3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Report!$B$1:$S$55</definedName>
    <definedName name="Query_from_Agency" localSheetId="1" hidden="1">'Time Series Query'!$A$6:$F$39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Query'!$AC$6:$AH$104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Query'!$AJ$6:$AO$76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320" r:id="rId15"/>
    <pivotCache cacheId="321" r:id="rId16"/>
    <pivotCache cacheId="322" r:id="rId17"/>
    <pivotCache cacheId="323" r:id="rId18"/>
    <pivotCache cacheId="324" r:id="rId19"/>
  </pivotCaches>
</workbook>
</file>

<file path=xl/calcChain.xml><?xml version="1.0" encoding="utf-8"?>
<calcChain xmlns="http://schemas.openxmlformats.org/spreadsheetml/2006/main">
  <c r="V17" i="20" l="1"/>
  <c r="V16" i="20"/>
  <c r="J20" i="6" l="1"/>
  <c r="C9" i="15" l="1" a="1"/>
  <c r="C9" i="15" s="1"/>
  <c r="V3" i="6" l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5" i="6" s="1"/>
  <c r="Z12" i="18"/>
  <c r="D24" i="6" s="1"/>
  <c r="C7" i="15" l="1" a="1"/>
  <c r="C7" i="15" s="1"/>
  <c r="C6" i="15" a="1"/>
  <c r="C6" i="15" s="1"/>
  <c r="C5" i="15" a="1"/>
  <c r="C5" i="15" s="1"/>
  <c r="C4" i="15" a="1"/>
  <c r="C4" i="15" s="1"/>
  <c r="D20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4" i="15" l="1"/>
  <c r="F6" i="15" s="1"/>
  <c r="K20" i="6" s="1"/>
  <c r="C8" i="4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20" i="6" l="1"/>
  <c r="F5" i="14"/>
  <c r="F4" i="14"/>
  <c r="F3" i="14"/>
  <c r="F2" i="14"/>
  <c r="F9" i="15" l="1"/>
  <c r="F5" i="15"/>
  <c r="F7" i="15" l="1"/>
  <c r="G18" i="6"/>
  <c r="D18" i="6"/>
  <c r="G16" i="6"/>
  <c r="D16" i="6"/>
  <c r="I4" i="15" l="1"/>
  <c r="M20" i="6" s="1"/>
  <c r="N20" i="6" s="1"/>
  <c r="L20" i="6"/>
  <c r="I6" i="12"/>
  <c r="I6" i="13"/>
  <c r="O20" i="6" l="1"/>
  <c r="Q20" i="6"/>
  <c r="E10" i="20"/>
  <c r="R20" i="6"/>
  <c r="E11" i="20"/>
  <c r="P20" i="6"/>
  <c r="F6" i="13"/>
  <c r="K16" i="6" s="1"/>
  <c r="F4" i="13"/>
  <c r="F5" i="13" s="1"/>
  <c r="F6" i="12"/>
  <c r="K18" i="6" s="1"/>
  <c r="F4" i="12"/>
  <c r="F5" i="12" s="1"/>
  <c r="J18" i="6" s="1"/>
  <c r="F7" i="13" l="1"/>
  <c r="J16" i="6"/>
  <c r="F7" i="12"/>
  <c r="I4" i="12" l="1"/>
  <c r="M18" i="6" s="1"/>
  <c r="E14" i="20" s="1"/>
  <c r="L18" i="6"/>
  <c r="I4" i="13"/>
  <c r="M16" i="6" s="1"/>
  <c r="E12" i="20" s="1"/>
  <c r="L16" i="6"/>
  <c r="Q16" i="6" l="1"/>
  <c r="O16" i="6"/>
  <c r="O18" i="6"/>
  <c r="Q18" i="6"/>
  <c r="N16" i="6"/>
  <c r="E13" i="20" s="1"/>
  <c r="N18" i="6"/>
  <c r="E15" i="20" s="1"/>
  <c r="P18" i="6" l="1"/>
  <c r="R18" i="6"/>
  <c r="P16" i="6"/>
  <c r="R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2" l="1"/>
  <c r="M13" i="6" s="1"/>
  <c r="L13" i="6"/>
  <c r="I4" i="4"/>
  <c r="M11" i="6" s="1"/>
  <c r="E4" i="20" s="1"/>
  <c r="L11" i="6"/>
  <c r="I4" i="3"/>
  <c r="M10" i="6" s="1"/>
  <c r="E2" i="20" s="1"/>
  <c r="M12" i="6"/>
  <c r="E6" i="20" s="1"/>
  <c r="L12" i="6"/>
  <c r="E8" i="20" l="1"/>
  <c r="O13" i="6"/>
  <c r="N13" i="6"/>
  <c r="E9" i="20" s="1"/>
  <c r="Q13" i="6"/>
  <c r="L14" i="6"/>
  <c r="O12" i="6"/>
  <c r="Q12" i="6"/>
  <c r="O10" i="6"/>
  <c r="Q10" i="6"/>
  <c r="Q11" i="6"/>
  <c r="O11" i="6"/>
  <c r="N11" i="6"/>
  <c r="E5" i="20" s="1"/>
  <c r="N10" i="6"/>
  <c r="E3" i="20" s="1"/>
  <c r="N12" i="6"/>
  <c r="E7" i="20" s="1"/>
  <c r="M14" i="6"/>
  <c r="P13" i="6" l="1"/>
  <c r="R13" i="6"/>
  <c r="O14" i="6"/>
  <c r="Q14" i="6"/>
  <c r="P10" i="6"/>
  <c r="R10" i="6"/>
  <c r="P12" i="6"/>
  <c r="R12" i="6"/>
  <c r="R11" i="6"/>
  <c r="P11" i="6"/>
  <c r="N14" i="6"/>
  <c r="P14" i="6" l="1"/>
  <c r="R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20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9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20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20' AND AsOfDate &gt;= '2015-02-18' order by TickerName,Source,SeriesType,AsOfDate"/>
  </connection>
  <connection id="5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5-03-20' AND AsOfDate &gt;= '2015-02-18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5-03-20' AND AsOfDate &gt;= '20150303' order by TickerName,Source,SeriesType,AsOfDate"/>
  </connection>
  <connection id="6" name="1WeekBusDateQuery" type="1" refreshedVersion="4" savePassword="1" saveData="1">
    <dbPr connection="DSN=Cello SQL Server;UID=report;PWD=gm4SJDw4;APP=Microsoft Office 2010;WSID=CELLO-PC4;DATABASE=Cello" command="select dbo.GetNthBusinessDate('2015-03-20',-5)"/>
  </connection>
  <connection id="7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3' order by TickerName,Source,SeriesType,AsOfDate"/>
  </connection>
  <connection id="8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20' order by AsOfDate"/>
  </connection>
  <connection id="9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20' order by TickerName,Source,SeriesType,AsOfDate"/>
  </connection>
</connections>
</file>

<file path=xl/sharedStrings.xml><?xml version="1.0" encoding="utf-8"?>
<sst xmlns="http://schemas.openxmlformats.org/spreadsheetml/2006/main" count="1949" uniqueCount="114">
  <si>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</si>
  <si>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</si>
  <si>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</si>
  <si>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</si>
  <si>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</si>
  <si>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</si>
  <si>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</si>
  <si>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</si>
  <si>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</si>
  <si>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</si>
  <si>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</si>
  <si>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</si>
  <si>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</si>
  <si>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</si>
  <si>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</si>
  <si>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</si>
  <si>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</si>
  <si>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</si>
  <si>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</si>
  <si>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</si>
  <si>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</si>
  <si>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</si>
  <si>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</si>
  <si>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</si>
  <si>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</si>
  <si>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</si>
  <si>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</si>
  <si>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</si>
  <si>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</si>
  <si>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</si>
  <si>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</si>
  <si>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</si>
  <si>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</si>
  <si>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</si>
  <si>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</si>
  <si>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</si>
  <si>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</si>
  <si>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</si>
  <si>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</si>
  <si>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</si>
  <si>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</si>
  <si>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</si>
  <si>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</si>
  <si>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</si>
  <si>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</si>
  <si>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</si>
  <si>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</si>
  <si>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</si>
  <si>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</si>
  <si>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</si>
  <si>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</si>
  <si>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</si>
  <si>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</si>
  <si>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</si>
  <si>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</si>
  <si>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</si>
  <si>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</si>
  <si>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</si>
  <si>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</si>
  <si>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</si>
  <si>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</si>
  <si>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</si>
  <si>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</si>
  <si>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</si>
  <si>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</si>
  <si>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</si>
  <si>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</si>
  <si>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</si>
  <si>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</si>
  <si>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</si>
  <si>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</si>
  <si>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</si>
  <si>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</si>
  <si>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</si>
  <si>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</si>
  <si>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</si>
  <si>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</si>
  <si>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</si>
  <si>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</si>
  <si>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</si>
  <si>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</si>
  <si>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</si>
  <si>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</si>
  <si>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</si>
  <si>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</si>
  <si>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</si>
  <si>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</si>
  <si>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2015-03-04</t>
  </si>
  <si>
    <t>2015-03-05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</si>
  <si>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</si>
  <si>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</si>
  <si>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</si>
  <si>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</si>
  <si>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</si>
  <si>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</si>
  <si>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</si>
  <si>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2015-03-11</t>
  </si>
  <si>
    <t>Source:</t>
  </si>
  <si>
    <t>Sources: Bank of Amarica; Chase; Quicken; Wells Fargo</t>
  </si>
  <si>
    <t>2015-03-12</t>
  </si>
  <si>
    <t>2015-03-13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</si>
  <si>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</si>
  <si>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</si>
  <si>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</si>
  <si>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</si>
  <si>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</si>
  <si>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</si>
  <si>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</si>
  <si>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2015-03-16</t>
  </si>
  <si>
    <t>2015-03-17</t>
  </si>
  <si>
    <t>2015-03-18</t>
  </si>
  <si>
    <t>2015-03-19</t>
  </si>
  <si>
    <t>2015-02-18</t>
  </si>
  <si>
    <t>2015-03-20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</si>
</sst>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</numFmts>
  <fonts count="14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3" fillId="6" borderId="0" xfId="366" applyFont="1"/>
    <xf numFmtId="0" fontId="14" fillId="12" borderId="50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14" fontId="0" fillId="0" borderId="0" xfId="0" applyNumberFormat="1"/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54">
    <dxf>
      <alignment horizontal="center" readingOrder="0"/>
    </dxf>
    <dxf>
      <alignment horizontal="center" readingOrder="0"/>
    </dxf>
    <dxf>
      <numFmt numFmtId="198" formatCode="m/d;@"/>
    </dxf>
    <dxf>
      <numFmt numFmtId="198" formatCode="m/d;@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53"/>
      <tableStyleElement type="headerRow" dxfId="52"/>
      <tableStyleElement type="firstColumn" dxfId="51"/>
      <tableStyleElement type="firstSubtotalRow" dxfId="50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Rate - 0318.xlsm]Rates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One</a:t>
            </a:r>
            <a:r>
              <a:rPr lang="en-US"/>
              <a:t> Month Historical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square"/>
          <c:size val="5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square"/>
            <c:size val="5"/>
          </c:marker>
          <c:cat>
            <c:strRef>
              <c:f>'Rates Summary'!$A$80:$A$93</c:f>
              <c:strCache>
                <c:ptCount val="14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</c:strCache>
            </c:strRef>
          </c:cat>
          <c:val>
            <c:numRef>
              <c:f>'Rates Summary'!$B$80:$B$93</c:f>
              <c:numCache>
                <c:formatCode>General</c:formatCode>
                <c:ptCount val="14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  <c:pt idx="9">
                  <c:v>4.1349192739455276</c:v>
                </c:pt>
                <c:pt idx="10">
                  <c:v>4.1195438104816251</c:v>
                </c:pt>
                <c:pt idx="11">
                  <c:v>4.0625796613669598</c:v>
                </c:pt>
                <c:pt idx="12">
                  <c:v>4.0272197213430534</c:v>
                </c:pt>
                <c:pt idx="13">
                  <c:v>4.0522074267600177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Summary'!$A$80:$A$93</c:f>
              <c:strCache>
                <c:ptCount val="14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</c:strCache>
            </c:strRef>
          </c:cat>
          <c:val>
            <c:numRef>
              <c:f>'Rates Summary'!$C$80:$C$93</c:f>
              <c:numCache>
                <c:formatCode>General</c:formatCode>
                <c:ptCount val="14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  <c:pt idx="9">
                  <c:v>3.9717500000000001</c:v>
                </c:pt>
                <c:pt idx="10">
                  <c:v>3.9717500000000001</c:v>
                </c:pt>
                <c:pt idx="11">
                  <c:v>3.8759999999999994</c:v>
                </c:pt>
                <c:pt idx="12">
                  <c:v>3.8441249999999996</c:v>
                </c:pt>
                <c:pt idx="13">
                  <c:v>3.9077500000000001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Summary'!$A$80:$A$93</c:f>
              <c:strCache>
                <c:ptCount val="14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</c:strCache>
            </c:strRef>
          </c:cat>
          <c:val>
            <c:numRef>
              <c:f>'Rates Summary'!$D$80:$D$93</c:f>
              <c:numCache>
                <c:formatCode>General</c:formatCode>
                <c:ptCount val="14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  <c:pt idx="7">
                  <c:v>4.0195510152855149</c:v>
                </c:pt>
                <c:pt idx="8">
                  <c:v>4.123888942161555</c:v>
                </c:pt>
                <c:pt idx="9">
                  <c:v>3.9301000000000004</c:v>
                </c:pt>
                <c:pt idx="10">
                  <c:v>3.8988500000000004</c:v>
                </c:pt>
                <c:pt idx="11">
                  <c:v>3.9367503938171491</c:v>
                </c:pt>
                <c:pt idx="12">
                  <c:v>3.872298391426404</c:v>
                </c:pt>
                <c:pt idx="13">
                  <c:v>3.9367503938171491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Summary'!$A$80:$A$93</c:f>
              <c:strCache>
                <c:ptCount val="14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</c:strCache>
            </c:strRef>
          </c:cat>
          <c:val>
            <c:numRef>
              <c:f>'Rates Summary'!$E$80:$E$93</c:f>
              <c:numCache>
                <c:formatCode>General</c:formatCode>
                <c:ptCount val="14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  <c:pt idx="9">
                  <c:v>3.8281034376602534</c:v>
                </c:pt>
                <c:pt idx="10">
                  <c:v>3.7907999999999999</c:v>
                </c:pt>
                <c:pt idx="11">
                  <c:v>3.7452361066975079</c:v>
                </c:pt>
                <c:pt idx="12">
                  <c:v>3.701847554934004</c:v>
                </c:pt>
                <c:pt idx="13">
                  <c:v>3.7452361066975079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834688"/>
        <c:axId val="160836608"/>
      </c:lineChart>
      <c:catAx>
        <c:axId val="160834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60836608"/>
        <c:crosses val="autoZero"/>
        <c:auto val="1"/>
        <c:lblAlgn val="ctr"/>
        <c:lblOffset val="100"/>
        <c:noMultiLvlLbl val="0"/>
      </c:catAx>
      <c:valAx>
        <c:axId val="160836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60834688"/>
        <c:crosses val="autoZero"/>
        <c:crossBetween val="between"/>
      </c:valAx>
      <c:spPr>
        <a:ln>
          <a:prstDash val="sysDash"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Rate - 0318.xlsm]Rates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One Month Historical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square"/>
          <c:size val="5"/>
          <c:spPr>
            <a:ln>
              <a:noFill/>
            </a:ln>
          </c:spPr>
        </c:marker>
      </c:pivotFmt>
      <c:pivotFmt>
        <c:idx val="7"/>
        <c:spPr>
          <a:ln>
            <a:prstDash val="dashDot"/>
          </a:ln>
        </c:spPr>
        <c:marker>
          <c:symbol val="circle"/>
          <c:size val="5"/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74555236585010209"/>
          <c:h val="0.71061898512685917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marker>
            <c:symbol val="square"/>
            <c:size val="5"/>
            <c:spPr>
              <a:ln>
                <a:noFill/>
              </a:ln>
            </c:spPr>
          </c:marker>
          <c:cat>
            <c:strRef>
              <c:f>'Rates Summary'!$M$80:$M$93</c:f>
              <c:strCache>
                <c:ptCount val="14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</c:strCache>
            </c:strRef>
          </c:cat>
          <c:val>
            <c:numRef>
              <c:f>'Rates Summary'!$O$80:$O$93</c:f>
              <c:numCache>
                <c:formatCode>General</c:formatCode>
                <c:ptCount val="14"/>
                <c:pt idx="0">
                  <c:v>1.3767723130618554</c:v>
                </c:pt>
                <c:pt idx="1">
                  <c:v>1.3850546031605075</c:v>
                </c:pt>
                <c:pt idx="2">
                  <c:v>1.3692587050391631</c:v>
                </c:pt>
                <c:pt idx="3">
                  <c:v>1.3490675358181696</c:v>
                </c:pt>
                <c:pt idx="4">
                  <c:v>1.350389284878674</c:v>
                </c:pt>
                <c:pt idx="5">
                  <c:v>1.3485070688916867</c:v>
                </c:pt>
                <c:pt idx="6">
                  <c:v>1.3560774820987149</c:v>
                </c:pt>
                <c:pt idx="7">
                  <c:v>1.344209617863692</c:v>
                </c:pt>
                <c:pt idx="8">
                  <c:v>1.3396149033691263</c:v>
                </c:pt>
                <c:pt idx="9">
                  <c:v>1.3107424221176069</c:v>
                </c:pt>
                <c:pt idx="10">
                  <c:v>1.3237028011769647</c:v>
                </c:pt>
                <c:pt idx="11">
                  <c:v>1.3697307582715406</c:v>
                </c:pt>
                <c:pt idx="12">
                  <c:v>1.3176631575817741</c:v>
                </c:pt>
                <c:pt idx="13">
                  <c:v>1.380434488216318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695040"/>
        <c:axId val="164713216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>
              <a:prstDash val="dashDot"/>
            </a:ln>
          </c:spPr>
          <c:marker>
            <c:symbol val="circle"/>
            <c:size val="5"/>
          </c:marker>
          <c:cat>
            <c:strRef>
              <c:f>'Rates Summary'!$M$80:$M$93</c:f>
              <c:strCache>
                <c:ptCount val="14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</c:strCache>
            </c:strRef>
          </c:cat>
          <c:val>
            <c:numRef>
              <c:f>'Rates Summary'!$N$80:$N$93</c:f>
              <c:numCache>
                <c:formatCode>General</c:formatCode>
                <c:ptCount val="14"/>
                <c:pt idx="0">
                  <c:v>2.8341999400292899</c:v>
                </c:pt>
                <c:pt idx="1">
                  <c:v>2.8241837227534399</c:v>
                </c:pt>
                <c:pt idx="2">
                  <c:v>2.81556157497667</c:v>
                </c:pt>
                <c:pt idx="3">
                  <c:v>2.9303170109018999</c:v>
                </c:pt>
                <c:pt idx="4">
                  <c:v>2.90222752352993</c:v>
                </c:pt>
                <c:pt idx="5">
                  <c:v>2.84635033680676</c:v>
                </c:pt>
                <c:pt idx="6">
                  <c:v>2.8278353033181198</c:v>
                </c:pt>
                <c:pt idx="7">
                  <c:v>2.8138191102539798</c:v>
                </c:pt>
                <c:pt idx="8">
                  <c:v>2.8315057491425</c:v>
                </c:pt>
                <c:pt idx="9">
                  <c:v>2.8241768518279202</c:v>
                </c:pt>
                <c:pt idx="10">
                  <c:v>2.79584100930466</c:v>
                </c:pt>
                <c:pt idx="11">
                  <c:v>2.6928489030954199</c:v>
                </c:pt>
                <c:pt idx="12">
                  <c:v>2.70955656376128</c:v>
                </c:pt>
                <c:pt idx="13">
                  <c:v>2.6717729385436999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98848"/>
        <c:axId val="164715136"/>
      </c:lineChart>
      <c:catAx>
        <c:axId val="164695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64713216"/>
        <c:crosses val="autoZero"/>
        <c:auto val="1"/>
        <c:lblAlgn val="ctr"/>
        <c:lblOffset val="100"/>
        <c:noMultiLvlLbl val="0"/>
      </c:catAx>
      <c:valAx>
        <c:axId val="16471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64695040"/>
        <c:crosses val="autoZero"/>
        <c:crossBetween val="between"/>
      </c:valAx>
      <c:valAx>
        <c:axId val="1647151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83956483304170315"/>
              <c:y val="0.30263131171103613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164798848"/>
        <c:crosses val="max"/>
        <c:crossBetween val="between"/>
      </c:valAx>
      <c:catAx>
        <c:axId val="164798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647151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6179288786818309"/>
          <c:y val="0.30659526934133235"/>
          <c:w val="0.13126266768737241"/>
          <c:h val="0.3381241407324084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365123</xdr:colOff>
      <xdr:row>25</xdr:row>
      <xdr:rowOff>158749</xdr:rowOff>
    </xdr:from>
    <xdr:to>
      <xdr:col>17</xdr:col>
      <xdr:colOff>422273</xdr:colOff>
      <xdr:row>39</xdr:row>
      <xdr:rowOff>97789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368298</xdr:colOff>
      <xdr:row>40</xdr:row>
      <xdr:rowOff>38100</xdr:rowOff>
    </xdr:from>
    <xdr:to>
      <xdr:col>17</xdr:col>
      <xdr:colOff>425448</xdr:colOff>
      <xdr:row>53</xdr:row>
      <xdr:rowOff>121920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86.370733680553" createdVersion="4" refreshedVersion="4" minRefreshableVersion="3" recordCount="98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14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</sharedItems>
    </cacheField>
    <cacheField name="SeriesNumValue" numFmtId="0">
      <sharedItems containsSemiMixedTypes="0" containsString="0" containsNumber="1" minValue="3.701847554934004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86.370733796299" createdVersion="4" refreshedVersion="4" minRefreshableVersion="3" recordCount="70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28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2-20" u="1"/>
        <s v="2015-02-19" u="1"/>
        <s v="2015-02-23" u="1"/>
        <s v="2015-02-10" u="1"/>
        <s v="2015-02-24" u="1"/>
        <s v="2015-02-11" u="1"/>
        <s v="2015-02-25" u="1"/>
        <s v="2015-02-12" u="1"/>
        <s v="2015-02-26" u="1"/>
        <s v="2015-02-13" u="1"/>
        <s v="2015-02-27" u="1"/>
        <s v="2015-03-02" u="1"/>
        <s v="2015-02-17" u="1"/>
        <s v="2015-02-18" u="1"/>
      </sharedItems>
    </cacheField>
    <cacheField name="SeriesNumValue" numFmtId="0">
      <sharedItems containsSemiMixedTypes="0" containsString="0" containsNumber="1" minValue="1.0587143334773157" maxValue="2.9303170109018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86.370733912037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14">
        <s v="2015-03-19"/>
        <s v="2015-03-04" u="1"/>
        <s v="2015-03-18" u="1"/>
        <s v="2015-03-05" u="1"/>
        <s v="2015-03-06" u="1"/>
        <s v="2015-03-10" u="1"/>
        <s v="2015-03-09" u="1"/>
        <s v="2015-03-11" u="1"/>
        <s v="2015-03-12" u="1"/>
        <s v="2015-03-13" u="1"/>
        <s v="2015-03-02" u="1"/>
        <s v="2015-03-16" u="1"/>
        <s v="2015-03-03" u="1"/>
        <s v="2015-03-17" u="1"/>
      </sharedItems>
    </cacheField>
    <cacheField name="SeriesNumValue" numFmtId="0">
      <sharedItems containsSemiMixedTypes="0" containsString="0" containsNumber="1" minValue="0.99229099117272423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86.370733912037" createdVersion="5" refreshedVersion="4" minRefreshableVersion="3" recordCount="33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APR"/>
        <s v="Points"/>
        <s v="Rate"/>
        <s v="Closing Cost"/>
        <s v="Loan Amount"/>
        <s v="Upfront MIP"/>
        <m u="1"/>
        <s v="1Point Rate" u="1"/>
        <s v="Servicing Spread" u="1"/>
      </sharedItems>
    </cacheField>
    <cacheField name="Category" numFmtId="0">
      <sharedItems/>
    </cacheField>
    <cacheField name="AsOfDate" numFmtId="14">
      <sharedItems containsBlank="1" count="16">
        <s v="2015-03-20"/>
        <m u="1"/>
        <s v="2015-03-04" u="1"/>
        <s v="2015-03-18" u="1"/>
        <s v="2015-03-05" u="1"/>
        <s v="2015-03-19" u="1"/>
        <s v="2015-03-06" u="1"/>
        <s v="2015-03-10" u="1"/>
        <s v="2015-03-09" u="1"/>
        <s v="2015-03-11" u="1"/>
        <s v="2015-03-12" u="1"/>
        <s v="2015-03-13" u="1"/>
        <s v="2015-03-02" u="1"/>
        <s v="2015-03-16" u="1"/>
        <s v="2015-03-03" u="1"/>
        <s v="2015-03-17" u="1"/>
      </sharedItems>
    </cacheField>
    <cacheField name="SeriesNumValue" numFmtId="0">
      <sharedItems containsSemiMixedTypes="0" containsString="0" containsNumber="1" minValue="0.87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2086.370734027776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11">
        <s v="2015-03-13"/>
        <m u="1"/>
        <s v="2015-03-03" u="1"/>
        <s v="2015-03-04" u="1"/>
        <s v="2015-03-05" u="1"/>
        <s v="2015-03-06" u="1"/>
        <s v="2015-03-10" u="1"/>
        <s v="2015-03-09" u="1"/>
        <s v="2015-03-11" u="1"/>
        <s v="2015-03-12" u="1"/>
        <s v="2015-03-02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Bank of America"/>
    <s v="1Point Rate"/>
    <s v="MTG"/>
    <x v="9"/>
    <n v="4.1695190979670524"/>
  </r>
  <r>
    <x v="0"/>
    <s v="Bank of America"/>
    <s v="1Point Rate"/>
    <s v="MTG"/>
    <x v="10"/>
    <n v="4.1400591551201122"/>
  </r>
  <r>
    <x v="0"/>
    <s v="Bank of America"/>
    <s v="1Point Rate"/>
    <s v="MTG"/>
    <x v="11"/>
    <n v="4.1164532413786334"/>
  </r>
  <r>
    <x v="0"/>
    <s v="Bank of America"/>
    <s v="1Point Rate"/>
    <s v="MTG"/>
    <x v="12"/>
    <n v="4.066228818482883"/>
  </r>
  <r>
    <x v="0"/>
    <s v="Bank of America"/>
    <s v="1Point Rate"/>
    <s v="MTG"/>
    <x v="13"/>
    <n v="4.0425219308185625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Chase"/>
    <s v="1Point Rate"/>
    <s v="MTG"/>
    <x v="9"/>
    <n v="3.9361387568601574"/>
  </r>
  <r>
    <x v="0"/>
    <s v="Chase"/>
    <s v="1Point Rate"/>
    <s v="MTG"/>
    <x v="10"/>
    <n v="3.9353424338077225"/>
  </r>
  <r>
    <x v="0"/>
    <s v="Chase"/>
    <s v="1Point Rate"/>
    <s v="MTG"/>
    <x v="11"/>
    <n v="3.8425411667081901"/>
  </r>
  <r>
    <x v="0"/>
    <s v="Chase"/>
    <s v="1Point Rate"/>
    <s v="MTG"/>
    <x v="12"/>
    <n v="3.812592661796018"/>
  </r>
  <r>
    <x v="0"/>
    <s v="Chase"/>
    <s v="1Point Rate"/>
    <s v="MTG"/>
    <x v="13"/>
    <n v="3.8425411667081901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Quicken"/>
    <s v="1Point Rate"/>
    <s v="MTG"/>
    <x v="9"/>
    <n v="4.2722152605049795"/>
  </r>
  <r>
    <x v="0"/>
    <s v="Quicken"/>
    <s v="1Point Rate"/>
    <s v="MTG"/>
    <x v="10"/>
    <n v="4.2722196725487462"/>
  </r>
  <r>
    <x v="0"/>
    <s v="Quicken"/>
    <s v="1Point Rate"/>
    <s v="MTG"/>
    <x v="11"/>
    <n v="4.1164931032788781"/>
  </r>
  <r>
    <x v="0"/>
    <s v="Quicken"/>
    <s v="1Point Rate"/>
    <s v="MTG"/>
    <x v="12"/>
    <n v="4.1164931032788781"/>
  </r>
  <r>
    <x v="0"/>
    <s v="Quicken"/>
    <s v="1Point Rate"/>
    <s v="MTG"/>
    <x v="13"/>
    <n v="4.1489354754111796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0"/>
    <s v="Wells Fargo"/>
    <s v="1Point Rate"/>
    <s v="MTG"/>
    <x v="9"/>
    <n v="4.1618039804499194"/>
  </r>
  <r>
    <x v="0"/>
    <s v="Wells Fargo"/>
    <s v="1Point Rate"/>
    <s v="MTG"/>
    <x v="10"/>
    <n v="4.1305539804499194"/>
  </r>
  <r>
    <x v="0"/>
    <s v="Wells Fargo"/>
    <s v="1Point Rate"/>
    <s v="MTG"/>
    <x v="11"/>
    <n v="4.1748311341021385"/>
  </r>
  <r>
    <x v="0"/>
    <s v="Wells Fargo"/>
    <s v="1Point Rate"/>
    <s v="MTG"/>
    <x v="12"/>
    <n v="4.1135643018144359"/>
  </r>
  <r>
    <x v="0"/>
    <s v="Wells Fargo"/>
    <s v="1Point Rate"/>
    <s v="MTG"/>
    <x v="13"/>
    <n v="4.1748311341021385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1"/>
    <s v="Wells Fargo"/>
    <s v="1Point Rate"/>
    <s v="MTG"/>
    <x v="9"/>
    <n v="3.9717500000000001"/>
  </r>
  <r>
    <x v="1"/>
    <s v="Wells Fargo"/>
    <s v="1Point Rate"/>
    <s v="MTG"/>
    <x v="10"/>
    <n v="3.9717500000000001"/>
  </r>
  <r>
    <x v="1"/>
    <s v="Wells Fargo"/>
    <s v="1Point Rate"/>
    <s v="MTG"/>
    <x v="11"/>
    <n v="3.8759999999999994"/>
  </r>
  <r>
    <x v="1"/>
    <s v="Wells Fargo"/>
    <s v="1Point Rate"/>
    <s v="MTG"/>
    <x v="12"/>
    <n v="3.8441249999999996"/>
  </r>
  <r>
    <x v="1"/>
    <s v="Wells Fargo"/>
    <s v="1Point Rate"/>
    <s v="MTG"/>
    <x v="13"/>
    <n v="3.9077500000000001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2"/>
    <s v="Wells Fargo"/>
    <s v="1Point Rate"/>
    <s v="MTG"/>
    <x v="9"/>
    <n v="3.9301000000000004"/>
  </r>
  <r>
    <x v="2"/>
    <s v="Wells Fargo"/>
    <s v="1Point Rate"/>
    <s v="MTG"/>
    <x v="10"/>
    <n v="3.8988500000000004"/>
  </r>
  <r>
    <x v="2"/>
    <s v="Wells Fargo"/>
    <s v="1Point Rate"/>
    <s v="MTG"/>
    <x v="11"/>
    <n v="3.9367503938171491"/>
  </r>
  <r>
    <x v="2"/>
    <s v="Wells Fargo"/>
    <s v="1Point Rate"/>
    <s v="MTG"/>
    <x v="12"/>
    <n v="3.872298391426404"/>
  </r>
  <r>
    <x v="2"/>
    <s v="Wells Fargo"/>
    <s v="1Point Rate"/>
    <s v="MTG"/>
    <x v="13"/>
    <n v="3.9367503938171491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  <r>
    <x v="3"/>
    <s v="Wells Fargo"/>
    <s v="1Point Rate"/>
    <s v="MTG"/>
    <x v="9"/>
    <n v="3.8281034376602534"/>
  </r>
  <r>
    <x v="3"/>
    <s v="Wells Fargo"/>
    <s v="1Point Rate"/>
    <s v="MTG"/>
    <x v="10"/>
    <n v="3.7907999999999999"/>
  </r>
  <r>
    <x v="3"/>
    <s v="Wells Fargo"/>
    <s v="1Point Rate"/>
    <s v="MTG"/>
    <x v="11"/>
    <n v="3.7452361066975079"/>
  </r>
  <r>
    <x v="3"/>
    <s v="Wells Fargo"/>
    <s v="1Point Rate"/>
    <s v="MTG"/>
    <x v="12"/>
    <n v="3.701847554934004"/>
  </r>
  <r>
    <x v="3"/>
    <s v="Wells Fargo"/>
    <s v="1Point Rate"/>
    <s v="MTG"/>
    <x v="13"/>
    <n v="3.74523610669750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">
  <r>
    <s v="30YrConformingConventional"/>
    <s v="Bank of America"/>
    <x v="0"/>
    <s v="MTG"/>
    <x v="0"/>
    <n v="1.4212973282672137"/>
  </r>
  <r>
    <s v="30YrConformingConventional"/>
    <s v="Bank of America"/>
    <x v="0"/>
    <s v="MTG"/>
    <x v="1"/>
    <n v="1.4538805196385804"/>
  </r>
  <r>
    <s v="30YrConformingConventional"/>
    <s v="Bank of America"/>
    <x v="0"/>
    <s v="MTG"/>
    <x v="2"/>
    <n v="1.4595784375698646"/>
  </r>
  <r>
    <s v="30YrConformingConventional"/>
    <s v="Bank of America"/>
    <x v="0"/>
    <s v="MTG"/>
    <x v="3"/>
    <n v="1.4360929633267601"/>
  </r>
  <r>
    <s v="30YrConformingConventional"/>
    <s v="Bank of America"/>
    <x v="0"/>
    <s v="MTG"/>
    <x v="4"/>
    <n v="1.4117383662411456"/>
  </r>
  <r>
    <s v="30YrConformingConventional"/>
    <s v="Bank of America"/>
    <x v="0"/>
    <s v="MTG"/>
    <x v="5"/>
    <n v="1.434637613344325"/>
  </r>
  <r>
    <s v="30YrConformingConventional"/>
    <s v="Bank of America"/>
    <x v="0"/>
    <s v="MTG"/>
    <x v="6"/>
    <n v="1.4414546828382009"/>
  </r>
  <r>
    <s v="30YrConformingConventional"/>
    <s v="Bank of America"/>
    <x v="0"/>
    <s v="MTG"/>
    <x v="7"/>
    <n v="1.3733506898048042"/>
  </r>
  <r>
    <s v="30YrConformingConventional"/>
    <s v="Bank of America"/>
    <x v="0"/>
    <s v="MTG"/>
    <x v="8"/>
    <n v="1.4202216163192376"/>
  </r>
  <r>
    <s v="30YrConformingConventional"/>
    <s v="Bank of America"/>
    <x v="0"/>
    <s v="MTG"/>
    <x v="9"/>
    <n v="1.3453422461391324"/>
  </r>
  <r>
    <s v="30YrConformingConventional"/>
    <s v="Bank of America"/>
    <x v="0"/>
    <s v="MTG"/>
    <x v="10"/>
    <n v="1.3442181458154518"/>
  </r>
  <r>
    <s v="30YrConformingConventional"/>
    <s v="Bank of America"/>
    <x v="0"/>
    <s v="MTG"/>
    <x v="11"/>
    <n v="1.4236043382832138"/>
  </r>
  <r>
    <s v="30YrConformingConventional"/>
    <s v="Bank of America"/>
    <x v="0"/>
    <s v="MTG"/>
    <x v="12"/>
    <n v="1.3566722547216032"/>
  </r>
  <r>
    <s v="30YrConformingConventional"/>
    <s v="Bank of America"/>
    <x v="0"/>
    <s v="MTG"/>
    <x v="13"/>
    <n v="1.3707489922748624"/>
  </r>
  <r>
    <s v="30YrConformingConventional"/>
    <s v="Chase"/>
    <x v="0"/>
    <s v="MTG"/>
    <x v="0"/>
    <n v="1.3201681510401224"/>
  </r>
  <r>
    <s v="30YrConformingConventional"/>
    <s v="Chase"/>
    <x v="0"/>
    <s v="MTG"/>
    <x v="1"/>
    <n v="1.3006860975554306"/>
  </r>
  <r>
    <s v="30YrConformingConventional"/>
    <s v="Chase"/>
    <x v="0"/>
    <s v="MTG"/>
    <x v="2"/>
    <n v="1.2145602915852296"/>
  </r>
  <r>
    <s v="30YrConformingConventional"/>
    <s v="Chase"/>
    <x v="0"/>
    <s v="MTG"/>
    <x v="3"/>
    <n v="1.09980485566"/>
  </r>
  <r>
    <s v="30YrConformingConventional"/>
    <s v="Chase"/>
    <x v="0"/>
    <s v="MTG"/>
    <x v="4"/>
    <n v="1.0964918123855762"/>
  </r>
  <r>
    <s v="30YrConformingConventional"/>
    <s v="Chase"/>
    <x v="0"/>
    <s v="MTG"/>
    <x v="5"/>
    <n v="1.122598007927214"/>
  </r>
  <r>
    <s v="30YrConformingConventional"/>
    <s v="Chase"/>
    <x v="0"/>
    <s v="MTG"/>
    <x v="6"/>
    <n v="1.1411130414158539"/>
  </r>
  <r>
    <s v="30YrConformingConventional"/>
    <s v="Chase"/>
    <x v="0"/>
    <s v="MTG"/>
    <x v="7"/>
    <n v="1.0587143334773157"/>
  </r>
  <r>
    <s v="30YrConformingConventional"/>
    <s v="Chase"/>
    <x v="0"/>
    <s v="MTG"/>
    <x v="8"/>
    <n v="1.1038366846652226"/>
  </r>
  <r>
    <s v="30YrConformingConventional"/>
    <s v="Chase"/>
    <x v="0"/>
    <s v="MTG"/>
    <x v="9"/>
    <n v="1.1119619050322371"/>
  </r>
  <r>
    <s v="30YrConformingConventional"/>
    <s v="Chase"/>
    <x v="0"/>
    <s v="MTG"/>
    <x v="10"/>
    <n v="1.1395014245030624"/>
  </r>
  <r>
    <s v="30YrConformingConventional"/>
    <s v="Chase"/>
    <x v="0"/>
    <s v="MTG"/>
    <x v="11"/>
    <n v="1.1496922636127707"/>
  </r>
  <r>
    <s v="30YrConformingConventional"/>
    <s v="Chase"/>
    <x v="0"/>
    <s v="MTG"/>
    <x v="12"/>
    <n v="1.1030360980347382"/>
  </r>
  <r>
    <s v="30YrConformingConventional"/>
    <s v="Chase"/>
    <x v="0"/>
    <s v="MTG"/>
    <x v="13"/>
    <n v="1.1707682281644907"/>
  </r>
  <r>
    <s v="30YrConformingConventional"/>
    <s v="Quicken"/>
    <x v="0"/>
    <s v="MTG"/>
    <x v="0"/>
    <n v="1.4380197325194559"/>
  </r>
  <r>
    <s v="30YrConformingConventional"/>
    <s v="Quicken"/>
    <x v="0"/>
    <s v="MTG"/>
    <x v="1"/>
    <n v="1.4480315377515394"/>
  </r>
  <r>
    <s v="30YrConformingConventional"/>
    <s v="Quicken"/>
    <x v="0"/>
    <s v="MTG"/>
    <x v="2"/>
    <n v="1.4566536855283092"/>
  </r>
  <r>
    <s v="30YrConformingConventional"/>
    <s v="Quicken"/>
    <x v="0"/>
    <s v="MTG"/>
    <x v="3"/>
    <n v="1.4264489588822669"/>
  </r>
  <r>
    <s v="30YrConformingConventional"/>
    <s v="Quicken"/>
    <x v="0"/>
    <s v="MTG"/>
    <x v="4"/>
    <n v="1.4952818872147542"/>
  </r>
  <r>
    <s v="30YrConformingConventional"/>
    <s v="Quicken"/>
    <x v="0"/>
    <s v="MTG"/>
    <x v="5"/>
    <n v="1.4900890106520488"/>
  </r>
  <r>
    <s v="30YrConformingConventional"/>
    <s v="Quicken"/>
    <x v="0"/>
    <s v="MTG"/>
    <x v="6"/>
    <n v="1.4765235270090056"/>
  </r>
  <r>
    <s v="30YrConformingConventional"/>
    <s v="Quicken"/>
    <x v="0"/>
    <s v="MTG"/>
    <x v="7"/>
    <n v="1.458400562294766"/>
  </r>
  <r>
    <s v="30YrConformingConventional"/>
    <s v="Quicken"/>
    <x v="0"/>
    <s v="MTG"/>
    <x v="8"/>
    <n v="1.4728530811846257"/>
  </r>
  <r>
    <s v="30YrConformingConventional"/>
    <s v="Quicken"/>
    <x v="0"/>
    <s v="MTG"/>
    <x v="9"/>
    <n v="1.4480384086770592"/>
  </r>
  <r>
    <s v="30YrConformingConventional"/>
    <s v="Quicken"/>
    <x v="0"/>
    <s v="MTG"/>
    <x v="10"/>
    <n v="1.4763786632440858"/>
  </r>
  <r>
    <s v="30YrConformingConventional"/>
    <s v="Quicken"/>
    <x v="0"/>
    <s v="MTG"/>
    <x v="11"/>
    <n v="1.4236442001834584"/>
  </r>
  <r>
    <s v="30YrConformingConventional"/>
    <s v="Quicken"/>
    <x v="0"/>
    <s v="MTG"/>
    <x v="12"/>
    <n v="1.4069365395175983"/>
  </r>
  <r>
    <s v="30YrConformingConventional"/>
    <s v="Quicken"/>
    <x v="0"/>
    <s v="MTG"/>
    <x v="13"/>
    <n v="1.4771625368674803"/>
  </r>
  <r>
    <s v="30YrConformingConventional"/>
    <s v="Wells Fargo"/>
    <x v="0"/>
    <s v="MTG"/>
    <x v="0"/>
    <n v="1.3276040404206293"/>
  </r>
  <r>
    <s v="30YrConformingConventional"/>
    <s v="Wells Fargo"/>
    <x v="0"/>
    <s v="MTG"/>
    <x v="1"/>
    <n v="1.3376202576964793"/>
  </r>
  <r>
    <s v="30YrConformingConventional"/>
    <s v="Wells Fargo"/>
    <x v="0"/>
    <s v="MTG"/>
    <x v="2"/>
    <n v="1.3462424054732489"/>
  </r>
  <r>
    <s v="30YrConformingConventional"/>
    <s v="Wells Fargo"/>
    <x v="0"/>
    <s v="MTG"/>
    <x v="3"/>
    <n v="1.4339233654036512"/>
  </r>
  <r>
    <s v="30YrConformingConventional"/>
    <s v="Wells Fargo"/>
    <x v="0"/>
    <s v="MTG"/>
    <x v="4"/>
    <n v="1.3980450736732202"/>
  </r>
  <r>
    <s v="30YrConformingConventional"/>
    <s v="Wells Fargo"/>
    <x v="0"/>
    <s v="MTG"/>
    <x v="5"/>
    <n v="1.3467036436431594"/>
  </r>
  <r>
    <s v="30YrConformingConventional"/>
    <s v="Wells Fargo"/>
    <x v="0"/>
    <s v="MTG"/>
    <x v="6"/>
    <n v="1.3652186771317991"/>
  </r>
  <r>
    <s v="30YrConformingConventional"/>
    <s v="Wells Fargo"/>
    <x v="0"/>
    <s v="MTG"/>
    <x v="7"/>
    <n v="1.4863728858778815"/>
  </r>
  <r>
    <s v="30YrConformingConventional"/>
    <s v="Wells Fargo"/>
    <x v="0"/>
    <s v="MTG"/>
    <x v="8"/>
    <n v="1.3615482313074194"/>
  </r>
  <r>
    <s v="30YrConformingConventional"/>
    <s v="Wells Fargo"/>
    <x v="0"/>
    <s v="MTG"/>
    <x v="9"/>
    <n v="1.3376271286219992"/>
  </r>
  <r>
    <s v="30YrConformingConventional"/>
    <s v="Wells Fargo"/>
    <x v="0"/>
    <s v="MTG"/>
    <x v="10"/>
    <n v="1.334712971145259"/>
  </r>
  <r>
    <s v="30YrConformingConventional"/>
    <s v="Wells Fargo"/>
    <x v="0"/>
    <s v="MTG"/>
    <x v="11"/>
    <n v="1.481982231006719"/>
  </r>
  <r>
    <s v="30YrConformingConventional"/>
    <s v="Wells Fargo"/>
    <x v="0"/>
    <s v="MTG"/>
    <x v="12"/>
    <n v="1.4040077380531564"/>
  </r>
  <r>
    <s v="30YrConformingConventional"/>
    <s v="Wells Fargo"/>
    <x v="0"/>
    <s v="MTG"/>
    <x v="13"/>
    <n v="1.503058195558439"/>
  </r>
  <r>
    <s v="FN_CMM_30Yr"/>
    <s v="CELLO"/>
    <x v="1"/>
    <s v="MTG"/>
    <x v="0"/>
    <n v="2.8341999400292899"/>
  </r>
  <r>
    <s v="FN_CMM_30Yr"/>
    <s v="CELLO"/>
    <x v="1"/>
    <s v="MTG"/>
    <x v="1"/>
    <n v="2.8241837227534399"/>
  </r>
  <r>
    <s v="FN_CMM_30Yr"/>
    <s v="CELLO"/>
    <x v="1"/>
    <s v="MTG"/>
    <x v="2"/>
    <n v="2.81556157497667"/>
  </r>
  <r>
    <s v="FN_CMM_30Yr"/>
    <s v="CELLO"/>
    <x v="1"/>
    <s v="MTG"/>
    <x v="3"/>
    <n v="2.9303170109018999"/>
  </r>
  <r>
    <s v="FN_CMM_30Yr"/>
    <s v="CELLO"/>
    <x v="1"/>
    <s v="MTG"/>
    <x v="4"/>
    <n v="2.90222752352993"/>
  </r>
  <r>
    <s v="FN_CMM_30Yr"/>
    <s v="CELLO"/>
    <x v="1"/>
    <s v="MTG"/>
    <x v="5"/>
    <n v="2.84635033680676"/>
  </r>
  <r>
    <s v="FN_CMM_30Yr"/>
    <s v="CELLO"/>
    <x v="1"/>
    <s v="MTG"/>
    <x v="6"/>
    <n v="2.8278353033181198"/>
  </r>
  <r>
    <s v="FN_CMM_30Yr"/>
    <s v="CELLO"/>
    <x v="1"/>
    <s v="MTG"/>
    <x v="7"/>
    <n v="2.8138191102539798"/>
  </r>
  <r>
    <s v="FN_CMM_30Yr"/>
    <s v="CELLO"/>
    <x v="1"/>
    <s v="MTG"/>
    <x v="8"/>
    <n v="2.8315057491425"/>
  </r>
  <r>
    <s v="FN_CMM_30Yr"/>
    <s v="CELLO"/>
    <x v="1"/>
    <s v="MTG"/>
    <x v="9"/>
    <n v="2.8241768518279202"/>
  </r>
  <r>
    <s v="FN_CMM_30Yr"/>
    <s v="CELLO"/>
    <x v="1"/>
    <s v="MTG"/>
    <x v="10"/>
    <n v="2.79584100930466"/>
  </r>
  <r>
    <s v="FN_CMM_30Yr"/>
    <s v="CELLO"/>
    <x v="1"/>
    <s v="MTG"/>
    <x v="11"/>
    <n v="2.6928489030954199"/>
  </r>
  <r>
    <s v="FN_CMM_30Yr"/>
    <s v="CELLO"/>
    <x v="1"/>
    <s v="MTG"/>
    <x v="12"/>
    <n v="2.70955656376128"/>
  </r>
  <r>
    <s v="FN_CMM_30Yr"/>
    <s v="CELLO"/>
    <x v="1"/>
    <s v="MTG"/>
    <x v="13"/>
    <n v="2.6717729385436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066228818482883"/>
  </r>
  <r>
    <x v="0"/>
    <x v="0"/>
    <x v="1"/>
    <s v="MTG"/>
    <x v="0"/>
    <n v="3.9380000000000002"/>
  </r>
  <r>
    <x v="0"/>
    <x v="0"/>
    <x v="2"/>
    <s v="MTG"/>
    <x v="0"/>
    <n v="1.131"/>
  </r>
  <r>
    <x v="0"/>
    <x v="0"/>
    <x v="3"/>
    <s v="MTG"/>
    <x v="0"/>
    <n v="3.75"/>
  </r>
  <r>
    <x v="0"/>
    <x v="0"/>
    <x v="4"/>
    <s v="MTG"/>
    <x v="0"/>
    <n v="1.3566722547216032"/>
  </r>
  <r>
    <x v="0"/>
    <x v="1"/>
    <x v="0"/>
    <s v="MTG"/>
    <x v="0"/>
    <n v="3.812592661796018"/>
  </r>
  <r>
    <x v="0"/>
    <x v="1"/>
    <x v="1"/>
    <s v="MTG"/>
    <x v="0"/>
    <n v="3.8530000000000002"/>
  </r>
  <r>
    <x v="0"/>
    <x v="1"/>
    <x v="2"/>
    <s v="MTG"/>
    <x v="0"/>
    <n v="1.25"/>
  </r>
  <r>
    <x v="0"/>
    <x v="1"/>
    <x v="3"/>
    <s v="MTG"/>
    <x v="0"/>
    <n v="3.75"/>
  </r>
  <r>
    <x v="0"/>
    <x v="1"/>
    <x v="4"/>
    <s v="MTG"/>
    <x v="0"/>
    <n v="1.1030360980347382"/>
  </r>
  <r>
    <x v="0"/>
    <x v="2"/>
    <x v="0"/>
    <s v="MTG"/>
    <x v="0"/>
    <n v="4.1164931032788781"/>
  </r>
  <r>
    <x v="0"/>
    <x v="2"/>
    <x v="1"/>
    <s v="MTG"/>
    <x v="0"/>
    <n v="3.9550000000000001"/>
  </r>
  <r>
    <x v="0"/>
    <x v="2"/>
    <x v="2"/>
    <s v="MTG"/>
    <x v="0"/>
    <n v="1.625"/>
  </r>
  <r>
    <x v="0"/>
    <x v="2"/>
    <x v="3"/>
    <s v="MTG"/>
    <x v="0"/>
    <n v="3.75"/>
  </r>
  <r>
    <x v="0"/>
    <x v="2"/>
    <x v="4"/>
    <s v="MTG"/>
    <x v="0"/>
    <n v="1.4069365395175983"/>
  </r>
  <r>
    <x v="0"/>
    <x v="3"/>
    <x v="0"/>
    <s v="MTG"/>
    <x v="0"/>
    <n v="4.1135643018144359"/>
  </r>
  <r>
    <x v="0"/>
    <x v="3"/>
    <x v="1"/>
    <s v="MTG"/>
    <x v="0"/>
    <n v="4.0270000000000001"/>
  </r>
  <r>
    <x v="0"/>
    <x v="3"/>
    <x v="5"/>
    <s v="MTG"/>
    <x v="0"/>
    <n v="225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"/>
  </r>
  <r>
    <x v="0"/>
    <x v="3"/>
    <x v="4"/>
    <s v="MTG"/>
    <x v="0"/>
    <n v="1.4040077380531564"/>
  </r>
  <r>
    <x v="1"/>
    <x v="2"/>
    <x v="1"/>
    <s v="MTG"/>
    <x v="0"/>
    <n v="4.141"/>
  </r>
  <r>
    <x v="1"/>
    <x v="2"/>
    <x v="2"/>
    <s v="MTG"/>
    <x v="0"/>
    <n v="2.25"/>
  </r>
  <r>
    <x v="1"/>
    <x v="2"/>
    <x v="3"/>
    <s v="MTG"/>
    <x v="0"/>
    <n v="3.25"/>
  </r>
  <r>
    <x v="1"/>
    <x v="3"/>
    <x v="0"/>
    <s v="MTG"/>
    <x v="0"/>
    <n v="3.8441249999999996"/>
  </r>
  <r>
    <x v="1"/>
    <x v="3"/>
    <x v="1"/>
    <s v="MTG"/>
    <x v="0"/>
    <n v="4.7679999999999998"/>
  </r>
  <r>
    <x v="1"/>
    <x v="3"/>
    <x v="5"/>
    <s v="MTG"/>
    <x v="0"/>
    <n v="6253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75"/>
  </r>
  <r>
    <x v="1"/>
    <x v="3"/>
    <x v="4"/>
    <s v="MTG"/>
    <x v="0"/>
    <n v="1.2590386118036996"/>
  </r>
  <r>
    <x v="1"/>
    <x v="3"/>
    <x v="7"/>
    <s v="MTG"/>
    <x v="0"/>
    <n v="3500"/>
  </r>
  <r>
    <x v="2"/>
    <x v="3"/>
    <x v="0"/>
    <s v="MTG"/>
    <x v="0"/>
    <n v="3.872298391426404"/>
  </r>
  <r>
    <x v="2"/>
    <x v="3"/>
    <x v="1"/>
    <s v="MTG"/>
    <x v="0"/>
    <n v="3.8980000000000001"/>
  </r>
  <r>
    <x v="2"/>
    <x v="3"/>
    <x v="5"/>
    <s v="MTG"/>
    <x v="0"/>
    <n v="3550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3.875"/>
  </r>
  <r>
    <x v="2"/>
    <x v="3"/>
    <x v="4"/>
    <s v="MTG"/>
    <x v="0"/>
    <n v="1.1627418276651245"/>
  </r>
  <r>
    <x v="3"/>
    <x v="3"/>
    <x v="0"/>
    <s v="MTG"/>
    <x v="0"/>
    <n v="3.701847554934004"/>
  </r>
  <r>
    <x v="3"/>
    <x v="3"/>
    <x v="1"/>
    <s v="MTG"/>
    <x v="0"/>
    <n v="3.8769999999999998"/>
  </r>
  <r>
    <x v="3"/>
    <x v="3"/>
    <x v="5"/>
    <s v="MTG"/>
    <x v="0"/>
    <n v="2123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875"/>
  </r>
  <r>
    <x v="3"/>
    <x v="3"/>
    <x v="4"/>
    <s v="MTG"/>
    <x v="0"/>
    <n v="0.9922909911727242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3">
  <r>
    <x v="0"/>
    <x v="0"/>
    <x v="0"/>
    <s v="MTG"/>
    <x v="0"/>
    <n v="3.93"/>
  </r>
  <r>
    <x v="0"/>
    <x v="0"/>
    <x v="1"/>
    <s v="MTG"/>
    <x v="0"/>
    <n v="1.0409999999999999"/>
  </r>
  <r>
    <x v="0"/>
    <x v="0"/>
    <x v="2"/>
    <s v="MTG"/>
    <x v="0"/>
    <n v="3.75"/>
  </r>
  <r>
    <x v="1"/>
    <x v="0"/>
    <x v="0"/>
    <s v="MTG"/>
    <x v="0"/>
    <n v="3.9470000000000001"/>
  </r>
  <r>
    <x v="1"/>
    <x v="0"/>
    <x v="1"/>
    <s v="MTG"/>
    <x v="0"/>
    <n v="0.875"/>
  </r>
  <r>
    <x v="1"/>
    <x v="0"/>
    <x v="2"/>
    <s v="MTG"/>
    <x v="0"/>
    <n v="3.875"/>
  </r>
  <r>
    <x v="2"/>
    <x v="0"/>
    <x v="0"/>
    <s v="MTG"/>
    <x v="0"/>
    <n v="3.9660000000000002"/>
  </r>
  <r>
    <x v="2"/>
    <x v="0"/>
    <x v="1"/>
    <s v="MTG"/>
    <x v="0"/>
    <n v="1.75"/>
  </r>
  <r>
    <x v="2"/>
    <x v="0"/>
    <x v="2"/>
    <s v="MTG"/>
    <x v="0"/>
    <n v="3.75"/>
  </r>
  <r>
    <x v="3"/>
    <x v="0"/>
    <x v="0"/>
    <s v="MTG"/>
    <x v="0"/>
    <n v="4.0369999999999999"/>
  </r>
  <r>
    <x v="3"/>
    <x v="0"/>
    <x v="3"/>
    <s v="MTG"/>
    <x v="0"/>
    <n v="2508"/>
  </r>
  <r>
    <x v="3"/>
    <x v="0"/>
    <x v="4"/>
    <s v="MTG"/>
    <x v="0"/>
    <n v="200000"/>
  </r>
  <r>
    <x v="3"/>
    <x v="0"/>
    <x v="1"/>
    <s v="MTG"/>
    <x v="0"/>
    <n v="1"/>
  </r>
  <r>
    <x v="3"/>
    <x v="0"/>
    <x v="2"/>
    <s v="MTG"/>
    <x v="0"/>
    <n v="4"/>
  </r>
  <r>
    <x v="2"/>
    <x v="1"/>
    <x v="0"/>
    <s v="MTG"/>
    <x v="0"/>
    <n v="4.2480000000000002"/>
  </r>
  <r>
    <x v="2"/>
    <x v="1"/>
    <x v="1"/>
    <s v="MTG"/>
    <x v="0"/>
    <n v="2"/>
  </r>
  <r>
    <x v="2"/>
    <x v="1"/>
    <x v="2"/>
    <s v="MTG"/>
    <x v="0"/>
    <n v="3.375"/>
  </r>
  <r>
    <x v="3"/>
    <x v="1"/>
    <x v="0"/>
    <s v="MTG"/>
    <x v="0"/>
    <n v="4.79"/>
  </r>
  <r>
    <x v="3"/>
    <x v="1"/>
    <x v="3"/>
    <s v="MTG"/>
    <x v="0"/>
    <n v="6762"/>
  </r>
  <r>
    <x v="3"/>
    <x v="1"/>
    <x v="4"/>
    <s v="MTG"/>
    <x v="0"/>
    <n v="200000"/>
  </r>
  <r>
    <x v="3"/>
    <x v="1"/>
    <x v="1"/>
    <s v="MTG"/>
    <x v="0"/>
    <n v="1"/>
  </r>
  <r>
    <x v="3"/>
    <x v="1"/>
    <x v="2"/>
    <s v="MTG"/>
    <x v="0"/>
    <n v="3.75"/>
  </r>
  <r>
    <x v="3"/>
    <x v="1"/>
    <x v="5"/>
    <s v="MTG"/>
    <x v="0"/>
    <n v="3500"/>
  </r>
  <r>
    <x v="3"/>
    <x v="2"/>
    <x v="0"/>
    <s v="MTG"/>
    <x v="0"/>
    <n v="4.0129999999999999"/>
  </r>
  <r>
    <x v="3"/>
    <x v="2"/>
    <x v="3"/>
    <s v="MTG"/>
    <x v="0"/>
    <n v="2951"/>
  </r>
  <r>
    <x v="3"/>
    <x v="2"/>
    <x v="4"/>
    <s v="MTG"/>
    <x v="0"/>
    <n v="500000"/>
  </r>
  <r>
    <x v="3"/>
    <x v="2"/>
    <x v="1"/>
    <s v="MTG"/>
    <x v="0"/>
    <n v="1"/>
  </r>
  <r>
    <x v="3"/>
    <x v="2"/>
    <x v="2"/>
    <s v="MTG"/>
    <x v="0"/>
    <n v="4"/>
  </r>
  <r>
    <x v="3"/>
    <x v="3"/>
    <x v="0"/>
    <s v="MTG"/>
    <x v="0"/>
    <n v="3.8809999999999998"/>
  </r>
  <r>
    <x v="3"/>
    <x v="3"/>
    <x v="3"/>
    <s v="MTG"/>
    <x v="0"/>
    <n v="3060"/>
  </r>
  <r>
    <x v="3"/>
    <x v="3"/>
    <x v="4"/>
    <s v="MTG"/>
    <x v="0"/>
    <n v="750000"/>
  </r>
  <r>
    <x v="3"/>
    <x v="3"/>
    <x v="1"/>
    <s v="MTG"/>
    <x v="0"/>
    <n v="1"/>
  </r>
  <r>
    <x v="3"/>
    <x v="3"/>
    <x v="2"/>
    <s v="MTG"/>
    <x v="0"/>
    <n v="3.87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517273654617371"/>
  </r>
  <r>
    <x v="0"/>
    <x v="0"/>
    <x v="1"/>
    <s v="MTG"/>
    <x v="0"/>
    <n v="4.085"/>
  </r>
  <r>
    <x v="0"/>
    <x v="0"/>
    <x v="2"/>
    <s v="MTG"/>
    <x v="0"/>
    <n v="1.214"/>
  </r>
  <r>
    <x v="0"/>
    <x v="0"/>
    <x v="3"/>
    <s v="MTG"/>
    <x v="0"/>
    <n v="3.875"/>
  </r>
  <r>
    <x v="0"/>
    <x v="0"/>
    <x v="4"/>
    <s v="MTG"/>
    <x v="0"/>
    <n v="1.4202216163192376"/>
  </r>
  <r>
    <x v="0"/>
    <x v="1"/>
    <x v="0"/>
    <s v="MTG"/>
    <x v="0"/>
    <n v="3.9353424338077225"/>
  </r>
  <r>
    <x v="0"/>
    <x v="1"/>
    <x v="1"/>
    <s v="MTG"/>
    <x v="0"/>
    <n v="3.9780000000000002"/>
  </r>
  <r>
    <x v="0"/>
    <x v="1"/>
    <x v="2"/>
    <s v="MTG"/>
    <x v="0"/>
    <n v="1.25"/>
  </r>
  <r>
    <x v="0"/>
    <x v="1"/>
    <x v="3"/>
    <s v="MTG"/>
    <x v="0"/>
    <n v="3.875"/>
  </r>
  <r>
    <x v="0"/>
    <x v="1"/>
    <x v="4"/>
    <s v="MTG"/>
    <x v="0"/>
    <n v="1.1038366846652226"/>
  </r>
  <r>
    <x v="0"/>
    <x v="2"/>
    <x v="0"/>
    <s v="MTG"/>
    <x v="0"/>
    <n v="4.3043588303271259"/>
  </r>
  <r>
    <x v="0"/>
    <x v="2"/>
    <x v="1"/>
    <s v="MTG"/>
    <x v="0"/>
    <n v="4.1029999999999998"/>
  </r>
  <r>
    <x v="0"/>
    <x v="2"/>
    <x v="2"/>
    <s v="MTG"/>
    <x v="0"/>
    <n v="1.875"/>
  </r>
  <r>
    <x v="0"/>
    <x v="2"/>
    <x v="3"/>
    <s v="MTG"/>
    <x v="0"/>
    <n v="3.875"/>
  </r>
  <r>
    <x v="0"/>
    <x v="2"/>
    <x v="4"/>
    <s v="MTG"/>
    <x v="0"/>
    <n v="1.4728530811846257"/>
  </r>
  <r>
    <x v="0"/>
    <x v="3"/>
    <x v="0"/>
    <s v="MTG"/>
    <x v="0"/>
    <n v="4.1930539804499194"/>
  </r>
  <r>
    <x v="0"/>
    <x v="3"/>
    <x v="1"/>
    <s v="MTG"/>
    <x v="0"/>
    <n v="4.1470000000000002"/>
  </r>
  <r>
    <x v="0"/>
    <x v="3"/>
    <x v="5"/>
    <s v="MTG"/>
    <x v="0"/>
    <n v="201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615482313074194"/>
  </r>
  <r>
    <x v="1"/>
    <x v="2"/>
    <x v="1"/>
    <s v="MTG"/>
    <x v="0"/>
    <n v="4.3879999999999999"/>
  </r>
  <r>
    <x v="1"/>
    <x v="2"/>
    <x v="2"/>
    <s v="MTG"/>
    <x v="0"/>
    <n v="2.125"/>
  </r>
  <r>
    <x v="1"/>
    <x v="2"/>
    <x v="3"/>
    <s v="MTG"/>
    <x v="0"/>
    <n v="3.5"/>
  </r>
  <r>
    <x v="1"/>
    <x v="3"/>
    <x v="0"/>
    <s v="MTG"/>
    <x v="0"/>
    <n v="4.0036250000000004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3060398010481804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92383193019055"/>
  </r>
  <r>
    <x v="3"/>
    <x v="3"/>
    <x v="0"/>
    <s v="MTG"/>
    <x v="0"/>
    <n v="3.8714038285041039"/>
  </r>
  <r>
    <x v="3"/>
    <x v="3"/>
    <x v="1"/>
    <s v="MTG"/>
    <x v="0"/>
    <n v="4.0060000000000002"/>
  </r>
  <r>
    <x v="3"/>
    <x v="3"/>
    <x v="5"/>
    <s v="MTG"/>
    <x v="0"/>
    <n v="3099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03989807936160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RatesSummaryTable" cacheId="323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I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2"/>
        <item x="1"/>
        <item x="0"/>
        <item x="3"/>
        <item x="4"/>
        <item x="5"/>
        <item m="1" x="6"/>
        <item m="1" x="7"/>
        <item m="1" x="8"/>
        <item t="default"/>
      </items>
    </pivotField>
    <pivotField compact="0" outline="0" showAll="0"/>
    <pivotField axis="axisRow" compact="0" outline="0" showAll="0" defaultSubtotal="0">
      <items count="16">
        <item m="1" x="12"/>
        <item m="1" x="14"/>
        <item m="1" x="2"/>
        <item m="1" x="1"/>
        <item m="1" x="4"/>
        <item m="1" x="6"/>
        <item m="1" x="8"/>
        <item m="1" x="7"/>
        <item m="1" x="9"/>
        <item m="1" x="10"/>
        <item m="1" x="11"/>
        <item m="1" x="13"/>
        <item m="1" x="15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15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32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11">
        <item m="1" x="2"/>
        <item m="1" x="1"/>
        <item m="1" x="10"/>
        <item m="1" x="3"/>
        <item m="1" x="4"/>
        <item m="1" x="5"/>
        <item m="1" x="7"/>
        <item m="1" x="6"/>
        <item m="1" x="8"/>
        <item m="1" x="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10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320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5">
  <location ref="A78:E93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2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321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M78:O93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>
      <items count="29">
        <item x="0"/>
        <item x="1"/>
        <item x="2"/>
        <item x="3"/>
        <item x="4"/>
        <item x="5"/>
        <item x="6"/>
        <item x="7"/>
        <item x="8"/>
        <item m="1" x="17"/>
        <item m="1" x="19"/>
        <item m="1" x="21"/>
        <item m="1" x="23"/>
        <item m="1" x="26"/>
        <item m="1" x="27"/>
        <item m="1" x="15"/>
        <item m="1" x="14"/>
        <item m="1" x="16"/>
        <item m="1" x="18"/>
        <item m="1" x="20"/>
        <item m="1" x="22"/>
        <item m="1" x="24"/>
        <item m="1" x="25"/>
        <item x="9"/>
        <item x="10"/>
        <item x="11"/>
        <item x="12"/>
        <item x="13"/>
        <item t="default"/>
      </items>
    </pivotField>
    <pivotField dataField="1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23"/>
    </i>
    <i>
      <x v="24"/>
    </i>
    <i>
      <x v="25"/>
    </i>
    <i>
      <x v="26"/>
    </i>
    <i>
      <x v="27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3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32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14">
        <item m="1" x="12"/>
        <item m="1" x="10"/>
        <item m="1" x="1"/>
        <item m="1" x="3"/>
        <item m="1" x="4"/>
        <item m="1" x="6"/>
        <item m="1" x="5"/>
        <item m="1" x="7"/>
        <item m="1" x="8"/>
        <item m="1" x="9"/>
        <item m="1" x="11"/>
        <item m="1" x="1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13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9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6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CurrentMtgRatesDataTable" displayName="CurrentMtgRatesDataTable" ref="A6:F39" tableType="queryTable" totalsRowShown="0" headerRowDxfId="49" dataDxfId="48">
  <tableColumns count="6">
    <tableColumn id="3" uniqueName="3" name="Source" queryTableFieldId="44" dataDxfId="47" dataCellStyle="Normal 2 7"/>
    <tableColumn id="4" uniqueName="4" name="TickerName" queryTableFieldId="45" dataDxfId="46" dataCellStyle="Normal 2 7"/>
    <tableColumn id="5" uniqueName="5" name="SeriesType" queryTableFieldId="46" dataDxfId="45" dataCellStyle="Normal 2 7"/>
    <tableColumn id="6" uniqueName="6" name="Category" queryTableFieldId="47" dataDxfId="44" dataCellStyle="Normal 2 7"/>
    <tableColumn id="10" uniqueName="10" name="AsOfDate" queryTableFieldId="51" dataDxfId="43" dataCellStyle="Normal 2 7"/>
    <tableColumn id="11" uniqueName="11" name="SeriesNumValue" queryTableFieldId="52" dataDxfId="42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41" dataDxfId="40">
  <tableColumns count="6">
    <tableColumn id="2" uniqueName="2" name="TickerName" queryTableFieldId="57" dataDxfId="39"/>
    <tableColumn id="3" uniqueName="3" name="Source" queryTableFieldId="58" dataDxfId="38"/>
    <tableColumn id="4" uniqueName="4" name="SeriesType" queryTableFieldId="59" dataDxfId="37"/>
    <tableColumn id="5" uniqueName="5" name="Category" queryTableFieldId="60" dataDxfId="36"/>
    <tableColumn id="6" uniqueName="6" name="AsOfDate" queryTableFieldId="61" dataDxfId="35"/>
    <tableColumn id="7" uniqueName="7" name="SeriesNumValue" queryTableFieldId="62" dataDxfId="3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33" dataDxfId="32">
  <tableColumns count="6">
    <tableColumn id="2" uniqueName="2" name="TickerName" queryTableFieldId="57" dataDxfId="31" dataCellStyle="Normal 2 7"/>
    <tableColumn id="3" uniqueName="3" name="Source" queryTableFieldId="58" dataDxfId="30" dataCellStyle="Normal 2 7"/>
    <tableColumn id="4" uniqueName="4" name="SeriesType" queryTableFieldId="59" dataDxfId="29" dataCellStyle="Normal 2 7"/>
    <tableColumn id="5" uniqueName="5" name="Category" queryTableFieldId="60" dataDxfId="28" dataCellStyle="Normal 2 7"/>
    <tableColumn id="6" uniqueName="6" name="AsOfDate" queryTableFieldId="61" dataDxfId="27" dataCellStyle="Normal 2 7"/>
    <tableColumn id="7" uniqueName="7" name="SeriesNumValue" queryTableFieldId="62" dataDxfId="26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5" dataDxfId="24">
  <tableColumns count="3">
    <tableColumn id="2" uniqueName="2" name="TickerName" queryTableFieldId="57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104" tableType="queryTable" totalsRowShown="0" headerRowDxfId="20" dataDxfId="19">
  <tableColumns count="6">
    <tableColumn id="2" uniqueName="2" name="TickerName" queryTableFieldId="57" dataDxfId="18" dataCellStyle="Normal 2 7"/>
    <tableColumn id="3" uniqueName="3" name="Source" queryTableFieldId="58" dataDxfId="17" dataCellStyle="Normal 2 7"/>
    <tableColumn id="4" uniqueName="4" name="SeriesType" queryTableFieldId="59" dataDxfId="16" dataCellStyle="Normal 2 7"/>
    <tableColumn id="5" uniqueName="5" name="Category" queryTableFieldId="60" dataDxfId="15" dataCellStyle="Normal 2 7"/>
    <tableColumn id="6" uniqueName="6" name="AsOfDate" queryTableFieldId="61" dataDxfId="14" dataCellStyle="Normal 2 7"/>
    <tableColumn id="7" uniqueName="7" name="SeriesNumValue" queryTableFieldId="62" dataDxfId="13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76" tableType="queryTable" totalsRowShown="0" headerRowDxfId="12" dataDxfId="11">
  <tableColumns count="6">
    <tableColumn id="2" uniqueName="2" name="TickerName" queryTableFieldId="57" dataDxfId="10" dataCellStyle="Normal 2 7"/>
    <tableColumn id="3" uniqueName="3" name="Source" queryTableFieldId="58" dataDxfId="9" dataCellStyle="Normal 2 7"/>
    <tableColumn id="4" uniqueName="4" name="SeriesType" queryTableFieldId="59" dataDxfId="8" dataCellStyle="Normal 2 7"/>
    <tableColumn id="5" uniqueName="5" name="Category" queryTableFieldId="60" dataDxfId="7" dataCellStyle="Normal 2 7"/>
    <tableColumn id="6" uniqueName="6" name="AsOfDate" queryTableFieldId="61" dataDxfId="6" dataCellStyle="Normal 2 7"/>
    <tableColumn id="7" uniqueName="7" name="SeriesNumValue" queryTableFieldId="62" dataDxfId="5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75"/>
  <sheetViews>
    <sheetView topLeftCell="C1" zoomScaleNormal="100" workbookViewId="0">
      <selection activeCell="V19" sqref="V19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107</v>
      </c>
    </row>
    <row r="2" spans="3:24">
      <c r="U2" s="86" t="s">
        <v>60</v>
      </c>
      <c r="V2" s="88">
        <v>42083</v>
      </c>
    </row>
    <row r="3" spans="3:24" s="1" customFormat="1">
      <c r="U3" s="86" t="s">
        <v>71</v>
      </c>
      <c r="V3" s="87" t="str">
        <f>"S:\Users\Lien\Daily Report\1.Daily Originator Mortgage Rate Report\Daily Originator Mortgage Rate Report " &amp; TEXT(CurrentCloseDate, "yyyy-mm-dd") &amp; ".pdf"</f>
        <v>S:\Users\Lien\Daily Report\1.Daily Originator Mortgage Rate Report\Daily Originator Mortgage Rate Report 2015-03-20.pdf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8" spans="3:24">
      <c r="C8" s="89" t="s">
        <v>61</v>
      </c>
    </row>
    <row r="9" spans="3:24" s="43" customFormat="1" ht="18" customHeight="1">
      <c r="C9" s="95" t="s">
        <v>16</v>
      </c>
      <c r="D9" s="145" t="s">
        <v>31</v>
      </c>
      <c r="E9" s="141"/>
      <c r="F9" s="141"/>
      <c r="G9" s="141" t="s">
        <v>0</v>
      </c>
      <c r="H9" s="141"/>
      <c r="I9" s="142"/>
      <c r="J9" s="80" t="s">
        <v>30</v>
      </c>
      <c r="K9" s="80" t="s">
        <v>9</v>
      </c>
      <c r="L9" s="80" t="s">
        <v>10</v>
      </c>
      <c r="M9" s="81" t="s">
        <v>21</v>
      </c>
      <c r="N9" s="82" t="s">
        <v>29</v>
      </c>
      <c r="O9" s="81" t="s">
        <v>46</v>
      </c>
      <c r="P9" s="80" t="s">
        <v>74</v>
      </c>
      <c r="Q9" s="80" t="s">
        <v>72</v>
      </c>
      <c r="R9" s="82" t="s">
        <v>73</v>
      </c>
    </row>
    <row r="10" spans="3:24" s="99" customFormat="1" ht="18" customHeight="1">
      <c r="C10" s="133" t="s">
        <v>17</v>
      </c>
      <c r="D10" s="146">
        <f>'BoA - Conventional'!C4</f>
        <v>3.7499999999999999E-2</v>
      </c>
      <c r="E10" s="143"/>
      <c r="F10" s="143"/>
      <c r="G10" s="143">
        <f>'BoA - Conventional'!C5</f>
        <v>3.9300000000000002E-2</v>
      </c>
      <c r="H10" s="143"/>
      <c r="I10" s="144"/>
      <c r="J10" s="37">
        <f>'BoA - Conventional'!F5</f>
        <v>1.0409999999999999E-2</v>
      </c>
      <c r="K10" s="37">
        <f>'BoA - Conventional'!F6</f>
        <v>1.12908772327425E-2</v>
      </c>
      <c r="L10" s="37">
        <f>'BoA - Conventional'!F7</f>
        <v>2.1700877232742499E-2</v>
      </c>
      <c r="M10" s="47">
        <f>'BoA - Conventional'!I4</f>
        <v>4.0425219308185621E-2</v>
      </c>
      <c r="N10" s="48">
        <f>M10-D$24</f>
        <v>1.3707489922748624E-2</v>
      </c>
      <c r="O10" s="50">
        <f>(M10-'Historic Result'!C5)*100*100</f>
        <v>-2.3706887664320941</v>
      </c>
      <c r="P10" s="36">
        <f>(N10-'Historic Result'!D5)*100*100</f>
        <v>1.4076737553259111</v>
      </c>
      <c r="Q10" s="36">
        <f>(M10-'Historic Result'!E5)*100*100</f>
        <v>-20.920543464317472</v>
      </c>
      <c r="R10" s="44">
        <f>(N10-'Historic Result'!F5)*100*100</f>
        <v>-4.9472624044375264</v>
      </c>
    </row>
    <row r="11" spans="3:24" s="99" customFormat="1" ht="18" customHeight="1">
      <c r="C11" s="133" t="s">
        <v>18</v>
      </c>
      <c r="D11" s="146">
        <f>'Chase - Conventional'!C4</f>
        <v>3.875E-2</v>
      </c>
      <c r="E11" s="143"/>
      <c r="F11" s="143"/>
      <c r="G11" s="143">
        <f>'Chase - Conventional'!C5</f>
        <v>3.9469999999999998E-2</v>
      </c>
      <c r="H11" s="143"/>
      <c r="I11" s="144"/>
      <c r="J11" s="37" t="s">
        <v>2</v>
      </c>
      <c r="K11" s="37" t="s">
        <v>2</v>
      </c>
      <c r="L11" s="37">
        <f>'Chase - Conventional'!F7</f>
        <v>8.7016466683276228E-3</v>
      </c>
      <c r="M11" s="47">
        <f>'Chase - Conventional'!I4</f>
        <v>3.8425411667081903E-2</v>
      </c>
      <c r="N11" s="48">
        <f>M11-D$24</f>
        <v>1.1707682281644906E-2</v>
      </c>
      <c r="O11" s="50">
        <f>(M11-'Historic Result'!C6)*100*100</f>
        <v>2.9948504912172269</v>
      </c>
      <c r="P11" s="36">
        <f>(N11-'Historic Result'!D6)*100*100</f>
        <v>6.7732130129752317</v>
      </c>
      <c r="Q11" s="36">
        <f>(M11-'Historic Result'!E6)*100*100</f>
        <v>-9.2801267099532065</v>
      </c>
      <c r="R11" s="44">
        <f>(N11-'Historic Result'!F6)*100*100</f>
        <v>6.6931543499268091</v>
      </c>
    </row>
    <row r="12" spans="3:24" s="99" customFormat="1" ht="18" customHeight="1">
      <c r="C12" s="133" t="s">
        <v>19</v>
      </c>
      <c r="D12" s="146">
        <f>'Quicken - Conventional'!C4</f>
        <v>3.7499999999999999E-2</v>
      </c>
      <c r="E12" s="143"/>
      <c r="F12" s="143"/>
      <c r="G12" s="143">
        <f>'Quicken - Conventional'!C5</f>
        <v>3.9660000000000001E-2</v>
      </c>
      <c r="H12" s="143"/>
      <c r="I12" s="144"/>
      <c r="J12" s="37">
        <f>'Quicken - Conventional'!F5</f>
        <v>1.7500000000000002E-2</v>
      </c>
      <c r="K12" s="37">
        <f>'Quicken - Conventional'!F6</f>
        <v>8.4574190164472124E-3</v>
      </c>
      <c r="L12" s="37">
        <f>'Quicken - Conventional'!F7</f>
        <v>2.5957419016447214E-2</v>
      </c>
      <c r="M12" s="47">
        <f>'Quicken - Conventional'!I4</f>
        <v>4.14893547541118E-2</v>
      </c>
      <c r="N12" s="48">
        <f>M12-D$24</f>
        <v>1.4771625368674803E-2</v>
      </c>
      <c r="O12" s="50">
        <f>(M12-'Historic Result'!C7)*100*100</f>
        <v>3.2442372132301944</v>
      </c>
      <c r="P12" s="36">
        <f>(N12-'Historic Result'!D7)*100*100</f>
        <v>7.0225997349881997</v>
      </c>
      <c r="Q12" s="36">
        <f>(M12-'Historic Result'!E7)*100*100</f>
        <v>-15.54233549159456</v>
      </c>
      <c r="R12" s="44">
        <f>(N12-'Historic Result'!F7)*100*100</f>
        <v>0.43094556828545544</v>
      </c>
    </row>
    <row r="13" spans="3:24" s="99" customFormat="1" ht="18" customHeight="1">
      <c r="C13" s="98" t="s">
        <v>20</v>
      </c>
      <c r="D13" s="146">
        <f>CIR</f>
        <v>0.04</v>
      </c>
      <c r="E13" s="143"/>
      <c r="F13" s="143"/>
      <c r="G13" s="143">
        <f>CAPR</f>
        <v>4.0369999999999996E-2</v>
      </c>
      <c r="H13" s="143"/>
      <c r="I13" s="144"/>
      <c r="J13" s="37">
        <f>'Wells - Conventional'!F6</f>
        <v>4.4532453640855341E-3</v>
      </c>
      <c r="K13" s="37">
        <f>'Wells - Conventional'!F8</f>
        <v>1.2540000000000001E-2</v>
      </c>
      <c r="L13" s="37">
        <f>'Wells - Conventional'!F9</f>
        <v>1.6993245364085537E-2</v>
      </c>
      <c r="M13" s="47">
        <f>'Wells - Conventional'!I4</f>
        <v>4.1748311341021388E-2</v>
      </c>
      <c r="N13" s="48">
        <f>M13-D$24</f>
        <v>1.5030581955584391E-2</v>
      </c>
      <c r="O13" s="50">
        <f>(M13-'Historic Result'!C8)*100*100</f>
        <v>6.1266832287702746</v>
      </c>
      <c r="P13" s="36">
        <f>(N13-'Historic Result'!D8)*100*100</f>
        <v>9.905045750528263</v>
      </c>
      <c r="Q13" s="36">
        <f>(M13-'Historic Result'!E8)*100*100</f>
        <v>-1.822284634778043</v>
      </c>
      <c r="R13" s="44">
        <f>(N13-'Historic Result'!F8)*100*100</f>
        <v>14.150996425101955</v>
      </c>
    </row>
    <row r="14" spans="3:24" s="99" customFormat="1" ht="18" customHeight="1">
      <c r="C14" s="100" t="s">
        <v>22</v>
      </c>
      <c r="D14" s="155">
        <f>AVERAGE(D10:D13)</f>
        <v>3.8437499999999999E-2</v>
      </c>
      <c r="E14" s="153"/>
      <c r="F14" s="153"/>
      <c r="G14" s="153">
        <f>AVERAGE(G10:I13)</f>
        <v>3.9699999999999999E-2</v>
      </c>
      <c r="H14" s="153"/>
      <c r="I14" s="154"/>
      <c r="J14" s="64">
        <f>AVERAGE(J10,J12:J13)</f>
        <v>1.0787748454695179E-2</v>
      </c>
      <c r="K14" s="64">
        <f>AVERAGE(K10,K12:K13)</f>
        <v>1.0762765416396571E-2</v>
      </c>
      <c r="L14" s="64">
        <f>AVERAGE(L10,L12:L13)</f>
        <v>2.1550513871091748E-2</v>
      </c>
      <c r="M14" s="65">
        <f t="shared" ref="M14" si="0">AVERAGE(M10:M13)</f>
        <v>4.0522074267600176E-2</v>
      </c>
      <c r="N14" s="66">
        <f>M14-D$24</f>
        <v>1.3804344882163179E-2</v>
      </c>
      <c r="O14" s="67">
        <f>AVERAGE(O10:O13)</f>
        <v>2.4987705416964006</v>
      </c>
      <c r="P14" s="68">
        <f>AVERAGE(P10:P13)</f>
        <v>6.2771330634544018</v>
      </c>
      <c r="Q14" s="68">
        <f t="shared" ref="Q14:R14" si="1">AVERAGE(Q10:Q13)</f>
        <v>-11.891322575160821</v>
      </c>
      <c r="R14" s="69">
        <f t="shared" si="1"/>
        <v>4.0819584847191734</v>
      </c>
    </row>
    <row r="15" spans="3:24" s="99" customFormat="1" ht="18" customHeight="1">
      <c r="C15" s="95" t="s">
        <v>32</v>
      </c>
      <c r="D15" s="156" t="s">
        <v>31</v>
      </c>
      <c r="E15" s="157"/>
      <c r="F15" s="157"/>
      <c r="G15" s="157" t="s">
        <v>0</v>
      </c>
      <c r="H15" s="157"/>
      <c r="I15" s="162"/>
      <c r="J15" s="84"/>
      <c r="K15" s="84"/>
      <c r="L15" s="84"/>
      <c r="M15" s="83"/>
      <c r="N15" s="85"/>
      <c r="O15" s="83"/>
      <c r="P15" s="84"/>
      <c r="Q15" s="84"/>
      <c r="R15" s="85"/>
    </row>
    <row r="16" spans="3:24" s="99" customFormat="1" ht="18" customHeight="1">
      <c r="C16" s="101" t="s">
        <v>20</v>
      </c>
      <c r="D16" s="158">
        <f>'Wells - Jumbo conformin'!C4</f>
        <v>0.04</v>
      </c>
      <c r="E16" s="159"/>
      <c r="F16" s="159"/>
      <c r="G16" s="159">
        <f>'Wells - Jumbo conformin'!C5</f>
        <v>4.0129999999999999E-2</v>
      </c>
      <c r="H16" s="159"/>
      <c r="I16" s="163"/>
      <c r="J16" s="70">
        <f>'Wells - Jumbo conformin'!F5</f>
        <v>1.5680157526859473E-3</v>
      </c>
      <c r="K16" s="70">
        <f>'Wells - Jumbo conformin'!F6</f>
        <v>5.9020000000000001E-3</v>
      </c>
      <c r="L16" s="70">
        <f>'Wells - Jumbo conformin'!F7</f>
        <v>7.4700157526859474E-3</v>
      </c>
      <c r="M16" s="71">
        <f>'Wells - Jumbo conformin'!I4</f>
        <v>3.936750393817149E-2</v>
      </c>
      <c r="N16" s="72">
        <f>M16-D$24</f>
        <v>1.2649774552734493E-2</v>
      </c>
      <c r="O16" s="73">
        <f>(M16-'Historic Result'!C10)*100*100</f>
        <v>6.4452002390744809</v>
      </c>
      <c r="P16" s="74">
        <f>(N16-'Historic Result'!D10)*100*100</f>
        <v>10.223562760832486</v>
      </c>
      <c r="Q16" s="74">
        <f>(M16-'Historic Result'!E10)*100*100</f>
        <v>-18.713854834440589</v>
      </c>
      <c r="R16" s="75">
        <f>(N16-'Historic Result'!F10)*100*100</f>
        <v>-2.7405737745605716</v>
      </c>
    </row>
    <row r="17" spans="3:18" s="99" customFormat="1" ht="18" customHeight="1">
      <c r="C17" s="96" t="s">
        <v>33</v>
      </c>
      <c r="D17" s="160" t="s">
        <v>31</v>
      </c>
      <c r="E17" s="161"/>
      <c r="F17" s="161"/>
      <c r="G17" s="161" t="s">
        <v>0</v>
      </c>
      <c r="H17" s="161"/>
      <c r="I17" s="164"/>
      <c r="J17" s="53"/>
      <c r="K17" s="53"/>
      <c r="L17" s="53"/>
      <c r="M17" s="52"/>
      <c r="N17" s="54"/>
      <c r="O17" s="55"/>
      <c r="P17" s="56"/>
      <c r="Q17" s="56"/>
      <c r="R17" s="57"/>
    </row>
    <row r="18" spans="3:18" s="99" customFormat="1" ht="18" customHeight="1">
      <c r="C18" s="101" t="s">
        <v>20</v>
      </c>
      <c r="D18" s="158">
        <f>'Wells - Jumbo Non-conforming'!C4</f>
        <v>3.875E-2</v>
      </c>
      <c r="E18" s="159"/>
      <c r="F18" s="159"/>
      <c r="G18" s="159">
        <f>'Wells - Jumbo Non-conforming'!C5</f>
        <v>3.8809999999999997E-2</v>
      </c>
      <c r="H18" s="159"/>
      <c r="I18" s="163"/>
      <c r="J18" s="70">
        <f>'Wells - Jumbo Non-conforming'!F5</f>
        <v>7.2944426790033656E-4</v>
      </c>
      <c r="K18" s="70">
        <f>'Wells - Jumbo Non-conforming'!F6</f>
        <v>4.0800000000000003E-3</v>
      </c>
      <c r="L18" s="70">
        <f>'Wells - Jumbo Non-conforming'!F7</f>
        <v>4.8094442679003369E-3</v>
      </c>
      <c r="M18" s="71">
        <f>'Wells - Jumbo Non-conforming'!I4</f>
        <v>3.7452361066975082E-2</v>
      </c>
      <c r="N18" s="72">
        <f>M18-D$24</f>
        <v>1.0734631681538084E-2</v>
      </c>
      <c r="O18" s="73">
        <f>(M18-'Historic Result'!C12)*100*100</f>
        <v>4.3388551763504086</v>
      </c>
      <c r="P18" s="74">
        <f>(N18-'Historic Result'!D12)*100*100</f>
        <v>8.1172176981084139</v>
      </c>
      <c r="Q18" s="74">
        <f>(M18-'Historic Result'!E12)*100*100</f>
        <v>-12.616772180659568</v>
      </c>
      <c r="R18" s="75">
        <f>(N18-'Historic Result'!F12)*100*100</f>
        <v>3.3565088792204474</v>
      </c>
    </row>
    <row r="19" spans="3:18" s="99" customFormat="1" ht="18" customHeight="1">
      <c r="C19" s="97" t="s">
        <v>34</v>
      </c>
      <c r="D19" s="149" t="s">
        <v>31</v>
      </c>
      <c r="E19" s="150"/>
      <c r="F19" s="147" t="s">
        <v>35</v>
      </c>
      <c r="G19" s="147"/>
      <c r="H19" s="147" t="s">
        <v>36</v>
      </c>
      <c r="I19" s="148"/>
      <c r="J19" s="59"/>
      <c r="K19" s="59"/>
      <c r="L19" s="59"/>
      <c r="M19" s="58"/>
      <c r="N19" s="60"/>
      <c r="O19" s="61"/>
      <c r="P19" s="62"/>
      <c r="Q19" s="62"/>
      <c r="R19" s="63"/>
    </row>
    <row r="20" spans="3:18" s="99" customFormat="1" ht="18" customHeight="1">
      <c r="C20" s="102" t="s">
        <v>20</v>
      </c>
      <c r="D20" s="174">
        <f>'Wells - FHA'!C4</f>
        <v>3.7499999999999999E-2</v>
      </c>
      <c r="E20" s="151"/>
      <c r="F20" s="151">
        <f>'Wells - FHA'!F4</f>
        <v>1.7500000000000002E-2</v>
      </c>
      <c r="G20" s="151"/>
      <c r="H20" s="151">
        <v>8.5000000000000006E-3</v>
      </c>
      <c r="I20" s="152"/>
      <c r="J20" s="78">
        <f>'Wells - FHA'!F5</f>
        <v>0</v>
      </c>
      <c r="K20" s="78">
        <f>'Wells - FHA'!F6</f>
        <v>1.6309999999999998E-2</v>
      </c>
      <c r="L20" s="78">
        <f>'Wells - FHA'!F7</f>
        <v>1.6309999999999998E-2</v>
      </c>
      <c r="M20" s="49">
        <f>'Wells - FHA'!I4</f>
        <v>3.9077500000000001E-2</v>
      </c>
      <c r="N20" s="79">
        <f>M20-D25</f>
        <v>1.3564849276713201E-2</v>
      </c>
      <c r="O20" s="51">
        <f>(M20-'Historic Result'!C14)*100*100</f>
        <v>6.3625000000000487</v>
      </c>
      <c r="P20" s="45">
        <f>(N20-'Historic Result'!D14)*100*100</f>
        <v>9.7446315867620594</v>
      </c>
      <c r="Q20" s="45">
        <f>(M20-'Historic Result'!E14)*100*100</f>
        <v>-9.5875000000000128</v>
      </c>
      <c r="R20" s="46">
        <f>(N20-'Historic Result'!F14)*100*100</f>
        <v>5.0445126623139753</v>
      </c>
    </row>
    <row r="21" spans="3:18" ht="13.5" customHeight="1">
      <c r="P21" s="138" t="s">
        <v>98</v>
      </c>
    </row>
    <row r="22" spans="3:18" ht="13.5" customHeight="1">
      <c r="C22" s="89" t="s">
        <v>24</v>
      </c>
      <c r="D22" s="3"/>
      <c r="E22" s="3"/>
      <c r="F22" s="3"/>
      <c r="G22" s="3"/>
      <c r="H22" s="3"/>
      <c r="I22"/>
      <c r="J22"/>
      <c r="K22"/>
      <c r="O22" s="1"/>
    </row>
    <row r="23" spans="3:18" ht="18" customHeight="1">
      <c r="C23" s="103" t="s">
        <v>25</v>
      </c>
      <c r="D23" s="165" t="s">
        <v>26</v>
      </c>
      <c r="E23" s="166"/>
      <c r="F23" s="167"/>
      <c r="G23"/>
      <c r="H23"/>
      <c r="O23" s="1"/>
    </row>
    <row r="24" spans="3:18" ht="18" customHeight="1">
      <c r="C24" s="76" t="s">
        <v>27</v>
      </c>
      <c r="D24" s="168">
        <f>VLOOKUP(C24,'Time Series Query'!X12:Z13,3,0)</f>
        <v>2.6717729385436997E-2</v>
      </c>
      <c r="E24" s="169"/>
      <c r="F24" s="170"/>
      <c r="G24" s="27"/>
      <c r="H24" s="27"/>
      <c r="O24" s="1"/>
    </row>
    <row r="25" spans="3:18" ht="18" customHeight="1">
      <c r="C25" s="77" t="s">
        <v>28</v>
      </c>
      <c r="D25" s="171">
        <f>VLOOKUP(C25,'Time Series Query'!X13:Z14,3,0)</f>
        <v>2.55126507232868E-2</v>
      </c>
      <c r="E25" s="172"/>
      <c r="F25" s="173"/>
      <c r="G25" s="27"/>
      <c r="H25" s="27"/>
      <c r="O25" s="1"/>
    </row>
    <row r="72" spans="17:18">
      <c r="Q72" s="136" t="s">
        <v>97</v>
      </c>
      <c r="R72" s="135" t="s">
        <v>17</v>
      </c>
    </row>
    <row r="73" spans="17:18">
      <c r="Q73" s="134"/>
      <c r="R73" s="135" t="s">
        <v>18</v>
      </c>
    </row>
    <row r="74" spans="17:18">
      <c r="Q74" s="134"/>
      <c r="R74" s="135" t="s">
        <v>19</v>
      </c>
    </row>
    <row r="75" spans="17:18">
      <c r="Q75" s="134"/>
      <c r="R75" s="137" t="s">
        <v>20</v>
      </c>
    </row>
  </sheetData>
  <mergeCells count="29">
    <mergeCell ref="D23:F23"/>
    <mergeCell ref="D24:F24"/>
    <mergeCell ref="D25:F25"/>
    <mergeCell ref="D20:E20"/>
    <mergeCell ref="F20:G20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9:F9"/>
    <mergeCell ref="D10:F10"/>
    <mergeCell ref="D11:F11"/>
    <mergeCell ref="D12:F12"/>
    <mergeCell ref="D13:F13"/>
    <mergeCell ref="G9:I9"/>
    <mergeCell ref="G10:I10"/>
    <mergeCell ref="G11:I11"/>
    <mergeCell ref="G12:I12"/>
    <mergeCell ref="G13:I13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hyperlinks>
    <hyperlink ref="R72" r:id="rId1" location="closeModal"/>
    <hyperlink ref="R73" r:id="rId2"/>
    <hyperlink ref="R75" r:id="rId3"/>
    <hyperlink ref="R74" r:id="rId4" location="key-benefits"/>
  </hyperlinks>
  <pageMargins left="0.25" right="0.25" top="0.255" bottom="0.25" header="0.1" footer="0.1"/>
  <pageSetup scale="69" orientation="landscape" horizontalDpi="1200" verticalDpi="1200" r:id="rId5"/>
  <headerFooter scaleWithDoc="0">
    <oddHeader>&amp;L&amp;G&amp;C&amp;"-,Bold"&amp;10&amp;K2E398A
&amp;15Daily Originator Mortgage Rates&amp;R&amp;"-,Bold"&amp;10&amp;K2E398A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204"/>
  <sheetViews>
    <sheetView workbookViewId="0">
      <selection activeCell="AM7" sqref="AM7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5" width="12" style="38" bestFit="1" customWidth="1"/>
    <col min="46" max="46" width="17.5703125" style="38" bestFit="1" customWidth="1"/>
    <col min="47" max="47" width="8.85546875" style="38" bestFit="1" customWidth="1"/>
    <col min="48" max="49" width="16" style="38" bestFit="1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1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95</v>
      </c>
      <c r="AB1" s="38" t="s">
        <v>62</v>
      </c>
    </row>
    <row r="2" spans="1:41">
      <c r="H2" s="38" t="s">
        <v>111</v>
      </c>
      <c r="P2" s="38" t="s">
        <v>100</v>
      </c>
      <c r="AB2" s="38" t="s">
        <v>112</v>
      </c>
    </row>
    <row r="5" spans="1:41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101</v>
      </c>
      <c r="AF5" s="90"/>
      <c r="AJ5" s="90" t="s">
        <v>102</v>
      </c>
      <c r="AM5" s="90"/>
    </row>
    <row r="6" spans="1:41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  <c r="AJ6" s="93" t="s">
        <v>48</v>
      </c>
      <c r="AK6" s="93" t="s">
        <v>47</v>
      </c>
      <c r="AL6" s="93" t="s">
        <v>49</v>
      </c>
      <c r="AM6" s="93" t="s">
        <v>50</v>
      </c>
      <c r="AN6" s="93" t="s">
        <v>51</v>
      </c>
      <c r="AO6" s="93" t="s">
        <v>52</v>
      </c>
    </row>
    <row r="7" spans="1:41" s="93" customFormat="1">
      <c r="A7" s="93" t="s">
        <v>17</v>
      </c>
      <c r="B7" s="93" t="s">
        <v>54</v>
      </c>
      <c r="C7" s="93" t="s">
        <v>0</v>
      </c>
      <c r="D7" s="93" t="s">
        <v>53</v>
      </c>
      <c r="E7" s="94" t="s">
        <v>113</v>
      </c>
      <c r="F7" s="93">
        <v>3.93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111</v>
      </c>
      <c r="N7" s="93">
        <v>4.066228818482883</v>
      </c>
      <c r="Q7" s="93" t="s">
        <v>54</v>
      </c>
      <c r="R7" s="93" t="s">
        <v>17</v>
      </c>
      <c r="S7" s="93" t="s">
        <v>78</v>
      </c>
      <c r="T7" s="93" t="s">
        <v>53</v>
      </c>
      <c r="U7" s="93" t="s">
        <v>100</v>
      </c>
      <c r="V7" s="93">
        <v>4.2517273654617371</v>
      </c>
      <c r="X7" s="93" t="s">
        <v>80</v>
      </c>
      <c r="Y7" s="93" t="s">
        <v>113</v>
      </c>
      <c r="Z7" s="93">
        <v>2.6717729385436999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  <c r="AJ7" s="93" t="s">
        <v>54</v>
      </c>
      <c r="AK7" s="93" t="s">
        <v>17</v>
      </c>
      <c r="AL7" s="93" t="s">
        <v>29</v>
      </c>
      <c r="AM7" s="93" t="s">
        <v>53</v>
      </c>
      <c r="AN7" s="93" t="s">
        <v>86</v>
      </c>
      <c r="AO7" s="93">
        <v>1.4212973282672137</v>
      </c>
    </row>
    <row r="8" spans="1:41" s="93" customFormat="1">
      <c r="A8" s="93" t="s">
        <v>17</v>
      </c>
      <c r="B8" s="93" t="s">
        <v>54</v>
      </c>
      <c r="C8" s="93" t="s">
        <v>7</v>
      </c>
      <c r="D8" s="93" t="s">
        <v>53</v>
      </c>
      <c r="E8" s="94" t="s">
        <v>113</v>
      </c>
      <c r="F8" s="93">
        <v>1.0409999999999999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111</v>
      </c>
      <c r="N8" s="91">
        <v>3.9380000000000002</v>
      </c>
      <c r="Q8" s="93" t="s">
        <v>54</v>
      </c>
      <c r="R8" s="93" t="s">
        <v>17</v>
      </c>
      <c r="S8" s="93" t="s">
        <v>0</v>
      </c>
      <c r="T8" s="93" t="s">
        <v>53</v>
      </c>
      <c r="U8" s="93" t="s">
        <v>100</v>
      </c>
      <c r="V8" s="93">
        <v>4.085</v>
      </c>
      <c r="X8" s="93" t="s">
        <v>79</v>
      </c>
      <c r="Y8" s="93" t="s">
        <v>113</v>
      </c>
      <c r="Z8" s="93">
        <v>2.5512650723286798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87</v>
      </c>
      <c r="AH8" s="93">
        <v>4.2780642423920208</v>
      </c>
      <c r="AJ8" s="93" t="s">
        <v>54</v>
      </c>
      <c r="AK8" s="93" t="s">
        <v>17</v>
      </c>
      <c r="AL8" s="93" t="s">
        <v>29</v>
      </c>
      <c r="AM8" s="93" t="s">
        <v>53</v>
      </c>
      <c r="AN8" s="93" t="s">
        <v>87</v>
      </c>
      <c r="AO8" s="93">
        <v>1.4538805196385804</v>
      </c>
    </row>
    <row r="9" spans="1:41" s="93" customFormat="1">
      <c r="A9" s="93" t="s">
        <v>17</v>
      </c>
      <c r="B9" s="93" t="s">
        <v>54</v>
      </c>
      <c r="C9" s="93" t="s">
        <v>26</v>
      </c>
      <c r="D9" s="93" t="s">
        <v>53</v>
      </c>
      <c r="E9" s="94" t="s">
        <v>113</v>
      </c>
      <c r="F9" s="93">
        <v>3.75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111</v>
      </c>
      <c r="N9" s="91">
        <v>1.131</v>
      </c>
      <c r="Q9" s="93" t="s">
        <v>54</v>
      </c>
      <c r="R9" s="93" t="s">
        <v>17</v>
      </c>
      <c r="S9" s="93" t="s">
        <v>7</v>
      </c>
      <c r="T9" s="93" t="s">
        <v>53</v>
      </c>
      <c r="U9" s="93" t="s">
        <v>100</v>
      </c>
      <c r="V9" s="93">
        <v>1.214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88</v>
      </c>
      <c r="AH9" s="93">
        <v>4.2751400125465349</v>
      </c>
      <c r="AJ9" s="93" t="s">
        <v>54</v>
      </c>
      <c r="AK9" s="93" t="s">
        <v>17</v>
      </c>
      <c r="AL9" s="93" t="s">
        <v>29</v>
      </c>
      <c r="AM9" s="93" t="s">
        <v>53</v>
      </c>
      <c r="AN9" s="93" t="s">
        <v>88</v>
      </c>
      <c r="AO9" s="93">
        <v>1.4595784375698646</v>
      </c>
    </row>
    <row r="10" spans="1:41" s="93" customFormat="1">
      <c r="A10" s="93" t="s">
        <v>18</v>
      </c>
      <c r="B10" s="93" t="s">
        <v>54</v>
      </c>
      <c r="C10" s="93" t="s">
        <v>0</v>
      </c>
      <c r="D10" s="93" t="s">
        <v>53</v>
      </c>
      <c r="E10" s="94" t="s">
        <v>113</v>
      </c>
      <c r="F10" s="93">
        <v>3.9470000000000001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111</v>
      </c>
      <c r="N10" s="91">
        <v>3.75</v>
      </c>
      <c r="Q10" s="93" t="s">
        <v>54</v>
      </c>
      <c r="R10" s="93" t="s">
        <v>17</v>
      </c>
      <c r="S10" s="93" t="s">
        <v>26</v>
      </c>
      <c r="T10" s="93" t="s">
        <v>53</v>
      </c>
      <c r="U10" s="93" t="s">
        <v>100</v>
      </c>
      <c r="V10" s="93">
        <v>3.875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  <c r="AJ10" s="93" t="s">
        <v>54</v>
      </c>
      <c r="AK10" s="93" t="s">
        <v>17</v>
      </c>
      <c r="AL10" s="93" t="s">
        <v>29</v>
      </c>
      <c r="AM10" s="93" t="s">
        <v>53</v>
      </c>
      <c r="AN10" s="93" t="s">
        <v>83</v>
      </c>
      <c r="AO10" s="93">
        <v>1.4360929633267601</v>
      </c>
    </row>
    <row r="11" spans="1:41" s="93" customFormat="1">
      <c r="A11" s="93" t="s">
        <v>18</v>
      </c>
      <c r="B11" s="93" t="s">
        <v>54</v>
      </c>
      <c r="C11" s="93" t="s">
        <v>7</v>
      </c>
      <c r="D11" s="93" t="s">
        <v>53</v>
      </c>
      <c r="E11" s="94" t="s">
        <v>113</v>
      </c>
      <c r="F11" s="93">
        <v>0.875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111</v>
      </c>
      <c r="N11" s="91">
        <v>1.3566722547216032</v>
      </c>
      <c r="Q11" s="93" t="s">
        <v>54</v>
      </c>
      <c r="R11" s="93" t="s">
        <v>17</v>
      </c>
      <c r="S11" s="93" t="s">
        <v>29</v>
      </c>
      <c r="T11" s="93" t="s">
        <v>53</v>
      </c>
      <c r="U11" s="93" t="s">
        <v>100</v>
      </c>
      <c r="V11" s="93">
        <v>1.4202216163192376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  <c r="AJ11" s="93" t="s">
        <v>54</v>
      </c>
      <c r="AK11" s="93" t="s">
        <v>17</v>
      </c>
      <c r="AL11" s="93" t="s">
        <v>29</v>
      </c>
      <c r="AM11" s="93" t="s">
        <v>53</v>
      </c>
      <c r="AN11" s="93" t="s">
        <v>84</v>
      </c>
      <c r="AO11" s="93">
        <v>1.4117383662411456</v>
      </c>
    </row>
    <row r="12" spans="1:41" s="93" customFormat="1">
      <c r="A12" s="93" t="s">
        <v>18</v>
      </c>
      <c r="B12" s="93" t="s">
        <v>54</v>
      </c>
      <c r="C12" s="93" t="s">
        <v>26</v>
      </c>
      <c r="D12" s="93" t="s">
        <v>53</v>
      </c>
      <c r="E12" s="94" t="s">
        <v>113</v>
      </c>
      <c r="F12" s="93">
        <v>3.875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111</v>
      </c>
      <c r="N12" s="91">
        <v>3.812592661796018</v>
      </c>
      <c r="Q12" s="93" t="s">
        <v>54</v>
      </c>
      <c r="R12" s="93" t="s">
        <v>18</v>
      </c>
      <c r="S12" s="93" t="s">
        <v>78</v>
      </c>
      <c r="T12" s="93" t="s">
        <v>53</v>
      </c>
      <c r="U12" s="93" t="s">
        <v>100</v>
      </c>
      <c r="V12" s="93">
        <v>3.9353424338077225</v>
      </c>
      <c r="X12" s="107" t="s">
        <v>27</v>
      </c>
      <c r="Y12" s="108" t="s">
        <v>80</v>
      </c>
      <c r="Z12" s="108">
        <f>VLOOKUP(Y12,OneWeekMtgRatesDataTable7[],3,0)/100</f>
        <v>2.6717729385436997E-2</v>
      </c>
      <c r="AA12" s="131"/>
      <c r="AB12" s="106"/>
      <c r="AC12" s="93" t="s">
        <v>54</v>
      </c>
      <c r="AD12" s="93" t="s">
        <v>17</v>
      </c>
      <c r="AE12" s="93" t="s">
        <v>78</v>
      </c>
      <c r="AF12" s="93" t="s">
        <v>53</v>
      </c>
      <c r="AG12" s="93" t="s">
        <v>85</v>
      </c>
      <c r="AH12" s="93">
        <v>4.2809879501510846</v>
      </c>
      <c r="AJ12" s="93" t="s">
        <v>54</v>
      </c>
      <c r="AK12" s="93" t="s">
        <v>17</v>
      </c>
      <c r="AL12" s="93" t="s">
        <v>29</v>
      </c>
      <c r="AM12" s="93" t="s">
        <v>53</v>
      </c>
      <c r="AN12" s="93" t="s">
        <v>85</v>
      </c>
      <c r="AO12" s="93">
        <v>1.434637613344325</v>
      </c>
    </row>
    <row r="13" spans="1:41" s="93" customFormat="1">
      <c r="A13" s="93" t="s">
        <v>19</v>
      </c>
      <c r="B13" s="93" t="s">
        <v>54</v>
      </c>
      <c r="C13" s="93" t="s">
        <v>0</v>
      </c>
      <c r="D13" s="93" t="s">
        <v>53</v>
      </c>
      <c r="E13" s="94" t="s">
        <v>113</v>
      </c>
      <c r="F13" s="93">
        <v>3.9660000000000002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111</v>
      </c>
      <c r="N13" s="91">
        <v>3.8530000000000002</v>
      </c>
      <c r="Q13" s="93" t="s">
        <v>54</v>
      </c>
      <c r="R13" s="93" t="s">
        <v>18</v>
      </c>
      <c r="S13" s="93" t="s">
        <v>0</v>
      </c>
      <c r="T13" s="93" t="s">
        <v>53</v>
      </c>
      <c r="U13" s="93" t="s">
        <v>100</v>
      </c>
      <c r="V13" s="93">
        <v>3.9780000000000002</v>
      </c>
      <c r="X13" s="107" t="s">
        <v>28</v>
      </c>
      <c r="Y13" s="109" t="s">
        <v>79</v>
      </c>
      <c r="Z13" s="108">
        <f>VLOOKUP(Y13,OneWeekMtgRatesDataTable7[],3,0)/100</f>
        <v>2.55126507232868E-2</v>
      </c>
      <c r="AA13" s="131"/>
      <c r="AB13" s="106"/>
      <c r="AC13" s="93" t="s">
        <v>54</v>
      </c>
      <c r="AD13" s="93" t="s">
        <v>17</v>
      </c>
      <c r="AE13" s="93" t="s">
        <v>78</v>
      </c>
      <c r="AF13" s="93" t="s">
        <v>53</v>
      </c>
      <c r="AG13" s="93" t="s">
        <v>96</v>
      </c>
      <c r="AH13" s="93">
        <v>4.2692899861563207</v>
      </c>
      <c r="AJ13" s="93" t="s">
        <v>54</v>
      </c>
      <c r="AK13" s="93" t="s">
        <v>17</v>
      </c>
      <c r="AL13" s="93" t="s">
        <v>29</v>
      </c>
      <c r="AM13" s="93" t="s">
        <v>53</v>
      </c>
      <c r="AN13" s="93" t="s">
        <v>96</v>
      </c>
      <c r="AO13" s="93">
        <v>1.4414546828382009</v>
      </c>
    </row>
    <row r="14" spans="1:41" s="93" customFormat="1">
      <c r="A14" s="93" t="s">
        <v>19</v>
      </c>
      <c r="B14" s="93" t="s">
        <v>54</v>
      </c>
      <c r="C14" s="93" t="s">
        <v>7</v>
      </c>
      <c r="D14" s="93" t="s">
        <v>53</v>
      </c>
      <c r="E14" s="94" t="s">
        <v>113</v>
      </c>
      <c r="F14" s="93">
        <v>1.75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111</v>
      </c>
      <c r="N14" s="91">
        <v>1.25</v>
      </c>
      <c r="Q14" s="93" t="s">
        <v>54</v>
      </c>
      <c r="R14" s="93" t="s">
        <v>18</v>
      </c>
      <c r="S14" s="93" t="s">
        <v>7</v>
      </c>
      <c r="T14" s="93" t="s">
        <v>53</v>
      </c>
      <c r="U14" s="93" t="s">
        <v>100</v>
      </c>
      <c r="V14" s="93">
        <v>1.25</v>
      </c>
      <c r="AC14" s="93" t="s">
        <v>54</v>
      </c>
      <c r="AD14" s="93" t="s">
        <v>17</v>
      </c>
      <c r="AE14" s="93" t="s">
        <v>78</v>
      </c>
      <c r="AF14" s="93" t="s">
        <v>53</v>
      </c>
      <c r="AG14" s="93" t="s">
        <v>99</v>
      </c>
      <c r="AH14" s="93">
        <v>4.1871698000587845</v>
      </c>
      <c r="AJ14" s="93" t="s">
        <v>54</v>
      </c>
      <c r="AK14" s="93" t="s">
        <v>17</v>
      </c>
      <c r="AL14" s="93" t="s">
        <v>29</v>
      </c>
      <c r="AM14" s="93" t="s">
        <v>53</v>
      </c>
      <c r="AN14" s="93" t="s">
        <v>99</v>
      </c>
      <c r="AO14" s="93">
        <v>1.3733506898048042</v>
      </c>
    </row>
    <row r="15" spans="1:41" s="93" customFormat="1">
      <c r="A15" s="93" t="s">
        <v>19</v>
      </c>
      <c r="B15" s="93" t="s">
        <v>54</v>
      </c>
      <c r="C15" s="93" t="s">
        <v>26</v>
      </c>
      <c r="D15" s="93" t="s">
        <v>53</v>
      </c>
      <c r="E15" s="94" t="s">
        <v>113</v>
      </c>
      <c r="F15" s="93">
        <v>3.75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111</v>
      </c>
      <c r="N15" s="91">
        <v>3.75</v>
      </c>
      <c r="Q15" s="93" t="s">
        <v>54</v>
      </c>
      <c r="R15" s="93" t="s">
        <v>18</v>
      </c>
      <c r="S15" s="93" t="s">
        <v>26</v>
      </c>
      <c r="T15" s="93" t="s">
        <v>53</v>
      </c>
      <c r="U15" s="93" t="s">
        <v>100</v>
      </c>
      <c r="V15" s="93">
        <v>3.875</v>
      </c>
      <c r="AC15" s="93" t="s">
        <v>54</v>
      </c>
      <c r="AD15" s="93" t="s">
        <v>17</v>
      </c>
      <c r="AE15" s="93" t="s">
        <v>78</v>
      </c>
      <c r="AF15" s="93" t="s">
        <v>53</v>
      </c>
      <c r="AG15" s="93" t="s">
        <v>100</v>
      </c>
      <c r="AH15" s="93">
        <v>4.2517273654617371</v>
      </c>
      <c r="AJ15" s="93" t="s">
        <v>54</v>
      </c>
      <c r="AK15" s="93" t="s">
        <v>17</v>
      </c>
      <c r="AL15" s="93" t="s">
        <v>29</v>
      </c>
      <c r="AM15" s="93" t="s">
        <v>53</v>
      </c>
      <c r="AN15" s="93" t="s">
        <v>100</v>
      </c>
      <c r="AO15" s="93">
        <v>1.4202216163192376</v>
      </c>
    </row>
    <row r="16" spans="1:41" s="93" customFormat="1">
      <c r="A16" s="93" t="s">
        <v>20</v>
      </c>
      <c r="B16" s="93" t="s">
        <v>54</v>
      </c>
      <c r="C16" s="93" t="s">
        <v>0</v>
      </c>
      <c r="D16" s="93" t="s">
        <v>53</v>
      </c>
      <c r="E16" s="94" t="s">
        <v>113</v>
      </c>
      <c r="F16" s="93">
        <v>4.0369999999999999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111</v>
      </c>
      <c r="N16" s="91">
        <v>1.1030360980347382</v>
      </c>
      <c r="Q16" s="93" t="s">
        <v>54</v>
      </c>
      <c r="R16" s="93" t="s">
        <v>18</v>
      </c>
      <c r="S16" s="93" t="s">
        <v>29</v>
      </c>
      <c r="T16" s="93" t="s">
        <v>53</v>
      </c>
      <c r="U16" s="93" t="s">
        <v>100</v>
      </c>
      <c r="V16" s="93">
        <v>1.1038366846652226</v>
      </c>
      <c r="AC16" s="93" t="s">
        <v>54</v>
      </c>
      <c r="AD16" s="93" t="s">
        <v>17</v>
      </c>
      <c r="AE16" s="93" t="s">
        <v>78</v>
      </c>
      <c r="AF16" s="93" t="s">
        <v>53</v>
      </c>
      <c r="AG16" s="93" t="s">
        <v>108</v>
      </c>
      <c r="AH16" s="93">
        <v>4.1695190979670524</v>
      </c>
      <c r="AJ16" s="93" t="s">
        <v>54</v>
      </c>
      <c r="AK16" s="93" t="s">
        <v>17</v>
      </c>
      <c r="AL16" s="93" t="s">
        <v>29</v>
      </c>
      <c r="AM16" s="93" t="s">
        <v>53</v>
      </c>
      <c r="AN16" s="93" t="s">
        <v>108</v>
      </c>
      <c r="AO16" s="93">
        <v>1.3453422461391324</v>
      </c>
    </row>
    <row r="17" spans="1:41" s="93" customFormat="1">
      <c r="A17" s="93" t="s">
        <v>20</v>
      </c>
      <c r="B17" s="93" t="s">
        <v>54</v>
      </c>
      <c r="C17" s="93" t="s">
        <v>41</v>
      </c>
      <c r="D17" s="93" t="s">
        <v>53</v>
      </c>
      <c r="E17" s="94" t="s">
        <v>113</v>
      </c>
      <c r="F17" s="93">
        <v>2508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111</v>
      </c>
      <c r="N17" s="91">
        <v>4.1164931032788781</v>
      </c>
      <c r="Q17" s="93" t="s">
        <v>54</v>
      </c>
      <c r="R17" s="93" t="s">
        <v>19</v>
      </c>
      <c r="S17" s="93" t="s">
        <v>78</v>
      </c>
      <c r="T17" s="93" t="s">
        <v>53</v>
      </c>
      <c r="U17" s="93" t="s">
        <v>100</v>
      </c>
      <c r="V17" s="93">
        <v>4.3043588303271259</v>
      </c>
      <c r="AC17" s="93" t="s">
        <v>54</v>
      </c>
      <c r="AD17" s="93" t="s">
        <v>17</v>
      </c>
      <c r="AE17" s="93" t="s">
        <v>78</v>
      </c>
      <c r="AF17" s="93" t="s">
        <v>53</v>
      </c>
      <c r="AG17" s="93" t="s">
        <v>109</v>
      </c>
      <c r="AH17" s="93">
        <v>4.1400591551201122</v>
      </c>
      <c r="AJ17" s="93" t="s">
        <v>54</v>
      </c>
      <c r="AK17" s="93" t="s">
        <v>17</v>
      </c>
      <c r="AL17" s="93" t="s">
        <v>29</v>
      </c>
      <c r="AM17" s="93" t="s">
        <v>53</v>
      </c>
      <c r="AN17" s="93" t="s">
        <v>109</v>
      </c>
      <c r="AO17" s="93">
        <v>1.3442181458154518</v>
      </c>
    </row>
    <row r="18" spans="1:41" s="93" customFormat="1">
      <c r="A18" s="93" t="s">
        <v>20</v>
      </c>
      <c r="B18" s="93" t="s">
        <v>54</v>
      </c>
      <c r="C18" s="93" t="s">
        <v>1</v>
      </c>
      <c r="D18" s="93" t="s">
        <v>53</v>
      </c>
      <c r="E18" s="94" t="s">
        <v>113</v>
      </c>
      <c r="F18" s="93">
        <v>200000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111</v>
      </c>
      <c r="N18" s="91">
        <v>3.9550000000000001</v>
      </c>
      <c r="Q18" s="93" t="s">
        <v>54</v>
      </c>
      <c r="R18" s="93" t="s">
        <v>19</v>
      </c>
      <c r="S18" s="93" t="s">
        <v>0</v>
      </c>
      <c r="T18" s="93" t="s">
        <v>53</v>
      </c>
      <c r="U18" s="93" t="s">
        <v>100</v>
      </c>
      <c r="V18" s="93">
        <v>4.1029999999999998</v>
      </c>
      <c r="AC18" s="93" t="s">
        <v>54</v>
      </c>
      <c r="AD18" s="93" t="s">
        <v>17</v>
      </c>
      <c r="AE18" s="93" t="s">
        <v>78</v>
      </c>
      <c r="AF18" s="93" t="s">
        <v>53</v>
      </c>
      <c r="AG18" s="93" t="s">
        <v>110</v>
      </c>
      <c r="AH18" s="93">
        <v>4.1164532413786334</v>
      </c>
      <c r="AJ18" s="93" t="s">
        <v>54</v>
      </c>
      <c r="AK18" s="93" t="s">
        <v>17</v>
      </c>
      <c r="AL18" s="93" t="s">
        <v>29</v>
      </c>
      <c r="AM18" s="93" t="s">
        <v>53</v>
      </c>
      <c r="AN18" s="93" t="s">
        <v>110</v>
      </c>
      <c r="AO18" s="93">
        <v>1.4236043382832138</v>
      </c>
    </row>
    <row r="19" spans="1:41" s="93" customFormat="1">
      <c r="A19" s="93" t="s">
        <v>20</v>
      </c>
      <c r="B19" s="93" t="s">
        <v>54</v>
      </c>
      <c r="C19" s="93" t="s">
        <v>7</v>
      </c>
      <c r="D19" s="93" t="s">
        <v>53</v>
      </c>
      <c r="E19" s="94" t="s">
        <v>113</v>
      </c>
      <c r="F19" s="93">
        <v>1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111</v>
      </c>
      <c r="N19" s="91">
        <v>1.625</v>
      </c>
      <c r="Q19" s="93" t="s">
        <v>54</v>
      </c>
      <c r="R19" s="93" t="s">
        <v>19</v>
      </c>
      <c r="S19" s="93" t="s">
        <v>7</v>
      </c>
      <c r="T19" s="93" t="s">
        <v>53</v>
      </c>
      <c r="U19" s="93" t="s">
        <v>100</v>
      </c>
      <c r="V19" s="93">
        <v>1.875</v>
      </c>
      <c r="AC19" s="93" t="s">
        <v>54</v>
      </c>
      <c r="AD19" s="93" t="s">
        <v>17</v>
      </c>
      <c r="AE19" s="93" t="s">
        <v>78</v>
      </c>
      <c r="AF19" s="93" t="s">
        <v>53</v>
      </c>
      <c r="AG19" s="93" t="s">
        <v>111</v>
      </c>
      <c r="AH19" s="93">
        <v>4.066228818482883</v>
      </c>
      <c r="AJ19" s="93" t="s">
        <v>54</v>
      </c>
      <c r="AK19" s="93" t="s">
        <v>17</v>
      </c>
      <c r="AL19" s="93" t="s">
        <v>29</v>
      </c>
      <c r="AM19" s="93" t="s">
        <v>53</v>
      </c>
      <c r="AN19" s="93" t="s">
        <v>111</v>
      </c>
      <c r="AO19" s="93">
        <v>1.3566722547216032</v>
      </c>
    </row>
    <row r="20" spans="1:41" s="93" customFormat="1">
      <c r="A20" s="93" t="s">
        <v>20</v>
      </c>
      <c r="B20" s="93" t="s">
        <v>54</v>
      </c>
      <c r="C20" s="93" t="s">
        <v>26</v>
      </c>
      <c r="D20" s="93" t="s">
        <v>53</v>
      </c>
      <c r="E20" s="94" t="s">
        <v>113</v>
      </c>
      <c r="F20" s="93">
        <v>4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111</v>
      </c>
      <c r="N20" s="91">
        <v>3.75</v>
      </c>
      <c r="Q20" s="93" t="s">
        <v>54</v>
      </c>
      <c r="R20" s="93" t="s">
        <v>19</v>
      </c>
      <c r="S20" s="93" t="s">
        <v>26</v>
      </c>
      <c r="T20" s="93" t="s">
        <v>53</v>
      </c>
      <c r="U20" s="93" t="s">
        <v>100</v>
      </c>
      <c r="V20" s="93">
        <v>3.875</v>
      </c>
      <c r="AC20" s="93" t="s">
        <v>54</v>
      </c>
      <c r="AD20" s="93" t="s">
        <v>17</v>
      </c>
      <c r="AE20" s="93" t="s">
        <v>78</v>
      </c>
      <c r="AF20" s="93" t="s">
        <v>53</v>
      </c>
      <c r="AG20" s="93" t="s">
        <v>113</v>
      </c>
      <c r="AH20" s="93">
        <v>4.0425219308185625</v>
      </c>
      <c r="AJ20" s="93" t="s">
        <v>54</v>
      </c>
      <c r="AK20" s="93" t="s">
        <v>17</v>
      </c>
      <c r="AL20" s="93" t="s">
        <v>29</v>
      </c>
      <c r="AM20" s="93" t="s">
        <v>53</v>
      </c>
      <c r="AN20" s="93" t="s">
        <v>113</v>
      </c>
      <c r="AO20" s="93">
        <v>1.3707489922748624</v>
      </c>
    </row>
    <row r="21" spans="1:41" s="93" customFormat="1">
      <c r="A21" s="93" t="s">
        <v>19</v>
      </c>
      <c r="B21" s="93" t="s">
        <v>55</v>
      </c>
      <c r="C21" s="93" t="s">
        <v>0</v>
      </c>
      <c r="D21" s="93" t="s">
        <v>53</v>
      </c>
      <c r="E21" s="94" t="s">
        <v>113</v>
      </c>
      <c r="F21" s="93">
        <v>4.2480000000000002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111</v>
      </c>
      <c r="N21" s="91">
        <v>1.4069365395175983</v>
      </c>
      <c r="Q21" s="93" t="s">
        <v>54</v>
      </c>
      <c r="R21" s="93" t="s">
        <v>19</v>
      </c>
      <c r="S21" s="93" t="s">
        <v>29</v>
      </c>
      <c r="T21" s="93" t="s">
        <v>53</v>
      </c>
      <c r="U21" s="93" t="s">
        <v>100</v>
      </c>
      <c r="V21" s="93">
        <v>1.4728530811846257</v>
      </c>
      <c r="AC21" s="93" t="s">
        <v>54</v>
      </c>
      <c r="AD21" s="93" t="s">
        <v>18</v>
      </c>
      <c r="AE21" s="93" t="s">
        <v>78</v>
      </c>
      <c r="AF21" s="93" t="s">
        <v>53</v>
      </c>
      <c r="AG21" s="93" t="s">
        <v>86</v>
      </c>
      <c r="AH21" s="93">
        <v>4.1543680910694123</v>
      </c>
      <c r="AJ21" s="93" t="s">
        <v>54</v>
      </c>
      <c r="AK21" s="93" t="s">
        <v>18</v>
      </c>
      <c r="AL21" s="93" t="s">
        <v>29</v>
      </c>
      <c r="AM21" s="93" t="s">
        <v>53</v>
      </c>
      <c r="AN21" s="93" t="s">
        <v>86</v>
      </c>
      <c r="AO21" s="93">
        <v>1.3201681510401224</v>
      </c>
    </row>
    <row r="22" spans="1:41" s="93" customFormat="1">
      <c r="A22" s="93" t="s">
        <v>19</v>
      </c>
      <c r="B22" s="93" t="s">
        <v>55</v>
      </c>
      <c r="C22" s="93" t="s">
        <v>7</v>
      </c>
      <c r="D22" s="93" t="s">
        <v>53</v>
      </c>
      <c r="E22" s="94" t="s">
        <v>113</v>
      </c>
      <c r="F22" s="93">
        <v>2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111</v>
      </c>
      <c r="N22" s="91">
        <v>4.1135643018144359</v>
      </c>
      <c r="Q22" s="93" t="s">
        <v>54</v>
      </c>
      <c r="R22" s="93" t="s">
        <v>20</v>
      </c>
      <c r="S22" s="93" t="s">
        <v>78</v>
      </c>
      <c r="T22" s="93" t="s">
        <v>53</v>
      </c>
      <c r="U22" s="93" t="s">
        <v>100</v>
      </c>
      <c r="V22" s="93">
        <v>4.1930539804499194</v>
      </c>
      <c r="AC22" s="93" t="s">
        <v>54</v>
      </c>
      <c r="AD22" s="93" t="s">
        <v>18</v>
      </c>
      <c r="AE22" s="93" t="s">
        <v>78</v>
      </c>
      <c r="AF22" s="93" t="s">
        <v>53</v>
      </c>
      <c r="AG22" s="93" t="s">
        <v>87</v>
      </c>
      <c r="AH22" s="93">
        <v>4.1248698203088709</v>
      </c>
      <c r="AJ22" s="93" t="s">
        <v>54</v>
      </c>
      <c r="AK22" s="93" t="s">
        <v>18</v>
      </c>
      <c r="AL22" s="93" t="s">
        <v>29</v>
      </c>
      <c r="AM22" s="93" t="s">
        <v>53</v>
      </c>
      <c r="AN22" s="93" t="s">
        <v>87</v>
      </c>
      <c r="AO22" s="93">
        <v>1.3006860975554306</v>
      </c>
    </row>
    <row r="23" spans="1:41" s="93" customFormat="1">
      <c r="A23" s="93" t="s">
        <v>19</v>
      </c>
      <c r="B23" s="93" t="s">
        <v>55</v>
      </c>
      <c r="C23" s="93" t="s">
        <v>26</v>
      </c>
      <c r="D23" s="93" t="s">
        <v>53</v>
      </c>
      <c r="E23" s="94" t="s">
        <v>113</v>
      </c>
      <c r="F23" s="93">
        <v>3.375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111</v>
      </c>
      <c r="N23" s="91">
        <v>4.0270000000000001</v>
      </c>
      <c r="Q23" s="93" t="s">
        <v>54</v>
      </c>
      <c r="R23" s="93" t="s">
        <v>20</v>
      </c>
      <c r="S23" s="93" t="s">
        <v>0</v>
      </c>
      <c r="T23" s="93" t="s">
        <v>53</v>
      </c>
      <c r="U23" s="93" t="s">
        <v>100</v>
      </c>
      <c r="V23" s="93">
        <v>4.1470000000000002</v>
      </c>
      <c r="AC23" s="93" t="s">
        <v>54</v>
      </c>
      <c r="AD23" s="93" t="s">
        <v>18</v>
      </c>
      <c r="AE23" s="93" t="s">
        <v>78</v>
      </c>
      <c r="AF23" s="93" t="s">
        <v>53</v>
      </c>
      <c r="AG23" s="93" t="s">
        <v>88</v>
      </c>
      <c r="AH23" s="93">
        <v>4.0301218665618999</v>
      </c>
      <c r="AJ23" s="93" t="s">
        <v>54</v>
      </c>
      <c r="AK23" s="93" t="s">
        <v>18</v>
      </c>
      <c r="AL23" s="93" t="s">
        <v>29</v>
      </c>
      <c r="AM23" s="93" t="s">
        <v>53</v>
      </c>
      <c r="AN23" s="93" t="s">
        <v>88</v>
      </c>
      <c r="AO23" s="93">
        <v>1.2145602915852296</v>
      </c>
    </row>
    <row r="24" spans="1:41" s="93" customFormat="1">
      <c r="A24" s="93" t="s">
        <v>20</v>
      </c>
      <c r="B24" s="93" t="s">
        <v>55</v>
      </c>
      <c r="C24" s="93" t="s">
        <v>0</v>
      </c>
      <c r="D24" s="93" t="s">
        <v>53</v>
      </c>
      <c r="E24" s="94" t="s">
        <v>113</v>
      </c>
      <c r="F24" s="93">
        <v>4.79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111</v>
      </c>
      <c r="N24" s="91">
        <v>2258</v>
      </c>
      <c r="Q24" s="93" t="s">
        <v>54</v>
      </c>
      <c r="R24" s="93" t="s">
        <v>20</v>
      </c>
      <c r="S24" s="93" t="s">
        <v>41</v>
      </c>
      <c r="T24" s="93" t="s">
        <v>53</v>
      </c>
      <c r="U24" s="93" t="s">
        <v>100</v>
      </c>
      <c r="V24" s="93">
        <v>2018</v>
      </c>
      <c r="AC24" s="93" t="s">
        <v>54</v>
      </c>
      <c r="AD24" s="93" t="s">
        <v>18</v>
      </c>
      <c r="AE24" s="93" t="s">
        <v>78</v>
      </c>
      <c r="AF24" s="93" t="s">
        <v>53</v>
      </c>
      <c r="AG24" s="93" t="s">
        <v>83</v>
      </c>
      <c r="AH24" s="93">
        <v>4.0301218665618999</v>
      </c>
      <c r="AJ24" s="93" t="s">
        <v>54</v>
      </c>
      <c r="AK24" s="93" t="s">
        <v>18</v>
      </c>
      <c r="AL24" s="93" t="s">
        <v>29</v>
      </c>
      <c r="AM24" s="93" t="s">
        <v>53</v>
      </c>
      <c r="AN24" s="93" t="s">
        <v>83</v>
      </c>
      <c r="AO24" s="93">
        <v>1.09980485566</v>
      </c>
    </row>
    <row r="25" spans="1:41" s="93" customFormat="1">
      <c r="A25" s="93" t="s">
        <v>20</v>
      </c>
      <c r="B25" s="93" t="s">
        <v>55</v>
      </c>
      <c r="C25" s="93" t="s">
        <v>41</v>
      </c>
      <c r="D25" s="93" t="s">
        <v>53</v>
      </c>
      <c r="E25" s="94" t="s">
        <v>113</v>
      </c>
      <c r="F25" s="93">
        <v>6762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111</v>
      </c>
      <c r="N25" s="91">
        <v>200000</v>
      </c>
      <c r="Q25" s="93" t="s">
        <v>54</v>
      </c>
      <c r="R25" s="93" t="s">
        <v>20</v>
      </c>
      <c r="S25" s="93" t="s">
        <v>1</v>
      </c>
      <c r="T25" s="93" t="s">
        <v>53</v>
      </c>
      <c r="U25" s="93" t="s">
        <v>100</v>
      </c>
      <c r="V25" s="93">
        <v>200000</v>
      </c>
      <c r="AC25" s="93" t="s">
        <v>54</v>
      </c>
      <c r="AD25" s="93" t="s">
        <v>18</v>
      </c>
      <c r="AE25" s="93" t="s">
        <v>78</v>
      </c>
      <c r="AF25" s="93" t="s">
        <v>53</v>
      </c>
      <c r="AG25" s="93" t="s">
        <v>84</v>
      </c>
      <c r="AH25" s="93">
        <v>3.9987193359155064</v>
      </c>
      <c r="AJ25" s="93" t="s">
        <v>54</v>
      </c>
      <c r="AK25" s="93" t="s">
        <v>18</v>
      </c>
      <c r="AL25" s="93" t="s">
        <v>29</v>
      </c>
      <c r="AM25" s="93" t="s">
        <v>53</v>
      </c>
      <c r="AN25" s="93" t="s">
        <v>84</v>
      </c>
      <c r="AO25" s="93">
        <v>1.0964918123855762</v>
      </c>
    </row>
    <row r="26" spans="1:41" s="93" customFormat="1">
      <c r="A26" s="93" t="s">
        <v>20</v>
      </c>
      <c r="B26" s="93" t="s">
        <v>55</v>
      </c>
      <c r="C26" s="93" t="s">
        <v>1</v>
      </c>
      <c r="D26" s="93" t="s">
        <v>53</v>
      </c>
      <c r="E26" s="94" t="s">
        <v>113</v>
      </c>
      <c r="F26" s="93">
        <v>200000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111</v>
      </c>
      <c r="N26" s="91">
        <v>1</v>
      </c>
      <c r="Q26" s="93" t="s">
        <v>54</v>
      </c>
      <c r="R26" s="93" t="s">
        <v>20</v>
      </c>
      <c r="S26" s="93" t="s">
        <v>7</v>
      </c>
      <c r="T26" s="93" t="s">
        <v>53</v>
      </c>
      <c r="U26" s="93" t="s">
        <v>100</v>
      </c>
      <c r="V26" s="93">
        <v>1</v>
      </c>
      <c r="AC26" s="93" t="s">
        <v>54</v>
      </c>
      <c r="AD26" s="93" t="s">
        <v>18</v>
      </c>
      <c r="AE26" s="93" t="s">
        <v>78</v>
      </c>
      <c r="AF26" s="93" t="s">
        <v>53</v>
      </c>
      <c r="AG26" s="93" t="s">
        <v>85</v>
      </c>
      <c r="AH26" s="93">
        <v>3.968948344733974</v>
      </c>
      <c r="AJ26" s="93" t="s">
        <v>54</v>
      </c>
      <c r="AK26" s="93" t="s">
        <v>18</v>
      </c>
      <c r="AL26" s="93" t="s">
        <v>29</v>
      </c>
      <c r="AM26" s="93" t="s">
        <v>53</v>
      </c>
      <c r="AN26" s="93" t="s">
        <v>85</v>
      </c>
      <c r="AO26" s="93">
        <v>1.122598007927214</v>
      </c>
    </row>
    <row r="27" spans="1:41" s="93" customFormat="1">
      <c r="A27" s="93" t="s">
        <v>20</v>
      </c>
      <c r="B27" s="93" t="s">
        <v>55</v>
      </c>
      <c r="C27" s="93" t="s">
        <v>7</v>
      </c>
      <c r="D27" s="93" t="s">
        <v>53</v>
      </c>
      <c r="E27" s="94" t="s">
        <v>113</v>
      </c>
      <c r="F27" s="93">
        <v>1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111</v>
      </c>
      <c r="N27" s="91">
        <v>4</v>
      </c>
      <c r="Q27" s="93" t="s">
        <v>54</v>
      </c>
      <c r="R27" s="93" t="s">
        <v>20</v>
      </c>
      <c r="S27" s="93" t="s">
        <v>26</v>
      </c>
      <c r="T27" s="93" t="s">
        <v>53</v>
      </c>
      <c r="U27" s="93" t="s">
        <v>100</v>
      </c>
      <c r="V27" s="93">
        <v>4.125</v>
      </c>
      <c r="AC27" s="93" t="s">
        <v>54</v>
      </c>
      <c r="AD27" s="93" t="s">
        <v>18</v>
      </c>
      <c r="AE27" s="93" t="s">
        <v>78</v>
      </c>
      <c r="AF27" s="93" t="s">
        <v>53</v>
      </c>
      <c r="AG27" s="93" t="s">
        <v>96</v>
      </c>
      <c r="AH27" s="93">
        <v>3.968948344733974</v>
      </c>
      <c r="AJ27" s="93" t="s">
        <v>54</v>
      </c>
      <c r="AK27" s="93" t="s">
        <v>18</v>
      </c>
      <c r="AL27" s="93" t="s">
        <v>29</v>
      </c>
      <c r="AM27" s="93" t="s">
        <v>53</v>
      </c>
      <c r="AN27" s="93" t="s">
        <v>96</v>
      </c>
      <c r="AO27" s="93">
        <v>1.1411130414158539</v>
      </c>
    </row>
    <row r="28" spans="1:41" s="93" customFormat="1">
      <c r="A28" s="93" t="s">
        <v>20</v>
      </c>
      <c r="B28" s="93" t="s">
        <v>55</v>
      </c>
      <c r="C28" s="93" t="s">
        <v>26</v>
      </c>
      <c r="D28" s="93" t="s">
        <v>53</v>
      </c>
      <c r="E28" s="94" t="s">
        <v>113</v>
      </c>
      <c r="F28" s="93">
        <v>3.75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111</v>
      </c>
      <c r="N28" s="91">
        <v>1.4040077380531564</v>
      </c>
      <c r="Q28" s="93" t="s">
        <v>54</v>
      </c>
      <c r="R28" s="93" t="s">
        <v>20</v>
      </c>
      <c r="S28" s="93" t="s">
        <v>29</v>
      </c>
      <c r="T28" s="93" t="s">
        <v>53</v>
      </c>
      <c r="U28" s="93" t="s">
        <v>100</v>
      </c>
      <c r="V28" s="93">
        <v>1.3615482313074194</v>
      </c>
      <c r="AC28" s="93" t="s">
        <v>54</v>
      </c>
      <c r="AD28" s="93" t="s">
        <v>18</v>
      </c>
      <c r="AE28" s="93" t="s">
        <v>78</v>
      </c>
      <c r="AF28" s="93" t="s">
        <v>53</v>
      </c>
      <c r="AG28" s="93" t="s">
        <v>99</v>
      </c>
      <c r="AH28" s="93">
        <v>3.8725334437312955</v>
      </c>
      <c r="AJ28" s="93" t="s">
        <v>54</v>
      </c>
      <c r="AK28" s="93" t="s">
        <v>18</v>
      </c>
      <c r="AL28" s="93" t="s">
        <v>29</v>
      </c>
      <c r="AM28" s="93" t="s">
        <v>53</v>
      </c>
      <c r="AN28" s="93" t="s">
        <v>99</v>
      </c>
      <c r="AO28" s="93">
        <v>1.0587143334773157</v>
      </c>
    </row>
    <row r="29" spans="1:41" s="93" customFormat="1">
      <c r="A29" s="93" t="s">
        <v>20</v>
      </c>
      <c r="B29" s="93" t="s">
        <v>55</v>
      </c>
      <c r="C29" s="93" t="s">
        <v>42</v>
      </c>
      <c r="D29" s="93" t="s">
        <v>53</v>
      </c>
      <c r="E29" s="94" t="s">
        <v>113</v>
      </c>
      <c r="F29" s="93">
        <v>3500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111</v>
      </c>
      <c r="N29" s="91">
        <v>4.141</v>
      </c>
      <c r="Q29" s="93" t="s">
        <v>55</v>
      </c>
      <c r="R29" s="93" t="s">
        <v>19</v>
      </c>
      <c r="S29" s="93" t="s">
        <v>0</v>
      </c>
      <c r="T29" s="93" t="s">
        <v>53</v>
      </c>
      <c r="U29" s="93" t="s">
        <v>100</v>
      </c>
      <c r="V29" s="93">
        <v>4.3879999999999999</v>
      </c>
      <c r="AC29" s="93" t="s">
        <v>54</v>
      </c>
      <c r="AD29" s="93" t="s">
        <v>18</v>
      </c>
      <c r="AE29" s="93" t="s">
        <v>78</v>
      </c>
      <c r="AF29" s="93" t="s">
        <v>53</v>
      </c>
      <c r="AG29" s="93" t="s">
        <v>100</v>
      </c>
      <c r="AH29" s="93">
        <v>3.9353424338077225</v>
      </c>
      <c r="AJ29" s="93" t="s">
        <v>54</v>
      </c>
      <c r="AK29" s="93" t="s">
        <v>18</v>
      </c>
      <c r="AL29" s="93" t="s">
        <v>29</v>
      </c>
      <c r="AM29" s="93" t="s">
        <v>53</v>
      </c>
      <c r="AN29" s="93" t="s">
        <v>100</v>
      </c>
      <c r="AO29" s="93">
        <v>1.1038366846652226</v>
      </c>
    </row>
    <row r="30" spans="1:41" s="93" customFormat="1">
      <c r="A30" s="93" t="s">
        <v>20</v>
      </c>
      <c r="B30" s="93" t="s">
        <v>56</v>
      </c>
      <c r="C30" s="93" t="s">
        <v>0</v>
      </c>
      <c r="D30" s="93" t="s">
        <v>53</v>
      </c>
      <c r="E30" s="94" t="s">
        <v>113</v>
      </c>
      <c r="F30" s="93">
        <v>4.0129999999999999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111</v>
      </c>
      <c r="N30" s="91">
        <v>2.25</v>
      </c>
      <c r="Q30" s="93" t="s">
        <v>55</v>
      </c>
      <c r="R30" s="93" t="s">
        <v>19</v>
      </c>
      <c r="S30" s="93" t="s">
        <v>7</v>
      </c>
      <c r="T30" s="93" t="s">
        <v>53</v>
      </c>
      <c r="U30" s="93" t="s">
        <v>100</v>
      </c>
      <c r="V30" s="93">
        <v>2.125</v>
      </c>
      <c r="AC30" s="93" t="s">
        <v>54</v>
      </c>
      <c r="AD30" s="93" t="s">
        <v>18</v>
      </c>
      <c r="AE30" s="93" t="s">
        <v>78</v>
      </c>
      <c r="AF30" s="93" t="s">
        <v>53</v>
      </c>
      <c r="AG30" s="93" t="s">
        <v>108</v>
      </c>
      <c r="AH30" s="93">
        <v>3.9361387568601574</v>
      </c>
      <c r="AJ30" s="93" t="s">
        <v>54</v>
      </c>
      <c r="AK30" s="93" t="s">
        <v>18</v>
      </c>
      <c r="AL30" s="93" t="s">
        <v>29</v>
      </c>
      <c r="AM30" s="93" t="s">
        <v>53</v>
      </c>
      <c r="AN30" s="93" t="s">
        <v>108</v>
      </c>
      <c r="AO30" s="93">
        <v>1.1119619050322371</v>
      </c>
    </row>
    <row r="31" spans="1:41" s="93" customFormat="1">
      <c r="A31" s="93" t="s">
        <v>20</v>
      </c>
      <c r="B31" s="93" t="s">
        <v>56</v>
      </c>
      <c r="C31" s="93" t="s">
        <v>41</v>
      </c>
      <c r="D31" s="93" t="s">
        <v>53</v>
      </c>
      <c r="E31" s="94" t="s">
        <v>113</v>
      </c>
      <c r="F31" s="93">
        <v>2951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111</v>
      </c>
      <c r="N31" s="91">
        <v>3.25</v>
      </c>
      <c r="Q31" s="93" t="s">
        <v>55</v>
      </c>
      <c r="R31" s="93" t="s">
        <v>19</v>
      </c>
      <c r="S31" s="93" t="s">
        <v>26</v>
      </c>
      <c r="T31" s="93" t="s">
        <v>53</v>
      </c>
      <c r="U31" s="93" t="s">
        <v>100</v>
      </c>
      <c r="V31" s="93">
        <v>3.5</v>
      </c>
      <c r="AC31" s="93" t="s">
        <v>54</v>
      </c>
      <c r="AD31" s="93" t="s">
        <v>18</v>
      </c>
      <c r="AE31" s="93" t="s">
        <v>78</v>
      </c>
      <c r="AF31" s="93" t="s">
        <v>53</v>
      </c>
      <c r="AG31" s="93" t="s">
        <v>109</v>
      </c>
      <c r="AH31" s="93">
        <v>3.9353424338077225</v>
      </c>
      <c r="AJ31" s="93" t="s">
        <v>54</v>
      </c>
      <c r="AK31" s="93" t="s">
        <v>18</v>
      </c>
      <c r="AL31" s="93" t="s">
        <v>29</v>
      </c>
      <c r="AM31" s="93" t="s">
        <v>53</v>
      </c>
      <c r="AN31" s="93" t="s">
        <v>109</v>
      </c>
      <c r="AO31" s="93">
        <v>1.1395014245030624</v>
      </c>
    </row>
    <row r="32" spans="1:41" s="93" customFormat="1">
      <c r="A32" s="93" t="s">
        <v>20</v>
      </c>
      <c r="B32" s="93" t="s">
        <v>56</v>
      </c>
      <c r="C32" s="93" t="s">
        <v>1</v>
      </c>
      <c r="D32" s="93" t="s">
        <v>53</v>
      </c>
      <c r="E32" s="94" t="s">
        <v>113</v>
      </c>
      <c r="F32" s="93">
        <v>500000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111</v>
      </c>
      <c r="N32" s="91">
        <v>3.8441249999999996</v>
      </c>
      <c r="Q32" s="93" t="s">
        <v>55</v>
      </c>
      <c r="R32" s="93" t="s">
        <v>20</v>
      </c>
      <c r="S32" s="93" t="s">
        <v>78</v>
      </c>
      <c r="T32" s="93" t="s">
        <v>53</v>
      </c>
      <c r="U32" s="93" t="s">
        <v>100</v>
      </c>
      <c r="V32" s="93">
        <v>4.0036250000000004</v>
      </c>
      <c r="AC32" s="93" t="s">
        <v>54</v>
      </c>
      <c r="AD32" s="93" t="s">
        <v>18</v>
      </c>
      <c r="AE32" s="93" t="s">
        <v>78</v>
      </c>
      <c r="AF32" s="93" t="s">
        <v>53</v>
      </c>
      <c r="AG32" s="93" t="s">
        <v>110</v>
      </c>
      <c r="AH32" s="93">
        <v>3.8425411667081901</v>
      </c>
      <c r="AJ32" s="93" t="s">
        <v>54</v>
      </c>
      <c r="AK32" s="93" t="s">
        <v>18</v>
      </c>
      <c r="AL32" s="93" t="s">
        <v>29</v>
      </c>
      <c r="AM32" s="93" t="s">
        <v>53</v>
      </c>
      <c r="AN32" s="93" t="s">
        <v>110</v>
      </c>
      <c r="AO32" s="93">
        <v>1.1496922636127707</v>
      </c>
    </row>
    <row r="33" spans="1:41" s="93" customFormat="1">
      <c r="A33" s="93" t="s">
        <v>20</v>
      </c>
      <c r="B33" s="93" t="s">
        <v>56</v>
      </c>
      <c r="C33" s="93" t="s">
        <v>7</v>
      </c>
      <c r="D33" s="93" t="s">
        <v>53</v>
      </c>
      <c r="E33" s="94" t="s">
        <v>113</v>
      </c>
      <c r="F33" s="93">
        <v>1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111</v>
      </c>
      <c r="N33" s="91">
        <v>4.7679999999999998</v>
      </c>
      <c r="Q33" s="93" t="s">
        <v>55</v>
      </c>
      <c r="R33" s="93" t="s">
        <v>20</v>
      </c>
      <c r="S33" s="93" t="s">
        <v>0</v>
      </c>
      <c r="T33" s="93" t="s">
        <v>53</v>
      </c>
      <c r="U33" s="93" t="s">
        <v>100</v>
      </c>
      <c r="V33" s="93">
        <v>4.9050000000000002</v>
      </c>
      <c r="AC33" s="93" t="s">
        <v>54</v>
      </c>
      <c r="AD33" s="93" t="s">
        <v>18</v>
      </c>
      <c r="AE33" s="93" t="s">
        <v>78</v>
      </c>
      <c r="AF33" s="93" t="s">
        <v>53</v>
      </c>
      <c r="AG33" s="93" t="s">
        <v>111</v>
      </c>
      <c r="AH33" s="93">
        <v>3.812592661796018</v>
      </c>
      <c r="AJ33" s="93" t="s">
        <v>54</v>
      </c>
      <c r="AK33" s="93" t="s">
        <v>18</v>
      </c>
      <c r="AL33" s="93" t="s">
        <v>29</v>
      </c>
      <c r="AM33" s="93" t="s">
        <v>53</v>
      </c>
      <c r="AN33" s="93" t="s">
        <v>111</v>
      </c>
      <c r="AO33" s="93">
        <v>1.1030360980347382</v>
      </c>
    </row>
    <row r="34" spans="1:41" s="93" customFormat="1">
      <c r="A34" s="93" t="s">
        <v>20</v>
      </c>
      <c r="B34" s="93" t="s">
        <v>56</v>
      </c>
      <c r="C34" s="93" t="s">
        <v>26</v>
      </c>
      <c r="D34" s="93" t="s">
        <v>53</v>
      </c>
      <c r="E34" s="94" t="s">
        <v>113</v>
      </c>
      <c r="F34" s="93">
        <v>4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111</v>
      </c>
      <c r="N34" s="91">
        <v>6253</v>
      </c>
      <c r="Q34" s="93" t="s">
        <v>55</v>
      </c>
      <c r="R34" s="93" t="s">
        <v>20</v>
      </c>
      <c r="S34" s="93" t="s">
        <v>41</v>
      </c>
      <c r="T34" s="93" t="s">
        <v>53</v>
      </c>
      <c r="U34" s="93" t="s">
        <v>100</v>
      </c>
      <c r="V34" s="93">
        <v>6529</v>
      </c>
      <c r="AC34" s="93" t="s">
        <v>54</v>
      </c>
      <c r="AD34" s="93" t="s">
        <v>18</v>
      </c>
      <c r="AE34" s="93" t="s">
        <v>78</v>
      </c>
      <c r="AF34" s="93" t="s">
        <v>53</v>
      </c>
      <c r="AG34" s="93" t="s">
        <v>113</v>
      </c>
      <c r="AH34" s="93">
        <v>3.8425411667081901</v>
      </c>
      <c r="AJ34" s="93" t="s">
        <v>54</v>
      </c>
      <c r="AK34" s="93" t="s">
        <v>18</v>
      </c>
      <c r="AL34" s="93" t="s">
        <v>29</v>
      </c>
      <c r="AM34" s="93" t="s">
        <v>53</v>
      </c>
      <c r="AN34" s="93" t="s">
        <v>113</v>
      </c>
      <c r="AO34" s="93">
        <v>1.1707682281644907</v>
      </c>
    </row>
    <row r="35" spans="1:41" s="93" customFormat="1">
      <c r="A35" s="93" t="s">
        <v>20</v>
      </c>
      <c r="B35" s="93" t="s">
        <v>57</v>
      </c>
      <c r="C35" s="93" t="s">
        <v>0</v>
      </c>
      <c r="D35" s="93" t="s">
        <v>53</v>
      </c>
      <c r="E35" s="94" t="s">
        <v>113</v>
      </c>
      <c r="F35" s="93">
        <v>3.8809999999999998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111</v>
      </c>
      <c r="N35" s="91">
        <v>200000</v>
      </c>
      <c r="Q35" s="93" t="s">
        <v>55</v>
      </c>
      <c r="R35" s="93" t="s">
        <v>20</v>
      </c>
      <c r="S35" s="93" t="s">
        <v>1</v>
      </c>
      <c r="T35" s="93" t="s">
        <v>53</v>
      </c>
      <c r="U35" s="93" t="s">
        <v>100</v>
      </c>
      <c r="V35" s="93">
        <v>200000</v>
      </c>
      <c r="AC35" s="93" t="s">
        <v>54</v>
      </c>
      <c r="AD35" s="93" t="s">
        <v>19</v>
      </c>
      <c r="AE35" s="93" t="s">
        <v>78</v>
      </c>
      <c r="AF35" s="93" t="s">
        <v>53</v>
      </c>
      <c r="AG35" s="93" t="s">
        <v>86</v>
      </c>
      <c r="AH35" s="93">
        <v>4.2722196725487462</v>
      </c>
      <c r="AJ35" s="93" t="s">
        <v>54</v>
      </c>
      <c r="AK35" s="93" t="s">
        <v>19</v>
      </c>
      <c r="AL35" s="93" t="s">
        <v>29</v>
      </c>
      <c r="AM35" s="93" t="s">
        <v>53</v>
      </c>
      <c r="AN35" s="93" t="s">
        <v>86</v>
      </c>
      <c r="AO35" s="93">
        <v>1.4380197325194559</v>
      </c>
    </row>
    <row r="36" spans="1:41" s="93" customFormat="1">
      <c r="A36" s="93" t="s">
        <v>20</v>
      </c>
      <c r="B36" s="93" t="s">
        <v>57</v>
      </c>
      <c r="C36" s="93" t="s">
        <v>41</v>
      </c>
      <c r="D36" s="93" t="s">
        <v>53</v>
      </c>
      <c r="E36" s="94" t="s">
        <v>113</v>
      </c>
      <c r="F36" s="93">
        <v>3060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111</v>
      </c>
      <c r="N36" s="91">
        <v>1</v>
      </c>
      <c r="Q36" s="93" t="s">
        <v>55</v>
      </c>
      <c r="R36" s="93" t="s">
        <v>20</v>
      </c>
      <c r="S36" s="93" t="s">
        <v>7</v>
      </c>
      <c r="T36" s="93" t="s">
        <v>53</v>
      </c>
      <c r="U36" s="93" t="s">
        <v>100</v>
      </c>
      <c r="V36" s="93">
        <v>1</v>
      </c>
      <c r="AC36" s="93" t="s">
        <v>54</v>
      </c>
      <c r="AD36" s="93" t="s">
        <v>19</v>
      </c>
      <c r="AE36" s="93" t="s">
        <v>78</v>
      </c>
      <c r="AF36" s="93" t="s">
        <v>53</v>
      </c>
      <c r="AG36" s="93" t="s">
        <v>87</v>
      </c>
      <c r="AH36" s="93">
        <v>4.2722152605049795</v>
      </c>
      <c r="AJ36" s="93" t="s">
        <v>54</v>
      </c>
      <c r="AK36" s="93" t="s">
        <v>19</v>
      </c>
      <c r="AL36" s="93" t="s">
        <v>29</v>
      </c>
      <c r="AM36" s="93" t="s">
        <v>53</v>
      </c>
      <c r="AN36" s="93" t="s">
        <v>87</v>
      </c>
      <c r="AO36" s="93">
        <v>1.4480315377515394</v>
      </c>
    </row>
    <row r="37" spans="1:41" s="93" customFormat="1">
      <c r="A37" s="93" t="s">
        <v>20</v>
      </c>
      <c r="B37" s="93" t="s">
        <v>57</v>
      </c>
      <c r="C37" s="93" t="s">
        <v>1</v>
      </c>
      <c r="D37" s="93" t="s">
        <v>53</v>
      </c>
      <c r="E37" s="94" t="s">
        <v>113</v>
      </c>
      <c r="F37" s="93">
        <v>750000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111</v>
      </c>
      <c r="N37" s="91">
        <v>3.75</v>
      </c>
      <c r="Q37" s="93" t="s">
        <v>55</v>
      </c>
      <c r="R37" s="93" t="s">
        <v>20</v>
      </c>
      <c r="S37" s="93" t="s">
        <v>26</v>
      </c>
      <c r="T37" s="93" t="s">
        <v>53</v>
      </c>
      <c r="U37" s="93" t="s">
        <v>100</v>
      </c>
      <c r="V37" s="93">
        <v>3.875</v>
      </c>
      <c r="AC37" s="93" t="s">
        <v>54</v>
      </c>
      <c r="AD37" s="93" t="s">
        <v>19</v>
      </c>
      <c r="AE37" s="93" t="s">
        <v>78</v>
      </c>
      <c r="AF37" s="93" t="s">
        <v>53</v>
      </c>
      <c r="AG37" s="93" t="s">
        <v>88</v>
      </c>
      <c r="AH37" s="93">
        <v>4.2722152605049795</v>
      </c>
      <c r="AJ37" s="93" t="s">
        <v>54</v>
      </c>
      <c r="AK37" s="93" t="s">
        <v>19</v>
      </c>
      <c r="AL37" s="93" t="s">
        <v>29</v>
      </c>
      <c r="AM37" s="93" t="s">
        <v>53</v>
      </c>
      <c r="AN37" s="93" t="s">
        <v>88</v>
      </c>
      <c r="AO37" s="93">
        <v>1.4566536855283092</v>
      </c>
    </row>
    <row r="38" spans="1:41" s="93" customFormat="1">
      <c r="A38" s="93" t="s">
        <v>20</v>
      </c>
      <c r="B38" s="93" t="s">
        <v>57</v>
      </c>
      <c r="C38" s="93" t="s">
        <v>7</v>
      </c>
      <c r="D38" s="93" t="s">
        <v>53</v>
      </c>
      <c r="E38" s="94" t="s">
        <v>113</v>
      </c>
      <c r="F38" s="93">
        <v>1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111</v>
      </c>
      <c r="N38" s="91">
        <v>1.2590386118036996</v>
      </c>
      <c r="Q38" s="93" t="s">
        <v>55</v>
      </c>
      <c r="R38" s="93" t="s">
        <v>20</v>
      </c>
      <c r="S38" s="93" t="s">
        <v>29</v>
      </c>
      <c r="T38" s="93" t="s">
        <v>53</v>
      </c>
      <c r="U38" s="93" t="s">
        <v>100</v>
      </c>
      <c r="V38" s="93">
        <v>1.3060398010481804</v>
      </c>
      <c r="AC38" s="93" t="s">
        <v>54</v>
      </c>
      <c r="AD38" s="93" t="s">
        <v>19</v>
      </c>
      <c r="AE38" s="93" t="s">
        <v>78</v>
      </c>
      <c r="AF38" s="93" t="s">
        <v>53</v>
      </c>
      <c r="AG38" s="93" t="s">
        <v>83</v>
      </c>
      <c r="AH38" s="93">
        <v>4.356765969784167</v>
      </c>
      <c r="AJ38" s="93" t="s">
        <v>54</v>
      </c>
      <c r="AK38" s="93" t="s">
        <v>19</v>
      </c>
      <c r="AL38" s="93" t="s">
        <v>29</v>
      </c>
      <c r="AM38" s="93" t="s">
        <v>53</v>
      </c>
      <c r="AN38" s="93" t="s">
        <v>83</v>
      </c>
      <c r="AO38" s="93">
        <v>1.4264489588822669</v>
      </c>
    </row>
    <row r="39" spans="1:41" s="93" customFormat="1">
      <c r="A39" s="93" t="s">
        <v>20</v>
      </c>
      <c r="B39" s="93" t="s">
        <v>57</v>
      </c>
      <c r="C39" s="93" t="s">
        <v>26</v>
      </c>
      <c r="D39" s="93" t="s">
        <v>53</v>
      </c>
      <c r="E39" s="94" t="s">
        <v>113</v>
      </c>
      <c r="F39" s="93">
        <v>3.875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111</v>
      </c>
      <c r="N39" s="91">
        <v>3500</v>
      </c>
      <c r="Q39" s="93" t="s">
        <v>55</v>
      </c>
      <c r="R39" s="93" t="s">
        <v>20</v>
      </c>
      <c r="S39" s="93" t="s">
        <v>42</v>
      </c>
      <c r="T39" s="93" t="s">
        <v>53</v>
      </c>
      <c r="U39" s="93" t="s">
        <v>100</v>
      </c>
      <c r="V39" s="93">
        <v>3500</v>
      </c>
      <c r="AC39" s="93" t="s">
        <v>54</v>
      </c>
      <c r="AD39" s="93" t="s">
        <v>19</v>
      </c>
      <c r="AE39" s="93" t="s">
        <v>78</v>
      </c>
      <c r="AF39" s="93" t="s">
        <v>53</v>
      </c>
      <c r="AG39" s="93" t="s">
        <v>84</v>
      </c>
      <c r="AH39" s="93">
        <v>4.3975094107446839</v>
      </c>
      <c r="AJ39" s="93" t="s">
        <v>54</v>
      </c>
      <c r="AK39" s="93" t="s">
        <v>19</v>
      </c>
      <c r="AL39" s="93" t="s">
        <v>29</v>
      </c>
      <c r="AM39" s="93" t="s">
        <v>53</v>
      </c>
      <c r="AN39" s="93" t="s">
        <v>84</v>
      </c>
      <c r="AO39" s="93">
        <v>1.4952818872147542</v>
      </c>
    </row>
    <row r="40" spans="1:41" s="93" customFormat="1"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111</v>
      </c>
      <c r="N40" s="91">
        <v>3.872298391426404</v>
      </c>
      <c r="Q40" s="93" t="s">
        <v>56</v>
      </c>
      <c r="R40" s="93" t="s">
        <v>20</v>
      </c>
      <c r="S40" s="93" t="s">
        <v>78</v>
      </c>
      <c r="T40" s="93" t="s">
        <v>53</v>
      </c>
      <c r="U40" s="93" t="s">
        <v>100</v>
      </c>
      <c r="V40" s="93">
        <v>4.123888942161555</v>
      </c>
      <c r="AC40" s="93" t="s">
        <v>54</v>
      </c>
      <c r="AD40" s="93" t="s">
        <v>19</v>
      </c>
      <c r="AE40" s="93" t="s">
        <v>78</v>
      </c>
      <c r="AF40" s="93" t="s">
        <v>53</v>
      </c>
      <c r="AG40" s="93" t="s">
        <v>85</v>
      </c>
      <c r="AH40" s="93">
        <v>4.3364393474588088</v>
      </c>
      <c r="AJ40" s="93" t="s">
        <v>54</v>
      </c>
      <c r="AK40" s="93" t="s">
        <v>19</v>
      </c>
      <c r="AL40" s="93" t="s">
        <v>29</v>
      </c>
      <c r="AM40" s="93" t="s">
        <v>53</v>
      </c>
      <c r="AN40" s="93" t="s">
        <v>85</v>
      </c>
      <c r="AO40" s="93">
        <v>1.4900890106520488</v>
      </c>
    </row>
    <row r="41" spans="1:41" s="93" customFormat="1"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111</v>
      </c>
      <c r="N41" s="91">
        <v>3.8980000000000001</v>
      </c>
      <c r="Q41" s="93" t="s">
        <v>56</v>
      </c>
      <c r="R41" s="93" t="s">
        <v>20</v>
      </c>
      <c r="S41" s="93" t="s">
        <v>0</v>
      </c>
      <c r="T41" s="93" t="s">
        <v>53</v>
      </c>
      <c r="U41" s="93" t="s">
        <v>100</v>
      </c>
      <c r="V41" s="93">
        <v>4.1479999999999997</v>
      </c>
      <c r="AC41" s="93" t="s">
        <v>54</v>
      </c>
      <c r="AD41" s="93" t="s">
        <v>19</v>
      </c>
      <c r="AE41" s="93" t="s">
        <v>78</v>
      </c>
      <c r="AF41" s="93" t="s">
        <v>53</v>
      </c>
      <c r="AG41" s="93" t="s">
        <v>96</v>
      </c>
      <c r="AH41" s="93">
        <v>4.3043588303271259</v>
      </c>
      <c r="AJ41" s="93" t="s">
        <v>54</v>
      </c>
      <c r="AK41" s="93" t="s">
        <v>19</v>
      </c>
      <c r="AL41" s="93" t="s">
        <v>29</v>
      </c>
      <c r="AM41" s="93" t="s">
        <v>53</v>
      </c>
      <c r="AN41" s="93" t="s">
        <v>96</v>
      </c>
      <c r="AO41" s="93">
        <v>1.4765235270090056</v>
      </c>
    </row>
    <row r="42" spans="1:41" s="93" customFormat="1"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111</v>
      </c>
      <c r="N42" s="91">
        <v>3550</v>
      </c>
      <c r="Q42" s="93" t="s">
        <v>56</v>
      </c>
      <c r="R42" s="93" t="s">
        <v>20</v>
      </c>
      <c r="S42" s="93" t="s">
        <v>41</v>
      </c>
      <c r="T42" s="93" t="s">
        <v>53</v>
      </c>
      <c r="U42" s="93" t="s">
        <v>100</v>
      </c>
      <c r="V42" s="93">
        <v>3602</v>
      </c>
      <c r="AC42" s="93" t="s">
        <v>54</v>
      </c>
      <c r="AD42" s="93" t="s">
        <v>19</v>
      </c>
      <c r="AE42" s="93" t="s">
        <v>78</v>
      </c>
      <c r="AF42" s="93" t="s">
        <v>53</v>
      </c>
      <c r="AG42" s="93" t="s">
        <v>99</v>
      </c>
      <c r="AH42" s="93">
        <v>4.2722196725487462</v>
      </c>
      <c r="AJ42" s="93" t="s">
        <v>54</v>
      </c>
      <c r="AK42" s="93" t="s">
        <v>19</v>
      </c>
      <c r="AL42" s="93" t="s">
        <v>29</v>
      </c>
      <c r="AM42" s="93" t="s">
        <v>53</v>
      </c>
      <c r="AN42" s="93" t="s">
        <v>99</v>
      </c>
      <c r="AO42" s="93">
        <v>1.458400562294766</v>
      </c>
    </row>
    <row r="43" spans="1:41" s="93" customFormat="1"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111</v>
      </c>
      <c r="N43" s="91">
        <v>500000</v>
      </c>
      <c r="Q43" s="93" t="s">
        <v>56</v>
      </c>
      <c r="R43" s="93" t="s">
        <v>20</v>
      </c>
      <c r="S43" s="93" t="s">
        <v>1</v>
      </c>
      <c r="T43" s="93" t="s">
        <v>53</v>
      </c>
      <c r="U43" s="93" t="s">
        <v>100</v>
      </c>
      <c r="V43" s="93">
        <v>500000</v>
      </c>
      <c r="AC43" s="93" t="s">
        <v>54</v>
      </c>
      <c r="AD43" s="93" t="s">
        <v>19</v>
      </c>
      <c r="AE43" s="93" t="s">
        <v>78</v>
      </c>
      <c r="AF43" s="93" t="s">
        <v>53</v>
      </c>
      <c r="AG43" s="93" t="s">
        <v>100</v>
      </c>
      <c r="AH43" s="93">
        <v>4.3043588303271259</v>
      </c>
      <c r="AJ43" s="93" t="s">
        <v>54</v>
      </c>
      <c r="AK43" s="93" t="s">
        <v>19</v>
      </c>
      <c r="AL43" s="93" t="s">
        <v>29</v>
      </c>
      <c r="AM43" s="93" t="s">
        <v>53</v>
      </c>
      <c r="AN43" s="93" t="s">
        <v>100</v>
      </c>
      <c r="AO43" s="93">
        <v>1.4728530811846257</v>
      </c>
    </row>
    <row r="44" spans="1:41" s="93" customFormat="1"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111</v>
      </c>
      <c r="N44" s="91">
        <v>1</v>
      </c>
      <c r="Q44" s="93" t="s">
        <v>56</v>
      </c>
      <c r="R44" s="93" t="s">
        <v>20</v>
      </c>
      <c r="S44" s="93" t="s">
        <v>7</v>
      </c>
      <c r="T44" s="93" t="s">
        <v>53</v>
      </c>
      <c r="U44" s="93" t="s">
        <v>100</v>
      </c>
      <c r="V44" s="93">
        <v>1</v>
      </c>
      <c r="AC44" s="93" t="s">
        <v>54</v>
      </c>
      <c r="AD44" s="93" t="s">
        <v>19</v>
      </c>
      <c r="AE44" s="93" t="s">
        <v>78</v>
      </c>
      <c r="AF44" s="93" t="s">
        <v>53</v>
      </c>
      <c r="AG44" s="93" t="s">
        <v>108</v>
      </c>
      <c r="AH44" s="93">
        <v>4.2722152605049795</v>
      </c>
      <c r="AJ44" s="93" t="s">
        <v>54</v>
      </c>
      <c r="AK44" s="93" t="s">
        <v>19</v>
      </c>
      <c r="AL44" s="93" t="s">
        <v>29</v>
      </c>
      <c r="AM44" s="93" t="s">
        <v>53</v>
      </c>
      <c r="AN44" s="93" t="s">
        <v>108</v>
      </c>
      <c r="AO44" s="93">
        <v>1.4480384086770592</v>
      </c>
    </row>
    <row r="45" spans="1:41" s="93" customFormat="1"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111</v>
      </c>
      <c r="N45" s="91">
        <v>3.875</v>
      </c>
      <c r="Q45" s="93" t="s">
        <v>56</v>
      </c>
      <c r="R45" s="93" t="s">
        <v>20</v>
      </c>
      <c r="S45" s="93" t="s">
        <v>26</v>
      </c>
      <c r="T45" s="93" t="s">
        <v>53</v>
      </c>
      <c r="U45" s="93" t="s">
        <v>100</v>
      </c>
      <c r="V45" s="93">
        <v>4.125</v>
      </c>
      <c r="AC45" s="93" t="s">
        <v>54</v>
      </c>
      <c r="AD45" s="93" t="s">
        <v>19</v>
      </c>
      <c r="AE45" s="93" t="s">
        <v>78</v>
      </c>
      <c r="AF45" s="93" t="s">
        <v>53</v>
      </c>
      <c r="AG45" s="93" t="s">
        <v>109</v>
      </c>
      <c r="AH45" s="93">
        <v>4.2722196725487462</v>
      </c>
      <c r="AJ45" s="93" t="s">
        <v>54</v>
      </c>
      <c r="AK45" s="93" t="s">
        <v>19</v>
      </c>
      <c r="AL45" s="93" t="s">
        <v>29</v>
      </c>
      <c r="AM45" s="93" t="s">
        <v>53</v>
      </c>
      <c r="AN45" s="93" t="s">
        <v>109</v>
      </c>
      <c r="AO45" s="93">
        <v>1.4763786632440858</v>
      </c>
    </row>
    <row r="46" spans="1:41" s="93" customFormat="1"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111</v>
      </c>
      <c r="N46" s="91">
        <v>1.1627418276651245</v>
      </c>
      <c r="Q46" s="93" t="s">
        <v>56</v>
      </c>
      <c r="R46" s="93" t="s">
        <v>20</v>
      </c>
      <c r="S46" s="93" t="s">
        <v>29</v>
      </c>
      <c r="T46" s="93" t="s">
        <v>53</v>
      </c>
      <c r="U46" s="93" t="s">
        <v>100</v>
      </c>
      <c r="V46" s="93">
        <v>1.292383193019055</v>
      </c>
      <c r="AC46" s="93" t="s">
        <v>54</v>
      </c>
      <c r="AD46" s="93" t="s">
        <v>19</v>
      </c>
      <c r="AE46" s="93" t="s">
        <v>78</v>
      </c>
      <c r="AF46" s="93" t="s">
        <v>53</v>
      </c>
      <c r="AG46" s="93" t="s">
        <v>110</v>
      </c>
      <c r="AH46" s="93">
        <v>4.1164931032788781</v>
      </c>
      <c r="AJ46" s="93" t="s">
        <v>54</v>
      </c>
      <c r="AK46" s="93" t="s">
        <v>19</v>
      </c>
      <c r="AL46" s="93" t="s">
        <v>29</v>
      </c>
      <c r="AM46" s="93" t="s">
        <v>53</v>
      </c>
      <c r="AN46" s="93" t="s">
        <v>110</v>
      </c>
      <c r="AO46" s="93">
        <v>1.4236442001834584</v>
      </c>
    </row>
    <row r="47" spans="1:41" s="93" customFormat="1"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111</v>
      </c>
      <c r="N47" s="91">
        <v>3.701847554934004</v>
      </c>
      <c r="Q47" s="93" t="s">
        <v>57</v>
      </c>
      <c r="R47" s="93" t="s">
        <v>20</v>
      </c>
      <c r="S47" s="93" t="s">
        <v>78</v>
      </c>
      <c r="T47" s="93" t="s">
        <v>53</v>
      </c>
      <c r="U47" s="93" t="s">
        <v>100</v>
      </c>
      <c r="V47" s="93">
        <v>3.8714038285041039</v>
      </c>
      <c r="AC47" s="93" t="s">
        <v>54</v>
      </c>
      <c r="AD47" s="93" t="s">
        <v>19</v>
      </c>
      <c r="AE47" s="93" t="s">
        <v>78</v>
      </c>
      <c r="AF47" s="93" t="s">
        <v>53</v>
      </c>
      <c r="AG47" s="93" t="s">
        <v>111</v>
      </c>
      <c r="AH47" s="93">
        <v>4.1164931032788781</v>
      </c>
      <c r="AJ47" s="93" t="s">
        <v>54</v>
      </c>
      <c r="AK47" s="93" t="s">
        <v>19</v>
      </c>
      <c r="AL47" s="93" t="s">
        <v>29</v>
      </c>
      <c r="AM47" s="93" t="s">
        <v>53</v>
      </c>
      <c r="AN47" s="93" t="s">
        <v>111</v>
      </c>
      <c r="AO47" s="93">
        <v>1.4069365395175983</v>
      </c>
    </row>
    <row r="48" spans="1:41" s="93" customFormat="1"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111</v>
      </c>
      <c r="N48" s="91">
        <v>3.8769999999999998</v>
      </c>
      <c r="Q48" s="93" t="s">
        <v>57</v>
      </c>
      <c r="R48" s="93" t="s">
        <v>20</v>
      </c>
      <c r="S48" s="93" t="s">
        <v>0</v>
      </c>
      <c r="T48" s="93" t="s">
        <v>53</v>
      </c>
      <c r="U48" s="93" t="s">
        <v>100</v>
      </c>
      <c r="V48" s="93">
        <v>4.0060000000000002</v>
      </c>
      <c r="AC48" s="93" t="s">
        <v>54</v>
      </c>
      <c r="AD48" s="93" t="s">
        <v>19</v>
      </c>
      <c r="AE48" s="93" t="s">
        <v>78</v>
      </c>
      <c r="AF48" s="93" t="s">
        <v>53</v>
      </c>
      <c r="AG48" s="93" t="s">
        <v>113</v>
      </c>
      <c r="AH48" s="93">
        <v>4.1489354754111796</v>
      </c>
      <c r="AJ48" s="93" t="s">
        <v>54</v>
      </c>
      <c r="AK48" s="93" t="s">
        <v>19</v>
      </c>
      <c r="AL48" s="93" t="s">
        <v>29</v>
      </c>
      <c r="AM48" s="93" t="s">
        <v>53</v>
      </c>
      <c r="AN48" s="93" t="s">
        <v>113</v>
      </c>
      <c r="AO48" s="93">
        <v>1.4771625368674803</v>
      </c>
    </row>
    <row r="49" spans="9:41" s="93" customFormat="1"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111</v>
      </c>
      <c r="N49" s="91">
        <v>2123</v>
      </c>
      <c r="Q49" s="93" t="s">
        <v>57</v>
      </c>
      <c r="R49" s="93" t="s">
        <v>20</v>
      </c>
      <c r="S49" s="93" t="s">
        <v>41</v>
      </c>
      <c r="T49" s="93" t="s">
        <v>53</v>
      </c>
      <c r="U49" s="93" t="s">
        <v>100</v>
      </c>
      <c r="V49" s="93">
        <v>3099</v>
      </c>
      <c r="AC49" s="93" t="s">
        <v>54</v>
      </c>
      <c r="AD49" s="93" t="s">
        <v>20</v>
      </c>
      <c r="AE49" s="93" t="s">
        <v>78</v>
      </c>
      <c r="AF49" s="93" t="s">
        <v>53</v>
      </c>
      <c r="AG49" s="93" t="s">
        <v>86</v>
      </c>
      <c r="AH49" s="93">
        <v>4.1618039804499194</v>
      </c>
      <c r="AJ49" s="93" t="s">
        <v>54</v>
      </c>
      <c r="AK49" s="93" t="s">
        <v>20</v>
      </c>
      <c r="AL49" s="93" t="s">
        <v>29</v>
      </c>
      <c r="AM49" s="93" t="s">
        <v>53</v>
      </c>
      <c r="AN49" s="93" t="s">
        <v>86</v>
      </c>
      <c r="AO49" s="93">
        <v>1.3276040404206293</v>
      </c>
    </row>
    <row r="50" spans="9:41" s="93" customFormat="1"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111</v>
      </c>
      <c r="N50" s="91">
        <v>750000</v>
      </c>
      <c r="Q50" s="93" t="s">
        <v>57</v>
      </c>
      <c r="R50" s="93" t="s">
        <v>20</v>
      </c>
      <c r="S50" s="93" t="s">
        <v>1</v>
      </c>
      <c r="T50" s="93" t="s">
        <v>53</v>
      </c>
      <c r="U50" s="93" t="s">
        <v>100</v>
      </c>
      <c r="V50" s="93">
        <v>750000</v>
      </c>
      <c r="AC50" s="93" t="s">
        <v>54</v>
      </c>
      <c r="AD50" s="93" t="s">
        <v>20</v>
      </c>
      <c r="AE50" s="93" t="s">
        <v>78</v>
      </c>
      <c r="AF50" s="93" t="s">
        <v>53</v>
      </c>
      <c r="AG50" s="93" t="s">
        <v>87</v>
      </c>
      <c r="AH50" s="93">
        <v>4.1618039804499194</v>
      </c>
      <c r="AJ50" s="93" t="s">
        <v>54</v>
      </c>
      <c r="AK50" s="93" t="s">
        <v>20</v>
      </c>
      <c r="AL50" s="93" t="s">
        <v>29</v>
      </c>
      <c r="AM50" s="93" t="s">
        <v>53</v>
      </c>
      <c r="AN50" s="93" t="s">
        <v>87</v>
      </c>
      <c r="AO50" s="93">
        <v>1.3376202576964793</v>
      </c>
    </row>
    <row r="51" spans="9:41" s="93" customFormat="1"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111</v>
      </c>
      <c r="N51" s="91">
        <v>1</v>
      </c>
      <c r="Q51" s="93" t="s">
        <v>57</v>
      </c>
      <c r="R51" s="93" t="s">
        <v>20</v>
      </c>
      <c r="S51" s="93" t="s">
        <v>7</v>
      </c>
      <c r="T51" s="93" t="s">
        <v>53</v>
      </c>
      <c r="U51" s="93" t="s">
        <v>100</v>
      </c>
      <c r="V51" s="93">
        <v>1</v>
      </c>
      <c r="AC51" s="93" t="s">
        <v>54</v>
      </c>
      <c r="AD51" s="93" t="s">
        <v>20</v>
      </c>
      <c r="AE51" s="93" t="s">
        <v>78</v>
      </c>
      <c r="AF51" s="93" t="s">
        <v>53</v>
      </c>
      <c r="AG51" s="93" t="s">
        <v>88</v>
      </c>
      <c r="AH51" s="93">
        <v>4.1618039804499194</v>
      </c>
      <c r="AJ51" s="93" t="s">
        <v>54</v>
      </c>
      <c r="AK51" s="93" t="s">
        <v>20</v>
      </c>
      <c r="AL51" s="93" t="s">
        <v>29</v>
      </c>
      <c r="AM51" s="93" t="s">
        <v>53</v>
      </c>
      <c r="AN51" s="93" t="s">
        <v>88</v>
      </c>
      <c r="AO51" s="93">
        <v>1.3462424054732489</v>
      </c>
    </row>
    <row r="52" spans="9:41" s="93" customFormat="1"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111</v>
      </c>
      <c r="N52" s="91">
        <v>3.875</v>
      </c>
      <c r="Q52" s="93" t="s">
        <v>57</v>
      </c>
      <c r="R52" s="93" t="s">
        <v>20</v>
      </c>
      <c r="S52" s="93" t="s">
        <v>26</v>
      </c>
      <c r="T52" s="93" t="s">
        <v>53</v>
      </c>
      <c r="U52" s="93" t="s">
        <v>100</v>
      </c>
      <c r="V52" s="93">
        <v>4</v>
      </c>
      <c r="AC52" s="93" t="s">
        <v>54</v>
      </c>
      <c r="AD52" s="93" t="s">
        <v>20</v>
      </c>
      <c r="AE52" s="93" t="s">
        <v>78</v>
      </c>
      <c r="AF52" s="93" t="s">
        <v>53</v>
      </c>
      <c r="AG52" s="93" t="s">
        <v>83</v>
      </c>
      <c r="AH52" s="93">
        <v>4.3642403763055508</v>
      </c>
      <c r="AJ52" s="93" t="s">
        <v>54</v>
      </c>
      <c r="AK52" s="93" t="s">
        <v>20</v>
      </c>
      <c r="AL52" s="93" t="s">
        <v>29</v>
      </c>
      <c r="AM52" s="93" t="s">
        <v>53</v>
      </c>
      <c r="AN52" s="93" t="s">
        <v>83</v>
      </c>
      <c r="AO52" s="93">
        <v>1.4339233654036512</v>
      </c>
    </row>
    <row r="53" spans="9:41" s="93" customFormat="1"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111</v>
      </c>
      <c r="N53" s="91">
        <v>0.99229099117272423</v>
      </c>
      <c r="Q53" s="93" t="s">
        <v>57</v>
      </c>
      <c r="R53" s="93" t="s">
        <v>20</v>
      </c>
      <c r="S53" s="93" t="s">
        <v>29</v>
      </c>
      <c r="T53" s="93" t="s">
        <v>53</v>
      </c>
      <c r="U53" s="93" t="s">
        <v>100</v>
      </c>
      <c r="V53" s="93">
        <v>1.0398980793616039</v>
      </c>
      <c r="AC53" s="93" t="s">
        <v>54</v>
      </c>
      <c r="AD53" s="93" t="s">
        <v>20</v>
      </c>
      <c r="AE53" s="93" t="s">
        <v>78</v>
      </c>
      <c r="AF53" s="93" t="s">
        <v>53</v>
      </c>
      <c r="AG53" s="93" t="s">
        <v>84</v>
      </c>
      <c r="AH53" s="93">
        <v>4.3002725972031506</v>
      </c>
      <c r="AJ53" s="93" t="s">
        <v>54</v>
      </c>
      <c r="AK53" s="93" t="s">
        <v>20</v>
      </c>
      <c r="AL53" s="93" t="s">
        <v>29</v>
      </c>
      <c r="AM53" s="93" t="s">
        <v>53</v>
      </c>
      <c r="AN53" s="93" t="s">
        <v>84</v>
      </c>
      <c r="AO53" s="93">
        <v>1.3980450736732202</v>
      </c>
    </row>
    <row r="54" spans="9:41" s="93" customFormat="1">
      <c r="AC54" s="93" t="s">
        <v>54</v>
      </c>
      <c r="AD54" s="93" t="s">
        <v>20</v>
      </c>
      <c r="AE54" s="93" t="s">
        <v>78</v>
      </c>
      <c r="AF54" s="93" t="s">
        <v>53</v>
      </c>
      <c r="AG54" s="93" t="s">
        <v>85</v>
      </c>
      <c r="AH54" s="93">
        <v>4.1930539804499194</v>
      </c>
      <c r="AJ54" s="93" t="s">
        <v>54</v>
      </c>
      <c r="AK54" s="93" t="s">
        <v>20</v>
      </c>
      <c r="AL54" s="93" t="s">
        <v>29</v>
      </c>
      <c r="AM54" s="93" t="s">
        <v>53</v>
      </c>
      <c r="AN54" s="93" t="s">
        <v>85</v>
      </c>
      <c r="AO54" s="93">
        <v>1.3467036436431594</v>
      </c>
    </row>
    <row r="55" spans="9:41" s="93" customFormat="1">
      <c r="AC55" s="93" t="s">
        <v>54</v>
      </c>
      <c r="AD55" s="93" t="s">
        <v>20</v>
      </c>
      <c r="AE55" s="93" t="s">
        <v>78</v>
      </c>
      <c r="AF55" s="93" t="s">
        <v>53</v>
      </c>
      <c r="AG55" s="93" t="s">
        <v>96</v>
      </c>
      <c r="AH55" s="93">
        <v>4.1930539804499194</v>
      </c>
      <c r="AJ55" s="93" t="s">
        <v>54</v>
      </c>
      <c r="AK55" s="93" t="s">
        <v>20</v>
      </c>
      <c r="AL55" s="93" t="s">
        <v>29</v>
      </c>
      <c r="AM55" s="93" t="s">
        <v>53</v>
      </c>
      <c r="AN55" s="93" t="s">
        <v>96</v>
      </c>
      <c r="AO55" s="93">
        <v>1.3652186771317991</v>
      </c>
    </row>
    <row r="56" spans="9:41" s="93" customFormat="1">
      <c r="AC56" s="93" t="s">
        <v>54</v>
      </c>
      <c r="AD56" s="93" t="s">
        <v>20</v>
      </c>
      <c r="AE56" s="93" t="s">
        <v>78</v>
      </c>
      <c r="AF56" s="93" t="s">
        <v>53</v>
      </c>
      <c r="AG56" s="93" t="s">
        <v>99</v>
      </c>
      <c r="AH56" s="93">
        <v>4.3001919961318613</v>
      </c>
      <c r="AJ56" s="93" t="s">
        <v>54</v>
      </c>
      <c r="AK56" s="93" t="s">
        <v>20</v>
      </c>
      <c r="AL56" s="93" t="s">
        <v>29</v>
      </c>
      <c r="AM56" s="93" t="s">
        <v>53</v>
      </c>
      <c r="AN56" s="93" t="s">
        <v>99</v>
      </c>
      <c r="AO56" s="93">
        <v>1.4863728858778815</v>
      </c>
    </row>
    <row r="57" spans="9:41" s="93" customFormat="1">
      <c r="AC57" s="93" t="s">
        <v>54</v>
      </c>
      <c r="AD57" s="93" t="s">
        <v>20</v>
      </c>
      <c r="AE57" s="93" t="s">
        <v>78</v>
      </c>
      <c r="AF57" s="93" t="s">
        <v>53</v>
      </c>
      <c r="AG57" s="93" t="s">
        <v>100</v>
      </c>
      <c r="AH57" s="93">
        <v>4.1930539804499194</v>
      </c>
      <c r="AJ57" s="93" t="s">
        <v>54</v>
      </c>
      <c r="AK57" s="93" t="s">
        <v>20</v>
      </c>
      <c r="AL57" s="93" t="s">
        <v>29</v>
      </c>
      <c r="AM57" s="93" t="s">
        <v>53</v>
      </c>
      <c r="AN57" s="93" t="s">
        <v>100</v>
      </c>
      <c r="AO57" s="93">
        <v>1.3615482313074194</v>
      </c>
    </row>
    <row r="58" spans="9:41" s="93" customFormat="1">
      <c r="AC58" s="93" t="s">
        <v>54</v>
      </c>
      <c r="AD58" s="93" t="s">
        <v>20</v>
      </c>
      <c r="AE58" s="93" t="s">
        <v>78</v>
      </c>
      <c r="AF58" s="93" t="s">
        <v>53</v>
      </c>
      <c r="AG58" s="93" t="s">
        <v>108</v>
      </c>
      <c r="AH58" s="93">
        <v>4.1618039804499194</v>
      </c>
      <c r="AJ58" s="93" t="s">
        <v>54</v>
      </c>
      <c r="AK58" s="93" t="s">
        <v>20</v>
      </c>
      <c r="AL58" s="93" t="s">
        <v>29</v>
      </c>
      <c r="AM58" s="93" t="s">
        <v>53</v>
      </c>
      <c r="AN58" s="93" t="s">
        <v>108</v>
      </c>
      <c r="AO58" s="93">
        <v>1.3376271286219992</v>
      </c>
    </row>
    <row r="59" spans="9:41" s="93" customFormat="1">
      <c r="AC59" s="93" t="s">
        <v>54</v>
      </c>
      <c r="AD59" s="93" t="s">
        <v>20</v>
      </c>
      <c r="AE59" s="93" t="s">
        <v>78</v>
      </c>
      <c r="AF59" s="93" t="s">
        <v>53</v>
      </c>
      <c r="AG59" s="93" t="s">
        <v>109</v>
      </c>
      <c r="AH59" s="93">
        <v>4.1305539804499194</v>
      </c>
      <c r="AJ59" s="93" t="s">
        <v>54</v>
      </c>
      <c r="AK59" s="93" t="s">
        <v>20</v>
      </c>
      <c r="AL59" s="93" t="s">
        <v>29</v>
      </c>
      <c r="AM59" s="93" t="s">
        <v>53</v>
      </c>
      <c r="AN59" s="93" t="s">
        <v>109</v>
      </c>
      <c r="AO59" s="93">
        <v>1.334712971145259</v>
      </c>
    </row>
    <row r="60" spans="9:41" s="93" customFormat="1">
      <c r="AC60" s="93" t="s">
        <v>54</v>
      </c>
      <c r="AD60" s="93" t="s">
        <v>20</v>
      </c>
      <c r="AE60" s="93" t="s">
        <v>78</v>
      </c>
      <c r="AF60" s="93" t="s">
        <v>53</v>
      </c>
      <c r="AG60" s="93" t="s">
        <v>110</v>
      </c>
      <c r="AH60" s="93">
        <v>4.1748311341021385</v>
      </c>
      <c r="AJ60" s="93" t="s">
        <v>54</v>
      </c>
      <c r="AK60" s="93" t="s">
        <v>20</v>
      </c>
      <c r="AL60" s="93" t="s">
        <v>29</v>
      </c>
      <c r="AM60" s="93" t="s">
        <v>53</v>
      </c>
      <c r="AN60" s="93" t="s">
        <v>110</v>
      </c>
      <c r="AO60" s="93">
        <v>1.481982231006719</v>
      </c>
    </row>
    <row r="61" spans="9:41" s="93" customFormat="1">
      <c r="AC61" s="93" t="s">
        <v>54</v>
      </c>
      <c r="AD61" s="93" t="s">
        <v>20</v>
      </c>
      <c r="AE61" s="93" t="s">
        <v>78</v>
      </c>
      <c r="AF61" s="93" t="s">
        <v>53</v>
      </c>
      <c r="AG61" s="93" t="s">
        <v>111</v>
      </c>
      <c r="AH61" s="93">
        <v>4.1135643018144359</v>
      </c>
      <c r="AJ61" s="93" t="s">
        <v>54</v>
      </c>
      <c r="AK61" s="93" t="s">
        <v>20</v>
      </c>
      <c r="AL61" s="93" t="s">
        <v>29</v>
      </c>
      <c r="AM61" s="93" t="s">
        <v>53</v>
      </c>
      <c r="AN61" s="93" t="s">
        <v>111</v>
      </c>
      <c r="AO61" s="93">
        <v>1.4040077380531564</v>
      </c>
    </row>
    <row r="62" spans="9:41" s="93" customFormat="1">
      <c r="AC62" s="93" t="s">
        <v>54</v>
      </c>
      <c r="AD62" s="93" t="s">
        <v>20</v>
      </c>
      <c r="AE62" s="93" t="s">
        <v>78</v>
      </c>
      <c r="AF62" s="93" t="s">
        <v>53</v>
      </c>
      <c r="AG62" s="93" t="s">
        <v>113</v>
      </c>
      <c r="AH62" s="93">
        <v>4.1748311341021385</v>
      </c>
      <c r="AJ62" s="140" t="s">
        <v>54</v>
      </c>
      <c r="AK62" s="140" t="s">
        <v>20</v>
      </c>
      <c r="AL62" s="140" t="s">
        <v>29</v>
      </c>
      <c r="AM62" s="140" t="s">
        <v>53</v>
      </c>
      <c r="AN62" s="140" t="s">
        <v>113</v>
      </c>
      <c r="AO62" s="140">
        <v>1.503058195558439</v>
      </c>
    </row>
    <row r="63" spans="9:41" s="93" customFormat="1">
      <c r="AC63" s="93" t="s">
        <v>55</v>
      </c>
      <c r="AD63" s="93" t="s">
        <v>20</v>
      </c>
      <c r="AE63" s="93" t="s">
        <v>78</v>
      </c>
      <c r="AF63" s="93" t="s">
        <v>53</v>
      </c>
      <c r="AG63" s="93" t="s">
        <v>86</v>
      </c>
      <c r="AH63" s="93">
        <v>4.0036250000000004</v>
      </c>
      <c r="AJ63" s="140" t="s">
        <v>80</v>
      </c>
      <c r="AK63" s="140" t="s">
        <v>103</v>
      </c>
      <c r="AL63" s="140" t="s">
        <v>26</v>
      </c>
      <c r="AM63" s="140" t="s">
        <v>53</v>
      </c>
      <c r="AN63" s="140" t="s">
        <v>86</v>
      </c>
      <c r="AO63" s="140">
        <v>2.8341999400292899</v>
      </c>
    </row>
    <row r="64" spans="9:41" s="93" customFormat="1">
      <c r="AC64" s="93" t="s">
        <v>55</v>
      </c>
      <c r="AD64" s="93" t="s">
        <v>20</v>
      </c>
      <c r="AE64" s="93" t="s">
        <v>78</v>
      </c>
      <c r="AF64" s="93" t="s">
        <v>53</v>
      </c>
      <c r="AG64" s="93" t="s">
        <v>87</v>
      </c>
      <c r="AH64" s="93">
        <v>4.0036250000000004</v>
      </c>
      <c r="AJ64" s="140" t="s">
        <v>80</v>
      </c>
      <c r="AK64" s="140" t="s">
        <v>103</v>
      </c>
      <c r="AL64" s="140" t="s">
        <v>26</v>
      </c>
      <c r="AM64" s="140" t="s">
        <v>53</v>
      </c>
      <c r="AN64" s="140" t="s">
        <v>87</v>
      </c>
      <c r="AO64" s="140">
        <v>2.8241837227534399</v>
      </c>
    </row>
    <row r="65" spans="29:41" s="93" customFormat="1">
      <c r="AC65" s="93" t="s">
        <v>55</v>
      </c>
      <c r="AD65" s="93" t="s">
        <v>20</v>
      </c>
      <c r="AE65" s="93" t="s">
        <v>78</v>
      </c>
      <c r="AF65" s="93" t="s">
        <v>53</v>
      </c>
      <c r="AG65" s="93" t="s">
        <v>88</v>
      </c>
      <c r="AH65" s="93">
        <v>3.9717500000000001</v>
      </c>
      <c r="AJ65" s="140" t="s">
        <v>80</v>
      </c>
      <c r="AK65" s="140" t="s">
        <v>103</v>
      </c>
      <c r="AL65" s="140" t="s">
        <v>26</v>
      </c>
      <c r="AM65" s="140" t="s">
        <v>53</v>
      </c>
      <c r="AN65" s="140" t="s">
        <v>88</v>
      </c>
      <c r="AO65" s="140">
        <v>2.81556157497667</v>
      </c>
    </row>
    <row r="66" spans="29:41" s="93" customFormat="1">
      <c r="AC66" s="93" t="s">
        <v>55</v>
      </c>
      <c r="AD66" s="93" t="s">
        <v>20</v>
      </c>
      <c r="AE66" s="93" t="s">
        <v>78</v>
      </c>
      <c r="AF66" s="93" t="s">
        <v>53</v>
      </c>
      <c r="AG66" s="93" t="s">
        <v>83</v>
      </c>
      <c r="AH66" s="93">
        <v>4.0676249999999996</v>
      </c>
      <c r="AJ66" s="140" t="s">
        <v>80</v>
      </c>
      <c r="AK66" s="140" t="s">
        <v>103</v>
      </c>
      <c r="AL66" s="140" t="s">
        <v>26</v>
      </c>
      <c r="AM66" s="140" t="s">
        <v>53</v>
      </c>
      <c r="AN66" s="140" t="s">
        <v>83</v>
      </c>
      <c r="AO66" s="140">
        <v>2.9303170109018999</v>
      </c>
    </row>
    <row r="67" spans="29:41" s="93" customFormat="1">
      <c r="AC67" s="93" t="s">
        <v>55</v>
      </c>
      <c r="AD67" s="93" t="s">
        <v>20</v>
      </c>
      <c r="AE67" s="93" t="s">
        <v>78</v>
      </c>
      <c r="AF67" s="93" t="s">
        <v>53</v>
      </c>
      <c r="AG67" s="93" t="s">
        <v>84</v>
      </c>
      <c r="AH67" s="93">
        <v>4.0353750000000002</v>
      </c>
      <c r="AJ67" s="93" t="s">
        <v>80</v>
      </c>
      <c r="AK67" s="93" t="s">
        <v>103</v>
      </c>
      <c r="AL67" s="93" t="s">
        <v>26</v>
      </c>
      <c r="AM67" s="93" t="s">
        <v>53</v>
      </c>
      <c r="AN67" s="93" t="s">
        <v>84</v>
      </c>
      <c r="AO67" s="93">
        <v>2.90222752352993</v>
      </c>
    </row>
    <row r="68" spans="29:41" s="93" customFormat="1">
      <c r="AC68" s="93" t="s">
        <v>55</v>
      </c>
      <c r="AD68" s="93" t="s">
        <v>20</v>
      </c>
      <c r="AE68" s="93" t="s">
        <v>78</v>
      </c>
      <c r="AF68" s="93" t="s">
        <v>53</v>
      </c>
      <c r="AG68" s="93" t="s">
        <v>85</v>
      </c>
      <c r="AH68" s="93">
        <v>4.0353750000000002</v>
      </c>
      <c r="AJ68" s="93" t="s">
        <v>80</v>
      </c>
      <c r="AK68" s="93" t="s">
        <v>103</v>
      </c>
      <c r="AL68" s="93" t="s">
        <v>26</v>
      </c>
      <c r="AM68" s="93" t="s">
        <v>53</v>
      </c>
      <c r="AN68" s="93" t="s">
        <v>85</v>
      </c>
      <c r="AO68" s="93">
        <v>2.84635033680676</v>
      </c>
    </row>
    <row r="69" spans="29:41" s="93" customFormat="1">
      <c r="AC69" s="93" t="s">
        <v>55</v>
      </c>
      <c r="AD69" s="93" t="s">
        <v>20</v>
      </c>
      <c r="AE69" s="93" t="s">
        <v>78</v>
      </c>
      <c r="AF69" s="93" t="s">
        <v>53</v>
      </c>
      <c r="AG69" s="93" t="s">
        <v>96</v>
      </c>
      <c r="AH69" s="93">
        <v>4.0036250000000004</v>
      </c>
      <c r="AJ69" s="93" t="s">
        <v>80</v>
      </c>
      <c r="AK69" s="93" t="s">
        <v>103</v>
      </c>
      <c r="AL69" s="93" t="s">
        <v>26</v>
      </c>
      <c r="AM69" s="93" t="s">
        <v>53</v>
      </c>
      <c r="AN69" s="93" t="s">
        <v>96</v>
      </c>
      <c r="AO69" s="93">
        <v>2.8278353033181198</v>
      </c>
    </row>
    <row r="70" spans="29:41" s="93" customFormat="1">
      <c r="AC70" s="93" t="s">
        <v>55</v>
      </c>
      <c r="AD70" s="93" t="s">
        <v>20</v>
      </c>
      <c r="AE70" s="93" t="s">
        <v>78</v>
      </c>
      <c r="AF70" s="93" t="s">
        <v>53</v>
      </c>
      <c r="AG70" s="93" t="s">
        <v>99</v>
      </c>
      <c r="AH70" s="93">
        <v>3.9717500000000001</v>
      </c>
      <c r="AJ70" s="93" t="s">
        <v>80</v>
      </c>
      <c r="AK70" s="93" t="s">
        <v>103</v>
      </c>
      <c r="AL70" s="93" t="s">
        <v>26</v>
      </c>
      <c r="AM70" s="93" t="s">
        <v>53</v>
      </c>
      <c r="AN70" s="93" t="s">
        <v>99</v>
      </c>
      <c r="AO70" s="93">
        <v>2.8138191102539798</v>
      </c>
    </row>
    <row r="71" spans="29:41" s="93" customFormat="1">
      <c r="AC71" s="93" t="s">
        <v>55</v>
      </c>
      <c r="AD71" s="93" t="s">
        <v>20</v>
      </c>
      <c r="AE71" s="93" t="s">
        <v>78</v>
      </c>
      <c r="AF71" s="93" t="s">
        <v>53</v>
      </c>
      <c r="AG71" s="93" t="s">
        <v>100</v>
      </c>
      <c r="AH71" s="93">
        <v>4.0036250000000004</v>
      </c>
      <c r="AJ71" s="93" t="s">
        <v>80</v>
      </c>
      <c r="AK71" s="93" t="s">
        <v>103</v>
      </c>
      <c r="AL71" s="93" t="s">
        <v>26</v>
      </c>
      <c r="AM71" s="93" t="s">
        <v>53</v>
      </c>
      <c r="AN71" s="93" t="s">
        <v>100</v>
      </c>
      <c r="AO71" s="93">
        <v>2.8315057491425</v>
      </c>
    </row>
    <row r="72" spans="29:41" s="93" customFormat="1">
      <c r="AC72" s="93" t="s">
        <v>55</v>
      </c>
      <c r="AD72" s="93" t="s">
        <v>20</v>
      </c>
      <c r="AE72" s="93" t="s">
        <v>78</v>
      </c>
      <c r="AF72" s="93" t="s">
        <v>53</v>
      </c>
      <c r="AG72" s="93" t="s">
        <v>108</v>
      </c>
      <c r="AH72" s="93">
        <v>3.9717500000000001</v>
      </c>
      <c r="AJ72" s="93" t="s">
        <v>80</v>
      </c>
      <c r="AK72" s="93" t="s">
        <v>103</v>
      </c>
      <c r="AL72" s="93" t="s">
        <v>26</v>
      </c>
      <c r="AM72" s="93" t="s">
        <v>53</v>
      </c>
      <c r="AN72" s="93" t="s">
        <v>108</v>
      </c>
      <c r="AO72" s="93">
        <v>2.8241768518279202</v>
      </c>
    </row>
    <row r="73" spans="29:41" s="93" customFormat="1">
      <c r="AC73" s="93" t="s">
        <v>55</v>
      </c>
      <c r="AD73" s="93" t="s">
        <v>20</v>
      </c>
      <c r="AE73" s="93" t="s">
        <v>78</v>
      </c>
      <c r="AF73" s="93" t="s">
        <v>53</v>
      </c>
      <c r="AG73" s="93" t="s">
        <v>109</v>
      </c>
      <c r="AH73" s="93">
        <v>3.9717500000000001</v>
      </c>
      <c r="AJ73" s="93" t="s">
        <v>80</v>
      </c>
      <c r="AK73" s="93" t="s">
        <v>103</v>
      </c>
      <c r="AL73" s="93" t="s">
        <v>26</v>
      </c>
      <c r="AM73" s="93" t="s">
        <v>53</v>
      </c>
      <c r="AN73" s="93" t="s">
        <v>109</v>
      </c>
      <c r="AO73" s="93">
        <v>2.79584100930466</v>
      </c>
    </row>
    <row r="74" spans="29:41" s="93" customFormat="1">
      <c r="AC74" s="93" t="s">
        <v>55</v>
      </c>
      <c r="AD74" s="93" t="s">
        <v>20</v>
      </c>
      <c r="AE74" s="93" t="s">
        <v>78</v>
      </c>
      <c r="AF74" s="93" t="s">
        <v>53</v>
      </c>
      <c r="AG74" s="93" t="s">
        <v>110</v>
      </c>
      <c r="AH74" s="93">
        <v>3.8759999999999994</v>
      </c>
      <c r="AJ74" s="93" t="s">
        <v>80</v>
      </c>
      <c r="AK74" s="93" t="s">
        <v>103</v>
      </c>
      <c r="AL74" s="93" t="s">
        <v>26</v>
      </c>
      <c r="AM74" s="93" t="s">
        <v>53</v>
      </c>
      <c r="AN74" s="93" t="s">
        <v>110</v>
      </c>
      <c r="AO74" s="93">
        <v>2.6928489030954199</v>
      </c>
    </row>
    <row r="75" spans="29:41" s="93" customFormat="1">
      <c r="AC75" s="93" t="s">
        <v>55</v>
      </c>
      <c r="AD75" s="93" t="s">
        <v>20</v>
      </c>
      <c r="AE75" s="93" t="s">
        <v>78</v>
      </c>
      <c r="AF75" s="93" t="s">
        <v>53</v>
      </c>
      <c r="AG75" s="93" t="s">
        <v>111</v>
      </c>
      <c r="AH75" s="93">
        <v>3.8441249999999996</v>
      </c>
      <c r="AJ75" s="93" t="s">
        <v>80</v>
      </c>
      <c r="AK75" s="93" t="s">
        <v>103</v>
      </c>
      <c r="AL75" s="93" t="s">
        <v>26</v>
      </c>
      <c r="AM75" s="93" t="s">
        <v>53</v>
      </c>
      <c r="AN75" s="93" t="s">
        <v>111</v>
      </c>
      <c r="AO75" s="93">
        <v>2.70955656376128</v>
      </c>
    </row>
    <row r="76" spans="29:41" s="93" customFormat="1">
      <c r="AC76" s="93" t="s">
        <v>55</v>
      </c>
      <c r="AD76" s="93" t="s">
        <v>20</v>
      </c>
      <c r="AE76" s="93" t="s">
        <v>78</v>
      </c>
      <c r="AF76" s="93" t="s">
        <v>53</v>
      </c>
      <c r="AG76" s="93" t="s">
        <v>113</v>
      </c>
      <c r="AH76" s="93">
        <v>3.9077500000000001</v>
      </c>
      <c r="AJ76" s="93" t="s">
        <v>80</v>
      </c>
      <c r="AK76" s="93" t="s">
        <v>103</v>
      </c>
      <c r="AL76" s="93" t="s">
        <v>26</v>
      </c>
      <c r="AM76" s="93" t="s">
        <v>53</v>
      </c>
      <c r="AN76" s="93" t="s">
        <v>113</v>
      </c>
      <c r="AO76" s="93">
        <v>2.6717729385436999</v>
      </c>
    </row>
    <row r="77" spans="29:41" s="93" customFormat="1">
      <c r="AC77" s="93" t="s">
        <v>56</v>
      </c>
      <c r="AD77" s="93" t="s">
        <v>20</v>
      </c>
      <c r="AE77" s="93" t="s">
        <v>78</v>
      </c>
      <c r="AF77" s="93" t="s">
        <v>53</v>
      </c>
      <c r="AG77" s="93" t="s">
        <v>86</v>
      </c>
      <c r="AH77" s="93">
        <v>4.123888942161555</v>
      </c>
    </row>
    <row r="78" spans="29:41" s="93" customFormat="1">
      <c r="AC78" s="93" t="s">
        <v>56</v>
      </c>
      <c r="AD78" s="93" t="s">
        <v>20</v>
      </c>
      <c r="AE78" s="93" t="s">
        <v>78</v>
      </c>
      <c r="AF78" s="93" t="s">
        <v>53</v>
      </c>
      <c r="AG78" s="93" t="s">
        <v>87</v>
      </c>
      <c r="AH78" s="93">
        <v>4.123888942161555</v>
      </c>
    </row>
    <row r="79" spans="29:41" s="93" customFormat="1">
      <c r="AC79" s="93" t="s">
        <v>56</v>
      </c>
      <c r="AD79" s="93" t="s">
        <v>20</v>
      </c>
      <c r="AE79" s="93" t="s">
        <v>78</v>
      </c>
      <c r="AF79" s="93" t="s">
        <v>53</v>
      </c>
      <c r="AG79" s="93" t="s">
        <v>88</v>
      </c>
      <c r="AH79" s="93">
        <v>4.123888942161555</v>
      </c>
    </row>
    <row r="80" spans="29:41" s="93" customFormat="1">
      <c r="AC80" s="93" t="s">
        <v>56</v>
      </c>
      <c r="AD80" s="93" t="s">
        <v>20</v>
      </c>
      <c r="AE80" s="93" t="s">
        <v>78</v>
      </c>
      <c r="AF80" s="93" t="s">
        <v>53</v>
      </c>
      <c r="AG80" s="93" t="s">
        <v>83</v>
      </c>
      <c r="AH80" s="93">
        <v>4.145604497342033</v>
      </c>
    </row>
    <row r="81" spans="9:41" s="92" customFormat="1"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  <c r="AC81" s="93" t="s">
        <v>56</v>
      </c>
      <c r="AD81" s="93" t="s">
        <v>20</v>
      </c>
      <c r="AE81" s="93" t="s">
        <v>78</v>
      </c>
      <c r="AF81" s="93" t="s">
        <v>53</v>
      </c>
      <c r="AG81" s="93" t="s">
        <v>84</v>
      </c>
      <c r="AH81" s="93">
        <v>4.0563500000000001</v>
      </c>
      <c r="AJ81" s="93"/>
      <c r="AK81" s="93"/>
      <c r="AL81" s="93"/>
      <c r="AM81" s="93"/>
      <c r="AN81" s="93"/>
      <c r="AO81" s="93"/>
    </row>
    <row r="82" spans="9:41" s="92" customFormat="1"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  <c r="AC82" s="93" t="s">
        <v>56</v>
      </c>
      <c r="AD82" s="93" t="s">
        <v>20</v>
      </c>
      <c r="AE82" s="93" t="s">
        <v>78</v>
      </c>
      <c r="AF82" s="93" t="s">
        <v>53</v>
      </c>
      <c r="AG82" s="93" t="s">
        <v>85</v>
      </c>
      <c r="AH82" s="93">
        <v>4.0251000000000001</v>
      </c>
      <c r="AJ82" s="93"/>
      <c r="AK82" s="93"/>
      <c r="AL82" s="93"/>
      <c r="AM82" s="93"/>
      <c r="AN82" s="93"/>
      <c r="AO82" s="93"/>
    </row>
    <row r="83" spans="9:41" s="92" customFormat="1"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  <c r="AC83" s="93" t="s">
        <v>56</v>
      </c>
      <c r="AD83" s="93" t="s">
        <v>20</v>
      </c>
      <c r="AE83" s="93" t="s">
        <v>78</v>
      </c>
      <c r="AF83" s="93" t="s">
        <v>53</v>
      </c>
      <c r="AG83" s="93" t="s">
        <v>96</v>
      </c>
      <c r="AH83" s="93">
        <v>4.123888942161555</v>
      </c>
      <c r="AJ83" s="93"/>
      <c r="AK83" s="93"/>
      <c r="AL83" s="93"/>
      <c r="AM83" s="93"/>
      <c r="AN83" s="93"/>
      <c r="AO83" s="93"/>
    </row>
    <row r="84" spans="9:41" s="92" customFormat="1"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  <c r="AC84" s="140" t="s">
        <v>56</v>
      </c>
      <c r="AD84" s="140" t="s">
        <v>20</v>
      </c>
      <c r="AE84" s="140" t="s">
        <v>78</v>
      </c>
      <c r="AF84" s="140" t="s">
        <v>53</v>
      </c>
      <c r="AG84" s="140" t="s">
        <v>99</v>
      </c>
      <c r="AH84" s="140">
        <v>4.0195510152855149</v>
      </c>
      <c r="AJ84" s="93"/>
      <c r="AK84" s="93"/>
      <c r="AL84" s="93"/>
      <c r="AM84" s="93"/>
      <c r="AN84" s="93"/>
      <c r="AO84" s="93"/>
    </row>
    <row r="85" spans="9:41" s="92" customFormat="1"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  <c r="AC85" s="140" t="s">
        <v>56</v>
      </c>
      <c r="AD85" s="140" t="s">
        <v>20</v>
      </c>
      <c r="AE85" s="140" t="s">
        <v>78</v>
      </c>
      <c r="AF85" s="140" t="s">
        <v>53</v>
      </c>
      <c r="AG85" s="140" t="s">
        <v>100</v>
      </c>
      <c r="AH85" s="140">
        <v>4.123888942161555</v>
      </c>
      <c r="AJ85" s="93"/>
      <c r="AK85" s="93"/>
      <c r="AL85" s="93"/>
      <c r="AM85" s="93"/>
      <c r="AN85" s="93"/>
      <c r="AO85" s="93"/>
    </row>
    <row r="86" spans="9:41" s="92" customFormat="1"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  <c r="AC86" s="140" t="s">
        <v>56</v>
      </c>
      <c r="AD86" s="140" t="s">
        <v>20</v>
      </c>
      <c r="AE86" s="140" t="s">
        <v>78</v>
      </c>
      <c r="AF86" s="140" t="s">
        <v>53</v>
      </c>
      <c r="AG86" s="140" t="s">
        <v>108</v>
      </c>
      <c r="AH86" s="140">
        <v>3.9301000000000004</v>
      </c>
      <c r="AJ86" s="93"/>
      <c r="AK86" s="93"/>
      <c r="AL86" s="93"/>
      <c r="AM86" s="93"/>
      <c r="AN86" s="93"/>
      <c r="AO86" s="93"/>
    </row>
    <row r="87" spans="9:41" s="92" customFormat="1"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  <c r="AC87" s="140" t="s">
        <v>56</v>
      </c>
      <c r="AD87" s="140" t="s">
        <v>20</v>
      </c>
      <c r="AE87" s="140" t="s">
        <v>78</v>
      </c>
      <c r="AF87" s="140" t="s">
        <v>53</v>
      </c>
      <c r="AG87" s="140" t="s">
        <v>109</v>
      </c>
      <c r="AH87" s="140">
        <v>3.8988500000000004</v>
      </c>
      <c r="AJ87" s="93"/>
      <c r="AK87" s="93"/>
      <c r="AL87" s="93"/>
      <c r="AM87" s="93"/>
      <c r="AN87" s="93"/>
      <c r="AO87" s="93"/>
    </row>
    <row r="88" spans="9:41" s="92" customFormat="1"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  <c r="AC88" s="140" t="s">
        <v>56</v>
      </c>
      <c r="AD88" s="140" t="s">
        <v>20</v>
      </c>
      <c r="AE88" s="140" t="s">
        <v>78</v>
      </c>
      <c r="AF88" s="140" t="s">
        <v>53</v>
      </c>
      <c r="AG88" s="140" t="s">
        <v>110</v>
      </c>
      <c r="AH88" s="140">
        <v>3.9367503938171491</v>
      </c>
    </row>
    <row r="89" spans="9:41" s="92" customFormat="1"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  <c r="AC89" s="140" t="s">
        <v>56</v>
      </c>
      <c r="AD89" s="140" t="s">
        <v>20</v>
      </c>
      <c r="AE89" s="140" t="s">
        <v>78</v>
      </c>
      <c r="AF89" s="140" t="s">
        <v>53</v>
      </c>
      <c r="AG89" s="140" t="s">
        <v>111</v>
      </c>
      <c r="AH89" s="140">
        <v>3.872298391426404</v>
      </c>
    </row>
    <row r="90" spans="9:41" s="92" customFormat="1"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  <c r="AC90" s="140" t="s">
        <v>56</v>
      </c>
      <c r="AD90" s="140" t="s">
        <v>20</v>
      </c>
      <c r="AE90" s="140" t="s">
        <v>78</v>
      </c>
      <c r="AF90" s="140" t="s">
        <v>53</v>
      </c>
      <c r="AG90" s="140" t="s">
        <v>113</v>
      </c>
      <c r="AH90" s="140">
        <v>3.9367503938171491</v>
      </c>
    </row>
    <row r="91" spans="9:41" s="92" customFormat="1"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  <c r="AC91" s="93" t="s">
        <v>57</v>
      </c>
      <c r="AD91" s="93" t="s">
        <v>20</v>
      </c>
      <c r="AE91" s="93" t="s">
        <v>78</v>
      </c>
      <c r="AF91" s="93" t="s">
        <v>53</v>
      </c>
      <c r="AG91" s="93" t="s">
        <v>86</v>
      </c>
      <c r="AH91" s="93">
        <v>3.9170666666666665</v>
      </c>
    </row>
    <row r="92" spans="9:41" s="92" customFormat="1"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  <c r="AC92" s="93" t="s">
        <v>57</v>
      </c>
      <c r="AD92" s="93" t="s">
        <v>20</v>
      </c>
      <c r="AE92" s="93" t="s">
        <v>78</v>
      </c>
      <c r="AF92" s="93" t="s">
        <v>53</v>
      </c>
      <c r="AG92" s="93" t="s">
        <v>87</v>
      </c>
      <c r="AH92" s="93">
        <v>3.9170666666666665</v>
      </c>
    </row>
    <row r="93" spans="9:41" s="92" customFormat="1"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  <c r="AC93" s="93" t="s">
        <v>57</v>
      </c>
      <c r="AD93" s="93" t="s">
        <v>20</v>
      </c>
      <c r="AE93" s="93" t="s">
        <v>78</v>
      </c>
      <c r="AF93" s="93" t="s">
        <v>53</v>
      </c>
      <c r="AG93" s="93" t="s">
        <v>88</v>
      </c>
      <c r="AH93" s="93">
        <v>3.9170666666666665</v>
      </c>
    </row>
    <row r="94" spans="9:41" s="92" customFormat="1"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  <c r="AC94" s="93" t="s">
        <v>57</v>
      </c>
      <c r="AD94" s="93" t="s">
        <v>20</v>
      </c>
      <c r="AE94" s="93" t="s">
        <v>78</v>
      </c>
      <c r="AF94" s="93" t="s">
        <v>53</v>
      </c>
      <c r="AG94" s="93" t="s">
        <v>83</v>
      </c>
      <c r="AH94" s="93">
        <v>3.9975388163708763</v>
      </c>
    </row>
    <row r="95" spans="9:41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  <c r="AC95" s="93" t="s">
        <v>57</v>
      </c>
      <c r="AD95" s="93" t="s">
        <v>20</v>
      </c>
      <c r="AE95" s="93" t="s">
        <v>78</v>
      </c>
      <c r="AF95" s="93" t="s">
        <v>53</v>
      </c>
      <c r="AG95" s="93" t="s">
        <v>84</v>
      </c>
      <c r="AH95" s="93">
        <v>3.9543261870321942</v>
      </c>
    </row>
    <row r="96" spans="9:41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  <c r="AC96" s="93" t="s">
        <v>57</v>
      </c>
      <c r="AD96" s="93" t="s">
        <v>20</v>
      </c>
      <c r="AE96" s="93" t="s">
        <v>78</v>
      </c>
      <c r="AF96" s="93" t="s">
        <v>53</v>
      </c>
      <c r="AG96" s="93" t="s">
        <v>85</v>
      </c>
      <c r="AH96" s="93">
        <v>3.929789796110164</v>
      </c>
    </row>
    <row r="97" spans="9:34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  <c r="AC97" s="93" t="s">
        <v>57</v>
      </c>
      <c r="AD97" s="93" t="s">
        <v>20</v>
      </c>
      <c r="AE97" s="93" t="s">
        <v>78</v>
      </c>
      <c r="AF97" s="93" t="s">
        <v>53</v>
      </c>
      <c r="AG97" s="93" t="s">
        <v>96</v>
      </c>
      <c r="AH97" s="93">
        <v>3.929789796110164</v>
      </c>
    </row>
    <row r="98" spans="9:34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  <c r="AC98" s="93" t="s">
        <v>57</v>
      </c>
      <c r="AD98" s="93" t="s">
        <v>20</v>
      </c>
      <c r="AE98" s="93" t="s">
        <v>78</v>
      </c>
      <c r="AF98" s="93" t="s">
        <v>53</v>
      </c>
      <c r="AG98" s="93" t="s">
        <v>99</v>
      </c>
      <c r="AH98" s="93">
        <v>3.8281034376602534</v>
      </c>
    </row>
    <row r="99" spans="9:34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  <c r="AC99" s="93" t="s">
        <v>57</v>
      </c>
      <c r="AD99" s="93" t="s">
        <v>20</v>
      </c>
      <c r="AE99" s="93" t="s">
        <v>78</v>
      </c>
      <c r="AF99" s="93" t="s">
        <v>53</v>
      </c>
      <c r="AG99" s="93" t="s">
        <v>100</v>
      </c>
      <c r="AH99" s="93">
        <v>3.8714038285041039</v>
      </c>
    </row>
    <row r="100" spans="9:34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  <c r="AC100" s="93" t="s">
        <v>57</v>
      </c>
      <c r="AD100" s="93" t="s">
        <v>20</v>
      </c>
      <c r="AE100" s="93" t="s">
        <v>78</v>
      </c>
      <c r="AF100" s="93" t="s">
        <v>53</v>
      </c>
      <c r="AG100" s="93" t="s">
        <v>108</v>
      </c>
      <c r="AH100" s="93">
        <v>3.8281034376602534</v>
      </c>
    </row>
    <row r="101" spans="9:34" s="92" customFormat="1">
      <c r="Q101" s="93"/>
      <c r="R101" s="93"/>
      <c r="S101" s="93"/>
      <c r="T101" s="93"/>
      <c r="U101" s="93"/>
      <c r="V101" s="93"/>
      <c r="AC101" s="93" t="s">
        <v>57</v>
      </c>
      <c r="AD101" s="93" t="s">
        <v>20</v>
      </c>
      <c r="AE101" s="93" t="s">
        <v>78</v>
      </c>
      <c r="AF101" s="93" t="s">
        <v>53</v>
      </c>
      <c r="AG101" s="93" t="s">
        <v>109</v>
      </c>
      <c r="AH101" s="93">
        <v>3.7907999999999999</v>
      </c>
    </row>
    <row r="102" spans="9:34" s="92" customFormat="1">
      <c r="Q102" s="93"/>
      <c r="R102" s="93"/>
      <c r="S102" s="93"/>
      <c r="T102" s="93"/>
      <c r="U102" s="93"/>
      <c r="V102" s="93"/>
      <c r="AC102" s="93" t="s">
        <v>57</v>
      </c>
      <c r="AD102" s="93" t="s">
        <v>20</v>
      </c>
      <c r="AE102" s="93" t="s">
        <v>78</v>
      </c>
      <c r="AF102" s="93" t="s">
        <v>53</v>
      </c>
      <c r="AG102" s="93" t="s">
        <v>110</v>
      </c>
      <c r="AH102" s="93">
        <v>3.7452361066975079</v>
      </c>
    </row>
    <row r="103" spans="9:34" s="92" customFormat="1">
      <c r="Q103" s="93"/>
      <c r="R103" s="93"/>
      <c r="S103" s="93"/>
      <c r="T103" s="93"/>
      <c r="U103" s="93"/>
      <c r="V103" s="93"/>
      <c r="AC103" s="93" t="s">
        <v>57</v>
      </c>
      <c r="AD103" s="93" t="s">
        <v>20</v>
      </c>
      <c r="AE103" s="93" t="s">
        <v>78</v>
      </c>
      <c r="AF103" s="93" t="s">
        <v>53</v>
      </c>
      <c r="AG103" s="93" t="s">
        <v>111</v>
      </c>
      <c r="AH103" s="93">
        <v>3.701847554934004</v>
      </c>
    </row>
    <row r="104" spans="9:34" s="92" customFormat="1">
      <c r="Q104" s="93"/>
      <c r="R104" s="93"/>
      <c r="S104" s="93"/>
      <c r="T104" s="93"/>
      <c r="U104" s="93"/>
      <c r="V104" s="93"/>
      <c r="AC104" s="93" t="s">
        <v>57</v>
      </c>
      <c r="AD104" s="93" t="s">
        <v>20</v>
      </c>
      <c r="AE104" s="93" t="s">
        <v>78</v>
      </c>
      <c r="AF104" s="93" t="s">
        <v>53</v>
      </c>
      <c r="AG104" s="93" t="s">
        <v>113</v>
      </c>
      <c r="AH104" s="93">
        <v>3.7452361066975079</v>
      </c>
    </row>
    <row r="105" spans="9:34" s="92" customFormat="1">
      <c r="Q105" s="93"/>
      <c r="R105" s="93"/>
      <c r="S105" s="93"/>
      <c r="T105" s="93"/>
      <c r="U105" s="93"/>
      <c r="V105" s="93"/>
      <c r="AC105" s="93"/>
      <c r="AD105" s="93"/>
      <c r="AE105" s="93"/>
      <c r="AF105" s="93"/>
      <c r="AG105" s="93"/>
      <c r="AH105" s="93"/>
    </row>
    <row r="106" spans="9:34" s="92" customFormat="1">
      <c r="Q106" s="93"/>
      <c r="R106" s="93"/>
      <c r="S106" s="93"/>
      <c r="T106" s="93"/>
      <c r="U106" s="93"/>
      <c r="V106" s="93"/>
      <c r="AC106" s="93"/>
      <c r="AD106" s="93"/>
      <c r="AE106" s="93"/>
      <c r="AF106" s="93"/>
      <c r="AG106" s="93"/>
      <c r="AH106" s="93"/>
    </row>
    <row r="107" spans="9:34" s="92" customFormat="1">
      <c r="Q107" s="93"/>
      <c r="R107" s="93"/>
      <c r="S107" s="93"/>
      <c r="T107" s="93"/>
      <c r="U107" s="93"/>
      <c r="V107" s="93"/>
      <c r="AC107" s="93"/>
      <c r="AD107" s="93"/>
      <c r="AE107" s="93"/>
      <c r="AF107" s="93"/>
      <c r="AG107" s="93"/>
      <c r="AH107" s="93"/>
    </row>
    <row r="108" spans="9:34" s="92" customFormat="1">
      <c r="Q108" s="93"/>
      <c r="R108" s="93"/>
      <c r="S108" s="93"/>
      <c r="T108" s="93"/>
      <c r="U108" s="93"/>
      <c r="V108" s="93"/>
      <c r="AC108" s="93"/>
      <c r="AD108" s="93"/>
      <c r="AE108" s="93"/>
      <c r="AF108" s="93"/>
      <c r="AG108" s="93"/>
      <c r="AH108" s="93"/>
    </row>
    <row r="109" spans="9:34" s="92" customFormat="1">
      <c r="Q109" s="93"/>
      <c r="R109" s="93"/>
      <c r="S109" s="93"/>
      <c r="T109" s="93"/>
      <c r="U109" s="93"/>
      <c r="V109" s="93"/>
      <c r="AC109" s="93"/>
      <c r="AD109" s="93"/>
      <c r="AE109" s="93"/>
      <c r="AF109" s="93"/>
      <c r="AG109" s="93"/>
      <c r="AH109" s="93"/>
    </row>
    <row r="110" spans="9:34" s="92" customFormat="1">
      <c r="Q110" s="93"/>
      <c r="R110" s="93"/>
      <c r="S110" s="93"/>
      <c r="T110" s="93"/>
      <c r="U110" s="93"/>
      <c r="V110" s="93"/>
      <c r="AC110" s="93"/>
      <c r="AD110" s="93"/>
      <c r="AE110" s="93"/>
      <c r="AF110" s="93"/>
      <c r="AG110" s="93"/>
      <c r="AH110" s="93"/>
    </row>
    <row r="111" spans="9:34" s="92" customFormat="1">
      <c r="Q111" s="93"/>
      <c r="R111" s="93"/>
      <c r="S111" s="93"/>
      <c r="T111" s="93"/>
      <c r="U111" s="93"/>
      <c r="V111" s="93"/>
      <c r="AC111" s="93"/>
      <c r="AD111" s="93"/>
      <c r="AE111" s="93"/>
      <c r="AF111" s="93"/>
      <c r="AG111" s="93"/>
      <c r="AH111" s="93"/>
    </row>
    <row r="112" spans="9:34" s="92" customFormat="1">
      <c r="Q112" s="93"/>
      <c r="R112" s="93"/>
      <c r="S112" s="93"/>
      <c r="T112" s="93"/>
      <c r="U112" s="93"/>
      <c r="V112" s="93"/>
      <c r="AC112" s="93"/>
      <c r="AD112" s="93"/>
      <c r="AE112" s="93"/>
      <c r="AF112" s="93"/>
      <c r="AG112" s="93"/>
      <c r="AH112" s="93"/>
    </row>
    <row r="113" spans="17:34" s="92" customFormat="1">
      <c r="Q113" s="93"/>
      <c r="R113" s="93"/>
      <c r="S113" s="93"/>
      <c r="T113" s="93"/>
      <c r="U113" s="93"/>
      <c r="V113" s="93"/>
      <c r="AC113" s="93"/>
      <c r="AD113" s="93"/>
      <c r="AE113" s="93"/>
      <c r="AF113" s="93"/>
      <c r="AG113" s="93"/>
      <c r="AH113" s="93"/>
    </row>
    <row r="114" spans="17:34" s="92" customFormat="1">
      <c r="Q114" s="93"/>
      <c r="R114" s="93"/>
      <c r="S114" s="93"/>
      <c r="T114" s="93"/>
      <c r="U114" s="93"/>
      <c r="V114" s="93"/>
      <c r="AC114" s="93"/>
      <c r="AD114" s="93"/>
      <c r="AE114" s="93"/>
      <c r="AF114" s="93"/>
      <c r="AG114" s="93"/>
      <c r="AH114" s="93"/>
    </row>
    <row r="115" spans="17:34" s="92" customFormat="1">
      <c r="Q115" s="93"/>
      <c r="R115" s="93"/>
      <c r="S115" s="93"/>
      <c r="T115" s="93"/>
      <c r="U115" s="93"/>
      <c r="V115" s="93"/>
      <c r="AC115" s="93"/>
      <c r="AD115" s="93"/>
      <c r="AE115" s="93"/>
      <c r="AF115" s="93"/>
      <c r="AG115" s="93"/>
      <c r="AH115" s="93"/>
    </row>
    <row r="116" spans="17:34" s="92" customFormat="1">
      <c r="Q116" s="93"/>
      <c r="R116" s="93"/>
      <c r="S116" s="93"/>
      <c r="T116" s="93"/>
      <c r="U116" s="93"/>
      <c r="V116" s="93"/>
      <c r="AC116" s="93"/>
      <c r="AD116" s="93"/>
      <c r="AE116" s="93"/>
      <c r="AF116" s="93"/>
      <c r="AG116" s="93"/>
      <c r="AH116" s="93"/>
    </row>
    <row r="117" spans="17:34" s="92" customFormat="1">
      <c r="Q117" s="93"/>
      <c r="R117" s="93"/>
      <c r="S117" s="93"/>
      <c r="T117" s="93"/>
      <c r="U117" s="93"/>
      <c r="V117" s="93"/>
      <c r="AC117" s="93"/>
      <c r="AD117" s="93"/>
      <c r="AE117" s="93"/>
      <c r="AF117" s="93"/>
      <c r="AG117" s="93"/>
      <c r="AH117" s="93"/>
    </row>
    <row r="118" spans="17:34" s="92" customFormat="1">
      <c r="Q118" s="93"/>
      <c r="R118" s="93"/>
      <c r="S118" s="93"/>
      <c r="T118" s="93"/>
      <c r="U118" s="93"/>
      <c r="V118" s="93"/>
      <c r="AC118" s="93"/>
      <c r="AD118" s="93"/>
      <c r="AE118" s="93"/>
      <c r="AF118" s="93"/>
      <c r="AG118" s="93"/>
      <c r="AH118" s="93"/>
    </row>
    <row r="119" spans="17:34" s="92" customFormat="1">
      <c r="Q119" s="93"/>
      <c r="R119" s="93"/>
      <c r="S119" s="93"/>
      <c r="T119" s="93"/>
      <c r="U119" s="93"/>
      <c r="V119" s="93"/>
      <c r="AC119" s="93"/>
      <c r="AD119" s="93"/>
      <c r="AE119" s="93"/>
      <c r="AF119" s="93"/>
      <c r="AG119" s="93"/>
      <c r="AH119" s="93"/>
    </row>
    <row r="120" spans="17:34" s="92" customFormat="1">
      <c r="Q120" s="93"/>
      <c r="R120" s="93"/>
      <c r="S120" s="93"/>
      <c r="T120" s="93"/>
      <c r="U120" s="93"/>
      <c r="V120" s="93"/>
      <c r="AC120" s="93"/>
      <c r="AD120" s="93"/>
      <c r="AE120" s="93"/>
      <c r="AF120" s="93"/>
      <c r="AG120" s="93"/>
      <c r="AH120" s="93"/>
    </row>
    <row r="121" spans="17:34" s="92" customFormat="1">
      <c r="Q121" s="93"/>
      <c r="R121" s="93"/>
      <c r="S121" s="93"/>
      <c r="T121" s="93"/>
      <c r="U121" s="93"/>
      <c r="V121" s="93"/>
      <c r="AC121" s="93"/>
      <c r="AD121" s="93"/>
      <c r="AE121" s="93"/>
      <c r="AF121" s="93"/>
      <c r="AG121" s="93"/>
      <c r="AH121" s="93"/>
    </row>
    <row r="122" spans="17:34" s="92" customFormat="1">
      <c r="Q122" s="93"/>
      <c r="R122" s="93"/>
      <c r="S122" s="93"/>
      <c r="T122" s="93"/>
      <c r="U122" s="93"/>
      <c r="V122" s="93"/>
      <c r="AC122" s="93"/>
      <c r="AD122" s="93"/>
      <c r="AE122" s="93"/>
      <c r="AF122" s="93"/>
      <c r="AG122" s="93"/>
      <c r="AH122" s="93"/>
    </row>
    <row r="123" spans="17:34" s="92" customFormat="1">
      <c r="Q123" s="93"/>
      <c r="R123" s="93"/>
      <c r="S123" s="93"/>
      <c r="T123" s="93"/>
      <c r="U123" s="93"/>
      <c r="V123" s="93"/>
      <c r="AC123" s="93"/>
      <c r="AD123" s="93"/>
      <c r="AE123" s="93"/>
      <c r="AF123" s="93"/>
      <c r="AG123" s="93"/>
      <c r="AH123" s="93"/>
    </row>
    <row r="124" spans="17:34" s="92" customFormat="1">
      <c r="Q124" s="93"/>
      <c r="R124" s="93"/>
      <c r="S124" s="93"/>
      <c r="T124" s="93"/>
      <c r="U124" s="93"/>
      <c r="V124" s="93"/>
      <c r="AC124" s="93"/>
      <c r="AD124" s="93"/>
      <c r="AE124" s="93"/>
      <c r="AF124" s="93"/>
      <c r="AG124" s="93"/>
      <c r="AH124" s="93"/>
    </row>
    <row r="125" spans="17:34" s="92" customFormat="1">
      <c r="Q125" s="93"/>
      <c r="R125" s="93"/>
      <c r="S125" s="93"/>
      <c r="T125" s="93"/>
      <c r="U125" s="93"/>
      <c r="V125" s="93"/>
      <c r="AC125" s="93"/>
      <c r="AD125" s="93"/>
      <c r="AE125" s="93"/>
      <c r="AF125" s="93"/>
      <c r="AG125" s="93"/>
      <c r="AH125" s="93"/>
    </row>
    <row r="126" spans="17:34" s="92" customFormat="1">
      <c r="Q126" s="93"/>
      <c r="R126" s="93"/>
      <c r="S126" s="93"/>
      <c r="T126" s="93"/>
      <c r="U126" s="93"/>
      <c r="V126" s="93"/>
      <c r="AC126" s="93"/>
      <c r="AD126" s="93"/>
      <c r="AE126" s="93"/>
      <c r="AF126" s="93"/>
      <c r="AG126" s="93"/>
      <c r="AH126" s="93"/>
    </row>
    <row r="127" spans="17:34" s="92" customFormat="1">
      <c r="AC127" s="93"/>
      <c r="AD127" s="93"/>
      <c r="AE127" s="93"/>
      <c r="AF127" s="93"/>
      <c r="AG127" s="93"/>
      <c r="AH127" s="93"/>
    </row>
    <row r="128" spans="17:34" s="92" customFormat="1">
      <c r="AC128" s="93"/>
      <c r="AD128" s="93"/>
      <c r="AE128" s="93"/>
      <c r="AF128" s="93"/>
      <c r="AG128" s="93"/>
      <c r="AH128" s="93"/>
    </row>
    <row r="129" spans="29:34" s="92" customFormat="1">
      <c r="AC129" s="93"/>
      <c r="AD129" s="93"/>
      <c r="AE129" s="93"/>
      <c r="AF129" s="93"/>
      <c r="AG129" s="93"/>
      <c r="AH129" s="93"/>
    </row>
    <row r="130" spans="29:34" s="92" customFormat="1">
      <c r="AC130" s="93"/>
      <c r="AD130" s="93"/>
      <c r="AE130" s="93"/>
      <c r="AF130" s="93"/>
      <c r="AG130" s="93"/>
      <c r="AH130" s="93"/>
    </row>
    <row r="131" spans="29:34" s="92" customFormat="1">
      <c r="AC131" s="93"/>
      <c r="AD131" s="93"/>
      <c r="AE131" s="93"/>
      <c r="AF131" s="93"/>
      <c r="AG131" s="93"/>
      <c r="AH131" s="93"/>
    </row>
    <row r="132" spans="29:34" s="92" customFormat="1" ht="12"/>
    <row r="133" spans="29:34" s="92" customFormat="1" ht="12"/>
    <row r="134" spans="29:34" s="92" customFormat="1" ht="12"/>
    <row r="135" spans="29:34" s="92" customFormat="1" ht="12"/>
    <row r="136" spans="29:34" s="92" customFormat="1" ht="12"/>
    <row r="137" spans="29:34" s="92" customFormat="1" ht="12"/>
    <row r="138" spans="29:34" s="92" customFormat="1" ht="12"/>
    <row r="139" spans="29:34" s="92" customFormat="1" ht="12"/>
    <row r="140" spans="29:34" s="92" customFormat="1" ht="12"/>
    <row r="141" spans="29:34" s="92" customFormat="1" ht="12"/>
    <row r="142" spans="29:34" s="92" customFormat="1" ht="12"/>
    <row r="143" spans="29:34" s="92" customFormat="1" ht="12"/>
    <row r="144" spans="29:34" s="92" customFormat="1" ht="12"/>
    <row r="145" spans="9:41" s="92" customFormat="1" ht="12"/>
    <row r="146" spans="9:41" s="92" customFormat="1" ht="12"/>
    <row r="147" spans="9:41" s="92" customFormat="1" ht="12"/>
    <row r="148" spans="9:41" s="92" customFormat="1" ht="12"/>
    <row r="149" spans="9:41" s="92" customFormat="1" ht="12"/>
    <row r="150" spans="9:41" s="92" customFormat="1" ht="12"/>
    <row r="151" spans="9:41" s="92" customFormat="1" ht="12"/>
    <row r="152" spans="9:41" s="92" customFormat="1" ht="12"/>
    <row r="153" spans="9:41" s="92" customFormat="1" ht="12"/>
    <row r="154" spans="9:41"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  <c r="AC154" s="92"/>
      <c r="AD154" s="92"/>
      <c r="AE154" s="92"/>
      <c r="AF154" s="92"/>
      <c r="AG154" s="92"/>
      <c r="AH154" s="92"/>
      <c r="AJ154" s="92"/>
      <c r="AK154" s="92"/>
      <c r="AL154" s="92"/>
      <c r="AM154" s="92"/>
      <c r="AN154" s="92"/>
      <c r="AO154" s="92"/>
    </row>
    <row r="155" spans="9:41"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  <c r="AC155" s="92"/>
      <c r="AD155" s="92"/>
      <c r="AE155" s="92"/>
      <c r="AF155" s="92"/>
      <c r="AG155" s="92"/>
      <c r="AH155" s="92"/>
      <c r="AJ155" s="92"/>
      <c r="AK155" s="92"/>
      <c r="AL155" s="92"/>
      <c r="AM155" s="92"/>
      <c r="AN155" s="92"/>
      <c r="AO155" s="92"/>
    </row>
    <row r="156" spans="9:41"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  <c r="AC156" s="92"/>
      <c r="AD156" s="92"/>
      <c r="AE156" s="92"/>
      <c r="AF156" s="92"/>
      <c r="AG156" s="92"/>
      <c r="AH156" s="92"/>
      <c r="AJ156" s="92"/>
      <c r="AK156" s="92"/>
      <c r="AL156" s="92"/>
      <c r="AM156" s="92"/>
      <c r="AN156" s="92"/>
      <c r="AO156" s="92"/>
    </row>
    <row r="157" spans="9:41"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  <c r="AC157" s="92"/>
      <c r="AD157" s="92"/>
      <c r="AE157" s="92"/>
      <c r="AF157" s="92"/>
      <c r="AG157" s="92"/>
      <c r="AH157" s="92"/>
      <c r="AJ157" s="92"/>
      <c r="AK157" s="92"/>
      <c r="AL157" s="92"/>
      <c r="AM157" s="92"/>
      <c r="AN157" s="92"/>
      <c r="AO157" s="92"/>
    </row>
    <row r="158" spans="9:41"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  <c r="AC158" s="92"/>
      <c r="AD158" s="92"/>
      <c r="AE158" s="92"/>
      <c r="AF158" s="92"/>
      <c r="AG158" s="92"/>
      <c r="AH158" s="92"/>
      <c r="AJ158" s="92"/>
      <c r="AK158" s="92"/>
      <c r="AL158" s="92"/>
      <c r="AM158" s="92"/>
      <c r="AN158" s="92"/>
      <c r="AO158" s="92"/>
    </row>
    <row r="159" spans="9:41"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  <c r="AC159" s="92"/>
      <c r="AD159" s="92"/>
      <c r="AE159" s="92"/>
      <c r="AF159" s="92"/>
      <c r="AG159" s="92"/>
      <c r="AH159" s="92"/>
      <c r="AJ159" s="92"/>
      <c r="AK159" s="92"/>
      <c r="AL159" s="92"/>
      <c r="AM159" s="92"/>
      <c r="AN159" s="92"/>
      <c r="AO159" s="92"/>
    </row>
    <row r="160" spans="9:41"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  <c r="AC160" s="92"/>
      <c r="AD160" s="92"/>
      <c r="AE160" s="92"/>
      <c r="AF160" s="92"/>
      <c r="AG160" s="92"/>
      <c r="AH160" s="92"/>
      <c r="AJ160" s="92"/>
      <c r="AK160" s="92"/>
      <c r="AL160" s="92"/>
      <c r="AM160" s="92"/>
      <c r="AN160" s="92"/>
      <c r="AO160" s="92"/>
    </row>
    <row r="161" spans="9:34"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  <c r="AC161" s="92"/>
      <c r="AD161" s="92"/>
      <c r="AE161" s="92"/>
      <c r="AF161" s="92"/>
      <c r="AG161" s="92"/>
      <c r="AH161" s="92"/>
    </row>
    <row r="162" spans="9:34"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  <c r="AC162" s="92"/>
      <c r="AD162" s="92"/>
      <c r="AE162" s="92"/>
      <c r="AF162" s="92"/>
      <c r="AG162" s="92"/>
      <c r="AH162" s="92"/>
    </row>
    <row r="163" spans="9:34"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  <c r="AC163" s="92"/>
      <c r="AD163" s="92"/>
      <c r="AE163" s="92"/>
      <c r="AF163" s="92"/>
      <c r="AG163" s="92"/>
      <c r="AH163" s="92"/>
    </row>
    <row r="164" spans="9:34"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  <c r="AC164" s="92"/>
      <c r="AD164" s="92"/>
      <c r="AE164" s="92"/>
      <c r="AF164" s="92"/>
      <c r="AG164" s="92"/>
      <c r="AH164" s="92"/>
    </row>
    <row r="165" spans="9:34"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  <c r="AC165" s="92"/>
      <c r="AD165" s="92"/>
      <c r="AE165" s="92"/>
      <c r="AF165" s="92"/>
      <c r="AG165" s="92"/>
      <c r="AH165" s="92"/>
    </row>
    <row r="166" spans="9:34"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  <c r="AC166" s="92"/>
      <c r="AD166" s="92"/>
      <c r="AE166" s="92"/>
      <c r="AF166" s="92"/>
      <c r="AG166" s="92"/>
      <c r="AH166" s="92"/>
    </row>
    <row r="167" spans="9:34"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  <c r="AC167" s="92"/>
      <c r="AD167" s="92"/>
      <c r="AE167" s="92"/>
      <c r="AF167" s="92"/>
      <c r="AG167" s="92"/>
      <c r="AH167" s="92"/>
    </row>
    <row r="168" spans="9:34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  <c r="AC168" s="92"/>
      <c r="AD168" s="92"/>
      <c r="AE168" s="92"/>
      <c r="AF168" s="92"/>
      <c r="AG168" s="92"/>
      <c r="AH168" s="92"/>
    </row>
    <row r="169" spans="9:34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  <c r="AC169" s="92"/>
      <c r="AD169" s="92"/>
      <c r="AE169" s="92"/>
      <c r="AF169" s="92"/>
      <c r="AG169" s="92"/>
      <c r="AH169" s="92"/>
    </row>
    <row r="170" spans="9:34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  <c r="AC170" s="92"/>
      <c r="AD170" s="92"/>
      <c r="AE170" s="92"/>
      <c r="AF170" s="92"/>
      <c r="AG170" s="92"/>
      <c r="AH170" s="92"/>
    </row>
    <row r="171" spans="9:34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  <c r="AC171" s="92"/>
      <c r="AD171" s="92"/>
      <c r="AE171" s="92"/>
      <c r="AF171" s="92"/>
      <c r="AG171" s="92"/>
      <c r="AH171" s="92"/>
    </row>
    <row r="172" spans="9:34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  <c r="AC172" s="92"/>
      <c r="AD172" s="92"/>
      <c r="AE172" s="92"/>
      <c r="AF172" s="92"/>
      <c r="AG172" s="92"/>
      <c r="AH172" s="92"/>
    </row>
    <row r="173" spans="9:34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  <c r="AC173" s="92"/>
      <c r="AD173" s="92"/>
      <c r="AE173" s="92"/>
      <c r="AF173" s="92"/>
      <c r="AG173" s="92"/>
      <c r="AH173" s="92"/>
    </row>
    <row r="174" spans="9:34">
      <c r="Q174" s="92"/>
      <c r="R174" s="92"/>
      <c r="S174" s="92"/>
      <c r="T174" s="92"/>
      <c r="U174" s="92"/>
      <c r="V174" s="92"/>
      <c r="AC174" s="92"/>
      <c r="AD174" s="92"/>
      <c r="AE174" s="92"/>
      <c r="AF174" s="92"/>
      <c r="AG174" s="92"/>
      <c r="AH174" s="92"/>
    </row>
    <row r="175" spans="9:34">
      <c r="Q175" s="92"/>
      <c r="R175" s="92"/>
      <c r="S175" s="92"/>
      <c r="T175" s="92"/>
      <c r="U175" s="92"/>
      <c r="V175" s="92"/>
      <c r="AC175" s="92"/>
      <c r="AD175" s="92"/>
      <c r="AE175" s="92"/>
      <c r="AF175" s="92"/>
      <c r="AG175" s="92"/>
      <c r="AH175" s="92"/>
    </row>
    <row r="176" spans="9:34">
      <c r="Q176" s="92"/>
      <c r="R176" s="92"/>
      <c r="S176" s="92"/>
      <c r="T176" s="92"/>
      <c r="U176" s="92"/>
      <c r="V176" s="92"/>
      <c r="AC176" s="92"/>
      <c r="AD176" s="92"/>
      <c r="AE176" s="92"/>
      <c r="AF176" s="92"/>
      <c r="AG176" s="92"/>
      <c r="AH176" s="92"/>
    </row>
    <row r="177" spans="17:34">
      <c r="Q177" s="92"/>
      <c r="R177" s="92"/>
      <c r="S177" s="92"/>
      <c r="T177" s="92"/>
      <c r="U177" s="92"/>
      <c r="V177" s="92"/>
      <c r="AC177" s="92"/>
      <c r="AD177" s="92"/>
      <c r="AE177" s="92"/>
      <c r="AF177" s="92"/>
      <c r="AG177" s="92"/>
      <c r="AH177" s="92"/>
    </row>
    <row r="178" spans="17:34">
      <c r="Q178" s="92"/>
      <c r="R178" s="92"/>
      <c r="S178" s="92"/>
      <c r="T178" s="92"/>
      <c r="U178" s="92"/>
      <c r="V178" s="92"/>
      <c r="AC178" s="92"/>
      <c r="AD178" s="92"/>
      <c r="AE178" s="92"/>
      <c r="AF178" s="92"/>
      <c r="AG178" s="92"/>
      <c r="AH178" s="92"/>
    </row>
    <row r="179" spans="17:34">
      <c r="Q179" s="92"/>
      <c r="R179" s="92"/>
      <c r="S179" s="92"/>
      <c r="T179" s="92"/>
      <c r="U179" s="92"/>
      <c r="V179" s="92"/>
      <c r="AC179" s="92"/>
      <c r="AD179" s="92"/>
      <c r="AE179" s="92"/>
      <c r="AF179" s="92"/>
      <c r="AG179" s="92"/>
      <c r="AH179" s="92"/>
    </row>
    <row r="180" spans="17:34">
      <c r="Q180" s="92"/>
      <c r="R180" s="92"/>
      <c r="S180" s="92"/>
      <c r="T180" s="92"/>
      <c r="U180" s="92"/>
      <c r="V180" s="92"/>
      <c r="AC180" s="92"/>
      <c r="AD180" s="92"/>
      <c r="AE180" s="92"/>
      <c r="AF180" s="92"/>
      <c r="AG180" s="92"/>
      <c r="AH180" s="92"/>
    </row>
    <row r="181" spans="17:34">
      <c r="Q181" s="92"/>
      <c r="R181" s="92"/>
      <c r="S181" s="92"/>
      <c r="T181" s="92"/>
      <c r="U181" s="92"/>
      <c r="V181" s="92"/>
      <c r="AC181" s="92"/>
      <c r="AD181" s="92"/>
      <c r="AE181" s="92"/>
      <c r="AF181" s="92"/>
      <c r="AG181" s="92"/>
      <c r="AH181" s="92"/>
    </row>
    <row r="182" spans="17:34">
      <c r="Q182" s="92"/>
      <c r="R182" s="92"/>
      <c r="S182" s="92"/>
      <c r="T182" s="92"/>
      <c r="U182" s="92"/>
      <c r="V182" s="92"/>
      <c r="AC182" s="92"/>
      <c r="AD182" s="92"/>
      <c r="AE182" s="92"/>
      <c r="AF182" s="92"/>
      <c r="AG182" s="92"/>
      <c r="AH182" s="92"/>
    </row>
    <row r="183" spans="17:34">
      <c r="Q183" s="92"/>
      <c r="R183" s="92"/>
      <c r="S183" s="92"/>
      <c r="T183" s="92"/>
      <c r="U183" s="92"/>
      <c r="V183" s="92"/>
      <c r="AC183" s="92"/>
      <c r="AD183" s="92"/>
      <c r="AE183" s="92"/>
      <c r="AF183" s="92"/>
      <c r="AG183" s="92"/>
      <c r="AH183" s="92"/>
    </row>
    <row r="184" spans="17:34">
      <c r="Q184" s="92"/>
      <c r="R184" s="92"/>
      <c r="S184" s="92"/>
      <c r="T184" s="92"/>
      <c r="U184" s="92"/>
      <c r="V184" s="92"/>
      <c r="AC184" s="92"/>
      <c r="AD184" s="92"/>
      <c r="AE184" s="92"/>
      <c r="AF184" s="92"/>
      <c r="AG184" s="92"/>
      <c r="AH184" s="92"/>
    </row>
    <row r="185" spans="17:34">
      <c r="Q185" s="92"/>
      <c r="R185" s="92"/>
      <c r="S185" s="92"/>
      <c r="T185" s="92"/>
      <c r="U185" s="92"/>
      <c r="V185" s="92"/>
      <c r="AC185" s="92"/>
      <c r="AD185" s="92"/>
      <c r="AE185" s="92"/>
      <c r="AF185" s="92"/>
      <c r="AG185" s="92"/>
      <c r="AH185" s="92"/>
    </row>
    <row r="186" spans="17:34">
      <c r="Q186" s="92"/>
      <c r="R186" s="92"/>
      <c r="S186" s="92"/>
      <c r="T186" s="92"/>
      <c r="U186" s="92"/>
      <c r="V186" s="92"/>
      <c r="AC186" s="92"/>
      <c r="AD186" s="92"/>
      <c r="AE186" s="92"/>
      <c r="AF186" s="92"/>
      <c r="AG186" s="92"/>
      <c r="AH186" s="92"/>
    </row>
    <row r="187" spans="17:34">
      <c r="Q187" s="92"/>
      <c r="R187" s="92"/>
      <c r="S187" s="92"/>
      <c r="T187" s="92"/>
      <c r="U187" s="92"/>
      <c r="V187" s="92"/>
      <c r="AC187" s="92"/>
      <c r="AD187" s="92"/>
      <c r="AE187" s="92"/>
      <c r="AF187" s="92"/>
      <c r="AG187" s="92"/>
      <c r="AH187" s="92"/>
    </row>
    <row r="188" spans="17:34">
      <c r="Q188" s="92"/>
      <c r="R188" s="92"/>
      <c r="S188" s="92"/>
      <c r="T188" s="92"/>
      <c r="U188" s="92"/>
      <c r="V188" s="92"/>
      <c r="AC188" s="92"/>
      <c r="AD188" s="92"/>
      <c r="AE188" s="92"/>
      <c r="AF188" s="92"/>
      <c r="AG188" s="92"/>
      <c r="AH188" s="92"/>
    </row>
    <row r="189" spans="17:34">
      <c r="Q189" s="92"/>
      <c r="R189" s="92"/>
      <c r="S189" s="92"/>
      <c r="T189" s="92"/>
      <c r="U189" s="92"/>
      <c r="V189" s="92"/>
      <c r="AC189" s="92"/>
      <c r="AD189" s="92"/>
      <c r="AE189" s="92"/>
      <c r="AF189" s="92"/>
      <c r="AG189" s="92"/>
      <c r="AH189" s="92"/>
    </row>
    <row r="190" spans="17:34">
      <c r="Q190" s="92"/>
      <c r="R190" s="92"/>
      <c r="S190" s="92"/>
      <c r="T190" s="92"/>
      <c r="U190" s="92"/>
      <c r="V190" s="92"/>
      <c r="AC190" s="92"/>
      <c r="AD190" s="92"/>
      <c r="AE190" s="92"/>
      <c r="AF190" s="92"/>
      <c r="AG190" s="92"/>
      <c r="AH190" s="92"/>
    </row>
    <row r="191" spans="17:34">
      <c r="Q191" s="92"/>
      <c r="R191" s="92"/>
      <c r="S191" s="92"/>
      <c r="T191" s="92"/>
      <c r="U191" s="92"/>
      <c r="V191" s="92"/>
      <c r="AC191" s="92"/>
      <c r="AD191" s="92"/>
      <c r="AE191" s="92"/>
      <c r="AF191" s="92"/>
      <c r="AG191" s="92"/>
      <c r="AH191" s="92"/>
    </row>
    <row r="192" spans="17:34">
      <c r="Q192" s="92"/>
      <c r="R192" s="92"/>
      <c r="S192" s="92"/>
      <c r="T192" s="92"/>
      <c r="U192" s="92"/>
      <c r="V192" s="92"/>
      <c r="AC192" s="92"/>
      <c r="AD192" s="92"/>
      <c r="AE192" s="92"/>
      <c r="AF192" s="92"/>
      <c r="AG192" s="92"/>
      <c r="AH192" s="92"/>
    </row>
    <row r="193" spans="17:34">
      <c r="Q193" s="92"/>
      <c r="R193" s="92"/>
      <c r="S193" s="92"/>
      <c r="T193" s="92"/>
      <c r="U193" s="92"/>
      <c r="V193" s="92"/>
      <c r="AC193" s="92"/>
      <c r="AD193" s="92"/>
      <c r="AE193" s="92"/>
      <c r="AF193" s="92"/>
      <c r="AG193" s="92"/>
      <c r="AH193" s="92"/>
    </row>
    <row r="194" spans="17:34">
      <c r="Q194" s="92"/>
      <c r="R194" s="92"/>
      <c r="S194" s="92"/>
      <c r="T194" s="92"/>
      <c r="U194" s="92"/>
      <c r="V194" s="92"/>
      <c r="AC194" s="92"/>
      <c r="AD194" s="92"/>
      <c r="AE194" s="92"/>
      <c r="AF194" s="92"/>
      <c r="AG194" s="92"/>
      <c r="AH194" s="92"/>
    </row>
    <row r="195" spans="17:34">
      <c r="Q195" s="92"/>
      <c r="R195" s="92"/>
      <c r="S195" s="92"/>
      <c r="T195" s="92"/>
      <c r="U195" s="92"/>
      <c r="V195" s="92"/>
      <c r="AC195" s="92"/>
      <c r="AD195" s="92"/>
      <c r="AE195" s="92"/>
      <c r="AF195" s="92"/>
      <c r="AG195" s="92"/>
      <c r="AH195" s="92"/>
    </row>
    <row r="196" spans="17:34">
      <c r="Q196" s="92"/>
      <c r="R196" s="92"/>
      <c r="S196" s="92"/>
      <c r="T196" s="92"/>
      <c r="U196" s="92"/>
      <c r="V196" s="92"/>
      <c r="AC196" s="92"/>
      <c r="AD196" s="92"/>
      <c r="AE196" s="92"/>
      <c r="AF196" s="92"/>
      <c r="AG196" s="92"/>
      <c r="AH196" s="92"/>
    </row>
    <row r="197" spans="17:34">
      <c r="Q197" s="92"/>
      <c r="R197" s="92"/>
      <c r="S197" s="92"/>
      <c r="T197" s="92"/>
      <c r="U197" s="92"/>
      <c r="V197" s="92"/>
      <c r="AC197" s="92"/>
      <c r="AD197" s="92"/>
      <c r="AE197" s="92"/>
      <c r="AF197" s="92"/>
      <c r="AG197" s="92"/>
      <c r="AH197" s="92"/>
    </row>
    <row r="198" spans="17:34">
      <c r="Q198" s="92"/>
      <c r="R198" s="92"/>
      <c r="S198" s="92"/>
      <c r="T198" s="92"/>
      <c r="U198" s="92"/>
      <c r="V198" s="92"/>
      <c r="AC198" s="92"/>
      <c r="AD198" s="92"/>
      <c r="AE198" s="92"/>
      <c r="AF198" s="92"/>
      <c r="AG198" s="92"/>
      <c r="AH198" s="92"/>
    </row>
    <row r="199" spans="17:34">
      <c r="Q199" s="92"/>
      <c r="R199" s="92"/>
      <c r="S199" s="92"/>
      <c r="T199" s="92"/>
      <c r="U199" s="92"/>
      <c r="V199" s="92"/>
      <c r="AC199" s="92"/>
      <c r="AD199" s="92"/>
      <c r="AE199" s="92"/>
      <c r="AF199" s="92"/>
      <c r="AG199" s="92"/>
      <c r="AH199" s="92"/>
    </row>
    <row r="200" spans="17:34">
      <c r="AC200" s="92"/>
      <c r="AD200" s="92"/>
      <c r="AE200" s="92"/>
      <c r="AF200" s="92"/>
      <c r="AG200" s="92"/>
      <c r="AH200" s="92"/>
    </row>
    <row r="201" spans="17:34">
      <c r="AC201" s="92"/>
      <c r="AD201" s="92"/>
      <c r="AE201" s="92"/>
      <c r="AF201" s="92"/>
      <c r="AG201" s="92"/>
      <c r="AH201" s="92"/>
    </row>
    <row r="202" spans="17:34">
      <c r="AC202" s="92"/>
      <c r="AD202" s="92"/>
      <c r="AE202" s="92"/>
      <c r="AF202" s="92"/>
      <c r="AG202" s="92"/>
      <c r="AH202" s="92"/>
    </row>
    <row r="203" spans="17:34">
      <c r="AC203" s="92"/>
      <c r="AD203" s="92"/>
      <c r="AE203" s="92"/>
      <c r="AF203" s="92"/>
      <c r="AG203" s="92"/>
      <c r="AH203" s="92"/>
    </row>
    <row r="204" spans="17:34">
      <c r="AC204" s="92"/>
      <c r="AD204" s="92"/>
      <c r="AE204" s="92"/>
      <c r="AF204" s="92"/>
      <c r="AG204" s="92"/>
      <c r="AH204" s="92"/>
    </row>
  </sheetData>
  <pageMargins left="0.7" right="0.7" top="0.75" bottom="0.75" header="0.3" footer="0.3"/>
  <pageSetup orientation="portrait" horizontalDpi="300" verticalDpi="30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93"/>
  <sheetViews>
    <sheetView topLeftCell="A61" workbookViewId="0">
      <selection activeCell="F103" sqref="F103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175" t="s">
        <v>68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/>
      <c r="K4"/>
    </row>
    <row r="5" spans="1:11">
      <c r="A5" s="1" t="s">
        <v>113</v>
      </c>
      <c r="B5" s="1" t="s">
        <v>20</v>
      </c>
      <c r="C5" s="1" t="s">
        <v>54</v>
      </c>
      <c r="D5" s="40">
        <v>4</v>
      </c>
      <c r="E5" s="40">
        <v>1</v>
      </c>
      <c r="F5" s="40">
        <v>4.0369999999999999</v>
      </c>
      <c r="G5" s="40">
        <v>2508</v>
      </c>
      <c r="H5" s="40">
        <v>200000</v>
      </c>
      <c r="I5" s="40"/>
    </row>
    <row r="6" spans="1:11">
      <c r="A6" s="1" t="s">
        <v>113</v>
      </c>
      <c r="B6" s="1" t="s">
        <v>20</v>
      </c>
      <c r="C6" s="1" t="s">
        <v>55</v>
      </c>
      <c r="D6" s="40">
        <v>3.75</v>
      </c>
      <c r="E6" s="40">
        <v>1</v>
      </c>
      <c r="F6" s="40">
        <v>4.79</v>
      </c>
      <c r="G6" s="40">
        <v>6762</v>
      </c>
      <c r="H6" s="40">
        <v>200000</v>
      </c>
      <c r="I6" s="40">
        <v>3500</v>
      </c>
    </row>
    <row r="7" spans="1:11">
      <c r="A7" s="1" t="s">
        <v>113</v>
      </c>
      <c r="B7" s="1" t="s">
        <v>20</v>
      </c>
      <c r="C7" s="1" t="s">
        <v>56</v>
      </c>
      <c r="D7" s="40">
        <v>4</v>
      </c>
      <c r="E7" s="40">
        <v>1</v>
      </c>
      <c r="F7" s="40">
        <v>4.0129999999999999</v>
      </c>
      <c r="G7" s="40">
        <v>2951</v>
      </c>
      <c r="H7" s="40">
        <v>500000</v>
      </c>
      <c r="I7" s="40"/>
    </row>
    <row r="8" spans="1:11">
      <c r="A8" s="1" t="s">
        <v>113</v>
      </c>
      <c r="B8" s="1" t="s">
        <v>20</v>
      </c>
      <c r="C8" s="1" t="s">
        <v>57</v>
      </c>
      <c r="D8" s="40">
        <v>3.875</v>
      </c>
      <c r="E8" s="40">
        <v>1</v>
      </c>
      <c r="F8" s="40">
        <v>3.8809999999999998</v>
      </c>
      <c r="G8" s="40">
        <v>3060</v>
      </c>
      <c r="H8" s="40">
        <v>750000</v>
      </c>
      <c r="I8" s="40"/>
    </row>
    <row r="9" spans="1:11">
      <c r="A9" s="1" t="s">
        <v>113</v>
      </c>
      <c r="B9" s="1" t="s">
        <v>19</v>
      </c>
      <c r="C9" s="1" t="s">
        <v>54</v>
      </c>
      <c r="D9" s="40">
        <v>3.75</v>
      </c>
      <c r="E9" s="40">
        <v>1.75</v>
      </c>
      <c r="F9" s="40">
        <v>3.9660000000000002</v>
      </c>
      <c r="G9" s="40"/>
      <c r="H9" s="40"/>
      <c r="I9" s="40"/>
    </row>
    <row r="10" spans="1:11">
      <c r="A10" s="1" t="s">
        <v>113</v>
      </c>
      <c r="B10" s="1" t="s">
        <v>19</v>
      </c>
      <c r="C10" s="1" t="s">
        <v>55</v>
      </c>
      <c r="D10" s="40">
        <v>3.375</v>
      </c>
      <c r="E10" s="40">
        <v>2</v>
      </c>
      <c r="F10" s="40">
        <v>4.2480000000000002</v>
      </c>
      <c r="G10" s="40"/>
      <c r="H10" s="40"/>
      <c r="I10" s="40"/>
    </row>
    <row r="11" spans="1:11">
      <c r="A11" s="1" t="s">
        <v>113</v>
      </c>
      <c r="B11" s="1" t="s">
        <v>17</v>
      </c>
      <c r="C11" s="1" t="s">
        <v>54</v>
      </c>
      <c r="D11" s="40">
        <v>3.75</v>
      </c>
      <c r="E11" s="40">
        <v>1.0409999999999999</v>
      </c>
      <c r="F11" s="40">
        <v>3.93</v>
      </c>
      <c r="G11" s="40"/>
      <c r="H11" s="40"/>
      <c r="I11" s="40"/>
    </row>
    <row r="12" spans="1:11">
      <c r="A12" s="1" t="s">
        <v>113</v>
      </c>
      <c r="B12" s="1" t="s">
        <v>18</v>
      </c>
      <c r="C12" s="1" t="s">
        <v>54</v>
      </c>
      <c r="D12" s="40">
        <v>3.875</v>
      </c>
      <c r="E12" s="40">
        <v>0.875</v>
      </c>
      <c r="F12" s="40">
        <v>3.9470000000000001</v>
      </c>
      <c r="G12" s="40"/>
      <c r="H12" s="40"/>
      <c r="I12" s="40"/>
    </row>
    <row r="28" spans="1:11" ht="19.5">
      <c r="A28" s="175" t="s">
        <v>69</v>
      </c>
      <c r="B28" s="175"/>
      <c r="C28" s="175"/>
      <c r="D28" s="175"/>
      <c r="E28" s="175"/>
      <c r="F28" s="175"/>
      <c r="G28" s="175"/>
      <c r="H28" s="175"/>
      <c r="I28" s="175"/>
      <c r="J28" s="175"/>
      <c r="K28" s="175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111</v>
      </c>
      <c r="B31" s="1" t="s">
        <v>20</v>
      </c>
      <c r="C31" s="1" t="s">
        <v>54</v>
      </c>
      <c r="D31" s="40">
        <v>4</v>
      </c>
      <c r="E31" s="40">
        <v>1</v>
      </c>
      <c r="F31" s="40">
        <v>4.0270000000000001</v>
      </c>
      <c r="G31" s="40">
        <v>2258</v>
      </c>
      <c r="H31" s="40">
        <v>200000</v>
      </c>
      <c r="I31" s="40"/>
      <c r="J31" s="40">
        <v>4.1135643018144359</v>
      </c>
      <c r="K31" s="40">
        <v>1.4040077380531564</v>
      </c>
    </row>
    <row r="32" spans="1:11">
      <c r="A32" s="1" t="s">
        <v>111</v>
      </c>
      <c r="B32" s="1" t="s">
        <v>20</v>
      </c>
      <c r="C32" s="1" t="s">
        <v>55</v>
      </c>
      <c r="D32" s="40">
        <v>3.75</v>
      </c>
      <c r="E32" s="40">
        <v>1</v>
      </c>
      <c r="F32" s="40">
        <v>4.7679999999999998</v>
      </c>
      <c r="G32" s="40">
        <v>6253</v>
      </c>
      <c r="H32" s="40">
        <v>200000</v>
      </c>
      <c r="I32" s="40">
        <v>3500</v>
      </c>
      <c r="J32" s="40">
        <v>3.8441249999999996</v>
      </c>
      <c r="K32" s="40">
        <v>1.2590386118036996</v>
      </c>
    </row>
    <row r="33" spans="1:11">
      <c r="A33" s="1" t="s">
        <v>111</v>
      </c>
      <c r="B33" s="1" t="s">
        <v>20</v>
      </c>
      <c r="C33" s="1" t="s">
        <v>56</v>
      </c>
      <c r="D33" s="40">
        <v>3.875</v>
      </c>
      <c r="E33" s="40">
        <v>1</v>
      </c>
      <c r="F33" s="40">
        <v>3.8980000000000001</v>
      </c>
      <c r="G33" s="40">
        <v>3550</v>
      </c>
      <c r="H33" s="40">
        <v>500000</v>
      </c>
      <c r="I33" s="40"/>
      <c r="J33" s="40">
        <v>3.872298391426404</v>
      </c>
      <c r="K33" s="40">
        <v>1.1627418276651245</v>
      </c>
    </row>
    <row r="34" spans="1:11">
      <c r="A34" s="1" t="s">
        <v>111</v>
      </c>
      <c r="B34" s="1" t="s">
        <v>20</v>
      </c>
      <c r="C34" s="1" t="s">
        <v>57</v>
      </c>
      <c r="D34" s="40">
        <v>3.875</v>
      </c>
      <c r="E34" s="40">
        <v>1</v>
      </c>
      <c r="F34" s="40">
        <v>3.8769999999999998</v>
      </c>
      <c r="G34" s="40">
        <v>2123</v>
      </c>
      <c r="H34" s="40">
        <v>750000</v>
      </c>
      <c r="I34" s="40"/>
      <c r="J34" s="40">
        <v>3.701847554934004</v>
      </c>
      <c r="K34" s="40">
        <v>0.99229099117272423</v>
      </c>
    </row>
    <row r="35" spans="1:11">
      <c r="A35" s="1" t="s">
        <v>111</v>
      </c>
      <c r="B35" s="1" t="s">
        <v>19</v>
      </c>
      <c r="C35" s="1" t="s">
        <v>54</v>
      </c>
      <c r="D35" s="40">
        <v>3.75</v>
      </c>
      <c r="E35" s="40">
        <v>1.625</v>
      </c>
      <c r="F35" s="40">
        <v>3.9550000000000001</v>
      </c>
      <c r="G35" s="40"/>
      <c r="H35" s="40"/>
      <c r="I35" s="40"/>
      <c r="J35" s="40">
        <v>4.1164931032788781</v>
      </c>
      <c r="K35" s="40">
        <v>1.4069365395175983</v>
      </c>
    </row>
    <row r="36" spans="1:11">
      <c r="A36" s="1" t="s">
        <v>111</v>
      </c>
      <c r="B36" s="1" t="s">
        <v>19</v>
      </c>
      <c r="C36" s="1" t="s">
        <v>55</v>
      </c>
      <c r="D36" s="40">
        <v>3.25</v>
      </c>
      <c r="E36" s="40">
        <v>2.25</v>
      </c>
      <c r="F36" s="40">
        <v>4.141</v>
      </c>
      <c r="G36" s="40"/>
      <c r="H36" s="40"/>
      <c r="I36" s="40"/>
      <c r="J36" s="40"/>
      <c r="K36" s="40"/>
    </row>
    <row r="37" spans="1:11">
      <c r="A37" s="1" t="s">
        <v>111</v>
      </c>
      <c r="B37" s="1" t="s">
        <v>17</v>
      </c>
      <c r="C37" s="1" t="s">
        <v>54</v>
      </c>
      <c r="D37" s="40">
        <v>3.75</v>
      </c>
      <c r="E37" s="40">
        <v>1.131</v>
      </c>
      <c r="F37" s="40">
        <v>3.9380000000000002</v>
      </c>
      <c r="G37" s="40"/>
      <c r="H37" s="40"/>
      <c r="I37" s="40"/>
      <c r="J37" s="40">
        <v>4.066228818482883</v>
      </c>
      <c r="K37" s="40">
        <v>1.3566722547216032</v>
      </c>
    </row>
    <row r="38" spans="1:11">
      <c r="A38" s="1" t="s">
        <v>111</v>
      </c>
      <c r="B38" s="1" t="s">
        <v>18</v>
      </c>
      <c r="C38" s="1" t="s">
        <v>54</v>
      </c>
      <c r="D38" s="40">
        <v>3.75</v>
      </c>
      <c r="E38" s="40">
        <v>1.25</v>
      </c>
      <c r="F38" s="40">
        <v>3.8530000000000002</v>
      </c>
      <c r="G38" s="40"/>
      <c r="H38" s="40"/>
      <c r="I38" s="40"/>
      <c r="J38" s="40">
        <v>3.812592661796018</v>
      </c>
      <c r="K38" s="40">
        <v>1.1030360980347382</v>
      </c>
    </row>
    <row r="56" spans="1:11" ht="19.5">
      <c r="A56" s="175" t="s">
        <v>70</v>
      </c>
      <c r="B56" s="175"/>
      <c r="C56" s="175"/>
      <c r="D56" s="175"/>
      <c r="E56" s="175"/>
      <c r="F56" s="175"/>
      <c r="G56" s="175"/>
      <c r="H56" s="175"/>
      <c r="I56" s="175"/>
      <c r="J56" s="175"/>
      <c r="K56" s="175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  <c r="J58" s="42" t="s">
        <v>78</v>
      </c>
      <c r="K58" s="42" t="s">
        <v>29</v>
      </c>
    </row>
    <row r="59" spans="1:11">
      <c r="A59" s="1" t="s">
        <v>100</v>
      </c>
      <c r="B59" s="1" t="s">
        <v>20</v>
      </c>
      <c r="C59" s="1" t="s">
        <v>54</v>
      </c>
      <c r="D59" s="40">
        <v>4.125</v>
      </c>
      <c r="E59" s="40">
        <v>1</v>
      </c>
      <c r="F59" s="40">
        <v>4.1470000000000002</v>
      </c>
      <c r="G59" s="40">
        <v>2018</v>
      </c>
      <c r="H59" s="40">
        <v>200000</v>
      </c>
      <c r="I59" s="40"/>
      <c r="J59" s="40">
        <v>4.1930539804499194</v>
      </c>
      <c r="K59" s="40">
        <v>1.3615482313074194</v>
      </c>
    </row>
    <row r="60" spans="1:11">
      <c r="A60" s="1" t="s">
        <v>100</v>
      </c>
      <c r="B60" s="1" t="s">
        <v>20</v>
      </c>
      <c r="C60" s="1" t="s">
        <v>55</v>
      </c>
      <c r="D60" s="40">
        <v>3.875</v>
      </c>
      <c r="E60" s="40">
        <v>1</v>
      </c>
      <c r="F60" s="40">
        <v>4.9050000000000002</v>
      </c>
      <c r="G60" s="40">
        <v>6529</v>
      </c>
      <c r="H60" s="40">
        <v>200000</v>
      </c>
      <c r="I60" s="40">
        <v>3500</v>
      </c>
      <c r="J60" s="40">
        <v>4.0036250000000004</v>
      </c>
      <c r="K60" s="40">
        <v>1.3060398010481804</v>
      </c>
    </row>
    <row r="61" spans="1:11">
      <c r="A61" s="1" t="s">
        <v>100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4.1479999999999997</v>
      </c>
      <c r="G61" s="40">
        <v>3602</v>
      </c>
      <c r="H61" s="40">
        <v>500000</v>
      </c>
      <c r="I61" s="40"/>
      <c r="J61" s="40">
        <v>4.123888942161555</v>
      </c>
      <c r="K61" s="40">
        <v>1.292383193019055</v>
      </c>
    </row>
    <row r="62" spans="1:11">
      <c r="A62" s="1" t="s">
        <v>100</v>
      </c>
      <c r="B62" s="1" t="s">
        <v>20</v>
      </c>
      <c r="C62" s="1" t="s">
        <v>57</v>
      </c>
      <c r="D62" s="40">
        <v>4</v>
      </c>
      <c r="E62" s="40">
        <v>1</v>
      </c>
      <c r="F62" s="40">
        <v>4.0060000000000002</v>
      </c>
      <c r="G62" s="40">
        <v>3099</v>
      </c>
      <c r="H62" s="40">
        <v>750000</v>
      </c>
      <c r="I62" s="40"/>
      <c r="J62" s="40">
        <v>3.8714038285041039</v>
      </c>
      <c r="K62" s="40">
        <v>1.0398980793616039</v>
      </c>
    </row>
    <row r="63" spans="1:11">
      <c r="A63" s="1" t="s">
        <v>100</v>
      </c>
      <c r="B63" s="1" t="s">
        <v>19</v>
      </c>
      <c r="C63" s="1" t="s">
        <v>54</v>
      </c>
      <c r="D63" s="40">
        <v>3.875</v>
      </c>
      <c r="E63" s="40">
        <v>1.875</v>
      </c>
      <c r="F63" s="40">
        <v>4.1029999999999998</v>
      </c>
      <c r="G63" s="40"/>
      <c r="H63" s="40"/>
      <c r="I63" s="40"/>
      <c r="J63" s="40">
        <v>4.3043588303271259</v>
      </c>
      <c r="K63" s="40">
        <v>1.4728530811846257</v>
      </c>
    </row>
    <row r="64" spans="1:11">
      <c r="A64" s="1" t="s">
        <v>100</v>
      </c>
      <c r="B64" s="1" t="s">
        <v>19</v>
      </c>
      <c r="C64" s="1" t="s">
        <v>55</v>
      </c>
      <c r="D64" s="40">
        <v>3.5</v>
      </c>
      <c r="E64" s="40">
        <v>2.125</v>
      </c>
      <c r="F64" s="40">
        <v>4.3879999999999999</v>
      </c>
      <c r="G64" s="40"/>
      <c r="H64" s="40"/>
      <c r="I64" s="40"/>
      <c r="J64" s="40"/>
      <c r="K64" s="40"/>
    </row>
    <row r="65" spans="1:15">
      <c r="A65" s="1" t="s">
        <v>100</v>
      </c>
      <c r="B65" s="1" t="s">
        <v>17</v>
      </c>
      <c r="C65" s="1" t="s">
        <v>54</v>
      </c>
      <c r="D65" s="40">
        <v>3.875</v>
      </c>
      <c r="E65" s="40">
        <v>1.214</v>
      </c>
      <c r="F65" s="40">
        <v>4.085</v>
      </c>
      <c r="G65" s="40"/>
      <c r="H65" s="40"/>
      <c r="I65" s="40"/>
      <c r="J65" s="40">
        <v>4.2517273654617371</v>
      </c>
      <c r="K65" s="40">
        <v>1.4202216163192376</v>
      </c>
    </row>
    <row r="66" spans="1:15">
      <c r="A66" s="1" t="s">
        <v>100</v>
      </c>
      <c r="B66" s="1" t="s">
        <v>18</v>
      </c>
      <c r="C66" s="1" t="s">
        <v>54</v>
      </c>
      <c r="D66" s="40">
        <v>3.875</v>
      </c>
      <c r="E66" s="40">
        <v>1.25</v>
      </c>
      <c r="F66" s="40">
        <v>3.9780000000000002</v>
      </c>
      <c r="G66" s="40"/>
      <c r="H66" s="40"/>
      <c r="I66" s="40"/>
      <c r="J66" s="40">
        <v>3.9353424338077225</v>
      </c>
      <c r="K66" s="40">
        <v>1.1038366846652226</v>
      </c>
    </row>
    <row r="77" spans="1:15" ht="19.5">
      <c r="A77" s="175" t="s">
        <v>89</v>
      </c>
      <c r="B77" s="175"/>
      <c r="C77" s="175"/>
      <c r="D77" s="175"/>
      <c r="E77" s="175"/>
      <c r="M77" s="175" t="s">
        <v>104</v>
      </c>
      <c r="N77" s="175"/>
      <c r="O77" s="175"/>
    </row>
    <row r="78" spans="1:15">
      <c r="A78" s="39" t="s">
        <v>90</v>
      </c>
      <c r="M78" s="39" t="s">
        <v>90</v>
      </c>
    </row>
    <row r="79" spans="1:15">
      <c r="B79" s="1" t="s">
        <v>91</v>
      </c>
      <c r="C79" s="1" t="s">
        <v>92</v>
      </c>
      <c r="D79" s="1" t="s">
        <v>93</v>
      </c>
      <c r="E79" s="1" t="s">
        <v>94</v>
      </c>
      <c r="N79" s="1" t="s">
        <v>106</v>
      </c>
      <c r="O79" s="1" t="s">
        <v>105</v>
      </c>
    </row>
    <row r="80" spans="1:15">
      <c r="A80" s="132" t="s">
        <v>86</v>
      </c>
      <c r="B80" s="40">
        <v>4.2109722530911462</v>
      </c>
      <c r="C80" s="40">
        <v>4.0036250000000004</v>
      </c>
      <c r="D80" s="40">
        <v>4.123888942161555</v>
      </c>
      <c r="E80" s="40">
        <v>3.9170666666666665</v>
      </c>
      <c r="M80" s="132" t="s">
        <v>86</v>
      </c>
      <c r="N80" s="40">
        <v>2.8341999400292899</v>
      </c>
      <c r="O80" s="40">
        <v>1.3767723130618554</v>
      </c>
    </row>
    <row r="81" spans="1:15">
      <c r="A81" s="132" t="s">
        <v>87</v>
      </c>
      <c r="B81" s="40">
        <v>4.2092383259139474</v>
      </c>
      <c r="C81" s="40">
        <v>4.0036250000000004</v>
      </c>
      <c r="D81" s="40">
        <v>4.123888942161555</v>
      </c>
      <c r="E81" s="40">
        <v>3.9170666666666665</v>
      </c>
      <c r="M81" s="132" t="s">
        <v>87</v>
      </c>
      <c r="N81" s="40">
        <v>2.8241837227534399</v>
      </c>
      <c r="O81" s="40">
        <v>1.3850546031605075</v>
      </c>
    </row>
    <row r="82" spans="1:15">
      <c r="A82" s="132" t="s">
        <v>88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  <c r="M82" s="132" t="s">
        <v>88</v>
      </c>
      <c r="N82" s="40">
        <v>2.81556157497667</v>
      </c>
      <c r="O82" s="40">
        <v>1.3692587050391631</v>
      </c>
    </row>
    <row r="83" spans="1:15">
      <c r="A83" s="132" t="s">
        <v>83</v>
      </c>
      <c r="B83" s="40">
        <v>4.2793845467200686</v>
      </c>
      <c r="C83" s="40">
        <v>4.0676249999999996</v>
      </c>
      <c r="D83" s="40">
        <v>4.145604497342033</v>
      </c>
      <c r="E83" s="40">
        <v>3.9975388163708763</v>
      </c>
      <c r="M83" s="132" t="s">
        <v>83</v>
      </c>
      <c r="N83" s="40">
        <v>2.9303170109018999</v>
      </c>
      <c r="O83" s="40">
        <v>1.3490675358181696</v>
      </c>
    </row>
    <row r="84" spans="1:15">
      <c r="A84" s="132" t="s">
        <v>84</v>
      </c>
      <c r="B84" s="40">
        <v>4.2526168084086038</v>
      </c>
      <c r="C84" s="40">
        <v>4.0353750000000002</v>
      </c>
      <c r="D84" s="40">
        <v>4.0563500000000001</v>
      </c>
      <c r="E84" s="40">
        <v>3.9543261870321942</v>
      </c>
      <c r="M84" s="132" t="s">
        <v>84</v>
      </c>
      <c r="N84" s="40">
        <v>2.90222752352993</v>
      </c>
      <c r="O84" s="40">
        <v>1.350389284878674</v>
      </c>
    </row>
    <row r="85" spans="1:15">
      <c r="A85" s="132" t="s">
        <v>85</v>
      </c>
      <c r="B85" s="40">
        <v>4.1948574056984462</v>
      </c>
      <c r="C85" s="40">
        <v>4.0353750000000002</v>
      </c>
      <c r="D85" s="40">
        <v>4.0251000000000001</v>
      </c>
      <c r="E85" s="40">
        <v>3.929789796110164</v>
      </c>
      <c r="M85" s="132" t="s">
        <v>85</v>
      </c>
      <c r="N85" s="40">
        <v>2.84635033680676</v>
      </c>
      <c r="O85" s="40">
        <v>1.3485070688916867</v>
      </c>
    </row>
    <row r="86" spans="1:15">
      <c r="A86" s="132" t="s">
        <v>96</v>
      </c>
      <c r="B86" s="40">
        <v>4.183912785416835</v>
      </c>
      <c r="C86" s="40">
        <v>4.0036250000000004</v>
      </c>
      <c r="D86" s="40">
        <v>4.123888942161555</v>
      </c>
      <c r="E86" s="40">
        <v>3.929789796110164</v>
      </c>
      <c r="M86" s="132" t="s">
        <v>96</v>
      </c>
      <c r="N86" s="40">
        <v>2.8278353033181198</v>
      </c>
      <c r="O86" s="40">
        <v>1.3560774820987149</v>
      </c>
    </row>
    <row r="87" spans="1:15">
      <c r="A87" s="132" t="s">
        <v>99</v>
      </c>
      <c r="B87" s="40">
        <v>4.1580287281176718</v>
      </c>
      <c r="C87" s="40">
        <v>3.9717500000000001</v>
      </c>
      <c r="D87" s="40">
        <v>4.0195510152855149</v>
      </c>
      <c r="E87" s="40">
        <v>3.8281034376602534</v>
      </c>
      <c r="M87" s="132" t="s">
        <v>99</v>
      </c>
      <c r="N87" s="40">
        <v>2.8138191102539798</v>
      </c>
      <c r="O87" s="40">
        <v>1.344209617863692</v>
      </c>
    </row>
    <row r="88" spans="1:15">
      <c r="A88" s="132" t="s">
        <v>100</v>
      </c>
      <c r="B88" s="40">
        <v>4.1711206525116253</v>
      </c>
      <c r="C88" s="40">
        <v>4.0036250000000004</v>
      </c>
      <c r="D88" s="40">
        <v>4.123888942161555</v>
      </c>
      <c r="E88" s="40">
        <v>3.8714038285041039</v>
      </c>
      <c r="M88" s="132" t="s">
        <v>100</v>
      </c>
      <c r="N88" s="40">
        <v>2.8315057491425</v>
      </c>
      <c r="O88" s="40">
        <v>1.3396149033691263</v>
      </c>
    </row>
    <row r="89" spans="1:15" ht="15.75" customHeight="1">
      <c r="A89" s="132" t="s">
        <v>108</v>
      </c>
      <c r="B89" s="40">
        <v>4.1349192739455276</v>
      </c>
      <c r="C89" s="40">
        <v>3.9717500000000001</v>
      </c>
      <c r="D89" s="40">
        <v>3.9301000000000004</v>
      </c>
      <c r="E89" s="40">
        <v>3.8281034376602534</v>
      </c>
      <c r="M89" s="132" t="s">
        <v>108</v>
      </c>
      <c r="N89" s="40">
        <v>2.8241768518279202</v>
      </c>
      <c r="O89" s="40">
        <v>1.3107424221176069</v>
      </c>
    </row>
    <row r="90" spans="1:15">
      <c r="A90" s="132" t="s">
        <v>109</v>
      </c>
      <c r="B90" s="40">
        <v>4.1195438104816251</v>
      </c>
      <c r="C90" s="40">
        <v>3.9717500000000001</v>
      </c>
      <c r="D90" s="40">
        <v>3.8988500000000004</v>
      </c>
      <c r="E90" s="40">
        <v>3.7907999999999999</v>
      </c>
      <c r="M90" s="132" t="s">
        <v>109</v>
      </c>
      <c r="N90" s="40">
        <v>2.79584100930466</v>
      </c>
      <c r="O90" s="40">
        <v>1.3237028011769647</v>
      </c>
    </row>
    <row r="91" spans="1:15">
      <c r="A91" s="132" t="s">
        <v>110</v>
      </c>
      <c r="B91" s="40">
        <v>4.0625796613669598</v>
      </c>
      <c r="C91" s="40">
        <v>3.8759999999999994</v>
      </c>
      <c r="D91" s="40">
        <v>3.9367503938171491</v>
      </c>
      <c r="E91" s="40">
        <v>3.7452361066975079</v>
      </c>
      <c r="M91" s="132" t="s">
        <v>110</v>
      </c>
      <c r="N91" s="40">
        <v>2.6928489030954199</v>
      </c>
      <c r="O91" s="40">
        <v>1.3697307582715406</v>
      </c>
    </row>
    <row r="92" spans="1:15">
      <c r="A92" s="132" t="s">
        <v>111</v>
      </c>
      <c r="B92" s="40">
        <v>4.0272197213430534</v>
      </c>
      <c r="C92" s="40">
        <v>3.8441249999999996</v>
      </c>
      <c r="D92" s="40">
        <v>3.872298391426404</v>
      </c>
      <c r="E92" s="40">
        <v>3.701847554934004</v>
      </c>
      <c r="M92" s="132" t="s">
        <v>111</v>
      </c>
      <c r="N92" s="40">
        <v>2.70955656376128</v>
      </c>
      <c r="O92" s="40">
        <v>1.3176631575817741</v>
      </c>
    </row>
    <row r="93" spans="1:15">
      <c r="A93" s="132" t="s">
        <v>113</v>
      </c>
      <c r="B93" s="40">
        <v>4.0522074267600177</v>
      </c>
      <c r="C93" s="40">
        <v>3.9077500000000001</v>
      </c>
      <c r="D93" s="40">
        <v>3.9367503938171491</v>
      </c>
      <c r="E93" s="40">
        <v>3.7452361066975079</v>
      </c>
      <c r="M93" s="132" t="s">
        <v>113</v>
      </c>
      <c r="N93" s="40">
        <v>2.6717729385436999</v>
      </c>
      <c r="O93" s="40">
        <v>1.380434488216318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V30"/>
  <sheetViews>
    <sheetView tabSelected="1" workbookViewId="0">
      <selection activeCell="B34" sqref="B34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  <col min="22" max="22" width="10.7109375" bestFit="1" customWidth="1"/>
  </cols>
  <sheetData>
    <row r="1" spans="2:22">
      <c r="B1" s="118" t="s">
        <v>48</v>
      </c>
      <c r="C1" s="119" t="s">
        <v>47</v>
      </c>
      <c r="D1" s="120" t="s">
        <v>49</v>
      </c>
      <c r="E1" s="121" t="s">
        <v>52</v>
      </c>
    </row>
    <row r="2" spans="2:22">
      <c r="B2" s="122" t="s">
        <v>54</v>
      </c>
      <c r="C2" s="123" t="s">
        <v>17</v>
      </c>
      <c r="D2" s="124" t="s">
        <v>78</v>
      </c>
      <c r="E2" s="125">
        <f>Report!M10*100</f>
        <v>4.0425219308185625</v>
      </c>
    </row>
    <row r="3" spans="2:22">
      <c r="B3" s="110" t="s">
        <v>54</v>
      </c>
      <c r="C3" s="104" t="s">
        <v>17</v>
      </c>
      <c r="D3" s="105" t="s">
        <v>29</v>
      </c>
      <c r="E3" s="111">
        <f>Report!N10*100</f>
        <v>1.3707489922748624</v>
      </c>
    </row>
    <row r="4" spans="2:22">
      <c r="B4" s="110" t="s">
        <v>54</v>
      </c>
      <c r="C4" s="104" t="s">
        <v>18</v>
      </c>
      <c r="D4" s="105" t="s">
        <v>78</v>
      </c>
      <c r="E4" s="111">
        <f>Report!M11*100</f>
        <v>3.8425411667081901</v>
      </c>
    </row>
    <row r="5" spans="2:22">
      <c r="B5" s="110" t="s">
        <v>54</v>
      </c>
      <c r="C5" s="104" t="s">
        <v>18</v>
      </c>
      <c r="D5" s="105" t="s">
        <v>29</v>
      </c>
      <c r="E5" s="111">
        <f>Report!N11*100</f>
        <v>1.1707682281644907</v>
      </c>
    </row>
    <row r="6" spans="2:22">
      <c r="B6" s="110" t="s">
        <v>54</v>
      </c>
      <c r="C6" s="104" t="s">
        <v>19</v>
      </c>
      <c r="D6" s="105" t="s">
        <v>78</v>
      </c>
      <c r="E6" s="111">
        <f>Report!M12*100</f>
        <v>4.1489354754111796</v>
      </c>
    </row>
    <row r="7" spans="2:22">
      <c r="B7" s="110" t="s">
        <v>54</v>
      </c>
      <c r="C7" s="104" t="s">
        <v>19</v>
      </c>
      <c r="D7" s="105" t="s">
        <v>29</v>
      </c>
      <c r="E7" s="111">
        <f>Report!N12*100</f>
        <v>1.4771625368674803</v>
      </c>
    </row>
    <row r="8" spans="2:22">
      <c r="B8" s="110" t="s">
        <v>54</v>
      </c>
      <c r="C8" s="104" t="s">
        <v>20</v>
      </c>
      <c r="D8" s="105" t="s">
        <v>78</v>
      </c>
      <c r="E8" s="111">
        <f>Report!M13*100</f>
        <v>4.1748311341021385</v>
      </c>
    </row>
    <row r="9" spans="2:22">
      <c r="B9" s="110" t="s">
        <v>54</v>
      </c>
      <c r="C9" s="104" t="s">
        <v>20</v>
      </c>
      <c r="D9" s="105" t="s">
        <v>29</v>
      </c>
      <c r="E9" s="111">
        <f>Report!N13*100</f>
        <v>1.503058195558439</v>
      </c>
    </row>
    <row r="10" spans="2:22">
      <c r="B10" s="110" t="s">
        <v>55</v>
      </c>
      <c r="C10" s="104" t="s">
        <v>20</v>
      </c>
      <c r="D10" s="105" t="s">
        <v>78</v>
      </c>
      <c r="E10" s="111">
        <f>Report!M20*100</f>
        <v>3.9077500000000001</v>
      </c>
    </row>
    <row r="11" spans="2:22">
      <c r="B11" s="110" t="s">
        <v>55</v>
      </c>
      <c r="C11" s="104" t="s">
        <v>20</v>
      </c>
      <c r="D11" s="105" t="s">
        <v>29</v>
      </c>
      <c r="E11" s="111">
        <f>Report!N20*100</f>
        <v>1.3564849276713202</v>
      </c>
    </row>
    <row r="12" spans="2:22">
      <c r="B12" s="110" t="s">
        <v>56</v>
      </c>
      <c r="C12" s="104" t="s">
        <v>20</v>
      </c>
      <c r="D12" s="105" t="s">
        <v>78</v>
      </c>
      <c r="E12" s="111">
        <f>Report!M16*100</f>
        <v>3.9367503938171491</v>
      </c>
    </row>
    <row r="13" spans="2:22">
      <c r="B13" s="110" t="s">
        <v>56</v>
      </c>
      <c r="C13" s="104" t="s">
        <v>20</v>
      </c>
      <c r="D13" s="105" t="s">
        <v>29</v>
      </c>
      <c r="E13" s="111">
        <f>Report!N16*100</f>
        <v>1.2649774552734492</v>
      </c>
    </row>
    <row r="14" spans="2:22">
      <c r="B14" s="110" t="s">
        <v>57</v>
      </c>
      <c r="C14" s="104" t="s">
        <v>20</v>
      </c>
      <c r="D14" s="105" t="s">
        <v>78</v>
      </c>
      <c r="E14" s="111">
        <f>Report!M18*100</f>
        <v>3.7452361066975079</v>
      </c>
      <c r="V14" s="178">
        <v>42297</v>
      </c>
    </row>
    <row r="15" spans="2:22">
      <c r="B15" s="110" t="s">
        <v>57</v>
      </c>
      <c r="C15" s="104" t="s">
        <v>20</v>
      </c>
      <c r="D15" s="105" t="s">
        <v>29</v>
      </c>
      <c r="E15" s="111">
        <f>Report!N18*100</f>
        <v>1.0734631681538085</v>
      </c>
      <c r="V15" s="178">
        <v>42165</v>
      </c>
    </row>
    <row r="16" spans="2:22">
      <c r="B16" s="112"/>
      <c r="C16" s="113"/>
      <c r="D16" s="113"/>
      <c r="E16" s="114"/>
      <c r="V16">
        <f>V14-V15</f>
        <v>132</v>
      </c>
    </row>
    <row r="17" spans="2:22">
      <c r="B17" s="112"/>
      <c r="C17" s="113"/>
      <c r="D17" s="113"/>
      <c r="E17" s="114"/>
      <c r="V17" s="178">
        <f>V14-120</f>
        <v>42177</v>
      </c>
    </row>
    <row r="18" spans="2:22">
      <c r="B18" s="112"/>
      <c r="C18" s="113"/>
      <c r="D18" s="113"/>
      <c r="E18" s="114"/>
    </row>
    <row r="19" spans="2:22">
      <c r="B19" s="112"/>
      <c r="C19" s="113"/>
      <c r="D19" s="113"/>
      <c r="E19" s="114"/>
    </row>
    <row r="20" spans="2:22">
      <c r="B20" s="112"/>
      <c r="C20" s="113"/>
      <c r="D20" s="113"/>
      <c r="E20" s="114"/>
    </row>
    <row r="21" spans="2:22">
      <c r="B21" s="112"/>
      <c r="C21" s="113"/>
      <c r="D21" s="113"/>
      <c r="E21" s="114"/>
    </row>
    <row r="22" spans="2:22">
      <c r="B22" s="112"/>
      <c r="C22" s="113"/>
      <c r="D22" s="113"/>
      <c r="E22" s="114"/>
    </row>
    <row r="23" spans="2:22">
      <c r="B23" s="112"/>
      <c r="C23" s="113"/>
      <c r="D23" s="113"/>
      <c r="E23" s="114"/>
    </row>
    <row r="24" spans="2:22">
      <c r="B24" s="112"/>
      <c r="C24" s="113"/>
      <c r="D24" s="113"/>
      <c r="E24" s="114"/>
    </row>
    <row r="25" spans="2:22">
      <c r="B25" s="112"/>
      <c r="C25" s="113"/>
      <c r="D25" s="113"/>
      <c r="E25" s="114"/>
    </row>
    <row r="26" spans="2:22">
      <c r="B26" s="112"/>
      <c r="C26" s="113"/>
      <c r="D26" s="113"/>
      <c r="E26" s="114"/>
    </row>
    <row r="27" spans="2:22">
      <c r="B27" s="112"/>
      <c r="C27" s="113"/>
      <c r="D27" s="113"/>
      <c r="E27" s="114"/>
    </row>
    <row r="28" spans="2:22">
      <c r="B28" s="112"/>
      <c r="C28" s="113"/>
      <c r="D28" s="113"/>
      <c r="E28" s="114"/>
    </row>
    <row r="29" spans="2:22">
      <c r="B29" s="112"/>
      <c r="C29" s="113"/>
      <c r="D29" s="113"/>
      <c r="E29" s="114"/>
    </row>
    <row r="30" spans="2:22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76" t="s">
        <v>44</v>
      </c>
      <c r="D3" s="176"/>
      <c r="E3" s="176" t="s">
        <v>45</v>
      </c>
      <c r="F3" s="176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4.0662288184828831E-2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1.3566722547216033E-2</v>
      </c>
      <c r="E5" s="128">
        <f t="array" ref="E5">VLOOKUP(B4&amp;B5&amp;E4,IF({1,0},OneWeekMtgRatesDataTable[TickerName]&amp;OneWeekMtgRatesDataTable[Source]&amp;OneWeekMtgRatesDataTable[SeriesType],OneWeekMtgRatesDataTable[SeriesNumValue]),2,0)/100</f>
        <v>4.2517273654617369E-2</v>
      </c>
      <c r="F5" s="128">
        <f t="array" ref="F5">VLOOKUP($B$4&amp;$B5&amp;$F$4,IF({1,0},OneWeekMtgRatesDataTable[TickerName]&amp;OneWeekMtgRatesDataTable[Source]&amp;OneWeekMtgRatesDataTable[SeriesType],OneWeekMtgRatesDataTable[SeriesNumValue]),2,0)/100</f>
        <v>1.4202216163192376E-2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3.8125926617960181E-2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1.1030360980347383E-2</v>
      </c>
      <c r="E6" s="128">
        <f t="array" ref="E6">VLOOKUP($B$4&amp;$B6&amp;$E$4,IF({1,0},OneWeekMtgRatesDataTable[TickerName]&amp;OneWeekMtgRatesDataTable[Source]&amp;OneWeekMtgRatesDataTable[SeriesType],OneWeekMtgRatesDataTable[SeriesNumValue]),2,0)/100</f>
        <v>3.9353424338077224E-2</v>
      </c>
      <c r="F6" s="128">
        <f t="array" ref="F6">VLOOKUP($B$4&amp;$B6&amp;$F$4,IF({1,0},OneWeekMtgRatesDataTable[TickerName]&amp;OneWeekMtgRatesDataTable[Source]&amp;OneWeekMtgRatesDataTable[SeriesType],OneWeekMtgRatesDataTable[SeriesNumValue]),2,0)/100</f>
        <v>1.1038366846652225E-2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4.116493103278878E-2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1.4069365395175983E-2</v>
      </c>
      <c r="E7" s="128">
        <f t="array" ref="E7">VLOOKUP($B$4&amp;$B7&amp;$E$4,IF({1,0},OneWeekMtgRatesDataTable[TickerName]&amp;OneWeekMtgRatesDataTable[Source]&amp;OneWeekMtgRatesDataTable[SeriesType],OneWeekMtgRatesDataTable[SeriesNumValue]),2,0)/100</f>
        <v>4.3043588303271256E-2</v>
      </c>
      <c r="F7" s="128">
        <f t="array" ref="F7">VLOOKUP($B$4&amp;$B7&amp;$F$4,IF({1,0},OneWeekMtgRatesDataTable[TickerName]&amp;OneWeekMtgRatesDataTable[Source]&amp;OneWeekMtgRatesDataTable[SeriesType],OneWeekMtgRatesDataTable[SeriesNumValue]),2,0)/100</f>
        <v>1.4728530811846257E-2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4.1135643018144361E-2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1.4040077380531564E-2</v>
      </c>
      <c r="E8" s="128">
        <f t="array" ref="E8">VLOOKUP($B$4&amp;$B8&amp;$E$4,IF({1,0},OneWeekMtgRatesDataTable[TickerName]&amp;OneWeekMtgRatesDataTable[Source]&amp;OneWeekMtgRatesDataTable[SeriesType],OneWeekMtgRatesDataTable[SeriesNumValue]),2,0)/100</f>
        <v>4.1930539804499192E-2</v>
      </c>
      <c r="F8" s="128">
        <f t="array" ref="F8">VLOOKUP($B$4&amp;$B8&amp;$F$4,IF({1,0},OneWeekMtgRatesDataTable[TickerName]&amp;OneWeekMtgRatesDataTable[Source]&amp;OneWeekMtgRatesDataTable[SeriesType],OneWeekMtgRatesDataTable[SeriesNumValue]),2,0)/100</f>
        <v>1.3615482313074195E-2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3.8722983914264042E-2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1.1627418276651244E-2</v>
      </c>
      <c r="E10" s="128">
        <f t="array" ref="E10">VLOOKUP($B$9&amp;$B10&amp;$E$4,IF({1,0},OneWeekMtgRatesDataTable[TickerName]&amp;OneWeekMtgRatesDataTable[Source]&amp;OneWeekMtgRatesDataTable[SeriesType],OneWeekMtgRatesDataTable[SeriesNumValue]),2,0)/100</f>
        <v>4.1238889421615549E-2</v>
      </c>
      <c r="F10" s="128">
        <f t="array" ref="F10">VLOOKUP($B$9&amp;$B10&amp;$F$4,IF({1,0},OneWeekMtgRatesDataTable[TickerName]&amp;OneWeekMtgRatesDataTable[Source]&amp;OneWeekMtgRatesDataTable[SeriesType],OneWeekMtgRatesDataTable[SeriesNumValue]),2,0)/100</f>
        <v>1.292383193019055E-2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3.7018475549340041E-2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9.9229099117272429E-3</v>
      </c>
      <c r="E12" s="128">
        <f t="array" ref="E12">VLOOKUP($B$11&amp;$B12&amp;$E$4,IF({1,0},OneWeekMtgRatesDataTable[TickerName]&amp;OneWeekMtgRatesDataTable[Source]&amp;OneWeekMtgRatesDataTable[SeriesType],OneWeekMtgRatesDataTable[SeriesNumValue]),2,0)/100</f>
        <v>3.8714038285041039E-2</v>
      </c>
      <c r="F12" s="128">
        <f t="array" ref="F12">VLOOKUP($B$11&amp;$B12&amp;$F$4,IF({1,0},OneWeekMtgRatesDataTable[TickerName]&amp;OneWeekMtgRatesDataTable[Source]&amp;OneWeekMtgRatesDataTable[SeriesType],OneWeekMtgRatesDataTable[SeriesNumValue]),2,0)/100</f>
        <v>1.039898079361604E-2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3.8441249999999996E-2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1.2590386118036995E-2</v>
      </c>
      <c r="E14" s="128">
        <f t="array" ref="E14">VLOOKUP($B$13&amp;$B14&amp;$E$4,IF({1,0},OneWeekMtgRatesDataTable[TickerName]&amp;OneWeekMtgRatesDataTable[Source]&amp;OneWeekMtgRatesDataTable[SeriesType],OneWeekMtgRatesDataTable[SeriesNumValue]),2,0)/100</f>
        <v>4.0036250000000002E-2</v>
      </c>
      <c r="F14" s="128">
        <f t="array" ref="F14">VLOOKUP($B$13&amp;$B14&amp;$F$4,IF({1,0},OneWeekMtgRatesDataTable[TickerName]&amp;OneWeekMtgRatesDataTable[Source]&amp;OneWeekMtgRatesDataTable[SeriesType],OneWeekMtgRatesDataTable[SeriesNumValue]),2,0)/100</f>
        <v>1.3060398010481804E-2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2.1700877232742499E-2</v>
      </c>
      <c r="H4" s="8" t="s">
        <v>11</v>
      </c>
      <c r="I4" s="9">
        <f>C4-(1%-F7)/4</f>
        <v>4.0425219308185621E-2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America30YrConformingConventionalAPR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3.9300000000000002E-2</v>
      </c>
      <c r="D5" s="5"/>
      <c r="E5" s="6" t="s">
        <v>14</v>
      </c>
      <c r="F5" s="17">
        <f>C8</f>
        <v>1.0409999999999999E-2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1.12908772327425E-2</v>
      </c>
      <c r="H6" s="2" t="s">
        <v>23</v>
      </c>
      <c r="I6" s="13">
        <f>C4-(0.01-(1-((C4/12*(1+C4/12)^360)/((1+C4/12)^360-1)*((1+C5/12)^360-1)/(C5/12*(1+C5/12)^360))))/4</f>
        <v>4.0425219308185621E-2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2.1700877232742499E-2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1.0409999999999999E-2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8.7016466683276228E-3</v>
      </c>
      <c r="H4" s="8" t="s">
        <v>11</v>
      </c>
      <c r="I4" s="9">
        <f>C4-(1%-F7)/4</f>
        <v>3.8425411667081903E-2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3.9469999999999998E-2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-4.8353331672378042E-5</v>
      </c>
      <c r="H6" s="2" t="s">
        <v>23</v>
      </c>
      <c r="I6" s="13">
        <f>C4-(0.01-(1-((C4/12*(1+C4/12)^360)/((1+C4/12)^360-1)*((1+C5/12)^360-1)/(C5/12*(1+C5/12)^360))))/4</f>
        <v>3.8425411667081903E-2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8.7016466683276228E-3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2.5957419016447214E-2</v>
      </c>
      <c r="H4" s="8" t="s">
        <v>11</v>
      </c>
      <c r="I4" s="139">
        <f>C4-(1%-F7)/4</f>
        <v>4.14893547541118E-2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3.9660000000000001E-2</v>
      </c>
      <c r="D5" s="5"/>
      <c r="E5" s="6" t="s">
        <v>14</v>
      </c>
      <c r="F5" s="17">
        <f>C8</f>
        <v>1.7500000000000002E-2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8.4574190164472124E-3</v>
      </c>
      <c r="H6" s="2" t="s">
        <v>23</v>
      </c>
      <c r="I6" s="13">
        <f>C4-(0.01-(1-((C4/12*(1+C4/12)^360)/((1+C4/12)^360-1)*((1+C5/12)^360-1)/(C5/12*(1+C5/12)^360))))/4</f>
        <v>4.14893547541118E-2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2.5957419016447214E-2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1.7500000000000002E-2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G2" s="2"/>
      <c r="H2" s="177" t="s">
        <v>12</v>
      </c>
      <c r="I2" s="177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6" t="s">
        <v>6</v>
      </c>
      <c r="F4" s="7">
        <f>((CIR/12*(1+CIR/12)^360)/((1+CIR/12)^360-1)*((1+CAPR/12)^360-1)/(CAPR/12*(1+CAPR/12)^360))*CP</f>
        <v>199109.35092718288</v>
      </c>
      <c r="G4" s="2"/>
      <c r="H4" s="8" t="s">
        <v>11</v>
      </c>
      <c r="I4" s="139">
        <f>CIR-(1%-F9)/4</f>
        <v>4.1748311341021388E-2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4.0369999999999996E-2</v>
      </c>
      <c r="D5" s="5"/>
      <c r="E5" s="10" t="s">
        <v>8</v>
      </c>
      <c r="F5" s="11">
        <f>1-F4/CP</f>
        <v>4.4532453640856451E-3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4.4532453640855341E-3</v>
      </c>
      <c r="G6" s="2"/>
      <c r="H6" s="2" t="s">
        <v>23</v>
      </c>
      <c r="I6" s="13">
        <f>CIR-(0.01-(1-((CIR/12*(1+CIR/12)^360)/((1+CIR/12)^360-1)*((1+CAPR/12)^360-1)/(CAPR/12*(1+CAPR/12)^360)) + C7/CP))/4</f>
        <v>4.1748311341021388E-2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2508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1.2540000000000001E-2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1.6993245364085537E-2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77" t="s">
        <v>3</v>
      </c>
      <c r="C2" s="177"/>
      <c r="D2" s="20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1.5680157526859473E-3</v>
      </c>
      <c r="H4" s="8" t="s">
        <v>11</v>
      </c>
      <c r="I4" s="9">
        <f>C4-(1%-F7)/4</f>
        <v>3.936750393817149E-2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4.0129999999999999E-2</v>
      </c>
      <c r="D5" s="5"/>
      <c r="E5" s="6" t="s">
        <v>14</v>
      </c>
      <c r="F5" s="17">
        <f>F4</f>
        <v>1.5680157526859473E-3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5.9020000000000001E-3</v>
      </c>
      <c r="H6" s="2" t="s">
        <v>23</v>
      </c>
      <c r="I6" s="13">
        <f>C4-(0.01-(1-((C4/12*(1+C4/12)^360)/((1+C4/12)^360-1)*((1+C5/12)^360-1)/(C5/12*(1+C5/12)^360)) + C7/C6))/4</f>
        <v>3.936750393817149E-2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2951</v>
      </c>
      <c r="D7" s="12"/>
      <c r="E7" s="2" t="s">
        <v>10</v>
      </c>
      <c r="F7" s="16">
        <f>F5+F6</f>
        <v>7.4700157526859474E-3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77" t="s">
        <v>3</v>
      </c>
      <c r="C2" s="177"/>
      <c r="D2" s="20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7.2944426790033656E-4</v>
      </c>
      <c r="H4" s="8" t="s">
        <v>11</v>
      </c>
      <c r="I4" s="9">
        <f>C4-(1%-F7)/4</f>
        <v>3.7452361066975082E-2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3.8809999999999997E-2</v>
      </c>
      <c r="D5" s="5"/>
      <c r="E5" s="6" t="s">
        <v>14</v>
      </c>
      <c r="F5" s="17">
        <f>F4</f>
        <v>7.2944426790033656E-4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4.0800000000000003E-3</v>
      </c>
      <c r="H6" s="2" t="s">
        <v>23</v>
      </c>
      <c r="I6" s="13">
        <f>C4-(0.01-(1-((C4/12*(1+C4/12)^360)/((1+C4/12)^360-1)*((1+C5/12)^360-1)/(C5/12*(1+C5/12)^360)) + C7/C6))/4</f>
        <v>3.7452361066975082E-2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3060</v>
      </c>
      <c r="D7" s="12"/>
      <c r="E7" s="2" t="s">
        <v>10</v>
      </c>
      <c r="F7" s="16">
        <f>F5+F6</f>
        <v>4.8094442679003369E-3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77" t="s">
        <v>3</v>
      </c>
      <c r="C2" s="177"/>
      <c r="D2" s="21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35</v>
      </c>
      <c r="F4" s="13">
        <f>C9/C6</f>
        <v>1.7500000000000002E-2</v>
      </c>
      <c r="H4" s="8" t="s">
        <v>11</v>
      </c>
      <c r="I4" s="9">
        <f>C4-(1%-F7)/4</f>
        <v>3.9077500000000001E-2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4.7899999999999998E-2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1.6309999999999998E-2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6762</v>
      </c>
      <c r="D7" s="12"/>
      <c r="E7" s="2" t="s">
        <v>10</v>
      </c>
      <c r="F7" s="16">
        <f>F5+F6</f>
        <v>1.6309999999999998E-2</v>
      </c>
    </row>
    <row r="8" spans="2:9">
      <c r="B8" s="2" t="s">
        <v>7</v>
      </c>
      <c r="C8" s="34">
        <v>0</v>
      </c>
      <c r="D8" s="15"/>
    </row>
    <row r="9" spans="2:9">
      <c r="B9" s="91" t="s">
        <v>42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43</v>
      </c>
      <c r="F9" s="13">
        <f>C7/C6</f>
        <v>3.381E-2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2015-03-23T12:53:52Z</cp:lastPrinted>
  <dcterms:created xsi:type="dcterms:W3CDTF">2015-02-26T13:52:04Z</dcterms:created>
  <dcterms:modified xsi:type="dcterms:W3CDTF">2015-06-10T17:33:50Z</dcterms:modified>
</cp:coreProperties>
</file>