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 activeTab="3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WeekBusDate">TimeSeriesDataTable3[Column1]</definedName>
    <definedName name="PDFReportName">Report!$V$3</definedName>
    <definedName name="_xlnm.Print_Area" localSheetId="0">Report!$B$1:$S$36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Query'!$Q$6:$V$33</definedName>
    <definedName name="Query_from_Agency_5" localSheetId="1" hidden="1">'Time Series Query'!$X$6:$Z$8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44" r:id="rId15"/>
    <pivotCache cacheId="50" r:id="rId16"/>
    <pivotCache cacheId="56" r:id="rId17"/>
  </pivotCaches>
</workbook>
</file>

<file path=xl/calcChain.xml><?xml version="1.0" encoding="utf-8"?>
<calcChain xmlns="http://schemas.openxmlformats.org/spreadsheetml/2006/main">
  <c r="V3" i="6" l="1"/>
  <c r="F14" i="16" l="1" a="1"/>
  <c r="F14" i="16" s="1"/>
  <c r="F12" i="16" a="1"/>
  <c r="F12" i="16" s="1"/>
  <c r="F10" i="16" a="1"/>
  <c r="F10" i="16" s="1"/>
  <c r="F6" i="16" a="1"/>
  <c r="F6" i="16" s="1"/>
  <c r="F7" i="16" a="1"/>
  <c r="F7" i="16" s="1"/>
  <c r="F8" i="16" a="1"/>
  <c r="F8" i="16" s="1"/>
  <c r="F5" i="16" a="1"/>
  <c r="F5" i="16" s="1"/>
  <c r="E14" i="16" a="1"/>
  <c r="E14" i="16" s="1"/>
  <c r="E12" i="16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E6" i="16"/>
  <c r="E7" i="16"/>
  <c r="E8" i="16"/>
  <c r="E5" i="16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9" i="6" s="1"/>
  <c r="Z12" i="18"/>
  <c r="D28" i="6" s="1"/>
  <c r="E10" i="20" l="1"/>
  <c r="C7" i="15" a="1"/>
  <c r="C7" i="15" s="1"/>
  <c r="C6" i="15" a="1"/>
  <c r="C6" i="15" s="1"/>
  <c r="C5" i="15" a="1"/>
  <c r="C5" i="15" s="1"/>
  <c r="C4" i="15" a="1"/>
  <c r="C4" i="15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C8" i="4" l="1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Q22" i="6" l="1"/>
  <c r="N22" i="6"/>
  <c r="R22" i="6" l="1"/>
  <c r="E11" i="20"/>
  <c r="P22" i="6"/>
  <c r="O22" i="6" l="1"/>
  <c r="F9" i="15" l="1"/>
  <c r="F5" i="15"/>
  <c r="F4" i="15"/>
  <c r="F6" i="15" s="1"/>
  <c r="F7" i="15" l="1"/>
  <c r="I4" i="15" s="1"/>
  <c r="G20" i="6"/>
  <c r="D20" i="6"/>
  <c r="G18" i="6"/>
  <c r="D18" i="6"/>
  <c r="I6" i="12" l="1"/>
  <c r="I6" i="13"/>
  <c r="F6" i="13" l="1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E14" i="20" s="1"/>
  <c r="L20" i="6"/>
  <c r="I4" i="13"/>
  <c r="M18" i="6" s="1"/>
  <c r="E12" i="20" s="1"/>
  <c r="L18" i="6"/>
  <c r="Q18" i="6" l="1"/>
  <c r="O18" i="6"/>
  <c r="O20" i="6"/>
  <c r="Q20" i="6"/>
  <c r="N18" i="6"/>
  <c r="E13" i="20" s="1"/>
  <c r="N20" i="6"/>
  <c r="E15" i="20" s="1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K16" i="6" l="1"/>
  <c r="F9" i="2"/>
  <c r="I4" i="2" s="1"/>
  <c r="M15" i="6" s="1"/>
  <c r="E8" i="20" s="1"/>
  <c r="J15" i="6"/>
  <c r="J16" i="6" s="1"/>
  <c r="D16" i="6"/>
  <c r="F7" i="3"/>
  <c r="L12" i="6" s="1"/>
  <c r="F7" i="5"/>
  <c r="I4" i="5" s="1"/>
  <c r="F7" i="4"/>
  <c r="O15" i="6" l="1"/>
  <c r="Q15" i="6"/>
  <c r="L15" i="6"/>
  <c r="N15" i="6"/>
  <c r="E9" i="20" s="1"/>
  <c r="I4" i="4"/>
  <c r="M13" i="6" s="1"/>
  <c r="E4" i="20" s="1"/>
  <c r="L13" i="6"/>
  <c r="I4" i="3"/>
  <c r="M12" i="6" s="1"/>
  <c r="E2" i="20" s="1"/>
  <c r="M14" i="6"/>
  <c r="E6" i="20" s="1"/>
  <c r="L14" i="6"/>
  <c r="L16" i="6" l="1"/>
  <c r="O14" i="6"/>
  <c r="Q14" i="6"/>
  <c r="O12" i="6"/>
  <c r="Q12" i="6"/>
  <c r="Q13" i="6"/>
  <c r="O13" i="6"/>
  <c r="R15" i="6"/>
  <c r="P15" i="6"/>
  <c r="N13" i="6"/>
  <c r="E5" i="20" s="1"/>
  <c r="N12" i="6"/>
  <c r="E3" i="20" s="1"/>
  <c r="N14" i="6"/>
  <c r="E7" i="20" s="1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09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6' order by TickerName,Source,SeriesType,AsOfDate"/>
  </connection>
  <connection id="3" name="1WeekBusDateQuery" type="1" refreshedVersion="4" savePassword="1" saveData="1">
    <dbPr connection="DSN=Cello SQL Server;UID=report;PWD=gm4SJDw4;APP=Microsoft Office 2010;WSID=CELLO-PC4;DATABASE=Cello" command="select dbo.GetNthBusinessDate('2015-03-09',-5)"/>
  </connection>
  <connection id="4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2' order by TickerName,Source,SeriesType,AsOfDate"/>
  </connection>
  <connection id="5" name="CurrentCouponQuery" type="1" refreshedVersion="4" savePassword="1" saveData="1">
    <dbPr connection="DSN=Cello SQL Server Dev;Description=Cello SQL Server Dev;UID=dev;PWD=ufmg71dkiw;APP=Microsoft Office 2010;WSID=CELLO-PC4;DATABASE=Cello0217" command="select d.AsOfDate, m.TickerName, d.SeriesNumValue_x000d__x000a_ from TimeSeriesMeta as m,TimeSeries as d_x000d__x000a_               where m.TimeSeriesMetaId = d.TimeSeriesMetaId_x000d__x000a_               and d.AsOfDate = '20150309'_x000d__x000a__x0009__x0009__x0009__x0009_and m.source = 'CELLO' _x000d__x000a__x0009__x0009__x0009__x0009_--and *m.TickerName like'GN_CMM_30%'_x000d__x000a__x0009__x0009__x0009__x0009_and m.category = 'MTG' _x000d__x000a__x0009__x0009__x0009__x0009_order by d.AsOfDate"/>
  </connection>
  <connection id="6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9' order by TickerName,Source,SeriesType,AsOfDate"/>
  </connection>
</connections>
</file>

<file path=xl/sharedStrings.xml><?xml version="1.0" encoding="utf-8"?>
<sst xmlns="http://schemas.openxmlformats.org/spreadsheetml/2006/main" count="1017" uniqueCount="87">
  <si>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</si>
  <si>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</si>
  <si>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</si>
  <si>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</si>
  <si>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</si>
  <si>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</si>
  <si>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</si>
  <si>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</si>
  <si>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</si>
  <si>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</si>
  <si>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</si>
  <si>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</si>
  <si>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</si>
  <si>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</si>
  <si>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</si>
  <si>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</si>
  <si>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</si>
  <si>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</si>
  <si>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</si>
  <si>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</si>
  <si>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</si>
  <si>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</si>
  <si>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</si>
  <si>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</si>
  <si>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</si>
  <si>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</si>
  <si>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</si>
  <si>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</si>
  <si>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</si>
  <si>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</si>
  <si>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</si>
  <si>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</si>
  <si>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</si>
  <si>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</si>
  <si>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</si>
  <si>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</si>
  <si>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</si>
  <si>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</si>
  <si>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</si>
  <si>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</si>
  <si>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</si>
  <si>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</si>
  <si>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</si>
  <si>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</si>
  <si>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</si>
  <si>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</si>
  <si>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</si>
  <si>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</si>
  <si>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</si>
  <si>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</si>
  <si>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</si>
  <si>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</si>
  <si>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</si>
  <si>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</si>
  <si>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</si>
  <si>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</si>
  <si>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</si>
  <si>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</si>
  <si>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</si>
  <si>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</si>
  <si>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</si>
  <si>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</si>
  <si>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</si>
  <si>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</si>
  <si>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</si>
  <si>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</si>
  <si>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</si>
  <si>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</si>
  <si>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</si>
  <si>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</si>
  <si>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</si>
  <si>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</si>
  <si>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</si>
  <si>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</si>
  <si>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</si>
  <si>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</si>
  <si>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</si>
  <si>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</si>
  <si>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</si>
  <si>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</si>
  <si>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</si>
  <si>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</si>
  <si>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</si>
  <si>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Yes</t>
  </si>
  <si>
    <t>2015-03-06</t>
  </si>
  <si>
    <t>2015-03-02</t>
  </si>
  <si>
    <t>2015-03-09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</si>
</sst>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</numFmts>
  <fonts count="13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8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67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0" fontId="14" fillId="12" borderId="50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14" fillId="12" borderId="51" xfId="0" applyFont="1" applyFill="1" applyBorder="1" applyAlignment="1">
      <alignment horizontal="center" wrapText="1"/>
    </xf>
    <xf numFmtId="165" fontId="5" fillId="0" borderId="39" xfId="1" applyNumberFormat="1" applyFont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</cellXfs>
  <cellStyles count="528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35"/>
      <tableStyleElement type="headerRow" dxfId="34"/>
      <tableStyleElement type="firstColumn" dxfId="33"/>
      <tableStyleElement type="firstSubtotalRow" dxfId="32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73.375887268521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5">
        <s v="2015-03-06"/>
        <s v="2015-03-04" u="1"/>
        <s v="2015-03-05" u="1"/>
        <s v="2015-03-02" u="1"/>
        <s v="2015-03-03" u="1"/>
      </sharedItems>
    </cacheField>
    <cacheField name="SeriesNumValue" numFmtId="0">
      <sharedItems containsSemiMixedTypes="0" containsString="0" containsNumber="1" minValue="0.62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73.37588738426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7">
        <s v="2015-03-09"/>
        <m u="1"/>
        <s v="2015-03-04" u="1"/>
        <s v="2015-03-05" u="1"/>
        <s v="2015-03-06" u="1"/>
        <s v="2015-03-02" u="1"/>
        <s v="2015-03-03" u="1"/>
      </sharedItems>
    </cacheField>
    <cacheField name="SeriesNumValue" numFmtId="0">
      <sharedItems containsSemiMixedTypes="0" containsString="0" containsNumber="1" minValue="0.95399999999999996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73.37588738426" createdVersion="5" refreshedVersion="4" minRefreshableVersion="3" recordCount="2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7">
        <s v="APR"/>
        <s v="Points"/>
        <s v="Rate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3">
        <s v="2015-03-02"/>
        <m u="1"/>
        <s v="2015-03-03" u="1"/>
      </sharedItems>
    </cacheField>
    <cacheField name="SeriesNumValue" numFmtId="0">
      <sharedItems containsSemiMixedTypes="0" containsString="0" containsNumber="1" minValue="0.875" maxValue="2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664099742286595"/>
  </r>
  <r>
    <x v="0"/>
    <x v="0"/>
    <x v="1"/>
    <s v="MTG"/>
    <x v="0"/>
    <n v="4.2080000000000002"/>
  </r>
  <r>
    <x v="0"/>
    <x v="0"/>
    <x v="2"/>
    <s v="MTG"/>
    <x v="0"/>
    <n v="1.163"/>
  </r>
  <r>
    <x v="0"/>
    <x v="0"/>
    <x v="3"/>
    <s v="MTG"/>
    <x v="0"/>
    <n v="4"/>
  </r>
  <r>
    <x v="0"/>
    <x v="0"/>
    <x v="4"/>
    <s v="MTG"/>
    <x v="0"/>
    <n v="1.4360929633267601"/>
  </r>
  <r>
    <x v="0"/>
    <x v="1"/>
    <x v="0"/>
    <s v="MTG"/>
    <x v="0"/>
    <n v="4.0301218665618999"/>
  </r>
  <r>
    <x v="0"/>
    <x v="1"/>
    <x v="1"/>
    <s v="MTG"/>
    <x v="0"/>
    <n v="4.1769999999999996"/>
  </r>
  <r>
    <x v="0"/>
    <x v="1"/>
    <x v="2"/>
    <s v="MTG"/>
    <x v="0"/>
    <n v="0.625"/>
  </r>
  <r>
    <x v="0"/>
    <x v="1"/>
    <x v="3"/>
    <s v="MTG"/>
    <x v="0"/>
    <n v="4.125"/>
  </r>
  <r>
    <x v="0"/>
    <x v="1"/>
    <x v="4"/>
    <s v="MTG"/>
    <x v="0"/>
    <n v="1.09980485566"/>
  </r>
  <r>
    <x v="0"/>
    <x v="2"/>
    <x v="0"/>
    <s v="MTG"/>
    <x v="0"/>
    <n v="4.356765969784167"/>
  </r>
  <r>
    <x v="0"/>
    <x v="2"/>
    <x v="1"/>
    <s v="MTG"/>
    <x v="0"/>
    <n v="4.1980000000000004"/>
  </r>
  <r>
    <x v="0"/>
    <x v="2"/>
    <x v="2"/>
    <s v="MTG"/>
    <x v="0"/>
    <n v="1.625"/>
  </r>
  <r>
    <x v="0"/>
    <x v="2"/>
    <x v="3"/>
    <s v="MTG"/>
    <x v="0"/>
    <n v="3.99"/>
  </r>
  <r>
    <x v="0"/>
    <x v="2"/>
    <x v="4"/>
    <s v="MTG"/>
    <x v="0"/>
    <n v="1.4264489588822669"/>
  </r>
  <r>
    <x v="0"/>
    <x v="3"/>
    <x v="0"/>
    <s v="MTG"/>
    <x v="0"/>
    <n v="4.3642403763055508"/>
  </r>
  <r>
    <x v="0"/>
    <x v="3"/>
    <x v="1"/>
    <s v="MTG"/>
    <x v="0"/>
    <n v="4.173"/>
  </r>
  <r>
    <x v="0"/>
    <x v="3"/>
    <x v="5"/>
    <s v="MTG"/>
    <x v="0"/>
    <n v="276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4339233654036512"/>
  </r>
  <r>
    <x v="1"/>
    <x v="2"/>
    <x v="1"/>
    <s v="MTG"/>
    <x v="0"/>
    <n v="4.4000000000000004"/>
  </r>
  <r>
    <x v="1"/>
    <x v="2"/>
    <x v="2"/>
    <s v="MTG"/>
    <x v="0"/>
    <n v="2.25"/>
  </r>
  <r>
    <x v="1"/>
    <x v="2"/>
    <x v="3"/>
    <s v="MTG"/>
    <x v="0"/>
    <n v="3.5"/>
  </r>
  <r>
    <x v="1"/>
    <x v="3"/>
    <x v="0"/>
    <s v="MTG"/>
    <x v="0"/>
    <n v="3.9717500000000001"/>
  </r>
  <r>
    <x v="1"/>
    <x v="3"/>
    <x v="1"/>
    <s v="MTG"/>
    <x v="0"/>
    <n v="5.0090000000000003"/>
  </r>
  <r>
    <x v="1"/>
    <x v="3"/>
    <x v="5"/>
    <s v="MTG"/>
    <x v="0"/>
    <n v="6041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4"/>
  </r>
  <r>
    <x v="1"/>
    <x v="3"/>
    <x v="4"/>
    <s v="MTG"/>
    <x v="0"/>
    <n v="1.1865322640026403"/>
  </r>
  <r>
    <x v="1"/>
    <x v="3"/>
    <x v="7"/>
    <s v="MTG"/>
    <x v="0"/>
    <n v="3500"/>
  </r>
  <r>
    <x v="2"/>
    <x v="3"/>
    <x v="0"/>
    <s v="MTG"/>
    <x v="0"/>
    <n v="4.145604497342033"/>
  </r>
  <r>
    <x v="2"/>
    <x v="3"/>
    <x v="1"/>
    <s v="MTG"/>
    <x v="0"/>
    <n v="4.2590000000000003"/>
  </r>
  <r>
    <x v="2"/>
    <x v="3"/>
    <x v="5"/>
    <s v="MTG"/>
    <x v="0"/>
    <n v="2377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25"/>
  </r>
  <r>
    <x v="2"/>
    <x v="3"/>
    <x v="4"/>
    <s v="MTG"/>
    <x v="0"/>
    <n v="1.2152874864401328"/>
  </r>
  <r>
    <x v="3"/>
    <x v="3"/>
    <x v="0"/>
    <s v="MTG"/>
    <x v="0"/>
    <n v="3.9975388163708763"/>
  </r>
  <r>
    <x v="3"/>
    <x v="3"/>
    <x v="1"/>
    <s v="MTG"/>
    <x v="0"/>
    <n v="4.1310000000000002"/>
  </r>
  <r>
    <x v="3"/>
    <x v="3"/>
    <x v="5"/>
    <s v="MTG"/>
    <x v="0"/>
    <n v="3137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6722180546897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13965889771076"/>
  </r>
  <r>
    <x v="0"/>
    <x v="0"/>
    <x v="1"/>
    <s v="MTG"/>
    <x v="0"/>
    <n v="4.1900000000000004"/>
  </r>
  <r>
    <x v="0"/>
    <x v="0"/>
    <x v="2"/>
    <s v="MTG"/>
    <x v="0"/>
    <n v="0.95399999999999996"/>
  </r>
  <r>
    <x v="0"/>
    <x v="0"/>
    <x v="3"/>
    <s v="MTG"/>
    <x v="0"/>
    <n v="4"/>
  </r>
  <r>
    <x v="0"/>
    <x v="0"/>
    <x v="4"/>
    <s v="MTG"/>
    <x v="0"/>
    <n v="1.3836488788691759"/>
  </r>
  <r>
    <x v="1"/>
    <x v="0"/>
    <x v="0"/>
    <s v="MTG"/>
    <x v="0"/>
    <n v="3.9987193359155064"/>
  </r>
  <r>
    <x v="1"/>
    <x v="0"/>
    <x v="1"/>
    <s v="MTG"/>
    <x v="0"/>
    <n v="4.0830000000000002"/>
  </r>
  <r>
    <x v="1"/>
    <x v="0"/>
    <x v="2"/>
    <s v="MTG"/>
    <x v="0"/>
    <n v="1"/>
  </r>
  <r>
    <x v="1"/>
    <x v="0"/>
    <x v="3"/>
    <s v="MTG"/>
    <x v="0"/>
    <n v="4"/>
  </r>
  <r>
    <x v="1"/>
    <x v="0"/>
    <x v="4"/>
    <s v="MTG"/>
    <x v="0"/>
    <n v="1.0684023250136065"/>
  </r>
  <r>
    <x v="2"/>
    <x v="0"/>
    <x v="0"/>
    <s v="MTG"/>
    <x v="0"/>
    <n v="4.3975094107446839"/>
  </r>
  <r>
    <x v="2"/>
    <x v="0"/>
    <x v="1"/>
    <s v="MTG"/>
    <x v="0"/>
    <n v="4.1349999999999998"/>
  </r>
  <r>
    <x v="2"/>
    <x v="0"/>
    <x v="2"/>
    <s v="MTG"/>
    <x v="0"/>
    <n v="2.25"/>
  </r>
  <r>
    <x v="2"/>
    <x v="0"/>
    <x v="3"/>
    <s v="MTG"/>
    <x v="0"/>
    <n v="3.875"/>
  </r>
  <r>
    <x v="2"/>
    <x v="0"/>
    <x v="4"/>
    <s v="MTG"/>
    <x v="0"/>
    <n v="1.4671923998427845"/>
  </r>
  <r>
    <x v="3"/>
    <x v="0"/>
    <x v="0"/>
    <s v="MTG"/>
    <x v="0"/>
    <n v="4.3002725972031506"/>
  </r>
  <r>
    <x v="3"/>
    <x v="0"/>
    <x v="1"/>
    <s v="MTG"/>
    <x v="0"/>
    <n v="4.1619999999999999"/>
  </r>
  <r>
    <x v="3"/>
    <x v="0"/>
    <x v="5"/>
    <s v="MTG"/>
    <x v="0"/>
    <n v="251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125"/>
  </r>
  <r>
    <x v="3"/>
    <x v="0"/>
    <x v="4"/>
    <s v="MTG"/>
    <x v="0"/>
    <n v="1.3699555863012505"/>
  </r>
  <r>
    <x v="2"/>
    <x v="1"/>
    <x v="1"/>
    <s v="MTG"/>
    <x v="0"/>
    <n v="4.3879999999999999"/>
  </r>
  <r>
    <x v="2"/>
    <x v="1"/>
    <x v="2"/>
    <s v="MTG"/>
    <x v="0"/>
    <n v="2.125"/>
  </r>
  <r>
    <x v="2"/>
    <x v="1"/>
    <x v="3"/>
    <s v="MTG"/>
    <x v="0"/>
    <n v="3.5"/>
  </r>
  <r>
    <x v="3"/>
    <x v="1"/>
    <x v="0"/>
    <s v="MTG"/>
    <x v="0"/>
    <n v="3.9717500000000001"/>
  </r>
  <r>
    <x v="3"/>
    <x v="1"/>
    <x v="1"/>
    <s v="MTG"/>
    <x v="0"/>
    <n v="4.9169999999999998"/>
  </r>
  <r>
    <x v="3"/>
    <x v="1"/>
    <x v="5"/>
    <s v="MTG"/>
    <x v="0"/>
    <n v="6783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3.875"/>
  </r>
  <r>
    <x v="3"/>
    <x v="1"/>
    <x v="4"/>
    <s v="MTG"/>
    <x v="0"/>
    <n v="1.1865322640026403"/>
  </r>
  <r>
    <x v="3"/>
    <x v="1"/>
    <x v="7"/>
    <s v="MTG"/>
    <x v="0"/>
    <n v="3500"/>
  </r>
  <r>
    <x v="3"/>
    <x v="2"/>
    <x v="0"/>
    <s v="MTG"/>
    <x v="0"/>
    <n v="4.0563500000000001"/>
  </r>
  <r>
    <x v="3"/>
    <x v="2"/>
    <x v="1"/>
    <s v="MTG"/>
    <x v="0"/>
    <n v="4.25"/>
  </r>
  <r>
    <x v="3"/>
    <x v="2"/>
    <x v="5"/>
    <s v="MTG"/>
    <x v="0"/>
    <n v="1127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25"/>
  </r>
  <r>
    <x v="3"/>
    <x v="2"/>
    <x v="4"/>
    <s v="MTG"/>
    <x v="0"/>
    <n v="1.1260329890981005"/>
  </r>
  <r>
    <x v="3"/>
    <x v="3"/>
    <x v="0"/>
    <s v="MTG"/>
    <x v="0"/>
    <n v="3.9543261870321942"/>
  </r>
  <r>
    <x v="3"/>
    <x v="3"/>
    <x v="1"/>
    <s v="MTG"/>
    <x v="0"/>
    <n v="4.1269999999999998"/>
  </r>
  <r>
    <x v="3"/>
    <x v="3"/>
    <x v="5"/>
    <s v="MTG"/>
    <x v="0"/>
    <n v="2200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24009176130294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">
  <r>
    <x v="0"/>
    <x v="0"/>
    <x v="0"/>
    <s v="MTG"/>
    <x v="0"/>
    <n v="4.0629999999999997"/>
  </r>
  <r>
    <x v="0"/>
    <x v="0"/>
    <x v="1"/>
    <s v="MTG"/>
    <x v="0"/>
    <n v="0.95799999999999996"/>
  </r>
  <r>
    <x v="0"/>
    <x v="0"/>
    <x v="2"/>
    <s v="MTG"/>
    <x v="0"/>
    <n v="3.875"/>
  </r>
  <r>
    <x v="0"/>
    <x v="1"/>
    <x v="0"/>
    <s v="MTG"/>
    <x v="0"/>
    <n v="4.1980000000000004"/>
  </r>
  <r>
    <x v="0"/>
    <x v="1"/>
    <x v="1"/>
    <s v="MTG"/>
    <x v="0"/>
    <n v="0.875"/>
  </r>
  <r>
    <x v="0"/>
    <x v="1"/>
    <x v="2"/>
    <s v="MTG"/>
    <x v="0"/>
    <n v="4.1980000000000004"/>
  </r>
  <r>
    <x v="0"/>
    <x v="2"/>
    <x v="0"/>
    <s v="MTG"/>
    <x v="0"/>
    <n v="3.9980000000000002"/>
  </r>
  <r>
    <x v="0"/>
    <x v="2"/>
    <x v="1"/>
    <s v="MTG"/>
    <x v="0"/>
    <n v="2.125"/>
  </r>
  <r>
    <x v="0"/>
    <x v="2"/>
    <x v="2"/>
    <s v="MTG"/>
    <x v="0"/>
    <n v="3.75"/>
  </r>
  <r>
    <x v="0"/>
    <x v="3"/>
    <x v="0"/>
    <s v="MTG"/>
    <x v="0"/>
    <n v="4.0469999999999997"/>
  </r>
  <r>
    <x v="0"/>
    <x v="3"/>
    <x v="1"/>
    <s v="MTG"/>
    <x v="0"/>
    <n v="1"/>
  </r>
  <r>
    <x v="0"/>
    <x v="3"/>
    <x v="2"/>
    <s v="MTG"/>
    <x v="0"/>
    <n v="4"/>
  </r>
  <r>
    <x v="1"/>
    <x v="2"/>
    <x v="0"/>
    <s v="MTG"/>
    <x v="0"/>
    <n v="4.2699999999999996"/>
  </r>
  <r>
    <x v="1"/>
    <x v="2"/>
    <x v="1"/>
    <s v="MTG"/>
    <x v="0"/>
    <n v="2.25"/>
  </r>
  <r>
    <x v="1"/>
    <x v="2"/>
    <x v="2"/>
    <s v="MTG"/>
    <x v="0"/>
    <n v="3.375"/>
  </r>
  <r>
    <x v="1"/>
    <x v="3"/>
    <x v="0"/>
    <s v="MTG"/>
    <x v="0"/>
    <n v="4.79"/>
  </r>
  <r>
    <x v="1"/>
    <x v="3"/>
    <x v="3"/>
    <s v="MTG"/>
    <x v="0"/>
    <n v="6762"/>
  </r>
  <r>
    <x v="1"/>
    <x v="3"/>
    <x v="4"/>
    <s v="MTG"/>
    <x v="0"/>
    <n v="200000"/>
  </r>
  <r>
    <x v="1"/>
    <x v="3"/>
    <x v="1"/>
    <s v="MTG"/>
    <x v="0"/>
    <n v="1"/>
  </r>
  <r>
    <x v="1"/>
    <x v="3"/>
    <x v="2"/>
    <s v="MTG"/>
    <x v="0"/>
    <n v="3.75"/>
  </r>
  <r>
    <x v="1"/>
    <x v="3"/>
    <x v="5"/>
    <s v="MTG"/>
    <x v="0"/>
    <n v="3500"/>
  </r>
  <r>
    <x v="2"/>
    <x v="3"/>
    <x v="0"/>
    <s v="MTG"/>
    <x v="0"/>
    <n v="4.1280000000000001"/>
  </r>
  <r>
    <x v="2"/>
    <x v="3"/>
    <x v="1"/>
    <s v="MTG"/>
    <x v="0"/>
    <n v="1"/>
  </r>
  <r>
    <x v="2"/>
    <x v="3"/>
    <x v="2"/>
    <s v="MTG"/>
    <x v="0"/>
    <n v="4.125"/>
  </r>
  <r>
    <x v="3"/>
    <x v="3"/>
    <x v="0"/>
    <s v="MTG"/>
    <x v="0"/>
    <n v="4.0149999999999997"/>
  </r>
  <r>
    <x v="3"/>
    <x v="3"/>
    <x v="1"/>
    <s v="MTG"/>
    <x v="0"/>
    <n v="1"/>
  </r>
  <r>
    <x v="3"/>
    <x v="3"/>
    <x v="2"/>
    <s v="MTG"/>
    <x v="0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4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5">
        <item m="1" x="4"/>
        <item m="1" x="3"/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4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21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atesSummaryTable" cacheId="50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7">
        <item m="1" x="5"/>
        <item m="1" x="6"/>
        <item m="1" x="2"/>
        <item m="1" x="1"/>
        <item m="1" x="3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6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22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56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I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8">
        <item x="2"/>
        <item x="1"/>
        <item x="0"/>
        <item x="3"/>
        <item x="4"/>
        <item x="5"/>
        <item m="1" x="6"/>
        <item t="default"/>
      </items>
    </pivotField>
    <pivotField compact="0" outline="0" showAll="0"/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2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SeriesNumValue" fld="5" baseField="0" baseItem="0"/>
  </dataFields>
  <formats count="1">
    <format dxfId="23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6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31" dataDxfId="30">
  <tableColumns count="6">
    <tableColumn id="3" uniqueName="3" name="Source" queryTableFieldId="44" dataDxfId="17" dataCellStyle="Normal 2 7"/>
    <tableColumn id="4" uniqueName="4" name="TickerName" queryTableFieldId="45" dataDxfId="16" dataCellStyle="Normal 2 7"/>
    <tableColumn id="5" uniqueName="5" name="SeriesType" queryTableFieldId="46" dataDxfId="15" dataCellStyle="Normal 2 7"/>
    <tableColumn id="6" uniqueName="6" name="Category" queryTableFieldId="47" dataDxfId="14" dataCellStyle="Normal 2 7"/>
    <tableColumn id="10" uniqueName="10" name="AsOfDate" queryTableFieldId="51" dataDxfId="13" dataCellStyle="Normal 2 7"/>
    <tableColumn id="11" uniqueName="11" name="SeriesNumValue" queryTableFieldId="52" dataDxfId="12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29" dataDxfId="28">
  <tableColumns count="6">
    <tableColumn id="2" uniqueName="2" name="TickerName" queryTableFieldId="57" dataDxfId="11"/>
    <tableColumn id="3" uniqueName="3" name="Source" queryTableFieldId="58" dataDxfId="10"/>
    <tableColumn id="4" uniqueName="4" name="SeriesType" queryTableFieldId="59" dataDxfId="9"/>
    <tableColumn id="5" uniqueName="5" name="Category" queryTableFieldId="60" dataDxfId="8"/>
    <tableColumn id="6" uniqueName="6" name="AsOfDate" queryTableFieldId="61" dataDxfId="7"/>
    <tableColumn id="7" uniqueName="7" name="SeriesNumValue" queryTableFieldId="62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33" tableType="queryTable" totalsRowShown="0" headerRowDxfId="27" dataDxfId="26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25" dataDxfId="24">
  <tableColumns count="3">
    <tableColumn id="2" uniqueName="2" name="TickerName" queryTableFieldId="57" dataDxfId="20" dataCellStyle="Normal 2 7"/>
    <tableColumn id="6" uniqueName="6" name="AsOfDate" queryTableFieldId="61" dataDxfId="19" dataCellStyle="Normal 2 7"/>
    <tableColumn id="7" uniqueName="7" name="SeriesNumValue" queryTableFieldId="62" dataDxfId="18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29"/>
  <sheetViews>
    <sheetView topLeftCell="E1" zoomScaleNormal="100" workbookViewId="0">
      <selection activeCell="V10" sqref="V10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82</v>
      </c>
      <c r="W1" t="s">
        <v>81</v>
      </c>
      <c r="X1" s="87" t="s">
        <v>83</v>
      </c>
    </row>
    <row r="2" spans="3:24">
      <c r="U2" s="86" t="s">
        <v>60</v>
      </c>
      <c r="V2" s="88">
        <v>42072</v>
      </c>
    </row>
    <row r="3" spans="3:24" s="1" customFormat="1">
      <c r="U3" s="86" t="s">
        <v>71</v>
      </c>
      <c r="V3" s="87" t="str">
        <f>"S:\Users\Lien\Daily Report\Daily Originator Mortgage Rate Report\Daily Originator Mortgage Rate Report " &amp; TEXT(CurrentCloseDate, "yyyy-mm-dd") &amp; ".pdf"</f>
        <v>S:\Users\Lien\Daily Report\Daily Originator Mortgage Rate Report\Daily Originator Mortgage Rate Report 2015-03-09.pdf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10" spans="3:24">
      <c r="C10" s="89" t="s">
        <v>61</v>
      </c>
    </row>
    <row r="11" spans="3:24" s="43" customFormat="1" ht="18" customHeight="1">
      <c r="C11" s="95" t="s">
        <v>16</v>
      </c>
      <c r="D11" s="158" t="s">
        <v>31</v>
      </c>
      <c r="E11" s="159"/>
      <c r="F11" s="159"/>
      <c r="G11" s="159" t="s">
        <v>0</v>
      </c>
      <c r="H11" s="159"/>
      <c r="I11" s="162"/>
      <c r="J11" s="80" t="s">
        <v>30</v>
      </c>
      <c r="K11" s="80" t="s">
        <v>9</v>
      </c>
      <c r="L11" s="80" t="s">
        <v>10</v>
      </c>
      <c r="M11" s="81" t="s">
        <v>21</v>
      </c>
      <c r="N11" s="82" t="s">
        <v>29</v>
      </c>
      <c r="O11" s="81" t="s">
        <v>46</v>
      </c>
      <c r="P11" s="80" t="s">
        <v>74</v>
      </c>
      <c r="Q11" s="80" t="s">
        <v>72</v>
      </c>
      <c r="R11" s="82" t="s">
        <v>73</v>
      </c>
    </row>
    <row r="12" spans="3:24" s="99" customFormat="1" ht="18" customHeight="1">
      <c r="C12" s="98" t="s">
        <v>17</v>
      </c>
      <c r="D12" s="160">
        <f>'BoA - Conventional'!C4</f>
        <v>0.04</v>
      </c>
      <c r="E12" s="161"/>
      <c r="F12" s="161"/>
      <c r="G12" s="161">
        <f>'BoA - Conventional'!C5</f>
        <v>4.1900000000000007E-2</v>
      </c>
      <c r="H12" s="161"/>
      <c r="I12" s="163"/>
      <c r="J12" s="37">
        <f>'BoA - Conventional'!F5</f>
        <v>9.5399999999999999E-3</v>
      </c>
      <c r="K12" s="37">
        <f>'BoA - Conventional'!F6</f>
        <v>1.3018635590843035E-2</v>
      </c>
      <c r="L12" s="37">
        <f>'BoA - Conventional'!F7</f>
        <v>2.2558635590843035E-2</v>
      </c>
      <c r="M12" s="47">
        <f>'BoA - Conventional'!I4</f>
        <v>4.3139658897710757E-2</v>
      </c>
      <c r="N12" s="48">
        <f>M12-D$28</f>
        <v>1.4117383662411456E-2</v>
      </c>
      <c r="O12" s="50">
        <f>(M12-'Historic Result'!C5)*100*100</f>
        <v>-5.2444084457584079</v>
      </c>
      <c r="P12" s="36">
        <f>(N12-'Historic Result'!D5)*100*100</f>
        <v>-2.4354597085614502</v>
      </c>
      <c r="Q12" s="36" t="e">
        <f>(M12-'Historic Result'!E5)*100*100</f>
        <v>#N/A</v>
      </c>
      <c r="R12" s="44" t="e">
        <f>(N12-'Historic Result'!F5)*100*100</f>
        <v>#N/A</v>
      </c>
    </row>
    <row r="13" spans="3:24" s="99" customFormat="1" ht="18" customHeight="1">
      <c r="C13" s="98" t="s">
        <v>18</v>
      </c>
      <c r="D13" s="160">
        <f>'Chase - Conventional'!C4</f>
        <v>0.04</v>
      </c>
      <c r="E13" s="161"/>
      <c r="F13" s="161"/>
      <c r="G13" s="161">
        <f>'Chase - Conventional'!C5</f>
        <v>4.0830000000000005E-2</v>
      </c>
      <c r="H13" s="161"/>
      <c r="I13" s="163"/>
      <c r="J13" s="37" t="s">
        <v>2</v>
      </c>
      <c r="K13" s="37" t="s">
        <v>2</v>
      </c>
      <c r="L13" s="37">
        <f>'Chase - Conventional'!F7</f>
        <v>9.9487734366202618E-3</v>
      </c>
      <c r="M13" s="47">
        <f>'Chase - Conventional'!I4</f>
        <v>3.9987193359155064E-2</v>
      </c>
      <c r="N13" s="48">
        <f>M13-D$28</f>
        <v>1.0964918123855763E-2</v>
      </c>
      <c r="O13" s="50">
        <f>(M13-'Historic Result'!C6)*100*100</f>
        <v>-3.1402530646393312</v>
      </c>
      <c r="P13" s="36">
        <f>(N13-'Historic Result'!D6)*100*100</f>
        <v>-0.33130432744237281</v>
      </c>
      <c r="Q13" s="36" t="e">
        <f>(M13-'Historic Result'!E6)*100*100</f>
        <v>#N/A</v>
      </c>
      <c r="R13" s="44" t="e">
        <f>(N13-'Historic Result'!F6)*100*100</f>
        <v>#N/A</v>
      </c>
    </row>
    <row r="14" spans="3:24" s="99" customFormat="1" ht="18" customHeight="1">
      <c r="C14" s="98" t="s">
        <v>19</v>
      </c>
      <c r="D14" s="160">
        <f>'Quicken - Conventional'!C4</f>
        <v>3.875E-2</v>
      </c>
      <c r="E14" s="161"/>
      <c r="F14" s="161"/>
      <c r="G14" s="161">
        <f>'Quicken - Conventional'!C5</f>
        <v>4.1349999999999998E-2</v>
      </c>
      <c r="H14" s="161"/>
      <c r="I14" s="163"/>
      <c r="J14" s="37">
        <f>'Quicken - Conventional'!F5</f>
        <v>2.2499999999999999E-2</v>
      </c>
      <c r="K14" s="37">
        <f>'Quicken - Conventional'!F6</f>
        <v>8.4003764297873804E-3</v>
      </c>
      <c r="L14" s="37">
        <f>'Quicken - Conventional'!F7</f>
        <v>3.090037642978738E-2</v>
      </c>
      <c r="M14" s="47">
        <f>'Quicken - Conventional'!I4</f>
        <v>4.3975094107446842E-2</v>
      </c>
      <c r="N14" s="48">
        <f>M14-D$28</f>
        <v>1.4952818872147541E-2</v>
      </c>
      <c r="O14" s="50">
        <f>(M14-'Historic Result'!C7)*100*100</f>
        <v>4.0743440960517434</v>
      </c>
      <c r="P14" s="36">
        <f>(N14-'Historic Result'!D7)*100*100</f>
        <v>6.8832928332487189</v>
      </c>
      <c r="Q14" s="36" t="e">
        <f>(M14-'Historic Result'!E7)*100*100</f>
        <v>#N/A</v>
      </c>
      <c r="R14" s="44" t="e">
        <f>(N14-'Historic Result'!F7)*100*100</f>
        <v>#N/A</v>
      </c>
    </row>
    <row r="15" spans="3:24" s="99" customFormat="1" ht="18" customHeight="1">
      <c r="C15" s="98" t="s">
        <v>20</v>
      </c>
      <c r="D15" s="160">
        <f>CIR</f>
        <v>4.1250000000000002E-2</v>
      </c>
      <c r="E15" s="161"/>
      <c r="F15" s="161"/>
      <c r="G15" s="161">
        <f>CAPR</f>
        <v>4.1619999999999997E-2</v>
      </c>
      <c r="H15" s="161"/>
      <c r="I15" s="163"/>
      <c r="J15" s="37">
        <f>'Wells - Conventional'!F6</f>
        <v>4.4209038881259932E-3</v>
      </c>
      <c r="K15" s="37">
        <f>'Wells - Conventional'!F8</f>
        <v>1.259E-2</v>
      </c>
      <c r="L15" s="37">
        <f>'Wells - Conventional'!F9</f>
        <v>1.7010903888125994E-2</v>
      </c>
      <c r="M15" s="47">
        <f>'Wells - Conventional'!I4</f>
        <v>4.3002725972031502E-2</v>
      </c>
      <c r="N15" s="48">
        <f>M15-D$28</f>
        <v>1.3980450736732201E-2</v>
      </c>
      <c r="O15" s="50">
        <f>(M15-'Historic Result'!C8)*100*100</f>
        <v>-6.3967779102400844</v>
      </c>
      <c r="P15" s="36">
        <f>(N15-'Historic Result'!D8)*100*100</f>
        <v>-3.5878291730431084</v>
      </c>
      <c r="Q15" s="36" t="e">
        <f>(M15-'Historic Result'!E8)*100*100</f>
        <v>#N/A</v>
      </c>
      <c r="R15" s="44" t="e">
        <f>(N15-'Historic Result'!F8)*100*100</f>
        <v>#N/A</v>
      </c>
    </row>
    <row r="16" spans="3:24" s="99" customFormat="1" ht="18" customHeight="1">
      <c r="C16" s="100" t="s">
        <v>22</v>
      </c>
      <c r="D16" s="148">
        <f>AVERAGE(D12:D15)</f>
        <v>0.04</v>
      </c>
      <c r="E16" s="146"/>
      <c r="F16" s="146"/>
      <c r="G16" s="146">
        <f>AVERAGE(G12:I15)</f>
        <v>4.1425000000000003E-2</v>
      </c>
      <c r="H16" s="146"/>
      <c r="I16" s="147"/>
      <c r="J16" s="64">
        <f>AVERAGE(J12,J14:J15)</f>
        <v>1.2153634629375331E-2</v>
      </c>
      <c r="K16" s="64">
        <f>AVERAGE(K12,K14:K15)</f>
        <v>1.133633734021014E-2</v>
      </c>
      <c r="L16" s="64">
        <f>AVERAGE(L12,L14:L15)</f>
        <v>2.3489971969585469E-2</v>
      </c>
      <c r="M16" s="65">
        <f t="shared" ref="M16" si="0">AVERAGE(M12:M15)</f>
        <v>4.252616808408604E-2</v>
      </c>
      <c r="N16" s="66">
        <f>M16-D$28</f>
        <v>1.3503892848786739E-2</v>
      </c>
      <c r="O16" s="67">
        <f>AVERAGE(O12:O15)</f>
        <v>-2.6767738311465203</v>
      </c>
      <c r="P16" s="68">
        <f>AVERAGE(P12:P15)</f>
        <v>0.13217490605044679</v>
      </c>
      <c r="Q16" s="68" t="e">
        <f t="shared" ref="Q16:R16" si="1">AVERAGE(Q12:Q15)</f>
        <v>#N/A</v>
      </c>
      <c r="R16" s="69" t="e">
        <f t="shared" si="1"/>
        <v>#N/A</v>
      </c>
    </row>
    <row r="17" spans="3:18" s="99" customFormat="1" ht="18" customHeight="1">
      <c r="C17" s="95" t="s">
        <v>32</v>
      </c>
      <c r="D17" s="149" t="s">
        <v>31</v>
      </c>
      <c r="E17" s="150"/>
      <c r="F17" s="150"/>
      <c r="G17" s="150" t="s">
        <v>0</v>
      </c>
      <c r="H17" s="150"/>
      <c r="I17" s="155"/>
      <c r="J17" s="84"/>
      <c r="K17" s="84"/>
      <c r="L17" s="84"/>
      <c r="M17" s="83"/>
      <c r="N17" s="85"/>
      <c r="O17" s="83"/>
      <c r="P17" s="84"/>
      <c r="Q17" s="84"/>
      <c r="R17" s="85"/>
    </row>
    <row r="18" spans="3:18" s="99" customFormat="1" ht="18" customHeight="1">
      <c r="C18" s="101" t="s">
        <v>20</v>
      </c>
      <c r="D18" s="151">
        <f>'Wells - Jumbo conformin'!C4</f>
        <v>4.2500000000000003E-2</v>
      </c>
      <c r="E18" s="152"/>
      <c r="F18" s="152"/>
      <c r="G18" s="152">
        <f>'Wells - Jumbo conformin'!C5</f>
        <v>4.2500000000000003E-2</v>
      </c>
      <c r="H18" s="152"/>
      <c r="I18" s="156"/>
      <c r="J18" s="70">
        <f>'Wells - Jumbo conformin'!F5</f>
        <v>0</v>
      </c>
      <c r="K18" s="70">
        <f>'Wells - Jumbo conformin'!F6</f>
        <v>2.2539999999999999E-3</v>
      </c>
      <c r="L18" s="70">
        <f>'Wells - Jumbo conformin'!F7</f>
        <v>2.2539999999999999E-3</v>
      </c>
      <c r="M18" s="71">
        <f>'Wells - Jumbo conformin'!I4</f>
        <v>4.0563500000000002E-2</v>
      </c>
      <c r="N18" s="72">
        <f>M18-D$28</f>
        <v>1.1541224764700701E-2</v>
      </c>
      <c r="O18" s="73">
        <f>(M18-'Historic Result'!C10)*100*100</f>
        <v>-8.925449734203255</v>
      </c>
      <c r="P18" s="74">
        <f>(N18-'Historic Result'!D10)*100*100</f>
        <v>-6.1165009970062805</v>
      </c>
      <c r="Q18" s="74" t="e">
        <f>(M18-'Historic Result'!E10)*100*100</f>
        <v>#N/A</v>
      </c>
      <c r="R18" s="75" t="e">
        <f>(N18-'Historic Result'!F10)*100*100</f>
        <v>#N/A</v>
      </c>
    </row>
    <row r="19" spans="3:18" s="99" customFormat="1" ht="18" customHeight="1">
      <c r="C19" s="96" t="s">
        <v>33</v>
      </c>
      <c r="D19" s="153" t="s">
        <v>31</v>
      </c>
      <c r="E19" s="154"/>
      <c r="F19" s="154"/>
      <c r="G19" s="154" t="s">
        <v>0</v>
      </c>
      <c r="H19" s="154"/>
      <c r="I19" s="157"/>
      <c r="J19" s="53"/>
      <c r="K19" s="53"/>
      <c r="L19" s="53"/>
      <c r="M19" s="52"/>
      <c r="N19" s="54"/>
      <c r="O19" s="55"/>
      <c r="P19" s="56"/>
      <c r="Q19" s="56"/>
      <c r="R19" s="57"/>
    </row>
    <row r="20" spans="3:18" s="99" customFormat="1" ht="18" customHeight="1">
      <c r="C20" s="101" t="s">
        <v>20</v>
      </c>
      <c r="D20" s="151">
        <f>'Wells - Jumbo Non-conforming'!C4</f>
        <v>4.1250000000000002E-2</v>
      </c>
      <c r="E20" s="152"/>
      <c r="F20" s="152"/>
      <c r="G20" s="152">
        <f>'Wells - Jumbo Non-conforming'!C5</f>
        <v>4.1270000000000001E-2</v>
      </c>
      <c r="H20" s="152"/>
      <c r="I20" s="156"/>
      <c r="J20" s="70">
        <f>'Wells - Jumbo Non-conforming'!F5</f>
        <v>2.3971414795442847E-4</v>
      </c>
      <c r="K20" s="70">
        <f>'Wells - Jumbo Non-conforming'!F6</f>
        <v>2.9333333333333334E-3</v>
      </c>
      <c r="L20" s="70">
        <f>'Wells - Jumbo Non-conforming'!F7</f>
        <v>3.1730474812877618E-3</v>
      </c>
      <c r="M20" s="71">
        <f>'Wells - Jumbo Non-conforming'!I4</f>
        <v>3.9543261870321943E-2</v>
      </c>
      <c r="N20" s="72">
        <f>M20-D$28</f>
        <v>1.0520986635022642E-2</v>
      </c>
      <c r="O20" s="73">
        <f>(M20-'Historic Result'!C12)*100*100</f>
        <v>-4.3212629338681978</v>
      </c>
      <c r="P20" s="74">
        <f>(N20-'Historic Result'!D12)*100*100</f>
        <v>-1.5123141966712217</v>
      </c>
      <c r="Q20" s="74" t="e">
        <f>(M20-'Historic Result'!E12)*100*100</f>
        <v>#N/A</v>
      </c>
      <c r="R20" s="75" t="e">
        <f>(N20-'Historic Result'!F12)*100*100</f>
        <v>#N/A</v>
      </c>
    </row>
    <row r="21" spans="3:18" s="99" customFormat="1" ht="18" customHeight="1">
      <c r="C21" s="97" t="s">
        <v>34</v>
      </c>
      <c r="D21" s="143" t="s">
        <v>31</v>
      </c>
      <c r="E21" s="144"/>
      <c r="F21" s="141" t="s">
        <v>35</v>
      </c>
      <c r="G21" s="141"/>
      <c r="H21" s="141" t="s">
        <v>36</v>
      </c>
      <c r="I21" s="142"/>
      <c r="J21" s="59"/>
      <c r="K21" s="59"/>
      <c r="L21" s="59"/>
      <c r="M21" s="58"/>
      <c r="N21" s="60"/>
      <c r="O21" s="61"/>
      <c r="P21" s="62"/>
      <c r="Q21" s="62"/>
      <c r="R21" s="63"/>
    </row>
    <row r="22" spans="3:18" s="99" customFormat="1" ht="18" customHeight="1">
      <c r="C22" s="102" t="s">
        <v>20</v>
      </c>
      <c r="D22" s="139">
        <v>3.875E-2</v>
      </c>
      <c r="E22" s="140"/>
      <c r="F22" s="140">
        <v>1.7500000000000002E-2</v>
      </c>
      <c r="G22" s="140"/>
      <c r="H22" s="140">
        <v>8.5000000000000006E-3</v>
      </c>
      <c r="I22" s="145"/>
      <c r="J22" s="78">
        <v>0</v>
      </c>
      <c r="K22" s="78">
        <v>1.387E-2</v>
      </c>
      <c r="L22" s="78">
        <v>1.387E-2</v>
      </c>
      <c r="M22" s="49">
        <v>3.9717500000000003E-2</v>
      </c>
      <c r="N22" s="79">
        <f>M22-D29</f>
        <v>1.2120634513705902E-2</v>
      </c>
      <c r="O22" s="51">
        <f>(M22-'Historic Result'!C14)*100*100</f>
        <v>0</v>
      </c>
      <c r="P22" s="45">
        <f>(N22-'Historic Result'!D14)*100*100</f>
        <v>2.5531187367949966</v>
      </c>
      <c r="Q22" s="45" t="e">
        <f>(M22-'Historic Result'!E14)*100*100</f>
        <v>#N/A</v>
      </c>
      <c r="R22" s="46" t="e">
        <f>(N22-'Historic Result'!F14)*100*100</f>
        <v>#N/A</v>
      </c>
    </row>
    <row r="24" spans="3:18">
      <c r="I24"/>
      <c r="J24"/>
      <c r="K24"/>
      <c r="O24" s="1"/>
    </row>
    <row r="25" spans="3:18">
      <c r="I25"/>
      <c r="J25"/>
      <c r="K25"/>
      <c r="O25" s="1"/>
    </row>
    <row r="26" spans="3:18">
      <c r="C26" s="89" t="s">
        <v>24</v>
      </c>
      <c r="D26" s="3"/>
      <c r="E26" s="3"/>
      <c r="F26" s="3"/>
      <c r="G26" s="3"/>
      <c r="H26" s="3"/>
      <c r="I26"/>
      <c r="J26"/>
      <c r="K26"/>
      <c r="O26" s="1"/>
    </row>
    <row r="27" spans="3:18" ht="18" customHeight="1">
      <c r="C27" s="103" t="s">
        <v>25</v>
      </c>
      <c r="D27" s="130" t="s">
        <v>26</v>
      </c>
      <c r="E27" s="131"/>
      <c r="F27" s="132"/>
      <c r="G27"/>
      <c r="H27"/>
      <c r="O27" s="1"/>
    </row>
    <row r="28" spans="3:18" ht="18" customHeight="1">
      <c r="C28" s="76" t="s">
        <v>27</v>
      </c>
      <c r="D28" s="133">
        <f>VLOOKUP(C28,'Time Series Query'!X12:Z13,3,0)</f>
        <v>2.9022275235299301E-2</v>
      </c>
      <c r="E28" s="134"/>
      <c r="F28" s="135"/>
      <c r="G28" s="27"/>
      <c r="H28" s="27"/>
      <c r="O28" s="1"/>
    </row>
    <row r="29" spans="3:18" ht="18" customHeight="1">
      <c r="C29" s="77" t="s">
        <v>28</v>
      </c>
      <c r="D29" s="136">
        <f>VLOOKUP(C29,'Time Series Query'!X13:Z14,3,0)</f>
        <v>2.75968654862941E-2</v>
      </c>
      <c r="E29" s="137"/>
      <c r="F29" s="138"/>
      <c r="G29" s="27"/>
      <c r="H29" s="27"/>
      <c r="O29" s="1"/>
    </row>
  </sheetData>
  <mergeCells count="29">
    <mergeCell ref="G11:I11"/>
    <mergeCell ref="G12:I12"/>
    <mergeCell ref="G13:I13"/>
    <mergeCell ref="G14:I14"/>
    <mergeCell ref="G15:I15"/>
    <mergeCell ref="D11:F11"/>
    <mergeCell ref="D12:F12"/>
    <mergeCell ref="D13:F13"/>
    <mergeCell ref="D14:F14"/>
    <mergeCell ref="D15:F15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27:F27"/>
    <mergeCell ref="D28:F28"/>
    <mergeCell ref="D29:F29"/>
    <mergeCell ref="D22:E22"/>
    <mergeCell ref="F22:G22"/>
  </mergeCells>
  <dataValidations disablePrompts="1"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pageMargins left="0.25" right="0.25" top="0.255" bottom="0.25" header="0.1" footer="0.1"/>
  <pageSetup scale="70" orientation="landscape" horizontalDpi="1200" verticalDpi="1200" r:id="rId1"/>
  <headerFooter scaleWithDoc="0">
    <oddHeader>&amp;L&amp;G&amp;C&amp;"-,Bold"&amp;10&amp;K2E398A
&amp;15Daily Originator Mortgage Rates&amp;R&amp;"-,Bold"&amp;10&amp;K2E398A
As of 3/9/2015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E179"/>
  <sheetViews>
    <sheetView topLeftCell="U1" workbookViewId="0">
      <selection activeCell="X7" sqref="X7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6" width="8" style="38" customWidth="1"/>
    <col min="27" max="27" width="10.140625" style="38" customWidth="1"/>
    <col min="28" max="28" width="14.140625" style="38" customWidth="1"/>
    <col min="29" max="29" width="12.28515625" style="38" customWidth="1"/>
    <col min="30" max="30" width="8.42578125" style="38" bestFit="1" customWidth="1"/>
    <col min="31" max="31" width="15.28515625" style="38" bestFit="1" customWidth="1"/>
    <col min="32" max="32" width="9.85546875" style="38" bestFit="1" customWidth="1"/>
    <col min="33" max="33" width="10.28515625" style="38" bestFit="1" customWidth="1"/>
    <col min="34" max="34" width="11.42578125" style="38" bestFit="1" customWidth="1"/>
    <col min="35" max="35" width="12.5703125" style="38" bestFit="1" customWidth="1"/>
    <col min="36" max="37" width="12" style="38" bestFit="1" customWidth="1"/>
    <col min="38" max="38" width="12.28515625" style="38" bestFit="1" customWidth="1"/>
    <col min="39" max="39" width="12" style="38" bestFit="1" customWidth="1"/>
    <col min="40" max="40" width="8.5703125" style="38" bestFit="1" customWidth="1"/>
    <col min="41" max="45" width="12" style="38" bestFit="1" customWidth="1"/>
    <col min="46" max="46" width="8" style="38" bestFit="1" customWidth="1"/>
    <col min="47" max="47" width="12" style="38" bestFit="1" customWidth="1"/>
    <col min="48" max="48" width="5.7109375" style="38" bestFit="1" customWidth="1"/>
    <col min="49" max="50" width="12" style="38" bestFit="1" customWidth="1"/>
    <col min="51" max="51" width="17.5703125" style="38" bestFit="1" customWidth="1"/>
    <col min="52" max="52" width="8.85546875" style="38" bestFit="1" customWidth="1"/>
    <col min="53" max="54" width="16" style="38" bestFit="1" customWidth="1"/>
    <col min="55" max="55" width="14.7109375" style="38" bestFit="1" customWidth="1"/>
    <col min="56" max="56" width="16" style="38" bestFit="1" customWidth="1"/>
    <col min="57" max="57" width="17.5703125" style="38" bestFit="1" customWidth="1"/>
    <col min="58" max="58" width="12.140625" style="38" bestFit="1" customWidth="1"/>
    <col min="59" max="59" width="8.5703125" style="38" bestFit="1" customWidth="1"/>
    <col min="60" max="60" width="15.28515625" style="38" customWidth="1"/>
    <col min="61" max="61" width="11.7109375" style="38" bestFit="1" customWidth="1"/>
    <col min="62" max="62" width="10.28515625" style="38" bestFit="1" customWidth="1"/>
    <col min="63" max="63" width="12" style="38" bestFit="1" customWidth="1"/>
    <col min="64" max="64" width="14.42578125" style="38" customWidth="1"/>
    <col min="65" max="65" width="18.5703125" style="38" bestFit="1" customWidth="1"/>
    <col min="66" max="66" width="10.7109375" style="38" bestFit="1" customWidth="1"/>
    <col min="67" max="67" width="16.42578125" style="38" bestFit="1" customWidth="1"/>
    <col min="68" max="68" width="16.140625" style="38" bestFit="1" customWidth="1"/>
    <col min="69" max="69" width="14.42578125" style="38" customWidth="1"/>
    <col min="70" max="70" width="12.28515625" style="38" customWidth="1"/>
    <col min="71" max="16384" width="9.140625" style="38"/>
  </cols>
  <sheetData>
    <row r="1" spans="1:31">
      <c r="G1" s="38" t="s">
        <v>65</v>
      </c>
      <c r="H1" s="38" t="s">
        <v>62</v>
      </c>
      <c r="O1" s="38" t="s">
        <v>64</v>
      </c>
      <c r="P1" s="38" t="s">
        <v>62</v>
      </c>
    </row>
    <row r="2" spans="1:31">
      <c r="H2" s="38" t="s">
        <v>84</v>
      </c>
      <c r="P2" s="38" t="s">
        <v>85</v>
      </c>
    </row>
    <row r="5" spans="1:31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E5" s="90"/>
    </row>
    <row r="6" spans="1:31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</row>
    <row r="7" spans="1:31" s="93" customFormat="1">
      <c r="A7" s="93" t="s">
        <v>17</v>
      </c>
      <c r="B7" s="93" t="s">
        <v>54</v>
      </c>
      <c r="C7" s="93" t="s">
        <v>78</v>
      </c>
      <c r="D7" s="93" t="s">
        <v>53</v>
      </c>
      <c r="E7" s="94" t="s">
        <v>86</v>
      </c>
      <c r="F7" s="93">
        <v>4.313965889771076</v>
      </c>
      <c r="I7" s="93" t="s">
        <v>54</v>
      </c>
      <c r="J7" s="93" t="s">
        <v>17</v>
      </c>
      <c r="K7" s="93" t="s">
        <v>78</v>
      </c>
      <c r="L7" s="93" t="s">
        <v>53</v>
      </c>
      <c r="M7" s="93" t="s">
        <v>84</v>
      </c>
      <c r="N7" s="93">
        <v>4.3664099742286595</v>
      </c>
      <c r="Q7" s="93" t="s">
        <v>54</v>
      </c>
      <c r="R7" s="93" t="s">
        <v>17</v>
      </c>
      <c r="S7" s="93" t="s">
        <v>0</v>
      </c>
      <c r="T7" s="93" t="s">
        <v>53</v>
      </c>
      <c r="U7" s="93" t="s">
        <v>85</v>
      </c>
      <c r="V7" s="93">
        <v>4.0629999999999997</v>
      </c>
      <c r="X7" s="93" t="s">
        <v>80</v>
      </c>
      <c r="Y7" s="93" t="s">
        <v>86</v>
      </c>
      <c r="Z7" s="93">
        <v>2.90222752352993</v>
      </c>
    </row>
    <row r="8" spans="1:31" s="93" customFormat="1">
      <c r="A8" s="93" t="s">
        <v>17</v>
      </c>
      <c r="B8" s="93" t="s">
        <v>54</v>
      </c>
      <c r="C8" s="93" t="s">
        <v>0</v>
      </c>
      <c r="D8" s="93" t="s">
        <v>53</v>
      </c>
      <c r="E8" s="94" t="s">
        <v>86</v>
      </c>
      <c r="F8" s="93">
        <v>4.1900000000000004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84</v>
      </c>
      <c r="N8" s="91">
        <v>4.2080000000000002</v>
      </c>
      <c r="Q8" s="93" t="s">
        <v>54</v>
      </c>
      <c r="R8" s="93" t="s">
        <v>17</v>
      </c>
      <c r="S8" s="93" t="s">
        <v>7</v>
      </c>
      <c r="T8" s="93" t="s">
        <v>53</v>
      </c>
      <c r="U8" s="93" t="s">
        <v>85</v>
      </c>
      <c r="V8" s="93">
        <v>0.95799999999999996</v>
      </c>
      <c r="X8" s="93" t="s">
        <v>79</v>
      </c>
      <c r="Y8" s="93" t="s">
        <v>86</v>
      </c>
      <c r="Z8" s="93">
        <v>2.7596865486294102</v>
      </c>
    </row>
    <row r="9" spans="1:31" s="93" customFormat="1">
      <c r="A9" s="93" t="s">
        <v>17</v>
      </c>
      <c r="B9" s="93" t="s">
        <v>54</v>
      </c>
      <c r="C9" s="93" t="s">
        <v>7</v>
      </c>
      <c r="D9" s="93" t="s">
        <v>53</v>
      </c>
      <c r="E9" s="94" t="s">
        <v>86</v>
      </c>
      <c r="F9" s="93">
        <v>0.95399999999999996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84</v>
      </c>
      <c r="N9" s="91">
        <v>1.163</v>
      </c>
      <c r="Q9" s="93" t="s">
        <v>54</v>
      </c>
      <c r="R9" s="93" t="s">
        <v>17</v>
      </c>
      <c r="S9" s="93" t="s">
        <v>26</v>
      </c>
      <c r="T9" s="93" t="s">
        <v>53</v>
      </c>
      <c r="U9" s="93" t="s">
        <v>85</v>
      </c>
      <c r="V9" s="93">
        <v>3.875</v>
      </c>
    </row>
    <row r="10" spans="1:31" s="93" customFormat="1">
      <c r="A10" s="93" t="s">
        <v>17</v>
      </c>
      <c r="B10" s="93" t="s">
        <v>54</v>
      </c>
      <c r="C10" s="93" t="s">
        <v>26</v>
      </c>
      <c r="D10" s="93" t="s">
        <v>53</v>
      </c>
      <c r="E10" s="94" t="s">
        <v>86</v>
      </c>
      <c r="F10" s="93">
        <v>4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84</v>
      </c>
      <c r="N10" s="91">
        <v>4</v>
      </c>
      <c r="Q10" s="93" t="s">
        <v>54</v>
      </c>
      <c r="R10" s="93" t="s">
        <v>18</v>
      </c>
      <c r="S10" s="93" t="s">
        <v>0</v>
      </c>
      <c r="T10" s="93" t="s">
        <v>53</v>
      </c>
      <c r="U10" s="93" t="s">
        <v>85</v>
      </c>
      <c r="V10" s="93">
        <v>4.1980000000000004</v>
      </c>
    </row>
    <row r="11" spans="1:31" s="93" customFormat="1">
      <c r="A11" s="93" t="s">
        <v>17</v>
      </c>
      <c r="B11" s="93" t="s">
        <v>54</v>
      </c>
      <c r="C11" s="93" t="s">
        <v>29</v>
      </c>
      <c r="D11" s="93" t="s">
        <v>53</v>
      </c>
      <c r="E11" s="94" t="s">
        <v>86</v>
      </c>
      <c r="F11" s="93">
        <v>1.3836488788691759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84</v>
      </c>
      <c r="N11" s="91">
        <v>1.4360929633267601</v>
      </c>
      <c r="Q11" s="93" t="s">
        <v>54</v>
      </c>
      <c r="R11" s="93" t="s">
        <v>18</v>
      </c>
      <c r="S11" s="93" t="s">
        <v>7</v>
      </c>
      <c r="T11" s="93" t="s">
        <v>53</v>
      </c>
      <c r="U11" s="93" t="s">
        <v>85</v>
      </c>
      <c r="V11" s="93">
        <v>0.875</v>
      </c>
    </row>
    <row r="12" spans="1:31" s="93" customFormat="1">
      <c r="A12" s="93" t="s">
        <v>18</v>
      </c>
      <c r="B12" s="93" t="s">
        <v>54</v>
      </c>
      <c r="C12" s="93" t="s">
        <v>78</v>
      </c>
      <c r="D12" s="93" t="s">
        <v>53</v>
      </c>
      <c r="E12" s="94" t="s">
        <v>86</v>
      </c>
      <c r="F12" s="93">
        <v>3.9987193359155064</v>
      </c>
      <c r="I12" s="91" t="s">
        <v>54</v>
      </c>
      <c r="J12" s="91" t="s">
        <v>18</v>
      </c>
      <c r="K12" s="91" t="s">
        <v>78</v>
      </c>
      <c r="L12" s="91" t="s">
        <v>53</v>
      </c>
      <c r="M12" s="91" t="s">
        <v>84</v>
      </c>
      <c r="N12" s="91">
        <v>4.0301218665618999</v>
      </c>
      <c r="Q12" s="93" t="s">
        <v>54</v>
      </c>
      <c r="R12" s="93" t="s">
        <v>18</v>
      </c>
      <c r="S12" s="93" t="s">
        <v>26</v>
      </c>
      <c r="T12" s="93" t="s">
        <v>53</v>
      </c>
      <c r="U12" s="93" t="s">
        <v>85</v>
      </c>
      <c r="V12" s="93">
        <v>4.1980000000000004</v>
      </c>
      <c r="X12" s="107" t="s">
        <v>27</v>
      </c>
      <c r="Y12" s="108" t="s">
        <v>80</v>
      </c>
      <c r="Z12" s="108">
        <f>VLOOKUP(Y12,OneWeekMtgRatesDataTable7[],3,0)/100</f>
        <v>2.9022275235299301E-2</v>
      </c>
      <c r="AA12" s="106"/>
    </row>
    <row r="13" spans="1:31" s="93" customFormat="1">
      <c r="A13" s="93" t="s">
        <v>18</v>
      </c>
      <c r="B13" s="93" t="s">
        <v>54</v>
      </c>
      <c r="C13" s="93" t="s">
        <v>0</v>
      </c>
      <c r="D13" s="93" t="s">
        <v>53</v>
      </c>
      <c r="E13" s="94" t="s">
        <v>86</v>
      </c>
      <c r="F13" s="93">
        <v>4.0830000000000002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84</v>
      </c>
      <c r="N13" s="91">
        <v>4.1769999999999996</v>
      </c>
      <c r="Q13" s="93" t="s">
        <v>54</v>
      </c>
      <c r="R13" s="93" t="s">
        <v>19</v>
      </c>
      <c r="S13" s="93" t="s">
        <v>0</v>
      </c>
      <c r="T13" s="93" t="s">
        <v>53</v>
      </c>
      <c r="U13" s="93" t="s">
        <v>85</v>
      </c>
      <c r="V13" s="93">
        <v>3.9980000000000002</v>
      </c>
      <c r="X13" s="107" t="s">
        <v>28</v>
      </c>
      <c r="Y13" s="109" t="s">
        <v>79</v>
      </c>
      <c r="Z13" s="108">
        <f>VLOOKUP(Y13,OneWeekMtgRatesDataTable7[],3,0)/100</f>
        <v>2.75968654862941E-2</v>
      </c>
      <c r="AA13" s="106"/>
    </row>
    <row r="14" spans="1:31" s="93" customFormat="1">
      <c r="A14" s="93" t="s">
        <v>18</v>
      </c>
      <c r="B14" s="93" t="s">
        <v>54</v>
      </c>
      <c r="C14" s="93" t="s">
        <v>7</v>
      </c>
      <c r="D14" s="93" t="s">
        <v>53</v>
      </c>
      <c r="E14" s="94" t="s">
        <v>86</v>
      </c>
      <c r="F14" s="93">
        <v>1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84</v>
      </c>
      <c r="N14" s="91">
        <v>0.625</v>
      </c>
      <c r="Q14" s="93" t="s">
        <v>54</v>
      </c>
      <c r="R14" s="93" t="s">
        <v>19</v>
      </c>
      <c r="S14" s="93" t="s">
        <v>7</v>
      </c>
      <c r="T14" s="93" t="s">
        <v>53</v>
      </c>
      <c r="U14" s="93" t="s">
        <v>85</v>
      </c>
      <c r="V14" s="93">
        <v>2.125</v>
      </c>
    </row>
    <row r="15" spans="1:31" s="93" customFormat="1">
      <c r="A15" s="93" t="s">
        <v>18</v>
      </c>
      <c r="B15" s="93" t="s">
        <v>54</v>
      </c>
      <c r="C15" s="93" t="s">
        <v>26</v>
      </c>
      <c r="D15" s="93" t="s">
        <v>53</v>
      </c>
      <c r="E15" s="94" t="s">
        <v>86</v>
      </c>
      <c r="F15" s="93">
        <v>4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84</v>
      </c>
      <c r="N15" s="91">
        <v>4.125</v>
      </c>
      <c r="Q15" s="93" t="s">
        <v>54</v>
      </c>
      <c r="R15" s="93" t="s">
        <v>19</v>
      </c>
      <c r="S15" s="93" t="s">
        <v>26</v>
      </c>
      <c r="T15" s="93" t="s">
        <v>53</v>
      </c>
      <c r="U15" s="93" t="s">
        <v>85</v>
      </c>
      <c r="V15" s="93">
        <v>3.75</v>
      </c>
    </row>
    <row r="16" spans="1:31" s="93" customFormat="1">
      <c r="A16" s="93" t="s">
        <v>18</v>
      </c>
      <c r="B16" s="93" t="s">
        <v>54</v>
      </c>
      <c r="C16" s="93" t="s">
        <v>29</v>
      </c>
      <c r="D16" s="93" t="s">
        <v>53</v>
      </c>
      <c r="E16" s="94" t="s">
        <v>86</v>
      </c>
      <c r="F16" s="93">
        <v>1.0684023250136065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84</v>
      </c>
      <c r="N16" s="91">
        <v>1.09980485566</v>
      </c>
      <c r="Q16" s="93" t="s">
        <v>54</v>
      </c>
      <c r="R16" s="93" t="s">
        <v>20</v>
      </c>
      <c r="S16" s="93" t="s">
        <v>0</v>
      </c>
      <c r="T16" s="93" t="s">
        <v>53</v>
      </c>
      <c r="U16" s="93" t="s">
        <v>85</v>
      </c>
      <c r="V16" s="93">
        <v>4.0469999999999997</v>
      </c>
    </row>
    <row r="17" spans="1:22" s="93" customFormat="1">
      <c r="A17" s="93" t="s">
        <v>19</v>
      </c>
      <c r="B17" s="93" t="s">
        <v>54</v>
      </c>
      <c r="C17" s="93" t="s">
        <v>78</v>
      </c>
      <c r="D17" s="93" t="s">
        <v>53</v>
      </c>
      <c r="E17" s="94" t="s">
        <v>86</v>
      </c>
      <c r="F17" s="93">
        <v>4.3975094107446839</v>
      </c>
      <c r="I17" s="91" t="s">
        <v>54</v>
      </c>
      <c r="J17" s="91" t="s">
        <v>19</v>
      </c>
      <c r="K17" s="91" t="s">
        <v>78</v>
      </c>
      <c r="L17" s="91" t="s">
        <v>53</v>
      </c>
      <c r="M17" s="91" t="s">
        <v>84</v>
      </c>
      <c r="N17" s="91">
        <v>4.356765969784167</v>
      </c>
      <c r="Q17" s="93" t="s">
        <v>54</v>
      </c>
      <c r="R17" s="93" t="s">
        <v>20</v>
      </c>
      <c r="S17" s="93" t="s">
        <v>7</v>
      </c>
      <c r="T17" s="93" t="s">
        <v>53</v>
      </c>
      <c r="U17" s="93" t="s">
        <v>85</v>
      </c>
      <c r="V17" s="93">
        <v>1</v>
      </c>
    </row>
    <row r="18" spans="1:22" s="93" customFormat="1">
      <c r="A18" s="93" t="s">
        <v>19</v>
      </c>
      <c r="B18" s="93" t="s">
        <v>54</v>
      </c>
      <c r="C18" s="93" t="s">
        <v>0</v>
      </c>
      <c r="D18" s="93" t="s">
        <v>53</v>
      </c>
      <c r="E18" s="94" t="s">
        <v>86</v>
      </c>
      <c r="F18" s="93">
        <v>4.1349999999999998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84</v>
      </c>
      <c r="N18" s="91">
        <v>4.1980000000000004</v>
      </c>
      <c r="Q18" s="93" t="s">
        <v>54</v>
      </c>
      <c r="R18" s="93" t="s">
        <v>20</v>
      </c>
      <c r="S18" s="93" t="s">
        <v>26</v>
      </c>
      <c r="T18" s="93" t="s">
        <v>53</v>
      </c>
      <c r="U18" s="93" t="s">
        <v>85</v>
      </c>
      <c r="V18" s="93">
        <v>4</v>
      </c>
    </row>
    <row r="19" spans="1:22" s="93" customFormat="1">
      <c r="A19" s="93" t="s">
        <v>19</v>
      </c>
      <c r="B19" s="93" t="s">
        <v>54</v>
      </c>
      <c r="C19" s="93" t="s">
        <v>7</v>
      </c>
      <c r="D19" s="93" t="s">
        <v>53</v>
      </c>
      <c r="E19" s="94" t="s">
        <v>86</v>
      </c>
      <c r="F19" s="93">
        <v>2.25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84</v>
      </c>
      <c r="N19" s="91">
        <v>1.625</v>
      </c>
      <c r="Q19" s="93" t="s">
        <v>55</v>
      </c>
      <c r="R19" s="93" t="s">
        <v>19</v>
      </c>
      <c r="S19" s="93" t="s">
        <v>0</v>
      </c>
      <c r="T19" s="93" t="s">
        <v>53</v>
      </c>
      <c r="U19" s="93" t="s">
        <v>85</v>
      </c>
      <c r="V19" s="93">
        <v>4.2699999999999996</v>
      </c>
    </row>
    <row r="20" spans="1:22" s="93" customFormat="1">
      <c r="A20" s="93" t="s">
        <v>19</v>
      </c>
      <c r="B20" s="93" t="s">
        <v>54</v>
      </c>
      <c r="C20" s="93" t="s">
        <v>26</v>
      </c>
      <c r="D20" s="93" t="s">
        <v>53</v>
      </c>
      <c r="E20" s="94" t="s">
        <v>86</v>
      </c>
      <c r="F20" s="93">
        <v>3.875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84</v>
      </c>
      <c r="N20" s="91">
        <v>3.99</v>
      </c>
      <c r="Q20" s="93" t="s">
        <v>55</v>
      </c>
      <c r="R20" s="93" t="s">
        <v>19</v>
      </c>
      <c r="S20" s="93" t="s">
        <v>7</v>
      </c>
      <c r="T20" s="93" t="s">
        <v>53</v>
      </c>
      <c r="U20" s="93" t="s">
        <v>85</v>
      </c>
      <c r="V20" s="93">
        <v>2.25</v>
      </c>
    </row>
    <row r="21" spans="1:22" s="93" customFormat="1">
      <c r="A21" s="93" t="s">
        <v>19</v>
      </c>
      <c r="B21" s="93" t="s">
        <v>54</v>
      </c>
      <c r="C21" s="93" t="s">
        <v>29</v>
      </c>
      <c r="D21" s="93" t="s">
        <v>53</v>
      </c>
      <c r="E21" s="94" t="s">
        <v>86</v>
      </c>
      <c r="F21" s="93">
        <v>1.4671923998427845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84</v>
      </c>
      <c r="N21" s="91">
        <v>1.4264489588822669</v>
      </c>
      <c r="Q21" s="93" t="s">
        <v>55</v>
      </c>
      <c r="R21" s="93" t="s">
        <v>19</v>
      </c>
      <c r="S21" s="93" t="s">
        <v>26</v>
      </c>
      <c r="T21" s="93" t="s">
        <v>53</v>
      </c>
      <c r="U21" s="93" t="s">
        <v>85</v>
      </c>
      <c r="V21" s="93">
        <v>3.375</v>
      </c>
    </row>
    <row r="22" spans="1:22" s="93" customFormat="1">
      <c r="A22" s="93" t="s">
        <v>20</v>
      </c>
      <c r="B22" s="93" t="s">
        <v>54</v>
      </c>
      <c r="C22" s="93" t="s">
        <v>78</v>
      </c>
      <c r="D22" s="93" t="s">
        <v>53</v>
      </c>
      <c r="E22" s="94" t="s">
        <v>86</v>
      </c>
      <c r="F22" s="93">
        <v>4.3002725972031506</v>
      </c>
      <c r="I22" s="91" t="s">
        <v>54</v>
      </c>
      <c r="J22" s="91" t="s">
        <v>20</v>
      </c>
      <c r="K22" s="91" t="s">
        <v>78</v>
      </c>
      <c r="L22" s="91" t="s">
        <v>53</v>
      </c>
      <c r="M22" s="91" t="s">
        <v>84</v>
      </c>
      <c r="N22" s="91">
        <v>4.3642403763055508</v>
      </c>
      <c r="Q22" s="93" t="s">
        <v>55</v>
      </c>
      <c r="R22" s="93" t="s">
        <v>20</v>
      </c>
      <c r="S22" s="93" t="s">
        <v>0</v>
      </c>
      <c r="T22" s="93" t="s">
        <v>53</v>
      </c>
      <c r="U22" s="93" t="s">
        <v>85</v>
      </c>
      <c r="V22" s="93">
        <v>4.79</v>
      </c>
    </row>
    <row r="23" spans="1:22" s="93" customFormat="1">
      <c r="A23" s="93" t="s">
        <v>20</v>
      </c>
      <c r="B23" s="93" t="s">
        <v>54</v>
      </c>
      <c r="C23" s="93" t="s">
        <v>0</v>
      </c>
      <c r="D23" s="93" t="s">
        <v>53</v>
      </c>
      <c r="E23" s="94" t="s">
        <v>86</v>
      </c>
      <c r="F23" s="93">
        <v>4.1619999999999999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84</v>
      </c>
      <c r="N23" s="91">
        <v>4.173</v>
      </c>
      <c r="Q23" s="93" t="s">
        <v>55</v>
      </c>
      <c r="R23" s="93" t="s">
        <v>20</v>
      </c>
      <c r="S23" s="93" t="s">
        <v>41</v>
      </c>
      <c r="T23" s="93" t="s">
        <v>53</v>
      </c>
      <c r="U23" s="93" t="s">
        <v>85</v>
      </c>
      <c r="V23" s="93">
        <v>6762</v>
      </c>
    </row>
    <row r="24" spans="1:22" s="93" customFormat="1">
      <c r="A24" s="93" t="s">
        <v>20</v>
      </c>
      <c r="B24" s="93" t="s">
        <v>54</v>
      </c>
      <c r="C24" s="93" t="s">
        <v>41</v>
      </c>
      <c r="D24" s="93" t="s">
        <v>53</v>
      </c>
      <c r="E24" s="94" t="s">
        <v>86</v>
      </c>
      <c r="F24" s="93">
        <v>2518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84</v>
      </c>
      <c r="N24" s="91">
        <v>2768</v>
      </c>
      <c r="Q24" s="93" t="s">
        <v>55</v>
      </c>
      <c r="R24" s="93" t="s">
        <v>20</v>
      </c>
      <c r="S24" s="93" t="s">
        <v>1</v>
      </c>
      <c r="T24" s="93" t="s">
        <v>53</v>
      </c>
      <c r="U24" s="93" t="s">
        <v>85</v>
      </c>
      <c r="V24" s="93">
        <v>200000</v>
      </c>
    </row>
    <row r="25" spans="1:22" s="93" customFormat="1">
      <c r="A25" s="93" t="s">
        <v>20</v>
      </c>
      <c r="B25" s="93" t="s">
        <v>54</v>
      </c>
      <c r="C25" s="93" t="s">
        <v>1</v>
      </c>
      <c r="D25" s="93" t="s">
        <v>53</v>
      </c>
      <c r="E25" s="94" t="s">
        <v>86</v>
      </c>
      <c r="F25" s="93">
        <v>200000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84</v>
      </c>
      <c r="N25" s="91">
        <v>200000</v>
      </c>
      <c r="Q25" s="93" t="s">
        <v>55</v>
      </c>
      <c r="R25" s="93" t="s">
        <v>20</v>
      </c>
      <c r="S25" s="93" t="s">
        <v>7</v>
      </c>
      <c r="T25" s="93" t="s">
        <v>53</v>
      </c>
      <c r="U25" s="93" t="s">
        <v>85</v>
      </c>
      <c r="V25" s="93">
        <v>1</v>
      </c>
    </row>
    <row r="26" spans="1:22" s="93" customFormat="1">
      <c r="A26" s="93" t="s">
        <v>20</v>
      </c>
      <c r="B26" s="93" t="s">
        <v>54</v>
      </c>
      <c r="C26" s="93" t="s">
        <v>7</v>
      </c>
      <c r="D26" s="93" t="s">
        <v>53</v>
      </c>
      <c r="E26" s="94" t="s">
        <v>86</v>
      </c>
      <c r="F26" s="93">
        <v>1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84</v>
      </c>
      <c r="N26" s="91">
        <v>1</v>
      </c>
      <c r="Q26" s="93" t="s">
        <v>55</v>
      </c>
      <c r="R26" s="93" t="s">
        <v>20</v>
      </c>
      <c r="S26" s="93" t="s">
        <v>26</v>
      </c>
      <c r="T26" s="93" t="s">
        <v>53</v>
      </c>
      <c r="U26" s="93" t="s">
        <v>85</v>
      </c>
      <c r="V26" s="93">
        <v>3.75</v>
      </c>
    </row>
    <row r="27" spans="1:22" s="93" customFormat="1">
      <c r="A27" s="93" t="s">
        <v>20</v>
      </c>
      <c r="B27" s="93" t="s">
        <v>54</v>
      </c>
      <c r="C27" s="93" t="s">
        <v>26</v>
      </c>
      <c r="D27" s="93" t="s">
        <v>53</v>
      </c>
      <c r="E27" s="94" t="s">
        <v>86</v>
      </c>
      <c r="F27" s="93">
        <v>4.125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84</v>
      </c>
      <c r="N27" s="91">
        <v>4.125</v>
      </c>
      <c r="Q27" s="93" t="s">
        <v>55</v>
      </c>
      <c r="R27" s="93" t="s">
        <v>20</v>
      </c>
      <c r="S27" s="93" t="s">
        <v>42</v>
      </c>
      <c r="T27" s="93" t="s">
        <v>53</v>
      </c>
      <c r="U27" s="93" t="s">
        <v>85</v>
      </c>
      <c r="V27" s="93">
        <v>3500</v>
      </c>
    </row>
    <row r="28" spans="1:22" s="93" customFormat="1">
      <c r="A28" s="93" t="s">
        <v>20</v>
      </c>
      <c r="B28" s="93" t="s">
        <v>54</v>
      </c>
      <c r="C28" s="93" t="s">
        <v>29</v>
      </c>
      <c r="D28" s="93" t="s">
        <v>53</v>
      </c>
      <c r="E28" s="94" t="s">
        <v>86</v>
      </c>
      <c r="F28" s="93">
        <v>1.3699555863012505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84</v>
      </c>
      <c r="N28" s="91">
        <v>1.4339233654036512</v>
      </c>
      <c r="Q28" s="93" t="s">
        <v>56</v>
      </c>
      <c r="R28" s="93" t="s">
        <v>20</v>
      </c>
      <c r="S28" s="93" t="s">
        <v>0</v>
      </c>
      <c r="T28" s="93" t="s">
        <v>53</v>
      </c>
      <c r="U28" s="93" t="s">
        <v>85</v>
      </c>
      <c r="V28" s="93">
        <v>4.1280000000000001</v>
      </c>
    </row>
    <row r="29" spans="1:22" s="93" customFormat="1">
      <c r="A29" s="93" t="s">
        <v>19</v>
      </c>
      <c r="B29" s="93" t="s">
        <v>55</v>
      </c>
      <c r="C29" s="93" t="s">
        <v>0</v>
      </c>
      <c r="D29" s="93" t="s">
        <v>53</v>
      </c>
      <c r="E29" s="94" t="s">
        <v>86</v>
      </c>
      <c r="F29" s="93">
        <v>4.3879999999999999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84</v>
      </c>
      <c r="N29" s="91">
        <v>4.4000000000000004</v>
      </c>
      <c r="Q29" s="93" t="s">
        <v>56</v>
      </c>
      <c r="R29" s="93" t="s">
        <v>20</v>
      </c>
      <c r="S29" s="93" t="s">
        <v>7</v>
      </c>
      <c r="T29" s="93" t="s">
        <v>53</v>
      </c>
      <c r="U29" s="93" t="s">
        <v>85</v>
      </c>
      <c r="V29" s="93">
        <v>1</v>
      </c>
    </row>
    <row r="30" spans="1:22" s="93" customFormat="1">
      <c r="A30" s="93" t="s">
        <v>19</v>
      </c>
      <c r="B30" s="93" t="s">
        <v>55</v>
      </c>
      <c r="C30" s="93" t="s">
        <v>7</v>
      </c>
      <c r="D30" s="93" t="s">
        <v>53</v>
      </c>
      <c r="E30" s="94" t="s">
        <v>86</v>
      </c>
      <c r="F30" s="93">
        <v>2.125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84</v>
      </c>
      <c r="N30" s="91">
        <v>2.25</v>
      </c>
      <c r="Q30" s="93" t="s">
        <v>56</v>
      </c>
      <c r="R30" s="93" t="s">
        <v>20</v>
      </c>
      <c r="S30" s="93" t="s">
        <v>26</v>
      </c>
      <c r="T30" s="93" t="s">
        <v>53</v>
      </c>
      <c r="U30" s="93" t="s">
        <v>85</v>
      </c>
      <c r="V30" s="93">
        <v>4.125</v>
      </c>
    </row>
    <row r="31" spans="1:22" s="93" customFormat="1">
      <c r="A31" s="93" t="s">
        <v>19</v>
      </c>
      <c r="B31" s="93" t="s">
        <v>55</v>
      </c>
      <c r="C31" s="93" t="s">
        <v>26</v>
      </c>
      <c r="D31" s="93" t="s">
        <v>53</v>
      </c>
      <c r="E31" s="94" t="s">
        <v>86</v>
      </c>
      <c r="F31" s="93">
        <v>3.5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84</v>
      </c>
      <c r="N31" s="91">
        <v>3.5</v>
      </c>
      <c r="Q31" s="93" t="s">
        <v>57</v>
      </c>
      <c r="R31" s="93" t="s">
        <v>20</v>
      </c>
      <c r="S31" s="93" t="s">
        <v>0</v>
      </c>
      <c r="T31" s="93" t="s">
        <v>53</v>
      </c>
      <c r="U31" s="93" t="s">
        <v>85</v>
      </c>
      <c r="V31" s="93">
        <v>4.0149999999999997</v>
      </c>
    </row>
    <row r="32" spans="1:22" s="93" customFormat="1">
      <c r="A32" s="93" t="s">
        <v>20</v>
      </c>
      <c r="B32" s="93" t="s">
        <v>55</v>
      </c>
      <c r="C32" s="93" t="s">
        <v>78</v>
      </c>
      <c r="D32" s="93" t="s">
        <v>53</v>
      </c>
      <c r="E32" s="94" t="s">
        <v>86</v>
      </c>
      <c r="F32" s="93">
        <v>3.9717500000000001</v>
      </c>
      <c r="I32" s="91" t="s">
        <v>55</v>
      </c>
      <c r="J32" s="91" t="s">
        <v>20</v>
      </c>
      <c r="K32" s="91" t="s">
        <v>78</v>
      </c>
      <c r="L32" s="91" t="s">
        <v>53</v>
      </c>
      <c r="M32" s="91" t="s">
        <v>84</v>
      </c>
      <c r="N32" s="91">
        <v>3.9717500000000001</v>
      </c>
      <c r="Q32" s="93" t="s">
        <v>57</v>
      </c>
      <c r="R32" s="93" t="s">
        <v>20</v>
      </c>
      <c r="S32" s="93" t="s">
        <v>7</v>
      </c>
      <c r="T32" s="93" t="s">
        <v>53</v>
      </c>
      <c r="U32" s="93" t="s">
        <v>85</v>
      </c>
      <c r="V32" s="93">
        <v>1</v>
      </c>
    </row>
    <row r="33" spans="1:22" s="93" customFormat="1">
      <c r="A33" s="93" t="s">
        <v>20</v>
      </c>
      <c r="B33" s="93" t="s">
        <v>55</v>
      </c>
      <c r="C33" s="93" t="s">
        <v>0</v>
      </c>
      <c r="D33" s="93" t="s">
        <v>53</v>
      </c>
      <c r="E33" s="94" t="s">
        <v>86</v>
      </c>
      <c r="F33" s="93">
        <v>4.9169999999999998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84</v>
      </c>
      <c r="N33" s="91">
        <v>5.0090000000000003</v>
      </c>
      <c r="Q33" s="93" t="s">
        <v>57</v>
      </c>
      <c r="R33" s="93" t="s">
        <v>20</v>
      </c>
      <c r="S33" s="93" t="s">
        <v>26</v>
      </c>
      <c r="T33" s="93" t="s">
        <v>53</v>
      </c>
      <c r="U33" s="93" t="s">
        <v>85</v>
      </c>
      <c r="V33" s="93">
        <v>4</v>
      </c>
    </row>
    <row r="34" spans="1:22" s="93" customFormat="1">
      <c r="A34" s="93" t="s">
        <v>20</v>
      </c>
      <c r="B34" s="93" t="s">
        <v>55</v>
      </c>
      <c r="C34" s="93" t="s">
        <v>41</v>
      </c>
      <c r="D34" s="93" t="s">
        <v>53</v>
      </c>
      <c r="E34" s="94" t="s">
        <v>86</v>
      </c>
      <c r="F34" s="93">
        <v>6783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84</v>
      </c>
      <c r="N34" s="91">
        <v>6041</v>
      </c>
    </row>
    <row r="35" spans="1:22" s="93" customFormat="1">
      <c r="A35" s="93" t="s">
        <v>20</v>
      </c>
      <c r="B35" s="93" t="s">
        <v>55</v>
      </c>
      <c r="C35" s="93" t="s">
        <v>1</v>
      </c>
      <c r="D35" s="93" t="s">
        <v>53</v>
      </c>
      <c r="E35" s="94" t="s">
        <v>86</v>
      </c>
      <c r="F35" s="93">
        <v>200000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84</v>
      </c>
      <c r="N35" s="91">
        <v>200000</v>
      </c>
    </row>
    <row r="36" spans="1:22" s="93" customFormat="1">
      <c r="A36" s="93" t="s">
        <v>20</v>
      </c>
      <c r="B36" s="93" t="s">
        <v>55</v>
      </c>
      <c r="C36" s="93" t="s">
        <v>7</v>
      </c>
      <c r="D36" s="93" t="s">
        <v>53</v>
      </c>
      <c r="E36" s="94" t="s">
        <v>86</v>
      </c>
      <c r="F36" s="93">
        <v>1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84</v>
      </c>
      <c r="N36" s="91">
        <v>1</v>
      </c>
    </row>
    <row r="37" spans="1:22" s="93" customFormat="1">
      <c r="A37" s="93" t="s">
        <v>20</v>
      </c>
      <c r="B37" s="93" t="s">
        <v>55</v>
      </c>
      <c r="C37" s="93" t="s">
        <v>26</v>
      </c>
      <c r="D37" s="93" t="s">
        <v>53</v>
      </c>
      <c r="E37" s="94" t="s">
        <v>86</v>
      </c>
      <c r="F37" s="93">
        <v>3.875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84</v>
      </c>
      <c r="N37" s="91">
        <v>4</v>
      </c>
    </row>
    <row r="38" spans="1:22" s="93" customFormat="1">
      <c r="A38" s="93" t="s">
        <v>20</v>
      </c>
      <c r="B38" s="93" t="s">
        <v>55</v>
      </c>
      <c r="C38" s="93" t="s">
        <v>29</v>
      </c>
      <c r="D38" s="93" t="s">
        <v>53</v>
      </c>
      <c r="E38" s="94" t="s">
        <v>86</v>
      </c>
      <c r="F38" s="93">
        <v>1.1865322640026403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84</v>
      </c>
      <c r="N38" s="91">
        <v>1.1865322640026403</v>
      </c>
    </row>
    <row r="39" spans="1:22" s="93" customFormat="1">
      <c r="A39" s="93" t="s">
        <v>20</v>
      </c>
      <c r="B39" s="93" t="s">
        <v>55</v>
      </c>
      <c r="C39" s="93" t="s">
        <v>42</v>
      </c>
      <c r="D39" s="93" t="s">
        <v>53</v>
      </c>
      <c r="E39" s="94" t="s">
        <v>86</v>
      </c>
      <c r="F39" s="93">
        <v>3500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84</v>
      </c>
      <c r="N39" s="91">
        <v>3500</v>
      </c>
    </row>
    <row r="40" spans="1:22" s="93" customFormat="1">
      <c r="A40" s="93" t="s">
        <v>20</v>
      </c>
      <c r="B40" s="93" t="s">
        <v>56</v>
      </c>
      <c r="C40" s="93" t="s">
        <v>78</v>
      </c>
      <c r="D40" s="93" t="s">
        <v>53</v>
      </c>
      <c r="E40" s="94" t="s">
        <v>86</v>
      </c>
      <c r="F40" s="93">
        <v>4.0563500000000001</v>
      </c>
      <c r="I40" s="91" t="s">
        <v>56</v>
      </c>
      <c r="J40" s="91" t="s">
        <v>20</v>
      </c>
      <c r="K40" s="91" t="s">
        <v>78</v>
      </c>
      <c r="L40" s="91" t="s">
        <v>53</v>
      </c>
      <c r="M40" s="91" t="s">
        <v>84</v>
      </c>
      <c r="N40" s="91">
        <v>4.145604497342033</v>
      </c>
    </row>
    <row r="41" spans="1:22" s="93" customFormat="1">
      <c r="A41" s="93" t="s">
        <v>20</v>
      </c>
      <c r="B41" s="93" t="s">
        <v>56</v>
      </c>
      <c r="C41" s="93" t="s">
        <v>0</v>
      </c>
      <c r="D41" s="93" t="s">
        <v>53</v>
      </c>
      <c r="E41" s="94" t="s">
        <v>86</v>
      </c>
      <c r="F41" s="93">
        <v>4.25</v>
      </c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84</v>
      </c>
      <c r="N41" s="91">
        <v>4.2590000000000003</v>
      </c>
    </row>
    <row r="42" spans="1:22" s="93" customFormat="1">
      <c r="A42" s="93" t="s">
        <v>20</v>
      </c>
      <c r="B42" s="93" t="s">
        <v>56</v>
      </c>
      <c r="C42" s="93" t="s">
        <v>41</v>
      </c>
      <c r="D42" s="93" t="s">
        <v>53</v>
      </c>
      <c r="E42" s="94" t="s">
        <v>86</v>
      </c>
      <c r="F42" s="93">
        <v>1127</v>
      </c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84</v>
      </c>
      <c r="N42" s="91">
        <v>2377</v>
      </c>
    </row>
    <row r="43" spans="1:22" s="93" customFormat="1">
      <c r="A43" s="93" t="s">
        <v>20</v>
      </c>
      <c r="B43" s="93" t="s">
        <v>56</v>
      </c>
      <c r="C43" s="93" t="s">
        <v>1</v>
      </c>
      <c r="D43" s="93" t="s">
        <v>53</v>
      </c>
      <c r="E43" s="94" t="s">
        <v>86</v>
      </c>
      <c r="F43" s="93">
        <v>500000</v>
      </c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84</v>
      </c>
      <c r="N43" s="91">
        <v>500000</v>
      </c>
    </row>
    <row r="44" spans="1:22" s="93" customFormat="1">
      <c r="A44" s="93" t="s">
        <v>20</v>
      </c>
      <c r="B44" s="93" t="s">
        <v>56</v>
      </c>
      <c r="C44" s="93" t="s">
        <v>7</v>
      </c>
      <c r="D44" s="93" t="s">
        <v>53</v>
      </c>
      <c r="E44" s="94" t="s">
        <v>86</v>
      </c>
      <c r="F44" s="93">
        <v>1</v>
      </c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84</v>
      </c>
      <c r="N44" s="91">
        <v>1</v>
      </c>
    </row>
    <row r="45" spans="1:22" s="93" customFormat="1">
      <c r="A45" s="93" t="s">
        <v>20</v>
      </c>
      <c r="B45" s="93" t="s">
        <v>56</v>
      </c>
      <c r="C45" s="93" t="s">
        <v>26</v>
      </c>
      <c r="D45" s="93" t="s">
        <v>53</v>
      </c>
      <c r="E45" s="94" t="s">
        <v>86</v>
      </c>
      <c r="F45" s="93">
        <v>4.25</v>
      </c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84</v>
      </c>
      <c r="N45" s="91">
        <v>4.25</v>
      </c>
    </row>
    <row r="46" spans="1:22" s="93" customFormat="1">
      <c r="A46" s="93" t="s">
        <v>20</v>
      </c>
      <c r="B46" s="93" t="s">
        <v>56</v>
      </c>
      <c r="C46" s="93" t="s">
        <v>29</v>
      </c>
      <c r="D46" s="93" t="s">
        <v>53</v>
      </c>
      <c r="E46" s="94" t="s">
        <v>86</v>
      </c>
      <c r="F46" s="93">
        <v>1.1260329890981005</v>
      </c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84</v>
      </c>
      <c r="N46" s="91">
        <v>1.2152874864401328</v>
      </c>
    </row>
    <row r="47" spans="1:22" s="93" customFormat="1">
      <c r="A47" s="93" t="s">
        <v>20</v>
      </c>
      <c r="B47" s="93" t="s">
        <v>57</v>
      </c>
      <c r="C47" s="93" t="s">
        <v>78</v>
      </c>
      <c r="D47" s="93" t="s">
        <v>53</v>
      </c>
      <c r="E47" s="94" t="s">
        <v>86</v>
      </c>
      <c r="F47" s="93">
        <v>3.9543261870321942</v>
      </c>
      <c r="I47" s="91" t="s">
        <v>57</v>
      </c>
      <c r="J47" s="91" t="s">
        <v>20</v>
      </c>
      <c r="K47" s="91" t="s">
        <v>78</v>
      </c>
      <c r="L47" s="91" t="s">
        <v>53</v>
      </c>
      <c r="M47" s="91" t="s">
        <v>84</v>
      </c>
      <c r="N47" s="91">
        <v>3.9975388163708763</v>
      </c>
    </row>
    <row r="48" spans="1:22" s="93" customFormat="1">
      <c r="A48" s="93" t="s">
        <v>20</v>
      </c>
      <c r="B48" s="93" t="s">
        <v>57</v>
      </c>
      <c r="C48" s="93" t="s">
        <v>0</v>
      </c>
      <c r="D48" s="93" t="s">
        <v>53</v>
      </c>
      <c r="E48" s="94" t="s">
        <v>86</v>
      </c>
      <c r="F48" s="93">
        <v>4.1269999999999998</v>
      </c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84</v>
      </c>
      <c r="N48" s="91">
        <v>4.1310000000000002</v>
      </c>
    </row>
    <row r="49" spans="1:14" s="93" customFormat="1">
      <c r="A49" s="93" t="s">
        <v>20</v>
      </c>
      <c r="B49" s="93" t="s">
        <v>57</v>
      </c>
      <c r="C49" s="93" t="s">
        <v>41</v>
      </c>
      <c r="D49" s="93" t="s">
        <v>53</v>
      </c>
      <c r="E49" s="94" t="s">
        <v>86</v>
      </c>
      <c r="F49" s="93">
        <v>2200</v>
      </c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84</v>
      </c>
      <c r="N49" s="91">
        <v>3137</v>
      </c>
    </row>
    <row r="50" spans="1:14" s="93" customFormat="1">
      <c r="A50" s="93" t="s">
        <v>20</v>
      </c>
      <c r="B50" s="93" t="s">
        <v>57</v>
      </c>
      <c r="C50" s="93" t="s">
        <v>1</v>
      </c>
      <c r="D50" s="93" t="s">
        <v>53</v>
      </c>
      <c r="E50" s="94" t="s">
        <v>86</v>
      </c>
      <c r="F50" s="93">
        <v>750000</v>
      </c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84</v>
      </c>
      <c r="N50" s="91">
        <v>750000</v>
      </c>
    </row>
    <row r="51" spans="1:14" s="93" customFormat="1">
      <c r="A51" s="93" t="s">
        <v>20</v>
      </c>
      <c r="B51" s="93" t="s">
        <v>57</v>
      </c>
      <c r="C51" s="93" t="s">
        <v>7</v>
      </c>
      <c r="D51" s="93" t="s">
        <v>53</v>
      </c>
      <c r="E51" s="94" t="s">
        <v>86</v>
      </c>
      <c r="F51" s="93">
        <v>1</v>
      </c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84</v>
      </c>
      <c r="N51" s="91">
        <v>1</v>
      </c>
    </row>
    <row r="52" spans="1:14" s="93" customFormat="1">
      <c r="A52" s="93" t="s">
        <v>20</v>
      </c>
      <c r="B52" s="93" t="s">
        <v>57</v>
      </c>
      <c r="C52" s="93" t="s">
        <v>26</v>
      </c>
      <c r="D52" s="93" t="s">
        <v>53</v>
      </c>
      <c r="E52" s="94" t="s">
        <v>86</v>
      </c>
      <c r="F52" s="93">
        <v>4.125</v>
      </c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84</v>
      </c>
      <c r="N52" s="91">
        <v>4.125</v>
      </c>
    </row>
    <row r="53" spans="1:14" s="93" customFormat="1">
      <c r="A53" s="93" t="s">
        <v>20</v>
      </c>
      <c r="B53" s="93" t="s">
        <v>57</v>
      </c>
      <c r="C53" s="93" t="s">
        <v>29</v>
      </c>
      <c r="D53" s="93" t="s">
        <v>53</v>
      </c>
      <c r="E53" s="94" t="s">
        <v>86</v>
      </c>
      <c r="F53" s="93">
        <v>1.0240091761302943</v>
      </c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84</v>
      </c>
      <c r="N53" s="91">
        <v>1.0672218054689764</v>
      </c>
    </row>
    <row r="54" spans="1:14" s="93" customFormat="1"/>
    <row r="55" spans="1:14" s="93" customFormat="1"/>
    <row r="56" spans="1:14" s="93" customFormat="1"/>
    <row r="57" spans="1:14" s="93" customFormat="1"/>
    <row r="58" spans="1:14" s="93" customFormat="1"/>
    <row r="59" spans="1:14" s="93" customFormat="1"/>
    <row r="60" spans="1:14" s="93" customFormat="1"/>
    <row r="61" spans="1:14" s="93" customFormat="1"/>
    <row r="62" spans="1:14" s="93" customFormat="1"/>
    <row r="63" spans="1:14" s="93" customFormat="1"/>
    <row r="64" spans="1:14" s="93" customFormat="1"/>
    <row r="65" s="93" customFormat="1"/>
    <row r="66" s="93" customFormat="1"/>
    <row r="67" s="93" customFormat="1"/>
    <row r="68" s="93" customFormat="1"/>
    <row r="69" s="93" customFormat="1"/>
    <row r="70" s="93" customFormat="1"/>
    <row r="71" s="93" customFormat="1"/>
    <row r="72" s="93" customFormat="1"/>
    <row r="73" s="93" customFormat="1"/>
    <row r="74" s="93" customFormat="1"/>
    <row r="75" s="93" customFormat="1"/>
    <row r="76" s="93" customFormat="1"/>
    <row r="77" s="93" customFormat="1"/>
    <row r="78" s="93" customFormat="1"/>
    <row r="79" s="93" customFormat="1"/>
    <row r="80" s="93" customFormat="1"/>
    <row r="81" spans="1:26" s="92" customFormat="1">
      <c r="A81" s="93"/>
      <c r="B81" s="93"/>
      <c r="C81" s="93"/>
      <c r="D81" s="93"/>
      <c r="E81" s="93"/>
      <c r="F81" s="93"/>
      <c r="I81" s="93"/>
      <c r="J81" s="93"/>
      <c r="K81" s="93"/>
      <c r="L81" s="93"/>
      <c r="M81" s="93"/>
      <c r="N81" s="93"/>
      <c r="Q81" s="93"/>
      <c r="R81" s="93"/>
      <c r="S81" s="93"/>
      <c r="T81" s="93"/>
      <c r="U81" s="93"/>
      <c r="V81" s="93"/>
      <c r="X81" s="93"/>
      <c r="Y81" s="93"/>
      <c r="Z81" s="93"/>
    </row>
    <row r="82" spans="1:26" s="92" customFormat="1">
      <c r="A82" s="93"/>
      <c r="B82" s="93"/>
      <c r="C82" s="93"/>
      <c r="D82" s="93"/>
      <c r="E82" s="93"/>
      <c r="F82" s="93"/>
      <c r="I82" s="93"/>
      <c r="J82" s="93"/>
      <c r="K82" s="93"/>
      <c r="L82" s="93"/>
      <c r="M82" s="93"/>
      <c r="N82" s="93"/>
      <c r="Q82" s="93"/>
      <c r="R82" s="93"/>
      <c r="S82" s="93"/>
      <c r="T82" s="93"/>
      <c r="U82" s="93"/>
      <c r="V82" s="93"/>
    </row>
    <row r="83" spans="1:26" s="92" customFormat="1">
      <c r="A83" s="93"/>
      <c r="B83" s="93"/>
      <c r="C83" s="93"/>
      <c r="D83" s="93"/>
      <c r="E83" s="93"/>
      <c r="F83" s="93"/>
      <c r="I83" s="93"/>
      <c r="J83" s="93"/>
      <c r="K83" s="93"/>
      <c r="L83" s="93"/>
      <c r="M83" s="93"/>
      <c r="N83" s="93"/>
      <c r="Q83" s="93"/>
      <c r="R83" s="93"/>
      <c r="S83" s="93"/>
      <c r="T83" s="93"/>
      <c r="U83" s="93"/>
      <c r="V83" s="93"/>
    </row>
    <row r="84" spans="1:26" s="92" customFormat="1">
      <c r="A84" s="93"/>
      <c r="B84" s="93"/>
      <c r="C84" s="93"/>
      <c r="D84" s="93"/>
      <c r="E84" s="93"/>
      <c r="F84" s="93"/>
      <c r="I84" s="93"/>
      <c r="J84" s="93"/>
      <c r="K84" s="93"/>
      <c r="L84" s="93"/>
      <c r="M84" s="93"/>
      <c r="N84" s="93"/>
      <c r="Q84" s="93"/>
      <c r="R84" s="93"/>
      <c r="S84" s="93"/>
      <c r="T84" s="93"/>
      <c r="U84" s="93"/>
      <c r="V84" s="93"/>
    </row>
    <row r="85" spans="1:26" s="92" customFormat="1">
      <c r="A85" s="93"/>
      <c r="B85" s="93"/>
      <c r="C85" s="93"/>
      <c r="D85" s="93"/>
      <c r="E85" s="93"/>
      <c r="F85" s="93"/>
      <c r="I85" s="93"/>
      <c r="J85" s="93"/>
      <c r="K85" s="93"/>
      <c r="L85" s="93"/>
      <c r="M85" s="93"/>
      <c r="N85" s="93"/>
      <c r="Q85" s="93"/>
      <c r="R85" s="93"/>
      <c r="S85" s="93"/>
      <c r="T85" s="93"/>
      <c r="U85" s="93"/>
      <c r="V85" s="93"/>
    </row>
    <row r="86" spans="1:26" s="92" customFormat="1">
      <c r="A86" s="93"/>
      <c r="B86" s="93"/>
      <c r="C86" s="93"/>
      <c r="D86" s="93"/>
      <c r="E86" s="93"/>
      <c r="F86" s="93"/>
      <c r="I86" s="93"/>
      <c r="J86" s="93"/>
      <c r="K86" s="93"/>
      <c r="L86" s="93"/>
      <c r="M86" s="93"/>
      <c r="N86" s="93"/>
      <c r="Q86" s="93"/>
      <c r="R86" s="93"/>
      <c r="S86" s="93"/>
      <c r="T86" s="93"/>
      <c r="U86" s="93"/>
      <c r="V86" s="93"/>
    </row>
    <row r="87" spans="1:26" s="92" customFormat="1">
      <c r="A87" s="93"/>
      <c r="B87" s="93"/>
      <c r="C87" s="93"/>
      <c r="D87" s="93"/>
      <c r="E87" s="93"/>
      <c r="F87" s="93"/>
      <c r="I87" s="93"/>
      <c r="J87" s="93"/>
      <c r="K87" s="93"/>
      <c r="L87" s="93"/>
      <c r="M87" s="93"/>
      <c r="N87" s="93"/>
      <c r="Q87" s="93"/>
      <c r="R87" s="93"/>
      <c r="S87" s="93"/>
      <c r="T87" s="93"/>
      <c r="U87" s="93"/>
      <c r="V87" s="93"/>
    </row>
    <row r="88" spans="1:26" s="92" customFormat="1">
      <c r="A88" s="93"/>
      <c r="B88" s="93"/>
      <c r="C88" s="93"/>
      <c r="D88" s="93"/>
      <c r="E88" s="93"/>
      <c r="F88" s="93"/>
      <c r="I88" s="93"/>
      <c r="J88" s="93"/>
      <c r="K88" s="93"/>
      <c r="L88" s="93"/>
      <c r="M88" s="93"/>
      <c r="N88" s="93"/>
      <c r="Q88" s="93"/>
      <c r="R88" s="93"/>
      <c r="S88" s="93"/>
      <c r="T88" s="93"/>
      <c r="U88" s="93"/>
      <c r="V88" s="93"/>
    </row>
    <row r="89" spans="1:26" s="92" customFormat="1">
      <c r="A89" s="93"/>
      <c r="B89" s="93"/>
      <c r="C89" s="93"/>
      <c r="D89" s="93"/>
      <c r="E89" s="93"/>
      <c r="F89" s="93"/>
      <c r="I89" s="93"/>
      <c r="J89" s="93"/>
      <c r="K89" s="93"/>
      <c r="L89" s="93"/>
      <c r="M89" s="93"/>
      <c r="N89" s="93"/>
      <c r="Q89" s="93"/>
      <c r="R89" s="93"/>
      <c r="S89" s="93"/>
      <c r="T89" s="93"/>
      <c r="U89" s="93"/>
      <c r="V89" s="93"/>
    </row>
    <row r="90" spans="1:26" s="92" customFormat="1">
      <c r="A90" s="93"/>
      <c r="B90" s="93"/>
      <c r="C90" s="93"/>
      <c r="D90" s="93"/>
      <c r="E90" s="93"/>
      <c r="F90" s="93"/>
      <c r="I90" s="93"/>
      <c r="J90" s="93"/>
      <c r="K90" s="93"/>
      <c r="L90" s="93"/>
      <c r="M90" s="93"/>
      <c r="N90" s="93"/>
      <c r="Q90" s="93"/>
      <c r="R90" s="93"/>
      <c r="S90" s="93"/>
      <c r="T90" s="93"/>
      <c r="U90" s="93"/>
      <c r="V90" s="93"/>
    </row>
    <row r="91" spans="1:26" s="92" customFormat="1">
      <c r="A91" s="93"/>
      <c r="B91" s="93"/>
      <c r="C91" s="93"/>
      <c r="D91" s="93"/>
      <c r="E91" s="93"/>
      <c r="F91" s="93"/>
      <c r="I91" s="93"/>
      <c r="J91" s="93"/>
      <c r="K91" s="93"/>
      <c r="L91" s="93"/>
      <c r="M91" s="93"/>
      <c r="N91" s="93"/>
      <c r="Q91" s="93"/>
      <c r="R91" s="93"/>
      <c r="S91" s="93"/>
      <c r="T91" s="93"/>
      <c r="U91" s="93"/>
      <c r="V91" s="93"/>
    </row>
    <row r="92" spans="1:26" s="92" customFormat="1">
      <c r="A92" s="93"/>
      <c r="B92" s="93"/>
      <c r="C92" s="93"/>
      <c r="D92" s="93"/>
      <c r="E92" s="93"/>
      <c r="F92" s="93"/>
      <c r="I92" s="93"/>
      <c r="J92" s="93"/>
      <c r="K92" s="93"/>
      <c r="L92" s="93"/>
      <c r="M92" s="93"/>
      <c r="N92" s="93"/>
      <c r="Q92" s="93"/>
      <c r="R92" s="93"/>
      <c r="S92" s="93"/>
      <c r="T92" s="93"/>
      <c r="U92" s="93"/>
      <c r="V92" s="93"/>
    </row>
    <row r="93" spans="1:26" s="92" customFormat="1">
      <c r="A93" s="93"/>
      <c r="B93" s="93"/>
      <c r="C93" s="93"/>
      <c r="D93" s="93"/>
      <c r="E93" s="93"/>
      <c r="F93" s="93"/>
      <c r="I93" s="93"/>
      <c r="J93" s="93"/>
      <c r="K93" s="93"/>
      <c r="L93" s="93"/>
      <c r="M93" s="93"/>
      <c r="N93" s="93"/>
      <c r="Q93" s="93"/>
      <c r="R93" s="93"/>
      <c r="S93" s="93"/>
      <c r="T93" s="93"/>
      <c r="U93" s="93"/>
      <c r="V93" s="93"/>
    </row>
    <row r="94" spans="1:26" s="92" customFormat="1">
      <c r="A94" s="93"/>
      <c r="B94" s="93"/>
      <c r="C94" s="93"/>
      <c r="D94" s="93"/>
      <c r="E94" s="93"/>
      <c r="F94" s="93"/>
      <c r="I94" s="93"/>
      <c r="J94" s="93"/>
      <c r="K94" s="93"/>
      <c r="L94" s="93"/>
      <c r="M94" s="93"/>
      <c r="N94" s="93"/>
      <c r="Q94" s="93"/>
      <c r="R94" s="93"/>
      <c r="S94" s="93"/>
      <c r="T94" s="93"/>
      <c r="U94" s="93"/>
      <c r="V94" s="93"/>
    </row>
    <row r="95" spans="1:26" s="92" customFormat="1">
      <c r="I95" s="93"/>
      <c r="J95" s="93"/>
      <c r="K95" s="93"/>
      <c r="L95" s="93"/>
      <c r="M95" s="93"/>
      <c r="N95" s="93"/>
      <c r="Q95" s="93"/>
      <c r="R95" s="93"/>
      <c r="S95" s="93"/>
      <c r="T95" s="93"/>
      <c r="U95" s="93"/>
      <c r="V95" s="93"/>
    </row>
    <row r="96" spans="1:26" s="92" customFormat="1">
      <c r="I96" s="93"/>
      <c r="J96" s="93"/>
      <c r="K96" s="93"/>
      <c r="L96" s="93"/>
      <c r="M96" s="93"/>
      <c r="N96" s="93"/>
      <c r="Q96" s="93"/>
      <c r="R96" s="93"/>
      <c r="S96" s="93"/>
      <c r="T96" s="93"/>
      <c r="U96" s="93"/>
      <c r="V96" s="93"/>
    </row>
    <row r="97" spans="9:22" s="92" customFormat="1">
      <c r="I97" s="93"/>
      <c r="J97" s="93"/>
      <c r="K97" s="93"/>
      <c r="L97" s="93"/>
      <c r="M97" s="93"/>
      <c r="N97" s="93"/>
      <c r="Q97" s="93"/>
      <c r="R97" s="93"/>
      <c r="S97" s="93"/>
      <c r="T97" s="93"/>
      <c r="U97" s="93"/>
      <c r="V97" s="93"/>
    </row>
    <row r="98" spans="9:22" s="92" customFormat="1">
      <c r="I98" s="93"/>
      <c r="J98" s="93"/>
      <c r="K98" s="93"/>
      <c r="L98" s="93"/>
      <c r="M98" s="93"/>
      <c r="N98" s="93"/>
      <c r="Q98" s="93"/>
      <c r="R98" s="93"/>
      <c r="S98" s="93"/>
      <c r="T98" s="93"/>
      <c r="U98" s="93"/>
      <c r="V98" s="93"/>
    </row>
    <row r="99" spans="9:22" s="92" customFormat="1">
      <c r="I99" s="93"/>
      <c r="J99" s="93"/>
      <c r="K99" s="93"/>
      <c r="L99" s="93"/>
      <c r="M99" s="93"/>
      <c r="N99" s="93"/>
      <c r="Q99" s="93"/>
      <c r="R99" s="93"/>
      <c r="S99" s="93"/>
      <c r="T99" s="93"/>
      <c r="U99" s="93"/>
      <c r="V99" s="93"/>
    </row>
    <row r="100" spans="9:22" s="92" customFormat="1">
      <c r="I100" s="93"/>
      <c r="J100" s="93"/>
      <c r="K100" s="93"/>
      <c r="L100" s="93"/>
      <c r="M100" s="93"/>
      <c r="N100" s="93"/>
      <c r="Q100" s="93"/>
      <c r="R100" s="93"/>
      <c r="S100" s="93"/>
      <c r="T100" s="93"/>
      <c r="U100" s="93"/>
      <c r="V100" s="93"/>
    </row>
    <row r="101" spans="9:22" s="92" customFormat="1">
      <c r="Q101" s="93"/>
      <c r="R101" s="93"/>
      <c r="S101" s="93"/>
      <c r="T101" s="93"/>
      <c r="U101" s="93"/>
      <c r="V101" s="93"/>
    </row>
    <row r="102" spans="9:22" s="92" customFormat="1">
      <c r="Q102" s="93"/>
      <c r="R102" s="93"/>
      <c r="S102" s="93"/>
      <c r="T102" s="93"/>
      <c r="U102" s="93"/>
      <c r="V102" s="93"/>
    </row>
    <row r="103" spans="9:22" s="92" customFormat="1">
      <c r="Q103" s="93"/>
      <c r="R103" s="93"/>
      <c r="S103" s="93"/>
      <c r="T103" s="93"/>
      <c r="U103" s="93"/>
      <c r="V103" s="93"/>
    </row>
    <row r="104" spans="9:22" s="92" customFormat="1">
      <c r="Q104" s="93"/>
      <c r="R104" s="93"/>
      <c r="S104" s="93"/>
      <c r="T104" s="93"/>
      <c r="U104" s="93"/>
      <c r="V104" s="93"/>
    </row>
    <row r="105" spans="9:22" s="92" customFormat="1">
      <c r="Q105" s="93"/>
      <c r="R105" s="93"/>
      <c r="S105" s="93"/>
      <c r="T105" s="93"/>
      <c r="U105" s="93"/>
      <c r="V105" s="93"/>
    </row>
    <row r="106" spans="9:22" s="92" customFormat="1">
      <c r="Q106" s="93"/>
      <c r="R106" s="93"/>
      <c r="S106" s="93"/>
      <c r="T106" s="93"/>
      <c r="U106" s="93"/>
      <c r="V106" s="93"/>
    </row>
    <row r="107" spans="9:22" s="92" customFormat="1" ht="12"/>
    <row r="108" spans="9:22" s="92" customFormat="1" ht="12"/>
    <row r="109" spans="9:22" s="92" customFormat="1" ht="12"/>
    <row r="110" spans="9:22" s="92" customFormat="1" ht="12"/>
    <row r="111" spans="9:22" s="92" customFormat="1" ht="12"/>
    <row r="112" spans="9:22" s="92" customFormat="1" ht="12"/>
    <row r="113" s="92" customFormat="1" ht="12"/>
    <row r="114" s="92" customFormat="1" ht="12"/>
    <row r="115" s="92" customFormat="1" ht="12"/>
    <row r="116" s="92" customFormat="1" ht="12"/>
    <row r="117" s="92" customFormat="1" ht="12"/>
    <row r="118" s="92" customFormat="1" ht="12"/>
    <row r="119" s="92" customFormat="1" ht="12"/>
    <row r="120" s="92" customFormat="1" ht="12"/>
    <row r="121" s="92" customFormat="1" ht="12"/>
    <row r="122" s="92" customFormat="1" ht="12"/>
    <row r="123" s="92" customFormat="1" ht="12"/>
    <row r="124" s="92" customFormat="1" ht="12"/>
    <row r="125" s="92" customFormat="1" ht="12"/>
    <row r="126" s="92" customFormat="1" ht="12"/>
    <row r="127" s="92" customFormat="1" ht="12"/>
    <row r="128" s="92" customFormat="1" ht="12"/>
    <row r="129" s="92" customFormat="1" ht="12"/>
    <row r="130" s="92" customFormat="1" ht="12"/>
    <row r="131" s="92" customFormat="1" ht="12"/>
    <row r="132" s="92" customFormat="1" ht="12"/>
    <row r="133" s="92" customFormat="1" ht="12"/>
    <row r="134" s="92" customFormat="1" ht="12"/>
    <row r="135" s="92" customFormat="1" ht="12"/>
    <row r="136" s="92" customFormat="1" ht="12"/>
    <row r="137" s="92" customFormat="1" ht="12"/>
    <row r="138" s="92" customFormat="1" ht="12"/>
    <row r="139" s="92" customFormat="1" ht="12"/>
    <row r="140" s="92" customFormat="1" ht="12"/>
    <row r="141" s="92" customFormat="1" ht="12"/>
    <row r="142" s="92" customFormat="1" ht="12"/>
    <row r="143" s="92" customFormat="1" ht="12"/>
    <row r="144" s="92" customFormat="1" ht="12"/>
    <row r="145" spans="1:26" s="92" customFormat="1" ht="12"/>
    <row r="146" spans="1:26" s="92" customFormat="1" ht="12"/>
    <row r="147" spans="1:26" s="92" customFormat="1" ht="12"/>
    <row r="148" spans="1:26" s="92" customFormat="1" ht="12"/>
    <row r="149" spans="1:26" s="92" customFormat="1" ht="12"/>
    <row r="150" spans="1:26" s="92" customFormat="1" ht="12"/>
    <row r="151" spans="1:26" s="92" customFormat="1" ht="12"/>
    <row r="152" spans="1:26" s="92" customFormat="1" ht="12"/>
    <row r="153" spans="1:26" s="92" customFormat="1" ht="12"/>
    <row r="154" spans="1:26">
      <c r="A154" s="92"/>
      <c r="B154" s="92"/>
      <c r="C154" s="92"/>
      <c r="D154" s="92"/>
      <c r="E154" s="92"/>
      <c r="F154" s="92"/>
      <c r="I154" s="92"/>
      <c r="J154" s="92"/>
      <c r="K154" s="92"/>
      <c r="L154" s="92"/>
      <c r="M154" s="92"/>
      <c r="N154" s="92"/>
      <c r="Q154" s="92"/>
      <c r="R154" s="92"/>
      <c r="S154" s="92"/>
      <c r="T154" s="92"/>
      <c r="U154" s="92"/>
      <c r="V154" s="92"/>
      <c r="X154" s="92"/>
      <c r="Y154" s="92"/>
      <c r="Z154" s="92"/>
    </row>
    <row r="155" spans="1:26">
      <c r="A155" s="92"/>
      <c r="B155" s="92"/>
      <c r="C155" s="92"/>
      <c r="D155" s="92"/>
      <c r="E155" s="92"/>
      <c r="F155" s="92"/>
      <c r="I155" s="92"/>
      <c r="J155" s="92"/>
      <c r="K155" s="92"/>
      <c r="L155" s="92"/>
      <c r="M155" s="92"/>
      <c r="N155" s="92"/>
      <c r="Q155" s="92"/>
      <c r="R155" s="92"/>
      <c r="S155" s="92"/>
      <c r="T155" s="92"/>
      <c r="U155" s="92"/>
      <c r="V155" s="92"/>
    </row>
    <row r="156" spans="1:26">
      <c r="A156" s="92"/>
      <c r="B156" s="92"/>
      <c r="C156" s="92"/>
      <c r="D156" s="92"/>
      <c r="E156" s="92"/>
      <c r="F156" s="92"/>
      <c r="I156" s="92"/>
      <c r="J156" s="92"/>
      <c r="K156" s="92"/>
      <c r="L156" s="92"/>
      <c r="M156" s="92"/>
      <c r="N156" s="92"/>
      <c r="Q156" s="92"/>
      <c r="R156" s="92"/>
      <c r="S156" s="92"/>
      <c r="T156" s="92"/>
      <c r="U156" s="92"/>
      <c r="V156" s="92"/>
    </row>
    <row r="157" spans="1:26">
      <c r="A157" s="92"/>
      <c r="B157" s="92"/>
      <c r="C157" s="92"/>
      <c r="D157" s="92"/>
      <c r="E157" s="92"/>
      <c r="F157" s="92"/>
      <c r="I157" s="92"/>
      <c r="J157" s="92"/>
      <c r="K157" s="92"/>
      <c r="L157" s="92"/>
      <c r="M157" s="92"/>
      <c r="N157" s="92"/>
      <c r="Q157" s="92"/>
      <c r="R157" s="92"/>
      <c r="S157" s="92"/>
      <c r="T157" s="92"/>
      <c r="U157" s="92"/>
      <c r="V157" s="92"/>
    </row>
    <row r="158" spans="1:26">
      <c r="A158" s="92"/>
      <c r="B158" s="92"/>
      <c r="C158" s="92"/>
      <c r="D158" s="92"/>
      <c r="E158" s="92"/>
      <c r="F158" s="92"/>
      <c r="I158" s="92"/>
      <c r="J158" s="92"/>
      <c r="K158" s="92"/>
      <c r="L158" s="92"/>
      <c r="M158" s="92"/>
      <c r="N158" s="92"/>
      <c r="Q158" s="92"/>
      <c r="R158" s="92"/>
      <c r="S158" s="92"/>
      <c r="T158" s="92"/>
      <c r="U158" s="92"/>
      <c r="V158" s="92"/>
    </row>
    <row r="159" spans="1:26">
      <c r="A159" s="92"/>
      <c r="B159" s="92"/>
      <c r="C159" s="92"/>
      <c r="D159" s="92"/>
      <c r="E159" s="92"/>
      <c r="F159" s="92"/>
      <c r="I159" s="92"/>
      <c r="J159" s="92"/>
      <c r="K159" s="92"/>
      <c r="L159" s="92"/>
      <c r="M159" s="92"/>
      <c r="N159" s="92"/>
      <c r="Q159" s="92"/>
      <c r="R159" s="92"/>
      <c r="S159" s="92"/>
      <c r="T159" s="92"/>
      <c r="U159" s="92"/>
      <c r="V159" s="92"/>
    </row>
    <row r="160" spans="1:26">
      <c r="A160" s="92"/>
      <c r="B160" s="92"/>
      <c r="C160" s="92"/>
      <c r="D160" s="92"/>
      <c r="E160" s="92"/>
      <c r="F160" s="92"/>
      <c r="I160" s="92"/>
      <c r="J160" s="92"/>
      <c r="K160" s="92"/>
      <c r="L160" s="92"/>
      <c r="M160" s="92"/>
      <c r="N160" s="92"/>
      <c r="Q160" s="92"/>
      <c r="R160" s="92"/>
      <c r="S160" s="92"/>
      <c r="T160" s="92"/>
      <c r="U160" s="92"/>
      <c r="V160" s="92"/>
    </row>
    <row r="161" spans="1:22">
      <c r="A161" s="92"/>
      <c r="B161" s="92"/>
      <c r="C161" s="92"/>
      <c r="D161" s="92"/>
      <c r="E161" s="92"/>
      <c r="F161" s="92"/>
      <c r="I161" s="92"/>
      <c r="J161" s="92"/>
      <c r="K161" s="92"/>
      <c r="L161" s="92"/>
      <c r="M161" s="92"/>
      <c r="N161" s="92"/>
      <c r="Q161" s="92"/>
      <c r="R161" s="92"/>
      <c r="S161" s="92"/>
      <c r="T161" s="92"/>
      <c r="U161" s="92"/>
      <c r="V161" s="92"/>
    </row>
    <row r="162" spans="1:22">
      <c r="A162" s="92"/>
      <c r="B162" s="92"/>
      <c r="C162" s="92"/>
      <c r="D162" s="92"/>
      <c r="E162" s="92"/>
      <c r="F162" s="92"/>
      <c r="I162" s="92"/>
      <c r="J162" s="92"/>
      <c r="K162" s="92"/>
      <c r="L162" s="92"/>
      <c r="M162" s="92"/>
      <c r="N162" s="92"/>
      <c r="Q162" s="92"/>
      <c r="R162" s="92"/>
      <c r="S162" s="92"/>
      <c r="T162" s="92"/>
      <c r="U162" s="92"/>
      <c r="V162" s="92"/>
    </row>
    <row r="163" spans="1:22">
      <c r="A163" s="92"/>
      <c r="B163" s="92"/>
      <c r="C163" s="92"/>
      <c r="D163" s="92"/>
      <c r="E163" s="92"/>
      <c r="F163" s="92"/>
      <c r="I163" s="92"/>
      <c r="J163" s="92"/>
      <c r="K163" s="92"/>
      <c r="L163" s="92"/>
      <c r="M163" s="92"/>
      <c r="N163" s="92"/>
      <c r="Q163" s="92"/>
      <c r="R163" s="92"/>
      <c r="S163" s="92"/>
      <c r="T163" s="92"/>
      <c r="U163" s="92"/>
      <c r="V163" s="92"/>
    </row>
    <row r="164" spans="1:22">
      <c r="A164" s="92"/>
      <c r="B164" s="92"/>
      <c r="C164" s="92"/>
      <c r="D164" s="92"/>
      <c r="E164" s="92"/>
      <c r="F164" s="92"/>
      <c r="I164" s="92"/>
      <c r="J164" s="92"/>
      <c r="K164" s="92"/>
      <c r="L164" s="92"/>
      <c r="M164" s="92"/>
      <c r="N164" s="92"/>
      <c r="Q164" s="92"/>
      <c r="R164" s="92"/>
      <c r="S164" s="92"/>
      <c r="T164" s="92"/>
      <c r="U164" s="92"/>
      <c r="V164" s="92"/>
    </row>
    <row r="165" spans="1:22">
      <c r="A165" s="92"/>
      <c r="B165" s="92"/>
      <c r="C165" s="92"/>
      <c r="D165" s="92"/>
      <c r="E165" s="92"/>
      <c r="F165" s="92"/>
      <c r="I165" s="92"/>
      <c r="J165" s="92"/>
      <c r="K165" s="92"/>
      <c r="L165" s="92"/>
      <c r="M165" s="92"/>
      <c r="N165" s="92"/>
      <c r="Q165" s="92"/>
      <c r="R165" s="92"/>
      <c r="S165" s="92"/>
      <c r="T165" s="92"/>
      <c r="U165" s="92"/>
      <c r="V165" s="92"/>
    </row>
    <row r="166" spans="1:22">
      <c r="A166" s="92"/>
      <c r="B166" s="92"/>
      <c r="C166" s="92"/>
      <c r="D166" s="92"/>
      <c r="E166" s="92"/>
      <c r="F166" s="92"/>
      <c r="I166" s="92"/>
      <c r="J166" s="92"/>
      <c r="K166" s="92"/>
      <c r="L166" s="92"/>
      <c r="M166" s="92"/>
      <c r="N166" s="92"/>
      <c r="Q166" s="92"/>
      <c r="R166" s="92"/>
      <c r="S166" s="92"/>
      <c r="T166" s="92"/>
      <c r="U166" s="92"/>
      <c r="V166" s="92"/>
    </row>
    <row r="167" spans="1:22">
      <c r="A167" s="92"/>
      <c r="B167" s="92"/>
      <c r="C167" s="92"/>
      <c r="D167" s="92"/>
      <c r="E167" s="92"/>
      <c r="F167" s="92"/>
      <c r="I167" s="92"/>
      <c r="J167" s="92"/>
      <c r="K167" s="92"/>
      <c r="L167" s="92"/>
      <c r="M167" s="92"/>
      <c r="N167" s="92"/>
      <c r="Q167" s="92"/>
      <c r="R167" s="92"/>
      <c r="S167" s="92"/>
      <c r="T167" s="92"/>
      <c r="U167" s="92"/>
      <c r="V167" s="92"/>
    </row>
    <row r="168" spans="1:22">
      <c r="I168" s="92"/>
      <c r="J168" s="92"/>
      <c r="K168" s="92"/>
      <c r="L168" s="92"/>
      <c r="M168" s="92"/>
      <c r="N168" s="92"/>
      <c r="Q168" s="92"/>
      <c r="R168" s="92"/>
      <c r="S168" s="92"/>
      <c r="T168" s="92"/>
      <c r="U168" s="92"/>
      <c r="V168" s="92"/>
    </row>
    <row r="169" spans="1:22">
      <c r="I169" s="92"/>
      <c r="J169" s="92"/>
      <c r="K169" s="92"/>
      <c r="L169" s="92"/>
      <c r="M169" s="92"/>
      <c r="N169" s="92"/>
      <c r="Q169" s="92"/>
      <c r="R169" s="92"/>
      <c r="S169" s="92"/>
      <c r="T169" s="92"/>
      <c r="U169" s="92"/>
      <c r="V169" s="92"/>
    </row>
    <row r="170" spans="1:22">
      <c r="I170" s="92"/>
      <c r="J170" s="92"/>
      <c r="K170" s="92"/>
      <c r="L170" s="92"/>
      <c r="M170" s="92"/>
      <c r="N170" s="92"/>
      <c r="Q170" s="92"/>
      <c r="R170" s="92"/>
      <c r="S170" s="92"/>
      <c r="T170" s="92"/>
      <c r="U170" s="92"/>
      <c r="V170" s="92"/>
    </row>
    <row r="171" spans="1:22">
      <c r="I171" s="92"/>
      <c r="J171" s="92"/>
      <c r="K171" s="92"/>
      <c r="L171" s="92"/>
      <c r="M171" s="92"/>
      <c r="N171" s="92"/>
      <c r="Q171" s="92"/>
      <c r="R171" s="92"/>
      <c r="S171" s="92"/>
      <c r="T171" s="92"/>
      <c r="U171" s="92"/>
      <c r="V171" s="92"/>
    </row>
    <row r="172" spans="1:22">
      <c r="I172" s="92"/>
      <c r="J172" s="92"/>
      <c r="K172" s="92"/>
      <c r="L172" s="92"/>
      <c r="M172" s="92"/>
      <c r="N172" s="92"/>
      <c r="Q172" s="92"/>
      <c r="R172" s="92"/>
      <c r="S172" s="92"/>
      <c r="T172" s="92"/>
      <c r="U172" s="92"/>
      <c r="V172" s="92"/>
    </row>
    <row r="173" spans="1:22">
      <c r="I173" s="92"/>
      <c r="J173" s="92"/>
      <c r="K173" s="92"/>
      <c r="L173" s="92"/>
      <c r="M173" s="92"/>
      <c r="N173" s="92"/>
      <c r="Q173" s="92"/>
      <c r="R173" s="92"/>
      <c r="S173" s="92"/>
      <c r="T173" s="92"/>
      <c r="U173" s="92"/>
      <c r="V173" s="92"/>
    </row>
    <row r="174" spans="1:22">
      <c r="Q174" s="92"/>
      <c r="R174" s="92"/>
      <c r="S174" s="92"/>
      <c r="T174" s="92"/>
      <c r="U174" s="92"/>
      <c r="V174" s="92"/>
    </row>
    <row r="175" spans="1:22">
      <c r="Q175" s="92"/>
      <c r="R175" s="92"/>
      <c r="S175" s="92"/>
      <c r="T175" s="92"/>
      <c r="U175" s="92"/>
      <c r="V175" s="92"/>
    </row>
    <row r="176" spans="1:22">
      <c r="Q176" s="92"/>
      <c r="R176" s="92"/>
      <c r="S176" s="92"/>
      <c r="T176" s="92"/>
      <c r="U176" s="92"/>
      <c r="V176" s="92"/>
    </row>
    <row r="177" spans="17:22">
      <c r="Q177" s="92"/>
      <c r="R177" s="92"/>
      <c r="S177" s="92"/>
      <c r="T177" s="92"/>
      <c r="U177" s="92"/>
      <c r="V177" s="92"/>
    </row>
    <row r="178" spans="17:22">
      <c r="Q178" s="92"/>
      <c r="R178" s="92"/>
      <c r="S178" s="92"/>
      <c r="T178" s="92"/>
      <c r="U178" s="92"/>
      <c r="V178" s="92"/>
    </row>
    <row r="179" spans="17:22">
      <c r="Q179" s="92"/>
      <c r="R179" s="92"/>
      <c r="S179" s="92"/>
      <c r="T179" s="92"/>
      <c r="U179" s="92"/>
      <c r="V179" s="92"/>
    </row>
  </sheetData>
  <pageMargins left="0.7" right="0.7" top="0.75" bottom="0.75" header="0.3" footer="0.3"/>
  <pageSetup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K66"/>
  <sheetViews>
    <sheetView workbookViewId="0">
      <selection activeCell="B67" sqref="B67"/>
    </sheetView>
  </sheetViews>
  <sheetFormatPr defaultRowHeight="15"/>
  <cols>
    <col min="1" max="1" width="22.85546875" bestFit="1" customWidth="1"/>
    <col min="2" max="2" width="15.42578125" bestFit="1" customWidth="1"/>
    <col min="3" max="3" width="27.5703125" bestFit="1" customWidth="1"/>
    <col min="4" max="4" width="13.7109375" customWidth="1"/>
    <col min="5" max="5" width="10.85546875" customWidth="1"/>
    <col min="6" max="6" width="13.5703125" customWidth="1"/>
    <col min="7" max="7" width="14.140625" customWidth="1"/>
    <col min="8" max="8" width="18.140625" customWidth="1"/>
    <col min="9" max="9" width="12" bestFit="1" customWidth="1"/>
  </cols>
  <sheetData>
    <row r="1" spans="1:11" ht="19.5">
      <c r="A1" s="164" t="s">
        <v>68</v>
      </c>
      <c r="B1" s="164"/>
      <c r="C1" s="164"/>
      <c r="D1" s="164"/>
      <c r="E1" s="164"/>
      <c r="F1" s="164"/>
      <c r="G1" s="164"/>
      <c r="H1" s="164"/>
      <c r="I1" s="164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 s="42" t="s">
        <v>78</v>
      </c>
      <c r="K4" s="42" t="s">
        <v>29</v>
      </c>
    </row>
    <row r="5" spans="1:11">
      <c r="A5" s="1" t="s">
        <v>86</v>
      </c>
      <c r="B5" s="1" t="s">
        <v>20</v>
      </c>
      <c r="C5" s="1" t="s">
        <v>54</v>
      </c>
      <c r="D5" s="40">
        <v>4.125</v>
      </c>
      <c r="E5" s="40">
        <v>1</v>
      </c>
      <c r="F5" s="40">
        <v>4.1619999999999999</v>
      </c>
      <c r="G5" s="40">
        <v>2518</v>
      </c>
      <c r="H5" s="40">
        <v>200000</v>
      </c>
      <c r="I5" s="40"/>
      <c r="J5" s="40">
        <v>4.3002725972031506</v>
      </c>
      <c r="K5" s="40">
        <v>1.3699555863012505</v>
      </c>
    </row>
    <row r="6" spans="1:11">
      <c r="A6" s="1" t="s">
        <v>86</v>
      </c>
      <c r="B6" s="1" t="s">
        <v>20</v>
      </c>
      <c r="C6" s="1" t="s">
        <v>55</v>
      </c>
      <c r="D6" s="40">
        <v>3.875</v>
      </c>
      <c r="E6" s="40">
        <v>1</v>
      </c>
      <c r="F6" s="40">
        <v>4.9169999999999998</v>
      </c>
      <c r="G6" s="40">
        <v>6783</v>
      </c>
      <c r="H6" s="40">
        <v>200000</v>
      </c>
      <c r="I6" s="40">
        <v>3500</v>
      </c>
      <c r="J6" s="40">
        <v>3.9717500000000001</v>
      </c>
      <c r="K6" s="40">
        <v>1.1865322640026403</v>
      </c>
    </row>
    <row r="7" spans="1:11">
      <c r="A7" s="1" t="s">
        <v>86</v>
      </c>
      <c r="B7" s="1" t="s">
        <v>20</v>
      </c>
      <c r="C7" s="1" t="s">
        <v>56</v>
      </c>
      <c r="D7" s="40">
        <v>4.25</v>
      </c>
      <c r="E7" s="40">
        <v>1</v>
      </c>
      <c r="F7" s="40">
        <v>4.25</v>
      </c>
      <c r="G7" s="40">
        <v>1127</v>
      </c>
      <c r="H7" s="40">
        <v>500000</v>
      </c>
      <c r="I7" s="40"/>
      <c r="J7" s="40">
        <v>4.0563500000000001</v>
      </c>
      <c r="K7" s="40">
        <v>1.1260329890981005</v>
      </c>
    </row>
    <row r="8" spans="1:11">
      <c r="A8" s="1" t="s">
        <v>86</v>
      </c>
      <c r="B8" s="1" t="s">
        <v>20</v>
      </c>
      <c r="C8" s="1" t="s">
        <v>57</v>
      </c>
      <c r="D8" s="40">
        <v>4.125</v>
      </c>
      <c r="E8" s="40">
        <v>1</v>
      </c>
      <c r="F8" s="40">
        <v>4.1269999999999998</v>
      </c>
      <c r="G8" s="40">
        <v>2200</v>
      </c>
      <c r="H8" s="40">
        <v>750000</v>
      </c>
      <c r="I8" s="40"/>
      <c r="J8" s="40">
        <v>3.9543261870321942</v>
      </c>
      <c r="K8" s="40">
        <v>1.0240091761302943</v>
      </c>
    </row>
    <row r="9" spans="1:11">
      <c r="A9" s="1" t="s">
        <v>86</v>
      </c>
      <c r="B9" s="1" t="s">
        <v>19</v>
      </c>
      <c r="C9" s="1" t="s">
        <v>54</v>
      </c>
      <c r="D9" s="40">
        <v>3.875</v>
      </c>
      <c r="E9" s="40">
        <v>2.25</v>
      </c>
      <c r="F9" s="40">
        <v>4.1349999999999998</v>
      </c>
      <c r="G9" s="40"/>
      <c r="H9" s="40"/>
      <c r="I9" s="40"/>
      <c r="J9" s="40">
        <v>4.3975094107446839</v>
      </c>
      <c r="K9" s="40">
        <v>1.4671923998427845</v>
      </c>
    </row>
    <row r="10" spans="1:11">
      <c r="A10" s="1" t="s">
        <v>86</v>
      </c>
      <c r="B10" s="1" t="s">
        <v>19</v>
      </c>
      <c r="C10" s="1" t="s">
        <v>55</v>
      </c>
      <c r="D10" s="40">
        <v>3.5</v>
      </c>
      <c r="E10" s="40">
        <v>2.125</v>
      </c>
      <c r="F10" s="40">
        <v>4.3879999999999999</v>
      </c>
      <c r="G10" s="40"/>
      <c r="H10" s="40"/>
      <c r="I10" s="40"/>
      <c r="J10" s="40"/>
      <c r="K10" s="40"/>
    </row>
    <row r="11" spans="1:11">
      <c r="A11" s="1" t="s">
        <v>86</v>
      </c>
      <c r="B11" s="1" t="s">
        <v>17</v>
      </c>
      <c r="C11" s="1" t="s">
        <v>54</v>
      </c>
      <c r="D11" s="40">
        <v>4</v>
      </c>
      <c r="E11" s="40">
        <v>0.95399999999999996</v>
      </c>
      <c r="F11" s="40">
        <v>4.1900000000000004</v>
      </c>
      <c r="G11" s="40"/>
      <c r="H11" s="40"/>
      <c r="I11" s="40"/>
      <c r="J11" s="40">
        <v>4.313965889771076</v>
      </c>
      <c r="K11" s="40">
        <v>1.3836488788691759</v>
      </c>
    </row>
    <row r="12" spans="1:11">
      <c r="A12" s="1" t="s">
        <v>86</v>
      </c>
      <c r="B12" s="1" t="s">
        <v>18</v>
      </c>
      <c r="C12" s="1" t="s">
        <v>54</v>
      </c>
      <c r="D12" s="40">
        <v>4</v>
      </c>
      <c r="E12" s="40">
        <v>1</v>
      </c>
      <c r="F12" s="40">
        <v>4.0830000000000002</v>
      </c>
      <c r="G12" s="40"/>
      <c r="H12" s="40"/>
      <c r="I12" s="40"/>
      <c r="J12" s="40">
        <v>3.9987193359155064</v>
      </c>
      <c r="K12" s="40">
        <v>1.0684023250136065</v>
      </c>
    </row>
    <row r="28" spans="1:11" ht="19.5">
      <c r="A28" s="164" t="s">
        <v>69</v>
      </c>
      <c r="B28" s="164"/>
      <c r="C28" s="164"/>
      <c r="D28" s="164"/>
      <c r="E28" s="164"/>
      <c r="F28" s="164"/>
      <c r="G28" s="164"/>
      <c r="H28" s="164"/>
      <c r="I28" s="164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78</v>
      </c>
      <c r="K30" s="42" t="s">
        <v>29</v>
      </c>
    </row>
    <row r="31" spans="1:11">
      <c r="A31" s="1" t="s">
        <v>84</v>
      </c>
      <c r="B31" s="1" t="s">
        <v>20</v>
      </c>
      <c r="C31" s="1" t="s">
        <v>54</v>
      </c>
      <c r="D31" s="40">
        <v>4.125</v>
      </c>
      <c r="E31" s="40">
        <v>1</v>
      </c>
      <c r="F31" s="40">
        <v>4.173</v>
      </c>
      <c r="G31" s="40">
        <v>2768</v>
      </c>
      <c r="H31" s="40">
        <v>200000</v>
      </c>
      <c r="I31" s="40"/>
      <c r="J31" s="40">
        <v>4.3642403763055508</v>
      </c>
      <c r="K31" s="40">
        <v>1.4339233654036512</v>
      </c>
    </row>
    <row r="32" spans="1:11">
      <c r="A32" s="1" t="s">
        <v>84</v>
      </c>
      <c r="B32" s="1" t="s">
        <v>20</v>
      </c>
      <c r="C32" s="1" t="s">
        <v>55</v>
      </c>
      <c r="D32" s="40">
        <v>4</v>
      </c>
      <c r="E32" s="40">
        <v>1</v>
      </c>
      <c r="F32" s="40">
        <v>5.0090000000000003</v>
      </c>
      <c r="G32" s="40">
        <v>6041</v>
      </c>
      <c r="H32" s="40">
        <v>200000</v>
      </c>
      <c r="I32" s="40">
        <v>3500</v>
      </c>
      <c r="J32" s="40">
        <v>3.9717500000000001</v>
      </c>
      <c r="K32" s="40">
        <v>1.1865322640026403</v>
      </c>
    </row>
    <row r="33" spans="1:11">
      <c r="A33" s="1" t="s">
        <v>84</v>
      </c>
      <c r="B33" s="1" t="s">
        <v>20</v>
      </c>
      <c r="C33" s="1" t="s">
        <v>56</v>
      </c>
      <c r="D33" s="40">
        <v>4.25</v>
      </c>
      <c r="E33" s="40">
        <v>1</v>
      </c>
      <c r="F33" s="40">
        <v>4.2590000000000003</v>
      </c>
      <c r="G33" s="40">
        <v>2377</v>
      </c>
      <c r="H33" s="40">
        <v>500000</v>
      </c>
      <c r="I33" s="40"/>
      <c r="J33" s="40">
        <v>4.145604497342033</v>
      </c>
      <c r="K33" s="40">
        <v>1.2152874864401328</v>
      </c>
    </row>
    <row r="34" spans="1:11">
      <c r="A34" s="1" t="s">
        <v>84</v>
      </c>
      <c r="B34" s="1" t="s">
        <v>20</v>
      </c>
      <c r="C34" s="1" t="s">
        <v>57</v>
      </c>
      <c r="D34" s="40">
        <v>4.125</v>
      </c>
      <c r="E34" s="40">
        <v>1</v>
      </c>
      <c r="F34" s="40">
        <v>4.1310000000000002</v>
      </c>
      <c r="G34" s="40">
        <v>3137</v>
      </c>
      <c r="H34" s="40">
        <v>750000</v>
      </c>
      <c r="I34" s="40"/>
      <c r="J34" s="40">
        <v>3.9975388163708763</v>
      </c>
      <c r="K34" s="40">
        <v>1.0672218054689764</v>
      </c>
    </row>
    <row r="35" spans="1:11">
      <c r="A35" s="1" t="s">
        <v>84</v>
      </c>
      <c r="B35" s="1" t="s">
        <v>19</v>
      </c>
      <c r="C35" s="1" t="s">
        <v>54</v>
      </c>
      <c r="D35" s="40">
        <v>3.99</v>
      </c>
      <c r="E35" s="40">
        <v>1.625</v>
      </c>
      <c r="F35" s="40">
        <v>4.1980000000000004</v>
      </c>
      <c r="G35" s="40"/>
      <c r="H35" s="40"/>
      <c r="I35" s="40"/>
      <c r="J35" s="40">
        <v>4.356765969784167</v>
      </c>
      <c r="K35" s="40">
        <v>1.4264489588822669</v>
      </c>
    </row>
    <row r="36" spans="1:11">
      <c r="A36" s="1" t="s">
        <v>84</v>
      </c>
      <c r="B36" s="1" t="s">
        <v>19</v>
      </c>
      <c r="C36" s="1" t="s">
        <v>55</v>
      </c>
      <c r="D36" s="40">
        <v>3.5</v>
      </c>
      <c r="E36" s="40">
        <v>2.25</v>
      </c>
      <c r="F36" s="40">
        <v>4.4000000000000004</v>
      </c>
      <c r="G36" s="40"/>
      <c r="H36" s="40"/>
      <c r="I36" s="40"/>
      <c r="J36" s="40"/>
      <c r="K36" s="40"/>
    </row>
    <row r="37" spans="1:11">
      <c r="A37" s="1" t="s">
        <v>84</v>
      </c>
      <c r="B37" s="1" t="s">
        <v>17</v>
      </c>
      <c r="C37" s="1" t="s">
        <v>54</v>
      </c>
      <c r="D37" s="40">
        <v>4</v>
      </c>
      <c r="E37" s="40">
        <v>1.163</v>
      </c>
      <c r="F37" s="40">
        <v>4.2080000000000002</v>
      </c>
      <c r="G37" s="40"/>
      <c r="H37" s="40"/>
      <c r="I37" s="40"/>
      <c r="J37" s="40">
        <v>4.3664099742286595</v>
      </c>
      <c r="K37" s="40">
        <v>1.4360929633267601</v>
      </c>
    </row>
    <row r="38" spans="1:11">
      <c r="A38" s="1" t="s">
        <v>84</v>
      </c>
      <c r="B38" s="1" t="s">
        <v>18</v>
      </c>
      <c r="C38" s="1" t="s">
        <v>54</v>
      </c>
      <c r="D38" s="40">
        <v>4.125</v>
      </c>
      <c r="E38" s="40">
        <v>0.625</v>
      </c>
      <c r="F38" s="40">
        <v>4.1769999999999996</v>
      </c>
      <c r="G38" s="40"/>
      <c r="H38" s="40"/>
      <c r="I38" s="40"/>
      <c r="J38" s="40">
        <v>4.0301218665618999</v>
      </c>
      <c r="K38" s="40">
        <v>1.09980485566</v>
      </c>
    </row>
    <row r="56" spans="1:9" ht="19.5">
      <c r="A56" s="164" t="s">
        <v>70</v>
      </c>
      <c r="B56" s="164"/>
      <c r="C56" s="164"/>
      <c r="D56" s="164"/>
      <c r="E56" s="164"/>
      <c r="F56" s="164"/>
      <c r="G56" s="164"/>
      <c r="H56" s="164"/>
      <c r="I56" s="164"/>
    </row>
    <row r="57" spans="1:9">
      <c r="A57" s="39" t="s">
        <v>58</v>
      </c>
      <c r="D57" s="39" t="s">
        <v>49</v>
      </c>
    </row>
    <row r="58" spans="1:9">
      <c r="A58" s="39" t="s">
        <v>51</v>
      </c>
      <c r="B58" s="39" t="s">
        <v>47</v>
      </c>
      <c r="C58" s="39" t="s">
        <v>48</v>
      </c>
      <c r="D58" s="42" t="s">
        <v>26</v>
      </c>
      <c r="E58" s="42" t="s">
        <v>7</v>
      </c>
      <c r="F58" s="42" t="s">
        <v>0</v>
      </c>
      <c r="G58" s="42" t="s">
        <v>41</v>
      </c>
      <c r="H58" s="42" t="s">
        <v>1</v>
      </c>
      <c r="I58" s="42" t="s">
        <v>42</v>
      </c>
    </row>
    <row r="59" spans="1:9">
      <c r="A59" s="1" t="s">
        <v>85</v>
      </c>
      <c r="B59" s="1" t="s">
        <v>20</v>
      </c>
      <c r="C59" s="1" t="s">
        <v>54</v>
      </c>
      <c r="D59" s="40">
        <v>4</v>
      </c>
      <c r="E59" s="40">
        <v>1</v>
      </c>
      <c r="F59" s="40">
        <v>4.0469999999999997</v>
      </c>
      <c r="G59" s="40"/>
      <c r="H59" s="40"/>
      <c r="I59" s="40"/>
    </row>
    <row r="60" spans="1:9">
      <c r="A60" s="1" t="s">
        <v>85</v>
      </c>
      <c r="B60" s="1" t="s">
        <v>20</v>
      </c>
      <c r="C60" s="1" t="s">
        <v>55</v>
      </c>
      <c r="D60" s="40">
        <v>3.75</v>
      </c>
      <c r="E60" s="40">
        <v>1</v>
      </c>
      <c r="F60" s="40">
        <v>4.79</v>
      </c>
      <c r="G60" s="40">
        <v>6762</v>
      </c>
      <c r="H60" s="40">
        <v>200000</v>
      </c>
      <c r="I60" s="40">
        <v>3500</v>
      </c>
    </row>
    <row r="61" spans="1:9">
      <c r="A61" s="1" t="s">
        <v>85</v>
      </c>
      <c r="B61" s="1" t="s">
        <v>20</v>
      </c>
      <c r="C61" s="1" t="s">
        <v>56</v>
      </c>
      <c r="D61" s="40">
        <v>4.125</v>
      </c>
      <c r="E61" s="40">
        <v>1</v>
      </c>
      <c r="F61" s="40">
        <v>4.1280000000000001</v>
      </c>
      <c r="G61" s="40"/>
      <c r="H61" s="40"/>
      <c r="I61" s="40"/>
    </row>
    <row r="62" spans="1:9">
      <c r="A62" s="1" t="s">
        <v>85</v>
      </c>
      <c r="B62" s="1" t="s">
        <v>20</v>
      </c>
      <c r="C62" s="1" t="s">
        <v>57</v>
      </c>
      <c r="D62" s="40">
        <v>4</v>
      </c>
      <c r="E62" s="40">
        <v>1</v>
      </c>
      <c r="F62" s="40">
        <v>4.0149999999999997</v>
      </c>
      <c r="G62" s="40"/>
      <c r="H62" s="40"/>
      <c r="I62" s="40"/>
    </row>
    <row r="63" spans="1:9">
      <c r="A63" s="1" t="s">
        <v>85</v>
      </c>
      <c r="B63" s="1" t="s">
        <v>19</v>
      </c>
      <c r="C63" s="1" t="s">
        <v>54</v>
      </c>
      <c r="D63" s="40">
        <v>3.75</v>
      </c>
      <c r="E63" s="40">
        <v>2.125</v>
      </c>
      <c r="F63" s="40">
        <v>3.9980000000000002</v>
      </c>
      <c r="G63" s="40"/>
      <c r="H63" s="40"/>
      <c r="I63" s="40"/>
    </row>
    <row r="64" spans="1:9">
      <c r="A64" s="1" t="s">
        <v>85</v>
      </c>
      <c r="B64" s="1" t="s">
        <v>19</v>
      </c>
      <c r="C64" s="1" t="s">
        <v>55</v>
      </c>
      <c r="D64" s="40">
        <v>3.375</v>
      </c>
      <c r="E64" s="40">
        <v>2.25</v>
      </c>
      <c r="F64" s="40">
        <v>4.2699999999999996</v>
      </c>
      <c r="G64" s="40"/>
      <c r="H64" s="40"/>
      <c r="I64" s="40"/>
    </row>
    <row r="65" spans="1:9">
      <c r="A65" s="1" t="s">
        <v>85</v>
      </c>
      <c r="B65" s="1" t="s">
        <v>17</v>
      </c>
      <c r="C65" s="1" t="s">
        <v>54</v>
      </c>
      <c r="D65" s="40">
        <v>3.875</v>
      </c>
      <c r="E65" s="40">
        <v>0.95799999999999996</v>
      </c>
      <c r="F65" s="40">
        <v>4.0629999999999997</v>
      </c>
      <c r="G65" s="40"/>
      <c r="H65" s="40"/>
      <c r="I65" s="40"/>
    </row>
    <row r="66" spans="1:9">
      <c r="A66" s="1" t="s">
        <v>85</v>
      </c>
      <c r="B66" s="1" t="s">
        <v>18</v>
      </c>
      <c r="C66" s="1" t="s">
        <v>54</v>
      </c>
      <c r="D66" s="40">
        <v>4.1980000000000004</v>
      </c>
      <c r="E66" s="40">
        <v>0.875</v>
      </c>
      <c r="F66" s="40">
        <v>4.1980000000000004</v>
      </c>
      <c r="G66" s="40"/>
      <c r="H66" s="40"/>
      <c r="I66" s="40"/>
    </row>
  </sheetData>
  <mergeCells count="3">
    <mergeCell ref="A1:I1"/>
    <mergeCell ref="A28:I28"/>
    <mergeCell ref="A56:I56"/>
  </mergeCells>
  <pageMargins left="0.7" right="0.7" top="0.75" bottom="0.75" header="0.3" footer="0.3"/>
  <pageSetup orientation="portrait" horizontalDpi="300" verticalDpi="300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tabSelected="1" workbookViewId="0">
      <selection activeCell="B1" sqref="B1:E5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48</v>
      </c>
      <c r="C1" s="119" t="s">
        <v>47</v>
      </c>
      <c r="D1" s="120" t="s">
        <v>49</v>
      </c>
      <c r="E1" s="121" t="s">
        <v>52</v>
      </c>
    </row>
    <row r="2" spans="2:5">
      <c r="B2" s="122" t="s">
        <v>54</v>
      </c>
      <c r="C2" s="123" t="s">
        <v>17</v>
      </c>
      <c r="D2" s="124" t="s">
        <v>78</v>
      </c>
      <c r="E2" s="125">
        <f>Report!M12*100</f>
        <v>4.313965889771076</v>
      </c>
    </row>
    <row r="3" spans="2:5">
      <c r="B3" s="110" t="s">
        <v>54</v>
      </c>
      <c r="C3" s="104" t="s">
        <v>17</v>
      </c>
      <c r="D3" s="105" t="s">
        <v>29</v>
      </c>
      <c r="E3" s="111">
        <f>Report!N12*100</f>
        <v>1.4117383662411456</v>
      </c>
    </row>
    <row r="4" spans="2:5">
      <c r="B4" s="110" t="s">
        <v>54</v>
      </c>
      <c r="C4" s="104" t="s">
        <v>18</v>
      </c>
      <c r="D4" s="105" t="s">
        <v>78</v>
      </c>
      <c r="E4" s="111">
        <f>Report!M13*100</f>
        <v>3.9987193359155064</v>
      </c>
    </row>
    <row r="5" spans="2:5">
      <c r="B5" s="110" t="s">
        <v>54</v>
      </c>
      <c r="C5" s="104" t="s">
        <v>18</v>
      </c>
      <c r="D5" s="105" t="s">
        <v>29</v>
      </c>
      <c r="E5" s="111">
        <f>Report!N13*100</f>
        <v>1.0964918123855762</v>
      </c>
    </row>
    <row r="6" spans="2:5">
      <c r="B6" s="110" t="s">
        <v>54</v>
      </c>
      <c r="C6" s="104" t="s">
        <v>19</v>
      </c>
      <c r="D6" s="105" t="s">
        <v>78</v>
      </c>
      <c r="E6" s="111">
        <f>Report!M14*100</f>
        <v>4.3975094107446839</v>
      </c>
    </row>
    <row r="7" spans="2:5">
      <c r="B7" s="110" t="s">
        <v>54</v>
      </c>
      <c r="C7" s="104" t="s">
        <v>19</v>
      </c>
      <c r="D7" s="105" t="s">
        <v>29</v>
      </c>
      <c r="E7" s="111">
        <f>Report!N14*100</f>
        <v>1.4952818872147542</v>
      </c>
    </row>
    <row r="8" spans="2:5">
      <c r="B8" s="110" t="s">
        <v>54</v>
      </c>
      <c r="C8" s="104" t="s">
        <v>20</v>
      </c>
      <c r="D8" s="105" t="s">
        <v>78</v>
      </c>
      <c r="E8" s="111">
        <f>Report!M15*100</f>
        <v>4.3002725972031506</v>
      </c>
    </row>
    <row r="9" spans="2:5">
      <c r="B9" s="110" t="s">
        <v>54</v>
      </c>
      <c r="C9" s="104" t="s">
        <v>20</v>
      </c>
      <c r="D9" s="105" t="s">
        <v>29</v>
      </c>
      <c r="E9" s="111">
        <f>Report!N15*100</f>
        <v>1.3980450736732202</v>
      </c>
    </row>
    <row r="10" spans="2:5">
      <c r="B10" s="110" t="s">
        <v>55</v>
      </c>
      <c r="C10" s="104" t="s">
        <v>20</v>
      </c>
      <c r="D10" s="105" t="s">
        <v>78</v>
      </c>
      <c r="E10" s="111">
        <f>Report!M22*100</f>
        <v>3.9717500000000001</v>
      </c>
    </row>
    <row r="11" spans="2:5">
      <c r="B11" s="110" t="s">
        <v>55</v>
      </c>
      <c r="C11" s="104" t="s">
        <v>20</v>
      </c>
      <c r="D11" s="105" t="s">
        <v>29</v>
      </c>
      <c r="E11" s="111">
        <f>Report!N22*100</f>
        <v>1.2120634513705904</v>
      </c>
    </row>
    <row r="12" spans="2:5">
      <c r="B12" s="110" t="s">
        <v>56</v>
      </c>
      <c r="C12" s="104" t="s">
        <v>20</v>
      </c>
      <c r="D12" s="105" t="s">
        <v>78</v>
      </c>
      <c r="E12" s="111">
        <f>Report!M18*100</f>
        <v>4.0563500000000001</v>
      </c>
    </row>
    <row r="13" spans="2:5">
      <c r="B13" s="110" t="s">
        <v>56</v>
      </c>
      <c r="C13" s="104" t="s">
        <v>20</v>
      </c>
      <c r="D13" s="105" t="s">
        <v>29</v>
      </c>
      <c r="E13" s="111">
        <f>Report!N18*100</f>
        <v>1.1541224764700702</v>
      </c>
    </row>
    <row r="14" spans="2:5">
      <c r="B14" s="110" t="s">
        <v>57</v>
      </c>
      <c r="C14" s="104" t="s">
        <v>20</v>
      </c>
      <c r="D14" s="105" t="s">
        <v>78</v>
      </c>
      <c r="E14" s="111">
        <f>Report!M20*100</f>
        <v>3.9543261870321942</v>
      </c>
    </row>
    <row r="15" spans="2:5">
      <c r="B15" s="110" t="s">
        <v>57</v>
      </c>
      <c r="C15" s="104" t="s">
        <v>20</v>
      </c>
      <c r="D15" s="105" t="s">
        <v>29</v>
      </c>
      <c r="E15" s="111">
        <f>Report!N20*100</f>
        <v>1.0520986635022642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75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76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F14"/>
  <sheetViews>
    <sheetView workbookViewId="0">
      <selection activeCell="M19" sqref="M19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65" t="s">
        <v>44</v>
      </c>
      <c r="D3" s="165"/>
      <c r="E3" s="165" t="s">
        <v>45</v>
      </c>
      <c r="F3" s="165"/>
    </row>
    <row r="4" spans="2:6">
      <c r="B4" s="126" t="s">
        <v>54</v>
      </c>
      <c r="C4" s="126" t="s">
        <v>78</v>
      </c>
      <c r="D4" s="126" t="s">
        <v>29</v>
      </c>
      <c r="E4" s="126" t="s">
        <v>78</v>
      </c>
      <c r="F4" s="126" t="s">
        <v>29</v>
      </c>
    </row>
    <row r="5" spans="2:6">
      <c r="B5" s="127" t="s">
        <v>17</v>
      </c>
      <c r="C5" s="128">
        <f t="array" ref="C5">VLOOKUP($B$4&amp;B5&amp;$C$4,IF({1,0},OneDayMtgRatesDataTable[TickerName]&amp;OneDayMtgRatesDataTable[Source]&amp;OneDayMtgRatesDataTable[SeriesType],OneDayMtgRatesDataTable[SeriesNumValue]),2,0)/100</f>
        <v>4.3664099742286598E-2</v>
      </c>
      <c r="D5" s="128">
        <f t="array" ref="D5">VLOOKUP($B$4&amp;$B5&amp;$D$4,IF({1,0},OneDayMtgRatesDataTable[TickerName]&amp;OneDayMtgRatesDataTable[Source]&amp;OneDayMtgRatesDataTable[SeriesType],OneDayMtgRatesDataTable[SeriesNumValue]),2,0)/100</f>
        <v>1.4360929633267601E-2</v>
      </c>
      <c r="E5" s="128" t="e">
        <f>VLOOKUP($B$4&amp;$B5&amp;$E$4,IF({1,0},OneWeekMtgRatesDataTable[TickerName]&amp;OneWeekMtgRatesDataTable[Source]&amp;OneWeekMtgRatesDataTable[SeriesType],OneWeekMtgRatesDataTable[SeriesNumValue]),2,0)/100</f>
        <v>#N/A</v>
      </c>
      <c r="F5" s="128" t="e">
        <f t="array" ref="F5">VLOOKUP($B$4&amp;$B5&amp;$F$4,IF({1,0},OneWeekMtgRatesDataTable[TickerName]&amp;OneWeekMtgRatesDataTable[Source]&amp;OneWeekMtgRatesDataTable[SeriesType],OneWeekMtgRatesDataTable[SeriesNumValue]),2,0)/100</f>
        <v>#N/A</v>
      </c>
    </row>
    <row r="6" spans="2:6">
      <c r="B6" s="127" t="s">
        <v>18</v>
      </c>
      <c r="C6" s="128">
        <f t="array" ref="C6">VLOOKUP($B$4&amp;B6&amp;$C$4,IF({1,0},OneDayMtgRatesDataTable[TickerName]&amp;OneDayMtgRatesDataTable[Source]&amp;OneDayMtgRatesDataTable[SeriesType],OneDayMtgRatesDataTable[SeriesNumValue]),2,0)/100</f>
        <v>4.0301218665618997E-2</v>
      </c>
      <c r="D6" s="128">
        <f t="array" ref="D6">VLOOKUP($B$4&amp;$B6&amp;$D$4,IF({1,0},OneDayMtgRatesDataTable[TickerName]&amp;OneDayMtgRatesDataTable[Source]&amp;OneDayMtgRatesDataTable[SeriesType],OneDayMtgRatesDataTable[SeriesNumValue]),2,0)/100</f>
        <v>1.09980485566E-2</v>
      </c>
      <c r="E6" s="128" t="e">
        <f>VLOOKUP($B$4&amp;$B6&amp;$E$4,IF({1,0},OneWeekMtgRatesDataTable[TickerName]&amp;OneWeekMtgRatesDataTable[Source]&amp;OneWeekMtgRatesDataTable[SeriesType],OneWeekMtgRatesDataTable[SeriesNumValue]),2,0)/100</f>
        <v>#N/A</v>
      </c>
      <c r="F6" s="128" t="e">
        <f t="array" ref="F6">VLOOKUP($B$4&amp;$B6&amp;$F$4,IF({1,0},OneWeekMtgRatesDataTable[TickerName]&amp;OneWeekMtgRatesDataTable[Source]&amp;OneWeekMtgRatesDataTable[SeriesType],OneWeekMtgRatesDataTable[SeriesNumValue]),2,0)/100</f>
        <v>#N/A</v>
      </c>
    </row>
    <row r="7" spans="2:6">
      <c r="B7" s="127" t="s">
        <v>19</v>
      </c>
      <c r="C7" s="128">
        <f t="array" ref="C7">VLOOKUP($B$4&amp;B7&amp;$C$4,IF({1,0},OneDayMtgRatesDataTable[TickerName]&amp;OneDayMtgRatesDataTable[Source]&amp;OneDayMtgRatesDataTable[SeriesType],OneDayMtgRatesDataTable[SeriesNumValue]),2,0)/100</f>
        <v>4.3567659697841668E-2</v>
      </c>
      <c r="D7" s="128">
        <f t="array" ref="D7">VLOOKUP($B$4&amp;$B7&amp;$D$4,IF({1,0},OneDayMtgRatesDataTable[TickerName]&amp;OneDayMtgRatesDataTable[Source]&amp;OneDayMtgRatesDataTable[SeriesType],OneDayMtgRatesDataTable[SeriesNumValue]),2,0)/100</f>
        <v>1.4264489588822669E-2</v>
      </c>
      <c r="E7" s="128" t="e">
        <f>VLOOKUP($B$4&amp;$B7&amp;$E$4,IF({1,0},OneWeekMtgRatesDataTable[TickerName]&amp;OneWeekMtgRatesDataTable[Source]&amp;OneWeekMtgRatesDataTable[SeriesType],OneWeekMtgRatesDataTable[SeriesNumValue]),2,0)/100</f>
        <v>#N/A</v>
      </c>
      <c r="F7" s="128" t="e">
        <f t="array" ref="F7">VLOOKUP($B$4&amp;$B7&amp;$F$4,IF({1,0},OneWeekMtgRatesDataTable[TickerName]&amp;OneWeekMtgRatesDataTable[Source]&amp;OneWeekMtgRatesDataTable[SeriesType],OneWeekMtgRatesDataTable[SeriesNumValue]),2,0)/100</f>
        <v>#N/A</v>
      </c>
    </row>
    <row r="8" spans="2:6">
      <c r="B8" s="127" t="s">
        <v>20</v>
      </c>
      <c r="C8" s="128">
        <f t="array" ref="C8">VLOOKUP($B$4&amp;B8&amp;$C$4,IF({1,0},OneDayMtgRatesDataTable[TickerName]&amp;OneDayMtgRatesDataTable[Source]&amp;OneDayMtgRatesDataTable[SeriesType],OneDayMtgRatesDataTable[SeriesNumValue]),2,0)/100</f>
        <v>4.3642403763055511E-2</v>
      </c>
      <c r="D8" s="128">
        <f t="array" ref="D8">VLOOKUP($B$4&amp;$B8&amp;$D$4,IF({1,0},OneDayMtgRatesDataTable[TickerName]&amp;OneDayMtgRatesDataTable[Source]&amp;OneDayMtgRatesDataTable[SeriesType],OneDayMtgRatesDataTable[SeriesNumValue]),2,0)/100</f>
        <v>1.4339233654036512E-2</v>
      </c>
      <c r="E8" s="128" t="e">
        <f>VLOOKUP($B$4&amp;$B8&amp;$E$4,IF({1,0},OneWeekMtgRatesDataTable[TickerName]&amp;OneWeekMtgRatesDataTable[Source]&amp;OneWeekMtgRatesDataTable[SeriesType],OneWeekMtgRatesDataTable[SeriesNumValue]),2,0)/100</f>
        <v>#N/A</v>
      </c>
      <c r="F8" s="128" t="e">
        <f t="array" ref="F8">VLOOKUP($B$4&amp;$B8&amp;$F$4,IF({1,0},OneWeekMtgRatesDataTable[TickerName]&amp;OneWeekMtgRatesDataTable[Source]&amp;OneWeekMtgRatesDataTable[SeriesType],OneWeekMtgRatesDataTable[SeriesNumValue]),2,0)/100</f>
        <v>#N/A</v>
      </c>
    </row>
    <row r="9" spans="2:6">
      <c r="B9" s="126" t="s">
        <v>56</v>
      </c>
      <c r="C9" s="129"/>
      <c r="D9" s="129"/>
      <c r="E9" s="129"/>
      <c r="F9" s="129"/>
    </row>
    <row r="10" spans="2:6">
      <c r="B10" s="127" t="s">
        <v>20</v>
      </c>
      <c r="C10" s="128">
        <f t="array" ref="C10">VLOOKUP($B$9&amp;B10&amp;$C$4,IF({1,0},OneDayMtgRatesDataTable[TickerName]&amp;OneDayMtgRatesDataTable[Source]&amp;OneDayMtgRatesDataTable[SeriesType],OneDayMtgRatesDataTable[SeriesNumValue]),2,0)/100</f>
        <v>4.1456044973420328E-2</v>
      </c>
      <c r="D10" s="128">
        <f t="array" ref="D10">VLOOKUP($B$9&amp;$B10&amp;$D$4,IF({1,0},OneDayMtgRatesDataTable[TickerName]&amp;OneDayMtgRatesDataTable[Source]&amp;OneDayMtgRatesDataTable[SeriesType],OneDayMtgRatesDataTable[SeriesNumValue]),2,0)/100</f>
        <v>1.2152874864401329E-2</v>
      </c>
      <c r="E10" s="128" t="e">
        <f t="array" ref="E10">VLOOKUP($B$9&amp;$B10&amp;$E$4,IF({1,0},OneWeekMtgRatesDataTable[TickerName]&amp;OneWeekMtgRatesDataTable[Source]&amp;OneWeekMtgRatesDataTable[SeriesType],OneWeekMtgRatesDataTable[SeriesNumValue]),2,0)/100</f>
        <v>#N/A</v>
      </c>
      <c r="F10" s="128" t="e">
        <f t="array" ref="F10">VLOOKUP($B$9&amp;$B10&amp;$F$4,IF({1,0},OneWeekMtgRatesDataTable[TickerName]&amp;OneWeekMtgRatesDataTable[Source]&amp;OneWeekMtgRatesDataTable[SeriesType],OneWeekMtgRatesDataTable[SeriesNumValue]),2,0)/100</f>
        <v>#N/A</v>
      </c>
    </row>
    <row r="11" spans="2:6">
      <c r="B11" s="126" t="s">
        <v>57</v>
      </c>
      <c r="C11" s="129"/>
      <c r="D11" s="129"/>
      <c r="E11" s="129"/>
      <c r="F11" s="129"/>
    </row>
    <row r="12" spans="2:6">
      <c r="B12" s="127" t="s">
        <v>20</v>
      </c>
      <c r="C12" s="128">
        <f t="array" ref="C12">VLOOKUP($B$11&amp;B12&amp;$C$4,IF({1,0},OneDayMtgRatesDataTable[TickerName]&amp;OneDayMtgRatesDataTable[Source]&amp;OneDayMtgRatesDataTable[SeriesType],OneDayMtgRatesDataTable[SeriesNumValue]),2,0)/100</f>
        <v>3.9975388163708762E-2</v>
      </c>
      <c r="D12" s="128">
        <f t="array" ref="D12">VLOOKUP($B$11&amp;$B12&amp;$D$4,IF({1,0},OneDayMtgRatesDataTable[TickerName]&amp;OneDayMtgRatesDataTable[Source]&amp;OneDayMtgRatesDataTable[SeriesType],OneDayMtgRatesDataTable[SeriesNumValue]),2,0)/100</f>
        <v>1.0672218054689764E-2</v>
      </c>
      <c r="E12" s="128" t="e">
        <f>VLOOKUP($B$11&amp;$B12&amp;$E$4,IF({1,0},OneWeekMtgRatesDataTable[TickerName]&amp;OneWeekMtgRatesDataTable[Source]&amp;OneWeekMtgRatesDataTable[SeriesType],OneWeekMtgRatesDataTable[SeriesNumValue]),2,0)/100</f>
        <v>#N/A</v>
      </c>
      <c r="F12" s="128" t="e">
        <f t="array" ref="F12">VLOOKUP($B$11&amp;$B12&amp;$F$4,IF({1,0},OneWeekMtgRatesDataTable[TickerName]&amp;OneWeekMtgRatesDataTable[Source]&amp;OneWeekMtgRatesDataTable[SeriesType],OneWeekMtgRatesDataTable[SeriesNumValue]),2,0)/100</f>
        <v>#N/A</v>
      </c>
    </row>
    <row r="13" spans="2:6">
      <c r="B13" s="126" t="s">
        <v>55</v>
      </c>
      <c r="C13" s="129"/>
      <c r="D13" s="129"/>
      <c r="E13" s="129"/>
      <c r="F13" s="129"/>
    </row>
    <row r="14" spans="2:6">
      <c r="B14" s="127" t="s">
        <v>20</v>
      </c>
      <c r="C14" s="128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28">
        <f t="array" ref="D14">VLOOKUP($B$13&amp;$B14&amp;$D$4,IF({1,0},OneDayMtgRatesDataTable[TickerName]&amp;OneDayMtgRatesDataTable[Source]&amp;OneDayMtgRatesDataTable[SeriesType],OneDayMtgRatesDataTable[SeriesNumValue]),2,0)/100</f>
        <v>1.1865322640026403E-2</v>
      </c>
      <c r="E14" s="128" t="e">
        <f t="array" ref="E14">VLOOKUP($B$13&amp;$B14&amp;$E$4,IF({1,0},OneWeekMtgRatesDataTable[TickerName]&amp;OneWeekMtgRatesDataTable[Source]&amp;OneWeekMtgRatesDataTable[SeriesType],OneWeekMtgRatesDataTable[SeriesNumValue]),2,0)/100</f>
        <v>#N/A</v>
      </c>
      <c r="F14" s="128" t="e">
        <f t="array" ref="F14">VLOOKUP($B$13&amp;$B14&amp;$F$4,IF({1,0},OneWeekMtgRatesDataTable[TickerName]&amp;OneWeekMtgRatesDataTable[Source]&amp;OneWeekMtgRatesDataTable[SeriesType],OneWeekMtgRatesDataTable[SeriesNumValue]),2,0)/100</f>
        <v>#N/A</v>
      </c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C4" sqref="C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66" t="s">
        <v>3</v>
      </c>
      <c r="C2" s="166"/>
      <c r="D2" s="4"/>
      <c r="E2" s="166" t="s">
        <v>5</v>
      </c>
      <c r="F2" s="166"/>
      <c r="H2" s="166" t="s">
        <v>12</v>
      </c>
      <c r="I2" s="166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2.2558635590843035E-2</v>
      </c>
      <c r="H4" s="8" t="s">
        <v>11</v>
      </c>
      <c r="I4" s="9">
        <f>C4-(1%-F7)/4</f>
        <v>4.3139658897710757E-2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4.1900000000000007E-2</v>
      </c>
      <c r="D5" s="5"/>
      <c r="E5" s="6" t="s">
        <v>14</v>
      </c>
      <c r="F5" s="17">
        <f>C8</f>
        <v>9.5399999999999999E-3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4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1.3018635590843035E-2</v>
      </c>
      <c r="H6" s="2" t="s">
        <v>23</v>
      </c>
      <c r="I6" s="13">
        <f>C4-(0.01-(1-((C4/12*(1+C4/12)^360)/((1+C4/12)^360-1)*((1+C5/12)^360-1)/(C5/12*(1+C5/12)^360))))/4</f>
        <v>4.3139658897710757E-2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2.2558635590843035E-2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9.5399999999999999E-3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66" t="s">
        <v>3</v>
      </c>
      <c r="C2" s="166"/>
      <c r="D2" s="4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9.9487734366202618E-3</v>
      </c>
      <c r="H4" s="8" t="s">
        <v>11</v>
      </c>
      <c r="I4" s="9">
        <f>C4-(1%-F7)/4</f>
        <v>3.9987193359155064E-2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4.0830000000000005E-2</v>
      </c>
      <c r="D5" s="5"/>
      <c r="E5" s="6" t="s">
        <v>14</v>
      </c>
      <c r="F5" s="17">
        <f>C8</f>
        <v>0.01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-5.1226563379738396E-5</v>
      </c>
      <c r="H6" s="2" t="s">
        <v>23</v>
      </c>
      <c r="I6" s="13">
        <f>C4-(0.01-(1-((C4/12*(1+C4/12)^360)/((1+C4/12)^360-1)*((1+C5/12)^360-1)/(C5/12*(1+C5/12)^360))))/4</f>
        <v>3.9987193359155064E-2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9.9487734366202618E-3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0.01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E11" sqref="E1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66" t="s">
        <v>3</v>
      </c>
      <c r="C2" s="166"/>
      <c r="D2" s="4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3.090037642978738E-2</v>
      </c>
      <c r="H4" s="8" t="s">
        <v>11</v>
      </c>
      <c r="I4" s="9">
        <f>C4-(1%-F7)/4</f>
        <v>4.3975094107446842E-2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4.1349999999999998E-2</v>
      </c>
      <c r="D5" s="5"/>
      <c r="E5" s="6" t="s">
        <v>14</v>
      </c>
      <c r="F5" s="17">
        <f>C8</f>
        <v>2.2499999999999999E-2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8.4003764297873804E-3</v>
      </c>
      <c r="H6" s="2" t="s">
        <v>23</v>
      </c>
      <c r="I6" s="13">
        <f>C4-(0.01-(1-((C4/12*(1+C4/12)^360)/((1+C4/12)^360-1)*((1+C5/12)^360-1)/(C5/12*(1+C5/12)^360))))/4</f>
        <v>4.3975094107446842E-2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3.090037642978738E-2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2.2499999999999999E-2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C6" sqref="C6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66" t="s">
        <v>3</v>
      </c>
      <c r="C2" s="166"/>
      <c r="D2" s="4"/>
      <c r="E2" s="166" t="s">
        <v>5</v>
      </c>
      <c r="F2" s="166"/>
      <c r="G2" s="2"/>
      <c r="H2" s="166" t="s">
        <v>12</v>
      </c>
      <c r="I2" s="166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199115.81922237479</v>
      </c>
      <c r="G4" s="2"/>
      <c r="H4" s="8" t="s">
        <v>11</v>
      </c>
      <c r="I4" s="9">
        <f>CIR-(1%-F9)/4</f>
        <v>4.3002725972031502E-2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4.1619999999999997E-2</v>
      </c>
      <c r="D5" s="5"/>
      <c r="E5" s="10" t="s">
        <v>8</v>
      </c>
      <c r="F5" s="11">
        <f>1-F4/CP</f>
        <v>4.4209038881261042E-3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4.4209038881259932E-3</v>
      </c>
      <c r="G6" s="2"/>
      <c r="H6" s="2" t="s">
        <v>23</v>
      </c>
      <c r="I6" s="13">
        <f>CIR-(0.01-(1-((CIR/12*(1+CIR/12)^360)/((1+CIR/12)^360-1)*((1+CAPR/12)^360-1)/(CAPR/12*(1+CAPR/12)^360)) + C7/CP))/4</f>
        <v>4.3002725972031502E-2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2518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1.259E-2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1.7010903888125994E-2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66" t="s">
        <v>3</v>
      </c>
      <c r="C2" s="166"/>
      <c r="D2" s="20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4.2500000000000003E-2</v>
      </c>
      <c r="D4" s="5"/>
      <c r="E4" s="5" t="s">
        <v>8</v>
      </c>
      <c r="F4" s="13">
        <f>1-((C4/12*(1+C4/12)^360)/((1+C4/12)^360-1)*((1+C5/12)^360-1)/(C5/12*(1+C5/12)^360))</f>
        <v>0</v>
      </c>
      <c r="H4" s="8" t="s">
        <v>11</v>
      </c>
      <c r="I4" s="9">
        <f>C4-(1%-F7)/4</f>
        <v>4.0563500000000002E-2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4.2500000000000003E-2</v>
      </c>
      <c r="D5" s="5"/>
      <c r="E5" s="6" t="s">
        <v>14</v>
      </c>
      <c r="F5" s="17">
        <f>F4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2.2539999999999999E-3</v>
      </c>
      <c r="H6" s="2" t="s">
        <v>23</v>
      </c>
      <c r="I6" s="13">
        <f>C4-(0.01-(1-((C4/12*(1+C4/12)^360)/((1+C4/12)^360-1)*((1+C5/12)^360-1)/(C5/12*(1+C5/12)^360)) + C7/C6))/4</f>
        <v>4.056350000000003E-2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1127</v>
      </c>
      <c r="D7" s="12"/>
      <c r="E7" s="2" t="s">
        <v>10</v>
      </c>
      <c r="F7" s="16">
        <f>F5+F6</f>
        <v>2.2539999999999999E-3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66" t="s">
        <v>3</v>
      </c>
      <c r="C2" s="166"/>
      <c r="D2" s="20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2.3971414795442847E-4</v>
      </c>
      <c r="H4" s="8" t="s">
        <v>11</v>
      </c>
      <c r="I4" s="9">
        <f>C4-(1%-F7)/4</f>
        <v>3.9543261870321943E-2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4.1270000000000001E-2</v>
      </c>
      <c r="D5" s="5"/>
      <c r="E5" s="6" t="s">
        <v>14</v>
      </c>
      <c r="F5" s="17">
        <f>F4</f>
        <v>2.3971414795442847E-4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2.9333333333333334E-3</v>
      </c>
      <c r="H6" s="2" t="s">
        <v>23</v>
      </c>
      <c r="I6" s="13">
        <f>C4-(0.01-(1-((C4/12*(1+C4/12)^360)/((1+C4/12)^360-1)*((1+C5/12)^360-1)/(C5/12*(1+C5/12)^360)) + C7/C6))/4</f>
        <v>3.9543261870321943E-2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2200</v>
      </c>
      <c r="D7" s="12"/>
      <c r="E7" s="2" t="s">
        <v>10</v>
      </c>
      <c r="F7" s="16">
        <f>F5+F6</f>
        <v>3.1730474812877618E-3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C12" sqref="C12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66" t="s">
        <v>3</v>
      </c>
      <c r="C2" s="166"/>
      <c r="D2" s="21"/>
      <c r="E2" s="166" t="s">
        <v>5</v>
      </c>
      <c r="F2" s="166"/>
      <c r="H2" s="166" t="s">
        <v>12</v>
      </c>
      <c r="I2" s="16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35</v>
      </c>
      <c r="F4" s="13">
        <f>C5/C6</f>
        <v>2.4584999999999999E-7</v>
      </c>
      <c r="H4" s="8" t="s">
        <v>11</v>
      </c>
      <c r="I4" s="9">
        <f>C4-(1%-F7)/4</f>
        <v>4.4728688537499998E-2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4.9169999999999998E-2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3.3914754150000004E-2</v>
      </c>
      <c r="I6" s="13"/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6783</v>
      </c>
      <c r="D7" s="12"/>
      <c r="E7" s="2" t="s">
        <v>10</v>
      </c>
      <c r="F7" s="16">
        <f>F5+F6</f>
        <v>3.3914754150000004E-2</v>
      </c>
    </row>
    <row r="8" spans="2:9">
      <c r="B8" s="2" t="s">
        <v>7</v>
      </c>
      <c r="C8" s="34">
        <v>0</v>
      </c>
      <c r="D8" s="15"/>
    </row>
    <row r="9" spans="2:9">
      <c r="E9" s="35" t="s">
        <v>43</v>
      </c>
      <c r="F9" s="13">
        <f>C7/C6</f>
        <v>3.3915000000000001E-2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OneDayBusDate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2015-03-10T13:01:17Z</cp:lastPrinted>
  <dcterms:created xsi:type="dcterms:W3CDTF">2015-02-26T13:52:04Z</dcterms:created>
  <dcterms:modified xsi:type="dcterms:W3CDTF">2015-03-10T13:02:48Z</dcterms:modified>
</cp:coreProperties>
</file>