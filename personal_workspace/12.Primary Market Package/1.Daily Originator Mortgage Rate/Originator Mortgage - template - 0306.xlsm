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Report!$V$2</definedName>
    <definedName name="DatabaseEnv">Report!$V$1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WeekBusDate">TimeSeriesDataTable3[Column1]</definedName>
    <definedName name="PDFReportName">Report!$V$3</definedName>
    <definedName name="_xlnm.Print_Area" localSheetId="0">Report!$B$1:$S$36</definedName>
    <definedName name="Query_from_Agency" localSheetId="1" hidden="1">'Time Series Query'!$A$6:$F$53</definedName>
    <definedName name="Query_from_Agency_1" localSheetId="1" hidden="1">'Time Series Query'!$P$1:$P$2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Query'!$Q$6:$V$7</definedName>
    <definedName name="Query_from_Agency_5" localSheetId="1" hidden="1">'Time Series Query'!$X$6:$Z$8</definedName>
    <definedName name="RatesList">'Upload Result'!$B$2:$E$30</definedName>
    <definedName name="SaveRatesToDB">Report!$X$1</definedName>
    <definedName name="WIR" localSheetId="12">#REF!</definedName>
    <definedName name="WIR">'Wells - Conventional'!$C$4</definedName>
  </definedNames>
  <calcPr calcId="145621"/>
  <pivotCaches>
    <pivotCache cacheId="62" r:id="rId15"/>
    <pivotCache cacheId="68" r:id="rId16"/>
    <pivotCache cacheId="74" r:id="rId17"/>
  </pivotCaches>
</workbook>
</file>

<file path=xl/calcChain.xml><?xml version="1.0" encoding="utf-8"?>
<calcChain xmlns="http://schemas.openxmlformats.org/spreadsheetml/2006/main">
  <c r="V3" i="6" l="1"/>
  <c r="F14" i="16" l="1" a="1"/>
  <c r="F14" i="16" s="1"/>
  <c r="F12" i="16" a="1"/>
  <c r="F12" i="16" s="1"/>
  <c r="F10" i="16" a="1"/>
  <c r="F10" i="16" s="1"/>
  <c r="F6" i="16" a="1"/>
  <c r="F6" i="16" s="1"/>
  <c r="F7" i="16" a="1"/>
  <c r="F7" i="16" s="1"/>
  <c r="F8" i="16" a="1"/>
  <c r="F8" i="16" s="1"/>
  <c r="F5" i="16" a="1"/>
  <c r="F5" i="16" s="1"/>
  <c r="E14" i="16" a="1"/>
  <c r="E14" i="16" s="1"/>
  <c r="E12" i="16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E6" i="16"/>
  <c r="E7" i="16"/>
  <c r="E8" i="16"/>
  <c r="E5" i="16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9" i="6" s="1"/>
  <c r="Z12" i="18"/>
  <c r="D28" i="6" s="1"/>
  <c r="E10" i="20" l="1"/>
  <c r="C7" i="15" a="1"/>
  <c r="C7" i="15" s="1"/>
  <c r="C6" i="15" a="1"/>
  <c r="C6" i="15" s="1"/>
  <c r="C5" i="15" a="1"/>
  <c r="C5" i="15" s="1"/>
  <c r="C4" i="15" a="1"/>
  <c r="C4" i="15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C8" i="4" l="1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5" i="14" l="1"/>
  <c r="F4" i="14"/>
  <c r="F3" i="14"/>
  <c r="F2" i="14"/>
  <c r="Q22" i="6" l="1"/>
  <c r="N22" i="6"/>
  <c r="R22" i="6" l="1"/>
  <c r="E11" i="20"/>
  <c r="P22" i="6"/>
  <c r="O22" i="6" l="1"/>
  <c r="F9" i="15" l="1"/>
  <c r="F5" i="15"/>
  <c r="F4" i="15"/>
  <c r="F6" i="15" s="1"/>
  <c r="F7" i="15" l="1"/>
  <c r="I4" i="15" s="1"/>
  <c r="G20" i="6"/>
  <c r="D20" i="6"/>
  <c r="G18" i="6"/>
  <c r="D18" i="6"/>
  <c r="I6" i="12" l="1"/>
  <c r="I6" i="13"/>
  <c r="F6" i="13" l="1"/>
  <c r="K18" i="6" s="1"/>
  <c r="F4" i="13"/>
  <c r="F5" i="13" s="1"/>
  <c r="F6" i="12"/>
  <c r="K20" i="6" s="1"/>
  <c r="F4" i="12"/>
  <c r="F5" i="12" s="1"/>
  <c r="J20" i="6" s="1"/>
  <c r="F7" i="13" l="1"/>
  <c r="J18" i="6"/>
  <c r="F7" i="12"/>
  <c r="I4" i="12" l="1"/>
  <c r="M20" i="6" s="1"/>
  <c r="E14" i="20" s="1"/>
  <c r="L20" i="6"/>
  <c r="I4" i="13"/>
  <c r="M18" i="6" s="1"/>
  <c r="E12" i="20" s="1"/>
  <c r="L18" i="6"/>
  <c r="Q18" i="6" l="1"/>
  <c r="O18" i="6"/>
  <c r="O20" i="6"/>
  <c r="Q20" i="6"/>
  <c r="N18" i="6"/>
  <c r="E13" i="20" s="1"/>
  <c r="N20" i="6"/>
  <c r="E15" i="20" s="1"/>
  <c r="P20" i="6" l="1"/>
  <c r="R20" i="6"/>
  <c r="P18" i="6"/>
  <c r="R18" i="6"/>
  <c r="I6" i="5"/>
  <c r="I6" i="4"/>
  <c r="I6" i="3"/>
  <c r="I6" i="2"/>
  <c r="G15" i="6"/>
  <c r="G14" i="6"/>
  <c r="G13" i="6"/>
  <c r="G12" i="6"/>
  <c r="G16" i="6" l="1"/>
  <c r="D15" i="6"/>
  <c r="D14" i="6"/>
  <c r="D13" i="6"/>
  <c r="D12" i="6"/>
  <c r="F5" i="5"/>
  <c r="J14" i="6" s="1"/>
  <c r="F4" i="5"/>
  <c r="F6" i="5" s="1"/>
  <c r="K14" i="6" s="1"/>
  <c r="F5" i="4"/>
  <c r="F4" i="4"/>
  <c r="F6" i="4" s="1"/>
  <c r="F5" i="3"/>
  <c r="J12" i="6" s="1"/>
  <c r="F4" i="3"/>
  <c r="F6" i="3" s="1"/>
  <c r="K12" i="6" s="1"/>
  <c r="F8" i="2"/>
  <c r="K15" i="6" s="1"/>
  <c r="F6" i="2"/>
  <c r="F4" i="2"/>
  <c r="F5" i="2" s="1"/>
  <c r="K16" i="6" l="1"/>
  <c r="F9" i="2"/>
  <c r="I4" i="2" s="1"/>
  <c r="M15" i="6" s="1"/>
  <c r="E8" i="20" s="1"/>
  <c r="J15" i="6"/>
  <c r="J16" i="6" s="1"/>
  <c r="D16" i="6"/>
  <c r="F7" i="3"/>
  <c r="L12" i="6" s="1"/>
  <c r="F7" i="5"/>
  <c r="I4" i="5" s="1"/>
  <c r="F7" i="4"/>
  <c r="O15" i="6" l="1"/>
  <c r="Q15" i="6"/>
  <c r="L15" i="6"/>
  <c r="N15" i="6"/>
  <c r="E9" i="20" s="1"/>
  <c r="I4" i="4"/>
  <c r="M13" i="6" s="1"/>
  <c r="E4" i="20" s="1"/>
  <c r="L13" i="6"/>
  <c r="I4" i="3"/>
  <c r="M12" i="6" s="1"/>
  <c r="E2" i="20" s="1"/>
  <c r="M14" i="6"/>
  <c r="E6" i="20" s="1"/>
  <c r="L14" i="6"/>
  <c r="L16" i="6" l="1"/>
  <c r="O14" i="6"/>
  <c r="Q14" i="6"/>
  <c r="O12" i="6"/>
  <c r="Q12" i="6"/>
  <c r="Q13" i="6"/>
  <c r="O13" i="6"/>
  <c r="R15" i="6"/>
  <c r="P15" i="6"/>
  <c r="N13" i="6"/>
  <c r="E5" i="20" s="1"/>
  <c r="N12" i="6"/>
  <c r="E3" i="20" s="1"/>
  <c r="N14" i="6"/>
  <c r="E7" i="20" s="1"/>
  <c r="M16" i="6"/>
  <c r="O16" i="6" l="1"/>
  <c r="Q16" i="6"/>
  <c r="P12" i="6"/>
  <c r="R12" i="6"/>
  <c r="P14" i="6"/>
  <c r="R14" i="6"/>
  <c r="R13" i="6"/>
  <c r="P13" i="6"/>
  <c r="N16" i="6"/>
  <c r="P16" i="6" l="1"/>
  <c r="R16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06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5' order by TickerName,Source,SeriesType,AsOfDate"/>
  </connection>
  <connection id="3" name="1WeekBusDateQuery" type="1" refreshedVersion="4" savePassword="1" saveData="1">
    <dbPr connection="DSN=Cello SQL Server;UID=report;PWD=gm4SJDw4;APP=Microsoft Office 2010;WSID=CELLO-PC4;DATABASE=Cello" command="select dbo.GetNthBusinessDate('2015-03-06',-5)"/>
  </connection>
  <connection id="4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2-27' order by TickerName,Source,SeriesType,AsOfDate"/>
  </connection>
  <connection id="5" name="CurrentCouponQuery" type="1" refreshedVersion="4" savePassword="1" saveData="1">
    <dbPr connection="DSN=Cello SQL Server Dev;Description=Cello SQL Server Dev;UID=dev;PWD=ufmg71dkiw;APP=Microsoft Office 2010;WSID=CELLO-PC4;DATABASE=Cello0217" command="select d.AsOfDate, m.TickerName, d.SeriesNumValue_x000d__x000a_ from TimeSeriesMeta as m,TimeSeries as d_x000d__x000a_               where m.TimeSeriesMetaId = d.TimeSeriesMetaId_x000d__x000a_               and d.AsOfDate = '20150306'_x000d__x000a__x0009__x0009__x0009__x0009_and m.source = 'CELLO' _x000d__x000a__x0009__x0009__x0009__x0009_--and *m.TickerName like'GN_CMM_30%'_x000d__x000a__x0009__x0009__x0009__x0009_and m.category = 'MTG' _x000d__x000a__x0009__x0009__x0009__x0009_order by d.AsOfDate"/>
  </connection>
  <connection id="6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6' order by TickerName,Source,SeriesType,AsOfDate"/>
  </connection>
</connections>
</file>

<file path=xl/sharedStrings.xml><?xml version="1.0" encoding="utf-8"?>
<sst xmlns="http://schemas.openxmlformats.org/spreadsheetml/2006/main" count="856" uniqueCount="88">
  <si>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</si>
  <si>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</si>
  <si>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</si>
  <si>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</si>
  <si>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</si>
  <si>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</si>
  <si>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</si>
  <si>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</si>
  <si>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</si>
  <si>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</si>
  <si>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</si>
  <si>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</si>
  <si>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</si>
  <si>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</si>
  <si>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</si>
  <si>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</si>
  <si>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</si>
  <si>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</si>
  <si>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</si>
  <si>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</si>
  <si>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</si>
  <si>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1-Point Rate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</si>
  <si>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</si>
  <si>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</si>
  <si>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</si>
  <si>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</si>
  <si>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</si>
  <si>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</si>
  <si>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</si>
  <si>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</si>
  <si>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</si>
  <si>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</si>
  <si>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</si>
  <si>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</si>
  <si>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</si>
  <si>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</si>
  <si>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</si>
  <si>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</si>
  <si>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</si>
  <si>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</si>
  <si>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</si>
  <si>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</si>
  <si>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</si>
  <si>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</si>
  <si>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</si>
  <si>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</si>
  <si>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1D Rate Chg (bps)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</si>
  <si>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</si>
  <si>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</si>
  <si>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</si>
  <si>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</si>
  <si>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</si>
  <si>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</si>
  <si>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</si>
  <si>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</si>
  <si>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</si>
  <si>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</si>
  <si>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</si>
  <si>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</si>
  <si>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</si>
  <si>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</si>
  <si>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Originator Mortgage Rates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</si>
  <si>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</si>
  <si>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</si>
  <si>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</si>
  <si>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</si>
  <si>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</si>
  <si>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</si>
  <si>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</si>
  <si>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</si>
  <si>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</si>
  <si>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</si>
  <si>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>(blank)</t>
  </si>
  <si>
    <t>1wk Rate Chg</t>
  </si>
  <si>
    <t>1wk SS Chg</t>
  </si>
  <si>
    <t>1D SS Chg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</si>
  <si>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</si>
  <si>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</si>
  <si>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</si>
  <si>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</si>
  <si>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</si>
  <si>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</si>
  <si>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</si>
  <si>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</si>
  <si>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Yes</t>
  </si>
  <si>
    <t>2015-03-05</t>
  </si>
  <si>
    <t>2015-03-06</t>
  </si>
  <si>
    <t>2015-02-27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</si>
</sst>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</numFmts>
  <fonts count="13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8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67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5" fontId="14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29" fillId="0" borderId="45" xfId="1" applyNumberFormat="1" applyFont="1" applyFill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5" fontId="14" fillId="0" borderId="49" xfId="1" applyNumberFormat="1" applyFont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165" fontId="5" fillId="0" borderId="0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 wrapText="1"/>
    </xf>
    <xf numFmtId="165" fontId="5" fillId="0" borderId="43" xfId="1" applyNumberFormat="1" applyFont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</cellXfs>
  <cellStyles count="528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35"/>
      <tableStyleElement type="headerRow" dxfId="34"/>
      <tableStyleElement type="firstColumn" dxfId="33"/>
      <tableStyleElement type="firstSubtotalRow" dxfId="32"/>
    </tableStyle>
  </tableStyles>
  <colors>
    <mruColors>
      <color rgb="FFEFEBE4"/>
      <color rgb="FFAD275C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57150</xdr:colOff>
      <xdr:row>3</xdr:row>
      <xdr:rowOff>180976</xdr:rowOff>
    </xdr:from>
    <xdr:to>
      <xdr:col>21</xdr:col>
      <xdr:colOff>2695575</xdr:colOff>
      <xdr:row>5</xdr:row>
      <xdr:rowOff>165736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22</xdr:col>
      <xdr:colOff>276226</xdr:colOff>
      <xdr:row>3</xdr:row>
      <xdr:rowOff>180976</xdr:rowOff>
    </xdr:from>
    <xdr:to>
      <xdr:col>24</xdr:col>
      <xdr:colOff>47626</xdr:colOff>
      <xdr:row>5</xdr:row>
      <xdr:rowOff>165736</xdr:rowOff>
    </xdr:to>
    <xdr:sp macro="[0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72.69101412037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4">
        <s v="2015-03-05"/>
        <s v="2015-03-04" u="1"/>
        <s v="2015-03-02" u="1"/>
        <s v="2015-03-03" u="1"/>
      </sharedItems>
    </cacheField>
    <cacheField name="SeriesNumValue" numFmtId="0">
      <sharedItems containsSemiMixedTypes="0" containsString="0" containsNumber="1" minValue="0.62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72.691014236108" createdVersion="5" refreshedVersion="4" minRefreshableVersion="3" recordCount="47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6">
        <s v="2015-03-06"/>
        <m u="1"/>
        <s v="2015-03-04" u="1"/>
        <s v="2015-03-05" u="1"/>
        <s v="2015-03-02" u="1"/>
        <s v="2015-03-03" u="1"/>
      </sharedItems>
    </cacheField>
    <cacheField name="SeriesNumValue" numFmtId="0">
      <sharedItems containsSemiMixedTypes="0" containsString="0" containsNumber="1" minValue="0.62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072.691014236108" createdVersion="5" refreshedVersion="4" minRefreshableVersion="3" recordCount="1">
  <cacheSource type="worksheet">
    <worksheetSource name="OneWeekMtgRatesDataTable"/>
  </cacheSource>
  <cacheFields count="6">
    <cacheField name="TickerName" numFmtId="0">
      <sharedItems containsNonDate="0" containsBlank="1" count="5">
        <m/>
        <s v="30YrJumboNonConforming" u="1"/>
        <s v="30YrConformingConventional" u="1"/>
        <s v="30YrConformingFHA" u="1"/>
        <s v="30YrJumboConforming" u="1"/>
      </sharedItems>
    </cacheField>
    <cacheField name="Source" numFmtId="0">
      <sharedItems containsNonDate="0" containsBlank="1" count="5">
        <m/>
        <s v="Bank of America" u="1"/>
        <s v="Wells Fargo" u="1"/>
        <s v="Quicken" u="1"/>
        <s v="Chase" u="1"/>
      </sharedItems>
    </cacheField>
    <cacheField name="SeriesType" numFmtId="0">
      <sharedItems containsNonDate="0" containsBlank="1" count="7">
        <m/>
        <s v="Rate" u="1"/>
        <s v="Upfront MIP" u="1"/>
        <s v="APR" u="1"/>
        <s v="Loan Amount" u="1"/>
        <s v="Points" u="1"/>
        <s v="Closing Cost" u="1"/>
      </sharedItems>
    </cacheField>
    <cacheField name="Category" numFmtId="0">
      <sharedItems containsNonDate="0" containsString="0" containsBlank="1"/>
    </cacheField>
    <cacheField name="AsOfDate" numFmtId="0">
      <sharedItems containsNonDate="0" containsBlank="1" count="2">
        <m/>
        <s v="2015-03-03" u="1"/>
      </sharedItems>
    </cacheField>
    <cacheField name="SeriesNum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751400125465349"/>
  </r>
  <r>
    <x v="0"/>
    <x v="0"/>
    <x v="1"/>
    <s v="MTG"/>
    <x v="0"/>
    <n v="4.093"/>
  </r>
  <r>
    <x v="0"/>
    <x v="0"/>
    <x v="2"/>
    <s v="MTG"/>
    <x v="0"/>
    <n v="1.2989999999999999"/>
  </r>
  <r>
    <x v="0"/>
    <x v="0"/>
    <x v="3"/>
    <s v="MTG"/>
    <x v="0"/>
    <n v="3.875"/>
  </r>
  <r>
    <x v="0"/>
    <x v="0"/>
    <x v="4"/>
    <s v="MTG"/>
    <x v="0"/>
    <n v="1.4595784375698646"/>
  </r>
  <r>
    <x v="0"/>
    <x v="1"/>
    <x v="0"/>
    <s v="MTG"/>
    <x v="0"/>
    <n v="4.0301218665618999"/>
  </r>
  <r>
    <x v="0"/>
    <x v="1"/>
    <x v="1"/>
    <s v="MTG"/>
    <x v="0"/>
    <n v="4.1769999999999996"/>
  </r>
  <r>
    <x v="0"/>
    <x v="1"/>
    <x v="2"/>
    <s v="MTG"/>
    <x v="0"/>
    <n v="0.625"/>
  </r>
  <r>
    <x v="0"/>
    <x v="1"/>
    <x v="3"/>
    <s v="MTG"/>
    <x v="0"/>
    <n v="4.125"/>
  </r>
  <r>
    <x v="0"/>
    <x v="1"/>
    <x v="4"/>
    <s v="MTG"/>
    <x v="0"/>
    <n v="1.2145602915852296"/>
  </r>
  <r>
    <x v="0"/>
    <x v="2"/>
    <x v="0"/>
    <s v="MTG"/>
    <x v="0"/>
    <n v="4.2722152605049795"/>
  </r>
  <r>
    <x v="0"/>
    <x v="2"/>
    <x v="1"/>
    <s v="MTG"/>
    <x v="0"/>
    <n v="4.0919999999999996"/>
  </r>
  <r>
    <x v="0"/>
    <x v="2"/>
    <x v="2"/>
    <s v="MTG"/>
    <x v="0"/>
    <n v="1.75"/>
  </r>
  <r>
    <x v="0"/>
    <x v="2"/>
    <x v="3"/>
    <s v="MTG"/>
    <x v="0"/>
    <n v="3.875"/>
  </r>
  <r>
    <x v="0"/>
    <x v="2"/>
    <x v="4"/>
    <s v="MTG"/>
    <x v="0"/>
    <n v="1.4566536855283092"/>
  </r>
  <r>
    <x v="0"/>
    <x v="3"/>
    <x v="0"/>
    <s v="MTG"/>
    <x v="0"/>
    <n v="4.1618039804499194"/>
  </r>
  <r>
    <x v="0"/>
    <x v="3"/>
    <x v="1"/>
    <s v="MTG"/>
    <x v="0"/>
    <n v="4.1470000000000002"/>
  </r>
  <r>
    <x v="0"/>
    <x v="3"/>
    <x v="5"/>
    <s v="MTG"/>
    <x v="0"/>
    <n v="176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462424054732489"/>
  </r>
  <r>
    <x v="1"/>
    <x v="2"/>
    <x v="1"/>
    <s v="MTG"/>
    <x v="0"/>
    <n v="4.3550000000000004"/>
  </r>
  <r>
    <x v="1"/>
    <x v="2"/>
    <x v="2"/>
    <s v="MTG"/>
    <x v="0"/>
    <n v="1.75"/>
  </r>
  <r>
    <x v="1"/>
    <x v="2"/>
    <x v="3"/>
    <s v="MTG"/>
    <x v="0"/>
    <n v="3.5"/>
  </r>
  <r>
    <x v="1"/>
    <x v="3"/>
    <x v="0"/>
    <s v="MTG"/>
    <x v="0"/>
    <n v="3.9717500000000001"/>
  </r>
  <r>
    <x v="1"/>
    <x v="3"/>
    <x v="1"/>
    <s v="MTG"/>
    <x v="0"/>
    <n v="4.8940000000000001"/>
  </r>
  <r>
    <x v="1"/>
    <x v="3"/>
    <x v="5"/>
    <s v="MTG"/>
    <x v="0"/>
    <n v="6274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2824660521114801"/>
  </r>
  <r>
    <x v="1"/>
    <x v="3"/>
    <x v="7"/>
    <s v="MTG"/>
    <x v="0"/>
    <n v="3500"/>
  </r>
  <r>
    <x v="2"/>
    <x v="3"/>
    <x v="0"/>
    <s v="MTG"/>
    <x v="0"/>
    <n v="4.123888942161555"/>
  </r>
  <r>
    <x v="2"/>
    <x v="3"/>
    <x v="1"/>
    <s v="MTG"/>
    <x v="0"/>
    <n v="4.1479999999999997"/>
  </r>
  <r>
    <x v="2"/>
    <x v="3"/>
    <x v="5"/>
    <s v="MTG"/>
    <x v="0"/>
    <n v="3602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125"/>
  </r>
  <r>
    <x v="2"/>
    <x v="3"/>
    <x v="4"/>
    <s v="MTG"/>
    <x v="0"/>
    <n v="1.3083273671848847"/>
  </r>
  <r>
    <x v="3"/>
    <x v="3"/>
    <x v="0"/>
    <s v="MTG"/>
    <x v="0"/>
    <n v="3.9170666666666665"/>
  </r>
  <r>
    <x v="3"/>
    <x v="3"/>
    <x v="1"/>
    <s v="MTG"/>
    <x v="0"/>
    <n v="4.125"/>
  </r>
  <r>
    <x v="3"/>
    <x v="3"/>
    <x v="5"/>
    <s v="MTG"/>
    <x v="0"/>
    <n v="1262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10150509168999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3664099742286595"/>
  </r>
  <r>
    <x v="0"/>
    <x v="0"/>
    <x v="1"/>
    <s v="MTG"/>
    <x v="0"/>
    <n v="4.2080000000000002"/>
  </r>
  <r>
    <x v="0"/>
    <x v="0"/>
    <x v="2"/>
    <s v="MTG"/>
    <x v="0"/>
    <n v="1.163"/>
  </r>
  <r>
    <x v="0"/>
    <x v="0"/>
    <x v="3"/>
    <s v="MTG"/>
    <x v="0"/>
    <n v="4"/>
  </r>
  <r>
    <x v="0"/>
    <x v="0"/>
    <x v="4"/>
    <s v="MTG"/>
    <x v="0"/>
    <n v="1.4360929633267601"/>
  </r>
  <r>
    <x v="1"/>
    <x v="0"/>
    <x v="0"/>
    <s v="MTG"/>
    <x v="0"/>
    <n v="4.0301218665618999"/>
  </r>
  <r>
    <x v="1"/>
    <x v="0"/>
    <x v="1"/>
    <s v="MTG"/>
    <x v="0"/>
    <n v="4.1769999999999996"/>
  </r>
  <r>
    <x v="1"/>
    <x v="0"/>
    <x v="2"/>
    <s v="MTG"/>
    <x v="0"/>
    <n v="0.625"/>
  </r>
  <r>
    <x v="1"/>
    <x v="0"/>
    <x v="3"/>
    <s v="MTG"/>
    <x v="0"/>
    <n v="4.125"/>
  </r>
  <r>
    <x v="1"/>
    <x v="0"/>
    <x v="4"/>
    <s v="MTG"/>
    <x v="0"/>
    <n v="1.09980485566"/>
  </r>
  <r>
    <x v="2"/>
    <x v="0"/>
    <x v="0"/>
    <s v="MTG"/>
    <x v="0"/>
    <n v="4.356765969784167"/>
  </r>
  <r>
    <x v="2"/>
    <x v="0"/>
    <x v="1"/>
    <s v="MTG"/>
    <x v="0"/>
    <n v="4.1980000000000004"/>
  </r>
  <r>
    <x v="2"/>
    <x v="0"/>
    <x v="2"/>
    <s v="MTG"/>
    <x v="0"/>
    <n v="1.625"/>
  </r>
  <r>
    <x v="2"/>
    <x v="0"/>
    <x v="3"/>
    <s v="MTG"/>
    <x v="0"/>
    <n v="3.99"/>
  </r>
  <r>
    <x v="2"/>
    <x v="0"/>
    <x v="4"/>
    <s v="MTG"/>
    <x v="0"/>
    <n v="1.4264489588822669"/>
  </r>
  <r>
    <x v="3"/>
    <x v="0"/>
    <x v="0"/>
    <s v="MTG"/>
    <x v="0"/>
    <n v="4.3642403763055508"/>
  </r>
  <r>
    <x v="3"/>
    <x v="0"/>
    <x v="1"/>
    <s v="MTG"/>
    <x v="0"/>
    <n v="4.173"/>
  </r>
  <r>
    <x v="3"/>
    <x v="0"/>
    <x v="5"/>
    <s v="MTG"/>
    <x v="0"/>
    <n v="2768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.125"/>
  </r>
  <r>
    <x v="3"/>
    <x v="0"/>
    <x v="4"/>
    <s v="MTG"/>
    <x v="0"/>
    <n v="1.4339233654036512"/>
  </r>
  <r>
    <x v="2"/>
    <x v="1"/>
    <x v="1"/>
    <s v="MTG"/>
    <x v="0"/>
    <n v="4.4000000000000004"/>
  </r>
  <r>
    <x v="2"/>
    <x v="1"/>
    <x v="2"/>
    <s v="MTG"/>
    <x v="0"/>
    <n v="2.25"/>
  </r>
  <r>
    <x v="2"/>
    <x v="1"/>
    <x v="3"/>
    <s v="MTG"/>
    <x v="0"/>
    <n v="3.5"/>
  </r>
  <r>
    <x v="3"/>
    <x v="1"/>
    <x v="0"/>
    <s v="MTG"/>
    <x v="0"/>
    <n v="3.9717500000000001"/>
  </r>
  <r>
    <x v="3"/>
    <x v="1"/>
    <x v="1"/>
    <s v="MTG"/>
    <x v="0"/>
    <n v="5.0090000000000003"/>
  </r>
  <r>
    <x v="3"/>
    <x v="1"/>
    <x v="5"/>
    <s v="MTG"/>
    <x v="0"/>
    <n v="6041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4"/>
  </r>
  <r>
    <x v="3"/>
    <x v="1"/>
    <x v="4"/>
    <s v="MTG"/>
    <x v="0"/>
    <n v="1.1865322640026403"/>
  </r>
  <r>
    <x v="3"/>
    <x v="1"/>
    <x v="7"/>
    <s v="MTG"/>
    <x v="0"/>
    <n v="3500"/>
  </r>
  <r>
    <x v="3"/>
    <x v="2"/>
    <x v="0"/>
    <s v="MTG"/>
    <x v="0"/>
    <n v="4.145604497342033"/>
  </r>
  <r>
    <x v="3"/>
    <x v="2"/>
    <x v="1"/>
    <s v="MTG"/>
    <x v="0"/>
    <n v="4.2590000000000003"/>
  </r>
  <r>
    <x v="3"/>
    <x v="2"/>
    <x v="5"/>
    <s v="MTG"/>
    <x v="0"/>
    <n v="2377"/>
  </r>
  <r>
    <x v="3"/>
    <x v="2"/>
    <x v="6"/>
    <s v="MTG"/>
    <x v="0"/>
    <n v="500000"/>
  </r>
  <r>
    <x v="3"/>
    <x v="2"/>
    <x v="2"/>
    <s v="MTG"/>
    <x v="0"/>
    <n v="1"/>
  </r>
  <r>
    <x v="3"/>
    <x v="2"/>
    <x v="3"/>
    <s v="MTG"/>
    <x v="0"/>
    <n v="4.25"/>
  </r>
  <r>
    <x v="3"/>
    <x v="2"/>
    <x v="4"/>
    <s v="MTG"/>
    <x v="0"/>
    <n v="1.2152874864401328"/>
  </r>
  <r>
    <x v="3"/>
    <x v="3"/>
    <x v="0"/>
    <s v="MTG"/>
    <x v="0"/>
    <n v="3.9975388163708763"/>
  </r>
  <r>
    <x v="3"/>
    <x v="3"/>
    <x v="1"/>
    <s v="MTG"/>
    <x v="0"/>
    <n v="4.1310000000000002"/>
  </r>
  <r>
    <x v="3"/>
    <x v="3"/>
    <x v="5"/>
    <s v="MTG"/>
    <x v="0"/>
    <n v="3137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67221805468976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3" cacheId="62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4">
        <item m="1" x="3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3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18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atesSummaryTable" cacheId="68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6">
        <item m="1" x="4"/>
        <item m="1" x="5"/>
        <item m="1" x="2"/>
        <item m="1" x="1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5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19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74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D59" firstHeaderRow="1" firstDataRow="2" firstDataCol="3"/>
  <pivotFields count="6">
    <pivotField axis="axisRow" compact="0" outline="0" showAll="0" defaultSubtotal="0">
      <items count="5">
        <item m="1" x="2"/>
        <item m="1" x="3"/>
        <item m="1" x="4"/>
        <item m="1" x="1"/>
        <item x="0"/>
      </items>
    </pivotField>
    <pivotField axis="axisRow" compact="0" outline="0" showAll="0" defaultSubtotal="0">
      <items count="5">
        <item m="1" x="2"/>
        <item m="1" x="3"/>
        <item m="1" x="1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8">
        <item m="1" x="1"/>
        <item m="1" x="5"/>
        <item m="1" x="3"/>
        <item m="1" x="6"/>
        <item m="1" x="4"/>
        <item m="1" x="2"/>
        <item x="0"/>
        <item t="default"/>
      </items>
    </pivotField>
    <pivotField compact="0" outline="0" showAll="0"/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1">
    <i>
      <x v="1"/>
      <x v="4"/>
      <x v="4"/>
    </i>
  </rowItems>
  <colFields count="1">
    <field x="2"/>
  </colFields>
  <colItems count="1">
    <i>
      <x v="6"/>
    </i>
  </colItems>
  <dataFields count="1">
    <dataField name="Sum of SeriesNumValue" fld="5" baseField="0" baseItem="0"/>
  </dataFields>
  <formats count="1">
    <format dxfId="20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6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CurrentMtgRatesDataTable" displayName="CurrentMtgRatesDataTable" ref="A6:F53" tableType="queryTable" totalsRowShown="0" headerRowDxfId="31" dataDxfId="30">
  <tableColumns count="6">
    <tableColumn id="3" uniqueName="3" name="Source" queryTableFieldId="44" dataDxfId="17" dataCellStyle="Normal 2 7"/>
    <tableColumn id="4" uniqueName="4" name="TickerName" queryTableFieldId="45" dataDxfId="16" dataCellStyle="Normal 2 7"/>
    <tableColumn id="5" uniqueName="5" name="SeriesType" queryTableFieldId="46" dataDxfId="15" dataCellStyle="Normal 2 7"/>
    <tableColumn id="6" uniqueName="6" name="Category" queryTableFieldId="47" dataDxfId="14" dataCellStyle="Normal 2 7"/>
    <tableColumn id="10" uniqueName="10" name="AsOfDate" queryTableFieldId="51" dataDxfId="13" dataCellStyle="Normal 2 7"/>
    <tableColumn id="11" uniqueName="11" name="SeriesNumValue" queryTableFieldId="52" dataDxfId="12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29" dataDxfId="28">
  <tableColumns count="6">
    <tableColumn id="2" uniqueName="2" name="TickerName" queryTableFieldId="57" dataDxfId="11"/>
    <tableColumn id="3" uniqueName="3" name="Source" queryTableFieldId="58" dataDxfId="10"/>
    <tableColumn id="4" uniqueName="4" name="SeriesType" queryTableFieldId="59" dataDxfId="9"/>
    <tableColumn id="5" uniqueName="5" name="Category" queryTableFieldId="60" dataDxfId="8"/>
    <tableColumn id="6" uniqueName="6" name="AsOfDate" queryTableFieldId="61" dataDxfId="7"/>
    <tableColumn id="7" uniqueName="7" name="SeriesNumValue" queryTableFieldId="62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7" tableType="queryTable" insertRow="1" totalsRowShown="0" headerRowDxfId="27" dataDxfId="26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25" dataDxfId="24">
  <tableColumns count="3">
    <tableColumn id="2" uniqueName="2" name="TickerName" queryTableFieldId="57" dataDxfId="23" dataCellStyle="Normal 2 7"/>
    <tableColumn id="6" uniqueName="6" name="AsOfDate" queryTableFieldId="61" dataDxfId="22" dataCellStyle="Normal 2 7"/>
    <tableColumn id="7" uniqueName="7" name="SeriesNumValue" queryTableFieldId="62" dataDxfId="21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X29"/>
  <sheetViews>
    <sheetView tabSelected="1" topLeftCell="E1" zoomScaleNormal="100" workbookViewId="0">
      <selection activeCell="V4" sqref="V4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0" width="12.7109375" style="1" customWidth="1"/>
    <col min="11" max="11" width="15.140625" style="1" bestFit="1" customWidth="1"/>
    <col min="12" max="13" width="12.7109375" customWidth="1"/>
    <col min="14" max="14" width="13.85546875" bestFit="1" customWidth="1"/>
    <col min="15" max="15" width="14.42578125" bestFit="1" customWidth="1"/>
    <col min="16" max="18" width="12.7109375" style="1" customWidth="1"/>
    <col min="19" max="19" width="7.7109375" customWidth="1"/>
    <col min="21" max="21" width="14.140625" customWidth="1"/>
    <col min="22" max="22" width="40.85546875" bestFit="1" customWidth="1"/>
    <col min="23" max="23" width="14.85546875" bestFit="1" customWidth="1"/>
  </cols>
  <sheetData>
    <row r="1" spans="3:24">
      <c r="U1" s="86" t="s">
        <v>59</v>
      </c>
      <c r="V1" s="87" t="s">
        <v>83</v>
      </c>
      <c r="W1" t="s">
        <v>82</v>
      </c>
      <c r="X1" s="87" t="s">
        <v>84</v>
      </c>
    </row>
    <row r="2" spans="3:24">
      <c r="U2" s="86" t="s">
        <v>60</v>
      </c>
      <c r="V2" s="88">
        <v>42069</v>
      </c>
    </row>
    <row r="3" spans="3:24" s="1" customFormat="1">
      <c r="U3" s="86" t="s">
        <v>71</v>
      </c>
      <c r="V3" s="87" t="str">
        <f>"S:\Users\Lien\Daily Report\Daily Originator Mortgage Rate Report\Daily Originator Mortgage Rate Report " &amp; TEXT(CurrentCloseDate, "yyyy-mm-dd") &amp; ".pdf"</f>
        <v>S:\Users\Lien\Daily Report\Daily Originator Mortgage Rate Report\Daily Originator Mortgage Rate Report 2015-03-06.pdf</v>
      </c>
    </row>
    <row r="4" spans="3:24" s="1" customFormat="1">
      <c r="U4" s="41"/>
      <c r="V4" s="43"/>
    </row>
    <row r="5" spans="3:24" s="1" customFormat="1">
      <c r="U5" s="41"/>
    </row>
    <row r="6" spans="3:24" s="1" customFormat="1">
      <c r="U6" s="41"/>
    </row>
    <row r="7" spans="3:24">
      <c r="V7" s="1"/>
    </row>
    <row r="10" spans="3:24">
      <c r="C10" s="89" t="s">
        <v>61</v>
      </c>
    </row>
    <row r="11" spans="3:24" s="43" customFormat="1" ht="18" customHeight="1">
      <c r="C11" s="95" t="s">
        <v>16</v>
      </c>
      <c r="D11" s="134" t="s">
        <v>31</v>
      </c>
      <c r="E11" s="130"/>
      <c r="F11" s="130"/>
      <c r="G11" s="130" t="s">
        <v>0</v>
      </c>
      <c r="H11" s="130"/>
      <c r="I11" s="131"/>
      <c r="J11" s="80" t="s">
        <v>30</v>
      </c>
      <c r="K11" s="80" t="s">
        <v>9</v>
      </c>
      <c r="L11" s="80" t="s">
        <v>10</v>
      </c>
      <c r="M11" s="81" t="s">
        <v>21</v>
      </c>
      <c r="N11" s="82" t="s">
        <v>29</v>
      </c>
      <c r="O11" s="81" t="s">
        <v>46</v>
      </c>
      <c r="P11" s="80" t="s">
        <v>75</v>
      </c>
      <c r="Q11" s="80" t="s">
        <v>73</v>
      </c>
      <c r="R11" s="82" t="s">
        <v>74</v>
      </c>
    </row>
    <row r="12" spans="3:24" s="99" customFormat="1" ht="18" customHeight="1">
      <c r="C12" s="98" t="s">
        <v>17</v>
      </c>
      <c r="D12" s="135">
        <f>'BoA - Conventional'!C4</f>
        <v>0.04</v>
      </c>
      <c r="E12" s="132"/>
      <c r="F12" s="132"/>
      <c r="G12" s="132">
        <f>'BoA - Conventional'!C5</f>
        <v>4.2079999999999999E-2</v>
      </c>
      <c r="H12" s="132"/>
      <c r="I12" s="133"/>
      <c r="J12" s="37">
        <f>'BoA - Conventional'!F5</f>
        <v>1.163E-2</v>
      </c>
      <c r="K12" s="37">
        <f>'BoA - Conventional'!F6</f>
        <v>1.3026398969146398E-2</v>
      </c>
      <c r="L12" s="37">
        <f>'BoA - Conventional'!F7</f>
        <v>2.4656398969146398E-2</v>
      </c>
      <c r="M12" s="47">
        <f>'BoA - Conventional'!I4</f>
        <v>4.3664099742286598E-2</v>
      </c>
      <c r="N12" s="48">
        <f>M12-D$28</f>
        <v>1.43609296332676E-2</v>
      </c>
      <c r="O12" s="50">
        <f>(M12-'Historic Result'!C5)*100*100</f>
        <v>9.1269961682124983</v>
      </c>
      <c r="P12" s="36">
        <f>(N12-'Historic Result'!D5)*100*100</f>
        <v>-2.348547424310468</v>
      </c>
      <c r="Q12" s="36" t="e">
        <f>(M12-'Historic Result'!E5)*100*100</f>
        <v>#N/A</v>
      </c>
      <c r="R12" s="44" t="e">
        <f>(N12-'Historic Result'!F5)*100*100</f>
        <v>#N/A</v>
      </c>
    </row>
    <row r="13" spans="3:24" s="99" customFormat="1" ht="18" customHeight="1">
      <c r="C13" s="98" t="s">
        <v>18</v>
      </c>
      <c r="D13" s="135">
        <f>'Chase - Conventional'!C4</f>
        <v>4.1250000000000002E-2</v>
      </c>
      <c r="E13" s="132"/>
      <c r="F13" s="132"/>
      <c r="G13" s="132">
        <f>'Chase - Conventional'!C5</f>
        <v>4.1769999999999995E-2</v>
      </c>
      <c r="H13" s="132"/>
      <c r="I13" s="133"/>
      <c r="J13" s="37" t="s">
        <v>2</v>
      </c>
      <c r="K13" s="37" t="s">
        <v>2</v>
      </c>
      <c r="L13" s="37">
        <f>'Chase - Conventional'!F7</f>
        <v>6.2048746624759898E-3</v>
      </c>
      <c r="M13" s="47">
        <f>'Chase - Conventional'!I4</f>
        <v>4.0301218665618997E-2</v>
      </c>
      <c r="N13" s="48">
        <f>M13-D$28</f>
        <v>1.0998048556599999E-2</v>
      </c>
      <c r="O13" s="50">
        <f>(M13-'Historic Result'!C6)*100*100</f>
        <v>0</v>
      </c>
      <c r="P13" s="36">
        <f>(N13-'Historic Result'!D6)*100*100</f>
        <v>-11.475543592522966</v>
      </c>
      <c r="Q13" s="36" t="e">
        <f>(M13-'Historic Result'!E6)*100*100</f>
        <v>#N/A</v>
      </c>
      <c r="R13" s="44" t="e">
        <f>(N13-'Historic Result'!F6)*100*100</f>
        <v>#N/A</v>
      </c>
    </row>
    <row r="14" spans="3:24" s="99" customFormat="1" ht="18" customHeight="1">
      <c r="C14" s="98" t="s">
        <v>19</v>
      </c>
      <c r="D14" s="135">
        <f>'Quicken - Conventional'!C4</f>
        <v>3.9900000000000005E-2</v>
      </c>
      <c r="E14" s="132"/>
      <c r="F14" s="132"/>
      <c r="G14" s="132">
        <f>'Quicken - Conventional'!C5</f>
        <v>4.1980000000000003E-2</v>
      </c>
      <c r="H14" s="132"/>
      <c r="I14" s="133"/>
      <c r="J14" s="37">
        <f>'Quicken - Conventional'!F5</f>
        <v>1.6250000000000001E-2</v>
      </c>
      <c r="K14" s="37">
        <f>'Quicken - Conventional'!F6</f>
        <v>8.4206387913666608E-3</v>
      </c>
      <c r="L14" s="37">
        <f>'Quicken - Conventional'!F7</f>
        <v>2.4670638791366661E-2</v>
      </c>
      <c r="M14" s="47">
        <f>'Quicken - Conventional'!I4</f>
        <v>4.3567659697841668E-2</v>
      </c>
      <c r="N14" s="48">
        <f>M14-D$28</f>
        <v>1.4264489588822669E-2</v>
      </c>
      <c r="O14" s="50">
        <f>(M14-'Historic Result'!C7)*100*100</f>
        <v>8.4550709279187366</v>
      </c>
      <c r="P14" s="36">
        <f>(N14-'Historic Result'!D7)*100*100</f>
        <v>-3.0204726646042293</v>
      </c>
      <c r="Q14" s="36" t="e">
        <f>(M14-'Historic Result'!E7)*100*100</f>
        <v>#N/A</v>
      </c>
      <c r="R14" s="44" t="e">
        <f>(N14-'Historic Result'!F7)*100*100</f>
        <v>#N/A</v>
      </c>
    </row>
    <row r="15" spans="3:24" s="99" customFormat="1" ht="18" customHeight="1">
      <c r="C15" s="98" t="s">
        <v>20</v>
      </c>
      <c r="D15" s="135">
        <f>CIR</f>
        <v>4.1250000000000002E-2</v>
      </c>
      <c r="E15" s="132"/>
      <c r="F15" s="132"/>
      <c r="G15" s="132">
        <f>CAPR</f>
        <v>4.1730000000000003E-2</v>
      </c>
      <c r="H15" s="132"/>
      <c r="I15" s="133"/>
      <c r="J15" s="37">
        <f>'Wells - Conventional'!F6</f>
        <v>5.7296150522220257E-3</v>
      </c>
      <c r="K15" s="37">
        <f>'Wells - Conventional'!F8</f>
        <v>1.384E-2</v>
      </c>
      <c r="L15" s="37">
        <f>'Wells - Conventional'!F9</f>
        <v>1.9569615052222024E-2</v>
      </c>
      <c r="M15" s="47">
        <f>'Wells - Conventional'!I4</f>
        <v>4.3642403763055511E-2</v>
      </c>
      <c r="N15" s="48">
        <f>M15-D$28</f>
        <v>1.4339233654036512E-2</v>
      </c>
      <c r="O15" s="50">
        <f>(M15-'Historic Result'!C8)*100*100</f>
        <v>20.243639585563187</v>
      </c>
      <c r="P15" s="36">
        <f>(N15-'Historic Result'!D8)*100*100</f>
        <v>8.7680959930402231</v>
      </c>
      <c r="Q15" s="36" t="e">
        <f>(M15-'Historic Result'!E8)*100*100</f>
        <v>#N/A</v>
      </c>
      <c r="R15" s="44" t="e">
        <f>(N15-'Historic Result'!F8)*100*100</f>
        <v>#N/A</v>
      </c>
    </row>
    <row r="16" spans="3:24" s="99" customFormat="1" ht="18" customHeight="1">
      <c r="C16" s="100" t="s">
        <v>22</v>
      </c>
      <c r="D16" s="144">
        <f>AVERAGE(D12:D15)</f>
        <v>4.0600000000000004E-2</v>
      </c>
      <c r="E16" s="142"/>
      <c r="F16" s="142"/>
      <c r="G16" s="142">
        <f>AVERAGE(G12:I15)</f>
        <v>4.1889999999999997E-2</v>
      </c>
      <c r="H16" s="142"/>
      <c r="I16" s="143"/>
      <c r="J16" s="64">
        <f>AVERAGE(J12,J14:J15)</f>
        <v>1.1203205017407342E-2</v>
      </c>
      <c r="K16" s="64">
        <f>AVERAGE(K12,K14:K15)</f>
        <v>1.1762345920171018E-2</v>
      </c>
      <c r="L16" s="64">
        <f>AVERAGE(L12,L14:L15)</f>
        <v>2.296555093757836E-2</v>
      </c>
      <c r="M16" s="65">
        <f t="shared" ref="M16" si="0">AVERAGE(M12:M15)</f>
        <v>4.2793845467200692E-2</v>
      </c>
      <c r="N16" s="66">
        <f>M16-D$28</f>
        <v>1.3490675358181693E-2</v>
      </c>
      <c r="O16" s="67">
        <f>AVERAGE(O12:O15)</f>
        <v>9.4564266704236051</v>
      </c>
      <c r="P16" s="68">
        <f>AVERAGE(P12:P15)</f>
        <v>-2.0191169220993599</v>
      </c>
      <c r="Q16" s="68" t="e">
        <f t="shared" ref="Q16:R16" si="1">AVERAGE(Q12:Q15)</f>
        <v>#N/A</v>
      </c>
      <c r="R16" s="69" t="e">
        <f t="shared" si="1"/>
        <v>#N/A</v>
      </c>
    </row>
    <row r="17" spans="3:18" s="99" customFormat="1" ht="18" customHeight="1">
      <c r="C17" s="95" t="s">
        <v>32</v>
      </c>
      <c r="D17" s="145" t="s">
        <v>31</v>
      </c>
      <c r="E17" s="146"/>
      <c r="F17" s="146"/>
      <c r="G17" s="146" t="s">
        <v>0</v>
      </c>
      <c r="H17" s="146"/>
      <c r="I17" s="151"/>
      <c r="J17" s="84"/>
      <c r="K17" s="84"/>
      <c r="L17" s="84"/>
      <c r="M17" s="83"/>
      <c r="N17" s="85"/>
      <c r="O17" s="83"/>
      <c r="P17" s="84"/>
      <c r="Q17" s="84"/>
      <c r="R17" s="85"/>
    </row>
    <row r="18" spans="3:18" s="99" customFormat="1" ht="18" customHeight="1">
      <c r="C18" s="101" t="s">
        <v>20</v>
      </c>
      <c r="D18" s="147">
        <f>'Wells - Jumbo conformin'!C4</f>
        <v>4.2500000000000003E-2</v>
      </c>
      <c r="E18" s="148"/>
      <c r="F18" s="148"/>
      <c r="G18" s="148">
        <f>'Wells - Jumbo conformin'!C5</f>
        <v>4.2590000000000003E-2</v>
      </c>
      <c r="H18" s="148"/>
      <c r="I18" s="152"/>
      <c r="J18" s="70">
        <f>'Wells - Jumbo conformin'!F5</f>
        <v>1.0701798936813001E-3</v>
      </c>
      <c r="K18" s="70">
        <f>'Wells - Jumbo conformin'!F6</f>
        <v>4.7540000000000004E-3</v>
      </c>
      <c r="L18" s="70">
        <f>'Wells - Jumbo conformin'!F7</f>
        <v>5.8241798936813005E-3</v>
      </c>
      <c r="M18" s="71">
        <f>'Wells - Jumbo conformin'!I4</f>
        <v>4.1456044973420328E-2</v>
      </c>
      <c r="N18" s="72">
        <f>M18-D$28</f>
        <v>1.2152874864401329E-2</v>
      </c>
      <c r="O18" s="73">
        <f>(M18-'Historic Result'!C10)*100*100</f>
        <v>2.171555518047791</v>
      </c>
      <c r="P18" s="74">
        <f>(N18-'Historic Result'!D10)*100*100</f>
        <v>-9.3039880744751748</v>
      </c>
      <c r="Q18" s="74" t="e">
        <f>(M18-'Historic Result'!E10)*100*100</f>
        <v>#N/A</v>
      </c>
      <c r="R18" s="75" t="e">
        <f>(N18-'Historic Result'!F10)*100*100</f>
        <v>#N/A</v>
      </c>
    </row>
    <row r="19" spans="3:18" s="99" customFormat="1" ht="18" customHeight="1">
      <c r="C19" s="96" t="s">
        <v>33</v>
      </c>
      <c r="D19" s="149" t="s">
        <v>31</v>
      </c>
      <c r="E19" s="150"/>
      <c r="F19" s="150"/>
      <c r="G19" s="150" t="s">
        <v>0</v>
      </c>
      <c r="H19" s="150"/>
      <c r="I19" s="153"/>
      <c r="J19" s="53"/>
      <c r="K19" s="53"/>
      <c r="L19" s="53"/>
      <c r="M19" s="52"/>
      <c r="N19" s="54"/>
      <c r="O19" s="55"/>
      <c r="P19" s="56"/>
      <c r="Q19" s="56"/>
      <c r="R19" s="57"/>
    </row>
    <row r="20" spans="3:18" s="99" customFormat="1" ht="18" customHeight="1">
      <c r="C20" s="101" t="s">
        <v>20</v>
      </c>
      <c r="D20" s="147">
        <f>'Wells - Jumbo Non-conforming'!C4</f>
        <v>4.1250000000000002E-2</v>
      </c>
      <c r="E20" s="148"/>
      <c r="F20" s="148"/>
      <c r="G20" s="148">
        <f>'Wells - Jumbo Non-conforming'!C5</f>
        <v>4.1309999999999999E-2</v>
      </c>
      <c r="H20" s="148"/>
      <c r="I20" s="152"/>
      <c r="J20" s="70">
        <f>'Wells - Jumbo Non-conforming'!F5</f>
        <v>7.1888598816838289E-4</v>
      </c>
      <c r="K20" s="70">
        <f>'Wells - Jumbo Non-conforming'!F6</f>
        <v>4.182666666666667E-3</v>
      </c>
      <c r="L20" s="70">
        <f>'Wells - Jumbo Non-conforming'!F7</f>
        <v>4.9015526548350499E-3</v>
      </c>
      <c r="M20" s="71">
        <f>'Wells - Jumbo Non-conforming'!I4</f>
        <v>3.9975388163708762E-2</v>
      </c>
      <c r="N20" s="72">
        <f>M20-D$28</f>
        <v>1.0672218054689764E-2</v>
      </c>
      <c r="O20" s="73">
        <f>(M20-'Historic Result'!C12)*100*100</f>
        <v>8.0472149704209635</v>
      </c>
      <c r="P20" s="74">
        <f>(N20-'Historic Result'!D12)*100*100</f>
        <v>-3.4283286221020033</v>
      </c>
      <c r="Q20" s="74" t="e">
        <f>(M20-'Historic Result'!E12)*100*100</f>
        <v>#N/A</v>
      </c>
      <c r="R20" s="75" t="e">
        <f>(N20-'Historic Result'!F12)*100*100</f>
        <v>#N/A</v>
      </c>
    </row>
    <row r="21" spans="3:18" s="99" customFormat="1" ht="18" customHeight="1">
      <c r="C21" s="97" t="s">
        <v>34</v>
      </c>
      <c r="D21" s="138" t="s">
        <v>31</v>
      </c>
      <c r="E21" s="139"/>
      <c r="F21" s="136" t="s">
        <v>35</v>
      </c>
      <c r="G21" s="136"/>
      <c r="H21" s="136" t="s">
        <v>36</v>
      </c>
      <c r="I21" s="137"/>
      <c r="J21" s="59"/>
      <c r="K21" s="59"/>
      <c r="L21" s="59"/>
      <c r="M21" s="58"/>
      <c r="N21" s="60"/>
      <c r="O21" s="61"/>
      <c r="P21" s="62"/>
      <c r="Q21" s="62"/>
      <c r="R21" s="63"/>
    </row>
    <row r="22" spans="3:18" s="99" customFormat="1" ht="18" customHeight="1">
      <c r="C22" s="102" t="s">
        <v>20</v>
      </c>
      <c r="D22" s="163">
        <v>3.875E-2</v>
      </c>
      <c r="E22" s="140"/>
      <c r="F22" s="140">
        <v>1.7500000000000002E-2</v>
      </c>
      <c r="G22" s="140"/>
      <c r="H22" s="140">
        <v>8.5000000000000006E-3</v>
      </c>
      <c r="I22" s="141"/>
      <c r="J22" s="78">
        <v>0</v>
      </c>
      <c r="K22" s="78">
        <v>1.387E-2</v>
      </c>
      <c r="L22" s="78">
        <v>1.387E-2</v>
      </c>
      <c r="M22" s="49">
        <v>3.9717500000000003E-2</v>
      </c>
      <c r="N22" s="79">
        <f>M22-D29</f>
        <v>1.1865322640026404E-2</v>
      </c>
      <c r="O22" s="51">
        <f>(M22-'Historic Result'!C14)*100*100</f>
        <v>0</v>
      </c>
      <c r="P22" s="45">
        <f>(N22-'Historic Result'!D14)*100*100</f>
        <v>-9.5933788108839604</v>
      </c>
      <c r="Q22" s="45" t="e">
        <f>(M22-'Historic Result'!E14)*100*100</f>
        <v>#N/A</v>
      </c>
      <c r="R22" s="46" t="e">
        <f>(N22-'Historic Result'!F14)*100*100</f>
        <v>#N/A</v>
      </c>
    </row>
    <row r="24" spans="3:18">
      <c r="I24"/>
      <c r="J24"/>
      <c r="K24"/>
      <c r="O24" s="1"/>
    </row>
    <row r="25" spans="3:18">
      <c r="I25"/>
      <c r="J25"/>
      <c r="K25"/>
      <c r="O25" s="1"/>
    </row>
    <row r="26" spans="3:18">
      <c r="C26" s="89" t="s">
        <v>24</v>
      </c>
      <c r="D26" s="3"/>
      <c r="E26" s="3"/>
      <c r="F26" s="3"/>
      <c r="G26" s="3"/>
      <c r="H26" s="3"/>
      <c r="I26"/>
      <c r="J26"/>
      <c r="K26"/>
      <c r="O26" s="1"/>
    </row>
    <row r="27" spans="3:18" ht="18" customHeight="1">
      <c r="C27" s="103" t="s">
        <v>25</v>
      </c>
      <c r="D27" s="154" t="s">
        <v>26</v>
      </c>
      <c r="E27" s="155"/>
      <c r="F27" s="156"/>
      <c r="G27"/>
      <c r="H27"/>
      <c r="O27" s="1"/>
    </row>
    <row r="28" spans="3:18" ht="18" customHeight="1">
      <c r="C28" s="76" t="s">
        <v>27</v>
      </c>
      <c r="D28" s="157">
        <f>VLOOKUP(C28,'Time Series Query'!X12:Z13,3,0)</f>
        <v>2.9303170109018999E-2</v>
      </c>
      <c r="E28" s="158"/>
      <c r="F28" s="159"/>
      <c r="G28" s="27"/>
      <c r="H28" s="27"/>
      <c r="O28" s="1"/>
    </row>
    <row r="29" spans="3:18" ht="18" customHeight="1">
      <c r="C29" s="77" t="s">
        <v>28</v>
      </c>
      <c r="D29" s="160">
        <f>VLOOKUP(C29,'Time Series Query'!X13:Z14,3,0)</f>
        <v>2.7852177359973598E-2</v>
      </c>
      <c r="E29" s="161"/>
      <c r="F29" s="162"/>
      <c r="G29" s="27"/>
      <c r="H29" s="27"/>
      <c r="O29" s="1"/>
    </row>
  </sheetData>
  <mergeCells count="29">
    <mergeCell ref="D27:F27"/>
    <mergeCell ref="D28:F28"/>
    <mergeCell ref="D29:F29"/>
    <mergeCell ref="D22:E22"/>
    <mergeCell ref="F22:G22"/>
    <mergeCell ref="H21:I21"/>
    <mergeCell ref="F21:G21"/>
    <mergeCell ref="D21:E21"/>
    <mergeCell ref="H22:I22"/>
    <mergeCell ref="G16:I16"/>
    <mergeCell ref="D16:F16"/>
    <mergeCell ref="D17:F17"/>
    <mergeCell ref="D18:F18"/>
    <mergeCell ref="D19:F19"/>
    <mergeCell ref="D20:F20"/>
    <mergeCell ref="G17:I17"/>
    <mergeCell ref="G18:I18"/>
    <mergeCell ref="G19:I19"/>
    <mergeCell ref="G20:I20"/>
    <mergeCell ref="D11:F11"/>
    <mergeCell ref="D12:F12"/>
    <mergeCell ref="D13:F13"/>
    <mergeCell ref="D14:F14"/>
    <mergeCell ref="D15:F15"/>
    <mergeCell ref="G11:I11"/>
    <mergeCell ref="G12:I12"/>
    <mergeCell ref="G13:I13"/>
    <mergeCell ref="G14:I14"/>
    <mergeCell ref="G15:I15"/>
  </mergeCells>
  <dataValidations disablePrompts="1" count="2">
    <dataValidation type="list" allowBlank="1" showInputMessage="1" showErrorMessage="1" sqref="V1">
      <formula1>"PROD, DEV"</formula1>
    </dataValidation>
    <dataValidation type="list" allowBlank="1" showInputMessage="1" showErrorMessage="1" sqref="X1">
      <formula1>"Yes, No"</formula1>
    </dataValidation>
  </dataValidations>
  <pageMargins left="0.25" right="0.25" top="0.255" bottom="0.25" header="0.1" footer="0.1"/>
  <pageSetup scale="70" orientation="landscape" horizontalDpi="1200" verticalDpi="1200" r:id="rId1"/>
  <headerFooter scaleWithDoc="0">
    <oddHeader>&amp;L&amp;G&amp;C&amp;"-,Bold"&amp;10&amp;K2E398A
&amp;15Daily Originator Mortgage Rates&amp;R&amp;"-,Bold"&amp;10&amp;K2E398A
As of 3/6/2015</oddHeader>
    <oddFooter>&amp;L&amp;10&amp;K2E398AReport created on &amp;D &amp;T&amp;C&amp;G
&amp;8&amp;K2E398APage &amp;P of &amp;N</oddFooter>
  </headerFooter>
  <colBreaks count="1" manualBreakCount="1">
    <brk id="19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E173"/>
  <sheetViews>
    <sheetView workbookViewId="0">
      <selection activeCell="X8" sqref="X8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6" width="8" style="38" customWidth="1"/>
    <col min="27" max="27" width="10.140625" style="38" customWidth="1"/>
    <col min="28" max="28" width="14.140625" style="38" customWidth="1"/>
    <col min="29" max="29" width="12.28515625" style="38" customWidth="1"/>
    <col min="30" max="30" width="8.42578125" style="38" bestFit="1" customWidth="1"/>
    <col min="31" max="31" width="15.28515625" style="38" bestFit="1" customWidth="1"/>
    <col min="32" max="32" width="9.85546875" style="38" bestFit="1" customWidth="1"/>
    <col min="33" max="33" width="10.28515625" style="38" bestFit="1" customWidth="1"/>
    <col min="34" max="34" width="11.42578125" style="38" bestFit="1" customWidth="1"/>
    <col min="35" max="35" width="12.5703125" style="38" bestFit="1" customWidth="1"/>
    <col min="36" max="37" width="12" style="38" bestFit="1" customWidth="1"/>
    <col min="38" max="38" width="12.28515625" style="38" bestFit="1" customWidth="1"/>
    <col min="39" max="39" width="12" style="38" bestFit="1" customWidth="1"/>
    <col min="40" max="40" width="8.5703125" style="38" bestFit="1" customWidth="1"/>
    <col min="41" max="45" width="12" style="38" bestFit="1" customWidth="1"/>
    <col min="46" max="46" width="8" style="38" bestFit="1" customWidth="1"/>
    <col min="47" max="47" width="12" style="38" bestFit="1" customWidth="1"/>
    <col min="48" max="48" width="5.7109375" style="38" bestFit="1" customWidth="1"/>
    <col min="49" max="50" width="12" style="38" bestFit="1" customWidth="1"/>
    <col min="51" max="51" width="17.5703125" style="38" bestFit="1" customWidth="1"/>
    <col min="52" max="52" width="8.85546875" style="38" bestFit="1" customWidth="1"/>
    <col min="53" max="54" width="16" style="38" bestFit="1" customWidth="1"/>
    <col min="55" max="55" width="14.7109375" style="38" bestFit="1" customWidth="1"/>
    <col min="56" max="56" width="16" style="38" bestFit="1" customWidth="1"/>
    <col min="57" max="57" width="17.5703125" style="38" bestFit="1" customWidth="1"/>
    <col min="58" max="58" width="12.140625" style="38" bestFit="1" customWidth="1"/>
    <col min="59" max="59" width="8.5703125" style="38" bestFit="1" customWidth="1"/>
    <col min="60" max="60" width="15.28515625" style="38" customWidth="1"/>
    <col min="61" max="61" width="11.7109375" style="38" bestFit="1" customWidth="1"/>
    <col min="62" max="62" width="10.28515625" style="38" bestFit="1" customWidth="1"/>
    <col min="63" max="63" width="12" style="38" bestFit="1" customWidth="1"/>
    <col min="64" max="64" width="14.42578125" style="38" customWidth="1"/>
    <col min="65" max="65" width="18.5703125" style="38" bestFit="1" customWidth="1"/>
    <col min="66" max="66" width="10.7109375" style="38" bestFit="1" customWidth="1"/>
    <col min="67" max="67" width="16.42578125" style="38" bestFit="1" customWidth="1"/>
    <col min="68" max="68" width="16.140625" style="38" bestFit="1" customWidth="1"/>
    <col min="69" max="69" width="14.42578125" style="38" customWidth="1"/>
    <col min="70" max="70" width="12.28515625" style="38" customWidth="1"/>
    <col min="71" max="16384" width="9.140625" style="38"/>
  </cols>
  <sheetData>
    <row r="1" spans="1:31">
      <c r="G1" s="38" t="s">
        <v>65</v>
      </c>
      <c r="H1" s="38" t="s">
        <v>62</v>
      </c>
      <c r="O1" s="38" t="s">
        <v>64</v>
      </c>
      <c r="P1" s="38" t="s">
        <v>62</v>
      </c>
    </row>
    <row r="2" spans="1:31">
      <c r="H2" s="38" t="s">
        <v>85</v>
      </c>
      <c r="P2" s="38" t="s">
        <v>87</v>
      </c>
    </row>
    <row r="5" spans="1:31" ht="23.25">
      <c r="A5" s="90" t="s">
        <v>66</v>
      </c>
      <c r="H5" s="90"/>
      <c r="I5" s="90" t="s">
        <v>63</v>
      </c>
      <c r="P5" s="90"/>
      <c r="Q5" s="90" t="s">
        <v>67</v>
      </c>
      <c r="R5" s="90"/>
      <c r="S5" s="90"/>
      <c r="T5" s="90"/>
      <c r="U5" s="90"/>
      <c r="V5" s="90"/>
      <c r="X5" s="90" t="s">
        <v>24</v>
      </c>
      <c r="AE5" s="90"/>
    </row>
    <row r="6" spans="1:31" s="93" customFormat="1">
      <c r="A6" s="93" t="s">
        <v>47</v>
      </c>
      <c r="B6" s="93" t="s">
        <v>48</v>
      </c>
      <c r="C6" s="93" t="s">
        <v>49</v>
      </c>
      <c r="D6" s="93" t="s">
        <v>50</v>
      </c>
      <c r="E6" s="93" t="s">
        <v>51</v>
      </c>
      <c r="F6" s="93" t="s">
        <v>52</v>
      </c>
      <c r="I6" s="93" t="s">
        <v>48</v>
      </c>
      <c r="J6" s="93" t="s">
        <v>47</v>
      </c>
      <c r="K6" s="93" t="s">
        <v>49</v>
      </c>
      <c r="L6" s="93" t="s">
        <v>50</v>
      </c>
      <c r="M6" s="93" t="s">
        <v>51</v>
      </c>
      <c r="N6" s="93" t="s">
        <v>52</v>
      </c>
      <c r="Q6" s="93" t="s">
        <v>48</v>
      </c>
      <c r="R6" s="93" t="s">
        <v>47</v>
      </c>
      <c r="S6" s="93" t="s">
        <v>49</v>
      </c>
      <c r="T6" s="93" t="s">
        <v>50</v>
      </c>
      <c r="U6" s="93" t="s">
        <v>51</v>
      </c>
      <c r="V6" s="93" t="s">
        <v>52</v>
      </c>
      <c r="X6" s="93" t="s">
        <v>48</v>
      </c>
      <c r="Y6" s="93" t="s">
        <v>51</v>
      </c>
      <c r="Z6" s="93" t="s">
        <v>52</v>
      </c>
    </row>
    <row r="7" spans="1:31" s="93" customFormat="1">
      <c r="A7" s="93" t="s">
        <v>17</v>
      </c>
      <c r="B7" s="93" t="s">
        <v>54</v>
      </c>
      <c r="C7" s="93" t="s">
        <v>79</v>
      </c>
      <c r="D7" s="93" t="s">
        <v>53</v>
      </c>
      <c r="E7" s="94" t="s">
        <v>86</v>
      </c>
      <c r="F7" s="93">
        <v>4.3664099742286595</v>
      </c>
      <c r="I7" s="93" t="s">
        <v>54</v>
      </c>
      <c r="J7" s="93" t="s">
        <v>17</v>
      </c>
      <c r="K7" s="93" t="s">
        <v>79</v>
      </c>
      <c r="L7" s="93" t="s">
        <v>53</v>
      </c>
      <c r="M7" s="93" t="s">
        <v>85</v>
      </c>
      <c r="N7" s="93">
        <v>4.2751400125465349</v>
      </c>
      <c r="X7" s="93" t="s">
        <v>81</v>
      </c>
      <c r="Y7" s="93" t="s">
        <v>86</v>
      </c>
      <c r="Z7" s="93">
        <v>2.9303170109018999</v>
      </c>
    </row>
    <row r="8" spans="1:31" s="93" customFormat="1">
      <c r="A8" s="93" t="s">
        <v>17</v>
      </c>
      <c r="B8" s="93" t="s">
        <v>54</v>
      </c>
      <c r="C8" s="93" t="s">
        <v>0</v>
      </c>
      <c r="D8" s="93" t="s">
        <v>53</v>
      </c>
      <c r="E8" s="94" t="s">
        <v>86</v>
      </c>
      <c r="F8" s="93">
        <v>4.2080000000000002</v>
      </c>
      <c r="I8" s="91" t="s">
        <v>54</v>
      </c>
      <c r="J8" s="91" t="s">
        <v>17</v>
      </c>
      <c r="K8" s="91" t="s">
        <v>0</v>
      </c>
      <c r="L8" s="91" t="s">
        <v>53</v>
      </c>
      <c r="M8" s="91" t="s">
        <v>85</v>
      </c>
      <c r="N8" s="91">
        <v>4.093</v>
      </c>
      <c r="X8" s="93" t="s">
        <v>80</v>
      </c>
      <c r="Y8" s="93" t="s">
        <v>86</v>
      </c>
      <c r="Z8" s="93">
        <v>2.7852177359973598</v>
      </c>
    </row>
    <row r="9" spans="1:31" s="93" customFormat="1">
      <c r="A9" s="93" t="s">
        <v>17</v>
      </c>
      <c r="B9" s="93" t="s">
        <v>54</v>
      </c>
      <c r="C9" s="93" t="s">
        <v>7</v>
      </c>
      <c r="D9" s="93" t="s">
        <v>53</v>
      </c>
      <c r="E9" s="94" t="s">
        <v>86</v>
      </c>
      <c r="F9" s="93">
        <v>1.163</v>
      </c>
      <c r="I9" s="91" t="s">
        <v>54</v>
      </c>
      <c r="J9" s="91" t="s">
        <v>17</v>
      </c>
      <c r="K9" s="91" t="s">
        <v>7</v>
      </c>
      <c r="L9" s="91" t="s">
        <v>53</v>
      </c>
      <c r="M9" s="91" t="s">
        <v>85</v>
      </c>
      <c r="N9" s="91">
        <v>1.2989999999999999</v>
      </c>
    </row>
    <row r="10" spans="1:31" s="93" customFormat="1">
      <c r="A10" s="93" t="s">
        <v>17</v>
      </c>
      <c r="B10" s="93" t="s">
        <v>54</v>
      </c>
      <c r="C10" s="93" t="s">
        <v>26</v>
      </c>
      <c r="D10" s="93" t="s">
        <v>53</v>
      </c>
      <c r="E10" s="94" t="s">
        <v>86</v>
      </c>
      <c r="F10" s="93">
        <v>4</v>
      </c>
      <c r="I10" s="91" t="s">
        <v>54</v>
      </c>
      <c r="J10" s="91" t="s">
        <v>17</v>
      </c>
      <c r="K10" s="91" t="s">
        <v>26</v>
      </c>
      <c r="L10" s="91" t="s">
        <v>53</v>
      </c>
      <c r="M10" s="91" t="s">
        <v>85</v>
      </c>
      <c r="N10" s="91">
        <v>3.875</v>
      </c>
    </row>
    <row r="11" spans="1:31" s="93" customFormat="1">
      <c r="A11" s="93" t="s">
        <v>17</v>
      </c>
      <c r="B11" s="93" t="s">
        <v>54</v>
      </c>
      <c r="C11" s="93" t="s">
        <v>29</v>
      </c>
      <c r="D11" s="93" t="s">
        <v>53</v>
      </c>
      <c r="E11" s="94" t="s">
        <v>86</v>
      </c>
      <c r="F11" s="93">
        <v>1.4360929633267601</v>
      </c>
      <c r="I11" s="91" t="s">
        <v>54</v>
      </c>
      <c r="J11" s="91" t="s">
        <v>17</v>
      </c>
      <c r="K11" s="91" t="s">
        <v>29</v>
      </c>
      <c r="L11" s="91" t="s">
        <v>53</v>
      </c>
      <c r="M11" s="91" t="s">
        <v>85</v>
      </c>
      <c r="N11" s="91">
        <v>1.4595784375698646</v>
      </c>
    </row>
    <row r="12" spans="1:31" s="93" customFormat="1">
      <c r="A12" s="93" t="s">
        <v>18</v>
      </c>
      <c r="B12" s="93" t="s">
        <v>54</v>
      </c>
      <c r="C12" s="93" t="s">
        <v>79</v>
      </c>
      <c r="D12" s="93" t="s">
        <v>53</v>
      </c>
      <c r="E12" s="94" t="s">
        <v>86</v>
      </c>
      <c r="F12" s="93">
        <v>4.0301218665618999</v>
      </c>
      <c r="I12" s="91" t="s">
        <v>54</v>
      </c>
      <c r="J12" s="91" t="s">
        <v>18</v>
      </c>
      <c r="K12" s="91" t="s">
        <v>79</v>
      </c>
      <c r="L12" s="91" t="s">
        <v>53</v>
      </c>
      <c r="M12" s="91" t="s">
        <v>85</v>
      </c>
      <c r="N12" s="91">
        <v>4.0301218665618999</v>
      </c>
      <c r="X12" s="107" t="s">
        <v>27</v>
      </c>
      <c r="Y12" s="108" t="s">
        <v>81</v>
      </c>
      <c r="Z12" s="108">
        <f>VLOOKUP(Y12,OneWeekMtgRatesDataTable7[],3,0)/100</f>
        <v>2.9303170109018999E-2</v>
      </c>
      <c r="AA12" s="106"/>
    </row>
    <row r="13" spans="1:31" s="93" customFormat="1">
      <c r="A13" s="93" t="s">
        <v>18</v>
      </c>
      <c r="B13" s="93" t="s">
        <v>54</v>
      </c>
      <c r="C13" s="93" t="s">
        <v>0</v>
      </c>
      <c r="D13" s="93" t="s">
        <v>53</v>
      </c>
      <c r="E13" s="94" t="s">
        <v>86</v>
      </c>
      <c r="F13" s="93">
        <v>4.1769999999999996</v>
      </c>
      <c r="I13" s="91" t="s">
        <v>54</v>
      </c>
      <c r="J13" s="91" t="s">
        <v>18</v>
      </c>
      <c r="K13" s="91" t="s">
        <v>0</v>
      </c>
      <c r="L13" s="91" t="s">
        <v>53</v>
      </c>
      <c r="M13" s="91" t="s">
        <v>85</v>
      </c>
      <c r="N13" s="91">
        <v>4.1769999999999996</v>
      </c>
      <c r="X13" s="107" t="s">
        <v>28</v>
      </c>
      <c r="Y13" s="109" t="s">
        <v>80</v>
      </c>
      <c r="Z13" s="108">
        <f>VLOOKUP(Y13,OneWeekMtgRatesDataTable7[],3,0)/100</f>
        <v>2.7852177359973598E-2</v>
      </c>
      <c r="AA13" s="106"/>
    </row>
    <row r="14" spans="1:31" s="93" customFormat="1">
      <c r="A14" s="93" t="s">
        <v>18</v>
      </c>
      <c r="B14" s="93" t="s">
        <v>54</v>
      </c>
      <c r="C14" s="93" t="s">
        <v>7</v>
      </c>
      <c r="D14" s="93" t="s">
        <v>53</v>
      </c>
      <c r="E14" s="94" t="s">
        <v>86</v>
      </c>
      <c r="F14" s="93">
        <v>0.625</v>
      </c>
      <c r="I14" s="91" t="s">
        <v>54</v>
      </c>
      <c r="J14" s="91" t="s">
        <v>18</v>
      </c>
      <c r="K14" s="91" t="s">
        <v>7</v>
      </c>
      <c r="L14" s="91" t="s">
        <v>53</v>
      </c>
      <c r="M14" s="91" t="s">
        <v>85</v>
      </c>
      <c r="N14" s="91">
        <v>0.625</v>
      </c>
    </row>
    <row r="15" spans="1:31" s="93" customFormat="1">
      <c r="A15" s="93" t="s">
        <v>18</v>
      </c>
      <c r="B15" s="93" t="s">
        <v>54</v>
      </c>
      <c r="C15" s="93" t="s">
        <v>26</v>
      </c>
      <c r="D15" s="93" t="s">
        <v>53</v>
      </c>
      <c r="E15" s="94" t="s">
        <v>86</v>
      </c>
      <c r="F15" s="93">
        <v>4.125</v>
      </c>
      <c r="I15" s="91" t="s">
        <v>54</v>
      </c>
      <c r="J15" s="91" t="s">
        <v>18</v>
      </c>
      <c r="K15" s="91" t="s">
        <v>26</v>
      </c>
      <c r="L15" s="91" t="s">
        <v>53</v>
      </c>
      <c r="M15" s="91" t="s">
        <v>85</v>
      </c>
      <c r="N15" s="91">
        <v>4.125</v>
      </c>
    </row>
    <row r="16" spans="1:31" s="93" customFormat="1">
      <c r="A16" s="93" t="s">
        <v>18</v>
      </c>
      <c r="B16" s="93" t="s">
        <v>54</v>
      </c>
      <c r="C16" s="93" t="s">
        <v>29</v>
      </c>
      <c r="D16" s="93" t="s">
        <v>53</v>
      </c>
      <c r="E16" s="94" t="s">
        <v>86</v>
      </c>
      <c r="F16" s="93">
        <v>1.09980485566</v>
      </c>
      <c r="I16" s="91" t="s">
        <v>54</v>
      </c>
      <c r="J16" s="91" t="s">
        <v>18</v>
      </c>
      <c r="K16" s="91" t="s">
        <v>29</v>
      </c>
      <c r="L16" s="91" t="s">
        <v>53</v>
      </c>
      <c r="M16" s="91" t="s">
        <v>85</v>
      </c>
      <c r="N16" s="91">
        <v>1.2145602915852296</v>
      </c>
    </row>
    <row r="17" spans="1:14" s="93" customFormat="1">
      <c r="A17" s="93" t="s">
        <v>19</v>
      </c>
      <c r="B17" s="93" t="s">
        <v>54</v>
      </c>
      <c r="C17" s="93" t="s">
        <v>79</v>
      </c>
      <c r="D17" s="93" t="s">
        <v>53</v>
      </c>
      <c r="E17" s="94" t="s">
        <v>86</v>
      </c>
      <c r="F17" s="93">
        <v>4.356765969784167</v>
      </c>
      <c r="I17" s="91" t="s">
        <v>54</v>
      </c>
      <c r="J17" s="91" t="s">
        <v>19</v>
      </c>
      <c r="K17" s="91" t="s">
        <v>79</v>
      </c>
      <c r="L17" s="91" t="s">
        <v>53</v>
      </c>
      <c r="M17" s="91" t="s">
        <v>85</v>
      </c>
      <c r="N17" s="91">
        <v>4.2722152605049795</v>
      </c>
    </row>
    <row r="18" spans="1:14" s="93" customFormat="1">
      <c r="A18" s="93" t="s">
        <v>19</v>
      </c>
      <c r="B18" s="93" t="s">
        <v>54</v>
      </c>
      <c r="C18" s="93" t="s">
        <v>0</v>
      </c>
      <c r="D18" s="93" t="s">
        <v>53</v>
      </c>
      <c r="E18" s="94" t="s">
        <v>86</v>
      </c>
      <c r="F18" s="93">
        <v>4.1980000000000004</v>
      </c>
      <c r="I18" s="91" t="s">
        <v>54</v>
      </c>
      <c r="J18" s="91" t="s">
        <v>19</v>
      </c>
      <c r="K18" s="91" t="s">
        <v>0</v>
      </c>
      <c r="L18" s="91" t="s">
        <v>53</v>
      </c>
      <c r="M18" s="91" t="s">
        <v>85</v>
      </c>
      <c r="N18" s="91">
        <v>4.0919999999999996</v>
      </c>
    </row>
    <row r="19" spans="1:14" s="93" customFormat="1">
      <c r="A19" s="93" t="s">
        <v>19</v>
      </c>
      <c r="B19" s="93" t="s">
        <v>54</v>
      </c>
      <c r="C19" s="93" t="s">
        <v>7</v>
      </c>
      <c r="D19" s="93" t="s">
        <v>53</v>
      </c>
      <c r="E19" s="94" t="s">
        <v>86</v>
      </c>
      <c r="F19" s="93">
        <v>1.625</v>
      </c>
      <c r="I19" s="91" t="s">
        <v>54</v>
      </c>
      <c r="J19" s="91" t="s">
        <v>19</v>
      </c>
      <c r="K19" s="91" t="s">
        <v>7</v>
      </c>
      <c r="L19" s="91" t="s">
        <v>53</v>
      </c>
      <c r="M19" s="91" t="s">
        <v>85</v>
      </c>
      <c r="N19" s="91">
        <v>1.75</v>
      </c>
    </row>
    <row r="20" spans="1:14" s="93" customFormat="1">
      <c r="A20" s="93" t="s">
        <v>19</v>
      </c>
      <c r="B20" s="93" t="s">
        <v>54</v>
      </c>
      <c r="C20" s="93" t="s">
        <v>26</v>
      </c>
      <c r="D20" s="93" t="s">
        <v>53</v>
      </c>
      <c r="E20" s="94" t="s">
        <v>86</v>
      </c>
      <c r="F20" s="93">
        <v>3.99</v>
      </c>
      <c r="I20" s="91" t="s">
        <v>54</v>
      </c>
      <c r="J20" s="91" t="s">
        <v>19</v>
      </c>
      <c r="K20" s="91" t="s">
        <v>26</v>
      </c>
      <c r="L20" s="91" t="s">
        <v>53</v>
      </c>
      <c r="M20" s="91" t="s">
        <v>85</v>
      </c>
      <c r="N20" s="91">
        <v>3.875</v>
      </c>
    </row>
    <row r="21" spans="1:14" s="93" customFormat="1">
      <c r="A21" s="93" t="s">
        <v>19</v>
      </c>
      <c r="B21" s="93" t="s">
        <v>54</v>
      </c>
      <c r="C21" s="93" t="s">
        <v>29</v>
      </c>
      <c r="D21" s="93" t="s">
        <v>53</v>
      </c>
      <c r="E21" s="94" t="s">
        <v>86</v>
      </c>
      <c r="F21" s="93">
        <v>1.4264489588822669</v>
      </c>
      <c r="I21" s="91" t="s">
        <v>54</v>
      </c>
      <c r="J21" s="91" t="s">
        <v>19</v>
      </c>
      <c r="K21" s="91" t="s">
        <v>29</v>
      </c>
      <c r="L21" s="91" t="s">
        <v>53</v>
      </c>
      <c r="M21" s="91" t="s">
        <v>85</v>
      </c>
      <c r="N21" s="91">
        <v>1.4566536855283092</v>
      </c>
    </row>
    <row r="22" spans="1:14" s="93" customFormat="1">
      <c r="A22" s="93" t="s">
        <v>20</v>
      </c>
      <c r="B22" s="93" t="s">
        <v>54</v>
      </c>
      <c r="C22" s="93" t="s">
        <v>79</v>
      </c>
      <c r="D22" s="93" t="s">
        <v>53</v>
      </c>
      <c r="E22" s="94" t="s">
        <v>86</v>
      </c>
      <c r="F22" s="93">
        <v>4.3642403763055508</v>
      </c>
      <c r="I22" s="91" t="s">
        <v>54</v>
      </c>
      <c r="J22" s="91" t="s">
        <v>20</v>
      </c>
      <c r="K22" s="91" t="s">
        <v>79</v>
      </c>
      <c r="L22" s="91" t="s">
        <v>53</v>
      </c>
      <c r="M22" s="91" t="s">
        <v>85</v>
      </c>
      <c r="N22" s="91">
        <v>4.1618039804499194</v>
      </c>
    </row>
    <row r="23" spans="1:14" s="93" customFormat="1">
      <c r="A23" s="93" t="s">
        <v>20</v>
      </c>
      <c r="B23" s="93" t="s">
        <v>54</v>
      </c>
      <c r="C23" s="93" t="s">
        <v>0</v>
      </c>
      <c r="D23" s="93" t="s">
        <v>53</v>
      </c>
      <c r="E23" s="94" t="s">
        <v>86</v>
      </c>
      <c r="F23" s="93">
        <v>4.173</v>
      </c>
      <c r="I23" s="91" t="s">
        <v>54</v>
      </c>
      <c r="J23" s="91" t="s">
        <v>20</v>
      </c>
      <c r="K23" s="91" t="s">
        <v>0</v>
      </c>
      <c r="L23" s="91" t="s">
        <v>53</v>
      </c>
      <c r="M23" s="91" t="s">
        <v>85</v>
      </c>
      <c r="N23" s="91">
        <v>4.1470000000000002</v>
      </c>
    </row>
    <row r="24" spans="1:14" s="93" customFormat="1">
      <c r="A24" s="93" t="s">
        <v>20</v>
      </c>
      <c r="B24" s="93" t="s">
        <v>54</v>
      </c>
      <c r="C24" s="93" t="s">
        <v>41</v>
      </c>
      <c r="D24" s="93" t="s">
        <v>53</v>
      </c>
      <c r="E24" s="94" t="s">
        <v>86</v>
      </c>
      <c r="F24" s="93">
        <v>2768</v>
      </c>
      <c r="I24" s="91" t="s">
        <v>54</v>
      </c>
      <c r="J24" s="91" t="s">
        <v>20</v>
      </c>
      <c r="K24" s="91" t="s">
        <v>41</v>
      </c>
      <c r="L24" s="91" t="s">
        <v>53</v>
      </c>
      <c r="M24" s="91" t="s">
        <v>85</v>
      </c>
      <c r="N24" s="91">
        <v>1768</v>
      </c>
    </row>
    <row r="25" spans="1:14" s="93" customFormat="1">
      <c r="A25" s="93" t="s">
        <v>20</v>
      </c>
      <c r="B25" s="93" t="s">
        <v>54</v>
      </c>
      <c r="C25" s="93" t="s">
        <v>1</v>
      </c>
      <c r="D25" s="93" t="s">
        <v>53</v>
      </c>
      <c r="E25" s="94" t="s">
        <v>86</v>
      </c>
      <c r="F25" s="93">
        <v>200000</v>
      </c>
      <c r="I25" s="91" t="s">
        <v>54</v>
      </c>
      <c r="J25" s="91" t="s">
        <v>20</v>
      </c>
      <c r="K25" s="91" t="s">
        <v>1</v>
      </c>
      <c r="L25" s="91" t="s">
        <v>53</v>
      </c>
      <c r="M25" s="91" t="s">
        <v>85</v>
      </c>
      <c r="N25" s="91">
        <v>200000</v>
      </c>
    </row>
    <row r="26" spans="1:14" s="93" customFormat="1">
      <c r="A26" s="93" t="s">
        <v>20</v>
      </c>
      <c r="B26" s="93" t="s">
        <v>54</v>
      </c>
      <c r="C26" s="93" t="s">
        <v>7</v>
      </c>
      <c r="D26" s="93" t="s">
        <v>53</v>
      </c>
      <c r="E26" s="94" t="s">
        <v>86</v>
      </c>
      <c r="F26" s="93">
        <v>1</v>
      </c>
      <c r="I26" s="91" t="s">
        <v>54</v>
      </c>
      <c r="J26" s="91" t="s">
        <v>20</v>
      </c>
      <c r="K26" s="91" t="s">
        <v>7</v>
      </c>
      <c r="L26" s="91" t="s">
        <v>53</v>
      </c>
      <c r="M26" s="91" t="s">
        <v>85</v>
      </c>
      <c r="N26" s="91">
        <v>1</v>
      </c>
    </row>
    <row r="27" spans="1:14" s="93" customFormat="1">
      <c r="A27" s="93" t="s">
        <v>20</v>
      </c>
      <c r="B27" s="93" t="s">
        <v>54</v>
      </c>
      <c r="C27" s="93" t="s">
        <v>26</v>
      </c>
      <c r="D27" s="93" t="s">
        <v>53</v>
      </c>
      <c r="E27" s="94" t="s">
        <v>86</v>
      </c>
      <c r="F27" s="93">
        <v>4.125</v>
      </c>
      <c r="I27" s="91" t="s">
        <v>54</v>
      </c>
      <c r="J27" s="91" t="s">
        <v>20</v>
      </c>
      <c r="K27" s="91" t="s">
        <v>26</v>
      </c>
      <c r="L27" s="91" t="s">
        <v>53</v>
      </c>
      <c r="M27" s="91" t="s">
        <v>85</v>
      </c>
      <c r="N27" s="91">
        <v>4.125</v>
      </c>
    </row>
    <row r="28" spans="1:14" s="93" customFormat="1">
      <c r="A28" s="93" t="s">
        <v>20</v>
      </c>
      <c r="B28" s="93" t="s">
        <v>54</v>
      </c>
      <c r="C28" s="93" t="s">
        <v>29</v>
      </c>
      <c r="D28" s="93" t="s">
        <v>53</v>
      </c>
      <c r="E28" s="94" t="s">
        <v>86</v>
      </c>
      <c r="F28" s="93">
        <v>1.4339233654036512</v>
      </c>
      <c r="I28" s="91" t="s">
        <v>54</v>
      </c>
      <c r="J28" s="91" t="s">
        <v>20</v>
      </c>
      <c r="K28" s="91" t="s">
        <v>29</v>
      </c>
      <c r="L28" s="91" t="s">
        <v>53</v>
      </c>
      <c r="M28" s="91" t="s">
        <v>85</v>
      </c>
      <c r="N28" s="91">
        <v>1.3462424054732489</v>
      </c>
    </row>
    <row r="29" spans="1:14" s="93" customFormat="1">
      <c r="A29" s="93" t="s">
        <v>19</v>
      </c>
      <c r="B29" s="93" t="s">
        <v>55</v>
      </c>
      <c r="C29" s="93" t="s">
        <v>0</v>
      </c>
      <c r="D29" s="93" t="s">
        <v>53</v>
      </c>
      <c r="E29" s="94" t="s">
        <v>86</v>
      </c>
      <c r="F29" s="93">
        <v>4.4000000000000004</v>
      </c>
      <c r="I29" s="91" t="s">
        <v>55</v>
      </c>
      <c r="J29" s="91" t="s">
        <v>19</v>
      </c>
      <c r="K29" s="91" t="s">
        <v>0</v>
      </c>
      <c r="L29" s="91" t="s">
        <v>53</v>
      </c>
      <c r="M29" s="91" t="s">
        <v>85</v>
      </c>
      <c r="N29" s="91">
        <v>4.3550000000000004</v>
      </c>
    </row>
    <row r="30" spans="1:14" s="93" customFormat="1">
      <c r="A30" s="93" t="s">
        <v>19</v>
      </c>
      <c r="B30" s="93" t="s">
        <v>55</v>
      </c>
      <c r="C30" s="93" t="s">
        <v>7</v>
      </c>
      <c r="D30" s="93" t="s">
        <v>53</v>
      </c>
      <c r="E30" s="94" t="s">
        <v>86</v>
      </c>
      <c r="F30" s="93">
        <v>2.25</v>
      </c>
      <c r="I30" s="91" t="s">
        <v>55</v>
      </c>
      <c r="J30" s="91" t="s">
        <v>19</v>
      </c>
      <c r="K30" s="91" t="s">
        <v>7</v>
      </c>
      <c r="L30" s="91" t="s">
        <v>53</v>
      </c>
      <c r="M30" s="91" t="s">
        <v>85</v>
      </c>
      <c r="N30" s="91">
        <v>1.75</v>
      </c>
    </row>
    <row r="31" spans="1:14" s="93" customFormat="1">
      <c r="A31" s="93" t="s">
        <v>19</v>
      </c>
      <c r="B31" s="93" t="s">
        <v>55</v>
      </c>
      <c r="C31" s="93" t="s">
        <v>26</v>
      </c>
      <c r="D31" s="93" t="s">
        <v>53</v>
      </c>
      <c r="E31" s="94" t="s">
        <v>86</v>
      </c>
      <c r="F31" s="93">
        <v>3.5</v>
      </c>
      <c r="I31" s="91" t="s">
        <v>55</v>
      </c>
      <c r="J31" s="91" t="s">
        <v>19</v>
      </c>
      <c r="K31" s="91" t="s">
        <v>26</v>
      </c>
      <c r="L31" s="91" t="s">
        <v>53</v>
      </c>
      <c r="M31" s="91" t="s">
        <v>85</v>
      </c>
      <c r="N31" s="91">
        <v>3.5</v>
      </c>
    </row>
    <row r="32" spans="1:14" s="93" customFormat="1">
      <c r="A32" s="93" t="s">
        <v>20</v>
      </c>
      <c r="B32" s="93" t="s">
        <v>55</v>
      </c>
      <c r="C32" s="93" t="s">
        <v>79</v>
      </c>
      <c r="D32" s="93" t="s">
        <v>53</v>
      </c>
      <c r="E32" s="94" t="s">
        <v>86</v>
      </c>
      <c r="F32" s="93">
        <v>3.9717500000000001</v>
      </c>
      <c r="I32" s="91" t="s">
        <v>55</v>
      </c>
      <c r="J32" s="91" t="s">
        <v>20</v>
      </c>
      <c r="K32" s="91" t="s">
        <v>79</v>
      </c>
      <c r="L32" s="91" t="s">
        <v>53</v>
      </c>
      <c r="M32" s="91" t="s">
        <v>85</v>
      </c>
      <c r="N32" s="91">
        <v>3.9717500000000001</v>
      </c>
    </row>
    <row r="33" spans="1:14" s="93" customFormat="1">
      <c r="A33" s="93" t="s">
        <v>20</v>
      </c>
      <c r="B33" s="93" t="s">
        <v>55</v>
      </c>
      <c r="C33" s="93" t="s">
        <v>0</v>
      </c>
      <c r="D33" s="93" t="s">
        <v>53</v>
      </c>
      <c r="E33" s="94" t="s">
        <v>86</v>
      </c>
      <c r="F33" s="93">
        <v>5.0090000000000003</v>
      </c>
      <c r="I33" s="91" t="s">
        <v>55</v>
      </c>
      <c r="J33" s="91" t="s">
        <v>20</v>
      </c>
      <c r="K33" s="91" t="s">
        <v>0</v>
      </c>
      <c r="L33" s="91" t="s">
        <v>53</v>
      </c>
      <c r="M33" s="91" t="s">
        <v>85</v>
      </c>
      <c r="N33" s="91">
        <v>4.8940000000000001</v>
      </c>
    </row>
    <row r="34" spans="1:14" s="93" customFormat="1">
      <c r="A34" s="93" t="s">
        <v>20</v>
      </c>
      <c r="B34" s="93" t="s">
        <v>55</v>
      </c>
      <c r="C34" s="93" t="s">
        <v>41</v>
      </c>
      <c r="D34" s="93" t="s">
        <v>53</v>
      </c>
      <c r="E34" s="94" t="s">
        <v>86</v>
      </c>
      <c r="F34" s="93">
        <v>6041</v>
      </c>
      <c r="I34" s="91" t="s">
        <v>55</v>
      </c>
      <c r="J34" s="91" t="s">
        <v>20</v>
      </c>
      <c r="K34" s="91" t="s">
        <v>41</v>
      </c>
      <c r="L34" s="91" t="s">
        <v>53</v>
      </c>
      <c r="M34" s="91" t="s">
        <v>85</v>
      </c>
      <c r="N34" s="91">
        <v>6274</v>
      </c>
    </row>
    <row r="35" spans="1:14" s="93" customFormat="1">
      <c r="A35" s="93" t="s">
        <v>20</v>
      </c>
      <c r="B35" s="93" t="s">
        <v>55</v>
      </c>
      <c r="C35" s="93" t="s">
        <v>1</v>
      </c>
      <c r="D35" s="93" t="s">
        <v>53</v>
      </c>
      <c r="E35" s="94" t="s">
        <v>86</v>
      </c>
      <c r="F35" s="93">
        <v>200000</v>
      </c>
      <c r="I35" s="91" t="s">
        <v>55</v>
      </c>
      <c r="J35" s="91" t="s">
        <v>20</v>
      </c>
      <c r="K35" s="91" t="s">
        <v>1</v>
      </c>
      <c r="L35" s="91" t="s">
        <v>53</v>
      </c>
      <c r="M35" s="91" t="s">
        <v>85</v>
      </c>
      <c r="N35" s="91">
        <v>200000</v>
      </c>
    </row>
    <row r="36" spans="1:14" s="93" customFormat="1">
      <c r="A36" s="93" t="s">
        <v>20</v>
      </c>
      <c r="B36" s="93" t="s">
        <v>55</v>
      </c>
      <c r="C36" s="93" t="s">
        <v>7</v>
      </c>
      <c r="D36" s="93" t="s">
        <v>53</v>
      </c>
      <c r="E36" s="94" t="s">
        <v>86</v>
      </c>
      <c r="F36" s="93">
        <v>1</v>
      </c>
      <c r="I36" s="91" t="s">
        <v>55</v>
      </c>
      <c r="J36" s="91" t="s">
        <v>20</v>
      </c>
      <c r="K36" s="91" t="s">
        <v>7</v>
      </c>
      <c r="L36" s="91" t="s">
        <v>53</v>
      </c>
      <c r="M36" s="91" t="s">
        <v>85</v>
      </c>
      <c r="N36" s="91">
        <v>1</v>
      </c>
    </row>
    <row r="37" spans="1:14" s="93" customFormat="1">
      <c r="A37" s="93" t="s">
        <v>20</v>
      </c>
      <c r="B37" s="93" t="s">
        <v>55</v>
      </c>
      <c r="C37" s="93" t="s">
        <v>26</v>
      </c>
      <c r="D37" s="93" t="s">
        <v>53</v>
      </c>
      <c r="E37" s="94" t="s">
        <v>86</v>
      </c>
      <c r="F37" s="93">
        <v>4</v>
      </c>
      <c r="I37" s="91" t="s">
        <v>55</v>
      </c>
      <c r="J37" s="91" t="s">
        <v>20</v>
      </c>
      <c r="K37" s="91" t="s">
        <v>26</v>
      </c>
      <c r="L37" s="91" t="s">
        <v>53</v>
      </c>
      <c r="M37" s="91" t="s">
        <v>85</v>
      </c>
      <c r="N37" s="91">
        <v>3.875</v>
      </c>
    </row>
    <row r="38" spans="1:14" s="93" customFormat="1">
      <c r="A38" s="93" t="s">
        <v>20</v>
      </c>
      <c r="B38" s="93" t="s">
        <v>55</v>
      </c>
      <c r="C38" s="93" t="s">
        <v>29</v>
      </c>
      <c r="D38" s="93" t="s">
        <v>53</v>
      </c>
      <c r="E38" s="94" t="s">
        <v>86</v>
      </c>
      <c r="F38" s="93">
        <v>1.1865322640026403</v>
      </c>
      <c r="I38" s="91" t="s">
        <v>55</v>
      </c>
      <c r="J38" s="91" t="s">
        <v>20</v>
      </c>
      <c r="K38" s="91" t="s">
        <v>29</v>
      </c>
      <c r="L38" s="91" t="s">
        <v>53</v>
      </c>
      <c r="M38" s="91" t="s">
        <v>85</v>
      </c>
      <c r="N38" s="91">
        <v>1.2824660521114801</v>
      </c>
    </row>
    <row r="39" spans="1:14" s="93" customFormat="1">
      <c r="A39" s="93" t="s">
        <v>20</v>
      </c>
      <c r="B39" s="93" t="s">
        <v>55</v>
      </c>
      <c r="C39" s="93" t="s">
        <v>42</v>
      </c>
      <c r="D39" s="93" t="s">
        <v>53</v>
      </c>
      <c r="E39" s="94" t="s">
        <v>86</v>
      </c>
      <c r="F39" s="93">
        <v>3500</v>
      </c>
      <c r="I39" s="91" t="s">
        <v>55</v>
      </c>
      <c r="J39" s="91" t="s">
        <v>20</v>
      </c>
      <c r="K39" s="91" t="s">
        <v>42</v>
      </c>
      <c r="L39" s="91" t="s">
        <v>53</v>
      </c>
      <c r="M39" s="91" t="s">
        <v>85</v>
      </c>
      <c r="N39" s="91">
        <v>3500</v>
      </c>
    </row>
    <row r="40" spans="1:14" s="93" customFormat="1">
      <c r="A40" s="93" t="s">
        <v>20</v>
      </c>
      <c r="B40" s="93" t="s">
        <v>56</v>
      </c>
      <c r="C40" s="93" t="s">
        <v>79</v>
      </c>
      <c r="D40" s="93" t="s">
        <v>53</v>
      </c>
      <c r="E40" s="94" t="s">
        <v>86</v>
      </c>
      <c r="F40" s="93">
        <v>4.145604497342033</v>
      </c>
      <c r="I40" s="91" t="s">
        <v>56</v>
      </c>
      <c r="J40" s="91" t="s">
        <v>20</v>
      </c>
      <c r="K40" s="91" t="s">
        <v>79</v>
      </c>
      <c r="L40" s="91" t="s">
        <v>53</v>
      </c>
      <c r="M40" s="91" t="s">
        <v>85</v>
      </c>
      <c r="N40" s="91">
        <v>4.123888942161555</v>
      </c>
    </row>
    <row r="41" spans="1:14" s="93" customFormat="1">
      <c r="A41" s="93" t="s">
        <v>20</v>
      </c>
      <c r="B41" s="93" t="s">
        <v>56</v>
      </c>
      <c r="C41" s="93" t="s">
        <v>0</v>
      </c>
      <c r="D41" s="93" t="s">
        <v>53</v>
      </c>
      <c r="E41" s="94" t="s">
        <v>86</v>
      </c>
      <c r="F41" s="93">
        <v>4.2590000000000003</v>
      </c>
      <c r="I41" s="91" t="s">
        <v>56</v>
      </c>
      <c r="J41" s="91" t="s">
        <v>20</v>
      </c>
      <c r="K41" s="91" t="s">
        <v>0</v>
      </c>
      <c r="L41" s="91" t="s">
        <v>53</v>
      </c>
      <c r="M41" s="91" t="s">
        <v>85</v>
      </c>
      <c r="N41" s="91">
        <v>4.1479999999999997</v>
      </c>
    </row>
    <row r="42" spans="1:14" s="93" customFormat="1">
      <c r="A42" s="93" t="s">
        <v>20</v>
      </c>
      <c r="B42" s="93" t="s">
        <v>56</v>
      </c>
      <c r="C42" s="93" t="s">
        <v>41</v>
      </c>
      <c r="D42" s="93" t="s">
        <v>53</v>
      </c>
      <c r="E42" s="94" t="s">
        <v>86</v>
      </c>
      <c r="F42" s="93">
        <v>2377</v>
      </c>
      <c r="I42" s="91" t="s">
        <v>56</v>
      </c>
      <c r="J42" s="91" t="s">
        <v>20</v>
      </c>
      <c r="K42" s="91" t="s">
        <v>41</v>
      </c>
      <c r="L42" s="91" t="s">
        <v>53</v>
      </c>
      <c r="M42" s="91" t="s">
        <v>85</v>
      </c>
      <c r="N42" s="91">
        <v>3602</v>
      </c>
    </row>
    <row r="43" spans="1:14" s="93" customFormat="1">
      <c r="A43" s="93" t="s">
        <v>20</v>
      </c>
      <c r="B43" s="93" t="s">
        <v>56</v>
      </c>
      <c r="C43" s="93" t="s">
        <v>1</v>
      </c>
      <c r="D43" s="93" t="s">
        <v>53</v>
      </c>
      <c r="E43" s="94" t="s">
        <v>86</v>
      </c>
      <c r="F43" s="93">
        <v>500000</v>
      </c>
      <c r="I43" s="91" t="s">
        <v>56</v>
      </c>
      <c r="J43" s="91" t="s">
        <v>20</v>
      </c>
      <c r="K43" s="91" t="s">
        <v>1</v>
      </c>
      <c r="L43" s="91" t="s">
        <v>53</v>
      </c>
      <c r="M43" s="91" t="s">
        <v>85</v>
      </c>
      <c r="N43" s="91">
        <v>500000</v>
      </c>
    </row>
    <row r="44" spans="1:14" s="93" customFormat="1">
      <c r="A44" s="93" t="s">
        <v>20</v>
      </c>
      <c r="B44" s="93" t="s">
        <v>56</v>
      </c>
      <c r="C44" s="93" t="s">
        <v>7</v>
      </c>
      <c r="D44" s="93" t="s">
        <v>53</v>
      </c>
      <c r="E44" s="94" t="s">
        <v>86</v>
      </c>
      <c r="F44" s="93">
        <v>1</v>
      </c>
      <c r="I44" s="91" t="s">
        <v>56</v>
      </c>
      <c r="J44" s="91" t="s">
        <v>20</v>
      </c>
      <c r="K44" s="91" t="s">
        <v>7</v>
      </c>
      <c r="L44" s="91" t="s">
        <v>53</v>
      </c>
      <c r="M44" s="91" t="s">
        <v>85</v>
      </c>
      <c r="N44" s="91">
        <v>1</v>
      </c>
    </row>
    <row r="45" spans="1:14" s="93" customFormat="1">
      <c r="A45" s="93" t="s">
        <v>20</v>
      </c>
      <c r="B45" s="93" t="s">
        <v>56</v>
      </c>
      <c r="C45" s="93" t="s">
        <v>26</v>
      </c>
      <c r="D45" s="93" t="s">
        <v>53</v>
      </c>
      <c r="E45" s="94" t="s">
        <v>86</v>
      </c>
      <c r="F45" s="93">
        <v>4.25</v>
      </c>
      <c r="I45" s="91" t="s">
        <v>56</v>
      </c>
      <c r="J45" s="91" t="s">
        <v>20</v>
      </c>
      <c r="K45" s="91" t="s">
        <v>26</v>
      </c>
      <c r="L45" s="91" t="s">
        <v>53</v>
      </c>
      <c r="M45" s="91" t="s">
        <v>85</v>
      </c>
      <c r="N45" s="91">
        <v>4.125</v>
      </c>
    </row>
    <row r="46" spans="1:14" s="93" customFormat="1">
      <c r="A46" s="93" t="s">
        <v>20</v>
      </c>
      <c r="B46" s="93" t="s">
        <v>56</v>
      </c>
      <c r="C46" s="93" t="s">
        <v>29</v>
      </c>
      <c r="D46" s="93" t="s">
        <v>53</v>
      </c>
      <c r="E46" s="94" t="s">
        <v>86</v>
      </c>
      <c r="F46" s="93">
        <v>1.2152874864401328</v>
      </c>
      <c r="I46" s="91" t="s">
        <v>56</v>
      </c>
      <c r="J46" s="91" t="s">
        <v>20</v>
      </c>
      <c r="K46" s="91" t="s">
        <v>29</v>
      </c>
      <c r="L46" s="91" t="s">
        <v>53</v>
      </c>
      <c r="M46" s="91" t="s">
        <v>85</v>
      </c>
      <c r="N46" s="91">
        <v>1.3083273671848847</v>
      </c>
    </row>
    <row r="47" spans="1:14" s="93" customFormat="1">
      <c r="A47" s="93" t="s">
        <v>20</v>
      </c>
      <c r="B47" s="93" t="s">
        <v>57</v>
      </c>
      <c r="C47" s="93" t="s">
        <v>79</v>
      </c>
      <c r="D47" s="93" t="s">
        <v>53</v>
      </c>
      <c r="E47" s="94" t="s">
        <v>86</v>
      </c>
      <c r="F47" s="93">
        <v>3.9975388163708763</v>
      </c>
      <c r="I47" s="91" t="s">
        <v>57</v>
      </c>
      <c r="J47" s="91" t="s">
        <v>20</v>
      </c>
      <c r="K47" s="91" t="s">
        <v>79</v>
      </c>
      <c r="L47" s="91" t="s">
        <v>53</v>
      </c>
      <c r="M47" s="91" t="s">
        <v>85</v>
      </c>
      <c r="N47" s="91">
        <v>3.9170666666666665</v>
      </c>
    </row>
    <row r="48" spans="1:14" s="93" customFormat="1">
      <c r="A48" s="93" t="s">
        <v>20</v>
      </c>
      <c r="B48" s="93" t="s">
        <v>57</v>
      </c>
      <c r="C48" s="93" t="s">
        <v>0</v>
      </c>
      <c r="D48" s="93" t="s">
        <v>53</v>
      </c>
      <c r="E48" s="94" t="s">
        <v>86</v>
      </c>
      <c r="F48" s="93">
        <v>4.1310000000000002</v>
      </c>
      <c r="I48" s="91" t="s">
        <v>57</v>
      </c>
      <c r="J48" s="91" t="s">
        <v>20</v>
      </c>
      <c r="K48" s="91" t="s">
        <v>0</v>
      </c>
      <c r="L48" s="91" t="s">
        <v>53</v>
      </c>
      <c r="M48" s="91" t="s">
        <v>85</v>
      </c>
      <c r="N48" s="91">
        <v>4.125</v>
      </c>
    </row>
    <row r="49" spans="1:14" s="93" customFormat="1">
      <c r="A49" s="93" t="s">
        <v>20</v>
      </c>
      <c r="B49" s="93" t="s">
        <v>57</v>
      </c>
      <c r="C49" s="93" t="s">
        <v>41</v>
      </c>
      <c r="D49" s="93" t="s">
        <v>53</v>
      </c>
      <c r="E49" s="94" t="s">
        <v>86</v>
      </c>
      <c r="F49" s="93">
        <v>3137</v>
      </c>
      <c r="I49" s="91" t="s">
        <v>57</v>
      </c>
      <c r="J49" s="91" t="s">
        <v>20</v>
      </c>
      <c r="K49" s="91" t="s">
        <v>41</v>
      </c>
      <c r="L49" s="91" t="s">
        <v>53</v>
      </c>
      <c r="M49" s="91" t="s">
        <v>85</v>
      </c>
      <c r="N49" s="91">
        <v>1262</v>
      </c>
    </row>
    <row r="50" spans="1:14" s="93" customFormat="1">
      <c r="A50" s="93" t="s">
        <v>20</v>
      </c>
      <c r="B50" s="93" t="s">
        <v>57</v>
      </c>
      <c r="C50" s="93" t="s">
        <v>1</v>
      </c>
      <c r="D50" s="93" t="s">
        <v>53</v>
      </c>
      <c r="E50" s="94" t="s">
        <v>86</v>
      </c>
      <c r="F50" s="93">
        <v>750000</v>
      </c>
      <c r="I50" s="91" t="s">
        <v>57</v>
      </c>
      <c r="J50" s="91" t="s">
        <v>20</v>
      </c>
      <c r="K50" s="91" t="s">
        <v>1</v>
      </c>
      <c r="L50" s="91" t="s">
        <v>53</v>
      </c>
      <c r="M50" s="91" t="s">
        <v>85</v>
      </c>
      <c r="N50" s="91">
        <v>750000</v>
      </c>
    </row>
    <row r="51" spans="1:14" s="93" customFormat="1">
      <c r="A51" s="93" t="s">
        <v>20</v>
      </c>
      <c r="B51" s="93" t="s">
        <v>57</v>
      </c>
      <c r="C51" s="93" t="s">
        <v>7</v>
      </c>
      <c r="D51" s="93" t="s">
        <v>53</v>
      </c>
      <c r="E51" s="94" t="s">
        <v>86</v>
      </c>
      <c r="F51" s="93">
        <v>1</v>
      </c>
      <c r="I51" s="91" t="s">
        <v>57</v>
      </c>
      <c r="J51" s="91" t="s">
        <v>20</v>
      </c>
      <c r="K51" s="91" t="s">
        <v>7</v>
      </c>
      <c r="L51" s="91" t="s">
        <v>53</v>
      </c>
      <c r="M51" s="91" t="s">
        <v>85</v>
      </c>
      <c r="N51" s="91">
        <v>1</v>
      </c>
    </row>
    <row r="52" spans="1:14" s="93" customFormat="1">
      <c r="A52" s="93" t="s">
        <v>20</v>
      </c>
      <c r="B52" s="93" t="s">
        <v>57</v>
      </c>
      <c r="C52" s="93" t="s">
        <v>26</v>
      </c>
      <c r="D52" s="93" t="s">
        <v>53</v>
      </c>
      <c r="E52" s="94" t="s">
        <v>86</v>
      </c>
      <c r="F52" s="93">
        <v>4.125</v>
      </c>
      <c r="I52" s="91" t="s">
        <v>57</v>
      </c>
      <c r="J52" s="91" t="s">
        <v>20</v>
      </c>
      <c r="K52" s="91" t="s">
        <v>26</v>
      </c>
      <c r="L52" s="91" t="s">
        <v>53</v>
      </c>
      <c r="M52" s="91" t="s">
        <v>85</v>
      </c>
      <c r="N52" s="91">
        <v>4.125</v>
      </c>
    </row>
    <row r="53" spans="1:14" s="93" customFormat="1">
      <c r="A53" s="93" t="s">
        <v>20</v>
      </c>
      <c r="B53" s="93" t="s">
        <v>57</v>
      </c>
      <c r="C53" s="93" t="s">
        <v>29</v>
      </c>
      <c r="D53" s="93" t="s">
        <v>53</v>
      </c>
      <c r="E53" s="94" t="s">
        <v>86</v>
      </c>
      <c r="F53" s="93">
        <v>1.0672218054689764</v>
      </c>
      <c r="I53" s="91" t="s">
        <v>57</v>
      </c>
      <c r="J53" s="91" t="s">
        <v>20</v>
      </c>
      <c r="K53" s="91" t="s">
        <v>29</v>
      </c>
      <c r="L53" s="91" t="s">
        <v>53</v>
      </c>
      <c r="M53" s="91" t="s">
        <v>85</v>
      </c>
      <c r="N53" s="91">
        <v>1.1015050916899964</v>
      </c>
    </row>
    <row r="54" spans="1:14" s="93" customFormat="1"/>
    <row r="55" spans="1:14" s="93" customFormat="1"/>
    <row r="56" spans="1:14" s="93" customFormat="1"/>
    <row r="57" spans="1:14" s="93" customFormat="1"/>
    <row r="58" spans="1:14" s="93" customFormat="1"/>
    <row r="59" spans="1:14" s="93" customFormat="1"/>
    <row r="60" spans="1:14" s="93" customFormat="1"/>
    <row r="61" spans="1:14" s="93" customFormat="1"/>
    <row r="62" spans="1:14" s="93" customFormat="1"/>
    <row r="63" spans="1:14" s="93" customFormat="1"/>
    <row r="64" spans="1:14" s="93" customFormat="1"/>
    <row r="65" s="93" customFormat="1"/>
    <row r="66" s="93" customFormat="1"/>
    <row r="67" s="93" customFormat="1"/>
    <row r="68" s="93" customFormat="1"/>
    <row r="69" s="93" customFormat="1"/>
    <row r="70" s="93" customFormat="1"/>
    <row r="71" s="93" customFormat="1"/>
    <row r="72" s="93" customFormat="1"/>
    <row r="73" s="93" customFormat="1"/>
    <row r="74" s="93" customFormat="1"/>
    <row r="75" s="93" customFormat="1"/>
    <row r="76" s="93" customFormat="1"/>
    <row r="77" s="93" customFormat="1"/>
    <row r="78" s="93" customFormat="1"/>
    <row r="79" s="93" customFormat="1"/>
    <row r="80" s="93" customFormat="1"/>
    <row r="81" spans="1:26" s="92" customFormat="1">
      <c r="A81" s="93"/>
      <c r="B81" s="93"/>
      <c r="C81" s="93"/>
      <c r="D81" s="93"/>
      <c r="E81" s="93"/>
      <c r="F81" s="93"/>
      <c r="I81" s="93"/>
      <c r="J81" s="93"/>
      <c r="K81" s="93"/>
      <c r="L81" s="93"/>
      <c r="M81" s="93"/>
      <c r="N81" s="93"/>
      <c r="X81" s="93"/>
      <c r="Y81" s="93"/>
      <c r="Z81" s="93"/>
    </row>
    <row r="82" spans="1:26" s="92" customFormat="1">
      <c r="A82" s="93"/>
      <c r="B82" s="93"/>
      <c r="C82" s="93"/>
      <c r="D82" s="93"/>
      <c r="E82" s="93"/>
      <c r="F82" s="93"/>
      <c r="I82" s="93"/>
      <c r="J82" s="93"/>
      <c r="K82" s="93"/>
      <c r="L82" s="93"/>
      <c r="M82" s="93"/>
      <c r="N82" s="93"/>
    </row>
    <row r="83" spans="1:26" s="92" customFormat="1">
      <c r="A83" s="93"/>
      <c r="B83" s="93"/>
      <c r="C83" s="93"/>
      <c r="D83" s="93"/>
      <c r="E83" s="93"/>
      <c r="F83" s="93"/>
      <c r="I83" s="93"/>
      <c r="J83" s="93"/>
      <c r="K83" s="93"/>
      <c r="L83" s="93"/>
      <c r="M83" s="93"/>
      <c r="N83" s="93"/>
    </row>
    <row r="84" spans="1:26" s="92" customFormat="1">
      <c r="A84" s="93"/>
      <c r="B84" s="93"/>
      <c r="C84" s="93"/>
      <c r="D84" s="93"/>
      <c r="E84" s="93"/>
      <c r="F84" s="93"/>
      <c r="I84" s="93"/>
      <c r="J84" s="93"/>
      <c r="K84" s="93"/>
      <c r="L84" s="93"/>
      <c r="M84" s="93"/>
      <c r="N84" s="93"/>
    </row>
    <row r="85" spans="1:26" s="92" customFormat="1">
      <c r="A85" s="93"/>
      <c r="B85" s="93"/>
      <c r="C85" s="93"/>
      <c r="D85" s="93"/>
      <c r="E85" s="93"/>
      <c r="F85" s="93"/>
      <c r="I85" s="93"/>
      <c r="J85" s="93"/>
      <c r="K85" s="93"/>
      <c r="L85" s="93"/>
      <c r="M85" s="93"/>
      <c r="N85" s="93"/>
    </row>
    <row r="86" spans="1:26" s="92" customFormat="1">
      <c r="A86" s="93"/>
      <c r="B86" s="93"/>
      <c r="C86" s="93"/>
      <c r="D86" s="93"/>
      <c r="E86" s="93"/>
      <c r="F86" s="93"/>
      <c r="I86" s="93"/>
      <c r="J86" s="93"/>
      <c r="K86" s="93"/>
      <c r="L86" s="93"/>
      <c r="M86" s="93"/>
      <c r="N86" s="93"/>
    </row>
    <row r="87" spans="1:26" s="92" customFormat="1">
      <c r="A87" s="93"/>
      <c r="B87" s="93"/>
      <c r="C87" s="93"/>
      <c r="D87" s="93"/>
      <c r="E87" s="93"/>
      <c r="F87" s="93"/>
      <c r="I87" s="93"/>
      <c r="J87" s="93"/>
      <c r="K87" s="93"/>
      <c r="L87" s="93"/>
      <c r="M87" s="93"/>
      <c r="N87" s="93"/>
    </row>
    <row r="88" spans="1:26" s="92" customFormat="1">
      <c r="A88" s="93"/>
      <c r="B88" s="93"/>
      <c r="C88" s="93"/>
      <c r="D88" s="93"/>
      <c r="E88" s="93"/>
      <c r="F88" s="93"/>
      <c r="I88" s="93"/>
      <c r="J88" s="93"/>
      <c r="K88" s="93"/>
      <c r="L88" s="93"/>
      <c r="M88" s="93"/>
      <c r="N88" s="93"/>
    </row>
    <row r="89" spans="1:26" s="92" customFormat="1">
      <c r="A89" s="93"/>
      <c r="B89" s="93"/>
      <c r="C89" s="93"/>
      <c r="D89" s="93"/>
      <c r="E89" s="93"/>
      <c r="F89" s="93"/>
      <c r="I89" s="93"/>
      <c r="J89" s="93"/>
      <c r="K89" s="93"/>
      <c r="L89" s="93"/>
      <c r="M89" s="93"/>
      <c r="N89" s="93"/>
    </row>
    <row r="90" spans="1:26" s="92" customFormat="1">
      <c r="A90" s="93"/>
      <c r="B90" s="93"/>
      <c r="C90" s="93"/>
      <c r="D90" s="93"/>
      <c r="E90" s="93"/>
      <c r="F90" s="93"/>
      <c r="I90" s="93"/>
      <c r="J90" s="93"/>
      <c r="K90" s="93"/>
      <c r="L90" s="93"/>
      <c r="M90" s="93"/>
      <c r="N90" s="93"/>
    </row>
    <row r="91" spans="1:26" s="92" customFormat="1">
      <c r="A91" s="93"/>
      <c r="B91" s="93"/>
      <c r="C91" s="93"/>
      <c r="D91" s="93"/>
      <c r="E91" s="93"/>
      <c r="F91" s="93"/>
      <c r="I91" s="93"/>
      <c r="J91" s="93"/>
      <c r="K91" s="93"/>
      <c r="L91" s="93"/>
      <c r="M91" s="93"/>
      <c r="N91" s="93"/>
    </row>
    <row r="92" spans="1:26" s="92" customFormat="1">
      <c r="A92" s="93"/>
      <c r="B92" s="93"/>
      <c r="C92" s="93"/>
      <c r="D92" s="93"/>
      <c r="E92" s="93"/>
      <c r="F92" s="93"/>
      <c r="I92" s="93"/>
      <c r="J92" s="93"/>
      <c r="K92" s="93"/>
      <c r="L92" s="93"/>
      <c r="M92" s="93"/>
      <c r="N92" s="93"/>
    </row>
    <row r="93" spans="1:26" s="92" customFormat="1">
      <c r="A93" s="93"/>
      <c r="B93" s="93"/>
      <c r="C93" s="93"/>
      <c r="D93" s="93"/>
      <c r="E93" s="93"/>
      <c r="F93" s="93"/>
      <c r="I93" s="93"/>
      <c r="J93" s="93"/>
      <c r="K93" s="93"/>
      <c r="L93" s="93"/>
      <c r="M93" s="93"/>
      <c r="N93" s="93"/>
    </row>
    <row r="94" spans="1:26" s="92" customFormat="1">
      <c r="A94" s="93"/>
      <c r="B94" s="93"/>
      <c r="C94" s="93"/>
      <c r="D94" s="93"/>
      <c r="E94" s="93"/>
      <c r="F94" s="93"/>
      <c r="I94" s="93"/>
      <c r="J94" s="93"/>
      <c r="K94" s="93"/>
      <c r="L94" s="93"/>
      <c r="M94" s="93"/>
      <c r="N94" s="93"/>
    </row>
    <row r="95" spans="1:26" s="92" customFormat="1">
      <c r="I95" s="93"/>
      <c r="J95" s="93"/>
      <c r="K95" s="93"/>
      <c r="L95" s="93"/>
      <c r="M95" s="93"/>
      <c r="N95" s="93"/>
    </row>
    <row r="96" spans="1:26" s="92" customFormat="1">
      <c r="I96" s="93"/>
      <c r="J96" s="93"/>
      <c r="K96" s="93"/>
      <c r="L96" s="93"/>
      <c r="M96" s="93"/>
      <c r="N96" s="93"/>
    </row>
    <row r="97" spans="9:14" s="92" customFormat="1">
      <c r="I97" s="93"/>
      <c r="J97" s="93"/>
      <c r="K97" s="93"/>
      <c r="L97" s="93"/>
      <c r="M97" s="93"/>
      <c r="N97" s="93"/>
    </row>
    <row r="98" spans="9:14" s="92" customFormat="1">
      <c r="I98" s="93"/>
      <c r="J98" s="93"/>
      <c r="K98" s="93"/>
      <c r="L98" s="93"/>
      <c r="M98" s="93"/>
      <c r="N98" s="93"/>
    </row>
    <row r="99" spans="9:14" s="92" customFormat="1">
      <c r="I99" s="93"/>
      <c r="J99" s="93"/>
      <c r="K99" s="93"/>
      <c r="L99" s="93"/>
      <c r="M99" s="93"/>
      <c r="N99" s="93"/>
    </row>
    <row r="100" spans="9:14" s="92" customFormat="1">
      <c r="I100" s="93"/>
      <c r="J100" s="93"/>
      <c r="K100" s="93"/>
      <c r="L100" s="93"/>
      <c r="M100" s="93"/>
      <c r="N100" s="93"/>
    </row>
    <row r="101" spans="9:14" s="92" customFormat="1" ht="12"/>
    <row r="102" spans="9:14" s="92" customFormat="1" ht="12"/>
    <row r="103" spans="9:14" s="92" customFormat="1" ht="12"/>
    <row r="104" spans="9:14" s="92" customFormat="1" ht="12"/>
    <row r="105" spans="9:14" s="92" customFormat="1" ht="12"/>
    <row r="106" spans="9:14" s="92" customFormat="1" ht="12"/>
    <row r="107" spans="9:14" s="92" customFormat="1" ht="12"/>
    <row r="108" spans="9:14" s="92" customFormat="1" ht="12"/>
    <row r="109" spans="9:14" s="92" customFormat="1" ht="12"/>
    <row r="110" spans="9:14" s="92" customFormat="1" ht="12"/>
    <row r="111" spans="9:14" s="92" customFormat="1" ht="12"/>
    <row r="112" spans="9:14" s="92" customFormat="1" ht="12"/>
    <row r="113" s="92" customFormat="1" ht="12"/>
    <row r="114" s="92" customFormat="1" ht="12"/>
    <row r="115" s="92" customFormat="1" ht="12"/>
    <row r="116" s="92" customFormat="1" ht="12"/>
    <row r="117" s="92" customFormat="1" ht="12"/>
    <row r="118" s="92" customFormat="1" ht="12"/>
    <row r="119" s="92" customFormat="1" ht="12"/>
    <row r="120" s="92" customFormat="1" ht="12"/>
    <row r="121" s="92" customFormat="1" ht="12"/>
    <row r="122" s="92" customFormat="1" ht="12"/>
    <row r="123" s="92" customFormat="1" ht="12"/>
    <row r="124" s="92" customFormat="1" ht="12"/>
    <row r="125" s="92" customFormat="1" ht="12"/>
    <row r="126" s="92" customFormat="1" ht="12"/>
    <row r="127" s="92" customFormat="1" ht="12"/>
    <row r="128" s="92" customFormat="1" ht="12"/>
    <row r="129" s="92" customFormat="1" ht="12"/>
    <row r="130" s="92" customFormat="1" ht="12"/>
    <row r="131" s="92" customFormat="1" ht="12"/>
    <row r="132" s="92" customFormat="1" ht="12"/>
    <row r="133" s="92" customFormat="1" ht="12"/>
    <row r="134" s="92" customFormat="1" ht="12"/>
    <row r="135" s="92" customFormat="1" ht="12"/>
    <row r="136" s="92" customFormat="1" ht="12"/>
    <row r="137" s="92" customFormat="1" ht="12"/>
    <row r="138" s="92" customFormat="1" ht="12"/>
    <row r="139" s="92" customFormat="1" ht="12"/>
    <row r="140" s="92" customFormat="1" ht="12"/>
    <row r="141" s="92" customFormat="1" ht="12"/>
    <row r="142" s="92" customFormat="1" ht="12"/>
    <row r="143" s="92" customFormat="1" ht="12"/>
    <row r="144" s="92" customFormat="1" ht="12"/>
    <row r="145" spans="1:26" s="92" customFormat="1" ht="12"/>
    <row r="146" spans="1:26" s="92" customFormat="1" ht="12"/>
    <row r="147" spans="1:26" s="92" customFormat="1" ht="12"/>
    <row r="148" spans="1:26" s="92" customFormat="1" ht="12"/>
    <row r="149" spans="1:26" s="92" customFormat="1" ht="12"/>
    <row r="150" spans="1:26" s="92" customFormat="1" ht="12"/>
    <row r="151" spans="1:26" s="92" customFormat="1" ht="12"/>
    <row r="152" spans="1:26" s="92" customFormat="1" ht="12"/>
    <row r="153" spans="1:26" s="92" customFormat="1" ht="12"/>
    <row r="154" spans="1:26">
      <c r="A154" s="92"/>
      <c r="B154" s="92"/>
      <c r="C154" s="92"/>
      <c r="D154" s="92"/>
      <c r="E154" s="92"/>
      <c r="F154" s="92"/>
      <c r="I154" s="92"/>
      <c r="J154" s="92"/>
      <c r="K154" s="92"/>
      <c r="L154" s="92"/>
      <c r="M154" s="92"/>
      <c r="N154" s="92"/>
      <c r="X154" s="92"/>
      <c r="Y154" s="92"/>
      <c r="Z154" s="92"/>
    </row>
    <row r="155" spans="1:26">
      <c r="A155" s="92"/>
      <c r="B155" s="92"/>
      <c r="C155" s="92"/>
      <c r="D155" s="92"/>
      <c r="E155" s="92"/>
      <c r="F155" s="92"/>
      <c r="I155" s="92"/>
      <c r="J155" s="92"/>
      <c r="K155" s="92"/>
      <c r="L155" s="92"/>
      <c r="M155" s="92"/>
      <c r="N155" s="92"/>
    </row>
    <row r="156" spans="1:26">
      <c r="A156" s="92"/>
      <c r="B156" s="92"/>
      <c r="C156" s="92"/>
      <c r="D156" s="92"/>
      <c r="E156" s="92"/>
      <c r="F156" s="92"/>
      <c r="I156" s="92"/>
      <c r="J156" s="92"/>
      <c r="K156" s="92"/>
      <c r="L156" s="92"/>
      <c r="M156" s="92"/>
      <c r="N156" s="92"/>
    </row>
    <row r="157" spans="1:26">
      <c r="A157" s="92"/>
      <c r="B157" s="92"/>
      <c r="C157" s="92"/>
      <c r="D157" s="92"/>
      <c r="E157" s="92"/>
      <c r="F157" s="92"/>
      <c r="I157" s="92"/>
      <c r="J157" s="92"/>
      <c r="K157" s="92"/>
      <c r="L157" s="92"/>
      <c r="M157" s="92"/>
      <c r="N157" s="92"/>
    </row>
    <row r="158" spans="1:26">
      <c r="A158" s="92"/>
      <c r="B158" s="92"/>
      <c r="C158" s="92"/>
      <c r="D158" s="92"/>
      <c r="E158" s="92"/>
      <c r="F158" s="92"/>
      <c r="I158" s="92"/>
      <c r="J158" s="92"/>
      <c r="K158" s="92"/>
      <c r="L158" s="92"/>
      <c r="M158" s="92"/>
      <c r="N158" s="92"/>
    </row>
    <row r="159" spans="1:26">
      <c r="A159" s="92"/>
      <c r="B159" s="92"/>
      <c r="C159" s="92"/>
      <c r="D159" s="92"/>
      <c r="E159" s="92"/>
      <c r="F159" s="92"/>
      <c r="I159" s="92"/>
      <c r="J159" s="92"/>
      <c r="K159" s="92"/>
      <c r="L159" s="92"/>
      <c r="M159" s="92"/>
      <c r="N159" s="92"/>
    </row>
    <row r="160" spans="1:26">
      <c r="A160" s="92"/>
      <c r="B160" s="92"/>
      <c r="C160" s="92"/>
      <c r="D160" s="92"/>
      <c r="E160" s="92"/>
      <c r="F160" s="92"/>
      <c r="I160" s="92"/>
      <c r="J160" s="92"/>
      <c r="K160" s="92"/>
      <c r="L160" s="92"/>
      <c r="M160" s="92"/>
      <c r="N160" s="92"/>
    </row>
    <row r="161" spans="1:14">
      <c r="A161" s="92"/>
      <c r="B161" s="92"/>
      <c r="C161" s="92"/>
      <c r="D161" s="92"/>
      <c r="E161" s="92"/>
      <c r="F161" s="92"/>
      <c r="I161" s="92"/>
      <c r="J161" s="92"/>
      <c r="K161" s="92"/>
      <c r="L161" s="92"/>
      <c r="M161" s="92"/>
      <c r="N161" s="92"/>
    </row>
    <row r="162" spans="1:14">
      <c r="A162" s="92"/>
      <c r="B162" s="92"/>
      <c r="C162" s="92"/>
      <c r="D162" s="92"/>
      <c r="E162" s="92"/>
      <c r="F162" s="92"/>
      <c r="I162" s="92"/>
      <c r="J162" s="92"/>
      <c r="K162" s="92"/>
      <c r="L162" s="92"/>
      <c r="M162" s="92"/>
      <c r="N162" s="92"/>
    </row>
    <row r="163" spans="1:14">
      <c r="A163" s="92"/>
      <c r="B163" s="92"/>
      <c r="C163" s="92"/>
      <c r="D163" s="92"/>
      <c r="E163" s="92"/>
      <c r="F163" s="92"/>
      <c r="I163" s="92"/>
      <c r="J163" s="92"/>
      <c r="K163" s="92"/>
      <c r="L163" s="92"/>
      <c r="M163" s="92"/>
      <c r="N163" s="92"/>
    </row>
    <row r="164" spans="1:14">
      <c r="A164" s="92"/>
      <c r="B164" s="92"/>
      <c r="C164" s="92"/>
      <c r="D164" s="92"/>
      <c r="E164" s="92"/>
      <c r="F164" s="92"/>
      <c r="I164" s="92"/>
      <c r="J164" s="92"/>
      <c r="K164" s="92"/>
      <c r="L164" s="92"/>
      <c r="M164" s="92"/>
      <c r="N164" s="92"/>
    </row>
    <row r="165" spans="1:14">
      <c r="A165" s="92"/>
      <c r="B165" s="92"/>
      <c r="C165" s="92"/>
      <c r="D165" s="92"/>
      <c r="E165" s="92"/>
      <c r="F165" s="92"/>
      <c r="I165" s="92"/>
      <c r="J165" s="92"/>
      <c r="K165" s="92"/>
      <c r="L165" s="92"/>
      <c r="M165" s="92"/>
      <c r="N165" s="92"/>
    </row>
    <row r="166" spans="1:14">
      <c r="A166" s="92"/>
      <c r="B166" s="92"/>
      <c r="C166" s="92"/>
      <c r="D166" s="92"/>
      <c r="E166" s="92"/>
      <c r="F166" s="92"/>
      <c r="I166" s="92"/>
      <c r="J166" s="92"/>
      <c r="K166" s="92"/>
      <c r="L166" s="92"/>
      <c r="M166" s="92"/>
      <c r="N166" s="92"/>
    </row>
    <row r="167" spans="1:14">
      <c r="A167" s="92"/>
      <c r="B167" s="92"/>
      <c r="C167" s="92"/>
      <c r="D167" s="92"/>
      <c r="E167" s="92"/>
      <c r="F167" s="92"/>
      <c r="I167" s="92"/>
      <c r="J167" s="92"/>
      <c r="K167" s="92"/>
      <c r="L167" s="92"/>
      <c r="M167" s="92"/>
      <c r="N167" s="92"/>
    </row>
    <row r="168" spans="1:14">
      <c r="I168" s="92"/>
      <c r="J168" s="92"/>
      <c r="K168" s="92"/>
      <c r="L168" s="92"/>
      <c r="M168" s="92"/>
      <c r="N168" s="92"/>
    </row>
    <row r="169" spans="1:14">
      <c r="I169" s="92"/>
      <c r="J169" s="92"/>
      <c r="K169" s="92"/>
      <c r="L169" s="92"/>
      <c r="M169" s="92"/>
      <c r="N169" s="92"/>
    </row>
    <row r="170" spans="1:14">
      <c r="I170" s="92"/>
      <c r="J170" s="92"/>
      <c r="K170" s="92"/>
      <c r="L170" s="92"/>
      <c r="M170" s="92"/>
      <c r="N170" s="92"/>
    </row>
    <row r="171" spans="1:14">
      <c r="I171" s="92"/>
      <c r="J171" s="92"/>
      <c r="K171" s="92"/>
      <c r="L171" s="92"/>
      <c r="M171" s="92"/>
      <c r="N171" s="92"/>
    </row>
    <row r="172" spans="1:14">
      <c r="I172" s="92"/>
      <c r="J172" s="92"/>
      <c r="K172" s="92"/>
      <c r="L172" s="92"/>
      <c r="M172" s="92"/>
      <c r="N172" s="92"/>
    </row>
    <row r="173" spans="1:14">
      <c r="I173" s="92"/>
      <c r="J173" s="92"/>
      <c r="K173" s="92"/>
      <c r="L173" s="92"/>
      <c r="M173" s="92"/>
      <c r="N173" s="92"/>
    </row>
  </sheetData>
  <pageMargins left="0.7" right="0.7" top="0.75" bottom="0.75" header="0.3" footer="0.3"/>
  <pageSetup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K59"/>
  <sheetViews>
    <sheetView workbookViewId="0">
      <selection activeCell="B67" sqref="B67"/>
    </sheetView>
  </sheetViews>
  <sheetFormatPr defaultRowHeight="15"/>
  <cols>
    <col min="1" max="1" width="22.85546875" bestFit="1" customWidth="1"/>
    <col min="2" max="2" width="15.42578125" bestFit="1" customWidth="1"/>
    <col min="3" max="3" width="27.5703125" bestFit="1" customWidth="1"/>
    <col min="4" max="4" width="13.7109375" customWidth="1"/>
    <col min="5" max="5" width="10.85546875" customWidth="1"/>
    <col min="6" max="6" width="13.5703125" customWidth="1"/>
    <col min="7" max="7" width="14.140625" customWidth="1"/>
    <col min="8" max="8" width="18.140625" customWidth="1"/>
    <col min="9" max="9" width="12" bestFit="1" customWidth="1"/>
  </cols>
  <sheetData>
    <row r="1" spans="1:11" ht="19.5">
      <c r="A1" s="164" t="s">
        <v>68</v>
      </c>
      <c r="B1" s="164"/>
      <c r="C1" s="164"/>
      <c r="D1" s="164"/>
      <c r="E1" s="164"/>
      <c r="F1" s="164"/>
      <c r="G1" s="164"/>
      <c r="H1" s="164"/>
      <c r="I1" s="164"/>
    </row>
    <row r="3" spans="1:11" hidden="1">
      <c r="A3" s="39" t="s">
        <v>58</v>
      </c>
      <c r="D3" s="39" t="s">
        <v>49</v>
      </c>
    </row>
    <row r="4" spans="1:11" s="42" customFormat="1">
      <c r="A4" s="39" t="s">
        <v>51</v>
      </c>
      <c r="B4" s="39" t="s">
        <v>47</v>
      </c>
      <c r="C4" s="39" t="s">
        <v>48</v>
      </c>
      <c r="D4" s="42" t="s">
        <v>26</v>
      </c>
      <c r="E4" s="42" t="s">
        <v>7</v>
      </c>
      <c r="F4" s="42" t="s">
        <v>0</v>
      </c>
      <c r="G4" s="42" t="s">
        <v>41</v>
      </c>
      <c r="H4" s="42" t="s">
        <v>1</v>
      </c>
      <c r="I4" s="42" t="s">
        <v>42</v>
      </c>
      <c r="J4" s="42" t="s">
        <v>79</v>
      </c>
      <c r="K4" s="42" t="s">
        <v>29</v>
      </c>
    </row>
    <row r="5" spans="1:11">
      <c r="A5" s="1" t="s">
        <v>86</v>
      </c>
      <c r="B5" s="1" t="s">
        <v>20</v>
      </c>
      <c r="C5" s="1" t="s">
        <v>54</v>
      </c>
      <c r="D5" s="40">
        <v>4.125</v>
      </c>
      <c r="E5" s="40">
        <v>1</v>
      </c>
      <c r="F5" s="40">
        <v>4.173</v>
      </c>
      <c r="G5" s="40">
        <v>2768</v>
      </c>
      <c r="H5" s="40">
        <v>200000</v>
      </c>
      <c r="I5" s="40"/>
      <c r="J5" s="40">
        <v>4.3642403763055508</v>
      </c>
      <c r="K5" s="40">
        <v>1.4339233654036512</v>
      </c>
    </row>
    <row r="6" spans="1:11">
      <c r="A6" s="1" t="s">
        <v>86</v>
      </c>
      <c r="B6" s="1" t="s">
        <v>20</v>
      </c>
      <c r="C6" s="1" t="s">
        <v>55</v>
      </c>
      <c r="D6" s="40">
        <v>4</v>
      </c>
      <c r="E6" s="40">
        <v>1</v>
      </c>
      <c r="F6" s="40">
        <v>5.0090000000000003</v>
      </c>
      <c r="G6" s="40">
        <v>6041</v>
      </c>
      <c r="H6" s="40">
        <v>200000</v>
      </c>
      <c r="I6" s="40">
        <v>3500</v>
      </c>
      <c r="J6" s="40">
        <v>3.9717500000000001</v>
      </c>
      <c r="K6" s="40">
        <v>1.1865322640026403</v>
      </c>
    </row>
    <row r="7" spans="1:11">
      <c r="A7" s="1" t="s">
        <v>86</v>
      </c>
      <c r="B7" s="1" t="s">
        <v>20</v>
      </c>
      <c r="C7" s="1" t="s">
        <v>56</v>
      </c>
      <c r="D7" s="40">
        <v>4.25</v>
      </c>
      <c r="E7" s="40">
        <v>1</v>
      </c>
      <c r="F7" s="40">
        <v>4.2590000000000003</v>
      </c>
      <c r="G7" s="40">
        <v>2377</v>
      </c>
      <c r="H7" s="40">
        <v>500000</v>
      </c>
      <c r="I7" s="40"/>
      <c r="J7" s="40">
        <v>4.145604497342033</v>
      </c>
      <c r="K7" s="40">
        <v>1.2152874864401328</v>
      </c>
    </row>
    <row r="8" spans="1:11">
      <c r="A8" s="1" t="s">
        <v>86</v>
      </c>
      <c r="B8" s="1" t="s">
        <v>20</v>
      </c>
      <c r="C8" s="1" t="s">
        <v>57</v>
      </c>
      <c r="D8" s="40">
        <v>4.125</v>
      </c>
      <c r="E8" s="40">
        <v>1</v>
      </c>
      <c r="F8" s="40">
        <v>4.1310000000000002</v>
      </c>
      <c r="G8" s="40">
        <v>3137</v>
      </c>
      <c r="H8" s="40">
        <v>750000</v>
      </c>
      <c r="I8" s="40"/>
      <c r="J8" s="40">
        <v>3.9975388163708763</v>
      </c>
      <c r="K8" s="40">
        <v>1.0672218054689764</v>
      </c>
    </row>
    <row r="9" spans="1:11">
      <c r="A9" s="1" t="s">
        <v>86</v>
      </c>
      <c r="B9" s="1" t="s">
        <v>19</v>
      </c>
      <c r="C9" s="1" t="s">
        <v>54</v>
      </c>
      <c r="D9" s="40">
        <v>3.99</v>
      </c>
      <c r="E9" s="40">
        <v>1.625</v>
      </c>
      <c r="F9" s="40">
        <v>4.1980000000000004</v>
      </c>
      <c r="G9" s="40"/>
      <c r="H9" s="40"/>
      <c r="I9" s="40"/>
      <c r="J9" s="40">
        <v>4.356765969784167</v>
      </c>
      <c r="K9" s="40">
        <v>1.4264489588822669</v>
      </c>
    </row>
    <row r="10" spans="1:11">
      <c r="A10" s="1" t="s">
        <v>86</v>
      </c>
      <c r="B10" s="1" t="s">
        <v>19</v>
      </c>
      <c r="C10" s="1" t="s">
        <v>55</v>
      </c>
      <c r="D10" s="40">
        <v>3.5</v>
      </c>
      <c r="E10" s="40">
        <v>2.25</v>
      </c>
      <c r="F10" s="40">
        <v>4.4000000000000004</v>
      </c>
      <c r="G10" s="40"/>
      <c r="H10" s="40"/>
      <c r="I10" s="40"/>
      <c r="J10" s="40"/>
      <c r="K10" s="40"/>
    </row>
    <row r="11" spans="1:11">
      <c r="A11" s="1" t="s">
        <v>86</v>
      </c>
      <c r="B11" s="1" t="s">
        <v>17</v>
      </c>
      <c r="C11" s="1" t="s">
        <v>54</v>
      </c>
      <c r="D11" s="40">
        <v>4</v>
      </c>
      <c r="E11" s="40">
        <v>1.163</v>
      </c>
      <c r="F11" s="40">
        <v>4.2080000000000002</v>
      </c>
      <c r="G11" s="40"/>
      <c r="H11" s="40"/>
      <c r="I11" s="40"/>
      <c r="J11" s="40">
        <v>4.3664099742286595</v>
      </c>
      <c r="K11" s="40">
        <v>1.4360929633267601</v>
      </c>
    </row>
    <row r="12" spans="1:11">
      <c r="A12" s="1" t="s">
        <v>86</v>
      </c>
      <c r="B12" s="1" t="s">
        <v>18</v>
      </c>
      <c r="C12" s="1" t="s">
        <v>54</v>
      </c>
      <c r="D12" s="40">
        <v>4.125</v>
      </c>
      <c r="E12" s="40">
        <v>0.625</v>
      </c>
      <c r="F12" s="40">
        <v>4.1769999999999996</v>
      </c>
      <c r="G12" s="40"/>
      <c r="H12" s="40"/>
      <c r="I12" s="40"/>
      <c r="J12" s="40">
        <v>4.0301218665618999</v>
      </c>
      <c r="K12" s="40">
        <v>1.09980485566</v>
      </c>
    </row>
    <row r="28" spans="1:11" ht="19.5">
      <c r="A28" s="164" t="s">
        <v>69</v>
      </c>
      <c r="B28" s="164"/>
      <c r="C28" s="164"/>
      <c r="D28" s="164"/>
      <c r="E28" s="164"/>
      <c r="F28" s="164"/>
      <c r="G28" s="164"/>
      <c r="H28" s="164"/>
      <c r="I28" s="164"/>
    </row>
    <row r="29" spans="1:11">
      <c r="A29" s="39" t="s">
        <v>58</v>
      </c>
      <c r="D29" s="39" t="s">
        <v>49</v>
      </c>
    </row>
    <row r="30" spans="1:11">
      <c r="A30" s="39" t="s">
        <v>51</v>
      </c>
      <c r="B30" s="39" t="s">
        <v>47</v>
      </c>
      <c r="C30" s="39" t="s">
        <v>48</v>
      </c>
      <c r="D30" s="42" t="s">
        <v>26</v>
      </c>
      <c r="E30" s="42" t="s">
        <v>7</v>
      </c>
      <c r="F30" s="42" t="s">
        <v>0</v>
      </c>
      <c r="G30" s="42" t="s">
        <v>41</v>
      </c>
      <c r="H30" s="42" t="s">
        <v>1</v>
      </c>
      <c r="I30" s="42" t="s">
        <v>42</v>
      </c>
      <c r="J30" s="42" t="s">
        <v>79</v>
      </c>
      <c r="K30" s="42" t="s">
        <v>29</v>
      </c>
    </row>
    <row r="31" spans="1:11">
      <c r="A31" s="1" t="s">
        <v>85</v>
      </c>
      <c r="B31" s="1" t="s">
        <v>20</v>
      </c>
      <c r="C31" s="1" t="s">
        <v>54</v>
      </c>
      <c r="D31" s="40">
        <v>4.125</v>
      </c>
      <c r="E31" s="40">
        <v>1</v>
      </c>
      <c r="F31" s="40">
        <v>4.1470000000000002</v>
      </c>
      <c r="G31" s="40">
        <v>1768</v>
      </c>
      <c r="H31" s="40">
        <v>200000</v>
      </c>
      <c r="I31" s="40"/>
      <c r="J31" s="40">
        <v>4.1618039804499194</v>
      </c>
      <c r="K31" s="40">
        <v>1.3462424054732489</v>
      </c>
    </row>
    <row r="32" spans="1:11">
      <c r="A32" s="1" t="s">
        <v>85</v>
      </c>
      <c r="B32" s="1" t="s">
        <v>20</v>
      </c>
      <c r="C32" s="1" t="s">
        <v>55</v>
      </c>
      <c r="D32" s="40">
        <v>3.875</v>
      </c>
      <c r="E32" s="40">
        <v>1</v>
      </c>
      <c r="F32" s="40">
        <v>4.8940000000000001</v>
      </c>
      <c r="G32" s="40">
        <v>6274</v>
      </c>
      <c r="H32" s="40">
        <v>200000</v>
      </c>
      <c r="I32" s="40">
        <v>3500</v>
      </c>
      <c r="J32" s="40">
        <v>3.9717500000000001</v>
      </c>
      <c r="K32" s="40">
        <v>1.2824660521114801</v>
      </c>
    </row>
    <row r="33" spans="1:11">
      <c r="A33" s="1" t="s">
        <v>85</v>
      </c>
      <c r="B33" s="1" t="s">
        <v>20</v>
      </c>
      <c r="C33" s="1" t="s">
        <v>56</v>
      </c>
      <c r="D33" s="40">
        <v>4.125</v>
      </c>
      <c r="E33" s="40">
        <v>1</v>
      </c>
      <c r="F33" s="40">
        <v>4.1479999999999997</v>
      </c>
      <c r="G33" s="40">
        <v>3602</v>
      </c>
      <c r="H33" s="40">
        <v>500000</v>
      </c>
      <c r="I33" s="40"/>
      <c r="J33" s="40">
        <v>4.123888942161555</v>
      </c>
      <c r="K33" s="40">
        <v>1.3083273671848847</v>
      </c>
    </row>
    <row r="34" spans="1:11">
      <c r="A34" s="1" t="s">
        <v>85</v>
      </c>
      <c r="B34" s="1" t="s">
        <v>20</v>
      </c>
      <c r="C34" s="1" t="s">
        <v>57</v>
      </c>
      <c r="D34" s="40">
        <v>4.125</v>
      </c>
      <c r="E34" s="40">
        <v>1</v>
      </c>
      <c r="F34" s="40">
        <v>4.125</v>
      </c>
      <c r="G34" s="40">
        <v>1262</v>
      </c>
      <c r="H34" s="40">
        <v>750000</v>
      </c>
      <c r="I34" s="40"/>
      <c r="J34" s="40">
        <v>3.9170666666666665</v>
      </c>
      <c r="K34" s="40">
        <v>1.1015050916899964</v>
      </c>
    </row>
    <row r="35" spans="1:11">
      <c r="A35" s="1" t="s">
        <v>85</v>
      </c>
      <c r="B35" s="1" t="s">
        <v>19</v>
      </c>
      <c r="C35" s="1" t="s">
        <v>54</v>
      </c>
      <c r="D35" s="40">
        <v>3.875</v>
      </c>
      <c r="E35" s="40">
        <v>1.75</v>
      </c>
      <c r="F35" s="40">
        <v>4.0919999999999996</v>
      </c>
      <c r="G35" s="40"/>
      <c r="H35" s="40"/>
      <c r="I35" s="40"/>
      <c r="J35" s="40">
        <v>4.2722152605049795</v>
      </c>
      <c r="K35" s="40">
        <v>1.4566536855283092</v>
      </c>
    </row>
    <row r="36" spans="1:11">
      <c r="A36" s="1" t="s">
        <v>85</v>
      </c>
      <c r="B36" s="1" t="s">
        <v>19</v>
      </c>
      <c r="C36" s="1" t="s">
        <v>55</v>
      </c>
      <c r="D36" s="40">
        <v>3.5</v>
      </c>
      <c r="E36" s="40">
        <v>1.75</v>
      </c>
      <c r="F36" s="40">
        <v>4.3550000000000004</v>
      </c>
      <c r="G36" s="40"/>
      <c r="H36" s="40"/>
      <c r="I36" s="40"/>
      <c r="J36" s="40"/>
      <c r="K36" s="40"/>
    </row>
    <row r="37" spans="1:11">
      <c r="A37" s="1" t="s">
        <v>85</v>
      </c>
      <c r="B37" s="1" t="s">
        <v>17</v>
      </c>
      <c r="C37" s="1" t="s">
        <v>54</v>
      </c>
      <c r="D37" s="40">
        <v>3.875</v>
      </c>
      <c r="E37" s="40">
        <v>1.2989999999999999</v>
      </c>
      <c r="F37" s="40">
        <v>4.093</v>
      </c>
      <c r="G37" s="40"/>
      <c r="H37" s="40"/>
      <c r="I37" s="40"/>
      <c r="J37" s="40">
        <v>4.2751400125465349</v>
      </c>
      <c r="K37" s="40">
        <v>1.4595784375698646</v>
      </c>
    </row>
    <row r="38" spans="1:11">
      <c r="A38" s="1" t="s">
        <v>85</v>
      </c>
      <c r="B38" s="1" t="s">
        <v>18</v>
      </c>
      <c r="C38" s="1" t="s">
        <v>54</v>
      </c>
      <c r="D38" s="40">
        <v>4.125</v>
      </c>
      <c r="E38" s="40">
        <v>0.625</v>
      </c>
      <c r="F38" s="40">
        <v>4.1769999999999996</v>
      </c>
      <c r="G38" s="40"/>
      <c r="H38" s="40"/>
      <c r="I38" s="40"/>
      <c r="J38" s="40">
        <v>4.0301218665618999</v>
      </c>
      <c r="K38" s="40">
        <v>1.2145602915852296</v>
      </c>
    </row>
    <row r="56" spans="1:9" ht="19.5">
      <c r="A56" s="164" t="s">
        <v>70</v>
      </c>
      <c r="B56" s="164"/>
      <c r="C56" s="164"/>
      <c r="D56" s="164"/>
      <c r="E56" s="164"/>
      <c r="F56" s="164"/>
      <c r="G56" s="164"/>
      <c r="H56" s="164"/>
      <c r="I56" s="164"/>
    </row>
    <row r="57" spans="1:9">
      <c r="A57" s="39" t="s">
        <v>58</v>
      </c>
      <c r="D57" s="39" t="s">
        <v>49</v>
      </c>
    </row>
    <row r="58" spans="1:9">
      <c r="A58" s="39" t="s">
        <v>51</v>
      </c>
      <c r="B58" s="39" t="s">
        <v>47</v>
      </c>
      <c r="C58" s="39" t="s">
        <v>48</v>
      </c>
      <c r="D58" s="42" t="s">
        <v>72</v>
      </c>
    </row>
    <row r="59" spans="1:9">
      <c r="A59" s="1" t="s">
        <v>72</v>
      </c>
      <c r="B59" s="1" t="s">
        <v>72</v>
      </c>
      <c r="C59" s="1" t="s">
        <v>72</v>
      </c>
      <c r="D59" s="40"/>
    </row>
  </sheetData>
  <mergeCells count="3">
    <mergeCell ref="A1:I1"/>
    <mergeCell ref="A28:I28"/>
    <mergeCell ref="A56:I56"/>
  </mergeCells>
  <pageMargins left="0.7" right="0.7" top="0.75" bottom="0.75" header="0.3" footer="0.3"/>
  <pageSetup orientation="portrait" horizontalDpi="300" verticalDpi="300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workbookViewId="0">
      <selection activeCell="B1" sqref="B1:E5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18" t="s">
        <v>48</v>
      </c>
      <c r="C1" s="119" t="s">
        <v>47</v>
      </c>
      <c r="D1" s="120" t="s">
        <v>49</v>
      </c>
      <c r="E1" s="121" t="s">
        <v>52</v>
      </c>
    </row>
    <row r="2" spans="2:5">
      <c r="B2" s="122" t="s">
        <v>54</v>
      </c>
      <c r="C2" s="123" t="s">
        <v>17</v>
      </c>
      <c r="D2" s="124" t="s">
        <v>79</v>
      </c>
      <c r="E2" s="125">
        <f>Report!M12*100</f>
        <v>4.3664099742286595</v>
      </c>
    </row>
    <row r="3" spans="2:5">
      <c r="B3" s="110" t="s">
        <v>54</v>
      </c>
      <c r="C3" s="104" t="s">
        <v>17</v>
      </c>
      <c r="D3" s="105" t="s">
        <v>29</v>
      </c>
      <c r="E3" s="111">
        <f>Report!N12*100</f>
        <v>1.4360929633267601</v>
      </c>
    </row>
    <row r="4" spans="2:5">
      <c r="B4" s="110" t="s">
        <v>54</v>
      </c>
      <c r="C4" s="104" t="s">
        <v>18</v>
      </c>
      <c r="D4" s="105" t="s">
        <v>79</v>
      </c>
      <c r="E4" s="111">
        <f>Report!M13*100</f>
        <v>4.0301218665618999</v>
      </c>
    </row>
    <row r="5" spans="2:5">
      <c r="B5" s="110" t="s">
        <v>54</v>
      </c>
      <c r="C5" s="104" t="s">
        <v>18</v>
      </c>
      <c r="D5" s="105" t="s">
        <v>29</v>
      </c>
      <c r="E5" s="111">
        <f>Report!N13*100</f>
        <v>1.09980485566</v>
      </c>
    </row>
    <row r="6" spans="2:5">
      <c r="B6" s="110" t="s">
        <v>54</v>
      </c>
      <c r="C6" s="104" t="s">
        <v>19</v>
      </c>
      <c r="D6" s="105" t="s">
        <v>79</v>
      </c>
      <c r="E6" s="111">
        <f>Report!M14*100</f>
        <v>4.356765969784167</v>
      </c>
    </row>
    <row r="7" spans="2:5">
      <c r="B7" s="110" t="s">
        <v>54</v>
      </c>
      <c r="C7" s="104" t="s">
        <v>19</v>
      </c>
      <c r="D7" s="105" t="s">
        <v>29</v>
      </c>
      <c r="E7" s="111">
        <f>Report!N14*100</f>
        <v>1.4264489588822669</v>
      </c>
    </row>
    <row r="8" spans="2:5">
      <c r="B8" s="110" t="s">
        <v>54</v>
      </c>
      <c r="C8" s="104" t="s">
        <v>20</v>
      </c>
      <c r="D8" s="105" t="s">
        <v>79</v>
      </c>
      <c r="E8" s="111">
        <f>Report!M15*100</f>
        <v>4.3642403763055508</v>
      </c>
    </row>
    <row r="9" spans="2:5">
      <c r="B9" s="110" t="s">
        <v>54</v>
      </c>
      <c r="C9" s="104" t="s">
        <v>20</v>
      </c>
      <c r="D9" s="105" t="s">
        <v>29</v>
      </c>
      <c r="E9" s="111">
        <f>Report!N15*100</f>
        <v>1.4339233654036512</v>
      </c>
    </row>
    <row r="10" spans="2:5">
      <c r="B10" s="110" t="s">
        <v>55</v>
      </c>
      <c r="C10" s="104" t="s">
        <v>20</v>
      </c>
      <c r="D10" s="105" t="s">
        <v>79</v>
      </c>
      <c r="E10" s="111">
        <f>Report!M22*100</f>
        <v>3.9717500000000001</v>
      </c>
    </row>
    <row r="11" spans="2:5">
      <c r="B11" s="110" t="s">
        <v>55</v>
      </c>
      <c r="C11" s="104" t="s">
        <v>20</v>
      </c>
      <c r="D11" s="105" t="s">
        <v>29</v>
      </c>
      <c r="E11" s="111">
        <f>Report!N22*100</f>
        <v>1.1865322640026403</v>
      </c>
    </row>
    <row r="12" spans="2:5">
      <c r="B12" s="110" t="s">
        <v>56</v>
      </c>
      <c r="C12" s="104" t="s">
        <v>20</v>
      </c>
      <c r="D12" s="105" t="s">
        <v>79</v>
      </c>
      <c r="E12" s="111">
        <f>Report!M18*100</f>
        <v>4.145604497342033</v>
      </c>
    </row>
    <row r="13" spans="2:5">
      <c r="B13" s="110" t="s">
        <v>56</v>
      </c>
      <c r="C13" s="104" t="s">
        <v>20</v>
      </c>
      <c r="D13" s="105" t="s">
        <v>29</v>
      </c>
      <c r="E13" s="111">
        <f>Report!N18*100</f>
        <v>1.2152874864401328</v>
      </c>
    </row>
    <row r="14" spans="2:5">
      <c r="B14" s="110" t="s">
        <v>57</v>
      </c>
      <c r="C14" s="104" t="s">
        <v>20</v>
      </c>
      <c r="D14" s="105" t="s">
        <v>79</v>
      </c>
      <c r="E14" s="111">
        <f>Report!M20*100</f>
        <v>3.9975388163708763</v>
      </c>
    </row>
    <row r="15" spans="2:5">
      <c r="B15" s="110" t="s">
        <v>57</v>
      </c>
      <c r="C15" s="104" t="s">
        <v>20</v>
      </c>
      <c r="D15" s="105" t="s">
        <v>29</v>
      </c>
      <c r="E15" s="111">
        <f>Report!N20*100</f>
        <v>1.0672218054689764</v>
      </c>
    </row>
    <row r="16" spans="2:5">
      <c r="B16" s="112"/>
      <c r="C16" s="113"/>
      <c r="D16" s="113"/>
      <c r="E16" s="114"/>
    </row>
    <row r="17" spans="2:5">
      <c r="B17" s="112"/>
      <c r="C17" s="113"/>
      <c r="D17" s="113"/>
      <c r="E17" s="114"/>
    </row>
    <row r="18" spans="2:5">
      <c r="B18" s="112"/>
      <c r="C18" s="113"/>
      <c r="D18" s="113"/>
      <c r="E18" s="114"/>
    </row>
    <row r="19" spans="2:5">
      <c r="B19" s="112"/>
      <c r="C19" s="113"/>
      <c r="D19" s="113"/>
      <c r="E19" s="114"/>
    </row>
    <row r="20" spans="2:5">
      <c r="B20" s="112"/>
      <c r="C20" s="113"/>
      <c r="D20" s="113"/>
      <c r="E20" s="114"/>
    </row>
    <row r="21" spans="2:5">
      <c r="B21" s="112"/>
      <c r="C21" s="113"/>
      <c r="D21" s="113"/>
      <c r="E21" s="114"/>
    </row>
    <row r="22" spans="2:5">
      <c r="B22" s="112"/>
      <c r="C22" s="113"/>
      <c r="D22" s="113"/>
      <c r="E22" s="114"/>
    </row>
    <row r="23" spans="2:5">
      <c r="B23" s="112"/>
      <c r="C23" s="113"/>
      <c r="D23" s="113"/>
      <c r="E23" s="114"/>
    </row>
    <row r="24" spans="2:5">
      <c r="B24" s="112"/>
      <c r="C24" s="113"/>
      <c r="D24" s="113"/>
      <c r="E24" s="114"/>
    </row>
    <row r="25" spans="2:5">
      <c r="B25" s="112"/>
      <c r="C25" s="113"/>
      <c r="D25" s="113"/>
      <c r="E25" s="114"/>
    </row>
    <row r="26" spans="2:5">
      <c r="B26" s="112"/>
      <c r="C26" s="113"/>
      <c r="D26" s="113"/>
      <c r="E26" s="114"/>
    </row>
    <row r="27" spans="2:5">
      <c r="B27" s="112"/>
      <c r="C27" s="113"/>
      <c r="D27" s="113"/>
      <c r="E27" s="114"/>
    </row>
    <row r="28" spans="2:5">
      <c r="B28" s="112"/>
      <c r="C28" s="113"/>
      <c r="D28" s="113"/>
      <c r="E28" s="114"/>
    </row>
    <row r="29" spans="2:5">
      <c r="B29" s="112"/>
      <c r="C29" s="113"/>
      <c r="D29" s="113"/>
      <c r="E29" s="114"/>
    </row>
    <row r="30" spans="2:5">
      <c r="B30" s="115"/>
      <c r="C30" s="116"/>
      <c r="D30" s="116"/>
      <c r="E30" s="117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37</v>
      </c>
      <c r="C1" s="1" t="s">
        <v>38</v>
      </c>
      <c r="D1" s="1" t="s">
        <v>39</v>
      </c>
      <c r="E1" s="28" t="s">
        <v>26</v>
      </c>
      <c r="F1" s="28" t="s">
        <v>40</v>
      </c>
      <c r="G1" s="1" t="s">
        <v>0</v>
      </c>
      <c r="H1" s="1" t="s">
        <v>41</v>
      </c>
      <c r="I1" s="1" t="s">
        <v>1</v>
      </c>
      <c r="J1" s="1" t="s">
        <v>42</v>
      </c>
    </row>
    <row r="2" spans="2:16">
      <c r="B2" s="1">
        <v>20150304</v>
      </c>
      <c r="C2" s="1" t="s">
        <v>20</v>
      </c>
      <c r="D2" s="1" t="s">
        <v>55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27</v>
      </c>
      <c r="P2">
        <v>2.8341999400292899</v>
      </c>
    </row>
    <row r="3" spans="2:16">
      <c r="B3" s="1">
        <v>20150304</v>
      </c>
      <c r="C3" s="1" t="s">
        <v>20</v>
      </c>
      <c r="D3" s="1" t="s">
        <v>54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28</v>
      </c>
      <c r="P3">
        <v>2.7074000366412498</v>
      </c>
    </row>
    <row r="4" spans="2:16">
      <c r="B4" s="1">
        <v>20150304</v>
      </c>
      <c r="C4" s="1" t="s">
        <v>20</v>
      </c>
      <c r="D4" s="1" t="s">
        <v>76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57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55</v>
      </c>
      <c r="E6" s="1">
        <v>3.375</v>
      </c>
      <c r="F6" s="1" t="s">
        <v>77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54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54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54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F14"/>
  <sheetViews>
    <sheetView workbookViewId="0">
      <selection activeCell="M19" sqref="M19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</cols>
  <sheetData>
    <row r="3" spans="2:6">
      <c r="C3" s="165" t="s">
        <v>44</v>
      </c>
      <c r="D3" s="165"/>
      <c r="E3" s="165" t="s">
        <v>45</v>
      </c>
      <c r="F3" s="165"/>
    </row>
    <row r="4" spans="2:6">
      <c r="B4" s="126" t="s">
        <v>54</v>
      </c>
      <c r="C4" s="126" t="s">
        <v>79</v>
      </c>
      <c r="D4" s="126" t="s">
        <v>29</v>
      </c>
      <c r="E4" s="126" t="s">
        <v>79</v>
      </c>
      <c r="F4" s="126" t="s">
        <v>29</v>
      </c>
    </row>
    <row r="5" spans="2:6">
      <c r="B5" s="127" t="s">
        <v>17</v>
      </c>
      <c r="C5" s="128">
        <f t="array" ref="C5">VLOOKUP($B$4&amp;B5&amp;$C$4,IF({1,0},OneDayMtgRatesDataTable[TickerName]&amp;OneDayMtgRatesDataTable[Source]&amp;OneDayMtgRatesDataTable[SeriesType],OneDayMtgRatesDataTable[SeriesNumValue]),2,0)/100</f>
        <v>4.2751400125465348E-2</v>
      </c>
      <c r="D5" s="128">
        <f t="array" ref="D5">VLOOKUP($B$4&amp;$B5&amp;$D$4,IF({1,0},OneDayMtgRatesDataTable[TickerName]&amp;OneDayMtgRatesDataTable[Source]&amp;OneDayMtgRatesDataTable[SeriesType],OneDayMtgRatesDataTable[SeriesNumValue]),2,0)/100</f>
        <v>1.4595784375698646E-2</v>
      </c>
      <c r="E5" s="128" t="e">
        <f>VLOOKUP($B$4&amp;$B5&amp;$E$4,IF({1,0},OneWeekMtgRatesDataTable[TickerName]&amp;OneWeekMtgRatesDataTable[Source]&amp;OneWeekMtgRatesDataTable[SeriesType],OneWeekMtgRatesDataTable[SeriesNumValue]),2,0)/100</f>
        <v>#N/A</v>
      </c>
      <c r="F5" s="128" t="e">
        <f t="array" ref="F5">VLOOKUP($B$4&amp;$B5&amp;$F$4,IF({1,0},OneWeekMtgRatesDataTable[TickerName]&amp;OneWeekMtgRatesDataTable[Source]&amp;OneWeekMtgRatesDataTable[SeriesType],OneWeekMtgRatesDataTable[SeriesNumValue]),2,0)/100</f>
        <v>#N/A</v>
      </c>
    </row>
    <row r="6" spans="2:6">
      <c r="B6" s="127" t="s">
        <v>18</v>
      </c>
      <c r="C6" s="128">
        <f t="array" ref="C6">VLOOKUP($B$4&amp;B6&amp;$C$4,IF({1,0},OneDayMtgRatesDataTable[TickerName]&amp;OneDayMtgRatesDataTable[Source]&amp;OneDayMtgRatesDataTable[SeriesType],OneDayMtgRatesDataTable[SeriesNumValue]),2,0)/100</f>
        <v>4.0301218665618997E-2</v>
      </c>
      <c r="D6" s="128">
        <f t="array" ref="D6">VLOOKUP($B$4&amp;$B6&amp;$D$4,IF({1,0},OneDayMtgRatesDataTable[TickerName]&amp;OneDayMtgRatesDataTable[Source]&amp;OneDayMtgRatesDataTable[SeriesType],OneDayMtgRatesDataTable[SeriesNumValue]),2,0)/100</f>
        <v>1.2145602915852295E-2</v>
      </c>
      <c r="E6" s="128" t="e">
        <f>VLOOKUP($B$4&amp;$B6&amp;$E$4,IF({1,0},OneWeekMtgRatesDataTable[TickerName]&amp;OneWeekMtgRatesDataTable[Source]&amp;OneWeekMtgRatesDataTable[SeriesType],OneWeekMtgRatesDataTable[SeriesNumValue]),2,0)/100</f>
        <v>#N/A</v>
      </c>
      <c r="F6" s="128" t="e">
        <f t="array" ref="F6">VLOOKUP($B$4&amp;$B6&amp;$F$4,IF({1,0},OneWeekMtgRatesDataTable[TickerName]&amp;OneWeekMtgRatesDataTable[Source]&amp;OneWeekMtgRatesDataTable[SeriesType],OneWeekMtgRatesDataTable[SeriesNumValue]),2,0)/100</f>
        <v>#N/A</v>
      </c>
    </row>
    <row r="7" spans="2:6">
      <c r="B7" s="127" t="s">
        <v>19</v>
      </c>
      <c r="C7" s="128">
        <f t="array" ref="C7">VLOOKUP($B$4&amp;B7&amp;$C$4,IF({1,0},OneDayMtgRatesDataTable[TickerName]&amp;OneDayMtgRatesDataTable[Source]&amp;OneDayMtgRatesDataTable[SeriesType],OneDayMtgRatesDataTable[SeriesNumValue]),2,0)/100</f>
        <v>4.2722152605049794E-2</v>
      </c>
      <c r="D7" s="128">
        <f t="array" ref="D7">VLOOKUP($B$4&amp;$B7&amp;$D$4,IF({1,0},OneDayMtgRatesDataTable[TickerName]&amp;OneDayMtgRatesDataTable[Source]&amp;OneDayMtgRatesDataTable[SeriesType],OneDayMtgRatesDataTable[SeriesNumValue]),2,0)/100</f>
        <v>1.4566536855283092E-2</v>
      </c>
      <c r="E7" s="128" t="e">
        <f>VLOOKUP($B$4&amp;$B7&amp;$E$4,IF({1,0},OneWeekMtgRatesDataTable[TickerName]&amp;OneWeekMtgRatesDataTable[Source]&amp;OneWeekMtgRatesDataTable[SeriesType],OneWeekMtgRatesDataTable[SeriesNumValue]),2,0)/100</f>
        <v>#N/A</v>
      </c>
      <c r="F7" s="128" t="e">
        <f t="array" ref="F7">VLOOKUP($B$4&amp;$B7&amp;$F$4,IF({1,0},OneWeekMtgRatesDataTable[TickerName]&amp;OneWeekMtgRatesDataTable[Source]&amp;OneWeekMtgRatesDataTable[SeriesType],OneWeekMtgRatesDataTable[SeriesNumValue]),2,0)/100</f>
        <v>#N/A</v>
      </c>
    </row>
    <row r="8" spans="2:6">
      <c r="B8" s="127" t="s">
        <v>20</v>
      </c>
      <c r="C8" s="128">
        <f t="array" ref="C8">VLOOKUP($B$4&amp;B8&amp;$C$4,IF({1,0},OneDayMtgRatesDataTable[TickerName]&amp;OneDayMtgRatesDataTable[Source]&amp;OneDayMtgRatesDataTable[SeriesType],OneDayMtgRatesDataTable[SeriesNumValue]),2,0)/100</f>
        <v>4.1618039804499192E-2</v>
      </c>
      <c r="D8" s="128">
        <f t="array" ref="D8">VLOOKUP($B$4&amp;$B8&amp;$D$4,IF({1,0},OneDayMtgRatesDataTable[TickerName]&amp;OneDayMtgRatesDataTable[Source]&amp;OneDayMtgRatesDataTable[SeriesType],OneDayMtgRatesDataTable[SeriesNumValue]),2,0)/100</f>
        <v>1.346242405473249E-2</v>
      </c>
      <c r="E8" s="128" t="e">
        <f>VLOOKUP($B$4&amp;$B8&amp;$E$4,IF({1,0},OneWeekMtgRatesDataTable[TickerName]&amp;OneWeekMtgRatesDataTable[Source]&amp;OneWeekMtgRatesDataTable[SeriesType],OneWeekMtgRatesDataTable[SeriesNumValue]),2,0)/100</f>
        <v>#N/A</v>
      </c>
      <c r="F8" s="128" t="e">
        <f t="array" ref="F8">VLOOKUP($B$4&amp;$B8&amp;$F$4,IF({1,0},OneWeekMtgRatesDataTable[TickerName]&amp;OneWeekMtgRatesDataTable[Source]&amp;OneWeekMtgRatesDataTable[SeriesType],OneWeekMtgRatesDataTable[SeriesNumValue]),2,0)/100</f>
        <v>#N/A</v>
      </c>
    </row>
    <row r="9" spans="2:6">
      <c r="B9" s="126" t="s">
        <v>56</v>
      </c>
      <c r="C9" s="129"/>
      <c r="D9" s="129"/>
      <c r="E9" s="129"/>
      <c r="F9" s="129"/>
    </row>
    <row r="10" spans="2:6">
      <c r="B10" s="127" t="s">
        <v>20</v>
      </c>
      <c r="C10" s="128">
        <f t="array" ref="C10">VLOOKUP($B$9&amp;B10&amp;$C$4,IF({1,0},OneDayMtgRatesDataTable[TickerName]&amp;OneDayMtgRatesDataTable[Source]&amp;OneDayMtgRatesDataTable[SeriesType],OneDayMtgRatesDataTable[SeriesNumValue]),2,0)/100</f>
        <v>4.1238889421615549E-2</v>
      </c>
      <c r="D10" s="128">
        <f t="array" ref="D10">VLOOKUP($B$9&amp;$B10&amp;$D$4,IF({1,0},OneDayMtgRatesDataTable[TickerName]&amp;OneDayMtgRatesDataTable[Source]&amp;OneDayMtgRatesDataTable[SeriesType],OneDayMtgRatesDataTable[SeriesNumValue]),2,0)/100</f>
        <v>1.3083273671848847E-2</v>
      </c>
      <c r="E10" s="128" t="e">
        <f t="array" ref="E10">VLOOKUP($B$9&amp;$B10&amp;$E$4,IF({1,0},OneWeekMtgRatesDataTable[TickerName]&amp;OneWeekMtgRatesDataTable[Source]&amp;OneWeekMtgRatesDataTable[SeriesType],OneWeekMtgRatesDataTable[SeriesNumValue]),2,0)/100</f>
        <v>#N/A</v>
      </c>
      <c r="F10" s="128" t="e">
        <f t="array" ref="F10">VLOOKUP($B$9&amp;$B10&amp;$F$4,IF({1,0},OneWeekMtgRatesDataTable[TickerName]&amp;OneWeekMtgRatesDataTable[Source]&amp;OneWeekMtgRatesDataTable[SeriesType],OneWeekMtgRatesDataTable[SeriesNumValue]),2,0)/100</f>
        <v>#N/A</v>
      </c>
    </row>
    <row r="11" spans="2:6">
      <c r="B11" s="126" t="s">
        <v>57</v>
      </c>
      <c r="C11" s="129"/>
      <c r="D11" s="129"/>
      <c r="E11" s="129"/>
      <c r="F11" s="129"/>
    </row>
    <row r="12" spans="2:6">
      <c r="B12" s="127" t="s">
        <v>20</v>
      </c>
      <c r="C12" s="128">
        <f t="array" ref="C12">VLOOKUP($B$11&amp;B12&amp;$C$4,IF({1,0},OneDayMtgRatesDataTable[TickerName]&amp;OneDayMtgRatesDataTable[Source]&amp;OneDayMtgRatesDataTable[SeriesType],OneDayMtgRatesDataTable[SeriesNumValue]),2,0)/100</f>
        <v>3.9170666666666666E-2</v>
      </c>
      <c r="D12" s="128">
        <f t="array" ref="D12">VLOOKUP($B$11&amp;$B12&amp;$D$4,IF({1,0},OneDayMtgRatesDataTable[TickerName]&amp;OneDayMtgRatesDataTable[Source]&amp;OneDayMtgRatesDataTable[SeriesType],OneDayMtgRatesDataTable[SeriesNumValue]),2,0)/100</f>
        <v>1.1015050916899964E-2</v>
      </c>
      <c r="E12" s="128" t="e">
        <f>VLOOKUP($B$11&amp;$B12&amp;$E$4,IF({1,0},OneWeekMtgRatesDataTable[TickerName]&amp;OneWeekMtgRatesDataTable[Source]&amp;OneWeekMtgRatesDataTable[SeriesType],OneWeekMtgRatesDataTable[SeriesNumValue]),2,0)/100</f>
        <v>#N/A</v>
      </c>
      <c r="F12" s="128" t="e">
        <f t="array" ref="F12">VLOOKUP($B$11&amp;$B12&amp;$F$4,IF({1,0},OneWeekMtgRatesDataTable[TickerName]&amp;OneWeekMtgRatesDataTable[Source]&amp;OneWeekMtgRatesDataTable[SeriesType],OneWeekMtgRatesDataTable[SeriesNumValue]),2,0)/100</f>
        <v>#N/A</v>
      </c>
    </row>
    <row r="13" spans="2:6">
      <c r="B13" s="126" t="s">
        <v>55</v>
      </c>
      <c r="C13" s="129"/>
      <c r="D13" s="129"/>
      <c r="E13" s="129"/>
      <c r="F13" s="129"/>
    </row>
    <row r="14" spans="2:6">
      <c r="B14" s="127" t="s">
        <v>20</v>
      </c>
      <c r="C14" s="128">
        <f t="array" ref="C14">VLOOKUP($B$13&amp;B14&amp;$C$4,IF({1,0},OneDayMtgRatesDataTable[TickerName]&amp;OneDayMtgRatesDataTable[Source]&amp;OneDayMtgRatesDataTable[SeriesType],OneDayMtgRatesDataTable[SeriesNumValue]),2,0)/100</f>
        <v>3.9717500000000003E-2</v>
      </c>
      <c r="D14" s="128">
        <f t="array" ref="D14">VLOOKUP($B$13&amp;$B14&amp;$D$4,IF({1,0},OneDayMtgRatesDataTable[TickerName]&amp;OneDayMtgRatesDataTable[Source]&amp;OneDayMtgRatesDataTable[SeriesType],OneDayMtgRatesDataTable[SeriesNumValue]),2,0)/100</f>
        <v>1.28246605211148E-2</v>
      </c>
      <c r="E14" s="128" t="e">
        <f t="array" ref="E14">VLOOKUP($B$13&amp;$B14&amp;$E$4,IF({1,0},OneWeekMtgRatesDataTable[TickerName]&amp;OneWeekMtgRatesDataTable[Source]&amp;OneWeekMtgRatesDataTable[SeriesType],OneWeekMtgRatesDataTable[SeriesNumValue]),2,0)/100</f>
        <v>#N/A</v>
      </c>
      <c r="F14" s="128" t="e">
        <f t="array" ref="F14">VLOOKUP($B$13&amp;$B14&amp;$F$4,IF({1,0},OneWeekMtgRatesDataTable[TickerName]&amp;OneWeekMtgRatesDataTable[Source]&amp;OneWeekMtgRatesDataTable[SeriesType],OneWeekMtgRatesDataTable[SeriesNumValue]),2,0)/100</f>
        <v>#N/A</v>
      </c>
    </row>
  </sheetData>
  <mergeCells count="2">
    <mergeCell ref="C3:D3"/>
    <mergeCell ref="E3:F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C4" sqref="C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54</v>
      </c>
    </row>
    <row r="2" spans="2:11">
      <c r="B2" s="166" t="s">
        <v>3</v>
      </c>
      <c r="C2" s="166"/>
      <c r="D2" s="4"/>
      <c r="E2" s="166" t="s">
        <v>5</v>
      </c>
      <c r="F2" s="166"/>
      <c r="H2" s="166" t="s">
        <v>12</v>
      </c>
      <c r="I2" s="166"/>
    </row>
    <row r="4" spans="2:11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2.4656398969146398E-2</v>
      </c>
      <c r="H4" s="8" t="s">
        <v>11</v>
      </c>
      <c r="I4" s="9">
        <f>C4-(1%-F7)/4</f>
        <v>4.3664099742286598E-2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4.2079999999999999E-2</v>
      </c>
      <c r="D5" s="5"/>
      <c r="E5" s="6" t="s">
        <v>14</v>
      </c>
      <c r="F5" s="17">
        <f>C8</f>
        <v>1.163E-2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4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1.3026398969146398E-2</v>
      </c>
      <c r="H6" s="2" t="s">
        <v>23</v>
      </c>
      <c r="I6" s="13">
        <f>C4-(0.01-(1-((C4/12*(1+C4/12)^360)/((1+C4/12)^360-1)*((1+C5/12)^360-1)/(C5/12*(1+C5/12)^360))))/4</f>
        <v>4.3664099742286598E-2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2.4656398969146398E-2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1.163E-2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H31" sqref="H3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54</v>
      </c>
    </row>
    <row r="2" spans="2:9">
      <c r="B2" s="166" t="s">
        <v>3</v>
      </c>
      <c r="C2" s="166"/>
      <c r="D2" s="4"/>
      <c r="E2" s="166" t="s">
        <v>5</v>
      </c>
      <c r="F2" s="166"/>
      <c r="H2" s="166" t="s">
        <v>12</v>
      </c>
      <c r="I2" s="16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6.2048746624759898E-3</v>
      </c>
      <c r="H4" s="8" t="s">
        <v>11</v>
      </c>
      <c r="I4" s="9">
        <f>C4-(1%-F7)/4</f>
        <v>4.0301218665618997E-2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4.1769999999999995E-2</v>
      </c>
      <c r="D5" s="5"/>
      <c r="E5" s="6" t="s">
        <v>14</v>
      </c>
      <c r="F5" s="17">
        <f>C8</f>
        <v>6.2500000000000003E-3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-4.5125337524010503E-5</v>
      </c>
      <c r="H6" s="2" t="s">
        <v>23</v>
      </c>
      <c r="I6" s="13">
        <f>C4-(0.01-(1-((C4/12*(1+C4/12)^360)/((1+C4/12)^360-1)*((1+C5/12)^360-1)/(C5/12*(1+C5/12)^360))))/4</f>
        <v>4.0301218665618997E-2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6.2048746624759898E-3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6.2500000000000003E-3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E11" sqref="E1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19</v>
      </c>
      <c r="C1" s="105" t="s">
        <v>54</v>
      </c>
    </row>
    <row r="2" spans="2:9">
      <c r="B2" s="166" t="s">
        <v>3</v>
      </c>
      <c r="C2" s="166"/>
      <c r="D2" s="4"/>
      <c r="E2" s="166" t="s">
        <v>5</v>
      </c>
      <c r="F2" s="166"/>
      <c r="H2" s="166" t="s">
        <v>12</v>
      </c>
      <c r="I2" s="16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3.9900000000000005E-2</v>
      </c>
      <c r="D4" s="5"/>
      <c r="E4" s="5" t="s">
        <v>8</v>
      </c>
      <c r="F4" s="13">
        <f>1-((C4/12*(1+C4/12)^360)/((1+C4/12)^360-1)*((1+C5/12)^360-1)/(C5/12*(1+C5/12)^360))</f>
        <v>2.4670638791366661E-2</v>
      </c>
      <c r="H4" s="8" t="s">
        <v>11</v>
      </c>
      <c r="I4" s="9">
        <f>C4-(1%-F7)/4</f>
        <v>4.3567659697841668E-2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4.1980000000000003E-2</v>
      </c>
      <c r="D5" s="5"/>
      <c r="E5" s="6" t="s">
        <v>14</v>
      </c>
      <c r="F5" s="17">
        <f>C8</f>
        <v>1.6250000000000001E-2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8.4206387913666608E-3</v>
      </c>
      <c r="H6" s="2" t="s">
        <v>23</v>
      </c>
      <c r="I6" s="13">
        <f>C4-(0.01-(1-((C4/12*(1+C4/12)^360)/((1+C4/12)^360-1)*((1+C5/12)^360-1)/(C5/12*(1+C5/12)^360))))/4</f>
        <v>4.3567659697841668E-2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2.4670638791366661E-2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1.6250000000000001E-2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C6" sqref="C6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54</v>
      </c>
    </row>
    <row r="2" spans="2:9">
      <c r="B2" s="166" t="s">
        <v>3</v>
      </c>
      <c r="C2" s="166"/>
      <c r="D2" s="4"/>
      <c r="E2" s="166" t="s">
        <v>5</v>
      </c>
      <c r="F2" s="166"/>
      <c r="G2" s="2"/>
      <c r="H2" s="166" t="s">
        <v>12</v>
      </c>
      <c r="I2" s="166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6" t="s">
        <v>6</v>
      </c>
      <c r="F4" s="7">
        <f>((CIR/12*(1+CIR/12)^360)/((1+CIR/12)^360-1)*((1+CAPR/12)^360-1)/(CAPR/12*(1+CAPR/12)^360))*CP</f>
        <v>198854.07698955559</v>
      </c>
      <c r="G4" s="2"/>
      <c r="H4" s="8" t="s">
        <v>11</v>
      </c>
      <c r="I4" s="9">
        <f>CIR-(1%-F9)/4</f>
        <v>4.3642403763055511E-2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4.1730000000000003E-2</v>
      </c>
      <c r="D5" s="5"/>
      <c r="E5" s="10" t="s">
        <v>8</v>
      </c>
      <c r="F5" s="11">
        <f>1-F4/CP</f>
        <v>5.7296150522220257E-3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5.7296150522220257E-3</v>
      </c>
      <c r="G6" s="2"/>
      <c r="H6" s="2" t="s">
        <v>23</v>
      </c>
      <c r="I6" s="13">
        <f>CIR-(0.01-(1-((CIR/12*(1+CIR/12)^360)/((1+CIR/12)^360-1)*((1+CAPR/12)^360-1)/(CAPR/12*(1+CAPR/12)^360)) + C7/CP))/4</f>
        <v>4.3642403763055511E-2</v>
      </c>
    </row>
    <row r="7" spans="2:9">
      <c r="B7" s="91" t="s">
        <v>78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2768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1.384E-2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1.9569615052222024E-2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104" t="s">
        <v>20</v>
      </c>
      <c r="C1" s="105" t="s">
        <v>56</v>
      </c>
    </row>
    <row r="2" spans="2:9">
      <c r="B2" s="166" t="s">
        <v>3</v>
      </c>
      <c r="C2" s="166"/>
      <c r="D2" s="20"/>
      <c r="E2" s="166" t="s">
        <v>5</v>
      </c>
      <c r="F2" s="166"/>
      <c r="H2" s="166" t="s">
        <v>12</v>
      </c>
      <c r="I2" s="16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4.2500000000000003E-2</v>
      </c>
      <c r="D4" s="5"/>
      <c r="E4" s="5" t="s">
        <v>8</v>
      </c>
      <c r="F4" s="13">
        <f>1-((C4/12*(1+C4/12)^360)/((1+C4/12)^360-1)*((1+C5/12)^360-1)/(C5/12*(1+C5/12)^360))</f>
        <v>1.0701798936813001E-3</v>
      </c>
      <c r="H4" s="8" t="s">
        <v>11</v>
      </c>
      <c r="I4" s="9">
        <f>C4-(1%-F7)/4</f>
        <v>4.1456044973420328E-2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4.2590000000000003E-2</v>
      </c>
      <c r="D5" s="5"/>
      <c r="E5" s="6" t="s">
        <v>14</v>
      </c>
      <c r="F5" s="17">
        <f>F4</f>
        <v>1.0701798936813001E-3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4.7540000000000004E-3</v>
      </c>
      <c r="H6" s="2" t="s">
        <v>23</v>
      </c>
      <c r="I6" s="13">
        <f>C4-(0.01-(1-((C4/12*(1+C4/12)^360)/((1+C4/12)^360-1)*((1+C5/12)^360-1)/(C5/12*(1+C5/12)^360)) + C7/C6))/4</f>
        <v>4.1456044973420328E-2</v>
      </c>
    </row>
    <row r="7" spans="2:9">
      <c r="B7" s="91" t="s">
        <v>78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2377</v>
      </c>
      <c r="D7" s="12"/>
      <c r="E7" s="2" t="s">
        <v>10</v>
      </c>
      <c r="F7" s="16">
        <f>F5+F6</f>
        <v>5.8241798936813005E-3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57</v>
      </c>
    </row>
    <row r="2" spans="2:9">
      <c r="B2" s="166" t="s">
        <v>3</v>
      </c>
      <c r="C2" s="166"/>
      <c r="D2" s="20"/>
      <c r="E2" s="166" t="s">
        <v>5</v>
      </c>
      <c r="F2" s="166"/>
      <c r="H2" s="166" t="s">
        <v>12</v>
      </c>
      <c r="I2" s="16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7.1888598816838289E-4</v>
      </c>
      <c r="H4" s="8" t="s">
        <v>11</v>
      </c>
      <c r="I4" s="9">
        <f>C4-(1%-F7)/4</f>
        <v>3.9975388163708762E-2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4.1309999999999999E-2</v>
      </c>
      <c r="D5" s="5"/>
      <c r="E5" s="6" t="s">
        <v>14</v>
      </c>
      <c r="F5" s="17">
        <f>F4</f>
        <v>7.1888598816838289E-4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4.182666666666667E-3</v>
      </c>
      <c r="H6" s="2" t="s">
        <v>23</v>
      </c>
      <c r="I6" s="13">
        <f>C4-(0.01-(1-((C4/12*(1+C4/12)^360)/((1+C4/12)^360-1)*((1+C5/12)^360-1)/(C5/12*(1+C5/12)^360)) + C7/C6))/4</f>
        <v>3.9975388163708762E-2</v>
      </c>
    </row>
    <row r="7" spans="2:9">
      <c r="B7" s="91" t="s">
        <v>78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3137</v>
      </c>
      <c r="D7" s="12"/>
      <c r="E7" s="2" t="s">
        <v>10</v>
      </c>
      <c r="F7" s="16">
        <f>F5+F6</f>
        <v>4.9015526548350499E-3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C12" sqref="C12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20</v>
      </c>
      <c r="C1" s="105" t="s">
        <v>55</v>
      </c>
    </row>
    <row r="2" spans="2:9">
      <c r="B2" s="166" t="s">
        <v>3</v>
      </c>
      <c r="C2" s="166"/>
      <c r="D2" s="21"/>
      <c r="E2" s="166" t="s">
        <v>5</v>
      </c>
      <c r="F2" s="166"/>
      <c r="H2" s="166" t="s">
        <v>12</v>
      </c>
      <c r="I2" s="16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35</v>
      </c>
      <c r="F4" s="13">
        <f>C5/C6</f>
        <v>2.5045000000000002E-7</v>
      </c>
      <c r="H4" s="8" t="s">
        <v>11</v>
      </c>
      <c r="I4" s="9">
        <f>C4-(1%-F7)/4</f>
        <v>4.5051187387499997E-2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5.0090000000000003E-2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3.020474955E-2</v>
      </c>
      <c r="I6" s="13"/>
    </row>
    <row r="7" spans="2:9">
      <c r="B7" s="91" t="s">
        <v>78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6041</v>
      </c>
      <c r="D7" s="12"/>
      <c r="E7" s="2" t="s">
        <v>10</v>
      </c>
      <c r="F7" s="16">
        <f>F5+F6</f>
        <v>3.020474955E-2</v>
      </c>
    </row>
    <row r="8" spans="2:9">
      <c r="B8" s="2" t="s">
        <v>7</v>
      </c>
      <c r="C8" s="34">
        <v>0</v>
      </c>
      <c r="D8" s="15"/>
    </row>
    <row r="9" spans="2:9">
      <c r="E9" s="35" t="s">
        <v>43</v>
      </c>
      <c r="F9" s="13">
        <f>C7/C6</f>
        <v>3.0204999999999999E-2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OneDayBusDate</vt:lpstr>
      <vt:lpstr>OneWeekBusDate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2015-03-09T20:38:19Z</cp:lastPrinted>
  <dcterms:created xsi:type="dcterms:W3CDTF">2015-02-26T13:52:04Z</dcterms:created>
  <dcterms:modified xsi:type="dcterms:W3CDTF">2015-03-09T20:38:54Z</dcterms:modified>
</cp:coreProperties>
</file>