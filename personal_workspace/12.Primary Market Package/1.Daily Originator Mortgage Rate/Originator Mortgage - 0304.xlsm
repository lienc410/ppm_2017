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8365" windowHeight="17040"/>
  </bookViews>
  <sheets>
    <sheet name="Report" sheetId="6" r:id="rId1"/>
    <sheet name="Rates Summary" sheetId="19" r:id="rId2"/>
    <sheet name="Time Series Query" sheetId="18" r:id="rId3"/>
    <sheet name="Input Data" sheetId="14" r:id="rId4"/>
    <sheet name="Historic Result" sheetId="16" r:id="rId5"/>
    <sheet name="BoA - Conventional" sheetId="3" r:id="rId6"/>
    <sheet name="Chase - Conventional" sheetId="4" r:id="rId7"/>
    <sheet name="Quicken - Conventional" sheetId="5" r:id="rId8"/>
    <sheet name="Wells - Conventional" sheetId="2" r:id="rId9"/>
    <sheet name="Wells - Jumbo conformin" sheetId="13" r:id="rId10"/>
    <sheet name="Wells - Jumbo Non-conforming" sheetId="12" r:id="rId11"/>
    <sheet name="Wells - FHA" sheetId="15" r:id="rId12"/>
  </sheets>
  <functionGroups builtInGroupCount="17"/>
  <externalReferences>
    <externalReference r:id="rId13"/>
  </externalReferences>
  <definedNames>
    <definedName name="AIR" localSheetId="11">#REF!</definedName>
    <definedName name="AIR" localSheetId="9">'Wells - Jumbo conformin'!$AIR$4</definedName>
    <definedName name="AIR" localSheetId="10">'Wells - Jumbo Non-conforming'!$AIR$4</definedName>
    <definedName name="AIR">'BoA - Conventional'!$AIR$4</definedName>
    <definedName name="BOAIR" localSheetId="11">#REF!</definedName>
    <definedName name="BOAIR" localSheetId="9">'Wells - Jumbo conformin'!$AIR$4</definedName>
    <definedName name="BOAIR" localSheetId="10">'Wells - Jumbo Non-conforming'!$AIR$4</definedName>
    <definedName name="BOAIR">'BoA - Conventional'!$AIR$4</definedName>
    <definedName name="CAPR" localSheetId="11">#REF!</definedName>
    <definedName name="CAPR">'Wells - Conventional'!$C$5</definedName>
    <definedName name="CIR" localSheetId="11">#REF!</definedName>
    <definedName name="CIR">'Wells - Conventional'!$C$4</definedName>
    <definedName name="CP" localSheetId="11">#REF!</definedName>
    <definedName name="CP">'Wells - Conventional'!$C$6</definedName>
    <definedName name="CurrentCloseDate">Report!$V$2</definedName>
    <definedName name="DatabaseEnv">Report!$V$1</definedName>
    <definedName name="IR" localSheetId="11">#REF!</definedName>
    <definedName name="IR" localSheetId="9">#REF!</definedName>
    <definedName name="IR" localSheetId="10">#REF!</definedName>
    <definedName name="IR">#REF!</definedName>
    <definedName name="MmExcelLinker_D5EFE7B8_A5AE_4CC6_B628_05FDC84CBEA4">Early Market [1]Data!$C$44:$C$44</definedName>
    <definedName name="OneDayBusDate">TimeSeriesDataTable34[Column1]</definedName>
    <definedName name="OneWeekBusDate">TimeSeriesDataTable3[Column1]</definedName>
    <definedName name="PDFReportName">Report!$V$3</definedName>
    <definedName name="_xlnm.Print_Area" localSheetId="0">Report!$B$1:$S$36</definedName>
    <definedName name="Query_from_Agency" localSheetId="2" hidden="1">'Time Series Query'!$A$6:$F$39</definedName>
    <definedName name="Query_from_Agency_1" localSheetId="2" hidden="1">'Time Series Query'!$P$1:$P$2</definedName>
    <definedName name="Query_from_Agency_2" localSheetId="2" hidden="1">'Time Series Query'!$H$1:$H$2</definedName>
    <definedName name="Query_from_Agency_3" localSheetId="2" hidden="1">'Time Series Query'!$I$6:$N$33</definedName>
    <definedName name="Query_from_Agency_4" localSheetId="2" hidden="1">'Time Series Query'!$Q$6:$V$7</definedName>
    <definedName name="WIR" localSheetId="11">#REF!</definedName>
    <definedName name="WIR">'Wells - Conventional'!$C$4</definedName>
  </definedNames>
  <calcPr calcId="145621"/>
  <pivotCaches>
    <pivotCache cacheId="9" r:id="rId14"/>
    <pivotCache cacheId="10" r:id="rId15"/>
    <pivotCache cacheId="11" r:id="rId16"/>
  </pivotCaches>
</workbook>
</file>

<file path=xl/calcChain.xml><?xml version="1.0" encoding="utf-8"?>
<calcChain xmlns="http://schemas.openxmlformats.org/spreadsheetml/2006/main">
  <c r="L16" i="6" l="1"/>
  <c r="K16" i="6"/>
  <c r="J16" i="6"/>
  <c r="F5" i="14"/>
  <c r="F4" i="14"/>
  <c r="F3" i="14"/>
  <c r="F2" i="14"/>
  <c r="V3" i="6" l="1"/>
  <c r="Q22" i="6" l="1"/>
  <c r="D29" i="6"/>
  <c r="N22" i="6" s="1"/>
  <c r="R22" i="6" s="1"/>
  <c r="D28" i="6"/>
  <c r="P22" i="6" l="1"/>
  <c r="O22" i="6" l="1"/>
  <c r="C4" i="15"/>
  <c r="C7" i="15"/>
  <c r="C6" i="15"/>
  <c r="C5" i="15"/>
  <c r="C5" i="12"/>
  <c r="C4" i="12"/>
  <c r="C7" i="12"/>
  <c r="C6" i="12"/>
  <c r="C5" i="13"/>
  <c r="C4" i="13"/>
  <c r="C7" i="13"/>
  <c r="C6" i="13"/>
  <c r="C5" i="2"/>
  <c r="C4" i="2"/>
  <c r="C7" i="2"/>
  <c r="C6" i="2"/>
  <c r="C8" i="5" l="1"/>
  <c r="C5" i="5"/>
  <c r="C4" i="5"/>
  <c r="C5" i="4" l="1"/>
  <c r="C4" i="4"/>
  <c r="C8" i="4"/>
  <c r="F9" i="15"/>
  <c r="F5" i="15"/>
  <c r="F4" i="15"/>
  <c r="F6" i="15" s="1"/>
  <c r="C8" i="3"/>
  <c r="C5" i="3"/>
  <c r="C4" i="3"/>
  <c r="F7" i="15" l="1"/>
  <c r="I4" i="15" s="1"/>
  <c r="G20" i="6"/>
  <c r="D20" i="6"/>
  <c r="G18" i="6"/>
  <c r="D18" i="6"/>
  <c r="I6" i="12" l="1"/>
  <c r="I6" i="13"/>
  <c r="F6" i="13" l="1"/>
  <c r="K18" i="6" s="1"/>
  <c r="F4" i="13"/>
  <c r="F5" i="13" s="1"/>
  <c r="F6" i="12"/>
  <c r="K20" i="6" s="1"/>
  <c r="F4" i="12"/>
  <c r="F5" i="12" s="1"/>
  <c r="J20" i="6" s="1"/>
  <c r="F7" i="13" l="1"/>
  <c r="J18" i="6"/>
  <c r="F7" i="12"/>
  <c r="I4" i="12" l="1"/>
  <c r="M20" i="6" s="1"/>
  <c r="L20" i="6"/>
  <c r="I4" i="13"/>
  <c r="M18" i="6" s="1"/>
  <c r="L18" i="6"/>
  <c r="Q18" i="6" l="1"/>
  <c r="O18" i="6"/>
  <c r="O20" i="6"/>
  <c r="Q20" i="6"/>
  <c r="N18" i="6"/>
  <c r="N20" i="6"/>
  <c r="P20" i="6" l="1"/>
  <c r="R20" i="6"/>
  <c r="P18" i="6"/>
  <c r="R18" i="6"/>
  <c r="I6" i="5"/>
  <c r="I6" i="4"/>
  <c r="I6" i="3"/>
  <c r="I6" i="2"/>
  <c r="G15" i="6"/>
  <c r="G14" i="6"/>
  <c r="G13" i="6"/>
  <c r="G12" i="6"/>
  <c r="G16" i="6" l="1"/>
  <c r="D15" i="6"/>
  <c r="D14" i="6"/>
  <c r="D13" i="6"/>
  <c r="D12" i="6"/>
  <c r="F5" i="5"/>
  <c r="J14" i="6" s="1"/>
  <c r="F4" i="5"/>
  <c r="F6" i="5" s="1"/>
  <c r="K14" i="6" s="1"/>
  <c r="F5" i="4"/>
  <c r="F4" i="4"/>
  <c r="F6" i="4" s="1"/>
  <c r="F5" i="3"/>
  <c r="J12" i="6" s="1"/>
  <c r="F4" i="3"/>
  <c r="F6" i="3" s="1"/>
  <c r="K12" i="6" s="1"/>
  <c r="F8" i="2"/>
  <c r="K15" i="6" s="1"/>
  <c r="F6" i="2"/>
  <c r="F4" i="2"/>
  <c r="F5" i="2" s="1"/>
  <c r="F9" i="2" l="1"/>
  <c r="I4" i="2" s="1"/>
  <c r="M15" i="6" s="1"/>
  <c r="J15" i="6"/>
  <c r="D16" i="6"/>
  <c r="F7" i="3"/>
  <c r="L12" i="6" s="1"/>
  <c r="F7" i="5"/>
  <c r="I4" i="5" s="1"/>
  <c r="F7" i="4"/>
  <c r="O15" i="6" l="1"/>
  <c r="Q15" i="6"/>
  <c r="L15" i="6"/>
  <c r="N15" i="6"/>
  <c r="I4" i="4"/>
  <c r="M13" i="6" s="1"/>
  <c r="L13" i="6"/>
  <c r="I4" i="3"/>
  <c r="M12" i="6" s="1"/>
  <c r="M14" i="6"/>
  <c r="L14" i="6"/>
  <c r="O14" i="6" l="1"/>
  <c r="Q14" i="6"/>
  <c r="O12" i="6"/>
  <c r="Q12" i="6"/>
  <c r="Q13" i="6"/>
  <c r="O13" i="6"/>
  <c r="R15" i="6"/>
  <c r="P15" i="6"/>
  <c r="N13" i="6"/>
  <c r="N12" i="6"/>
  <c r="N14" i="6"/>
  <c r="M16" i="6"/>
  <c r="O16" i="6" l="1"/>
  <c r="Q16" i="6"/>
  <c r="P12" i="6"/>
  <c r="R12" i="6"/>
  <c r="P14" i="6"/>
  <c r="R14" i="6"/>
  <c r="R13" i="6"/>
  <c r="P13" i="6"/>
  <c r="N16" i="6"/>
  <c r="P16" i="6" l="1"/>
  <c r="R16" i="6"/>
</calcChain>
</file>

<file path=xl/connections.xml><?xml version="1.0" encoding="utf-8"?>
<connections xmlns="http://schemas.openxmlformats.org/spreadsheetml/2006/main">
  <connection id="1" name="1DayBusDateQuery" type="1" refreshedVersion="5" savePassword="1" saveData="1">
    <dbPr connection="DSN=Cello SQL Server;Description=Cello SQL Server;UID=report;PWD=gm4SJDw4;APP=Microsoft Office 2010;WSID=CELLO-PC4;DATABASE=Cello" command="select dbo.GetNthBusinessDate('2015-03-03',-1)"/>
  </connection>
  <connection id="2" name="1DayMtgRatesQuery" type="1" refreshedVersion="5" savePassword="1" saveData="1">
    <dbPr connection="DSN=Cello SQL Server;Descriptio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3-02' order by TickerName,Source,SeriesType,AsOfDate"/>
  </connection>
  <connection id="3" name="1WeekBusDateQuery" type="1" refreshedVersion="5" savePassword="1" saveData="1">
    <dbPr connection="DSN=Cello SQL Server;Description=Cello SQL Server;UID=report;PWD=gm4SJDw4;APP=Microsoft Office 2010;WSID=CELLO-PC4;DATABASE=Cello" command="select dbo.GetNthBusinessDate('2015-03-03',-5)"/>
  </connection>
  <connection id="4" name="1WeekMtgRatesQuery" type="1" refreshedVersion="5" savePassword="1" saveData="1">
    <dbPr connection="DSN=Cello SQL Server;Descriptio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2-24' order by TickerName,Source,SeriesType,AsOfDate"/>
  </connection>
  <connection id="5" name="CurrentMtgRatesQuery" type="1" refreshedVersion="5" savePassword="1" saveData="1">
    <dbPr connection="DSN=Cello SQL Server;Descriptio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3-03' order by TickerName,Source,SeriesType,AsOfDate"/>
  </connection>
</connections>
</file>

<file path=xl/sharedStrings.xml><?xml version="1.0" encoding="utf-8"?>
<sst xmlns="http://schemas.openxmlformats.org/spreadsheetml/2006/main" count="616" uniqueCount="86">
  <si>
    <t>Interest Rates</t>
  </si>
  <si>
    <t>APR</t>
  </si>
  <si>
    <t>Loan Amount</t>
  </si>
  <si>
    <t>n/a</t>
  </si>
  <si>
    <t>Input</t>
  </si>
  <si>
    <t>Closing costs</t>
  </si>
  <si>
    <t>Intermediate Calculation</t>
  </si>
  <si>
    <t>Loan Amount for APR</t>
  </si>
  <si>
    <t>Points</t>
  </si>
  <si>
    <t>Points for APR</t>
  </si>
  <si>
    <t>Origination Points</t>
  </si>
  <si>
    <t>Total Points</t>
  </si>
  <si>
    <t>1-point rate</t>
  </si>
  <si>
    <t>Result</t>
  </si>
  <si>
    <t>No need to calculate numbers in the gray area</t>
  </si>
  <si>
    <t>Discount Point</t>
  </si>
  <si>
    <t>Points for APR(as Discount Points)</t>
  </si>
  <si>
    <t>30-year Conforming Conventional</t>
  </si>
  <si>
    <t>Bank of America</t>
  </si>
  <si>
    <t>Chase</t>
  </si>
  <si>
    <t>Quicken</t>
  </si>
  <si>
    <t>Wells Fargo</t>
  </si>
  <si>
    <t>Interest Rate</t>
  </si>
  <si>
    <t>1-Point Rate</t>
  </si>
  <si>
    <t>Average</t>
  </si>
  <si>
    <t>One formula for AA Software</t>
  </si>
  <si>
    <t>Current Coupon</t>
  </si>
  <si>
    <t>Type</t>
  </si>
  <si>
    <t>Rate</t>
  </si>
  <si>
    <t>FNMA 30-Year</t>
  </si>
  <si>
    <t>GNMA 30-Year</t>
  </si>
  <si>
    <t>Servicing Spread</t>
  </si>
  <si>
    <t>Discount Points</t>
  </si>
  <si>
    <t>1D Chg (bps)</t>
  </si>
  <si>
    <t>Base Rate</t>
  </si>
  <si>
    <t>30-year Jumbo Conforming</t>
  </si>
  <si>
    <t>30-year Jumbo Non-Conforming</t>
  </si>
  <si>
    <t>30-year FHA</t>
  </si>
  <si>
    <t>UFMIP</t>
  </si>
  <si>
    <t>Ann. MIP</t>
  </si>
  <si>
    <t>Date</t>
  </si>
  <si>
    <t>OriginatorNAme</t>
  </si>
  <si>
    <t>RateType</t>
  </si>
  <si>
    <t xml:space="preserve">Points </t>
  </si>
  <si>
    <t>Closing Cost</t>
  </si>
  <si>
    <t>Upfront MIP</t>
  </si>
  <si>
    <t>Upfront Mortgage Insurance Premium</t>
  </si>
  <si>
    <t>Closing Costs</t>
  </si>
  <si>
    <t>1D</t>
  </si>
  <si>
    <t>1W</t>
  </si>
  <si>
    <t>1D Rate Chg (bps)</t>
  </si>
  <si>
    <t>Source</t>
  </si>
  <si>
    <t>TickerName</t>
  </si>
  <si>
    <t>SeriesType</t>
  </si>
  <si>
    <t>Category</t>
  </si>
  <si>
    <t>AsOfDate</t>
  </si>
  <si>
    <t>SeriesNumValue</t>
  </si>
  <si>
    <t>MTG</t>
  </si>
  <si>
    <t>2015-03-02</t>
  </si>
  <si>
    <t>30YrConformingConventional</t>
  </si>
  <si>
    <t>2015-03-03</t>
  </si>
  <si>
    <t>30YrConformingFHA</t>
  </si>
  <si>
    <t>30YrJumboConforming</t>
  </si>
  <si>
    <t>30YrJumboNonConforming</t>
  </si>
  <si>
    <t>Sum of SeriesNumValue</t>
  </si>
  <si>
    <t>Database Env</t>
  </si>
  <si>
    <t>PROD</t>
  </si>
  <si>
    <t>As of Date</t>
  </si>
  <si>
    <t>Originator Mortgage Rates</t>
  </si>
  <si>
    <t>Column1</t>
  </si>
  <si>
    <t>1 Day</t>
  </si>
  <si>
    <t>2015-02-24</t>
  </si>
  <si>
    <t>1 Week Date</t>
  </si>
  <si>
    <t>1 Day Date</t>
  </si>
  <si>
    <t>Current Date</t>
  </si>
  <si>
    <t>1 Week</t>
  </si>
  <si>
    <t>Current RATES Summary</t>
  </si>
  <si>
    <t>1 Day RATES Summary</t>
  </si>
  <si>
    <t>1 Week RATES Summary</t>
  </si>
  <si>
    <t>Report Name</t>
  </si>
  <si>
    <t>(blank)</t>
  </si>
  <si>
    <t>1wk Rate Chg</t>
  </si>
  <si>
    <t>1wk SS Chg</t>
  </si>
  <si>
    <t>1D SS Chg</t>
  </si>
  <si>
    <t xml:space="preserve"> 30YrJumboConforming</t>
  </si>
  <si>
    <t>2.25 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</si>
</sst>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0.000%"/>
    <numFmt numFmtId="166" formatCode="0.000"/>
    <numFmt numFmtId="167" formatCode="0.0"/>
    <numFmt numFmtId="168" formatCode="\£\ #,##0_);[Red]\(\£\ #,##0\)"/>
    <numFmt numFmtId="169" formatCode="\¥\ #,##0_);[Red]\(\¥\ #,##0\)"/>
    <numFmt numFmtId="170" formatCode="\•\ \ @"/>
    <numFmt numFmtId="171" formatCode="_(&quot;$&quot;* #,##0_);_(&quot;$&quot;* \(#,##0.0\);_(&quot;$&quot;* &quot;-&quot;??_);_(@_)"/>
    <numFmt numFmtId="172" formatCode="&quot;$&quot;#,##0.000"/>
    <numFmt numFmtId="173" formatCode="&quot;$&quot;#,##0.000000_);\(&quot;$&quot;#,##0.000000\)"/>
    <numFmt numFmtId="174" formatCode="#,##0.0_);[Red]\(&quot;$&quot;#,##0.0\)"/>
    <numFmt numFmtId="175" formatCode="0.000_)"/>
    <numFmt numFmtId="176" formatCode="\ \ _•\–\ \ \ \ @"/>
    <numFmt numFmtId="177" formatCode="0.00&quot;%&quot;"/>
    <numFmt numFmtId="178" formatCode="0&quot;%&quot;"/>
    <numFmt numFmtId="179" formatCode="mmmm\ d\,\ yyyy"/>
    <numFmt numFmtId="180" formatCode="0.0000000"/>
    <numFmt numFmtId="181" formatCode="_([$€-2]* #,##0.00_);_([$€-2]* \(#,##0.00\);_([$€-2]* &quot;-&quot;??_)"/>
    <numFmt numFmtId="182" formatCode="dd\-mmm\-yy\ hh:mm:ss"/>
    <numFmt numFmtId="183" formatCode="0.00_)"/>
    <numFmt numFmtId="184" formatCode="0.0#\%;\-0.0#\%"/>
    <numFmt numFmtId="185" formatCode="#,##0.0\ ;\(#,##0.0\)"/>
    <numFmt numFmtId="186" formatCode="#,##0\ \ \ ;\(#,##0\)\ \ "/>
    <numFmt numFmtId="187" formatCode="0.0000_)"/>
    <numFmt numFmtId="188" formatCode="0.000;\-0.000"/>
    <numFmt numFmtId="189" formatCode="0.00;\-0.00"/>
    <numFmt numFmtId="190" formatCode="#,##0.0_);\(#,##0.0\)"/>
    <numFmt numFmtId="191" formatCode="mm/dd/yy"/>
    <numFmt numFmtId="192" formatCode="#,###\ &quot;Months&quot;"/>
    <numFmt numFmtId="193" formatCode="##########.###"/>
    <numFmt numFmtId="194" formatCode="0.0#%"/>
    <numFmt numFmtId="195" formatCode="0.0;\-0.0"/>
    <numFmt numFmtId="196" formatCode="0.0%"/>
    <numFmt numFmtId="197" formatCode="_(* #,##0.000_);_(* \(#,##0.000\);_(* &quot;-&quot;??_);_(@_)"/>
  </numFmts>
  <fonts count="137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0"/>
      <color theme="6" tint="-0.24994659260841701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1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1"/>
      <color theme="5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  <font>
      <sz val="10"/>
      <color rgb="FF222222"/>
      <name val="Arial"/>
      <family val="2"/>
    </font>
    <font>
      <b/>
      <sz val="11"/>
      <color theme="5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0"/>
      <name val="Century Gothic"/>
      <family val="2"/>
    </font>
    <font>
      <b/>
      <sz val="11"/>
      <color rgb="FFAD275C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</fonts>
  <fills count="5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6F9FC"/>
        <bgColor indexed="64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2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EBE4"/>
        <bgColor rgb="FF000000"/>
      </patternFill>
    </fill>
    <fill>
      <patternFill patternType="solid">
        <fgColor rgb="FFEBF1DE"/>
        <bgColor rgb="FF000000"/>
      </patternFill>
    </fill>
    <fill>
      <patternFill patternType="solid">
        <fgColor theme="4" tint="-0.499984740745262"/>
        <bgColor indexed="64"/>
      </patternFill>
    </fill>
  </fills>
  <borders count="5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rgb="FF2E398A"/>
      </right>
      <top/>
      <bottom/>
      <diagonal/>
    </border>
    <border>
      <left/>
      <right/>
      <top style="thin">
        <color indexed="64"/>
      </top>
      <bottom style="thin">
        <color rgb="FF2E398A"/>
      </bottom>
      <diagonal/>
    </border>
    <border>
      <left/>
      <right/>
      <top/>
      <bottom style="thin">
        <color rgb="FF2E398A"/>
      </bottom>
      <diagonal/>
    </border>
    <border>
      <left/>
      <right style="thin">
        <color rgb="FF2E398A"/>
      </right>
      <top/>
      <bottom style="thin">
        <color rgb="FF2E398A"/>
      </bottom>
      <diagonal/>
    </border>
    <border>
      <left style="thin">
        <color rgb="FF2E398A"/>
      </left>
      <right/>
      <top/>
      <bottom/>
      <diagonal/>
    </border>
    <border>
      <left style="thin">
        <color rgb="FF2E398A"/>
      </left>
      <right/>
      <top/>
      <bottom style="thin">
        <color indexed="64"/>
      </bottom>
      <diagonal/>
    </border>
    <border>
      <left style="thin">
        <color rgb="FF2E398A"/>
      </left>
      <right/>
      <top/>
      <bottom style="thin">
        <color rgb="FF2E398A"/>
      </bottom>
      <diagonal/>
    </border>
    <border>
      <left/>
      <right style="thin">
        <color rgb="FF2E398A"/>
      </right>
      <top/>
      <bottom style="thin">
        <color indexed="64"/>
      </bottom>
      <diagonal/>
    </border>
    <border>
      <left style="thin">
        <color rgb="FF2E398A"/>
      </left>
      <right/>
      <top style="thin">
        <color indexed="64"/>
      </top>
      <bottom style="thin">
        <color rgb="FF2E398A"/>
      </bottom>
      <diagonal/>
    </border>
    <border>
      <left/>
      <right style="thin">
        <color rgb="FF2E398A"/>
      </right>
      <top style="thin">
        <color indexed="64"/>
      </top>
      <bottom style="thin">
        <color rgb="FF2E398A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</borders>
  <cellStyleXfs count="528">
    <xf numFmtId="0" fontId="0" fillId="0" borderId="0"/>
    <xf numFmtId="9" fontId="2" fillId="0" borderId="0" applyFont="0" applyFill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6" fillId="6" borderId="3" applyNumberFormat="0"/>
    <xf numFmtId="0" fontId="7" fillId="7" borderId="4" applyNumberFormat="0"/>
    <xf numFmtId="14" fontId="8" fillId="6" borderId="5" applyNumberFormat="0" applyAlignment="0"/>
    <xf numFmtId="0" fontId="2" fillId="0" borderId="0"/>
    <xf numFmtId="0" fontId="2" fillId="0" borderId="0"/>
    <xf numFmtId="0" fontId="6" fillId="6" borderId="0"/>
    <xf numFmtId="0" fontId="6" fillId="3" borderId="2" applyNumberFormat="0" applyFont="0" applyAlignment="0" applyProtection="0"/>
    <xf numFmtId="0" fontId="6" fillId="8" borderId="6" applyBorder="0">
      <alignment horizontal="center" wrapText="1"/>
    </xf>
    <xf numFmtId="0" fontId="6" fillId="9" borderId="7" applyBorder="0">
      <alignment horizontal="center" wrapText="1"/>
    </xf>
    <xf numFmtId="0" fontId="5" fillId="10" borderId="7" applyBorder="0">
      <alignment horizontal="center" wrapText="1"/>
    </xf>
    <xf numFmtId="1" fontId="9" fillId="6" borderId="5"/>
    <xf numFmtId="0" fontId="10" fillId="6" borderId="4" applyNumberFormat="0" applyAlignment="0"/>
    <xf numFmtId="0" fontId="11" fillId="11" borderId="4" applyNumberFormat="0" applyAlignment="0"/>
    <xf numFmtId="166" fontId="12" fillId="11" borderId="5" applyNumberFormat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15" fillId="13" borderId="7" applyBorder="0">
      <alignment horizontal="center" wrapText="1"/>
    </xf>
    <xf numFmtId="0" fontId="6" fillId="14" borderId="3" applyNumberFormat="0"/>
    <xf numFmtId="0" fontId="7" fillId="7" borderId="4" applyNumberFormat="0" applyBorder="0"/>
    <xf numFmtId="0" fontId="7" fillId="7" borderId="4" applyNumberFormat="0"/>
    <xf numFmtId="0" fontId="2" fillId="0" borderId="0"/>
    <xf numFmtId="0" fontId="2" fillId="0" borderId="0"/>
    <xf numFmtId="0" fontId="16" fillId="0" borderId="0"/>
    <xf numFmtId="0" fontId="15" fillId="15" borderId="7" applyBorder="0">
      <alignment horizontal="center" wrapText="1"/>
    </xf>
    <xf numFmtId="0" fontId="15" fillId="15" borderId="7" applyBorder="0">
      <alignment horizontal="center" wrapText="1"/>
    </xf>
    <xf numFmtId="0" fontId="5" fillId="10" borderId="7" applyBorder="0">
      <alignment horizontal="center" wrapText="1"/>
    </xf>
    <xf numFmtId="0" fontId="5" fillId="10" borderId="7" applyBorder="0">
      <alignment horizontal="center" wrapText="1"/>
    </xf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168" fontId="18" fillId="0" borderId="0" applyFont="0" applyFill="0" applyBorder="0" applyAlignment="0" applyProtection="0"/>
    <xf numFmtId="169" fontId="18" fillId="0" borderId="0" applyFont="0" applyFill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0" applyNumberFormat="0" applyBorder="0" applyAlignment="0" applyProtection="0"/>
    <xf numFmtId="0" fontId="19" fillId="18" borderId="0" applyNumberFormat="0" applyBorder="0" applyAlignment="0" applyProtection="0"/>
    <xf numFmtId="0" fontId="20" fillId="18" borderId="0" applyNumberFormat="0" applyBorder="0" applyAlignment="0" applyProtection="0"/>
    <xf numFmtId="0" fontId="21" fillId="19" borderId="0" applyNumberFormat="0" applyBorder="0" applyAlignment="0" applyProtection="0"/>
    <xf numFmtId="0" fontId="19" fillId="20" borderId="0" applyNumberFormat="0" applyBorder="0" applyAlignment="0" applyProtection="0"/>
    <xf numFmtId="0" fontId="20" fillId="19" borderId="0" applyNumberFormat="0" applyBorder="0" applyAlignment="0" applyProtection="0"/>
    <xf numFmtId="0" fontId="21" fillId="21" borderId="0" applyNumberFormat="0" applyBorder="0" applyAlignment="0" applyProtection="0"/>
    <xf numFmtId="0" fontId="19" fillId="22" borderId="0" applyNumberFormat="0" applyBorder="0" applyAlignment="0" applyProtection="0"/>
    <xf numFmtId="0" fontId="20" fillId="23" borderId="0" applyNumberFormat="0" applyBorder="0" applyAlignment="0" applyProtection="0"/>
    <xf numFmtId="0" fontId="21" fillId="22" borderId="0" applyNumberFormat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16" borderId="0" applyNumberFormat="0" applyBorder="0" applyAlignment="0" applyProtection="0"/>
    <xf numFmtId="0" fontId="19" fillId="24" borderId="0" applyNumberFormat="0" applyBorder="0" applyAlignment="0" applyProtection="0"/>
    <xf numFmtId="0" fontId="20" fillId="25" borderId="0" applyNumberFormat="0" applyBorder="0" applyAlignment="0" applyProtection="0"/>
    <xf numFmtId="0" fontId="21" fillId="26" borderId="0" applyNumberFormat="0" applyBorder="0" applyAlignment="0" applyProtection="0"/>
    <xf numFmtId="0" fontId="19" fillId="27" borderId="0" applyNumberFormat="0" applyBorder="0" applyAlignment="0" applyProtection="0"/>
    <xf numFmtId="0" fontId="20" fillId="27" borderId="0" applyNumberFormat="0" applyBorder="0" applyAlignment="0" applyProtection="0"/>
    <xf numFmtId="0" fontId="21" fillId="27" borderId="0" applyNumberFormat="0" applyBorder="0" applyAlignment="0" applyProtection="0"/>
    <xf numFmtId="0" fontId="19" fillId="18" borderId="0" applyNumberFormat="0" applyBorder="0" applyAlignment="0" applyProtection="0"/>
    <xf numFmtId="0" fontId="20" fillId="21" borderId="0" applyNumberFormat="0" applyBorder="0" applyAlignment="0" applyProtection="0"/>
    <xf numFmtId="0" fontId="21" fillId="28" borderId="0" applyNumberFormat="0" applyBorder="0" applyAlignment="0" applyProtection="0"/>
    <xf numFmtId="0" fontId="19" fillId="24" borderId="0" applyNumberFormat="0" applyBorder="0" applyAlignment="0" applyProtection="0"/>
    <xf numFmtId="0" fontId="20" fillId="29" borderId="0" applyNumberFormat="0" applyBorder="0" applyAlignment="0" applyProtection="0"/>
    <xf numFmtId="0" fontId="21" fillId="21" borderId="0" applyNumberFormat="0" applyBorder="0" applyAlignment="0" applyProtection="0"/>
    <xf numFmtId="0" fontId="19" fillId="26" borderId="0" applyNumberFormat="0" applyBorder="0" applyAlignment="0" applyProtection="0"/>
    <xf numFmtId="0" fontId="20" fillId="23" borderId="0" applyNumberFormat="0" applyBorder="0" applyAlignment="0" applyProtection="0"/>
    <xf numFmtId="0" fontId="21" fillId="26" borderId="0" applyNumberFormat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30" borderId="0" applyNumberFormat="0" applyBorder="0" applyAlignment="0" applyProtection="0"/>
    <xf numFmtId="0" fontId="22" fillId="31" borderId="0" applyNumberFormat="0" applyBorder="0" applyAlignment="0" applyProtection="0"/>
    <xf numFmtId="0" fontId="23" fillId="32" borderId="0" applyNumberFormat="0" applyBorder="0" applyAlignment="0" applyProtection="0"/>
    <xf numFmtId="0" fontId="24" fillId="33" borderId="0" applyNumberFormat="0" applyBorder="0" applyAlignment="0" applyProtection="0"/>
    <xf numFmtId="0" fontId="22" fillId="27" borderId="0" applyNumberFormat="0" applyBorder="0" applyAlignment="0" applyProtection="0"/>
    <xf numFmtId="0" fontId="23" fillId="27" borderId="0" applyNumberFormat="0" applyBorder="0" applyAlignment="0" applyProtection="0"/>
    <xf numFmtId="0" fontId="24" fillId="27" borderId="0" applyNumberFormat="0" applyBorder="0" applyAlignment="0" applyProtection="0"/>
    <xf numFmtId="0" fontId="22" fillId="18" borderId="0" applyNumberFormat="0" applyBorder="0" applyAlignment="0" applyProtection="0"/>
    <xf numFmtId="0" fontId="23" fillId="21" borderId="0" applyNumberFormat="0" applyBorder="0" applyAlignment="0" applyProtection="0"/>
    <xf numFmtId="0" fontId="24" fillId="28" borderId="0" applyNumberFormat="0" applyBorder="0" applyAlignment="0" applyProtection="0"/>
    <xf numFmtId="0" fontId="22" fillId="24" borderId="0" applyNumberFormat="0" applyBorder="0" applyAlignment="0" applyProtection="0"/>
    <xf numFmtId="0" fontId="23" fillId="34" borderId="0" applyNumberFormat="0" applyBorder="0" applyAlignment="0" applyProtection="0"/>
    <xf numFmtId="0" fontId="24" fillId="35" borderId="0" applyNumberFormat="0" applyBorder="0" applyAlignment="0" applyProtection="0"/>
    <xf numFmtId="0" fontId="22" fillId="31" borderId="0" applyNumberFormat="0" applyBorder="0" applyAlignment="0" applyProtection="0"/>
    <xf numFmtId="0" fontId="23" fillId="32" borderId="0" applyNumberFormat="0" applyBorder="0" applyAlignment="0" applyProtection="0"/>
    <xf numFmtId="0" fontId="24" fillId="31" borderId="0" applyNumberFormat="0" applyBorder="0" applyAlignment="0" applyProtection="0"/>
    <xf numFmtId="0" fontId="22" fillId="16" borderId="0" applyNumberFormat="0" applyBorder="0" applyAlignment="0" applyProtection="0"/>
    <xf numFmtId="0" fontId="23" fillId="16" borderId="0" applyNumberFormat="0" applyBorder="0" applyAlignment="0" applyProtection="0"/>
    <xf numFmtId="0" fontId="24" fillId="36" borderId="0" applyNumberFormat="0" applyBorder="0" applyAlignment="0" applyProtection="0"/>
    <xf numFmtId="0" fontId="22" fillId="31" borderId="0" applyNumberFormat="0" applyBorder="0" applyAlignment="0" applyProtection="0"/>
    <xf numFmtId="0" fontId="23" fillId="37" borderId="0" applyNumberFormat="0" applyBorder="0" applyAlignment="0" applyProtection="0"/>
    <xf numFmtId="0" fontId="24" fillId="38" borderId="0" applyNumberFormat="0" applyBorder="0" applyAlignment="0" applyProtection="0"/>
    <xf numFmtId="0" fontId="22" fillId="39" borderId="0" applyNumberFormat="0" applyBorder="0" applyAlignment="0" applyProtection="0"/>
    <xf numFmtId="0" fontId="23" fillId="40" borderId="0" applyNumberFormat="0" applyBorder="0" applyAlignment="0" applyProtection="0"/>
    <xf numFmtId="0" fontId="24" fillId="39" borderId="0" applyNumberFormat="0" applyBorder="0" applyAlignment="0" applyProtection="0"/>
    <xf numFmtId="0" fontId="22" fillId="41" borderId="0" applyNumberFormat="0" applyBorder="0" applyAlignment="0" applyProtection="0"/>
    <xf numFmtId="0" fontId="23" fillId="40" borderId="0" applyNumberFormat="0" applyBorder="0" applyAlignment="0" applyProtection="0"/>
    <xf numFmtId="0" fontId="24" fillId="41" borderId="0" applyNumberFormat="0" applyBorder="0" applyAlignment="0" applyProtection="0"/>
    <xf numFmtId="0" fontId="22" fillId="37" borderId="0" applyNumberFormat="0" applyBorder="0" applyAlignment="0" applyProtection="0"/>
    <xf numFmtId="0" fontId="23" fillId="37" borderId="0" applyNumberFormat="0" applyBorder="0" applyAlignment="0" applyProtection="0"/>
    <xf numFmtId="0" fontId="24" fillId="35" borderId="0" applyNumberFormat="0" applyBorder="0" applyAlignment="0" applyProtection="0"/>
    <xf numFmtId="0" fontId="22" fillId="31" borderId="0" applyNumberFormat="0" applyBorder="0" applyAlignment="0" applyProtection="0"/>
    <xf numFmtId="0" fontId="23" fillId="41" borderId="0" applyNumberFormat="0" applyBorder="0" applyAlignment="0" applyProtection="0"/>
    <xf numFmtId="0" fontId="24" fillId="31" borderId="0" applyNumberFormat="0" applyBorder="0" applyAlignment="0" applyProtection="0"/>
    <xf numFmtId="0" fontId="22" fillId="42" borderId="0" applyNumberFormat="0" applyBorder="0" applyAlignment="0" applyProtection="0"/>
    <xf numFmtId="0" fontId="23" fillId="42" borderId="0" applyNumberFormat="0" applyBorder="0" applyAlignment="0" applyProtection="0"/>
    <xf numFmtId="0" fontId="24" fillId="42" borderId="0" applyNumberFormat="0" applyBorder="0" applyAlignment="0" applyProtection="0"/>
    <xf numFmtId="0" fontId="17" fillId="0" borderId="0"/>
    <xf numFmtId="17" fontId="17" fillId="0" borderId="0" applyFont="0" applyFill="0" applyBorder="0" applyProtection="0">
      <alignment horizontal="left"/>
    </xf>
    <xf numFmtId="0" fontId="17" fillId="0" borderId="0" applyFont="0" applyFill="0" applyBorder="0" applyProtection="0">
      <alignment horizontal="left"/>
    </xf>
    <xf numFmtId="0" fontId="25" fillId="17" borderId="0" applyNumberFormat="0" applyBorder="0" applyAlignment="0" applyProtection="0"/>
    <xf numFmtId="0" fontId="26" fillId="17" borderId="0" applyNumberFormat="0" applyBorder="0" applyAlignment="0" applyProtection="0"/>
    <xf numFmtId="0" fontId="27" fillId="17" borderId="0" applyNumberFormat="0" applyBorder="0" applyAlignment="0" applyProtection="0"/>
    <xf numFmtId="38" fontId="28" fillId="20" borderId="0"/>
    <xf numFmtId="0" fontId="29" fillId="0" borderId="0" applyNumberFormat="0" applyFill="0" applyBorder="0" applyAlignment="0" applyProtection="0"/>
    <xf numFmtId="0" fontId="30" fillId="43" borderId="0">
      <alignment horizontal="left"/>
    </xf>
    <xf numFmtId="2" fontId="31" fillId="44" borderId="8" applyProtection="0">
      <alignment horizontal="left"/>
      <protection locked="0"/>
    </xf>
    <xf numFmtId="0" fontId="32" fillId="0" borderId="0" applyNumberFormat="0" applyFill="0" applyBorder="0" applyAlignment="0" applyProtection="0"/>
    <xf numFmtId="0" fontId="33" fillId="0" borderId="9" applyNumberFormat="0" applyFill="0" applyAlignment="0" applyProtection="0"/>
    <xf numFmtId="0" fontId="17" fillId="45" borderId="0"/>
    <xf numFmtId="170" fontId="18" fillId="0" borderId="0" applyFont="0" applyFill="0" applyBorder="0" applyAlignment="0" applyProtection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17" fillId="0" borderId="0" applyFill="0" applyBorder="0" applyAlignment="0"/>
    <xf numFmtId="173" fontId="17" fillId="0" borderId="0" applyFill="0" applyBorder="0" applyAlignment="0"/>
    <xf numFmtId="0" fontId="17" fillId="0" borderId="0" applyFill="0" applyBorder="0" applyAlignment="0"/>
    <xf numFmtId="171" fontId="35" fillId="0" borderId="0" applyFill="0" applyBorder="0" applyAlignment="0"/>
    <xf numFmtId="0" fontId="17" fillId="0" borderId="0" applyFill="0" applyBorder="0" applyAlignment="0"/>
    <xf numFmtId="174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6" fillId="20" borderId="10" applyNumberFormat="0" applyAlignment="0" applyProtection="0"/>
    <xf numFmtId="0" fontId="37" fillId="22" borderId="10" applyNumberFormat="0" applyAlignment="0" applyProtection="0"/>
    <xf numFmtId="0" fontId="38" fillId="24" borderId="10" applyNumberFormat="0" applyAlignment="0" applyProtection="0"/>
    <xf numFmtId="0" fontId="39" fillId="14" borderId="3" applyNumberFormat="0"/>
    <xf numFmtId="0" fontId="15" fillId="46" borderId="7" applyBorder="0">
      <alignment horizontal="center" wrapText="1"/>
    </xf>
    <xf numFmtId="0" fontId="13" fillId="11" borderId="3" applyNumberFormat="0"/>
    <xf numFmtId="0" fontId="4" fillId="11" borderId="3" applyNumberFormat="0"/>
    <xf numFmtId="0" fontId="6" fillId="6" borderId="3" applyNumberFormat="0"/>
    <xf numFmtId="0" fontId="13" fillId="6" borderId="3" applyNumberFormat="0"/>
    <xf numFmtId="0" fontId="39" fillId="14" borderId="3" applyNumberFormat="0"/>
    <xf numFmtId="0" fontId="7" fillId="7" borderId="4" applyNumberFormat="0" applyBorder="0"/>
    <xf numFmtId="0" fontId="7" fillId="7" borderId="4" applyNumberFormat="0" applyBorder="0"/>
    <xf numFmtId="14" fontId="8" fillId="11" borderId="5" applyNumberFormat="0" applyAlignment="0"/>
    <xf numFmtId="14" fontId="40" fillId="11" borderId="5" applyNumberFormat="0" applyAlignment="0"/>
    <xf numFmtId="0" fontId="41" fillId="47" borderId="11" applyNumberFormat="0" applyAlignment="0" applyProtection="0"/>
    <xf numFmtId="0" fontId="42" fillId="47" borderId="11" applyNumberFormat="0" applyAlignment="0" applyProtection="0"/>
    <xf numFmtId="0" fontId="43" fillId="47" borderId="11" applyNumberFormat="0" applyAlignment="0" applyProtection="0"/>
    <xf numFmtId="0" fontId="44" fillId="0" borderId="0" applyNumberFormat="0" applyFill="0" applyBorder="0" applyAlignment="0" applyProtection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0" fontId="34" fillId="0" borderId="0" applyFont="0" applyFill="0" applyBorder="0" applyAlignment="0" applyProtection="0"/>
    <xf numFmtId="171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3" fontId="17" fillId="0" borderId="0" applyFill="0" applyBorder="0" applyAlignment="0" applyProtection="0"/>
    <xf numFmtId="0" fontId="47" fillId="0" borderId="0"/>
    <xf numFmtId="0" fontId="48" fillId="0" borderId="0" applyNumberFormat="0" applyAlignment="0">
      <alignment horizontal="left"/>
    </xf>
    <xf numFmtId="0" fontId="49" fillId="0" borderId="0">
      <alignment horizontal="center"/>
    </xf>
    <xf numFmtId="0" fontId="47" fillId="0" borderId="0"/>
    <xf numFmtId="0" fontId="34" fillId="0" borderId="0" applyFont="0" applyFill="0" applyBorder="0" applyAlignment="0" applyProtection="0"/>
    <xf numFmtId="172" fontId="17" fillId="0" borderId="0" applyFont="0" applyFill="0" applyBorder="0" applyAlignment="0" applyProtection="0"/>
    <xf numFmtId="8" fontId="50" fillId="0" borderId="12">
      <protection locked="0"/>
    </xf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5" fontId="17" fillId="0" borderId="0" applyFill="0" applyBorder="0" applyAlignment="0" applyProtection="0"/>
    <xf numFmtId="176" fontId="18" fillId="0" borderId="0" applyFont="0" applyFill="0" applyBorder="0" applyAlignment="0" applyProtection="0"/>
    <xf numFmtId="10" fontId="17" fillId="0" borderId="0" applyFont="0" applyFill="0" applyBorder="0" applyProtection="0">
      <alignment horizontal="center"/>
    </xf>
    <xf numFmtId="177" fontId="17" fillId="0" borderId="0" applyFont="0" applyFill="0" applyBorder="0" applyProtection="0"/>
    <xf numFmtId="178" fontId="17" fillId="0" borderId="0" applyFont="0" applyFill="0" applyBorder="0" applyProtection="0"/>
    <xf numFmtId="15" fontId="51" fillId="0" borderId="0" applyFont="0" applyFill="0" applyBorder="0" applyAlignment="0" applyProtection="0"/>
    <xf numFmtId="0" fontId="47" fillId="0" borderId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5" fontId="20" fillId="20" borderId="0"/>
    <xf numFmtId="14" fontId="20" fillId="0" borderId="0" applyFill="0" applyBorder="0" applyAlignment="0"/>
    <xf numFmtId="0" fontId="49" fillId="44" borderId="0">
      <alignment horizontal="left"/>
    </xf>
    <xf numFmtId="179" fontId="17" fillId="0" borderId="0" applyFill="0" applyBorder="0" applyAlignment="0" applyProtection="0"/>
    <xf numFmtId="14" fontId="17" fillId="0" borderId="0"/>
    <xf numFmtId="0" fontId="52" fillId="27" borderId="0">
      <alignment horizontal="left"/>
    </xf>
    <xf numFmtId="0" fontId="53" fillId="0" borderId="0">
      <alignment horizontal="left"/>
    </xf>
    <xf numFmtId="38" fontId="54" fillId="0" borderId="13">
      <alignment vertical="center"/>
    </xf>
    <xf numFmtId="166" fontId="17" fillId="0" borderId="0">
      <alignment horizontal="right"/>
    </xf>
    <xf numFmtId="1" fontId="17" fillId="0" borderId="0">
      <alignment horizontal="right"/>
    </xf>
    <xf numFmtId="1" fontId="17" fillId="0" borderId="0">
      <alignment horizontal="right"/>
    </xf>
    <xf numFmtId="180" fontId="17" fillId="0" borderId="0">
      <alignment horizontal="right"/>
    </xf>
    <xf numFmtId="49" fontId="17" fillId="0" borderId="0">
      <alignment horizontal="left"/>
    </xf>
    <xf numFmtId="49" fontId="17" fillId="0" borderId="0">
      <alignment horizontal="left"/>
    </xf>
    <xf numFmtId="49" fontId="17" fillId="0" borderId="0">
      <alignment horizontal="right"/>
    </xf>
    <xf numFmtId="14" fontId="17" fillId="0" borderId="0">
      <alignment horizontal="left"/>
    </xf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55" fillId="0" borderId="0" applyNumberFormat="0" applyAlignment="0">
      <alignment horizontal="left"/>
    </xf>
    <xf numFmtId="9" fontId="56" fillId="0" borderId="14" applyNumberFormat="0" applyBorder="0" applyAlignment="0">
      <protection locked="0"/>
    </xf>
    <xf numFmtId="181" fontId="17" fillId="0" borderId="0" applyFon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2" fontId="17" fillId="0" borderId="0" applyFill="0" applyBorder="0" applyAlignment="0" applyProtection="0"/>
    <xf numFmtId="182" fontId="17" fillId="0" borderId="0" applyFont="0" applyFill="0" applyBorder="0" applyAlignment="0" applyProtection="0"/>
    <xf numFmtId="0" fontId="20" fillId="20" borderId="0"/>
    <xf numFmtId="0" fontId="60" fillId="19" borderId="0" applyNumberFormat="0" applyBorder="0" applyAlignment="0" applyProtection="0"/>
    <xf numFmtId="0" fontId="61" fillId="23" borderId="0" applyNumberFormat="0" applyBorder="0" applyAlignment="0" applyProtection="0"/>
    <xf numFmtId="0" fontId="62" fillId="19" borderId="0" applyNumberFormat="0" applyBorder="0" applyAlignment="0" applyProtection="0"/>
    <xf numFmtId="2" fontId="63" fillId="44" borderId="8" applyProtection="0">
      <alignment horizontal="left"/>
      <protection locked="0"/>
    </xf>
    <xf numFmtId="38" fontId="44" fillId="48" borderId="0" applyNumberFormat="0" applyBorder="0" applyAlignment="0" applyProtection="0"/>
    <xf numFmtId="0" fontId="64" fillId="0" borderId="15" applyNumberFormat="0" applyAlignment="0" applyProtection="0">
      <alignment horizontal="left" vertical="center"/>
    </xf>
    <xf numFmtId="0" fontId="64" fillId="0" borderId="16">
      <alignment horizontal="left" vertical="center"/>
    </xf>
    <xf numFmtId="0" fontId="65" fillId="24" borderId="14">
      <alignment horizontal="centerContinuous"/>
    </xf>
    <xf numFmtId="0" fontId="66" fillId="0" borderId="17" applyNumberFormat="0" applyFill="0" applyAlignment="0" applyProtection="0"/>
    <xf numFmtId="0" fontId="67" fillId="0" borderId="18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0" applyNumberFormat="0" applyFill="0" applyAlignment="0" applyProtection="0"/>
    <xf numFmtId="0" fontId="72" fillId="0" borderId="21" applyNumberFormat="0" applyFill="0" applyAlignment="0" applyProtection="0"/>
    <xf numFmtId="0" fontId="52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73" fillId="0" borderId="20" applyNumberFormat="0" applyFill="0" applyAlignment="0" applyProtection="0"/>
    <xf numFmtId="0" fontId="74" fillId="0" borderId="22" applyNumberFormat="0" applyFill="0" applyAlignment="0" applyProtection="0"/>
    <xf numFmtId="0" fontId="75" fillId="0" borderId="23" applyNumberFormat="0" applyFill="0" applyAlignment="0" applyProtection="0"/>
    <xf numFmtId="0" fontId="76" fillId="0" borderId="24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77" fillId="20" borderId="0"/>
    <xf numFmtId="0" fontId="69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78" fillId="0" borderId="0" applyNumberFormat="0" applyFill="0" applyBorder="0" applyAlignment="0" applyProtection="0">
      <alignment vertical="top"/>
      <protection locked="0"/>
    </xf>
    <xf numFmtId="10" fontId="44" fillId="49" borderId="14" applyNumberFormat="0" applyBorder="0" applyAlignment="0" applyProtection="0"/>
    <xf numFmtId="2" fontId="79" fillId="0" borderId="25" applyNumberFormat="0" applyFill="0" applyBorder="0" applyAlignment="0">
      <alignment horizontal="center"/>
      <protection locked="0"/>
    </xf>
    <xf numFmtId="2" fontId="79" fillId="0" borderId="25" applyNumberFormat="0" applyFill="0" applyBorder="0" applyAlignment="0">
      <alignment horizontal="center"/>
      <protection locked="0"/>
    </xf>
    <xf numFmtId="0" fontId="3" fillId="2" borderId="1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37" fontId="81" fillId="0" borderId="0" applyNumberFormat="0" applyAlignment="0">
      <protection locked="0"/>
    </xf>
    <xf numFmtId="0" fontId="82" fillId="0" borderId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83" fillId="0" borderId="26" applyNumberFormat="0" applyFill="0" applyAlignment="0" applyProtection="0"/>
    <xf numFmtId="0" fontId="84" fillId="0" borderId="26" applyNumberFormat="0" applyFill="0" applyAlignment="0" applyProtection="0"/>
    <xf numFmtId="0" fontId="85" fillId="0" borderId="26" applyNumberFormat="0" applyFill="0" applyAlignment="0" applyProtection="0"/>
    <xf numFmtId="0" fontId="17" fillId="48" borderId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38" fontId="20" fillId="20" borderId="0"/>
    <xf numFmtId="0" fontId="86" fillId="16" borderId="0" applyNumberFormat="0" applyBorder="0" applyAlignment="0" applyProtection="0"/>
    <xf numFmtId="0" fontId="87" fillId="21" borderId="0" applyNumberFormat="0" applyBorder="0" applyAlignment="0" applyProtection="0"/>
    <xf numFmtId="0" fontId="88" fillId="45" borderId="0" applyNumberFormat="0" applyBorder="0" applyAlignment="0" applyProtection="0"/>
    <xf numFmtId="37" fontId="89" fillId="0" borderId="0"/>
    <xf numFmtId="0" fontId="52" fillId="20" borderId="0" applyNumberFormat="0" applyFont="0" applyFill="0" applyBorder="0" applyAlignment="0"/>
    <xf numFmtId="10" fontId="20" fillId="20" borderId="0"/>
    <xf numFmtId="183" fontId="90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8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" fillId="6" borderId="0"/>
    <xf numFmtId="0" fontId="17" fillId="0" borderId="0"/>
    <xf numFmtId="0" fontId="17" fillId="0" borderId="0"/>
    <xf numFmtId="0" fontId="17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11" borderId="0"/>
    <xf numFmtId="0" fontId="17" fillId="11" borderId="0"/>
    <xf numFmtId="0" fontId="17" fillId="0" borderId="0"/>
    <xf numFmtId="0" fontId="17" fillId="0" borderId="0"/>
    <xf numFmtId="0" fontId="6" fillId="6" borderId="0"/>
    <xf numFmtId="0" fontId="6" fillId="6" borderId="0"/>
    <xf numFmtId="0" fontId="6" fillId="6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7" fillId="0" borderId="0"/>
    <xf numFmtId="0" fontId="17" fillId="0" borderId="0"/>
    <xf numFmtId="0" fontId="6" fillId="6" borderId="0"/>
    <xf numFmtId="0" fontId="2" fillId="0" borderId="0"/>
    <xf numFmtId="0" fontId="2" fillId="0" borderId="0"/>
    <xf numFmtId="0" fontId="17" fillId="0" borderId="0">
      <alignment vertical="top"/>
    </xf>
    <xf numFmtId="0" fontId="17" fillId="0" borderId="0">
      <alignment vertical="top"/>
    </xf>
    <xf numFmtId="0" fontId="2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0" fillId="18" borderId="27" applyNumberFormat="0" applyFont="0" applyAlignment="0" applyProtection="0"/>
    <xf numFmtId="0" fontId="91" fillId="18" borderId="27" applyNumberFormat="0" applyFont="0" applyAlignment="0" applyProtection="0"/>
    <xf numFmtId="0" fontId="6" fillId="3" borderId="2" applyNumberFormat="0" applyFont="0" applyAlignment="0" applyProtection="0"/>
    <xf numFmtId="0" fontId="92" fillId="0" borderId="0"/>
    <xf numFmtId="0" fontId="21" fillId="18" borderId="27" applyNumberFormat="0" applyFont="0" applyAlignment="0" applyProtection="0"/>
    <xf numFmtId="0" fontId="6" fillId="3" borderId="2" applyNumberFormat="0" applyFont="0" applyAlignment="0" applyProtection="0"/>
    <xf numFmtId="0" fontId="6" fillId="3" borderId="2" applyNumberFormat="0" applyFont="0" applyAlignment="0" applyProtection="0"/>
    <xf numFmtId="0" fontId="2" fillId="3" borderId="2" applyNumberFormat="0" applyFont="0" applyAlignment="0" applyProtection="0"/>
    <xf numFmtId="0" fontId="2" fillId="3" borderId="2" applyNumberFormat="0" applyFont="0" applyAlignment="0" applyProtection="0"/>
    <xf numFmtId="0" fontId="2" fillId="3" borderId="2" applyNumberFormat="0" applyFont="0" applyAlignment="0" applyProtection="0"/>
    <xf numFmtId="184" fontId="34" fillId="0" borderId="0">
      <alignment horizontal="center"/>
    </xf>
    <xf numFmtId="37" fontId="17" fillId="0" borderId="0"/>
    <xf numFmtId="185" fontId="44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186" fontId="93" fillId="0" borderId="0" applyNumberFormat="0" applyFill="0" applyBorder="0" applyAlignment="0" applyProtection="0"/>
    <xf numFmtId="167" fontId="34" fillId="0" borderId="0">
      <alignment horizontal="center"/>
    </xf>
    <xf numFmtId="0" fontId="6" fillId="12" borderId="0" applyNumberFormat="0" applyFont="0" applyBorder="0" applyAlignment="0" applyProtection="0"/>
    <xf numFmtId="0" fontId="93" fillId="0" borderId="28"/>
    <xf numFmtId="2" fontId="94" fillId="44" borderId="8">
      <alignment horizontal="left"/>
    </xf>
    <xf numFmtId="0" fontId="95" fillId="20" borderId="29" applyNumberFormat="0" applyAlignment="0" applyProtection="0"/>
    <xf numFmtId="0" fontId="96" fillId="22" borderId="29" applyNumberFormat="0" applyAlignment="0" applyProtection="0"/>
    <xf numFmtId="0" fontId="97" fillId="24" borderId="29" applyNumberFormat="0" applyAlignment="0" applyProtection="0"/>
    <xf numFmtId="40" fontId="20" fillId="44" borderId="0">
      <alignment horizontal="right"/>
    </xf>
    <xf numFmtId="0" fontId="98" fillId="49" borderId="0">
      <alignment horizontal="center"/>
    </xf>
    <xf numFmtId="0" fontId="42" fillId="50" borderId="8"/>
    <xf numFmtId="0" fontId="99" fillId="0" borderId="0" applyBorder="0">
      <alignment horizontal="centerContinuous"/>
    </xf>
    <xf numFmtId="0" fontId="100" fillId="0" borderId="0" applyBorder="0">
      <alignment horizontal="centerContinuous"/>
    </xf>
    <xf numFmtId="0" fontId="64" fillId="0" borderId="0"/>
    <xf numFmtId="0" fontId="17" fillId="0" borderId="0" applyFont="0" applyFill="0" applyBorder="0" applyAlignment="0" applyProtection="0"/>
    <xf numFmtId="174" fontId="17" fillId="0" borderId="0" applyFont="0" applyFill="0" applyBorder="0" applyAlignment="0" applyProtection="0"/>
    <xf numFmtId="0" fontId="101" fillId="0" borderId="0" applyFont="0" applyFill="0" applyBorder="0" applyAlignment="0" applyProtection="0"/>
    <xf numFmtId="187" fontId="35" fillId="0" borderId="0" applyFont="0" applyFill="0" applyBorder="0" applyAlignment="0" applyProtection="0"/>
    <xf numFmtId="10" fontId="17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93" fillId="0" borderId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188" fontId="34" fillId="0" borderId="0">
      <alignment horizontal="center"/>
    </xf>
    <xf numFmtId="189" fontId="34" fillId="0" borderId="14">
      <alignment horizontal="center"/>
    </xf>
    <xf numFmtId="0" fontId="102" fillId="0" borderId="30" applyAlignment="0">
      <alignment horizontal="center"/>
    </xf>
    <xf numFmtId="0" fontId="103" fillId="48" borderId="0"/>
    <xf numFmtId="0" fontId="54" fillId="0" borderId="0" applyNumberFormat="0" applyFont="0" applyFill="0" applyBorder="0" applyAlignment="0" applyProtection="0">
      <alignment horizontal="left"/>
    </xf>
    <xf numFmtId="0" fontId="104" fillId="0" borderId="31">
      <alignment horizontal="center"/>
    </xf>
    <xf numFmtId="0" fontId="51" fillId="0" borderId="0">
      <alignment vertical="top"/>
    </xf>
    <xf numFmtId="190" fontId="51" fillId="0" borderId="0">
      <alignment vertical="top"/>
    </xf>
    <xf numFmtId="0" fontId="102" fillId="0" borderId="0">
      <alignment horizontal="left"/>
    </xf>
    <xf numFmtId="0" fontId="102" fillId="0" borderId="0">
      <alignment horizontal="right"/>
    </xf>
    <xf numFmtId="0" fontId="20" fillId="0" borderId="8" applyNumberFormat="0" applyBorder="0" applyAlignment="0"/>
    <xf numFmtId="191" fontId="105" fillId="0" borderId="0" applyNumberFormat="0" applyFill="0" applyBorder="0" applyAlignment="0" applyProtection="0">
      <alignment horizontal="left"/>
    </xf>
    <xf numFmtId="0" fontId="52" fillId="41" borderId="0">
      <alignment horizontal="left"/>
    </xf>
    <xf numFmtId="0" fontId="106" fillId="0" borderId="32"/>
    <xf numFmtId="189" fontId="31" fillId="18" borderId="0">
      <alignment horizontal="center"/>
    </xf>
    <xf numFmtId="189" fontId="107" fillId="18" borderId="0">
      <alignment horizontal="center"/>
    </xf>
    <xf numFmtId="189" fontId="31" fillId="19" borderId="0">
      <alignment horizontal="center"/>
    </xf>
    <xf numFmtId="0" fontId="31" fillId="18" borderId="0">
      <alignment horizontal="left"/>
    </xf>
    <xf numFmtId="0" fontId="108" fillId="0" borderId="0" applyFont="0" applyFill="0" applyBorder="0" applyAlignment="0" applyProtection="0"/>
    <xf numFmtId="192" fontId="35" fillId="0" borderId="0" applyFont="0" applyFill="0" applyBorder="0" applyAlignment="0" applyProtection="0"/>
    <xf numFmtId="193" fontId="17" fillId="0" borderId="0"/>
    <xf numFmtId="0" fontId="17" fillId="0" borderId="0"/>
    <xf numFmtId="0" fontId="17" fillId="0" borderId="0">
      <alignment horizontal="left" wrapText="1"/>
    </xf>
    <xf numFmtId="0" fontId="31" fillId="18" borderId="0">
      <alignment horizontal="center"/>
    </xf>
    <xf numFmtId="0" fontId="102" fillId="0" borderId="0"/>
    <xf numFmtId="0" fontId="109" fillId="0" borderId="0"/>
    <xf numFmtId="40" fontId="110" fillId="0" borderId="0" applyBorder="0">
      <alignment horizontal="right"/>
    </xf>
    <xf numFmtId="0" fontId="17" fillId="44" borderId="27"/>
    <xf numFmtId="0" fontId="34" fillId="0" borderId="0">
      <alignment horizontal="center"/>
    </xf>
    <xf numFmtId="15" fontId="34" fillId="0" borderId="0">
      <alignment horizontal="center"/>
    </xf>
    <xf numFmtId="0" fontId="111" fillId="0" borderId="0">
      <alignment horizontal="center"/>
    </xf>
    <xf numFmtId="3" fontId="34" fillId="0" borderId="0">
      <alignment horizontal="center"/>
    </xf>
    <xf numFmtId="194" fontId="34" fillId="0" borderId="0">
      <alignment horizontal="center"/>
    </xf>
    <xf numFmtId="189" fontId="34" fillId="0" borderId="0">
      <alignment horizontal="center"/>
    </xf>
    <xf numFmtId="0" fontId="112" fillId="51" borderId="0"/>
    <xf numFmtId="195" fontId="34" fillId="0" borderId="0">
      <alignment horizontal="center"/>
    </xf>
    <xf numFmtId="195" fontId="34" fillId="0" borderId="33">
      <alignment horizontal="center"/>
    </xf>
    <xf numFmtId="0" fontId="34" fillId="0" borderId="0">
      <alignment horizontal="left"/>
    </xf>
    <xf numFmtId="0" fontId="113" fillId="0" borderId="0">
      <alignment horizontal="center"/>
    </xf>
    <xf numFmtId="0" fontId="114" fillId="0" borderId="0" applyNumberFormat="0" applyFill="0" applyBorder="0"/>
    <xf numFmtId="0" fontId="20" fillId="20" borderId="0"/>
    <xf numFmtId="49" fontId="20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17" fillId="0" borderId="0" applyFill="0" applyBorder="0" applyAlignment="0"/>
    <xf numFmtId="174" fontId="17" fillId="0" borderId="0" applyFill="0" applyBorder="0" applyAlignment="0"/>
    <xf numFmtId="49" fontId="17" fillId="0" borderId="0"/>
    <xf numFmtId="0" fontId="115" fillId="0" borderId="0">
      <alignment horizontal="right"/>
    </xf>
    <xf numFmtId="0" fontId="116" fillId="0" borderId="0">
      <alignment horizontal="right"/>
      <protection locked="0"/>
    </xf>
    <xf numFmtId="0" fontId="117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28" fillId="20" borderId="0"/>
    <xf numFmtId="0" fontId="15" fillId="13" borderId="7" applyBorder="0">
      <alignment horizontal="center" wrapText="1"/>
    </xf>
    <xf numFmtId="0" fontId="15" fillId="46" borderId="7" applyBorder="0">
      <alignment horizontal="center" wrapText="1"/>
    </xf>
    <xf numFmtId="0" fontId="5" fillId="10" borderId="7" applyBorder="0">
      <alignment horizontal="center" wrapText="1"/>
    </xf>
    <xf numFmtId="0" fontId="5" fillId="10" borderId="7" applyBorder="0">
      <alignment horizontal="center" wrapText="1"/>
    </xf>
    <xf numFmtId="0" fontId="102" fillId="0" borderId="0" applyNumberFormat="0" applyFill="0" applyBorder="0" applyAlignment="0" applyProtection="0"/>
    <xf numFmtId="0" fontId="120" fillId="0" borderId="34" applyNumberFormat="0" applyFill="0" applyAlignment="0" applyProtection="0"/>
    <xf numFmtId="0" fontId="28" fillId="0" borderId="35" applyNumberFormat="0" applyFill="0" applyAlignment="0" applyProtection="0"/>
    <xf numFmtId="0" fontId="17" fillId="0" borderId="36" applyNumberFormat="0" applyFill="0" applyAlignment="0" applyProtection="0"/>
    <xf numFmtId="0" fontId="121" fillId="0" borderId="37" applyNumberFormat="0" applyFill="0" applyAlignment="0" applyProtection="0"/>
    <xf numFmtId="0" fontId="122" fillId="20" borderId="0"/>
    <xf numFmtId="0" fontId="123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125" fillId="0" borderId="0" applyNumberFormat="0" applyFill="0" applyBorder="0" applyAlignment="0" applyProtection="0"/>
    <xf numFmtId="1" fontId="9" fillId="11" borderId="5"/>
    <xf numFmtId="2" fontId="126" fillId="11" borderId="5"/>
    <xf numFmtId="1" fontId="127" fillId="11" borderId="5" applyNumberFormat="0"/>
    <xf numFmtId="0" fontId="17" fillId="0" borderId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58">
    <xf numFmtId="0" fontId="0" fillId="0" borderId="0" xfId="0"/>
    <xf numFmtId="0" fontId="0" fillId="0" borderId="0" xfId="0"/>
    <xf numFmtId="0" fontId="14" fillId="0" borderId="14" xfId="0" applyFont="1" applyFill="1" applyBorder="1" applyAlignment="1">
      <alignment horizontal="right" indent="1"/>
    </xf>
    <xf numFmtId="0" fontId="14" fillId="13" borderId="14" xfId="0" applyFont="1" applyFill="1" applyBorder="1" applyAlignment="1">
      <alignment horizontal="left"/>
    </xf>
    <xf numFmtId="0" fontId="5" fillId="0" borderId="41" xfId="0" applyFont="1" applyBorder="1" applyAlignment="1">
      <alignment horizontal="right" indent="1"/>
    </xf>
    <xf numFmtId="0" fontId="5" fillId="0" borderId="40" xfId="0" applyFont="1" applyBorder="1" applyAlignment="1">
      <alignment horizontal="right" indent="1"/>
    </xf>
    <xf numFmtId="0" fontId="5" fillId="0" borderId="0" xfId="0" applyFont="1"/>
    <xf numFmtId="0" fontId="128" fillId="0" borderId="0" xfId="0" applyFont="1" applyFill="1" applyBorder="1"/>
    <xf numFmtId="0" fontId="14" fillId="0" borderId="0" xfId="0" applyFont="1" applyAlignment="1">
      <alignment horizontal="center"/>
    </xf>
    <xf numFmtId="10" fontId="5" fillId="0" borderId="0" xfId="1" applyNumberFormat="1" applyFont="1"/>
    <xf numFmtId="0" fontId="5" fillId="5" borderId="0" xfId="0" applyFont="1" applyFill="1"/>
    <xf numFmtId="164" fontId="5" fillId="5" borderId="0" xfId="0" applyNumberFormat="1" applyFont="1" applyFill="1"/>
    <xf numFmtId="0" fontId="14" fillId="0" borderId="0" xfId="0" applyFont="1"/>
    <xf numFmtId="165" fontId="14" fillId="0" borderId="0" xfId="0" applyNumberFormat="1" applyFont="1"/>
    <xf numFmtId="10" fontId="5" fillId="5" borderId="0" xfId="1" applyNumberFormat="1" applyFont="1" applyFill="1"/>
    <xf numFmtId="165" fontId="5" fillId="5" borderId="0" xfId="1" applyNumberFormat="1" applyFont="1" applyFill="1"/>
    <xf numFmtId="164" fontId="5" fillId="0" borderId="0" xfId="0" applyNumberFormat="1" applyFont="1"/>
    <xf numFmtId="165" fontId="5" fillId="0" borderId="0" xfId="1" applyNumberFormat="1" applyFont="1"/>
    <xf numFmtId="0" fontId="5" fillId="5" borderId="0" xfId="0" applyFont="1" applyFill="1" applyAlignment="1">
      <alignment horizontal="right"/>
    </xf>
    <xf numFmtId="0" fontId="5" fillId="0" borderId="0" xfId="0" applyFont="1" applyAlignment="1">
      <alignment horizontal="right"/>
    </xf>
    <xf numFmtId="165" fontId="5" fillId="0" borderId="0" xfId="0" applyNumberFormat="1" applyFont="1"/>
    <xf numFmtId="165" fontId="5" fillId="5" borderId="0" xfId="0" applyNumberFormat="1" applyFont="1" applyFill="1"/>
    <xf numFmtId="164" fontId="5" fillId="5" borderId="0" xfId="0" applyNumberFormat="1" applyFont="1" applyFill="1" applyAlignment="1">
      <alignment horizontal="right"/>
    </xf>
    <xf numFmtId="165" fontId="0" fillId="0" borderId="0" xfId="0" applyNumberFormat="1"/>
    <xf numFmtId="165" fontId="129" fillId="0" borderId="38" xfId="0" applyNumberFormat="1" applyFont="1" applyFill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44" fontId="0" fillId="0" borderId="0" xfId="526" applyFont="1" applyAlignment="1">
      <alignment horizontal="left" indent="1"/>
    </xf>
    <xf numFmtId="165" fontId="0" fillId="0" borderId="0" xfId="1" applyNumberFormat="1" applyFont="1"/>
    <xf numFmtId="165" fontId="0" fillId="0" borderId="0" xfId="1" applyNumberFormat="1" applyFont="1" applyAlignment="1">
      <alignment horizontal="right"/>
    </xf>
    <xf numFmtId="196" fontId="0" fillId="0" borderId="0" xfId="1" applyNumberFormat="1" applyFont="1" applyAlignment="1">
      <alignment horizontal="right"/>
    </xf>
    <xf numFmtId="44" fontId="0" fillId="0" borderId="0" xfId="526" applyFont="1"/>
    <xf numFmtId="164" fontId="5" fillId="0" borderId="0" xfId="0" applyNumberFormat="1" applyFont="1" applyFill="1"/>
    <xf numFmtId="164" fontId="5" fillId="0" borderId="0" xfId="0" applyNumberFormat="1" applyFont="1" applyFill="1" applyAlignment="1">
      <alignment horizontal="right"/>
    </xf>
    <xf numFmtId="0" fontId="129" fillId="53" borderId="14" xfId="0" applyFont="1" applyFill="1" applyBorder="1" applyAlignment="1">
      <alignment horizontal="left"/>
    </xf>
    <xf numFmtId="0" fontId="129" fillId="53" borderId="38" xfId="0" applyFont="1" applyFill="1" applyBorder="1" applyAlignment="1">
      <alignment horizontal="center"/>
    </xf>
    <xf numFmtId="0" fontId="128" fillId="0" borderId="41" xfId="0" applyFont="1" applyFill="1" applyBorder="1" applyAlignment="1">
      <alignment horizontal="right" indent="1"/>
    </xf>
    <xf numFmtId="165" fontId="129" fillId="0" borderId="9" xfId="1" applyNumberFormat="1" applyFont="1" applyFill="1" applyBorder="1" applyAlignment="1">
      <alignment horizontal="center"/>
    </xf>
    <xf numFmtId="165" fontId="128" fillId="0" borderId="0" xfId="1" applyNumberFormat="1" applyFont="1" applyFill="1" applyBorder="1" applyAlignment="1">
      <alignment horizontal="center"/>
    </xf>
    <xf numFmtId="0" fontId="129" fillId="53" borderId="16" xfId="0" applyFont="1" applyFill="1" applyBorder="1" applyAlignment="1">
      <alignment horizontal="center"/>
    </xf>
    <xf numFmtId="165" fontId="128" fillId="0" borderId="8" xfId="1" applyNumberFormat="1" applyFont="1" applyFill="1" applyBorder="1" applyAlignment="1">
      <alignment horizontal="center"/>
    </xf>
    <xf numFmtId="165" fontId="128" fillId="0" borderId="39" xfId="1" applyNumberFormat="1" applyFont="1" applyFill="1" applyBorder="1" applyAlignment="1">
      <alignment horizontal="center"/>
    </xf>
    <xf numFmtId="197" fontId="0" fillId="0" borderId="0" xfId="527" applyNumberFormat="1" applyFont="1"/>
    <xf numFmtId="3" fontId="0" fillId="0" borderId="0" xfId="0" applyNumberFormat="1"/>
    <xf numFmtId="4" fontId="0" fillId="0" borderId="0" xfId="0" applyNumberFormat="1"/>
    <xf numFmtId="44" fontId="5" fillId="0" borderId="0" xfId="526" applyFont="1"/>
    <xf numFmtId="0" fontId="5" fillId="0" borderId="0" xfId="0" applyFont="1" applyFill="1"/>
    <xf numFmtId="165" fontId="5" fillId="0" borderId="0" xfId="0" applyNumberFormat="1" applyFont="1" applyFill="1"/>
    <xf numFmtId="44" fontId="5" fillId="0" borderId="0" xfId="526" applyFont="1" applyFill="1"/>
    <xf numFmtId="165" fontId="5" fillId="0" borderId="0" xfId="1" applyNumberFormat="1" applyFont="1" applyFill="1"/>
    <xf numFmtId="0" fontId="130" fillId="0" borderId="0" xfId="0" applyFont="1"/>
    <xf numFmtId="165" fontId="129" fillId="0" borderId="0" xfId="1" applyNumberFormat="1" applyFont="1" applyFill="1" applyBorder="1" applyAlignment="1">
      <alignment horizontal="center"/>
    </xf>
    <xf numFmtId="165" fontId="129" fillId="0" borderId="16" xfId="0" applyNumberFormat="1" applyFont="1" applyFill="1" applyBorder="1" applyAlignment="1">
      <alignment horizontal="center"/>
    </xf>
    <xf numFmtId="167" fontId="5" fillId="0" borderId="0" xfId="1" applyNumberFormat="1" applyFont="1" applyBorder="1" applyAlignment="1">
      <alignment horizontal="center"/>
    </xf>
    <xf numFmtId="165" fontId="5" fillId="0" borderId="0" xfId="1" applyNumberFormat="1" applyFont="1" applyBorder="1" applyAlignment="1">
      <alignment horizontal="center"/>
    </xf>
    <xf numFmtId="0" fontId="6" fillId="6" borderId="0" xfId="366"/>
    <xf numFmtId="0" fontId="0" fillId="0" borderId="0" xfId="0" pivotButton="1"/>
    <xf numFmtId="0" fontId="0" fillId="0" borderId="0" xfId="0" applyNumberFormat="1"/>
    <xf numFmtId="0" fontId="132" fillId="0" borderId="0" xfId="0" applyFont="1" applyBorder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167" fontId="5" fillId="0" borderId="42" xfId="1" applyNumberFormat="1" applyFont="1" applyBorder="1" applyAlignment="1">
      <alignment horizontal="center"/>
    </xf>
    <xf numFmtId="167" fontId="5" fillId="0" borderId="44" xfId="1" applyNumberFormat="1" applyFont="1" applyBorder="1" applyAlignment="1">
      <alignment horizontal="center"/>
    </xf>
    <xf numFmtId="167" fontId="5" fillId="0" borderId="45" xfId="1" applyNumberFormat="1" applyFont="1" applyBorder="1" applyAlignment="1">
      <alignment horizontal="center"/>
    </xf>
    <xf numFmtId="165" fontId="14" fillId="0" borderId="46" xfId="1" applyNumberFormat="1" applyFont="1" applyBorder="1" applyAlignment="1">
      <alignment horizontal="center"/>
    </xf>
    <xf numFmtId="165" fontId="5" fillId="0" borderId="42" xfId="1" applyNumberFormat="1" applyFont="1" applyBorder="1" applyAlignment="1">
      <alignment horizontal="center"/>
    </xf>
    <xf numFmtId="165" fontId="129" fillId="0" borderId="48" xfId="1" applyNumberFormat="1" applyFont="1" applyFill="1" applyBorder="1" applyAlignment="1">
      <alignment horizontal="center"/>
    </xf>
    <xf numFmtId="167" fontId="5" fillId="0" borderId="46" xfId="1" applyNumberFormat="1" applyFont="1" applyBorder="1" applyAlignment="1">
      <alignment horizontal="center"/>
    </xf>
    <xf numFmtId="167" fontId="5" fillId="0" borderId="48" xfId="1" applyNumberFormat="1" applyFont="1" applyBorder="1" applyAlignment="1">
      <alignment horizontal="center"/>
    </xf>
    <xf numFmtId="0" fontId="14" fillId="12" borderId="46" xfId="0" applyFont="1" applyFill="1" applyBorder="1" applyAlignment="1">
      <alignment horizontal="center"/>
    </xf>
    <xf numFmtId="0" fontId="14" fillId="12" borderId="0" xfId="0" applyFont="1" applyFill="1" applyBorder="1" applyAlignment="1">
      <alignment horizontal="center"/>
    </xf>
    <xf numFmtId="0" fontId="14" fillId="12" borderId="42" xfId="0" applyFont="1" applyFill="1" applyBorder="1" applyAlignment="1">
      <alignment horizontal="center"/>
    </xf>
    <xf numFmtId="167" fontId="14" fillId="12" borderId="46" xfId="0" applyNumberFormat="1" applyFont="1" applyFill="1" applyBorder="1" applyAlignment="1">
      <alignment horizontal="center"/>
    </xf>
    <xf numFmtId="167" fontId="14" fillId="12" borderId="0" xfId="0" applyNumberFormat="1" applyFont="1" applyFill="1" applyBorder="1" applyAlignment="1">
      <alignment horizontal="center"/>
    </xf>
    <xf numFmtId="167" fontId="14" fillId="12" borderId="42" xfId="0" applyNumberFormat="1" applyFont="1" applyFill="1" applyBorder="1" applyAlignment="1">
      <alignment horizontal="center"/>
    </xf>
    <xf numFmtId="0" fontId="129" fillId="52" borderId="47" xfId="0" applyFont="1" applyFill="1" applyBorder="1" applyAlignment="1">
      <alignment horizontal="center"/>
    </xf>
    <xf numFmtId="0" fontId="129" fillId="52" borderId="9" xfId="0" applyFont="1" applyFill="1" applyBorder="1" applyAlignment="1">
      <alignment horizontal="center"/>
    </xf>
    <xf numFmtId="0" fontId="129" fillId="52" borderId="49" xfId="0" applyFont="1" applyFill="1" applyBorder="1" applyAlignment="1">
      <alignment horizontal="center"/>
    </xf>
    <xf numFmtId="167" fontId="129" fillId="52" borderId="47" xfId="0" applyNumberFormat="1" applyFont="1" applyFill="1" applyBorder="1" applyAlignment="1">
      <alignment horizontal="center"/>
    </xf>
    <xf numFmtId="167" fontId="129" fillId="52" borderId="9" xfId="0" applyNumberFormat="1" applyFont="1" applyFill="1" applyBorder="1" applyAlignment="1">
      <alignment horizontal="center"/>
    </xf>
    <xf numFmtId="167" fontId="129" fillId="52" borderId="49" xfId="0" applyNumberFormat="1" applyFont="1" applyFill="1" applyBorder="1" applyAlignment="1">
      <alignment horizontal="center"/>
    </xf>
    <xf numFmtId="165" fontId="14" fillId="0" borderId="53" xfId="0" applyNumberFormat="1" applyFont="1" applyBorder="1" applyAlignment="1">
      <alignment horizontal="center"/>
    </xf>
    <xf numFmtId="165" fontId="14" fillId="0" borderId="52" xfId="0" applyNumberFormat="1" applyFont="1" applyBorder="1" applyAlignment="1">
      <alignment horizontal="center"/>
    </xf>
    <xf numFmtId="165" fontId="14" fillId="0" borderId="54" xfId="0" applyNumberFormat="1" applyFont="1" applyBorder="1" applyAlignment="1">
      <alignment horizontal="center"/>
    </xf>
    <xf numFmtId="167" fontId="14" fillId="0" borderId="52" xfId="0" applyNumberFormat="1" applyFont="1" applyBorder="1" applyAlignment="1">
      <alignment horizontal="center"/>
    </xf>
    <xf numFmtId="167" fontId="14" fillId="0" borderId="53" xfId="0" applyNumberFormat="1" applyFont="1" applyBorder="1" applyAlignment="1">
      <alignment horizontal="center"/>
    </xf>
    <xf numFmtId="167" fontId="14" fillId="0" borderId="54" xfId="0" applyNumberFormat="1" applyFont="1" applyBorder="1" applyAlignment="1">
      <alignment horizontal="center"/>
    </xf>
    <xf numFmtId="165" fontId="5" fillId="0" borderId="53" xfId="1" applyNumberFormat="1" applyFont="1" applyBorder="1" applyAlignment="1">
      <alignment horizontal="center"/>
    </xf>
    <xf numFmtId="165" fontId="14" fillId="0" borderId="52" xfId="1" applyNumberFormat="1" applyFont="1" applyBorder="1" applyAlignment="1">
      <alignment horizontal="center"/>
    </xf>
    <xf numFmtId="165" fontId="5" fillId="0" borderId="54" xfId="1" applyNumberFormat="1" applyFont="1" applyBorder="1" applyAlignment="1">
      <alignment horizontal="center"/>
    </xf>
    <xf numFmtId="167" fontId="5" fillId="0" borderId="52" xfId="1" applyNumberFormat="1" applyFont="1" applyBorder="1" applyAlignment="1">
      <alignment horizontal="center"/>
    </xf>
    <xf numFmtId="167" fontId="5" fillId="0" borderId="53" xfId="1" applyNumberFormat="1" applyFont="1" applyBorder="1" applyAlignment="1">
      <alignment horizontal="center"/>
    </xf>
    <xf numFmtId="167" fontId="5" fillId="0" borderId="54" xfId="1" applyNumberFormat="1" applyFont="1" applyBorder="1" applyAlignment="1">
      <alignment horizontal="center"/>
    </xf>
    <xf numFmtId="0" fontId="128" fillId="0" borderId="46" xfId="0" applyFont="1" applyFill="1" applyBorder="1" applyAlignment="1">
      <alignment horizontal="left"/>
    </xf>
    <xf numFmtId="0" fontId="128" fillId="0" borderId="48" xfId="0" applyFont="1" applyFill="1" applyBorder="1" applyAlignment="1">
      <alignment horizontal="left"/>
    </xf>
    <xf numFmtId="165" fontId="128" fillId="0" borderId="44" xfId="1" applyNumberFormat="1" applyFont="1" applyFill="1" applyBorder="1" applyAlignment="1">
      <alignment horizontal="center"/>
    </xf>
    <xf numFmtId="165" fontId="128" fillId="0" borderId="45" xfId="1" applyNumberFormat="1" applyFont="1" applyFill="1" applyBorder="1" applyAlignment="1">
      <alignment horizontal="center"/>
    </xf>
    <xf numFmtId="0" fontId="129" fillId="52" borderId="52" xfId="0" applyFont="1" applyFill="1" applyBorder="1" applyAlignment="1">
      <alignment horizontal="center"/>
    </xf>
    <xf numFmtId="0" fontId="14" fillId="12" borderId="53" xfId="0" applyFont="1" applyFill="1" applyBorder="1" applyAlignment="1">
      <alignment horizontal="center" wrapText="1"/>
    </xf>
    <xf numFmtId="0" fontId="14" fillId="12" borderId="52" xfId="0" applyFont="1" applyFill="1" applyBorder="1" applyAlignment="1">
      <alignment horizontal="center" wrapText="1"/>
    </xf>
    <xf numFmtId="0" fontId="14" fillId="12" borderId="54" xfId="0" applyFont="1" applyFill="1" applyBorder="1" applyAlignment="1">
      <alignment horizontal="center" wrapText="1"/>
    </xf>
    <xf numFmtId="0" fontId="14" fillId="12" borderId="52" xfId="0" applyFont="1" applyFill="1" applyBorder="1" applyAlignment="1">
      <alignment horizontal="center"/>
    </xf>
    <xf numFmtId="0" fontId="14" fillId="12" borderId="53" xfId="0" applyFont="1" applyFill="1" applyBorder="1" applyAlignment="1">
      <alignment horizontal="center"/>
    </xf>
    <xf numFmtId="0" fontId="14" fillId="12" borderId="54" xfId="0" applyFont="1" applyFill="1" applyBorder="1" applyAlignment="1">
      <alignment horizontal="center"/>
    </xf>
    <xf numFmtId="0" fontId="14" fillId="0" borderId="14" xfId="0" applyFont="1" applyBorder="1"/>
    <xf numFmtId="0" fontId="7" fillId="7" borderId="14" xfId="5" applyFont="1" applyBorder="1" applyAlignment="1">
      <alignment horizontal="center"/>
    </xf>
    <xf numFmtId="14" fontId="7" fillId="7" borderId="14" xfId="5" applyNumberFormat="1" applyFont="1" applyBorder="1"/>
    <xf numFmtId="0" fontId="134" fillId="0" borderId="0" xfId="0" applyFont="1"/>
    <xf numFmtId="0" fontId="135" fillId="6" borderId="0" xfId="366" applyFont="1"/>
    <xf numFmtId="0" fontId="1" fillId="0" borderId="0" xfId="0" applyFont="1"/>
    <xf numFmtId="0" fontId="136" fillId="6" borderId="0" xfId="366" applyFont="1"/>
    <xf numFmtId="0" fontId="6" fillId="6" borderId="0" xfId="366" applyFont="1"/>
    <xf numFmtId="14" fontId="6" fillId="6" borderId="0" xfId="366" applyNumberFormat="1" applyFont="1"/>
    <xf numFmtId="0" fontId="14" fillId="12" borderId="53" xfId="0" applyFont="1" applyFill="1" applyBorder="1" applyAlignment="1">
      <alignment horizontal="center" wrapText="1"/>
    </xf>
    <xf numFmtId="0" fontId="14" fillId="12" borderId="54" xfId="0" applyFont="1" applyFill="1" applyBorder="1" applyAlignment="1">
      <alignment horizontal="center" wrapText="1"/>
    </xf>
    <xf numFmtId="165" fontId="5" fillId="0" borderId="0" xfId="1" applyNumberFormat="1" applyFont="1" applyBorder="1" applyAlignment="1">
      <alignment horizontal="center"/>
    </xf>
    <xf numFmtId="165" fontId="5" fillId="0" borderId="42" xfId="1" applyNumberFormat="1" applyFont="1" applyBorder="1" applyAlignment="1">
      <alignment horizontal="center"/>
    </xf>
    <xf numFmtId="0" fontId="14" fillId="12" borderId="52" xfId="0" applyFont="1" applyFill="1" applyBorder="1" applyAlignment="1">
      <alignment horizontal="center" wrapText="1"/>
    </xf>
    <xf numFmtId="165" fontId="5" fillId="0" borderId="46" xfId="1" applyNumberFormat="1" applyFont="1" applyBorder="1" applyAlignment="1">
      <alignment horizontal="center"/>
    </xf>
    <xf numFmtId="0" fontId="129" fillId="52" borderId="9" xfId="0" quotePrefix="1" applyFont="1" applyFill="1" applyBorder="1" applyAlignment="1">
      <alignment horizontal="center"/>
    </xf>
    <xf numFmtId="0" fontId="129" fillId="52" borderId="49" xfId="0" quotePrefix="1" applyFont="1" applyFill="1" applyBorder="1" applyAlignment="1">
      <alignment horizontal="center"/>
    </xf>
    <xf numFmtId="0" fontId="129" fillId="52" borderId="47" xfId="0" applyFont="1" applyFill="1" applyBorder="1" applyAlignment="1">
      <alignment horizontal="center"/>
    </xf>
    <xf numFmtId="0" fontId="129" fillId="52" borderId="9" xfId="0" applyFont="1" applyFill="1" applyBorder="1" applyAlignment="1">
      <alignment horizontal="center"/>
    </xf>
    <xf numFmtId="165" fontId="128" fillId="0" borderId="43" xfId="1" applyNumberFormat="1" applyFont="1" applyFill="1" applyBorder="1" applyAlignment="1">
      <alignment horizontal="center"/>
    </xf>
    <xf numFmtId="165" fontId="128" fillId="0" borderId="51" xfId="1" applyNumberFormat="1" applyFont="1" applyFill="1" applyBorder="1" applyAlignment="1">
      <alignment horizontal="center"/>
    </xf>
    <xf numFmtId="165" fontId="14" fillId="0" borderId="53" xfId="0" applyNumberFormat="1" applyFont="1" applyBorder="1" applyAlignment="1">
      <alignment horizontal="center"/>
    </xf>
    <xf numFmtId="165" fontId="14" fillId="0" borderId="54" xfId="0" applyNumberFormat="1" applyFont="1" applyBorder="1" applyAlignment="1">
      <alignment horizontal="center"/>
    </xf>
    <xf numFmtId="165" fontId="14" fillId="0" borderId="52" xfId="0" applyNumberFormat="1" applyFont="1" applyBorder="1" applyAlignment="1">
      <alignment horizontal="center"/>
    </xf>
    <xf numFmtId="0" fontId="14" fillId="12" borderId="52" xfId="0" applyFont="1" applyFill="1" applyBorder="1" applyAlignment="1">
      <alignment horizontal="center"/>
    </xf>
    <xf numFmtId="0" fontId="14" fillId="12" borderId="53" xfId="0" applyFont="1" applyFill="1" applyBorder="1" applyAlignment="1">
      <alignment horizontal="center"/>
    </xf>
    <xf numFmtId="165" fontId="5" fillId="0" borderId="52" xfId="1" applyNumberFormat="1" applyFont="1" applyBorder="1" applyAlignment="1">
      <alignment horizontal="center"/>
    </xf>
    <xf numFmtId="165" fontId="5" fillId="0" borderId="53" xfId="1" applyNumberFormat="1" applyFont="1" applyBorder="1" applyAlignment="1">
      <alignment horizontal="center"/>
    </xf>
    <xf numFmtId="0" fontId="14" fillId="12" borderId="46" xfId="0" applyFont="1" applyFill="1" applyBorder="1" applyAlignment="1">
      <alignment horizontal="center"/>
    </xf>
    <xf numFmtId="0" fontId="14" fillId="12" borderId="0" xfId="0" applyFont="1" applyFill="1" applyBorder="1" applyAlignment="1">
      <alignment horizontal="center"/>
    </xf>
    <xf numFmtId="0" fontId="14" fillId="12" borderId="54" xfId="0" applyFont="1" applyFill="1" applyBorder="1" applyAlignment="1">
      <alignment horizontal="center"/>
    </xf>
    <xf numFmtId="165" fontId="5" fillId="0" borderId="54" xfId="1" applyNumberFormat="1" applyFont="1" applyBorder="1" applyAlignment="1">
      <alignment horizontal="center"/>
    </xf>
    <xf numFmtId="0" fontId="14" fillId="12" borderId="42" xfId="0" applyFont="1" applyFill="1" applyBorder="1" applyAlignment="1">
      <alignment horizontal="center"/>
    </xf>
    <xf numFmtId="0" fontId="129" fillId="52" borderId="52" xfId="0" applyFont="1" applyFill="1" applyBorder="1" applyAlignment="1">
      <alignment horizontal="center"/>
    </xf>
    <xf numFmtId="0" fontId="129" fillId="52" borderId="53" xfId="0" applyFont="1" applyFill="1" applyBorder="1" applyAlignment="1">
      <alignment horizontal="center"/>
    </xf>
    <xf numFmtId="0" fontId="129" fillId="52" borderId="54" xfId="0" applyFont="1" applyFill="1" applyBorder="1" applyAlignment="1">
      <alignment horizontal="center"/>
    </xf>
    <xf numFmtId="165" fontId="128" fillId="0" borderId="46" xfId="1" applyNumberFormat="1" applyFont="1" applyFill="1" applyBorder="1" applyAlignment="1">
      <alignment horizontal="center"/>
    </xf>
    <xf numFmtId="165" fontId="128" fillId="0" borderId="0" xfId="1" applyNumberFormat="1" applyFont="1" applyFill="1" applyBorder="1" applyAlignment="1">
      <alignment horizontal="center"/>
    </xf>
    <xf numFmtId="165" fontId="128" fillId="0" borderId="42" xfId="1" applyNumberFormat="1" applyFont="1" applyFill="1" applyBorder="1" applyAlignment="1">
      <alignment horizontal="center"/>
    </xf>
    <xf numFmtId="165" fontId="128" fillId="0" borderId="48" xfId="1" applyNumberFormat="1" applyFont="1" applyFill="1" applyBorder="1" applyAlignment="1">
      <alignment horizontal="center"/>
    </xf>
    <xf numFmtId="165" fontId="128" fillId="0" borderId="44" xfId="1" applyNumberFormat="1" applyFont="1" applyFill="1" applyBorder="1" applyAlignment="1">
      <alignment horizontal="center"/>
    </xf>
    <xf numFmtId="165" fontId="128" fillId="0" borderId="45" xfId="1" applyNumberFormat="1" applyFont="1" applyFill="1" applyBorder="1" applyAlignment="1">
      <alignment horizontal="center"/>
    </xf>
    <xf numFmtId="165" fontId="128" fillId="0" borderId="50" xfId="1" applyNumberFormat="1" applyFont="1" applyFill="1" applyBorder="1" applyAlignment="1">
      <alignment horizontal="center"/>
    </xf>
    <xf numFmtId="0" fontId="133" fillId="54" borderId="0" xfId="0" applyFont="1" applyFill="1" applyAlignment="1">
      <alignment horizontal="center"/>
    </xf>
    <xf numFmtId="0" fontId="14" fillId="0" borderId="0" xfId="0" applyFont="1" applyAlignment="1">
      <alignment horizontal="center"/>
    </xf>
    <xf numFmtId="0" fontId="131" fillId="0" borderId="9" xfId="0" applyFont="1" applyBorder="1" applyAlignment="1">
      <alignment horizontal="center"/>
    </xf>
    <xf numFmtId="0" fontId="14" fillId="12" borderId="52" xfId="0" applyFont="1" applyFill="1" applyBorder="1" applyAlignment="1">
      <alignment horizontal="left"/>
    </xf>
    <xf numFmtId="0" fontId="14" fillId="12" borderId="46" xfId="0" applyFont="1" applyFill="1" applyBorder="1" applyAlignment="1">
      <alignment horizontal="left"/>
    </xf>
    <xf numFmtId="0" fontId="129" fillId="52" borderId="47" xfId="0" applyFont="1" applyFill="1" applyBorder="1" applyAlignment="1">
      <alignment horizontal="left"/>
    </xf>
    <xf numFmtId="0" fontId="5" fillId="0" borderId="46" xfId="0" applyFont="1" applyBorder="1" applyAlignment="1">
      <alignment horizontal="right"/>
    </xf>
    <xf numFmtId="0" fontId="0" fillId="0" borderId="0" xfId="0" applyAlignment="1"/>
    <xf numFmtId="0" fontId="14" fillId="0" borderId="52" xfId="0" applyFont="1" applyFill="1" applyBorder="1" applyAlignment="1">
      <alignment horizontal="right"/>
    </xf>
    <xf numFmtId="0" fontId="5" fillId="0" borderId="52" xfId="0" applyFont="1" applyBorder="1" applyAlignment="1">
      <alignment horizontal="right"/>
    </xf>
    <xf numFmtId="0" fontId="128" fillId="0" borderId="48" xfId="0" applyFont="1" applyFill="1" applyBorder="1" applyAlignment="1">
      <alignment horizontal="right"/>
    </xf>
  </cellXfs>
  <cellStyles count="528">
    <cellStyle name="_Bonds" xfId="37"/>
    <cellStyle name="_Bonds 2" xfId="38"/>
    <cellStyle name="_Offering" xfId="39"/>
    <cellStyle name="_Offering 2" xfId="40"/>
    <cellStyle name="£ BP" xfId="41"/>
    <cellStyle name="¥ JY" xfId="42"/>
    <cellStyle name="20% - Accent1 2" xfId="2"/>
    <cellStyle name="20% - Accent1 2 2" xfId="18"/>
    <cellStyle name="20% - Accent1 2 3" xfId="19"/>
    <cellStyle name="20% - Accent1 3" xfId="3"/>
    <cellStyle name="20% - Accent1 3 2" xfId="20"/>
    <cellStyle name="20% - Accent1 3 3" xfId="21"/>
    <cellStyle name="20% - Accent1 4" xfId="22"/>
    <cellStyle name="20% - Accent1 5" xfId="23"/>
    <cellStyle name="20% - Accent2 2" xfId="43"/>
    <cellStyle name="20% - Accent2 3" xfId="44"/>
    <cellStyle name="20% - Accent2 4" xfId="45"/>
    <cellStyle name="20% - Accent3 2" xfId="46"/>
    <cellStyle name="20% - Accent3 3" xfId="47"/>
    <cellStyle name="20% - Accent3 4" xfId="48"/>
    <cellStyle name="20% - Accent4 2" xfId="49"/>
    <cellStyle name="20% - Accent4 3" xfId="50"/>
    <cellStyle name="20% - Accent4 4" xfId="51"/>
    <cellStyle name="20% - Accent5 2" xfId="52"/>
    <cellStyle name="20% - Accent5 3" xfId="53"/>
    <cellStyle name="20% - Accent5 4" xfId="54"/>
    <cellStyle name="20% - Accent6 2" xfId="55"/>
    <cellStyle name="20% - Accent6 3" xfId="56"/>
    <cellStyle name="20% - Accent6 4" xfId="57"/>
    <cellStyle name="40% - Accent1 2" xfId="58"/>
    <cellStyle name="40% - Accent1 3" xfId="59"/>
    <cellStyle name="40% - Accent1 4" xfId="60"/>
    <cellStyle name="40% - Accent2 2" xfId="61"/>
    <cellStyle name="40% - Accent2 3" xfId="62"/>
    <cellStyle name="40% - Accent2 4" xfId="63"/>
    <cellStyle name="40% - Accent3 2" xfId="64"/>
    <cellStyle name="40% - Accent3 3" xfId="65"/>
    <cellStyle name="40% - Accent3 4" xfId="66"/>
    <cellStyle name="40% - Accent4 2" xfId="67"/>
    <cellStyle name="40% - Accent4 3" xfId="68"/>
    <cellStyle name="40% - Accent4 4" xfId="69"/>
    <cellStyle name="40% - Accent5 2" xfId="70"/>
    <cellStyle name="40% - Accent5 3" xfId="71"/>
    <cellStyle name="40% - Accent5 4" xfId="72"/>
    <cellStyle name="40% - Accent6 2" xfId="73"/>
    <cellStyle name="40% - Accent6 3" xfId="74"/>
    <cellStyle name="40% - Accent6 4" xfId="75"/>
    <cellStyle name="60% - Accent1 2" xfId="76"/>
    <cellStyle name="60% - Accent1 3" xfId="77"/>
    <cellStyle name="60% - Accent1 4" xfId="78"/>
    <cellStyle name="60% - Accent2 2" xfId="79"/>
    <cellStyle name="60% - Accent2 3" xfId="80"/>
    <cellStyle name="60% - Accent2 4" xfId="81"/>
    <cellStyle name="60% - Accent3 2" xfId="82"/>
    <cellStyle name="60% - Accent3 3" xfId="83"/>
    <cellStyle name="60% - Accent3 4" xfId="84"/>
    <cellStyle name="60% - Accent4 2" xfId="85"/>
    <cellStyle name="60% - Accent4 3" xfId="86"/>
    <cellStyle name="60% - Accent4 4" xfId="87"/>
    <cellStyle name="60% - Accent5 2" xfId="88"/>
    <cellStyle name="60% - Accent5 3" xfId="89"/>
    <cellStyle name="60% - Accent5 4" xfId="90"/>
    <cellStyle name="60% - Accent6 2" xfId="91"/>
    <cellStyle name="60% - Accent6 3" xfId="92"/>
    <cellStyle name="60% - Accent6 4" xfId="93"/>
    <cellStyle name="Accent1 2" xfId="94"/>
    <cellStyle name="Accent1 3" xfId="95"/>
    <cellStyle name="Accent1 4" xfId="96"/>
    <cellStyle name="Accent2 2" xfId="97"/>
    <cellStyle name="Accent2 3" xfId="98"/>
    <cellStyle name="Accent2 4" xfId="99"/>
    <cellStyle name="Accent3 2" xfId="100"/>
    <cellStyle name="Accent3 3" xfId="101"/>
    <cellStyle name="Accent3 4" xfId="102"/>
    <cellStyle name="Accent4 2" xfId="103"/>
    <cellStyle name="Accent4 3" xfId="104"/>
    <cellStyle name="Accent4 4" xfId="105"/>
    <cellStyle name="Accent5 2" xfId="106"/>
    <cellStyle name="Accent5 3" xfId="107"/>
    <cellStyle name="Accent5 4" xfId="108"/>
    <cellStyle name="Accent6 2" xfId="109"/>
    <cellStyle name="Accent6 3" xfId="110"/>
    <cellStyle name="Accent6 4" xfId="111"/>
    <cellStyle name="Auto_OpenAuto_CloseExtractD_Sheet1" xfId="112"/>
    <cellStyle name="Axis.EffectiveDate" xfId="113"/>
    <cellStyle name="Axis.Seasoning" xfId="114"/>
    <cellStyle name="Bad 2" xfId="115"/>
    <cellStyle name="Bad 3" xfId="116"/>
    <cellStyle name="Bad 4" xfId="117"/>
    <cellStyle name="Big Money" xfId="118"/>
    <cellStyle name="Blue" xfId="119"/>
    <cellStyle name="blue axis cells" xfId="120"/>
    <cellStyle name="blue text cells" xfId="121"/>
    <cellStyle name="Body" xfId="122"/>
    <cellStyle name="Bold/Border" xfId="123"/>
    <cellStyle name="Border" xfId="124"/>
    <cellStyle name="Bullet" xfId="125"/>
    <cellStyle name="Calc Currency (0)" xfId="126"/>
    <cellStyle name="Calc Currency (0) 2" xfId="127"/>
    <cellStyle name="Calc Currency (2)" xfId="128"/>
    <cellStyle name="Calc Currency (2) 2" xfId="129"/>
    <cellStyle name="Calc Percent (0)" xfId="130"/>
    <cellStyle name="Calc Percent (0) 2" xfId="131"/>
    <cellStyle name="Calc Percent (1)" xfId="132"/>
    <cellStyle name="Calc Percent (1) 2" xfId="133"/>
    <cellStyle name="Calc Percent (2)" xfId="134"/>
    <cellStyle name="Calc Percent (2) 2" xfId="135"/>
    <cellStyle name="Calc Units (0)" xfId="136"/>
    <cellStyle name="Calc Units (0) 2" xfId="137"/>
    <cellStyle name="Calc Units (1)" xfId="138"/>
    <cellStyle name="Calc Units (1) 2" xfId="139"/>
    <cellStyle name="Calc Units (2)" xfId="140"/>
    <cellStyle name="Calc Units (2) 2" xfId="141"/>
    <cellStyle name="Calculation 2" xfId="142"/>
    <cellStyle name="Calculation 3" xfId="143"/>
    <cellStyle name="Calculation 4" xfId="144"/>
    <cellStyle name="CCM Input" xfId="145"/>
    <cellStyle name="CCM Title Calculations" xfId="24"/>
    <cellStyle name="CCM Title Indicative" xfId="146"/>
    <cellStyle name="Cello Calculation" xfId="4"/>
    <cellStyle name="Cello Calculation 2" xfId="147"/>
    <cellStyle name="Cello Calculation 2 2" xfId="148"/>
    <cellStyle name="Cello Calculation 3" xfId="149"/>
    <cellStyle name="Cello Calculation 4" xfId="150"/>
    <cellStyle name="Cello Input" xfId="5"/>
    <cellStyle name="Cello Input 2" xfId="25"/>
    <cellStyle name="Cello Input 2 2" xfId="151"/>
    <cellStyle name="Cello Input 2 3" xfId="152"/>
    <cellStyle name="Cello Input 2 5" xfId="26"/>
    <cellStyle name="Cello Input 3" xfId="27"/>
    <cellStyle name="Cello Input 4" xfId="153"/>
    <cellStyle name="Cello Linked Cell" xfId="6"/>
    <cellStyle name="Cello Linked Cell 2" xfId="154"/>
    <cellStyle name="Cello Linked Cell 2 2" xfId="155"/>
    <cellStyle name="Check Cell 2" xfId="156"/>
    <cellStyle name="Check Cell 3" xfId="157"/>
    <cellStyle name="Check Cell 4" xfId="158"/>
    <cellStyle name="Co. Names" xfId="159"/>
    <cellStyle name="Comma" xfId="527" builtinId="3"/>
    <cellStyle name="Comma  - Style1" xfId="160"/>
    <cellStyle name="Comma  - Style1 2" xfId="161"/>
    <cellStyle name="Comma  - Style2" xfId="162"/>
    <cellStyle name="Comma  - Style2 2" xfId="163"/>
    <cellStyle name="Comma  - Style3" xfId="164"/>
    <cellStyle name="Comma  - Style3 2" xfId="165"/>
    <cellStyle name="Comma  - Style4" xfId="166"/>
    <cellStyle name="Comma  - Style4 2" xfId="167"/>
    <cellStyle name="Comma  - Style5" xfId="168"/>
    <cellStyle name="Comma  - Style5 2" xfId="169"/>
    <cellStyle name="Comma  - Style6" xfId="170"/>
    <cellStyle name="Comma  - Style6 2" xfId="171"/>
    <cellStyle name="Comma  - Style7" xfId="172"/>
    <cellStyle name="Comma  - Style7 2" xfId="173"/>
    <cellStyle name="Comma  - Style8" xfId="174"/>
    <cellStyle name="Comma  - Style8 2" xfId="175"/>
    <cellStyle name="Comma [00]" xfId="176"/>
    <cellStyle name="Comma [00] 2" xfId="177"/>
    <cellStyle name="Comma 10" xfId="178"/>
    <cellStyle name="Comma 11" xfId="179"/>
    <cellStyle name="Comma 12" xfId="180"/>
    <cellStyle name="Comma 13" xfId="181"/>
    <cellStyle name="Comma 14" xfId="182"/>
    <cellStyle name="Comma 15" xfId="183"/>
    <cellStyle name="Comma 16" xfId="184"/>
    <cellStyle name="Comma 16 2" xfId="185"/>
    <cellStyle name="Comma 17" xfId="186"/>
    <cellStyle name="Comma 18" xfId="187"/>
    <cellStyle name="Comma 19" xfId="188"/>
    <cellStyle name="Comma 2" xfId="35"/>
    <cellStyle name="Comma 20" xfId="189"/>
    <cellStyle name="Comma 21" xfId="190"/>
    <cellStyle name="Comma 22" xfId="191"/>
    <cellStyle name="Comma 23" xfId="192"/>
    <cellStyle name="Comma 24" xfId="193"/>
    <cellStyle name="Comma 25" xfId="194"/>
    <cellStyle name="Comma 26" xfId="195"/>
    <cellStyle name="Comma 27" xfId="196"/>
    <cellStyle name="Comma 28" xfId="197"/>
    <cellStyle name="Comma 29" xfId="198"/>
    <cellStyle name="Comma 29 2" xfId="199"/>
    <cellStyle name="Comma 3" xfId="200"/>
    <cellStyle name="Comma 30" xfId="201"/>
    <cellStyle name="Comma 4" xfId="202"/>
    <cellStyle name="Comma 4 2" xfId="203"/>
    <cellStyle name="Comma 5" xfId="204"/>
    <cellStyle name="Comma 6" xfId="205"/>
    <cellStyle name="Comma 7" xfId="206"/>
    <cellStyle name="Comma 8" xfId="207"/>
    <cellStyle name="Comma 9" xfId="208"/>
    <cellStyle name="Comma0" xfId="209"/>
    <cellStyle name="Comma1 - Style1" xfId="210"/>
    <cellStyle name="Copied" xfId="211"/>
    <cellStyle name="CTDSwitchAnalysisHeader" xfId="212"/>
    <cellStyle name="Curren - Style2" xfId="213"/>
    <cellStyle name="Currency" xfId="526" builtinId="4"/>
    <cellStyle name="Currency [00]" xfId="214"/>
    <cellStyle name="Currency [00] 2" xfId="215"/>
    <cellStyle name="Currency [2]" xfId="216"/>
    <cellStyle name="Currency 10" xfId="217"/>
    <cellStyle name="Currency 11" xfId="218"/>
    <cellStyle name="Currency 12" xfId="219"/>
    <cellStyle name="Currency 13" xfId="220"/>
    <cellStyle name="Currency 14" xfId="221"/>
    <cellStyle name="Currency 15" xfId="222"/>
    <cellStyle name="Currency 2" xfId="223"/>
    <cellStyle name="Currency 3" xfId="224"/>
    <cellStyle name="Currency 4" xfId="225"/>
    <cellStyle name="Currency 5" xfId="226"/>
    <cellStyle name="Currency 6" xfId="227"/>
    <cellStyle name="Currency 7" xfId="228"/>
    <cellStyle name="Currency 8" xfId="229"/>
    <cellStyle name="Currency 9" xfId="230"/>
    <cellStyle name="Currency0" xfId="231"/>
    <cellStyle name="Dash" xfId="232"/>
    <cellStyle name="Data.LongPercent" xfId="233"/>
    <cellStyle name="Data.NumPercent" xfId="234"/>
    <cellStyle name="Data.NumShortPercent" xfId="235"/>
    <cellStyle name="date" xfId="236"/>
    <cellStyle name="Date - Style3" xfId="237"/>
    <cellStyle name="Date 2" xfId="238"/>
    <cellStyle name="Date 3" xfId="239"/>
    <cellStyle name="Date 4" xfId="240"/>
    <cellStyle name="Date 5" xfId="241"/>
    <cellStyle name="Date 6" xfId="242"/>
    <cellStyle name="Date 7" xfId="243"/>
    <cellStyle name="Date Short" xfId="244"/>
    <cellStyle name="date title" xfId="245"/>
    <cellStyle name="Date_DV01" xfId="246"/>
    <cellStyle name="DateFormat" xfId="247"/>
    <cellStyle name="DBAHandle" xfId="248"/>
    <cellStyle name="DBAParameter" xfId="249"/>
    <cellStyle name="DELTA" xfId="250"/>
    <cellStyle name="DS 0" xfId="251"/>
    <cellStyle name="DS 1" xfId="252"/>
    <cellStyle name="DS 2" xfId="253"/>
    <cellStyle name="DS 3" xfId="254"/>
    <cellStyle name="DS 4" xfId="255"/>
    <cellStyle name="DS 5" xfId="256"/>
    <cellStyle name="DS 5 2" xfId="257"/>
    <cellStyle name="DS 6" xfId="258"/>
    <cellStyle name="Enter Currency (0)" xfId="259"/>
    <cellStyle name="Enter Currency (0) 2" xfId="260"/>
    <cellStyle name="Enter Currency (2)" xfId="261"/>
    <cellStyle name="Enter Currency (2) 2" xfId="262"/>
    <cellStyle name="Enter Units (0)" xfId="263"/>
    <cellStyle name="Enter Units (0) 2" xfId="264"/>
    <cellStyle name="Enter Units (1)" xfId="265"/>
    <cellStyle name="Enter Units (1) 2" xfId="266"/>
    <cellStyle name="Enter Units (2)" xfId="267"/>
    <cellStyle name="Enter Units (2) 2" xfId="268"/>
    <cellStyle name="Entered" xfId="269"/>
    <cellStyle name="Entries" xfId="270"/>
    <cellStyle name="Euro" xfId="271"/>
    <cellStyle name="Explanatory Text 2" xfId="272"/>
    <cellStyle name="Explanatory Text 3" xfId="273"/>
    <cellStyle name="Explanatory Text 4" xfId="274"/>
    <cellStyle name="Fixed" xfId="275"/>
    <cellStyle name="FullTime" xfId="276"/>
    <cellStyle name="General" xfId="277"/>
    <cellStyle name="Good 2" xfId="278"/>
    <cellStyle name="Good 3" xfId="279"/>
    <cellStyle name="Good 4" xfId="280"/>
    <cellStyle name="gray text cells" xfId="281"/>
    <cellStyle name="Grey" xfId="282"/>
    <cellStyle name="Header1" xfId="283"/>
    <cellStyle name="Header2" xfId="284"/>
    <cellStyle name="Heading" xfId="285"/>
    <cellStyle name="Heading 1 2" xfId="286"/>
    <cellStyle name="Heading 1 2 2" xfId="287"/>
    <cellStyle name="Heading 1 3" xfId="288"/>
    <cellStyle name="Heading 1 4" xfId="289"/>
    <cellStyle name="Heading 1 5" xfId="290"/>
    <cellStyle name="Heading 2 2" xfId="291"/>
    <cellStyle name="Heading 2 2 2" xfId="292"/>
    <cellStyle name="Heading 2 3" xfId="293"/>
    <cellStyle name="Heading 2 4" xfId="294"/>
    <cellStyle name="Heading 2 5" xfId="295"/>
    <cellStyle name="Heading 3 2" xfId="296"/>
    <cellStyle name="Heading 3 3" xfId="297"/>
    <cellStyle name="Heading 3 4" xfId="298"/>
    <cellStyle name="Heading 4 2" xfId="299"/>
    <cellStyle name="Heading 4 3" xfId="300"/>
    <cellStyle name="Heading 4 4" xfId="301"/>
    <cellStyle name="Heading 5" xfId="302"/>
    <cellStyle name="HEADING1" xfId="303"/>
    <cellStyle name="HEADING2" xfId="304"/>
    <cellStyle name="Hyperlink 2" xfId="305"/>
    <cellStyle name="Input [yellow]" xfId="306"/>
    <cellStyle name="Input 2" xfId="307"/>
    <cellStyle name="Input 2 2" xfId="308"/>
    <cellStyle name="Input 2 3" xfId="309"/>
    <cellStyle name="Input 3" xfId="310"/>
    <cellStyle name="Input 4" xfId="311"/>
    <cellStyle name="Input 5" xfId="312"/>
    <cellStyle name="Input 6" xfId="313"/>
    <cellStyle name="Input 7" xfId="314"/>
    <cellStyle name="Item" xfId="315"/>
    <cellStyle name="Link Currency (0)" xfId="316"/>
    <cellStyle name="Link Currency (0) 2" xfId="317"/>
    <cellStyle name="Link Currency (2)" xfId="318"/>
    <cellStyle name="Link Currency (2) 2" xfId="319"/>
    <cellStyle name="Link Units (0)" xfId="320"/>
    <cellStyle name="Link Units (0) 2" xfId="321"/>
    <cellStyle name="Link Units (1)" xfId="322"/>
    <cellStyle name="Link Units (1) 2" xfId="323"/>
    <cellStyle name="Link Units (2)" xfId="324"/>
    <cellStyle name="Link Units (2) 2" xfId="325"/>
    <cellStyle name="Linked Cell 2" xfId="326"/>
    <cellStyle name="Linked Cell 3" xfId="327"/>
    <cellStyle name="Linked Cell 4" xfId="328"/>
    <cellStyle name="Lookup" xfId="329"/>
    <cellStyle name="Milliers [0]_Basis" xfId="330"/>
    <cellStyle name="Milliers_Basis" xfId="331"/>
    <cellStyle name="Monétaire [0]_Basis" xfId="332"/>
    <cellStyle name="Monétaire_Basis" xfId="333"/>
    <cellStyle name="Money" xfId="334"/>
    <cellStyle name="Neutral 2" xfId="335"/>
    <cellStyle name="Neutral 3" xfId="336"/>
    <cellStyle name="Neutral 4" xfId="337"/>
    <cellStyle name="no dec" xfId="338"/>
    <cellStyle name="NoChange" xfId="339"/>
    <cellStyle name="Non Zero" xfId="340"/>
    <cellStyle name="Normal" xfId="0" builtinId="0"/>
    <cellStyle name="Normal - Style1" xfId="341"/>
    <cellStyle name="Normal 10" xfId="342"/>
    <cellStyle name="Normal 10 2" xfId="343"/>
    <cellStyle name="Normal 107" xfId="28"/>
    <cellStyle name="Normal 11" xfId="344"/>
    <cellStyle name="Normal 11 2" xfId="345"/>
    <cellStyle name="Normal 12" xfId="346"/>
    <cellStyle name="Normal 13" xfId="347"/>
    <cellStyle name="Normal 14" xfId="348"/>
    <cellStyle name="Normal 15" xfId="349"/>
    <cellStyle name="Normal 16" xfId="350"/>
    <cellStyle name="Normal 17" xfId="351"/>
    <cellStyle name="Normal 18" xfId="352"/>
    <cellStyle name="Normal 19" xfId="353"/>
    <cellStyle name="Normal 2" xfId="7"/>
    <cellStyle name="Normal 2 2" xfId="354"/>
    <cellStyle name="Normal 2 2 2" xfId="355"/>
    <cellStyle name="Normal 2 3" xfId="356"/>
    <cellStyle name="Normal 2 3 2" xfId="29"/>
    <cellStyle name="Normal 2 3 2 2" xfId="357"/>
    <cellStyle name="Normal 2 3 3" xfId="358"/>
    <cellStyle name="Normal 2 4" xfId="359"/>
    <cellStyle name="Normal 2 4 2" xfId="360"/>
    <cellStyle name="Normal 2 4 2 2" xfId="361"/>
    <cellStyle name="Normal 2 4 3" xfId="362"/>
    <cellStyle name="Normal 2 5" xfId="363"/>
    <cellStyle name="Normal 2 5 2" xfId="364"/>
    <cellStyle name="Normal 2 6" xfId="365"/>
    <cellStyle name="Normal 2 7" xfId="366"/>
    <cellStyle name="Normal 20" xfId="367"/>
    <cellStyle name="Normal 21" xfId="368"/>
    <cellStyle name="Normal 22" xfId="369"/>
    <cellStyle name="Normal 23" xfId="370"/>
    <cellStyle name="Normal 24" xfId="371"/>
    <cellStyle name="Normal 25" xfId="372"/>
    <cellStyle name="Normal 26" xfId="373"/>
    <cellStyle name="Normal 27" xfId="374"/>
    <cellStyle name="Normal 28" xfId="375"/>
    <cellStyle name="Normal 28 2" xfId="376"/>
    <cellStyle name="Normal 29" xfId="377"/>
    <cellStyle name="Normal 3" xfId="8"/>
    <cellStyle name="Normal 3 2" xfId="378"/>
    <cellStyle name="Normal 30" xfId="379"/>
    <cellStyle name="Normal 31" xfId="380"/>
    <cellStyle name="Normal 32" xfId="381"/>
    <cellStyle name="Normal 33" xfId="382"/>
    <cellStyle name="Normal 34" xfId="383"/>
    <cellStyle name="Normal 35" xfId="384"/>
    <cellStyle name="Normal 36" xfId="385"/>
    <cellStyle name="Normal 37" xfId="386"/>
    <cellStyle name="Normal 38" xfId="387"/>
    <cellStyle name="Normal 38 2" xfId="388"/>
    <cellStyle name="Normal 38 2 2" xfId="389"/>
    <cellStyle name="Normal 38 3" xfId="390"/>
    <cellStyle name="Normal 39" xfId="391"/>
    <cellStyle name="Normal 4" xfId="9"/>
    <cellStyle name="Normal 4 2" xfId="392"/>
    <cellStyle name="Normal 4 3" xfId="393"/>
    <cellStyle name="Normal 4 4" xfId="394"/>
    <cellStyle name="Normal 40" xfId="395"/>
    <cellStyle name="Normal 41" xfId="396"/>
    <cellStyle name="Normal 42" xfId="397"/>
    <cellStyle name="Normal 42 2" xfId="398"/>
    <cellStyle name="Normal 5" xfId="399"/>
    <cellStyle name="Normal 6" xfId="400"/>
    <cellStyle name="Normal 6 2" xfId="401"/>
    <cellStyle name="Normal 7" xfId="402"/>
    <cellStyle name="Normal 7 2" xfId="403"/>
    <cellStyle name="Normal 8" xfId="404"/>
    <cellStyle name="Normal 88" xfId="30"/>
    <cellStyle name="Normal 9" xfId="405"/>
    <cellStyle name="Normal 9 2" xfId="406"/>
    <cellStyle name="Note 2" xfId="10"/>
    <cellStyle name="Note 2 2" xfId="407"/>
    <cellStyle name="Note 2 3" xfId="408"/>
    <cellStyle name="Note 2 4" xfId="409"/>
    <cellStyle name="Note 3" xfId="410"/>
    <cellStyle name="Note 4" xfId="411"/>
    <cellStyle name="Note 5" xfId="412"/>
    <cellStyle name="Note 6" xfId="413"/>
    <cellStyle name="Note 7" xfId="414"/>
    <cellStyle name="Note 7 2" xfId="415"/>
    <cellStyle name="Note 8" xfId="416"/>
    <cellStyle name="NumberAsPercent" xfId="417"/>
    <cellStyle name="NumberFormat" xfId="418"/>
    <cellStyle name="Numbers" xfId="419"/>
    <cellStyle name="Numbers - Bold" xfId="420"/>
    <cellStyle name="Numbers_increm pf" xfId="421"/>
    <cellStyle name="NumberTo1DecPlace" xfId="422"/>
    <cellStyle name="OffWhite" xfId="423"/>
    <cellStyle name="Option" xfId="424"/>
    <cellStyle name="orange text cell" xfId="425"/>
    <cellStyle name="Output 2" xfId="426"/>
    <cellStyle name="Output 3" xfId="427"/>
    <cellStyle name="Output 4" xfId="428"/>
    <cellStyle name="Output Amounts" xfId="429"/>
    <cellStyle name="Output Column Headings" xfId="430"/>
    <cellStyle name="Output Line Items" xfId="431"/>
    <cellStyle name="Output Report Heading" xfId="432"/>
    <cellStyle name="Output Report Title" xfId="433"/>
    <cellStyle name="Pageheading" xfId="434"/>
    <cellStyle name="Percent" xfId="1" builtinId="5"/>
    <cellStyle name="Percent [0]" xfId="435"/>
    <cellStyle name="Percent [0] 2" xfId="436"/>
    <cellStyle name="Percent [00]" xfId="437"/>
    <cellStyle name="Percent [00] 2" xfId="438"/>
    <cellStyle name="Percent [2]" xfId="439"/>
    <cellStyle name="Percent 2" xfId="36"/>
    <cellStyle name="Percent 2 2" xfId="440"/>
    <cellStyle name="Percent 3" xfId="441"/>
    <cellStyle name="Percentage" xfId="442"/>
    <cellStyle name="PrePop Currency (0)" xfId="443"/>
    <cellStyle name="PrePop Currency (0) 2" xfId="444"/>
    <cellStyle name="PrePop Currency (2)" xfId="445"/>
    <cellStyle name="PrePop Currency (2) 2" xfId="446"/>
    <cellStyle name="PrePop Units (0)" xfId="447"/>
    <cellStyle name="PrePop Units (0) 2" xfId="448"/>
    <cellStyle name="PrePop Units (1)" xfId="449"/>
    <cellStyle name="PrePop Units (1) 2" xfId="450"/>
    <cellStyle name="PrePop Units (2)" xfId="451"/>
    <cellStyle name="PrePop Units (2) 2" xfId="452"/>
    <cellStyle name="PriceTo3DecPlaces" xfId="453"/>
    <cellStyle name="PriceWithBorderAround" xfId="454"/>
    <cellStyle name="PRICING" xfId="455"/>
    <cellStyle name="Product Header" xfId="456"/>
    <cellStyle name="PSChar" xfId="457"/>
    <cellStyle name="PSHeading" xfId="458"/>
    <cellStyle name="r" xfId="459"/>
    <cellStyle name="r_pldt" xfId="460"/>
    <cellStyle name="ReportLeftHeader" xfId="461"/>
    <cellStyle name="ReportRightHeader" xfId="462"/>
    <cellStyle name="results" xfId="463"/>
    <cellStyle name="RevList" xfId="464"/>
    <cellStyle name="RVRQueryHandle" xfId="465"/>
    <cellStyle name="Section" xfId="466"/>
    <cellStyle name="SecuritiesPricingTable" xfId="467"/>
    <cellStyle name="SecuritiesPricingTableFinalData" xfId="468"/>
    <cellStyle name="SecuritiesPricingTableManualData" xfId="469"/>
    <cellStyle name="SecuritiesPricingTableText" xfId="470"/>
    <cellStyle name="Short $" xfId="471"/>
    <cellStyle name="Short $ 2" xfId="472"/>
    <cellStyle name="SIZE" xfId="473"/>
    <cellStyle name="Standard_Swaps-Bonds-Blending" xfId="474"/>
    <cellStyle name="Style 1" xfId="475"/>
    <cellStyle name="StyleSecuritiesPricingTableInteger" xfId="476"/>
    <cellStyle name="Subheading" xfId="477"/>
    <cellStyle name="subtitle" xfId="478"/>
    <cellStyle name="Subtotal" xfId="479"/>
    <cellStyle name="Table" xfId="480"/>
    <cellStyle name="Tablebody" xfId="481"/>
    <cellStyle name="TablebodyDate" xfId="482"/>
    <cellStyle name="TablebodyHeading" xfId="483"/>
    <cellStyle name="TablebodyOutstandingAmount" xfId="484"/>
    <cellStyle name="TablebodyPercent" xfId="485"/>
    <cellStyle name="TablebodyPrice" xfId="486"/>
    <cellStyle name="TablebodyReverse" xfId="487"/>
    <cellStyle name="TablebodySpread" xfId="488"/>
    <cellStyle name="TablebodySpreadBorder" xfId="489"/>
    <cellStyle name="TablebodyText" xfId="490"/>
    <cellStyle name="Tableheading" xfId="491"/>
    <cellStyle name="Text" xfId="492"/>
    <cellStyle name="Text 2" xfId="493"/>
    <cellStyle name="Text Indent A" xfId="494"/>
    <cellStyle name="Text Indent B" xfId="495"/>
    <cellStyle name="Text Indent B 2" xfId="496"/>
    <cellStyle name="Text Indent C" xfId="497"/>
    <cellStyle name="Text Indent C 2" xfId="498"/>
    <cellStyle name="TextStyle" xfId="499"/>
    <cellStyle name="tic display" xfId="500"/>
    <cellStyle name="tic input" xfId="501"/>
    <cellStyle name="Title - Underline" xfId="502"/>
    <cellStyle name="Title 2" xfId="503"/>
    <cellStyle name="Title 3" xfId="504"/>
    <cellStyle name="Title 4" xfId="505"/>
    <cellStyle name="Title 5" xfId="506"/>
    <cellStyle name="Title 6" xfId="507"/>
    <cellStyle name="Title 7" xfId="508"/>
    <cellStyle name="Title Calculations" xfId="11"/>
    <cellStyle name="Title Calculations 2" xfId="509"/>
    <cellStyle name="Title Indicative" xfId="12"/>
    <cellStyle name="Title Indicative 2" xfId="510"/>
    <cellStyle name="Title Pricing Assumptions" xfId="13"/>
    <cellStyle name="Title Pricing Assumptions 2" xfId="31"/>
    <cellStyle name="Title Pricing Assumptions 2 2" xfId="32"/>
    <cellStyle name="Title Pricing Assumptions 2 3" xfId="511"/>
    <cellStyle name="Title Pricing Assumptions 3" xfId="512"/>
    <cellStyle name="Title Pricing Assumptions 3 12 8" xfId="33"/>
    <cellStyle name="Title Pricing Assumptions 3 6 4 2 8" xfId="34"/>
    <cellStyle name="Titles - Other" xfId="513"/>
    <cellStyle name="Total 2" xfId="514"/>
    <cellStyle name="Total 2 2" xfId="515"/>
    <cellStyle name="Total 3" xfId="516"/>
    <cellStyle name="Total 4" xfId="517"/>
    <cellStyle name="Warning" xfId="518"/>
    <cellStyle name="Warning Text 2" xfId="519"/>
    <cellStyle name="Warning Text 3" xfId="520"/>
    <cellStyle name="Warning Text 4" xfId="521"/>
    <cellStyle name="YB Calculations" xfId="14"/>
    <cellStyle name="YB Calculations 2" xfId="522"/>
    <cellStyle name="YB Curve" xfId="523"/>
    <cellStyle name="YB Indicative" xfId="15"/>
    <cellStyle name="YBINDIC" xfId="16"/>
    <cellStyle name="YBIOPOBE" xfId="524"/>
    <cellStyle name="YBPRICE" xfId="17"/>
    <cellStyle name="一般_原始檔案" xfId="525"/>
  </cellStyles>
  <dxfs count="31"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alignment horizontal="center" readingOrder="0"/>
    </dxf>
    <dxf>
      <alignment horizontal="center" readingOrder="0"/>
    </dxf>
    <dxf>
      <alignment horizontal="center" readingOrder="0"/>
    </dxf>
    <dxf>
      <border>
        <top style="thin">
          <color rgb="FF2E398B"/>
        </top>
        <bottom style="thin">
          <color rgb="FF2E398B"/>
        </bottom>
      </border>
    </dxf>
    <dxf>
      <border>
        <right style="thin">
          <color rgb="FF2E398A"/>
        </right>
      </border>
    </dxf>
    <dxf>
      <font>
        <b/>
        <color theme="1"/>
      </font>
      <fill>
        <patternFill>
          <bgColor rgb="FFEFEBE4"/>
        </patternFill>
      </fill>
      <border diagonalUp="0" diagonalDown="0">
        <left style="thin">
          <color rgb="FF2E398A"/>
        </left>
        <right style="thin">
          <color rgb="FF2E398A"/>
        </right>
        <top/>
        <bottom style="thin">
          <color rgb="FF2E398A"/>
        </bottom>
        <vertical/>
        <horizontal/>
      </border>
    </dxf>
    <dxf>
      <border>
        <left style="thin">
          <color rgb="FF2E398A"/>
        </left>
        <right style="thin">
          <color rgb="FF2E398A"/>
        </right>
        <top style="thin">
          <color rgb="FF2E398A"/>
        </top>
        <bottom style="thin">
          <color rgb="FF2E398A"/>
        </bottom>
      </border>
    </dxf>
  </dxfs>
  <tableStyles count="1" defaultTableStyle="TableStyleMedium2" defaultPivotStyle="PivotStyleLight16">
    <tableStyle name="Report Style" table="0" count="4">
      <tableStyleElement type="wholeTable" dxfId="30"/>
      <tableStyleElement type="headerRow" dxfId="29"/>
      <tableStyleElement type="firstColumn" dxfId="28"/>
      <tableStyleElement type="firstSubtotalRow" dxfId="27"/>
    </tableStyle>
  </tableStyles>
  <colors>
    <mruColors>
      <color rgb="FFAD275C"/>
      <color rgb="FF2E398A"/>
      <color rgb="FFEFEB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hnson Ho" refreshedDate="42067.676752893516" createdVersion="5" refreshedVersion="5" minRefreshableVersion="3" recordCount="1">
  <cacheSource type="worksheet">
    <worksheetSource name="OneWeekMtgRatesDataTable"/>
  </cacheSource>
  <cacheFields count="6">
    <cacheField name="TickerName" numFmtId="0">
      <sharedItems containsNonDate="0" containsBlank="1" count="5">
        <m/>
        <s v="30YrJumboNonConforming" u="1"/>
        <s v="30YrConformingConventional" u="1"/>
        <s v="30YrConformingFHA" u="1"/>
        <s v="30YrJumboConforming" u="1"/>
      </sharedItems>
    </cacheField>
    <cacheField name="Source" numFmtId="0">
      <sharedItems containsNonDate="0" containsBlank="1" count="5">
        <m/>
        <s v="Bank of America" u="1"/>
        <s v="Wells Fargo" u="1"/>
        <s v="Quicken" u="1"/>
        <s v="Chase" u="1"/>
      </sharedItems>
    </cacheField>
    <cacheField name="SeriesType" numFmtId="0">
      <sharedItems containsNonDate="0" containsBlank="1" count="7">
        <m/>
        <s v="Rate" u="1"/>
        <s v="Upfront MIP" u="1"/>
        <s v="APR" u="1"/>
        <s v="Loan Amount" u="1"/>
        <s v="Points" u="1"/>
        <s v="Closing Cost" u="1"/>
      </sharedItems>
    </cacheField>
    <cacheField name="Category" numFmtId="0">
      <sharedItems containsNonDate="0" containsString="0" containsBlank="1"/>
    </cacheField>
    <cacheField name="AsOfDate" numFmtId="0">
      <sharedItems containsNonDate="0" containsBlank="1" count="2">
        <m/>
        <s v="2015-03-03" u="1"/>
      </sharedItems>
    </cacheField>
    <cacheField name="SeriesNumValu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Johnson Ho" refreshedDate="42067.676764467593" createdVersion="5" refreshedVersion="5" minRefreshableVersion="3" recordCount="27">
  <cacheSource type="worksheet">
    <worksheetSource name="OneDayMtgRatesDataTable"/>
  </cacheSource>
  <cacheFields count="6">
    <cacheField name="TickerName" numFmtId="0">
      <sharedItems count="4">
        <s v="30YrConformingConventional"/>
        <s v="30YrConformingFHA"/>
        <s v="30YrJumboConforming"/>
        <s v="30YrJumboNonConforming"/>
      </sharedItems>
    </cacheField>
    <cacheField name="Source" numFmtId="0">
      <sharedItems count="4">
        <s v="Bank of America"/>
        <s v="Chase"/>
        <s v="Quicken"/>
        <s v="Wells Fargo"/>
      </sharedItems>
    </cacheField>
    <cacheField name="SeriesType" numFmtId="0">
      <sharedItems count="6">
        <s v="APR"/>
        <s v="Points"/>
        <s v="Rate"/>
        <s v="Closing Cost"/>
        <s v="Loan Amount"/>
        <s v="Upfront MIP"/>
      </sharedItems>
    </cacheField>
    <cacheField name="Category" numFmtId="0">
      <sharedItems/>
    </cacheField>
    <cacheField name="AsOfDate" numFmtId="0">
      <sharedItems count="2">
        <s v="2015-03-02"/>
        <s v="2015-03-03" u="1"/>
      </sharedItems>
    </cacheField>
    <cacheField name="SeriesNumValue" numFmtId="0">
      <sharedItems containsSemiMixedTypes="0" containsString="0" containsNumber="1" minValue="0.875" maxValue="2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Johnson Ho" refreshedDate="42067.676780324073" createdVersion="5" refreshedVersion="5" minRefreshableVersion="3" recordCount="33">
  <cacheSource type="worksheet">
    <worksheetSource name="CurrentMtgRatesDataTable"/>
  </cacheSource>
  <cacheFields count="6">
    <cacheField name="Source" numFmtId="0">
      <sharedItems count="4">
        <s v="Bank of America"/>
        <s v="Chase"/>
        <s v="Quicken"/>
        <s v="Wells Fargo"/>
      </sharedItems>
    </cacheField>
    <cacheField name="TickerName" numFmtId="0">
      <sharedItems count="4">
        <s v="30YrConformingConventional"/>
        <s v="30YrConformingFHA"/>
        <s v="30YrJumboConforming"/>
        <s v="30YrJumboNonConforming"/>
      </sharedItems>
    </cacheField>
    <cacheField name="SeriesType" numFmtId="0">
      <sharedItems count="6">
        <s v="APR"/>
        <s v="Points"/>
        <s v="Rate"/>
        <s v="Closing Cost"/>
        <s v="Loan Amount"/>
        <s v="Upfront MIP"/>
      </sharedItems>
    </cacheField>
    <cacheField name="Category" numFmtId="0">
      <sharedItems/>
    </cacheField>
    <cacheField name="AsOfDate" numFmtId="14">
      <sharedItems count="2">
        <s v="2015-03-03"/>
        <s v="2015-03-02" u="1"/>
      </sharedItems>
    </cacheField>
    <cacheField name="SeriesNumValue" numFmtId="0">
      <sharedItems containsSemiMixedTypes="0" containsString="0" containsNumber="1" minValue="0.71299999999999997" maxValue="7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x v="0"/>
    <x v="0"/>
    <m/>
    <x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7">
  <r>
    <x v="0"/>
    <x v="0"/>
    <x v="0"/>
    <s v="MTG"/>
    <x v="0"/>
    <n v="4.0629999999999997"/>
  </r>
  <r>
    <x v="0"/>
    <x v="0"/>
    <x v="1"/>
    <s v="MTG"/>
    <x v="0"/>
    <n v="0.95799999999999996"/>
  </r>
  <r>
    <x v="0"/>
    <x v="0"/>
    <x v="2"/>
    <s v="MTG"/>
    <x v="0"/>
    <n v="3.875"/>
  </r>
  <r>
    <x v="0"/>
    <x v="1"/>
    <x v="0"/>
    <s v="MTG"/>
    <x v="0"/>
    <n v="4.1980000000000004"/>
  </r>
  <r>
    <x v="0"/>
    <x v="1"/>
    <x v="1"/>
    <s v="MTG"/>
    <x v="0"/>
    <n v="0.875"/>
  </r>
  <r>
    <x v="0"/>
    <x v="1"/>
    <x v="2"/>
    <s v="MTG"/>
    <x v="0"/>
    <n v="4.1980000000000004"/>
  </r>
  <r>
    <x v="0"/>
    <x v="2"/>
    <x v="0"/>
    <s v="MTG"/>
    <x v="0"/>
    <n v="3.9980000000000002"/>
  </r>
  <r>
    <x v="0"/>
    <x v="2"/>
    <x v="1"/>
    <s v="MTG"/>
    <x v="0"/>
    <n v="2.125"/>
  </r>
  <r>
    <x v="0"/>
    <x v="2"/>
    <x v="2"/>
    <s v="MTG"/>
    <x v="0"/>
    <n v="3.75"/>
  </r>
  <r>
    <x v="0"/>
    <x v="3"/>
    <x v="0"/>
    <s v="MTG"/>
    <x v="0"/>
    <n v="4.0469999999999997"/>
  </r>
  <r>
    <x v="0"/>
    <x v="3"/>
    <x v="1"/>
    <s v="MTG"/>
    <x v="0"/>
    <n v="1"/>
  </r>
  <r>
    <x v="0"/>
    <x v="3"/>
    <x v="2"/>
    <s v="MTG"/>
    <x v="0"/>
    <n v="4"/>
  </r>
  <r>
    <x v="1"/>
    <x v="2"/>
    <x v="0"/>
    <s v="MTG"/>
    <x v="0"/>
    <n v="4.2699999999999996"/>
  </r>
  <r>
    <x v="1"/>
    <x v="2"/>
    <x v="1"/>
    <s v="MTG"/>
    <x v="0"/>
    <n v="2.25"/>
  </r>
  <r>
    <x v="1"/>
    <x v="2"/>
    <x v="2"/>
    <s v="MTG"/>
    <x v="0"/>
    <n v="3.375"/>
  </r>
  <r>
    <x v="1"/>
    <x v="3"/>
    <x v="0"/>
    <s v="MTG"/>
    <x v="0"/>
    <n v="4.79"/>
  </r>
  <r>
    <x v="1"/>
    <x v="3"/>
    <x v="3"/>
    <s v="MTG"/>
    <x v="0"/>
    <n v="6762"/>
  </r>
  <r>
    <x v="1"/>
    <x v="3"/>
    <x v="4"/>
    <s v="MTG"/>
    <x v="0"/>
    <n v="200000"/>
  </r>
  <r>
    <x v="1"/>
    <x v="3"/>
    <x v="1"/>
    <s v="MTG"/>
    <x v="0"/>
    <n v="1"/>
  </r>
  <r>
    <x v="1"/>
    <x v="3"/>
    <x v="2"/>
    <s v="MTG"/>
    <x v="0"/>
    <n v="3.75"/>
  </r>
  <r>
    <x v="1"/>
    <x v="3"/>
    <x v="5"/>
    <s v="MTG"/>
    <x v="0"/>
    <n v="3500"/>
  </r>
  <r>
    <x v="2"/>
    <x v="3"/>
    <x v="0"/>
    <s v="MTG"/>
    <x v="0"/>
    <n v="4.1280000000000001"/>
  </r>
  <r>
    <x v="2"/>
    <x v="3"/>
    <x v="1"/>
    <s v="MTG"/>
    <x v="0"/>
    <n v="1"/>
  </r>
  <r>
    <x v="2"/>
    <x v="3"/>
    <x v="2"/>
    <s v="MTG"/>
    <x v="0"/>
    <n v="4.125"/>
  </r>
  <r>
    <x v="3"/>
    <x v="3"/>
    <x v="0"/>
    <s v="MTG"/>
    <x v="0"/>
    <n v="4.0149999999999997"/>
  </r>
  <r>
    <x v="3"/>
    <x v="3"/>
    <x v="1"/>
    <s v="MTG"/>
    <x v="0"/>
    <n v="1"/>
  </r>
  <r>
    <x v="3"/>
    <x v="3"/>
    <x v="2"/>
    <s v="MTG"/>
    <x v="0"/>
    <n v="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3">
  <r>
    <x v="0"/>
    <x v="0"/>
    <x v="0"/>
    <s v="MTG"/>
    <x v="0"/>
    <n v="4.17"/>
  </r>
  <r>
    <x v="0"/>
    <x v="0"/>
    <x v="1"/>
    <s v="MTG"/>
    <x v="0"/>
    <n v="0.71299999999999997"/>
  </r>
  <r>
    <x v="0"/>
    <x v="0"/>
    <x v="2"/>
    <s v="MTG"/>
    <x v="0"/>
    <n v="4"/>
  </r>
  <r>
    <x v="1"/>
    <x v="0"/>
    <x v="0"/>
    <s v="MTG"/>
    <x v="0"/>
    <n v="4.2190000000000003"/>
  </r>
  <r>
    <x v="1"/>
    <x v="0"/>
    <x v="1"/>
    <s v="MTG"/>
    <x v="0"/>
    <n v="1.125"/>
  </r>
  <r>
    <x v="1"/>
    <x v="0"/>
    <x v="2"/>
    <s v="MTG"/>
    <x v="0"/>
    <n v="4.125"/>
  </r>
  <r>
    <x v="2"/>
    <x v="0"/>
    <x v="0"/>
    <s v="MTG"/>
    <x v="0"/>
    <n v="4.008"/>
  </r>
  <r>
    <x v="2"/>
    <x v="0"/>
    <x v="1"/>
    <s v="MTG"/>
    <x v="0"/>
    <n v="2.25"/>
  </r>
  <r>
    <x v="2"/>
    <x v="0"/>
    <x v="2"/>
    <s v="MTG"/>
    <x v="0"/>
    <n v="3.75"/>
  </r>
  <r>
    <x v="3"/>
    <x v="0"/>
    <x v="0"/>
    <s v="MTG"/>
    <x v="0"/>
    <n v="4.1470000000000002"/>
  </r>
  <r>
    <x v="3"/>
    <x v="0"/>
    <x v="3"/>
    <s v="MTG"/>
    <x v="0"/>
    <n v="6529"/>
  </r>
  <r>
    <x v="3"/>
    <x v="0"/>
    <x v="4"/>
    <s v="MTG"/>
    <x v="0"/>
    <n v="200000"/>
  </r>
  <r>
    <x v="3"/>
    <x v="0"/>
    <x v="1"/>
    <s v="MTG"/>
    <x v="0"/>
    <n v="1"/>
  </r>
  <r>
    <x v="3"/>
    <x v="0"/>
    <x v="2"/>
    <s v="MTG"/>
    <x v="0"/>
    <n v="4.125"/>
  </r>
  <r>
    <x v="2"/>
    <x v="1"/>
    <x v="0"/>
    <s v="MTG"/>
    <x v="0"/>
    <n v="4.2699999999999996"/>
  </r>
  <r>
    <x v="2"/>
    <x v="1"/>
    <x v="1"/>
    <s v="MTG"/>
    <x v="0"/>
    <n v="2.25"/>
  </r>
  <r>
    <x v="2"/>
    <x v="1"/>
    <x v="2"/>
    <s v="MTG"/>
    <x v="0"/>
    <n v="3.375"/>
  </r>
  <r>
    <x v="3"/>
    <x v="1"/>
    <x v="0"/>
    <s v="MTG"/>
    <x v="0"/>
    <n v="4.9050000000000002"/>
  </r>
  <r>
    <x v="3"/>
    <x v="1"/>
    <x v="3"/>
    <s v="MTG"/>
    <x v="0"/>
    <n v="6529"/>
  </r>
  <r>
    <x v="3"/>
    <x v="1"/>
    <x v="4"/>
    <s v="MTG"/>
    <x v="0"/>
    <n v="200000"/>
  </r>
  <r>
    <x v="3"/>
    <x v="1"/>
    <x v="1"/>
    <s v="MTG"/>
    <x v="0"/>
    <n v="1"/>
  </r>
  <r>
    <x v="3"/>
    <x v="1"/>
    <x v="2"/>
    <s v="MTG"/>
    <x v="0"/>
    <n v="3.875"/>
  </r>
  <r>
    <x v="3"/>
    <x v="1"/>
    <x v="5"/>
    <s v="MTG"/>
    <x v="0"/>
    <n v="3500"/>
  </r>
  <r>
    <x v="3"/>
    <x v="2"/>
    <x v="0"/>
    <s v="MTG"/>
    <x v="0"/>
    <n v="4.1479999999999997"/>
  </r>
  <r>
    <x v="3"/>
    <x v="2"/>
    <x v="3"/>
    <s v="MTG"/>
    <x v="0"/>
    <n v="3602"/>
  </r>
  <r>
    <x v="3"/>
    <x v="2"/>
    <x v="4"/>
    <s v="MTG"/>
    <x v="0"/>
    <n v="500000"/>
  </r>
  <r>
    <x v="3"/>
    <x v="2"/>
    <x v="1"/>
    <s v="MTG"/>
    <x v="0"/>
    <n v="1"/>
  </r>
  <r>
    <x v="3"/>
    <x v="2"/>
    <x v="2"/>
    <s v="MTG"/>
    <x v="0"/>
    <n v="4.125"/>
  </r>
  <r>
    <x v="3"/>
    <x v="3"/>
    <x v="0"/>
    <s v="MTG"/>
    <x v="0"/>
    <n v="4.125"/>
  </r>
  <r>
    <x v="3"/>
    <x v="3"/>
    <x v="3"/>
    <s v="MTG"/>
    <x v="0"/>
    <n v="1262"/>
  </r>
  <r>
    <x v="3"/>
    <x v="3"/>
    <x v="4"/>
    <s v="MTG"/>
    <x v="0"/>
    <n v="750000"/>
  </r>
  <r>
    <x v="3"/>
    <x v="3"/>
    <x v="1"/>
    <s v="MTG"/>
    <x v="0"/>
    <n v="1"/>
  </r>
  <r>
    <x v="3"/>
    <x v="3"/>
    <x v="2"/>
    <s v="MTG"/>
    <x v="0"/>
    <n v="4.1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4" cacheId="9" applyNumberFormats="0" applyBorderFormats="0" applyFontFormats="0" applyPatternFormats="0" applyAlignmentFormats="0" applyWidthHeightFormats="1" dataCaption="Values" updatedVersion="5" minRefreshableVersion="3" showDrill="0" rowGrandTotals="0" colGrandTotals="0" itemPrintTitles="1" createdVersion="5" indent="0" compact="0" compactData="0" multipleFieldFilters="0">
  <location ref="A57:D59" firstHeaderRow="1" firstDataRow="2" firstDataCol="3"/>
  <pivotFields count="6">
    <pivotField axis="axisRow" compact="0" outline="0" showAll="0" defaultSubtotal="0">
      <items count="5">
        <item m="1" x="2"/>
        <item m="1" x="3"/>
        <item m="1" x="4"/>
        <item m="1" x="1"/>
        <item x="0"/>
      </items>
    </pivotField>
    <pivotField axis="axisRow" compact="0" outline="0" showAll="0" defaultSubtotal="0">
      <items count="5">
        <item m="1" x="2"/>
        <item m="1" x="3"/>
        <item m="1" x="1"/>
        <item m="1" x="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8">
        <item m="1" x="1"/>
        <item m="1" x="5"/>
        <item m="1" x="3"/>
        <item m="1" x="6"/>
        <item m="1" x="4"/>
        <item m="1" x="2"/>
        <item x="0"/>
        <item t="default"/>
      </items>
    </pivotField>
    <pivotField compact="0" outline="0" showAll="0"/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1"/>
    <field x="0"/>
  </rowFields>
  <rowItems count="1">
    <i>
      <x v="1"/>
      <x v="4"/>
      <x v="4"/>
    </i>
  </rowItems>
  <colFields count="1">
    <field x="2"/>
  </colFields>
  <colItems count="1">
    <i>
      <x v="6"/>
    </i>
  </colItems>
  <dataFields count="1">
    <dataField name="Sum of SeriesNumValue" fld="5" baseField="0" baseItem="0"/>
  </dataFields>
  <formats count="1">
    <format dxfId="24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10" applyNumberFormats="0" applyBorderFormats="0" applyFontFormats="0" applyPatternFormats="0" applyAlignmentFormats="0" applyWidthHeightFormats="1" dataCaption="Values" updatedVersion="5" minRefreshableVersion="3" showDrill="0" rowGrandTotals="0" colGrandTotals="0" itemPrintTitles="1" createdVersion="5" indent="0" compact="0" compactData="0" multipleFieldFilters="0">
  <location ref="A29:I38" firstHeaderRow="1" firstDataRow="2" firstDataCol="3"/>
  <pivotFields count="6">
    <pivotField axis="axisRow" compact="0" outline="0" showAll="0" defaultSubtotal="0">
      <items count="4">
        <item x="0"/>
        <item x="1"/>
        <item x="2"/>
        <item x="3"/>
      </items>
    </pivotField>
    <pivotField axis="axisRow" compact="0" outline="0" showAll="0" defaultSubtotal="0">
      <items count="4">
        <item x="3"/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7">
        <item x="2"/>
        <item x="1"/>
        <item x="0"/>
        <item x="3"/>
        <item x="4"/>
        <item x="5"/>
        <item t="default"/>
      </items>
    </pivotField>
    <pivotField compact="0" outline="0" showAll="0"/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1"/>
    <field x="0"/>
  </rowFields>
  <rowItems count="8">
    <i>
      <x v="1"/>
      <x/>
      <x/>
    </i>
    <i r="2">
      <x v="1"/>
    </i>
    <i r="2">
      <x v="2"/>
    </i>
    <i r="2">
      <x v="3"/>
    </i>
    <i r="1">
      <x v="1"/>
      <x/>
    </i>
    <i r="2">
      <x v="1"/>
    </i>
    <i r="1">
      <x v="2"/>
      <x/>
    </i>
    <i r="1">
      <x v="3"/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>
      <x v="5"/>
    </i>
  </colItems>
  <dataFields count="1">
    <dataField name="Sum of SeriesNumValue" fld="5" baseField="0" baseItem="0"/>
  </dataFields>
  <formats count="1">
    <format dxfId="25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RatesSummaryTable" cacheId="11" applyNumberFormats="0" applyBorderFormats="0" applyFontFormats="0" applyPatternFormats="0" applyAlignmentFormats="0" applyWidthHeightFormats="1" dataCaption="Values" updatedVersion="5" minRefreshableVersion="3" showDrill="0" rowGrandTotals="0" colGrandTotals="0" itemPrintTitles="1" createdVersion="5" indent="0" compact="0" compactData="0" multipleFieldFilters="0">
  <location ref="A3:I12" firstHeaderRow="1" firstDataRow="2" firstDataCol="3"/>
  <pivotFields count="6">
    <pivotField axis="axisRow" compact="0" outline="0" showAll="0" defaultSubtotal="0">
      <items count="4">
        <item x="3"/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1"/>
        <item x="2"/>
        <item x="3"/>
      </items>
    </pivotField>
    <pivotField axis="axisCol" compact="0" outline="0" showAll="0">
      <items count="7">
        <item x="2"/>
        <item x="1"/>
        <item x="0"/>
        <item x="3"/>
        <item x="4"/>
        <item x="5"/>
        <item t="default"/>
      </items>
    </pivotField>
    <pivotField compact="0" outline="0" showAll="0"/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0"/>
    <field x="1"/>
  </rowFields>
  <rowItems count="8">
    <i>
      <x v="1"/>
      <x/>
      <x/>
    </i>
    <i r="2">
      <x v="1"/>
    </i>
    <i r="2">
      <x v="2"/>
    </i>
    <i r="2">
      <x v="3"/>
    </i>
    <i r="1">
      <x v="1"/>
      <x/>
    </i>
    <i r="2">
      <x v="1"/>
    </i>
    <i r="1">
      <x v="2"/>
      <x/>
    </i>
    <i r="1">
      <x v="3"/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>
      <x v="5"/>
    </i>
  </colItems>
  <dataFields count="1">
    <dataField name="Sum of SeriesNumValue" fld="5" baseField="0" baseItem="0"/>
  </dataFields>
  <formats count="1">
    <format dxfId="26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" backgroundRefresh="0" adjustColumnWidth="0" connectionId="5" autoFormatId="16" applyNumberFormats="0" applyBorderFormats="0" applyFontFormats="0" applyPatternFormats="0" applyAlignmentFormats="0" applyWidthHeightFormats="0">
  <queryTableRefresh nextId="56">
    <queryTableFields count="6">
      <queryTableField id="44" name="Source" tableColumnId="3"/>
      <queryTableField id="45" name="TickerName" tableColumnId="4"/>
      <queryTableField id="46" name="SeriesType" tableColumnId="5"/>
      <queryTableField id="47" name="Category" tableColumnId="6"/>
      <queryTableField id="51" name="AsOfDate" tableColumnId="10"/>
      <queryTableField id="52" name="SeriesNumValue" tableColumnId="11"/>
    </queryTableFields>
  </queryTableRefresh>
</queryTable>
</file>

<file path=xl/queryTables/queryTable2.xml><?xml version="1.0" encoding="utf-8"?>
<queryTable xmlns="http://schemas.openxmlformats.org/spreadsheetml/2006/main" name="Query from Agency_1" backgroundRefresh="0" adjustColumnWidth="0" connectionId="3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queryTables/queryTable3.xml><?xml version="1.0" encoding="utf-8"?>
<queryTable xmlns="http://schemas.openxmlformats.org/spreadsheetml/2006/main" name="Query from Agency_2" backgroundRefresh="0" adjustColumnWidth="0" connectionId="1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queryTables/queryTable4.xml><?xml version="1.0" encoding="utf-8"?>
<queryTable xmlns="http://schemas.openxmlformats.org/spreadsheetml/2006/main" name="Query from Agency_3" backgroundRefresh="0" connectionId="2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5.xml><?xml version="1.0" encoding="utf-8"?>
<queryTable xmlns="http://schemas.openxmlformats.org/spreadsheetml/2006/main" name="Query from Agency_4" backgroundRefresh="0" adjustColumnWidth="0" connectionId="4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id="1" name="CurrentMtgRatesDataTable" displayName="CurrentMtgRatesDataTable" ref="A6:F39" tableType="queryTable" totalsRowShown="0" headerRowDxfId="23" dataDxfId="22">
  <tableColumns count="6">
    <tableColumn id="3" uniqueName="3" name="Source" queryTableFieldId="44" dataDxfId="21" dataCellStyle="Normal 2 7"/>
    <tableColumn id="4" uniqueName="4" name="TickerName" queryTableFieldId="45" dataDxfId="20" dataCellStyle="Normal 2 7"/>
    <tableColumn id="5" uniqueName="5" name="SeriesType" queryTableFieldId="46" dataDxfId="19" dataCellStyle="Normal 2 7"/>
    <tableColumn id="6" uniqueName="6" name="Category" queryTableFieldId="47" dataDxfId="18" dataCellStyle="Normal 2 7"/>
    <tableColumn id="10" uniqueName="10" name="AsOfDate" queryTableFieldId="51" dataDxfId="17" dataCellStyle="Normal 2 7"/>
    <tableColumn id="11" uniqueName="11" name="SeriesNumValue" queryTableFieldId="52" dataDxfId="16" dataCellStyle="Normal 2 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imeSeriesDataTable3" displayName="TimeSeriesDataTable3" ref="P1:P2" tableType="queryTable" totalsRowShown="0">
  <tableColumns count="1">
    <tableColumn id="1" uniqueName="1" name="Column1" queryTableFieldId="56" dataCellStyle="Normal 2 7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id="3" name="TimeSeriesDataTable34" displayName="TimeSeriesDataTable34" ref="H1:H2" tableType="queryTable" totalsRowShown="0">
  <tableColumns count="1">
    <tableColumn id="1" uniqueName="1" name="Column1" queryTableFieldId="56" dataCellStyle="Normal 2 7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id="4" name="OneDayMtgRatesDataTable" displayName="OneDayMtgRatesDataTable" ref="I6:N33" tableType="queryTable" totalsRowShown="0" headerRowDxfId="15" dataDxfId="14">
  <tableColumns count="6">
    <tableColumn id="2" uniqueName="2" name="TickerName" queryTableFieldId="57" dataDxfId="13"/>
    <tableColumn id="3" uniqueName="3" name="Source" queryTableFieldId="58" dataDxfId="12"/>
    <tableColumn id="4" uniqueName="4" name="SeriesType" queryTableFieldId="59" dataDxfId="11"/>
    <tableColumn id="5" uniqueName="5" name="Category" queryTableFieldId="60" dataDxfId="10"/>
    <tableColumn id="6" uniqueName="6" name="AsOfDate" queryTableFieldId="61" dataDxfId="9"/>
    <tableColumn id="7" uniqueName="7" name="SeriesNumValue" queryTableFieldId="62" dataDxfId="8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OneWeekMtgRatesDataTable" displayName="OneWeekMtgRatesDataTable" ref="Q6:V7" tableType="queryTable" insertRow="1" totalsRowShown="0" headerRowDxfId="7" dataDxfId="6">
  <tableColumns count="6">
    <tableColumn id="2" uniqueName="2" name="TickerName" queryTableFieldId="57" dataDxfId="5" dataCellStyle="Normal 2 7"/>
    <tableColumn id="3" uniqueName="3" name="Source" queryTableFieldId="58" dataDxfId="4" dataCellStyle="Normal 2 7"/>
    <tableColumn id="4" uniqueName="4" name="SeriesType" queryTableFieldId="59" dataDxfId="3" dataCellStyle="Normal 2 7"/>
    <tableColumn id="5" uniqueName="5" name="Category" queryTableFieldId="60" dataDxfId="2" dataCellStyle="Normal 2 7"/>
    <tableColumn id="6" uniqueName="6" name="AsOfDate" queryTableFieldId="61" dataDxfId="1" dataCellStyle="Normal 2 7"/>
    <tableColumn id="7" uniqueName="7" name="SeriesNumValue" queryTableFieldId="62" dataDxfId="0" dataCellStyle="Normal 2 7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F0"/>
    <pageSetUpPr fitToPage="1"/>
  </sheetPr>
  <dimension ref="C1:V29"/>
  <sheetViews>
    <sheetView tabSelected="1" zoomScaleNormal="100" workbookViewId="0">
      <selection activeCell="S7" sqref="S7"/>
    </sheetView>
  </sheetViews>
  <sheetFormatPr defaultRowHeight="15"/>
  <cols>
    <col min="1" max="1" width="9.140625" customWidth="1"/>
    <col min="3" max="3" width="28.42578125" customWidth="1"/>
    <col min="4" max="4" width="4.7109375" customWidth="1"/>
    <col min="5" max="9" width="4.7109375" style="1" customWidth="1"/>
    <col min="10" max="10" width="12.7109375" style="1" customWidth="1"/>
    <col min="11" max="11" width="15.140625" style="1" bestFit="1" customWidth="1"/>
    <col min="12" max="13" width="12.7109375" customWidth="1"/>
    <col min="14" max="14" width="13.85546875" bestFit="1" customWidth="1"/>
    <col min="15" max="15" width="14.42578125" bestFit="1" customWidth="1"/>
    <col min="16" max="18" width="12.7109375" style="1" customWidth="1"/>
    <col min="19" max="19" width="7.7109375" customWidth="1"/>
    <col min="21" max="21" width="14.140625" customWidth="1"/>
    <col min="22" max="22" width="40.85546875" bestFit="1" customWidth="1"/>
  </cols>
  <sheetData>
    <row r="1" spans="3:22">
      <c r="U1" s="104" t="s">
        <v>65</v>
      </c>
      <c r="V1" s="105" t="s">
        <v>66</v>
      </c>
    </row>
    <row r="2" spans="3:22">
      <c r="U2" s="104" t="s">
        <v>67</v>
      </c>
      <c r="V2" s="106">
        <v>42066</v>
      </c>
    </row>
    <row r="3" spans="3:22" s="1" customFormat="1">
      <c r="U3" s="104" t="s">
        <v>79</v>
      </c>
      <c r="V3" s="105" t="str">
        <f>"S:\Users\Lien\Reports\Mtg Report " &amp; TEXT(CurrentCloseDate, "yyyy-mm-dd") &amp; ".pdf"</f>
        <v>S:\Users\Lien\Reports\Mtg Report 2015-03-03.pdf</v>
      </c>
    </row>
    <row r="4" spans="3:22" s="1" customFormat="1">
      <c r="U4" s="58"/>
      <c r="V4" s="60"/>
    </row>
    <row r="5" spans="3:22" s="1" customFormat="1">
      <c r="U5" s="58"/>
    </row>
    <row r="6" spans="3:22" s="1" customFormat="1">
      <c r="U6" s="58"/>
    </row>
    <row r="7" spans="3:22">
      <c r="V7" s="1"/>
    </row>
    <row r="10" spans="3:22">
      <c r="C10" s="107" t="s">
        <v>68</v>
      </c>
    </row>
    <row r="11" spans="3:22" s="60" customFormat="1" ht="18" customHeight="1">
      <c r="C11" s="150" t="s">
        <v>17</v>
      </c>
      <c r="D11" s="117" t="s">
        <v>22</v>
      </c>
      <c r="E11" s="113"/>
      <c r="F11" s="113"/>
      <c r="G11" s="113" t="s">
        <v>1</v>
      </c>
      <c r="H11" s="113"/>
      <c r="I11" s="114"/>
      <c r="J11" s="98" t="s">
        <v>32</v>
      </c>
      <c r="K11" s="98" t="s">
        <v>10</v>
      </c>
      <c r="L11" s="98" t="s">
        <v>11</v>
      </c>
      <c r="M11" s="99" t="s">
        <v>23</v>
      </c>
      <c r="N11" s="100" t="s">
        <v>31</v>
      </c>
      <c r="O11" s="99" t="s">
        <v>50</v>
      </c>
      <c r="P11" s="98" t="s">
        <v>83</v>
      </c>
      <c r="Q11" s="98" t="s">
        <v>81</v>
      </c>
      <c r="R11" s="100" t="s">
        <v>82</v>
      </c>
    </row>
    <row r="12" spans="3:22" s="154" customFormat="1" ht="18" customHeight="1">
      <c r="C12" s="153" t="s">
        <v>18</v>
      </c>
      <c r="D12" s="118">
        <f>'BoA - Conventional'!C4</f>
        <v>3.875E-2</v>
      </c>
      <c r="E12" s="115"/>
      <c r="F12" s="115"/>
      <c r="G12" s="115">
        <f>'BoA - Conventional'!C5</f>
        <v>4.0940000000000004E-2</v>
      </c>
      <c r="H12" s="115"/>
      <c r="I12" s="116"/>
      <c r="J12" s="54">
        <f>'BoA - Conventional'!F5</f>
        <v>1.3129999999999999E-2</v>
      </c>
      <c r="K12" s="54">
        <f>'BoA - Conventional'!F6</f>
        <v>1.2992569695680831E-2</v>
      </c>
      <c r="L12" s="54">
        <f>'BoA - Conventional'!F7</f>
        <v>2.6122569695680831E-2</v>
      </c>
      <c r="M12" s="64">
        <f>'BoA - Conventional'!I4</f>
        <v>4.2780642423920205E-2</v>
      </c>
      <c r="N12" s="65">
        <f>M12-D$28</f>
        <v>1.4438643023627306E-2</v>
      </c>
      <c r="O12" s="67">
        <f>(M12-'Historic Result'!C5)*100*100</f>
        <v>2.2566974095517001</v>
      </c>
      <c r="P12" s="53">
        <f>(N12-'Historic Result'!D5)*100*100</f>
        <v>-1.9998008987033231</v>
      </c>
      <c r="Q12" s="53">
        <f>(M12-'Historic Result'!E5)*100*100</f>
        <v>10.854514442496798</v>
      </c>
      <c r="R12" s="61">
        <f>(N12-'Historic Result'!F5)*100*100</f>
        <v>3.8539166664488049</v>
      </c>
    </row>
    <row r="13" spans="3:22" s="154" customFormat="1" ht="18" customHeight="1">
      <c r="C13" s="153" t="s">
        <v>19</v>
      </c>
      <c r="D13" s="118">
        <f>'Chase - Conventional'!C4</f>
        <v>4.1250000000000002E-2</v>
      </c>
      <c r="E13" s="115"/>
      <c r="F13" s="115"/>
      <c r="G13" s="115">
        <f>'Chase - Conventional'!C5</f>
        <v>4.2089999999999995E-2</v>
      </c>
      <c r="H13" s="115"/>
      <c r="I13" s="116"/>
      <c r="J13" s="54" t="s">
        <v>3</v>
      </c>
      <c r="K13" s="54" t="s">
        <v>3</v>
      </c>
      <c r="L13" s="54">
        <f>'Chase - Conventional'!F7</f>
        <v>9.9947928123548246E-3</v>
      </c>
      <c r="M13" s="64">
        <f>'Chase - Conventional'!I4</f>
        <v>4.1248698203088706E-2</v>
      </c>
      <c r="N13" s="65">
        <f>M13-D$28</f>
        <v>1.2906698802795807E-2</v>
      </c>
      <c r="O13" s="67">
        <f>(M13-'Historic Result'!C6)*100*100</f>
        <v>-2.9498270760541789</v>
      </c>
      <c r="P13" s="53">
        <f>(N13-'Historic Result'!D6)*100*100</f>
        <v>-7.2063253843092019</v>
      </c>
      <c r="Q13" s="53">
        <f>(M13-'Historic Result'!E6)*100*100</f>
        <v>-6.1517143491898736</v>
      </c>
      <c r="R13" s="61">
        <f>(N13-'Historic Result'!F6)*100*100</f>
        <v>-13.15231212523787</v>
      </c>
    </row>
    <row r="14" spans="3:22" s="154" customFormat="1" ht="18" customHeight="1">
      <c r="C14" s="153" t="s">
        <v>20</v>
      </c>
      <c r="D14" s="118">
        <f>'Quicken - Conventional'!C4</f>
        <v>3.875E-2</v>
      </c>
      <c r="E14" s="115"/>
      <c r="F14" s="115"/>
      <c r="G14" s="115">
        <f>'Quicken - Conventional'!C5</f>
        <v>4.0919999999999998E-2</v>
      </c>
      <c r="H14" s="115"/>
      <c r="I14" s="116"/>
      <c r="J14" s="54">
        <f>'Quicken - Conventional'!F5</f>
        <v>1.7500000000000002E-2</v>
      </c>
      <c r="K14" s="54">
        <f>'Quicken - Conventional'!F6</f>
        <v>8.3886104201991857E-3</v>
      </c>
      <c r="L14" s="54">
        <f>'Quicken - Conventional'!F7</f>
        <v>2.5888610420199187E-2</v>
      </c>
      <c r="M14" s="64">
        <f>'Quicken - Conventional'!I4</f>
        <v>4.2722152605049794E-2</v>
      </c>
      <c r="N14" s="65">
        <f>M14-D$28</f>
        <v>1.4380153204756895E-2</v>
      </c>
      <c r="O14" s="67">
        <f>(M14-'Historic Result'!C7)*100*100</f>
        <v>-4.412043766444107E-4</v>
      </c>
      <c r="P14" s="53">
        <f>(N14-'Historic Result'!D7)*100*100</f>
        <v>-4.2569395126316678</v>
      </c>
      <c r="Q14" s="53">
        <f>(M14-'Historic Result'!E7)*100*100</f>
        <v>6.1521719698159893</v>
      </c>
      <c r="R14" s="61">
        <f>(N14-'Historic Result'!F7)*100*100</f>
        <v>-0.8484258062320047</v>
      </c>
    </row>
    <row r="15" spans="3:22" s="154" customFormat="1" ht="18" customHeight="1">
      <c r="C15" s="153" t="s">
        <v>21</v>
      </c>
      <c r="D15" s="118">
        <f>CIR</f>
        <v>4.1250000000000002E-2</v>
      </c>
      <c r="E15" s="115"/>
      <c r="F15" s="115"/>
      <c r="G15" s="115">
        <f>CAPR</f>
        <v>4.147E-2</v>
      </c>
      <c r="H15" s="115"/>
      <c r="I15" s="116"/>
      <c r="J15" s="54">
        <f>'Wells - Conventional'!F6</f>
        <v>2.6321592179967546E-3</v>
      </c>
      <c r="K15" s="54">
        <f>'Wells - Conventional'!F8</f>
        <v>8.8400000000000006E-3</v>
      </c>
      <c r="L15" s="54">
        <f>'Wells - Conventional'!F9</f>
        <v>1.1472159217996755E-2</v>
      </c>
      <c r="M15" s="64">
        <f>'Wells - Conventional'!I4</f>
        <v>4.1618039804499192E-2</v>
      </c>
      <c r="N15" s="65">
        <f>M15-D$28</f>
        <v>1.3276040404206293E-2</v>
      </c>
      <c r="O15" s="67">
        <f>(M15-'Historic Result'!C8)*100*100</f>
        <v>0</v>
      </c>
      <c r="P15" s="53">
        <f>(N15-'Historic Result'!D8)*100*100</f>
        <v>-4.256498308255023</v>
      </c>
      <c r="Q15" s="53">
        <f>(M15-'Historic Result'!E8)*100*100</f>
        <v>-13.838801568194226</v>
      </c>
      <c r="R15" s="61">
        <f>(N15-'Historic Result'!F8)*100*100</f>
        <v>-20.839399344242221</v>
      </c>
    </row>
    <row r="16" spans="3:22" s="154" customFormat="1" ht="18" customHeight="1">
      <c r="C16" s="155" t="s">
        <v>24</v>
      </c>
      <c r="D16" s="127">
        <f>AVERAGE(D12:D15)</f>
        <v>0.04</v>
      </c>
      <c r="E16" s="125"/>
      <c r="F16" s="125"/>
      <c r="G16" s="125">
        <f>AVERAGE(G12:I15)</f>
        <v>4.1354999999999996E-2</v>
      </c>
      <c r="H16" s="125"/>
      <c r="I16" s="126"/>
      <c r="J16" s="81">
        <f>AVERAGE(J12,J14:J15)</f>
        <v>1.108738640599892E-2</v>
      </c>
      <c r="K16" s="81">
        <f>AVERAGE(K12,K14:K15)</f>
        <v>1.0073726705293339E-2</v>
      </c>
      <c r="L16" s="81">
        <f>AVERAGE(L12,L14:L15)</f>
        <v>2.1161113111292259E-2</v>
      </c>
      <c r="M16" s="82">
        <f t="shared" ref="L16:M16" si="0">AVERAGE(M12:M15)</f>
        <v>4.2092383259139471E-2</v>
      </c>
      <c r="N16" s="83">
        <f>M16-D$28</f>
        <v>1.3750383858846572E-2</v>
      </c>
      <c r="O16" s="84">
        <f>AVERAGE(O12:O15)</f>
        <v>-0.17339271771978082</v>
      </c>
      <c r="P16" s="85">
        <f>AVERAGE(P12:P15)</f>
        <v>-4.4298910259748041</v>
      </c>
      <c r="Q16" s="85">
        <f t="shared" ref="Q16:R16" si="1">AVERAGE(Q12:Q15)</f>
        <v>-0.74595737626782777</v>
      </c>
      <c r="R16" s="86">
        <f t="shared" si="1"/>
        <v>-7.7465551523158229</v>
      </c>
    </row>
    <row r="17" spans="3:18" s="154" customFormat="1" ht="18" customHeight="1">
      <c r="C17" s="150" t="s">
        <v>35</v>
      </c>
      <c r="D17" s="128" t="s">
        <v>22</v>
      </c>
      <c r="E17" s="129"/>
      <c r="F17" s="129"/>
      <c r="G17" s="129" t="s">
        <v>1</v>
      </c>
      <c r="H17" s="129"/>
      <c r="I17" s="134"/>
      <c r="J17" s="102"/>
      <c r="K17" s="102"/>
      <c r="L17" s="102"/>
      <c r="M17" s="101"/>
      <c r="N17" s="103"/>
      <c r="O17" s="101"/>
      <c r="P17" s="102"/>
      <c r="Q17" s="102"/>
      <c r="R17" s="103"/>
    </row>
    <row r="18" spans="3:18" s="154" customFormat="1" ht="18" customHeight="1">
      <c r="C18" s="156" t="s">
        <v>21</v>
      </c>
      <c r="D18" s="130">
        <f>'Wells - Jumbo conformin'!C4</f>
        <v>4.1250000000000002E-2</v>
      </c>
      <c r="E18" s="131"/>
      <c r="F18" s="131"/>
      <c r="G18" s="131">
        <f>'Wells - Jumbo conformin'!C5</f>
        <v>4.1479999999999996E-2</v>
      </c>
      <c r="H18" s="131"/>
      <c r="I18" s="135"/>
      <c r="J18" s="87">
        <f>'Wells - Jumbo conformin'!F5</f>
        <v>2.7515576864621805E-3</v>
      </c>
      <c r="K18" s="87">
        <f>'Wells - Jumbo conformin'!F6</f>
        <v>7.2040000000000003E-3</v>
      </c>
      <c r="L18" s="87">
        <f>'Wells - Jumbo conformin'!F7</f>
        <v>9.9555576864621808E-3</v>
      </c>
      <c r="M18" s="88">
        <f>'Wells - Jumbo conformin'!I4</f>
        <v>4.1238889421615549E-2</v>
      </c>
      <c r="N18" s="89">
        <f>M18-D$28</f>
        <v>1.289689002132265E-2</v>
      </c>
      <c r="O18" s="90">
        <f>(M18-'Historic Result'!C11)*100*100</f>
        <v>0</v>
      </c>
      <c r="P18" s="91">
        <f>(N18-'Historic Result'!D11)*100*100</f>
        <v>-4.256498308255023</v>
      </c>
      <c r="Q18" s="91">
        <f>(M18-'Historic Result'!E11)*100*100</f>
        <v>10.435171072985527</v>
      </c>
      <c r="R18" s="92">
        <f>(N18-'Historic Result'!F11)*100*100</f>
        <v>3.4345732969375335</v>
      </c>
    </row>
    <row r="19" spans="3:18" s="154" customFormat="1" ht="18" customHeight="1">
      <c r="C19" s="151" t="s">
        <v>36</v>
      </c>
      <c r="D19" s="132" t="s">
        <v>22</v>
      </c>
      <c r="E19" s="133"/>
      <c r="F19" s="133"/>
      <c r="G19" s="133" t="s">
        <v>1</v>
      </c>
      <c r="H19" s="133"/>
      <c r="I19" s="136"/>
      <c r="J19" s="70"/>
      <c r="K19" s="70"/>
      <c r="L19" s="70"/>
      <c r="M19" s="69"/>
      <c r="N19" s="71"/>
      <c r="O19" s="72"/>
      <c r="P19" s="73"/>
      <c r="Q19" s="73"/>
      <c r="R19" s="74"/>
    </row>
    <row r="20" spans="3:18" s="154" customFormat="1" ht="18" customHeight="1">
      <c r="C20" s="156" t="s">
        <v>21</v>
      </c>
      <c r="D20" s="130">
        <f>'Wells - Jumbo Non-conforming'!C4</f>
        <v>4.1250000000000002E-2</v>
      </c>
      <c r="E20" s="131"/>
      <c r="F20" s="131"/>
      <c r="G20" s="131">
        <f>'Wells - Jumbo Non-conforming'!C5</f>
        <v>4.1250000000000002E-2</v>
      </c>
      <c r="H20" s="131"/>
      <c r="I20" s="135"/>
      <c r="J20" s="87">
        <f>'Wells - Jumbo Non-conforming'!F5</f>
        <v>0</v>
      </c>
      <c r="K20" s="87">
        <f>'Wells - Jumbo Non-conforming'!F6</f>
        <v>1.6826666666666667E-3</v>
      </c>
      <c r="L20" s="87">
        <f>'Wells - Jumbo Non-conforming'!F7</f>
        <v>1.6826666666666667E-3</v>
      </c>
      <c r="M20" s="88">
        <f>'Wells - Jumbo Non-conforming'!I4</f>
        <v>3.9170666666666666E-2</v>
      </c>
      <c r="N20" s="89">
        <f>M20-D$28</f>
        <v>1.0828667266373767E-2</v>
      </c>
      <c r="O20" s="90">
        <f>(M20-'Historic Result'!C13)*100*100</f>
        <v>0</v>
      </c>
      <c r="P20" s="91">
        <f>(N20-'Historic Result'!D13)*100*100</f>
        <v>-4.256498308255023</v>
      </c>
      <c r="Q20" s="91">
        <f>(M20-'Historic Result'!E13)*100*100</f>
        <v>0.24190298132199806</v>
      </c>
      <c r="R20" s="92">
        <f>(N20-'Historic Result'!F13)*100*100</f>
        <v>-6.7586947947259963</v>
      </c>
    </row>
    <row r="21" spans="3:18" s="154" customFormat="1" ht="18" customHeight="1">
      <c r="C21" s="152" t="s">
        <v>37</v>
      </c>
      <c r="D21" s="121" t="s">
        <v>34</v>
      </c>
      <c r="E21" s="122"/>
      <c r="F21" s="119" t="s">
        <v>38</v>
      </c>
      <c r="G21" s="119"/>
      <c r="H21" s="119" t="s">
        <v>39</v>
      </c>
      <c r="I21" s="120"/>
      <c r="J21" s="76"/>
      <c r="K21" s="76"/>
      <c r="L21" s="76"/>
      <c r="M21" s="75"/>
      <c r="N21" s="77"/>
      <c r="O21" s="78"/>
      <c r="P21" s="79"/>
      <c r="Q21" s="79"/>
      <c r="R21" s="80"/>
    </row>
    <row r="22" spans="3:18" s="154" customFormat="1" ht="18" customHeight="1">
      <c r="C22" s="157" t="s">
        <v>21</v>
      </c>
      <c r="D22" s="146">
        <v>3.875E-2</v>
      </c>
      <c r="E22" s="123"/>
      <c r="F22" s="123">
        <v>1.7500000000000002E-2</v>
      </c>
      <c r="G22" s="123"/>
      <c r="H22" s="123">
        <v>8.5000000000000006E-3</v>
      </c>
      <c r="I22" s="124"/>
      <c r="J22" s="95">
        <v>0</v>
      </c>
      <c r="K22" s="95">
        <v>1.387E-2</v>
      </c>
      <c r="L22" s="95">
        <v>1.387E-2</v>
      </c>
      <c r="M22" s="66">
        <v>3.9717500000000003E-2</v>
      </c>
      <c r="N22" s="96">
        <f>M22-D29</f>
        <v>1.2643499633587504E-2</v>
      </c>
      <c r="O22" s="68">
        <f>(M22-'Historic Result'!C15)*100*100</f>
        <v>0</v>
      </c>
      <c r="P22" s="62">
        <f>(N22-'Historic Result'!D15)*100*100</f>
        <v>-1.9336464289269883</v>
      </c>
      <c r="Q22" s="62">
        <f>(M22-'Historic Result'!E15)*100*100</f>
        <v>0</v>
      </c>
      <c r="R22" s="63">
        <f>(N22-'Historic Result'!F15)*100*100</f>
        <v>-3.2742455279639868</v>
      </c>
    </row>
    <row r="24" spans="3:18">
      <c r="I24"/>
      <c r="J24"/>
      <c r="K24"/>
      <c r="O24" s="1"/>
    </row>
    <row r="25" spans="3:18">
      <c r="I25"/>
      <c r="J25"/>
      <c r="K25"/>
      <c r="O25" s="1"/>
    </row>
    <row r="26" spans="3:18">
      <c r="C26" s="107" t="s">
        <v>26</v>
      </c>
      <c r="D26" s="7"/>
      <c r="E26" s="7"/>
      <c r="F26" s="7"/>
      <c r="G26" s="7"/>
      <c r="H26" s="7"/>
      <c r="I26"/>
      <c r="J26"/>
      <c r="K26"/>
      <c r="O26" s="1"/>
    </row>
    <row r="27" spans="3:18" ht="18" customHeight="1">
      <c r="C27" s="97" t="s">
        <v>27</v>
      </c>
      <c r="D27" s="137" t="s">
        <v>28</v>
      </c>
      <c r="E27" s="138"/>
      <c r="F27" s="139"/>
      <c r="G27"/>
      <c r="H27"/>
      <c r="O27" s="1"/>
    </row>
    <row r="28" spans="3:18" ht="18" customHeight="1">
      <c r="C28" s="93" t="s">
        <v>29</v>
      </c>
      <c r="D28" s="140">
        <f>'Input Data'!P2/100</f>
        <v>2.8341999400292899E-2</v>
      </c>
      <c r="E28" s="141"/>
      <c r="F28" s="142"/>
      <c r="G28" s="38"/>
      <c r="H28" s="38"/>
      <c r="O28" s="1"/>
    </row>
    <row r="29" spans="3:18" ht="18" customHeight="1">
      <c r="C29" s="94" t="s">
        <v>30</v>
      </c>
      <c r="D29" s="143">
        <f>'Input Data'!P3/100</f>
        <v>2.7074000366412498E-2</v>
      </c>
      <c r="E29" s="144"/>
      <c r="F29" s="145"/>
      <c r="G29" s="38"/>
      <c r="H29" s="38"/>
      <c r="O29" s="1"/>
    </row>
  </sheetData>
  <mergeCells count="29">
    <mergeCell ref="D27:F27"/>
    <mergeCell ref="D28:F28"/>
    <mergeCell ref="D29:F29"/>
    <mergeCell ref="D22:E22"/>
    <mergeCell ref="F22:G22"/>
    <mergeCell ref="H21:I21"/>
    <mergeCell ref="F21:G21"/>
    <mergeCell ref="D21:E21"/>
    <mergeCell ref="H22:I22"/>
    <mergeCell ref="G16:I16"/>
    <mergeCell ref="D16:F16"/>
    <mergeCell ref="D17:F17"/>
    <mergeCell ref="D18:F18"/>
    <mergeCell ref="D19:F19"/>
    <mergeCell ref="D20:F20"/>
    <mergeCell ref="G17:I17"/>
    <mergeCell ref="G18:I18"/>
    <mergeCell ref="G19:I19"/>
    <mergeCell ref="G20:I20"/>
    <mergeCell ref="D11:F11"/>
    <mergeCell ref="D12:F12"/>
    <mergeCell ref="D13:F13"/>
    <mergeCell ref="D14:F14"/>
    <mergeCell ref="D15:F15"/>
    <mergeCell ref="G11:I11"/>
    <mergeCell ref="G12:I12"/>
    <mergeCell ref="G13:I13"/>
    <mergeCell ref="G14:I14"/>
    <mergeCell ref="G15:I15"/>
  </mergeCells>
  <dataValidations disablePrompts="1" count="1">
    <dataValidation type="list" allowBlank="1" showInputMessage="1" showErrorMessage="1" sqref="V1">
      <formula1>"PRDO, DEV"</formula1>
    </dataValidation>
  </dataValidations>
  <pageMargins left="0.25" right="0.25" top="0.255" bottom="0.25" header="0.1" footer="0.1"/>
  <pageSetup scale="70" orientation="landscape" horizontalDpi="1200" verticalDpi="1200" r:id="rId1"/>
  <headerFooter scaleWithDoc="0">
    <oddHeader>&amp;L&amp;G&amp;C&amp;"-,Bold"&amp;10&amp;K2E398A
&amp;15Daily Originator Mortgage Rates&amp;R&amp;"-,Bold"&amp;10&amp;K2E398A
As of &amp;D</oddHeader>
    <oddFooter>&amp;L&amp;10&amp;K2E398AReport created on &amp;D &amp;T&amp;C&amp;G
&amp;8&amp;K2E398APage &amp;P of &amp;N</oddFooter>
  </headerFooter>
  <colBreaks count="1" manualBreakCount="1">
    <brk id="19" max="1048575" man="1"/>
  </colBreaks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59999389629810485"/>
  </sheetPr>
  <dimension ref="A1:I59"/>
  <sheetViews>
    <sheetView workbookViewId="0">
      <selection activeCell="C11" sqref="C11"/>
    </sheetView>
  </sheetViews>
  <sheetFormatPr defaultRowHeight="15"/>
  <cols>
    <col min="1" max="1" width="22.85546875" bestFit="1" customWidth="1"/>
    <col min="2" max="2" width="15.42578125" bestFit="1" customWidth="1"/>
    <col min="3" max="3" width="27.5703125" bestFit="1" customWidth="1"/>
    <col min="4" max="4" width="13.7109375" customWidth="1"/>
    <col min="5" max="5" width="10.85546875" customWidth="1"/>
    <col min="6" max="6" width="13.5703125" customWidth="1"/>
    <col min="7" max="7" width="14.140625" customWidth="1"/>
    <col min="8" max="8" width="18.140625" customWidth="1"/>
    <col min="9" max="9" width="12" bestFit="1" customWidth="1"/>
  </cols>
  <sheetData>
    <row r="1" spans="1:9" ht="19.5">
      <c r="A1" s="147" t="s">
        <v>76</v>
      </c>
      <c r="B1" s="147"/>
      <c r="C1" s="147"/>
      <c r="D1" s="147"/>
      <c r="E1" s="147"/>
      <c r="F1" s="147"/>
      <c r="G1" s="147"/>
      <c r="H1" s="147"/>
      <c r="I1" s="147"/>
    </row>
    <row r="3" spans="1:9" hidden="1">
      <c r="A3" s="56" t="s">
        <v>64</v>
      </c>
      <c r="D3" s="56" t="s">
        <v>53</v>
      </c>
    </row>
    <row r="4" spans="1:9" s="59" customFormat="1">
      <c r="A4" s="56" t="s">
        <v>55</v>
      </c>
      <c r="B4" s="56" t="s">
        <v>51</v>
      </c>
      <c r="C4" s="56" t="s">
        <v>52</v>
      </c>
      <c r="D4" s="59" t="s">
        <v>28</v>
      </c>
      <c r="E4" s="59" t="s">
        <v>8</v>
      </c>
      <c r="F4" s="59" t="s">
        <v>1</v>
      </c>
      <c r="G4" s="59" t="s">
        <v>44</v>
      </c>
      <c r="H4" s="59" t="s">
        <v>2</v>
      </c>
      <c r="I4" s="59" t="s">
        <v>45</v>
      </c>
    </row>
    <row r="5" spans="1:9">
      <c r="A5" s="1" t="s">
        <v>60</v>
      </c>
      <c r="B5" s="1" t="s">
        <v>21</v>
      </c>
      <c r="C5" s="1" t="s">
        <v>59</v>
      </c>
      <c r="D5" s="57">
        <v>4.125</v>
      </c>
      <c r="E5" s="57">
        <v>1</v>
      </c>
      <c r="F5" s="57">
        <v>4.1470000000000002</v>
      </c>
      <c r="G5" s="57">
        <v>6529</v>
      </c>
      <c r="H5" s="57">
        <v>200000</v>
      </c>
      <c r="I5" s="57"/>
    </row>
    <row r="6" spans="1:9">
      <c r="A6" s="1" t="s">
        <v>60</v>
      </c>
      <c r="B6" s="1" t="s">
        <v>21</v>
      </c>
      <c r="C6" s="1" t="s">
        <v>61</v>
      </c>
      <c r="D6" s="57">
        <v>3.875</v>
      </c>
      <c r="E6" s="57">
        <v>1</v>
      </c>
      <c r="F6" s="57">
        <v>4.9050000000000002</v>
      </c>
      <c r="G6" s="57">
        <v>6529</v>
      </c>
      <c r="H6" s="57">
        <v>200000</v>
      </c>
      <c r="I6" s="57">
        <v>3500</v>
      </c>
    </row>
    <row r="7" spans="1:9">
      <c r="A7" s="1" t="s">
        <v>60</v>
      </c>
      <c r="B7" s="1" t="s">
        <v>21</v>
      </c>
      <c r="C7" s="1" t="s">
        <v>62</v>
      </c>
      <c r="D7" s="57">
        <v>4.125</v>
      </c>
      <c r="E7" s="57">
        <v>1</v>
      </c>
      <c r="F7" s="57">
        <v>4.1479999999999997</v>
      </c>
      <c r="G7" s="57">
        <v>3602</v>
      </c>
      <c r="H7" s="57">
        <v>500000</v>
      </c>
      <c r="I7" s="57"/>
    </row>
    <row r="8" spans="1:9">
      <c r="A8" s="1" t="s">
        <v>60</v>
      </c>
      <c r="B8" s="1" t="s">
        <v>21</v>
      </c>
      <c r="C8" s="1" t="s">
        <v>63</v>
      </c>
      <c r="D8" s="57">
        <v>4.125</v>
      </c>
      <c r="E8" s="57">
        <v>1</v>
      </c>
      <c r="F8" s="57">
        <v>4.125</v>
      </c>
      <c r="G8" s="57">
        <v>1262</v>
      </c>
      <c r="H8" s="57">
        <v>750000</v>
      </c>
      <c r="I8" s="57"/>
    </row>
    <row r="9" spans="1:9">
      <c r="A9" s="1" t="s">
        <v>60</v>
      </c>
      <c r="B9" s="1" t="s">
        <v>20</v>
      </c>
      <c r="C9" s="1" t="s">
        <v>59</v>
      </c>
      <c r="D9" s="57">
        <v>3.75</v>
      </c>
      <c r="E9" s="57">
        <v>2.25</v>
      </c>
      <c r="F9" s="57">
        <v>4.008</v>
      </c>
      <c r="G9" s="57"/>
      <c r="H9" s="57"/>
      <c r="I9" s="57"/>
    </row>
    <row r="10" spans="1:9">
      <c r="A10" s="1" t="s">
        <v>60</v>
      </c>
      <c r="B10" s="1" t="s">
        <v>20</v>
      </c>
      <c r="C10" s="1" t="s">
        <v>61</v>
      </c>
      <c r="D10" s="57">
        <v>3.375</v>
      </c>
      <c r="E10" s="57">
        <v>2.25</v>
      </c>
      <c r="F10" s="57">
        <v>4.2699999999999996</v>
      </c>
      <c r="G10" s="57"/>
      <c r="H10" s="57"/>
      <c r="I10" s="57"/>
    </row>
    <row r="11" spans="1:9">
      <c r="A11" s="1" t="s">
        <v>60</v>
      </c>
      <c r="B11" s="1" t="s">
        <v>18</v>
      </c>
      <c r="C11" s="1" t="s">
        <v>59</v>
      </c>
      <c r="D11" s="57">
        <v>4</v>
      </c>
      <c r="E11" s="57">
        <v>0.71299999999999997</v>
      </c>
      <c r="F11" s="57">
        <v>4.17</v>
      </c>
      <c r="G11" s="57"/>
      <c r="H11" s="57"/>
      <c r="I11" s="57"/>
    </row>
    <row r="12" spans="1:9">
      <c r="A12" s="1" t="s">
        <v>60</v>
      </c>
      <c r="B12" s="1" t="s">
        <v>19</v>
      </c>
      <c r="C12" s="1" t="s">
        <v>59</v>
      </c>
      <c r="D12" s="57">
        <v>4.125</v>
      </c>
      <c r="E12" s="57">
        <v>1.125</v>
      </c>
      <c r="F12" s="57">
        <v>4.2190000000000003</v>
      </c>
      <c r="G12" s="57"/>
      <c r="H12" s="57"/>
      <c r="I12" s="57"/>
    </row>
    <row r="28" spans="1:9" ht="19.5">
      <c r="A28" s="147" t="s">
        <v>77</v>
      </c>
      <c r="B28" s="147"/>
      <c r="C28" s="147"/>
      <c r="D28" s="147"/>
      <c r="E28" s="147"/>
      <c r="F28" s="147"/>
      <c r="G28" s="147"/>
      <c r="H28" s="147"/>
      <c r="I28" s="147"/>
    </row>
    <row r="29" spans="1:9">
      <c r="A29" s="56" t="s">
        <v>64</v>
      </c>
      <c r="D29" s="56" t="s">
        <v>53</v>
      </c>
    </row>
    <row r="30" spans="1:9">
      <c r="A30" s="56" t="s">
        <v>55</v>
      </c>
      <c r="B30" s="56" t="s">
        <v>51</v>
      </c>
      <c r="C30" s="56" t="s">
        <v>52</v>
      </c>
      <c r="D30" s="59" t="s">
        <v>28</v>
      </c>
      <c r="E30" s="59" t="s">
        <v>8</v>
      </c>
      <c r="F30" s="59" t="s">
        <v>1</v>
      </c>
      <c r="G30" s="59" t="s">
        <v>44</v>
      </c>
      <c r="H30" s="59" t="s">
        <v>2</v>
      </c>
      <c r="I30" s="59" t="s">
        <v>45</v>
      </c>
    </row>
    <row r="31" spans="1:9">
      <c r="A31" s="1" t="s">
        <v>58</v>
      </c>
      <c r="B31" s="1" t="s">
        <v>21</v>
      </c>
      <c r="C31" s="1" t="s">
        <v>59</v>
      </c>
      <c r="D31" s="57">
        <v>4</v>
      </c>
      <c r="E31" s="57">
        <v>1</v>
      </c>
      <c r="F31" s="57">
        <v>4.0469999999999997</v>
      </c>
      <c r="G31" s="57"/>
      <c r="H31" s="57"/>
      <c r="I31" s="57"/>
    </row>
    <row r="32" spans="1:9">
      <c r="A32" s="1" t="s">
        <v>58</v>
      </c>
      <c r="B32" s="1" t="s">
        <v>21</v>
      </c>
      <c r="C32" s="1" t="s">
        <v>61</v>
      </c>
      <c r="D32" s="57">
        <v>3.75</v>
      </c>
      <c r="E32" s="57">
        <v>1</v>
      </c>
      <c r="F32" s="57">
        <v>4.79</v>
      </c>
      <c r="G32" s="57">
        <v>6762</v>
      </c>
      <c r="H32" s="57">
        <v>200000</v>
      </c>
      <c r="I32" s="57">
        <v>3500</v>
      </c>
    </row>
    <row r="33" spans="1:9">
      <c r="A33" s="1" t="s">
        <v>58</v>
      </c>
      <c r="B33" s="1" t="s">
        <v>21</v>
      </c>
      <c r="C33" s="1" t="s">
        <v>62</v>
      </c>
      <c r="D33" s="57">
        <v>4.125</v>
      </c>
      <c r="E33" s="57">
        <v>1</v>
      </c>
      <c r="F33" s="57">
        <v>4.1280000000000001</v>
      </c>
      <c r="G33" s="57"/>
      <c r="H33" s="57"/>
      <c r="I33" s="57"/>
    </row>
    <row r="34" spans="1:9">
      <c r="A34" s="1" t="s">
        <v>58</v>
      </c>
      <c r="B34" s="1" t="s">
        <v>21</v>
      </c>
      <c r="C34" s="1" t="s">
        <v>63</v>
      </c>
      <c r="D34" s="57">
        <v>4</v>
      </c>
      <c r="E34" s="57">
        <v>1</v>
      </c>
      <c r="F34" s="57">
        <v>4.0149999999999997</v>
      </c>
      <c r="G34" s="57"/>
      <c r="H34" s="57"/>
      <c r="I34" s="57"/>
    </row>
    <row r="35" spans="1:9">
      <c r="A35" s="1" t="s">
        <v>58</v>
      </c>
      <c r="B35" s="1" t="s">
        <v>20</v>
      </c>
      <c r="C35" s="1" t="s">
        <v>59</v>
      </c>
      <c r="D35" s="57">
        <v>3.75</v>
      </c>
      <c r="E35" s="57">
        <v>2.125</v>
      </c>
      <c r="F35" s="57">
        <v>3.9980000000000002</v>
      </c>
      <c r="G35" s="57"/>
      <c r="H35" s="57"/>
      <c r="I35" s="57"/>
    </row>
    <row r="36" spans="1:9">
      <c r="A36" s="1" t="s">
        <v>58</v>
      </c>
      <c r="B36" s="1" t="s">
        <v>20</v>
      </c>
      <c r="C36" s="1" t="s">
        <v>61</v>
      </c>
      <c r="D36" s="57">
        <v>3.375</v>
      </c>
      <c r="E36" s="57">
        <v>2.25</v>
      </c>
      <c r="F36" s="57">
        <v>4.2699999999999996</v>
      </c>
      <c r="G36" s="57"/>
      <c r="H36" s="57"/>
      <c r="I36" s="57"/>
    </row>
    <row r="37" spans="1:9">
      <c r="A37" s="1" t="s">
        <v>58</v>
      </c>
      <c r="B37" s="1" t="s">
        <v>18</v>
      </c>
      <c r="C37" s="1" t="s">
        <v>59</v>
      </c>
      <c r="D37" s="57">
        <v>3.875</v>
      </c>
      <c r="E37" s="57">
        <v>0.95799999999999996</v>
      </c>
      <c r="F37" s="57">
        <v>4.0629999999999997</v>
      </c>
      <c r="G37" s="57"/>
      <c r="H37" s="57"/>
      <c r="I37" s="57"/>
    </row>
    <row r="38" spans="1:9">
      <c r="A38" s="1" t="s">
        <v>58</v>
      </c>
      <c r="B38" s="1" t="s">
        <v>19</v>
      </c>
      <c r="C38" s="1" t="s">
        <v>59</v>
      </c>
      <c r="D38" s="57">
        <v>4.1980000000000004</v>
      </c>
      <c r="E38" s="57">
        <v>0.875</v>
      </c>
      <c r="F38" s="57">
        <v>4.1980000000000004</v>
      </c>
      <c r="G38" s="57"/>
      <c r="H38" s="57"/>
      <c r="I38" s="57"/>
    </row>
    <row r="56" spans="1:9" ht="19.5">
      <c r="A56" s="147" t="s">
        <v>78</v>
      </c>
      <c r="B56" s="147"/>
      <c r="C56" s="147"/>
      <c r="D56" s="147"/>
      <c r="E56" s="147"/>
      <c r="F56" s="147"/>
      <c r="G56" s="147"/>
      <c r="H56" s="147"/>
      <c r="I56" s="147"/>
    </row>
    <row r="57" spans="1:9">
      <c r="A57" s="56" t="s">
        <v>64</v>
      </c>
      <c r="D57" s="56" t="s">
        <v>53</v>
      </c>
    </row>
    <row r="58" spans="1:9">
      <c r="A58" s="56" t="s">
        <v>55</v>
      </c>
      <c r="B58" s="56" t="s">
        <v>51</v>
      </c>
      <c r="C58" s="56" t="s">
        <v>52</v>
      </c>
      <c r="D58" s="59" t="s">
        <v>80</v>
      </c>
    </row>
    <row r="59" spans="1:9">
      <c r="A59" s="1" t="s">
        <v>80</v>
      </c>
      <c r="B59" s="1" t="s">
        <v>80</v>
      </c>
      <c r="C59" s="1" t="s">
        <v>80</v>
      </c>
      <c r="D59" s="57"/>
    </row>
  </sheetData>
  <mergeCells count="3">
    <mergeCell ref="A1:I1"/>
    <mergeCell ref="A28:I28"/>
    <mergeCell ref="A56:I56"/>
  </mergeCells>
  <pageMargins left="0.7" right="0.7" top="0.75" bottom="0.75" header="0.3" footer="0.3"/>
  <pageSetup orientation="portrait" horizontalDpi="1200" verticalDpi="1200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AE166"/>
  <sheetViews>
    <sheetView workbookViewId="0"/>
  </sheetViews>
  <sheetFormatPr defaultRowHeight="12.75"/>
  <cols>
    <col min="1" max="1" width="13.85546875" style="55" customWidth="1"/>
    <col min="2" max="2" width="24.5703125" style="55" bestFit="1" customWidth="1"/>
    <col min="3" max="3" width="12.42578125" style="55" customWidth="1"/>
    <col min="4" max="4" width="8" style="55" customWidth="1"/>
    <col min="5" max="5" width="10.140625" style="55" customWidth="1"/>
    <col min="6" max="6" width="14.140625" style="55" bestFit="1" customWidth="1"/>
    <col min="7" max="7" width="9.7109375" style="55" bestFit="1" customWidth="1"/>
    <col min="8" max="8" width="10.140625" style="55" bestFit="1" customWidth="1"/>
    <col min="9" max="9" width="27.5703125" style="55" customWidth="1"/>
    <col min="10" max="10" width="15.42578125" style="55" customWidth="1"/>
    <col min="11" max="11" width="12.7109375" style="55" customWidth="1"/>
    <col min="12" max="12" width="8" style="55" customWidth="1"/>
    <col min="13" max="13" width="10.42578125" style="55" bestFit="1" customWidth="1"/>
    <col min="14" max="14" width="14.140625" style="55" customWidth="1"/>
    <col min="15" max="15" width="10.140625" style="55" customWidth="1"/>
    <col min="16" max="16" width="10.140625" style="55" bestFit="1" customWidth="1"/>
    <col min="17" max="22" width="13.85546875" style="55" customWidth="1"/>
    <col min="23" max="24" width="24.5703125" style="55" customWidth="1"/>
    <col min="25" max="25" width="11.140625" style="55" customWidth="1"/>
    <col min="26" max="26" width="8" style="55" customWidth="1"/>
    <col min="27" max="27" width="10.140625" style="55" customWidth="1"/>
    <col min="28" max="28" width="14.140625" style="55" customWidth="1"/>
    <col min="29" max="29" width="12.28515625" style="55" customWidth="1"/>
    <col min="30" max="30" width="8.42578125" style="55" bestFit="1" customWidth="1"/>
    <col min="31" max="31" width="15.28515625" style="55" bestFit="1" customWidth="1"/>
    <col min="32" max="32" width="9.85546875" style="55" bestFit="1" customWidth="1"/>
    <col min="33" max="33" width="10.28515625" style="55" bestFit="1" customWidth="1"/>
    <col min="34" max="34" width="11.42578125" style="55" bestFit="1" customWidth="1"/>
    <col min="35" max="35" width="12.5703125" style="55" bestFit="1" customWidth="1"/>
    <col min="36" max="37" width="12" style="55" bestFit="1" customWidth="1"/>
    <col min="38" max="38" width="12.28515625" style="55" bestFit="1" customWidth="1"/>
    <col min="39" max="39" width="12" style="55" bestFit="1" customWidth="1"/>
    <col min="40" max="40" width="8.5703125" style="55" bestFit="1" customWidth="1"/>
    <col min="41" max="45" width="12" style="55" bestFit="1" customWidth="1"/>
    <col min="46" max="46" width="8" style="55" bestFit="1" customWidth="1"/>
    <col min="47" max="47" width="12" style="55" bestFit="1" customWidth="1"/>
    <col min="48" max="48" width="5.7109375" style="55" bestFit="1" customWidth="1"/>
    <col min="49" max="50" width="12" style="55" bestFit="1" customWidth="1"/>
    <col min="51" max="51" width="17.5703125" style="55" bestFit="1" customWidth="1"/>
    <col min="52" max="52" width="8.85546875" style="55" bestFit="1" customWidth="1"/>
    <col min="53" max="54" width="16" style="55" bestFit="1" customWidth="1"/>
    <col min="55" max="55" width="14.7109375" style="55" bestFit="1" customWidth="1"/>
    <col min="56" max="56" width="16" style="55" bestFit="1" customWidth="1"/>
    <col min="57" max="57" width="17.5703125" style="55" bestFit="1" customWidth="1"/>
    <col min="58" max="58" width="12.140625" style="55" bestFit="1" customWidth="1"/>
    <col min="59" max="59" width="8.5703125" style="55" bestFit="1" customWidth="1"/>
    <col min="60" max="60" width="15.28515625" style="55" customWidth="1"/>
    <col min="61" max="61" width="11.7109375" style="55" bestFit="1" customWidth="1"/>
    <col min="62" max="62" width="10.28515625" style="55" bestFit="1" customWidth="1"/>
    <col min="63" max="63" width="12" style="55" bestFit="1" customWidth="1"/>
    <col min="64" max="64" width="14.42578125" style="55" customWidth="1"/>
    <col min="65" max="65" width="18.5703125" style="55" bestFit="1" customWidth="1"/>
    <col min="66" max="66" width="10.7109375" style="55" bestFit="1" customWidth="1"/>
    <col min="67" max="67" width="16.42578125" style="55" bestFit="1" customWidth="1"/>
    <col min="68" max="68" width="16.140625" style="55" bestFit="1" customWidth="1"/>
    <col min="69" max="69" width="14.42578125" style="55" customWidth="1"/>
    <col min="70" max="70" width="12.28515625" style="55" customWidth="1"/>
    <col min="71" max="16384" width="9.140625" style="55"/>
  </cols>
  <sheetData>
    <row r="1" spans="1:31">
      <c r="G1" s="55" t="s">
        <v>73</v>
      </c>
      <c r="H1" s="55" t="s">
        <v>69</v>
      </c>
      <c r="O1" s="55" t="s">
        <v>72</v>
      </c>
      <c r="P1" s="55" t="s">
        <v>69</v>
      </c>
    </row>
    <row r="2" spans="1:31">
      <c r="H2" s="55" t="s">
        <v>58</v>
      </c>
      <c r="P2" s="55" t="s">
        <v>71</v>
      </c>
    </row>
    <row r="5" spans="1:31" ht="23.25">
      <c r="A5" s="108" t="s">
        <v>74</v>
      </c>
      <c r="H5" s="108"/>
      <c r="I5" s="108" t="s">
        <v>70</v>
      </c>
      <c r="P5" s="108"/>
      <c r="Q5" s="108" t="s">
        <v>75</v>
      </c>
      <c r="R5" s="108"/>
      <c r="S5" s="108"/>
      <c r="T5" s="108"/>
      <c r="U5" s="108"/>
      <c r="V5" s="108"/>
      <c r="AE5" s="108" t="s">
        <v>75</v>
      </c>
    </row>
    <row r="6" spans="1:31" s="111" customFormat="1">
      <c r="A6" s="111" t="s">
        <v>51</v>
      </c>
      <c r="B6" s="111" t="s">
        <v>52</v>
      </c>
      <c r="C6" s="111" t="s">
        <v>53</v>
      </c>
      <c r="D6" s="111" t="s">
        <v>54</v>
      </c>
      <c r="E6" s="111" t="s">
        <v>55</v>
      </c>
      <c r="F6" s="111" t="s">
        <v>56</v>
      </c>
      <c r="I6" s="111" t="s">
        <v>52</v>
      </c>
      <c r="J6" s="111" t="s">
        <v>51</v>
      </c>
      <c r="K6" s="111" t="s">
        <v>53</v>
      </c>
      <c r="L6" s="111" t="s">
        <v>54</v>
      </c>
      <c r="M6" s="111" t="s">
        <v>55</v>
      </c>
      <c r="N6" s="111" t="s">
        <v>56</v>
      </c>
      <c r="Q6" s="111" t="s">
        <v>52</v>
      </c>
      <c r="R6" s="111" t="s">
        <v>51</v>
      </c>
      <c r="S6" s="111" t="s">
        <v>53</v>
      </c>
      <c r="T6" s="111" t="s">
        <v>54</v>
      </c>
      <c r="U6" s="111" t="s">
        <v>55</v>
      </c>
      <c r="V6" s="111" t="s">
        <v>56</v>
      </c>
    </row>
    <row r="7" spans="1:31" s="111" customFormat="1">
      <c r="A7" s="111" t="s">
        <v>18</v>
      </c>
      <c r="B7" s="111" t="s">
        <v>59</v>
      </c>
      <c r="C7" s="111" t="s">
        <v>1</v>
      </c>
      <c r="D7" s="111" t="s">
        <v>57</v>
      </c>
      <c r="E7" s="112" t="s">
        <v>60</v>
      </c>
      <c r="F7" s="111">
        <v>4.17</v>
      </c>
      <c r="I7" s="111" t="s">
        <v>59</v>
      </c>
      <c r="J7" s="111" t="s">
        <v>18</v>
      </c>
      <c r="K7" s="111" t="s">
        <v>1</v>
      </c>
      <c r="L7" s="111" t="s">
        <v>57</v>
      </c>
      <c r="M7" s="111" t="s">
        <v>58</v>
      </c>
      <c r="N7" s="111">
        <v>4.0629999999999997</v>
      </c>
    </row>
    <row r="8" spans="1:31" s="111" customFormat="1">
      <c r="A8" s="111" t="s">
        <v>18</v>
      </c>
      <c r="B8" s="111" t="s">
        <v>59</v>
      </c>
      <c r="C8" s="111" t="s">
        <v>8</v>
      </c>
      <c r="D8" s="111" t="s">
        <v>57</v>
      </c>
      <c r="E8" s="112" t="s">
        <v>60</v>
      </c>
      <c r="F8" s="111">
        <v>0.71299999999999997</v>
      </c>
      <c r="I8" s="109" t="s">
        <v>59</v>
      </c>
      <c r="J8" s="109" t="s">
        <v>18</v>
      </c>
      <c r="K8" s="109" t="s">
        <v>8</v>
      </c>
      <c r="L8" s="109" t="s">
        <v>57</v>
      </c>
      <c r="M8" s="109" t="s">
        <v>58</v>
      </c>
      <c r="N8" s="109">
        <v>0.95799999999999996</v>
      </c>
    </row>
    <row r="9" spans="1:31" s="111" customFormat="1">
      <c r="A9" s="111" t="s">
        <v>18</v>
      </c>
      <c r="B9" s="111" t="s">
        <v>59</v>
      </c>
      <c r="C9" s="111" t="s">
        <v>28</v>
      </c>
      <c r="D9" s="111" t="s">
        <v>57</v>
      </c>
      <c r="E9" s="112" t="s">
        <v>60</v>
      </c>
      <c r="F9" s="111">
        <v>4</v>
      </c>
      <c r="I9" s="109" t="s">
        <v>59</v>
      </c>
      <c r="J9" s="109" t="s">
        <v>18</v>
      </c>
      <c r="K9" s="109" t="s">
        <v>28</v>
      </c>
      <c r="L9" s="109" t="s">
        <v>57</v>
      </c>
      <c r="M9" s="109" t="s">
        <v>58</v>
      </c>
      <c r="N9" s="109">
        <v>3.875</v>
      </c>
    </row>
    <row r="10" spans="1:31" s="111" customFormat="1">
      <c r="A10" s="111" t="s">
        <v>19</v>
      </c>
      <c r="B10" s="111" t="s">
        <v>59</v>
      </c>
      <c r="C10" s="111" t="s">
        <v>1</v>
      </c>
      <c r="D10" s="111" t="s">
        <v>57</v>
      </c>
      <c r="E10" s="112" t="s">
        <v>60</v>
      </c>
      <c r="F10" s="111">
        <v>4.2190000000000003</v>
      </c>
      <c r="I10" s="109" t="s">
        <v>59</v>
      </c>
      <c r="J10" s="109" t="s">
        <v>19</v>
      </c>
      <c r="K10" s="109" t="s">
        <v>1</v>
      </c>
      <c r="L10" s="109" t="s">
        <v>57</v>
      </c>
      <c r="M10" s="109" t="s">
        <v>58</v>
      </c>
      <c r="N10" s="109">
        <v>4.1980000000000004</v>
      </c>
    </row>
    <row r="11" spans="1:31" s="111" customFormat="1">
      <c r="A11" s="111" t="s">
        <v>19</v>
      </c>
      <c r="B11" s="111" t="s">
        <v>59</v>
      </c>
      <c r="C11" s="111" t="s">
        <v>8</v>
      </c>
      <c r="D11" s="111" t="s">
        <v>57</v>
      </c>
      <c r="E11" s="112" t="s">
        <v>60</v>
      </c>
      <c r="F11" s="111">
        <v>1.125</v>
      </c>
      <c r="I11" s="109" t="s">
        <v>59</v>
      </c>
      <c r="J11" s="109" t="s">
        <v>19</v>
      </c>
      <c r="K11" s="109" t="s">
        <v>8</v>
      </c>
      <c r="L11" s="109" t="s">
        <v>57</v>
      </c>
      <c r="M11" s="109" t="s">
        <v>58</v>
      </c>
      <c r="N11" s="109">
        <v>0.875</v>
      </c>
    </row>
    <row r="12" spans="1:31" s="111" customFormat="1">
      <c r="A12" s="111" t="s">
        <v>19</v>
      </c>
      <c r="B12" s="111" t="s">
        <v>59</v>
      </c>
      <c r="C12" s="111" t="s">
        <v>28</v>
      </c>
      <c r="D12" s="111" t="s">
        <v>57</v>
      </c>
      <c r="E12" s="112" t="s">
        <v>60</v>
      </c>
      <c r="F12" s="111">
        <v>4.125</v>
      </c>
      <c r="I12" s="109" t="s">
        <v>59</v>
      </c>
      <c r="J12" s="109" t="s">
        <v>19</v>
      </c>
      <c r="K12" s="109" t="s">
        <v>28</v>
      </c>
      <c r="L12" s="109" t="s">
        <v>57</v>
      </c>
      <c r="M12" s="109" t="s">
        <v>58</v>
      </c>
      <c r="N12" s="109">
        <v>4.1980000000000004</v>
      </c>
    </row>
    <row r="13" spans="1:31" s="111" customFormat="1">
      <c r="A13" s="111" t="s">
        <v>20</v>
      </c>
      <c r="B13" s="111" t="s">
        <v>59</v>
      </c>
      <c r="C13" s="111" t="s">
        <v>1</v>
      </c>
      <c r="D13" s="111" t="s">
        <v>57</v>
      </c>
      <c r="E13" s="112" t="s">
        <v>60</v>
      </c>
      <c r="F13" s="111">
        <v>4.008</v>
      </c>
      <c r="I13" s="109" t="s">
        <v>59</v>
      </c>
      <c r="J13" s="109" t="s">
        <v>20</v>
      </c>
      <c r="K13" s="109" t="s">
        <v>1</v>
      </c>
      <c r="L13" s="109" t="s">
        <v>57</v>
      </c>
      <c r="M13" s="109" t="s">
        <v>58</v>
      </c>
      <c r="N13" s="109">
        <v>3.9980000000000002</v>
      </c>
    </row>
    <row r="14" spans="1:31" s="111" customFormat="1">
      <c r="A14" s="111" t="s">
        <v>20</v>
      </c>
      <c r="B14" s="111" t="s">
        <v>59</v>
      </c>
      <c r="C14" s="111" t="s">
        <v>8</v>
      </c>
      <c r="D14" s="111" t="s">
        <v>57</v>
      </c>
      <c r="E14" s="112" t="s">
        <v>60</v>
      </c>
      <c r="F14" s="111">
        <v>2.25</v>
      </c>
      <c r="I14" s="109" t="s">
        <v>59</v>
      </c>
      <c r="J14" s="109" t="s">
        <v>20</v>
      </c>
      <c r="K14" s="109" t="s">
        <v>8</v>
      </c>
      <c r="L14" s="109" t="s">
        <v>57</v>
      </c>
      <c r="M14" s="109" t="s">
        <v>58</v>
      </c>
      <c r="N14" s="109">
        <v>2.125</v>
      </c>
    </row>
    <row r="15" spans="1:31" s="111" customFormat="1">
      <c r="A15" s="111" t="s">
        <v>20</v>
      </c>
      <c r="B15" s="111" t="s">
        <v>59</v>
      </c>
      <c r="C15" s="111" t="s">
        <v>28</v>
      </c>
      <c r="D15" s="111" t="s">
        <v>57</v>
      </c>
      <c r="E15" s="112" t="s">
        <v>60</v>
      </c>
      <c r="F15" s="111">
        <v>3.75</v>
      </c>
      <c r="I15" s="109" t="s">
        <v>59</v>
      </c>
      <c r="J15" s="109" t="s">
        <v>20</v>
      </c>
      <c r="K15" s="109" t="s">
        <v>28</v>
      </c>
      <c r="L15" s="109" t="s">
        <v>57</v>
      </c>
      <c r="M15" s="109" t="s">
        <v>58</v>
      </c>
      <c r="N15" s="109">
        <v>3.75</v>
      </c>
    </row>
    <row r="16" spans="1:31" s="111" customFormat="1">
      <c r="A16" s="111" t="s">
        <v>21</v>
      </c>
      <c r="B16" s="111" t="s">
        <v>59</v>
      </c>
      <c r="C16" s="111" t="s">
        <v>1</v>
      </c>
      <c r="D16" s="111" t="s">
        <v>57</v>
      </c>
      <c r="E16" s="112" t="s">
        <v>60</v>
      </c>
      <c r="F16" s="111">
        <v>4.1470000000000002</v>
      </c>
      <c r="I16" s="109" t="s">
        <v>59</v>
      </c>
      <c r="J16" s="109" t="s">
        <v>21</v>
      </c>
      <c r="K16" s="109" t="s">
        <v>1</v>
      </c>
      <c r="L16" s="109" t="s">
        <v>57</v>
      </c>
      <c r="M16" s="109" t="s">
        <v>58</v>
      </c>
      <c r="N16" s="109">
        <v>4.0469999999999997</v>
      </c>
    </row>
    <row r="17" spans="1:14" s="111" customFormat="1">
      <c r="A17" s="111" t="s">
        <v>21</v>
      </c>
      <c r="B17" s="111" t="s">
        <v>59</v>
      </c>
      <c r="C17" s="111" t="s">
        <v>44</v>
      </c>
      <c r="D17" s="111" t="s">
        <v>57</v>
      </c>
      <c r="E17" s="112" t="s">
        <v>60</v>
      </c>
      <c r="F17" s="111">
        <v>6529</v>
      </c>
      <c r="I17" s="109" t="s">
        <v>59</v>
      </c>
      <c r="J17" s="109" t="s">
        <v>21</v>
      </c>
      <c r="K17" s="109" t="s">
        <v>8</v>
      </c>
      <c r="L17" s="109" t="s">
        <v>57</v>
      </c>
      <c r="M17" s="109" t="s">
        <v>58</v>
      </c>
      <c r="N17" s="109">
        <v>1</v>
      </c>
    </row>
    <row r="18" spans="1:14" s="111" customFormat="1">
      <c r="A18" s="111" t="s">
        <v>21</v>
      </c>
      <c r="B18" s="111" t="s">
        <v>59</v>
      </c>
      <c r="C18" s="111" t="s">
        <v>2</v>
      </c>
      <c r="D18" s="111" t="s">
        <v>57</v>
      </c>
      <c r="E18" s="112" t="s">
        <v>60</v>
      </c>
      <c r="F18" s="111">
        <v>200000</v>
      </c>
      <c r="I18" s="109" t="s">
        <v>59</v>
      </c>
      <c r="J18" s="109" t="s">
        <v>21</v>
      </c>
      <c r="K18" s="109" t="s">
        <v>28</v>
      </c>
      <c r="L18" s="109" t="s">
        <v>57</v>
      </c>
      <c r="M18" s="109" t="s">
        <v>58</v>
      </c>
      <c r="N18" s="109">
        <v>4</v>
      </c>
    </row>
    <row r="19" spans="1:14" s="111" customFormat="1">
      <c r="A19" s="111" t="s">
        <v>21</v>
      </c>
      <c r="B19" s="111" t="s">
        <v>59</v>
      </c>
      <c r="C19" s="111" t="s">
        <v>8</v>
      </c>
      <c r="D19" s="111" t="s">
        <v>57</v>
      </c>
      <c r="E19" s="112" t="s">
        <v>60</v>
      </c>
      <c r="F19" s="111">
        <v>1</v>
      </c>
      <c r="I19" s="109" t="s">
        <v>61</v>
      </c>
      <c r="J19" s="109" t="s">
        <v>20</v>
      </c>
      <c r="K19" s="109" t="s">
        <v>1</v>
      </c>
      <c r="L19" s="109" t="s">
        <v>57</v>
      </c>
      <c r="M19" s="109" t="s">
        <v>58</v>
      </c>
      <c r="N19" s="109">
        <v>4.2699999999999996</v>
      </c>
    </row>
    <row r="20" spans="1:14" s="111" customFormat="1">
      <c r="A20" s="111" t="s">
        <v>21</v>
      </c>
      <c r="B20" s="111" t="s">
        <v>59</v>
      </c>
      <c r="C20" s="111" t="s">
        <v>28</v>
      </c>
      <c r="D20" s="111" t="s">
        <v>57</v>
      </c>
      <c r="E20" s="112" t="s">
        <v>60</v>
      </c>
      <c r="F20" s="111">
        <v>4.125</v>
      </c>
      <c r="I20" s="109" t="s">
        <v>61</v>
      </c>
      <c r="J20" s="109" t="s">
        <v>20</v>
      </c>
      <c r="K20" s="109" t="s">
        <v>8</v>
      </c>
      <c r="L20" s="109" t="s">
        <v>57</v>
      </c>
      <c r="M20" s="109" t="s">
        <v>58</v>
      </c>
      <c r="N20" s="109">
        <v>2.25</v>
      </c>
    </row>
    <row r="21" spans="1:14" s="111" customFormat="1">
      <c r="A21" s="111" t="s">
        <v>20</v>
      </c>
      <c r="B21" s="111" t="s">
        <v>61</v>
      </c>
      <c r="C21" s="111" t="s">
        <v>1</v>
      </c>
      <c r="D21" s="111" t="s">
        <v>57</v>
      </c>
      <c r="E21" s="112" t="s">
        <v>60</v>
      </c>
      <c r="F21" s="111">
        <v>4.2699999999999996</v>
      </c>
      <c r="I21" s="109" t="s">
        <v>61</v>
      </c>
      <c r="J21" s="109" t="s">
        <v>20</v>
      </c>
      <c r="K21" s="109" t="s">
        <v>28</v>
      </c>
      <c r="L21" s="109" t="s">
        <v>57</v>
      </c>
      <c r="M21" s="109" t="s">
        <v>58</v>
      </c>
      <c r="N21" s="109">
        <v>3.375</v>
      </c>
    </row>
    <row r="22" spans="1:14" s="111" customFormat="1">
      <c r="A22" s="111" t="s">
        <v>20</v>
      </c>
      <c r="B22" s="111" t="s">
        <v>61</v>
      </c>
      <c r="C22" s="111" t="s">
        <v>8</v>
      </c>
      <c r="D22" s="111" t="s">
        <v>57</v>
      </c>
      <c r="E22" s="112" t="s">
        <v>60</v>
      </c>
      <c r="F22" s="111">
        <v>2.25</v>
      </c>
      <c r="I22" s="109" t="s">
        <v>61</v>
      </c>
      <c r="J22" s="109" t="s">
        <v>21</v>
      </c>
      <c r="K22" s="109" t="s">
        <v>1</v>
      </c>
      <c r="L22" s="109" t="s">
        <v>57</v>
      </c>
      <c r="M22" s="109" t="s">
        <v>58</v>
      </c>
      <c r="N22" s="109">
        <v>4.79</v>
      </c>
    </row>
    <row r="23" spans="1:14" s="111" customFormat="1">
      <c r="A23" s="111" t="s">
        <v>20</v>
      </c>
      <c r="B23" s="111" t="s">
        <v>61</v>
      </c>
      <c r="C23" s="111" t="s">
        <v>28</v>
      </c>
      <c r="D23" s="111" t="s">
        <v>57</v>
      </c>
      <c r="E23" s="112" t="s">
        <v>60</v>
      </c>
      <c r="F23" s="111">
        <v>3.375</v>
      </c>
      <c r="I23" s="109" t="s">
        <v>61</v>
      </c>
      <c r="J23" s="109" t="s">
        <v>21</v>
      </c>
      <c r="K23" s="109" t="s">
        <v>44</v>
      </c>
      <c r="L23" s="109" t="s">
        <v>57</v>
      </c>
      <c r="M23" s="109" t="s">
        <v>58</v>
      </c>
      <c r="N23" s="109">
        <v>6762</v>
      </c>
    </row>
    <row r="24" spans="1:14" s="111" customFormat="1">
      <c r="A24" s="111" t="s">
        <v>21</v>
      </c>
      <c r="B24" s="111" t="s">
        <v>61</v>
      </c>
      <c r="C24" s="111" t="s">
        <v>1</v>
      </c>
      <c r="D24" s="111" t="s">
        <v>57</v>
      </c>
      <c r="E24" s="112" t="s">
        <v>60</v>
      </c>
      <c r="F24" s="111">
        <v>4.9050000000000002</v>
      </c>
      <c r="I24" s="109" t="s">
        <v>61</v>
      </c>
      <c r="J24" s="109" t="s">
        <v>21</v>
      </c>
      <c r="K24" s="109" t="s">
        <v>2</v>
      </c>
      <c r="L24" s="109" t="s">
        <v>57</v>
      </c>
      <c r="M24" s="109" t="s">
        <v>58</v>
      </c>
      <c r="N24" s="109">
        <v>200000</v>
      </c>
    </row>
    <row r="25" spans="1:14" s="111" customFormat="1">
      <c r="A25" s="111" t="s">
        <v>21</v>
      </c>
      <c r="B25" s="111" t="s">
        <v>61</v>
      </c>
      <c r="C25" s="111" t="s">
        <v>44</v>
      </c>
      <c r="D25" s="111" t="s">
        <v>57</v>
      </c>
      <c r="E25" s="112" t="s">
        <v>60</v>
      </c>
      <c r="F25" s="111">
        <v>6529</v>
      </c>
      <c r="I25" s="109" t="s">
        <v>61</v>
      </c>
      <c r="J25" s="109" t="s">
        <v>21</v>
      </c>
      <c r="K25" s="109" t="s">
        <v>8</v>
      </c>
      <c r="L25" s="109" t="s">
        <v>57</v>
      </c>
      <c r="M25" s="109" t="s">
        <v>58</v>
      </c>
      <c r="N25" s="109">
        <v>1</v>
      </c>
    </row>
    <row r="26" spans="1:14" s="111" customFormat="1">
      <c r="A26" s="111" t="s">
        <v>21</v>
      </c>
      <c r="B26" s="111" t="s">
        <v>61</v>
      </c>
      <c r="C26" s="111" t="s">
        <v>2</v>
      </c>
      <c r="D26" s="111" t="s">
        <v>57</v>
      </c>
      <c r="E26" s="112" t="s">
        <v>60</v>
      </c>
      <c r="F26" s="111">
        <v>200000</v>
      </c>
      <c r="I26" s="109" t="s">
        <v>61</v>
      </c>
      <c r="J26" s="109" t="s">
        <v>21</v>
      </c>
      <c r="K26" s="109" t="s">
        <v>28</v>
      </c>
      <c r="L26" s="109" t="s">
        <v>57</v>
      </c>
      <c r="M26" s="109" t="s">
        <v>58</v>
      </c>
      <c r="N26" s="109">
        <v>3.75</v>
      </c>
    </row>
    <row r="27" spans="1:14" s="111" customFormat="1">
      <c r="A27" s="111" t="s">
        <v>21</v>
      </c>
      <c r="B27" s="111" t="s">
        <v>61</v>
      </c>
      <c r="C27" s="111" t="s">
        <v>8</v>
      </c>
      <c r="D27" s="111" t="s">
        <v>57</v>
      </c>
      <c r="E27" s="112" t="s">
        <v>60</v>
      </c>
      <c r="F27" s="111">
        <v>1</v>
      </c>
      <c r="I27" s="109" t="s">
        <v>61</v>
      </c>
      <c r="J27" s="109" t="s">
        <v>21</v>
      </c>
      <c r="K27" s="109" t="s">
        <v>45</v>
      </c>
      <c r="L27" s="109" t="s">
        <v>57</v>
      </c>
      <c r="M27" s="109" t="s">
        <v>58</v>
      </c>
      <c r="N27" s="109">
        <v>3500</v>
      </c>
    </row>
    <row r="28" spans="1:14" s="111" customFormat="1">
      <c r="A28" s="111" t="s">
        <v>21</v>
      </c>
      <c r="B28" s="111" t="s">
        <v>61</v>
      </c>
      <c r="C28" s="111" t="s">
        <v>28</v>
      </c>
      <c r="D28" s="111" t="s">
        <v>57</v>
      </c>
      <c r="E28" s="112" t="s">
        <v>60</v>
      </c>
      <c r="F28" s="111">
        <v>3.875</v>
      </c>
      <c r="I28" s="109" t="s">
        <v>62</v>
      </c>
      <c r="J28" s="109" t="s">
        <v>21</v>
      </c>
      <c r="K28" s="109" t="s">
        <v>1</v>
      </c>
      <c r="L28" s="109" t="s">
        <v>57</v>
      </c>
      <c r="M28" s="109" t="s">
        <v>58</v>
      </c>
      <c r="N28" s="109">
        <v>4.1280000000000001</v>
      </c>
    </row>
    <row r="29" spans="1:14" s="111" customFormat="1">
      <c r="A29" s="111" t="s">
        <v>21</v>
      </c>
      <c r="B29" s="111" t="s">
        <v>61</v>
      </c>
      <c r="C29" s="111" t="s">
        <v>45</v>
      </c>
      <c r="D29" s="111" t="s">
        <v>57</v>
      </c>
      <c r="E29" s="112" t="s">
        <v>60</v>
      </c>
      <c r="F29" s="111">
        <v>3500</v>
      </c>
      <c r="I29" s="109" t="s">
        <v>62</v>
      </c>
      <c r="J29" s="109" t="s">
        <v>21</v>
      </c>
      <c r="K29" s="109" t="s">
        <v>8</v>
      </c>
      <c r="L29" s="109" t="s">
        <v>57</v>
      </c>
      <c r="M29" s="109" t="s">
        <v>58</v>
      </c>
      <c r="N29" s="109">
        <v>1</v>
      </c>
    </row>
    <row r="30" spans="1:14" s="111" customFormat="1">
      <c r="A30" s="111" t="s">
        <v>21</v>
      </c>
      <c r="B30" s="111" t="s">
        <v>62</v>
      </c>
      <c r="C30" s="111" t="s">
        <v>1</v>
      </c>
      <c r="D30" s="111" t="s">
        <v>57</v>
      </c>
      <c r="E30" s="112" t="s">
        <v>60</v>
      </c>
      <c r="F30" s="111">
        <v>4.1479999999999997</v>
      </c>
      <c r="I30" s="109" t="s">
        <v>62</v>
      </c>
      <c r="J30" s="109" t="s">
        <v>21</v>
      </c>
      <c r="K30" s="109" t="s">
        <v>28</v>
      </c>
      <c r="L30" s="109" t="s">
        <v>57</v>
      </c>
      <c r="M30" s="109" t="s">
        <v>58</v>
      </c>
      <c r="N30" s="109">
        <v>4.125</v>
      </c>
    </row>
    <row r="31" spans="1:14" s="111" customFormat="1">
      <c r="A31" s="111" t="s">
        <v>21</v>
      </c>
      <c r="B31" s="111" t="s">
        <v>62</v>
      </c>
      <c r="C31" s="111" t="s">
        <v>44</v>
      </c>
      <c r="D31" s="111" t="s">
        <v>57</v>
      </c>
      <c r="E31" s="112" t="s">
        <v>60</v>
      </c>
      <c r="F31" s="111">
        <v>3602</v>
      </c>
      <c r="I31" s="109" t="s">
        <v>63</v>
      </c>
      <c r="J31" s="109" t="s">
        <v>21</v>
      </c>
      <c r="K31" s="109" t="s">
        <v>1</v>
      </c>
      <c r="L31" s="109" t="s">
        <v>57</v>
      </c>
      <c r="M31" s="109" t="s">
        <v>58</v>
      </c>
      <c r="N31" s="109">
        <v>4.0149999999999997</v>
      </c>
    </row>
    <row r="32" spans="1:14" s="111" customFormat="1">
      <c r="A32" s="111" t="s">
        <v>21</v>
      </c>
      <c r="B32" s="111" t="s">
        <v>62</v>
      </c>
      <c r="C32" s="111" t="s">
        <v>2</v>
      </c>
      <c r="D32" s="111" t="s">
        <v>57</v>
      </c>
      <c r="E32" s="112" t="s">
        <v>60</v>
      </c>
      <c r="F32" s="111">
        <v>500000</v>
      </c>
      <c r="I32" s="109" t="s">
        <v>63</v>
      </c>
      <c r="J32" s="109" t="s">
        <v>21</v>
      </c>
      <c r="K32" s="109" t="s">
        <v>8</v>
      </c>
      <c r="L32" s="109" t="s">
        <v>57</v>
      </c>
      <c r="M32" s="109" t="s">
        <v>58</v>
      </c>
      <c r="N32" s="109">
        <v>1</v>
      </c>
    </row>
    <row r="33" spans="1:14" s="111" customFormat="1">
      <c r="A33" s="111" t="s">
        <v>21</v>
      </c>
      <c r="B33" s="111" t="s">
        <v>62</v>
      </c>
      <c r="C33" s="111" t="s">
        <v>8</v>
      </c>
      <c r="D33" s="111" t="s">
        <v>57</v>
      </c>
      <c r="E33" s="112" t="s">
        <v>60</v>
      </c>
      <c r="F33" s="111">
        <v>1</v>
      </c>
      <c r="I33" s="109" t="s">
        <v>63</v>
      </c>
      <c r="J33" s="109" t="s">
        <v>21</v>
      </c>
      <c r="K33" s="109" t="s">
        <v>28</v>
      </c>
      <c r="L33" s="109" t="s">
        <v>57</v>
      </c>
      <c r="M33" s="109" t="s">
        <v>58</v>
      </c>
      <c r="N33" s="109">
        <v>4</v>
      </c>
    </row>
    <row r="34" spans="1:14" s="111" customFormat="1">
      <c r="A34" s="111" t="s">
        <v>21</v>
      </c>
      <c r="B34" s="111" t="s">
        <v>62</v>
      </c>
      <c r="C34" s="111" t="s">
        <v>28</v>
      </c>
      <c r="D34" s="111" t="s">
        <v>57</v>
      </c>
      <c r="E34" s="112" t="s">
        <v>60</v>
      </c>
      <c r="F34" s="111">
        <v>4.125</v>
      </c>
    </row>
    <row r="35" spans="1:14" s="111" customFormat="1">
      <c r="A35" s="111" t="s">
        <v>21</v>
      </c>
      <c r="B35" s="111" t="s">
        <v>63</v>
      </c>
      <c r="C35" s="111" t="s">
        <v>1</v>
      </c>
      <c r="D35" s="111" t="s">
        <v>57</v>
      </c>
      <c r="E35" s="112" t="s">
        <v>60</v>
      </c>
      <c r="F35" s="111">
        <v>4.125</v>
      </c>
    </row>
    <row r="36" spans="1:14" s="111" customFormat="1">
      <c r="A36" s="111" t="s">
        <v>21</v>
      </c>
      <c r="B36" s="111" t="s">
        <v>63</v>
      </c>
      <c r="C36" s="111" t="s">
        <v>44</v>
      </c>
      <c r="D36" s="111" t="s">
        <v>57</v>
      </c>
      <c r="E36" s="112" t="s">
        <v>60</v>
      </c>
      <c r="F36" s="111">
        <v>1262</v>
      </c>
    </row>
    <row r="37" spans="1:14" s="111" customFormat="1">
      <c r="A37" s="111" t="s">
        <v>21</v>
      </c>
      <c r="B37" s="111" t="s">
        <v>63</v>
      </c>
      <c r="C37" s="111" t="s">
        <v>2</v>
      </c>
      <c r="D37" s="111" t="s">
        <v>57</v>
      </c>
      <c r="E37" s="112" t="s">
        <v>60</v>
      </c>
      <c r="F37" s="111">
        <v>750000</v>
      </c>
    </row>
    <row r="38" spans="1:14" s="111" customFormat="1">
      <c r="A38" s="111" t="s">
        <v>21</v>
      </c>
      <c r="B38" s="111" t="s">
        <v>63</v>
      </c>
      <c r="C38" s="111" t="s">
        <v>8</v>
      </c>
      <c r="D38" s="111" t="s">
        <v>57</v>
      </c>
      <c r="E38" s="112" t="s">
        <v>60</v>
      </c>
      <c r="F38" s="111">
        <v>1</v>
      </c>
    </row>
    <row r="39" spans="1:14" s="111" customFormat="1">
      <c r="A39" s="111" t="s">
        <v>21</v>
      </c>
      <c r="B39" s="111" t="s">
        <v>63</v>
      </c>
      <c r="C39" s="111" t="s">
        <v>28</v>
      </c>
      <c r="D39" s="111" t="s">
        <v>57</v>
      </c>
      <c r="E39" s="112" t="s">
        <v>60</v>
      </c>
      <c r="F39" s="111">
        <v>4.125</v>
      </c>
    </row>
    <row r="40" spans="1:14" s="111" customFormat="1"/>
    <row r="41" spans="1:14" s="111" customFormat="1"/>
    <row r="42" spans="1:14" s="111" customFormat="1"/>
    <row r="43" spans="1:14" s="111" customFormat="1"/>
    <row r="44" spans="1:14" s="111" customFormat="1"/>
    <row r="45" spans="1:14" s="111" customFormat="1"/>
    <row r="46" spans="1:14" s="111" customFormat="1"/>
    <row r="47" spans="1:14" s="111" customFormat="1"/>
    <row r="48" spans="1:14" s="111" customFormat="1"/>
    <row r="49" s="111" customFormat="1"/>
    <row r="50" s="111" customFormat="1"/>
    <row r="51" s="111" customFormat="1"/>
    <row r="52" s="111" customFormat="1"/>
    <row r="53" s="111" customFormat="1"/>
    <row r="54" s="111" customFormat="1"/>
    <row r="55" s="111" customFormat="1"/>
    <row r="56" s="111" customFormat="1"/>
    <row r="57" s="111" customFormat="1"/>
    <row r="58" s="111" customFormat="1"/>
    <row r="59" s="111" customFormat="1"/>
    <row r="60" s="111" customFormat="1"/>
    <row r="61" s="111" customFormat="1"/>
    <row r="62" s="111" customFormat="1"/>
    <row r="63" s="111" customFormat="1"/>
    <row r="64" s="111" customFormat="1"/>
    <row r="65" s="111" customFormat="1"/>
    <row r="66" s="111" customFormat="1"/>
    <row r="67" s="111" customFormat="1"/>
    <row r="68" s="111" customFormat="1"/>
    <row r="69" s="111" customFormat="1"/>
    <row r="70" s="111" customFormat="1"/>
    <row r="71" s="111" customFormat="1"/>
    <row r="72" s="111" customFormat="1"/>
    <row r="73" s="111" customFormat="1"/>
    <row r="74" s="111" customFormat="1"/>
    <row r="75" s="111" customFormat="1"/>
    <row r="76" s="111" customFormat="1"/>
    <row r="77" s="111" customFormat="1"/>
    <row r="78" s="111" customFormat="1"/>
    <row r="79" s="111" customFormat="1"/>
    <row r="80" s="111" customFormat="1"/>
    <row r="81" s="111" customFormat="1"/>
    <row r="82" s="111" customFormat="1"/>
    <row r="83" s="111" customFormat="1"/>
    <row r="84" s="111" customFormat="1"/>
    <row r="85" s="111" customFormat="1"/>
    <row r="86" s="111" customFormat="1"/>
    <row r="87" s="111" customFormat="1"/>
    <row r="88" s="111" customFormat="1"/>
    <row r="89" s="111" customFormat="1"/>
    <row r="90" s="111" customFormat="1"/>
    <row r="91" s="111" customFormat="1"/>
    <row r="92" s="111" customFormat="1"/>
    <row r="93" s="111" customFormat="1"/>
    <row r="94" s="110" customFormat="1" ht="12"/>
    <row r="95" s="110" customFormat="1" ht="12"/>
    <row r="96" s="110" customFormat="1" ht="12"/>
    <row r="97" s="110" customFormat="1" ht="12"/>
    <row r="98" s="110" customFormat="1" ht="12"/>
    <row r="99" s="110" customFormat="1" ht="12"/>
    <row r="100" s="110" customFormat="1" ht="12"/>
    <row r="101" s="110" customFormat="1" ht="12"/>
    <row r="102" s="110" customFormat="1" ht="12"/>
    <row r="103" s="110" customFormat="1" ht="12"/>
    <row r="104" s="110" customFormat="1" ht="12"/>
    <row r="105" s="110" customFormat="1" ht="12"/>
    <row r="106" s="110" customFormat="1" ht="12"/>
    <row r="107" s="110" customFormat="1" ht="12"/>
    <row r="108" s="110" customFormat="1" ht="12"/>
    <row r="109" s="110" customFormat="1" ht="12"/>
    <row r="110" s="110" customFormat="1" ht="12"/>
    <row r="111" s="110" customFormat="1" ht="12"/>
    <row r="112" s="110" customFormat="1" ht="12"/>
    <row r="113" s="110" customFormat="1" ht="12"/>
    <row r="114" s="110" customFormat="1" ht="12"/>
    <row r="115" s="110" customFormat="1" ht="12"/>
    <row r="116" s="110" customFormat="1" ht="12"/>
    <row r="117" s="110" customFormat="1" ht="12"/>
    <row r="118" s="110" customFormat="1" ht="12"/>
    <row r="119" s="110" customFormat="1" ht="12"/>
    <row r="120" s="110" customFormat="1" ht="12"/>
    <row r="121" s="110" customFormat="1" ht="12"/>
    <row r="122" s="110" customFormat="1" ht="12"/>
    <row r="123" s="110" customFormat="1" ht="12"/>
    <row r="124" s="110" customFormat="1" ht="12"/>
    <row r="125" s="110" customFormat="1" ht="12"/>
    <row r="126" s="110" customFormat="1" ht="12"/>
    <row r="127" s="110" customFormat="1" ht="12"/>
    <row r="128" s="110" customFormat="1" ht="12"/>
    <row r="129" s="110" customFormat="1" ht="12"/>
    <row r="130" s="110" customFormat="1" ht="12"/>
    <row r="131" s="110" customFormat="1" ht="12"/>
    <row r="132" s="110" customFormat="1" ht="12"/>
    <row r="133" s="110" customFormat="1" ht="12"/>
    <row r="134" s="110" customFormat="1" ht="12"/>
    <row r="135" s="110" customFormat="1" ht="12"/>
    <row r="136" s="110" customFormat="1" ht="12"/>
    <row r="137" s="110" customFormat="1" ht="12"/>
    <row r="138" s="110" customFormat="1" ht="12"/>
    <row r="139" s="110" customFormat="1" ht="12"/>
    <row r="140" s="110" customFormat="1" ht="12"/>
    <row r="141" s="110" customFormat="1" ht="12"/>
    <row r="142" s="110" customFormat="1" ht="12"/>
    <row r="143" s="110" customFormat="1" ht="12"/>
    <row r="144" s="110" customFormat="1" ht="12"/>
    <row r="145" s="110" customFormat="1" ht="12"/>
    <row r="146" s="110" customFormat="1" ht="12"/>
    <row r="147" s="110" customFormat="1" ht="12"/>
    <row r="148" s="110" customFormat="1" ht="12"/>
    <row r="149" s="110" customFormat="1" ht="12"/>
    <row r="150" s="110" customFormat="1" ht="12"/>
    <row r="151" s="110" customFormat="1" ht="12"/>
    <row r="152" s="110" customFormat="1" ht="12"/>
    <row r="153" s="110" customFormat="1" ht="12"/>
    <row r="154" s="110" customFormat="1" ht="12"/>
    <row r="155" s="110" customFormat="1" ht="12"/>
    <row r="156" s="110" customFormat="1" ht="12"/>
    <row r="157" s="110" customFormat="1" ht="12"/>
    <row r="158" s="110" customFormat="1" ht="12"/>
    <row r="159" s="110" customFormat="1" ht="12"/>
    <row r="160" s="110" customFormat="1" ht="12"/>
    <row r="161" s="110" customFormat="1" ht="12"/>
    <row r="162" s="110" customFormat="1" ht="12"/>
    <row r="163" s="110" customFormat="1" ht="12"/>
    <row r="164" s="110" customFormat="1" ht="12"/>
    <row r="165" s="110" customFormat="1" ht="12"/>
    <row r="166" s="110" customFormat="1" ht="12"/>
  </sheetData>
  <pageMargins left="0.7" right="0.7" top="0.75" bottom="0.75" header="0.3" footer="0.3"/>
  <pageSetup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92D050"/>
  </sheetPr>
  <dimension ref="B1:P9"/>
  <sheetViews>
    <sheetView workbookViewId="0">
      <selection activeCell="P8" sqref="P8"/>
    </sheetView>
  </sheetViews>
  <sheetFormatPr defaultRowHeight="15"/>
  <cols>
    <col min="3" max="3" width="15.7109375" bestFit="1" customWidth="1"/>
    <col min="4" max="4" width="31.42578125" bestFit="1" customWidth="1"/>
    <col min="8" max="8" width="11.7109375" bestFit="1" customWidth="1"/>
    <col min="9" max="9" width="12.7109375" bestFit="1" customWidth="1"/>
    <col min="10" max="10" width="11.7109375" bestFit="1" customWidth="1"/>
    <col min="15" max="15" width="13.85546875" bestFit="1" customWidth="1"/>
  </cols>
  <sheetData>
    <row r="1" spans="2:16">
      <c r="B1" s="1" t="s">
        <v>40</v>
      </c>
      <c r="C1" s="1" t="s">
        <v>41</v>
      </c>
      <c r="D1" s="1" t="s">
        <v>42</v>
      </c>
      <c r="E1" s="42" t="s">
        <v>28</v>
      </c>
      <c r="F1" s="42" t="s">
        <v>43</v>
      </c>
      <c r="G1" s="1" t="s">
        <v>1</v>
      </c>
      <c r="H1" s="1" t="s">
        <v>44</v>
      </c>
      <c r="I1" s="1" t="s">
        <v>2</v>
      </c>
      <c r="J1" s="1" t="s">
        <v>45</v>
      </c>
    </row>
    <row r="2" spans="2:16">
      <c r="B2" s="1">
        <v>20150304</v>
      </c>
      <c r="C2" s="1" t="s">
        <v>21</v>
      </c>
      <c r="D2" s="1" t="s">
        <v>61</v>
      </c>
      <c r="E2" s="1">
        <v>3.875</v>
      </c>
      <c r="F2" s="1">
        <f>1</f>
        <v>1</v>
      </c>
      <c r="G2" s="1">
        <v>4.9050000000000002</v>
      </c>
      <c r="H2" s="43">
        <v>6529</v>
      </c>
      <c r="I2" s="43">
        <v>200000</v>
      </c>
      <c r="J2" s="44">
        <v>3500</v>
      </c>
      <c r="O2" t="s">
        <v>29</v>
      </c>
      <c r="P2">
        <v>2.8341999400292899</v>
      </c>
    </row>
    <row r="3" spans="2:16">
      <c r="B3" s="1">
        <v>20150304</v>
      </c>
      <c r="C3" s="1" t="s">
        <v>21</v>
      </c>
      <c r="D3" s="1" t="s">
        <v>59</v>
      </c>
      <c r="E3" s="1">
        <v>4.125</v>
      </c>
      <c r="F3" s="1">
        <f>1</f>
        <v>1</v>
      </c>
      <c r="G3" s="1">
        <v>4.1470000000000002</v>
      </c>
      <c r="H3" s="43">
        <v>1768</v>
      </c>
      <c r="I3" s="43">
        <v>200000</v>
      </c>
      <c r="J3" s="1"/>
      <c r="O3" t="s">
        <v>30</v>
      </c>
      <c r="P3">
        <v>2.7074000366412498</v>
      </c>
    </row>
    <row r="4" spans="2:16">
      <c r="B4" s="1">
        <v>20150304</v>
      </c>
      <c r="C4" s="1" t="s">
        <v>21</v>
      </c>
      <c r="D4" s="1" t="s">
        <v>84</v>
      </c>
      <c r="E4" s="1">
        <v>4.125</v>
      </c>
      <c r="F4" s="1">
        <f>1</f>
        <v>1</v>
      </c>
      <c r="G4" s="1">
        <v>4.1479999999999997</v>
      </c>
      <c r="H4" s="43">
        <v>3602</v>
      </c>
      <c r="I4" s="43">
        <v>500000</v>
      </c>
      <c r="J4" s="1"/>
    </row>
    <row r="5" spans="2:16">
      <c r="B5" s="1">
        <v>20150304</v>
      </c>
      <c r="C5" s="1" t="s">
        <v>21</v>
      </c>
      <c r="D5" s="1" t="s">
        <v>63</v>
      </c>
      <c r="E5" s="1">
        <v>4.125</v>
      </c>
      <c r="F5" s="1">
        <f>1</f>
        <v>1</v>
      </c>
      <c r="G5" s="1">
        <v>4.125</v>
      </c>
      <c r="H5" s="43">
        <v>1262</v>
      </c>
      <c r="I5" s="43">
        <v>750000</v>
      </c>
      <c r="J5" s="1"/>
    </row>
    <row r="6" spans="2:16">
      <c r="B6" s="1">
        <v>20150304</v>
      </c>
      <c r="C6" s="1" t="s">
        <v>20</v>
      </c>
      <c r="D6" s="1" t="s">
        <v>61</v>
      </c>
      <c r="E6" s="1">
        <v>3.375</v>
      </c>
      <c r="F6" s="1" t="s">
        <v>85</v>
      </c>
      <c r="G6" s="1">
        <v>4.2699999999999996</v>
      </c>
      <c r="H6" s="1"/>
      <c r="I6" s="1"/>
      <c r="J6" s="1"/>
    </row>
    <row r="7" spans="2:16">
      <c r="B7" s="1">
        <v>20150304</v>
      </c>
      <c r="C7" s="1" t="s">
        <v>20</v>
      </c>
      <c r="D7" s="1" t="s">
        <v>59</v>
      </c>
      <c r="E7" s="1">
        <v>3.875</v>
      </c>
      <c r="F7" s="1">
        <v>1.75</v>
      </c>
      <c r="G7" s="1">
        <v>4.0919999999999996</v>
      </c>
      <c r="H7" s="1"/>
      <c r="I7" s="1"/>
      <c r="J7" s="1"/>
    </row>
    <row r="8" spans="2:16">
      <c r="B8" s="1">
        <v>20150304</v>
      </c>
      <c r="C8" s="1" t="s">
        <v>18</v>
      </c>
      <c r="D8" s="1" t="s">
        <v>59</v>
      </c>
      <c r="E8" s="1">
        <v>3.875</v>
      </c>
      <c r="F8" s="1">
        <v>1.3129999999999999</v>
      </c>
      <c r="G8" s="1">
        <v>4.0940000000000003</v>
      </c>
      <c r="H8" s="1"/>
      <c r="I8" s="1"/>
      <c r="J8" s="1"/>
    </row>
    <row r="9" spans="2:16">
      <c r="B9" s="1">
        <v>20150304</v>
      </c>
      <c r="C9" s="1" t="s">
        <v>19</v>
      </c>
      <c r="D9" s="1" t="s">
        <v>59</v>
      </c>
      <c r="E9" s="1">
        <v>4.125</v>
      </c>
      <c r="F9" s="1">
        <v>1</v>
      </c>
      <c r="G9" s="1">
        <v>4.2089999999999996</v>
      </c>
      <c r="H9" s="1"/>
      <c r="I9" s="1"/>
      <c r="J9" s="1"/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92D050"/>
  </sheetPr>
  <dimension ref="B3:F15"/>
  <sheetViews>
    <sheetView workbookViewId="0">
      <selection activeCell="F20" sqref="F20"/>
    </sheetView>
  </sheetViews>
  <sheetFormatPr defaultRowHeight="15"/>
  <cols>
    <col min="2" max="2" width="27.85546875" bestFit="1" customWidth="1"/>
    <col min="3" max="3" width="10.7109375" bestFit="1" customWidth="1"/>
    <col min="4" max="4" width="15.42578125" style="1" customWidth="1"/>
    <col min="5" max="5" width="13.28515625" style="1" customWidth="1"/>
    <col min="6" max="6" width="16" customWidth="1"/>
  </cols>
  <sheetData>
    <row r="3" spans="2:6">
      <c r="C3" s="149" t="s">
        <v>48</v>
      </c>
      <c r="D3" s="149"/>
      <c r="E3" s="149" t="s">
        <v>49</v>
      </c>
      <c r="F3" s="149"/>
    </row>
    <row r="4" spans="2:6">
      <c r="B4" s="3" t="s">
        <v>17</v>
      </c>
      <c r="C4" s="39" t="s">
        <v>23</v>
      </c>
      <c r="D4" s="35" t="s">
        <v>31</v>
      </c>
      <c r="E4" s="39" t="s">
        <v>23</v>
      </c>
      <c r="F4" s="35" t="s">
        <v>31</v>
      </c>
    </row>
    <row r="5" spans="2:6">
      <c r="B5" s="5" t="s">
        <v>18</v>
      </c>
      <c r="C5" s="64">
        <v>4.2554972682965035E-2</v>
      </c>
      <c r="D5" s="65">
        <v>1.4638623113497638E-2</v>
      </c>
      <c r="E5" s="51">
        <v>4.1695190979670525E-2</v>
      </c>
      <c r="F5" s="40">
        <v>1.4053251356982426E-2</v>
      </c>
    </row>
    <row r="6" spans="2:6">
      <c r="B6" s="5" t="s">
        <v>19</v>
      </c>
      <c r="C6" s="64">
        <v>4.1543680910694124E-2</v>
      </c>
      <c r="D6" s="65">
        <v>1.3627331341226727E-2</v>
      </c>
      <c r="E6" s="51">
        <v>4.1863869638007693E-2</v>
      </c>
      <c r="F6" s="40">
        <v>1.4221930015319593E-2</v>
      </c>
    </row>
    <row r="7" spans="2:6">
      <c r="B7" s="5" t="s">
        <v>20</v>
      </c>
      <c r="C7" s="64">
        <v>4.2722196725487459E-2</v>
      </c>
      <c r="D7" s="65">
        <v>1.4805847156020062E-2</v>
      </c>
      <c r="E7" s="51">
        <v>4.2106935408068195E-2</v>
      </c>
      <c r="F7" s="40">
        <v>1.4464995785380096E-2</v>
      </c>
    </row>
    <row r="8" spans="2:6">
      <c r="B8" s="4" t="s">
        <v>21</v>
      </c>
      <c r="C8" s="64">
        <v>4.1618039804499192E-2</v>
      </c>
      <c r="D8" s="65">
        <v>1.3701690235031795E-2</v>
      </c>
      <c r="E8" s="37">
        <v>4.3001919961318615E-2</v>
      </c>
      <c r="F8" s="41">
        <v>1.5359980338630515E-2</v>
      </c>
    </row>
    <row r="9" spans="2:6">
      <c r="B9" s="2" t="s">
        <v>24</v>
      </c>
      <c r="C9" s="82">
        <v>4.2109722530911449E-2</v>
      </c>
      <c r="D9" s="83">
        <v>1.4193372961444052E-2</v>
      </c>
      <c r="E9" s="52">
        <v>4.2166978996766254E-2</v>
      </c>
      <c r="F9" s="24">
        <v>1.4525039374078154E-2</v>
      </c>
    </row>
    <row r="10" spans="2:6">
      <c r="B10" s="3" t="s">
        <v>35</v>
      </c>
      <c r="C10" s="101"/>
      <c r="D10" s="103"/>
      <c r="E10" s="39" t="s">
        <v>23</v>
      </c>
      <c r="F10" s="35" t="s">
        <v>31</v>
      </c>
    </row>
    <row r="11" spans="2:6">
      <c r="B11" s="4" t="s">
        <v>21</v>
      </c>
      <c r="C11" s="88">
        <v>4.1238889421615549E-2</v>
      </c>
      <c r="D11" s="89">
        <v>1.3322539852148152E-2</v>
      </c>
      <c r="E11" s="51">
        <v>4.0195372314316996E-2</v>
      </c>
      <c r="F11" s="40">
        <v>1.2553432691628896E-2</v>
      </c>
    </row>
    <row r="12" spans="2:6">
      <c r="B12" s="3" t="s">
        <v>36</v>
      </c>
      <c r="C12" s="69"/>
      <c r="D12" s="71"/>
      <c r="E12" s="39" t="s">
        <v>23</v>
      </c>
      <c r="F12" s="35" t="s">
        <v>31</v>
      </c>
    </row>
    <row r="13" spans="2:6">
      <c r="B13" s="4" t="s">
        <v>21</v>
      </c>
      <c r="C13" s="88">
        <v>3.9170666666666666E-2</v>
      </c>
      <c r="D13" s="89">
        <v>1.1254317097199269E-2</v>
      </c>
      <c r="E13" s="37">
        <v>3.9146476368534466E-2</v>
      </c>
      <c r="F13" s="41">
        <v>1.1504536745846367E-2</v>
      </c>
    </row>
    <row r="14" spans="2:6">
      <c r="B14" s="34" t="s">
        <v>37</v>
      </c>
      <c r="C14" s="75"/>
      <c r="D14" s="77"/>
      <c r="E14" s="39" t="s">
        <v>33</v>
      </c>
      <c r="F14" s="35" t="s">
        <v>31</v>
      </c>
    </row>
    <row r="15" spans="2:6">
      <c r="B15" s="36" t="s">
        <v>21</v>
      </c>
      <c r="C15" s="66">
        <v>3.9717500000000003E-2</v>
      </c>
      <c r="D15" s="96">
        <v>1.2836864276480203E-2</v>
      </c>
      <c r="E15" s="37">
        <v>3.9717500000000003E-2</v>
      </c>
      <c r="F15" s="41">
        <v>1.2970924186383903E-2</v>
      </c>
    </row>
  </sheetData>
  <mergeCells count="2">
    <mergeCell ref="C3:D3"/>
    <mergeCell ref="E3:F3"/>
  </mergeCells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I13"/>
  <sheetViews>
    <sheetView workbookViewId="0"/>
  </sheetViews>
  <sheetFormatPr defaultRowHeight="12.75"/>
  <cols>
    <col min="1" max="1" width="9.140625" style="6"/>
    <col min="2" max="2" width="15.7109375" style="6" customWidth="1"/>
    <col min="3" max="3" width="16.85546875" style="6" customWidth="1"/>
    <col min="4" max="4" width="2.140625" style="6" customWidth="1"/>
    <col min="5" max="5" width="23.140625" style="6" bestFit="1" customWidth="1"/>
    <col min="6" max="6" width="15.7109375" style="6" customWidth="1"/>
    <col min="7" max="7" width="2.7109375" style="6" customWidth="1"/>
    <col min="8" max="8" width="15.7109375" style="6" customWidth="1"/>
    <col min="9" max="9" width="16.140625" style="6" customWidth="1"/>
    <col min="10" max="16384" width="9.140625" style="6"/>
  </cols>
  <sheetData>
    <row r="2" spans="2:9">
      <c r="B2" s="148" t="s">
        <v>4</v>
      </c>
      <c r="C2" s="148"/>
      <c r="D2" s="8"/>
      <c r="E2" s="148" t="s">
        <v>6</v>
      </c>
      <c r="F2" s="148"/>
      <c r="H2" s="148" t="s">
        <v>13</v>
      </c>
      <c r="I2" s="148"/>
    </row>
    <row r="4" spans="2:9">
      <c r="B4" s="6" t="s">
        <v>0</v>
      </c>
      <c r="C4" s="17">
        <f>'Input Data'!E8/100</f>
        <v>3.875E-2</v>
      </c>
      <c r="D4" s="9"/>
      <c r="E4" s="9" t="s">
        <v>9</v>
      </c>
      <c r="F4" s="17">
        <f>1-((C4/12*(1+C4/12)^360)/((1+C4/12)^360-1)*((1+C5/12)^360-1)/(C5/12*(1+C5/12)^360))</f>
        <v>2.6122569695680831E-2</v>
      </c>
      <c r="H4" s="12" t="s">
        <v>12</v>
      </c>
      <c r="I4" s="13">
        <f>C4-(1%-F7)/4</f>
        <v>4.2780642423920205E-2</v>
      </c>
    </row>
    <row r="5" spans="2:9">
      <c r="B5" s="6" t="s">
        <v>1</v>
      </c>
      <c r="C5" s="17">
        <f>'Input Data'!G8/100</f>
        <v>4.0940000000000004E-2</v>
      </c>
      <c r="D5" s="9"/>
      <c r="E5" s="10" t="s">
        <v>15</v>
      </c>
      <c r="F5" s="21">
        <f>C8</f>
        <v>1.3129999999999999E-2</v>
      </c>
    </row>
    <row r="6" spans="2:9">
      <c r="B6" s="6" t="s">
        <v>2</v>
      </c>
      <c r="C6" s="11">
        <v>200000</v>
      </c>
      <c r="E6" s="10" t="s">
        <v>10</v>
      </c>
      <c r="F6" s="15">
        <f>F4-C8</f>
        <v>1.2992569695680831E-2</v>
      </c>
      <c r="H6" s="6" t="s">
        <v>25</v>
      </c>
      <c r="I6" s="17">
        <f>C4-(0.01-(1-((C4/12*(1+C4/12)^360)/((1+C4/12)^360-1)*((1+C5/12)^360-1)/(C5/12*(1+C5/12)^360))))/4</f>
        <v>4.2780642423920205E-2</v>
      </c>
    </row>
    <row r="7" spans="2:9">
      <c r="B7" s="6" t="s">
        <v>5</v>
      </c>
      <c r="C7" s="22" t="s">
        <v>3</v>
      </c>
      <c r="D7" s="16"/>
      <c r="E7" s="6" t="s">
        <v>11</v>
      </c>
      <c r="F7" s="20">
        <f>F5+F6</f>
        <v>2.6122569695680831E-2</v>
      </c>
    </row>
    <row r="8" spans="2:9">
      <c r="B8" s="6" t="s">
        <v>8</v>
      </c>
      <c r="C8" s="15">
        <f>'Input Data'!F8/100</f>
        <v>1.3129999999999999E-2</v>
      </c>
      <c r="D8" s="19"/>
    </row>
    <row r="13" spans="2:9">
      <c r="B13" s="6" t="s">
        <v>14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I13"/>
  <sheetViews>
    <sheetView workbookViewId="0"/>
  </sheetViews>
  <sheetFormatPr defaultRowHeight="12.75"/>
  <cols>
    <col min="1" max="1" width="9.140625" style="6"/>
    <col min="2" max="2" width="15.7109375" style="6" customWidth="1"/>
    <col min="3" max="3" width="16.85546875" style="6" customWidth="1"/>
    <col min="4" max="4" width="2.140625" style="6" customWidth="1"/>
    <col min="5" max="5" width="23.140625" style="6" bestFit="1" customWidth="1"/>
    <col min="6" max="6" width="15.7109375" style="6" customWidth="1"/>
    <col min="7" max="7" width="2.7109375" style="6" customWidth="1"/>
    <col min="8" max="8" width="15.7109375" style="6" customWidth="1"/>
    <col min="9" max="9" width="16.140625" style="6" customWidth="1"/>
    <col min="10" max="16384" width="9.140625" style="6"/>
  </cols>
  <sheetData>
    <row r="2" spans="2:9">
      <c r="B2" s="148" t="s">
        <v>4</v>
      </c>
      <c r="C2" s="148"/>
      <c r="D2" s="8"/>
      <c r="E2" s="148" t="s">
        <v>6</v>
      </c>
      <c r="F2" s="148"/>
      <c r="H2" s="148" t="s">
        <v>13</v>
      </c>
      <c r="I2" s="148"/>
    </row>
    <row r="4" spans="2:9">
      <c r="B4" s="6" t="s">
        <v>0</v>
      </c>
      <c r="C4" s="17">
        <f>'Input Data'!E9/100</f>
        <v>4.1250000000000002E-2</v>
      </c>
      <c r="D4" s="9"/>
      <c r="E4" s="9" t="s">
        <v>9</v>
      </c>
      <c r="F4" s="17">
        <f>1-((C4/12*(1+C4/12)^360)/((1+C4/12)^360-1)*((1+C5/12)^360-1)/(C5/12*(1+C5/12)^360))</f>
        <v>9.9947928123548246E-3</v>
      </c>
      <c r="H4" s="12" t="s">
        <v>12</v>
      </c>
      <c r="I4" s="13">
        <f>C4-(1%-F7)/4</f>
        <v>4.1248698203088706E-2</v>
      </c>
    </row>
    <row r="5" spans="2:9">
      <c r="B5" s="6" t="s">
        <v>1</v>
      </c>
      <c r="C5" s="17">
        <f>'Input Data'!G9/100</f>
        <v>4.2089999999999995E-2</v>
      </c>
      <c r="D5" s="9"/>
      <c r="E5" s="10" t="s">
        <v>15</v>
      </c>
      <c r="F5" s="21">
        <f>C8</f>
        <v>0.01</v>
      </c>
    </row>
    <row r="6" spans="2:9">
      <c r="B6" s="6" t="s">
        <v>2</v>
      </c>
      <c r="C6" s="11">
        <v>215000</v>
      </c>
      <c r="E6" s="10" t="s">
        <v>10</v>
      </c>
      <c r="F6" s="15">
        <f>F4-C8</f>
        <v>-5.2071876451755678E-6</v>
      </c>
      <c r="H6" s="6" t="s">
        <v>25</v>
      </c>
      <c r="I6" s="17">
        <f>C4-(0.01-(1-((C4/12*(1+C4/12)^360)/((1+C4/12)^360-1)*((1+C5/12)^360-1)/(C5/12*(1+C5/12)^360))))/4</f>
        <v>4.1248698203088706E-2</v>
      </c>
    </row>
    <row r="7" spans="2:9">
      <c r="B7" s="6" t="s">
        <v>5</v>
      </c>
      <c r="C7" s="22" t="s">
        <v>3</v>
      </c>
      <c r="D7" s="16"/>
      <c r="E7" s="6" t="s">
        <v>11</v>
      </c>
      <c r="F7" s="20">
        <f>F5+F6</f>
        <v>9.9947928123548246E-3</v>
      </c>
    </row>
    <row r="8" spans="2:9">
      <c r="B8" s="6" t="s">
        <v>8</v>
      </c>
      <c r="C8" s="15">
        <f>'Input Data'!F9/100</f>
        <v>0.01</v>
      </c>
      <c r="D8" s="19"/>
    </row>
    <row r="13" spans="2:9">
      <c r="B13" s="6" t="s">
        <v>14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I13"/>
  <sheetViews>
    <sheetView workbookViewId="0"/>
  </sheetViews>
  <sheetFormatPr defaultRowHeight="12.75"/>
  <cols>
    <col min="1" max="1" width="9.140625" style="6"/>
    <col min="2" max="2" width="15.7109375" style="6" customWidth="1"/>
    <col min="3" max="3" width="16.85546875" style="6" customWidth="1"/>
    <col min="4" max="4" width="2.140625" style="6" customWidth="1"/>
    <col min="5" max="5" width="23.140625" style="6" bestFit="1" customWidth="1"/>
    <col min="6" max="6" width="15.7109375" style="6" customWidth="1"/>
    <col min="7" max="7" width="2.7109375" style="6" customWidth="1"/>
    <col min="8" max="8" width="15.7109375" style="6" customWidth="1"/>
    <col min="9" max="9" width="20" style="6" bestFit="1" customWidth="1"/>
    <col min="10" max="16384" width="9.140625" style="6"/>
  </cols>
  <sheetData>
    <row r="2" spans="2:9">
      <c r="B2" s="148" t="s">
        <v>4</v>
      </c>
      <c r="C2" s="148"/>
      <c r="D2" s="8"/>
      <c r="E2" s="148" t="s">
        <v>6</v>
      </c>
      <c r="F2" s="148"/>
      <c r="H2" s="148" t="s">
        <v>13</v>
      </c>
      <c r="I2" s="148"/>
    </row>
    <row r="4" spans="2:9">
      <c r="B4" s="6" t="s">
        <v>0</v>
      </c>
      <c r="C4" s="17">
        <f>'Input Data'!E7/100</f>
        <v>3.875E-2</v>
      </c>
      <c r="D4" s="9"/>
      <c r="E4" s="9" t="s">
        <v>9</v>
      </c>
      <c r="F4" s="17">
        <f>1-((C4/12*(1+C4/12)^360)/((1+C4/12)^360-1)*((1+C5/12)^360-1)/(C5/12*(1+C5/12)^360))</f>
        <v>2.5888610420199187E-2</v>
      </c>
      <c r="H4" s="12" t="s">
        <v>12</v>
      </c>
      <c r="I4" s="13">
        <f>C4-(1%-F7)/4</f>
        <v>4.2722152605049794E-2</v>
      </c>
    </row>
    <row r="5" spans="2:9">
      <c r="B5" s="6" t="s">
        <v>1</v>
      </c>
      <c r="C5" s="17">
        <f>'Input Data'!G7/100</f>
        <v>4.0919999999999998E-2</v>
      </c>
      <c r="D5" s="9"/>
      <c r="E5" s="10" t="s">
        <v>15</v>
      </c>
      <c r="F5" s="21">
        <f>C8</f>
        <v>1.7500000000000002E-2</v>
      </c>
    </row>
    <row r="6" spans="2:9">
      <c r="B6" s="6" t="s">
        <v>2</v>
      </c>
      <c r="C6" s="11">
        <v>200000</v>
      </c>
      <c r="E6" s="10" t="s">
        <v>10</v>
      </c>
      <c r="F6" s="15">
        <f>F4-C8</f>
        <v>8.3886104201991857E-3</v>
      </c>
      <c r="H6" s="6" t="s">
        <v>25</v>
      </c>
      <c r="I6" s="17">
        <f>C4-(0.01-(1-((C4/12*(1+C4/12)^360)/((1+C4/12)^360-1)*((1+C5/12)^360-1)/(C5/12*(1+C5/12)^360))))/4</f>
        <v>4.2722152605049794E-2</v>
      </c>
    </row>
    <row r="7" spans="2:9">
      <c r="B7" s="6" t="s">
        <v>5</v>
      </c>
      <c r="C7" s="22" t="s">
        <v>3</v>
      </c>
      <c r="D7" s="16"/>
      <c r="E7" s="6" t="s">
        <v>11</v>
      </c>
      <c r="F7" s="20">
        <f>F5+F6</f>
        <v>2.5888610420199187E-2</v>
      </c>
    </row>
    <row r="8" spans="2:9">
      <c r="B8" s="6" t="s">
        <v>8</v>
      </c>
      <c r="C8" s="15">
        <f>'Input Data'!F7/100</f>
        <v>1.7500000000000002E-2</v>
      </c>
      <c r="D8" s="19"/>
    </row>
    <row r="13" spans="2:9">
      <c r="B13" s="6" t="s">
        <v>14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I13"/>
  <sheetViews>
    <sheetView workbookViewId="0">
      <selection activeCell="F6" sqref="F6"/>
    </sheetView>
  </sheetViews>
  <sheetFormatPr defaultRowHeight="15"/>
  <cols>
    <col min="2" max="3" width="15.7109375" customWidth="1"/>
    <col min="4" max="4" width="2.140625" style="1" customWidth="1"/>
    <col min="5" max="5" width="23.140625" bestFit="1" customWidth="1"/>
    <col min="6" max="6" width="15.7109375" customWidth="1"/>
    <col min="7" max="7" width="2.7109375" customWidth="1"/>
    <col min="8" max="9" width="15.7109375" customWidth="1"/>
  </cols>
  <sheetData>
    <row r="2" spans="2:9">
      <c r="B2" s="148" t="s">
        <v>4</v>
      </c>
      <c r="C2" s="148"/>
      <c r="D2" s="8"/>
      <c r="E2" s="148" t="s">
        <v>6</v>
      </c>
      <c r="F2" s="148"/>
      <c r="G2" s="6"/>
      <c r="H2" s="148" t="s">
        <v>13</v>
      </c>
      <c r="I2" s="148"/>
    </row>
    <row r="3" spans="2:9">
      <c r="B3" s="6"/>
      <c r="C3" s="6"/>
      <c r="D3" s="6"/>
      <c r="E3" s="6"/>
      <c r="F3" s="6"/>
      <c r="G3" s="6"/>
      <c r="H3" s="6"/>
      <c r="I3" s="6"/>
    </row>
    <row r="4" spans="2:9">
      <c r="B4" s="6" t="s">
        <v>0</v>
      </c>
      <c r="C4" s="9">
        <f>'Input Data'!E3/100</f>
        <v>4.1250000000000002E-2</v>
      </c>
      <c r="D4" s="9"/>
      <c r="E4" s="10" t="s">
        <v>7</v>
      </c>
      <c r="F4" s="11">
        <f>((CIR/12*(1+CIR/12)^360)/((1+CIR/12)^360-1)*((1+CAPR/12)^360-1)/(CAPR/12*(1+CAPR/12)^360))*CP</f>
        <v>199473.56815640064</v>
      </c>
      <c r="G4" s="6"/>
      <c r="H4" s="12" t="s">
        <v>12</v>
      </c>
      <c r="I4" s="13">
        <f>CIR-(1%-F9)/4</f>
        <v>4.1618039804499192E-2</v>
      </c>
    </row>
    <row r="5" spans="2:9">
      <c r="B5" s="6" t="s">
        <v>1</v>
      </c>
      <c r="C5" s="9">
        <f>'Input Data'!G3/100</f>
        <v>4.147E-2</v>
      </c>
      <c r="D5" s="9"/>
      <c r="E5" s="14" t="s">
        <v>9</v>
      </c>
      <c r="F5" s="15">
        <f>1-F4/CP</f>
        <v>2.6321592179968656E-3</v>
      </c>
      <c r="G5" s="6"/>
      <c r="H5" s="6"/>
      <c r="I5" s="6"/>
    </row>
    <row r="6" spans="2:9">
      <c r="B6" s="6" t="s">
        <v>2</v>
      </c>
      <c r="C6" s="16">
        <f>'Input Data'!I3</f>
        <v>200000</v>
      </c>
      <c r="D6" s="6"/>
      <c r="E6" s="9" t="s">
        <v>16</v>
      </c>
      <c r="F6" s="17">
        <f>1-((CIR/12*(1+CIR/12)^360)/((1+CIR/12)^360-1)*((1+CAPR/12)^360-1)/(CAPR/12*(1+CAPR/12)^360))</f>
        <v>2.6321592179967546E-3</v>
      </c>
      <c r="G6" s="6"/>
      <c r="H6" s="6" t="s">
        <v>25</v>
      </c>
      <c r="I6" s="17">
        <f>CIR-(0.01-(1-((CIR/12*(1+CIR/12)^360)/((1+CIR/12)^360-1)*((1+CAPR/12)^360-1)/(CAPR/12*(1+CAPR/12)^360)) + C7/CP))/4</f>
        <v>4.1618039804499192E-2</v>
      </c>
    </row>
    <row r="7" spans="2:9">
      <c r="B7" s="6" t="s">
        <v>5</v>
      </c>
      <c r="C7" s="16">
        <f>'Input Data'!H3</f>
        <v>1768</v>
      </c>
      <c r="D7" s="16"/>
      <c r="E7" s="6"/>
      <c r="F7" s="6"/>
      <c r="G7" s="6"/>
      <c r="H7" s="6"/>
      <c r="I7" s="6"/>
    </row>
    <row r="8" spans="2:9">
      <c r="B8" s="10" t="s">
        <v>8</v>
      </c>
      <c r="C8" s="18" t="s">
        <v>3</v>
      </c>
      <c r="D8" s="19"/>
      <c r="E8" s="6" t="s">
        <v>10</v>
      </c>
      <c r="F8" s="17">
        <f>C7/CP</f>
        <v>8.8400000000000006E-3</v>
      </c>
      <c r="G8" s="6"/>
      <c r="H8" s="6"/>
      <c r="I8" s="6"/>
    </row>
    <row r="9" spans="2:9">
      <c r="B9" s="6"/>
      <c r="C9" s="6"/>
      <c r="D9" s="6"/>
      <c r="E9" s="6" t="s">
        <v>11</v>
      </c>
      <c r="F9" s="20">
        <f>F6+F8</f>
        <v>1.1472159217996755E-2</v>
      </c>
      <c r="G9" s="6"/>
      <c r="H9" s="6"/>
      <c r="I9" s="6"/>
    </row>
    <row r="10" spans="2:9">
      <c r="B10" s="6"/>
      <c r="C10" s="6"/>
      <c r="D10" s="6"/>
      <c r="E10" s="6"/>
      <c r="F10" s="6"/>
      <c r="G10" s="6"/>
      <c r="H10" s="6"/>
      <c r="I10" s="6"/>
    </row>
    <row r="11" spans="2:9">
      <c r="B11" s="6"/>
      <c r="C11" s="6"/>
      <c r="D11" s="6"/>
      <c r="E11" s="6"/>
      <c r="F11" s="6"/>
      <c r="G11" s="6"/>
      <c r="H11" s="6"/>
      <c r="I11" s="6"/>
    </row>
    <row r="12" spans="2:9">
      <c r="B12" s="6"/>
      <c r="C12" s="6"/>
      <c r="D12" s="6"/>
      <c r="E12" s="6"/>
      <c r="F12" s="6"/>
      <c r="G12" s="6"/>
      <c r="H12" s="6"/>
      <c r="I12" s="6"/>
    </row>
    <row r="13" spans="2:9">
      <c r="B13" s="6" t="s">
        <v>14</v>
      </c>
      <c r="C13" s="6"/>
      <c r="D13" s="6"/>
      <c r="E13" s="6"/>
      <c r="F13" s="6"/>
      <c r="G13" s="6"/>
      <c r="H13" s="6"/>
      <c r="I13" s="6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I42"/>
  <sheetViews>
    <sheetView workbookViewId="0"/>
  </sheetViews>
  <sheetFormatPr defaultRowHeight="12.75"/>
  <cols>
    <col min="1" max="1" width="9.140625" style="6"/>
    <col min="2" max="2" width="15.7109375" style="6" customWidth="1"/>
    <col min="3" max="3" width="16.85546875" style="6" customWidth="1"/>
    <col min="4" max="4" width="2.140625" style="6" customWidth="1"/>
    <col min="5" max="5" width="23.140625" style="6" bestFit="1" customWidth="1"/>
    <col min="6" max="6" width="15.7109375" style="6" customWidth="1"/>
    <col min="7" max="7" width="2.7109375" style="6" customWidth="1"/>
    <col min="8" max="8" width="15.7109375" style="6" customWidth="1"/>
    <col min="9" max="9" width="16.140625" style="6" customWidth="1"/>
    <col min="10" max="16384" width="9.140625" style="6"/>
  </cols>
  <sheetData>
    <row r="2" spans="2:9">
      <c r="B2" s="148" t="s">
        <v>4</v>
      </c>
      <c r="C2" s="148"/>
      <c r="D2" s="25"/>
      <c r="E2" s="148" t="s">
        <v>6</v>
      </c>
      <c r="F2" s="148"/>
      <c r="H2" s="148" t="s">
        <v>13</v>
      </c>
      <c r="I2" s="148"/>
    </row>
    <row r="4" spans="2:9" ht="15">
      <c r="B4" s="6" t="s">
        <v>0</v>
      </c>
      <c r="C4" s="28">
        <f>'Input Data'!E4/100</f>
        <v>4.1250000000000002E-2</v>
      </c>
      <c r="D4" s="9"/>
      <c r="E4" s="9" t="s">
        <v>9</v>
      </c>
      <c r="F4" s="17">
        <f>1-((C4/12*(1+C4/12)^360)/((1+C4/12)^360-1)*((1+C5/12)^360-1)/(C5/12*(1+C5/12)^360))</f>
        <v>2.7515576864621805E-3</v>
      </c>
      <c r="H4" s="12" t="s">
        <v>12</v>
      </c>
      <c r="I4" s="13">
        <f>C4-(1%-F7)/4</f>
        <v>4.1238889421615549E-2</v>
      </c>
    </row>
    <row r="5" spans="2:9" ht="15">
      <c r="B5" s="6" t="s">
        <v>1</v>
      </c>
      <c r="C5" s="28">
        <f>'Input Data'!G4/100</f>
        <v>4.1479999999999996E-2</v>
      </c>
      <c r="D5" s="9"/>
      <c r="E5" s="10" t="s">
        <v>15</v>
      </c>
      <c r="F5" s="21">
        <f>F4</f>
        <v>2.7515576864621805E-3</v>
      </c>
    </row>
    <row r="6" spans="2:9">
      <c r="B6" s="6" t="s">
        <v>2</v>
      </c>
      <c r="C6" s="32">
        <f>'Input Data'!I4</f>
        <v>500000</v>
      </c>
      <c r="E6" s="10" t="s">
        <v>10</v>
      </c>
      <c r="F6" s="15">
        <f>C7/C6</f>
        <v>7.2040000000000003E-3</v>
      </c>
      <c r="H6" s="6" t="s">
        <v>25</v>
      </c>
      <c r="I6" s="17">
        <f>C4-(0.01-(1-((C4/12*(1+C4/12)^360)/((1+C4/12)^360-1)*((1+C5/12)^360-1)/(C5/12*(1+C5/12)^360)) + C7/C6))/4</f>
        <v>4.1238889421615549E-2</v>
      </c>
    </row>
    <row r="7" spans="2:9">
      <c r="B7" s="6" t="s">
        <v>5</v>
      </c>
      <c r="C7" s="33">
        <f>'Input Data'!H4</f>
        <v>3602</v>
      </c>
      <c r="D7" s="16"/>
      <c r="E7" s="6" t="s">
        <v>11</v>
      </c>
      <c r="F7" s="20">
        <f>F5+F6</f>
        <v>9.9555576864621808E-3</v>
      </c>
    </row>
    <row r="8" spans="2:9">
      <c r="B8" s="6" t="s">
        <v>8</v>
      </c>
      <c r="C8" s="15" t="s">
        <v>3</v>
      </c>
      <c r="D8" s="19"/>
    </row>
    <row r="13" spans="2:9">
      <c r="B13" s="6" t="s">
        <v>14</v>
      </c>
    </row>
    <row r="17" spans="2:6" ht="15">
      <c r="B17" s="1"/>
      <c r="C17" s="27"/>
      <c r="D17" s="1"/>
      <c r="E17" s="1"/>
      <c r="F17" s="27"/>
    </row>
    <row r="18" spans="2:6" ht="15">
      <c r="B18" s="1"/>
      <c r="C18" s="28"/>
      <c r="D18" s="1"/>
      <c r="E18" s="1"/>
      <c r="F18" s="28"/>
    </row>
    <row r="19" spans="2:6" ht="15">
      <c r="B19" s="1"/>
      <c r="C19" s="29"/>
      <c r="D19" s="1"/>
      <c r="E19" s="1"/>
      <c r="F19" s="29"/>
    </row>
    <row r="20" spans="2:6" ht="15">
      <c r="B20" s="1"/>
      <c r="C20" s="30"/>
      <c r="D20" s="1"/>
      <c r="E20" s="1"/>
      <c r="F20" s="28"/>
    </row>
    <row r="21" spans="2:6" ht="15">
      <c r="B21" s="1"/>
      <c r="C21" s="1"/>
      <c r="D21" s="1"/>
      <c r="E21" s="1"/>
      <c r="F21" s="1"/>
    </row>
    <row r="22" spans="2:6" ht="15">
      <c r="B22" s="1"/>
      <c r="C22" s="31"/>
      <c r="D22" s="1"/>
      <c r="E22" s="1"/>
      <c r="F22" s="23"/>
    </row>
    <row r="37" spans="2:6" ht="15">
      <c r="B37" s="1"/>
      <c r="C37" s="27"/>
      <c r="D37" s="1"/>
      <c r="E37" s="1"/>
      <c r="F37" s="27"/>
    </row>
    <row r="38" spans="2:6" ht="15">
      <c r="B38" s="1"/>
      <c r="C38" s="28"/>
      <c r="D38" s="1"/>
      <c r="E38" s="1"/>
      <c r="F38" s="28"/>
    </row>
    <row r="39" spans="2:6" ht="15">
      <c r="B39" s="1"/>
      <c r="C39" s="29"/>
      <c r="D39" s="1"/>
      <c r="E39" s="1"/>
      <c r="F39" s="29"/>
    </row>
    <row r="40" spans="2:6" ht="15">
      <c r="B40" s="1"/>
      <c r="C40" s="30"/>
      <c r="D40" s="1"/>
      <c r="E40" s="1"/>
      <c r="F40" s="28"/>
    </row>
    <row r="41" spans="2:6" ht="15">
      <c r="B41" s="1"/>
      <c r="C41" s="1"/>
      <c r="D41" s="1"/>
      <c r="E41" s="1"/>
      <c r="F41" s="1"/>
    </row>
    <row r="42" spans="2:6" ht="15">
      <c r="B42" s="1"/>
      <c r="C42" s="31"/>
      <c r="D42" s="1"/>
      <c r="E42" s="1"/>
      <c r="F42" s="23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I42"/>
  <sheetViews>
    <sheetView workbookViewId="0"/>
  </sheetViews>
  <sheetFormatPr defaultRowHeight="12.75"/>
  <cols>
    <col min="1" max="1" width="9.140625" style="6"/>
    <col min="2" max="2" width="15.7109375" style="6" customWidth="1"/>
    <col min="3" max="3" width="16.85546875" style="6" customWidth="1"/>
    <col min="4" max="4" width="2.140625" style="6" customWidth="1"/>
    <col min="5" max="5" width="23.140625" style="6" bestFit="1" customWidth="1"/>
    <col min="6" max="6" width="15.7109375" style="6" customWidth="1"/>
    <col min="7" max="7" width="2.7109375" style="6" customWidth="1"/>
    <col min="8" max="8" width="15.7109375" style="6" customWidth="1"/>
    <col min="9" max="9" width="16.140625" style="6" customWidth="1"/>
    <col min="10" max="16384" width="9.140625" style="6"/>
  </cols>
  <sheetData>
    <row r="2" spans="2:9">
      <c r="B2" s="148" t="s">
        <v>4</v>
      </c>
      <c r="C2" s="148"/>
      <c r="D2" s="25"/>
      <c r="E2" s="148" t="s">
        <v>6</v>
      </c>
      <c r="F2" s="148"/>
      <c r="H2" s="148" t="s">
        <v>13</v>
      </c>
      <c r="I2" s="148"/>
    </row>
    <row r="4" spans="2:9" ht="15">
      <c r="B4" s="6" t="s">
        <v>0</v>
      </c>
      <c r="C4" s="28">
        <f>'Input Data'!E5/100</f>
        <v>4.1250000000000002E-2</v>
      </c>
      <c r="D4" s="9"/>
      <c r="E4" s="9" t="s">
        <v>9</v>
      </c>
      <c r="F4" s="17">
        <f>1-((C4/12*(1+C4/12)^360)/((1+C4/12)^360-1)*((1+C5/12)^360-1)/(C5/12*(1+C5/12)^360))</f>
        <v>0</v>
      </c>
      <c r="H4" s="12" t="s">
        <v>12</v>
      </c>
      <c r="I4" s="13">
        <f>C4-(1%-F7)/4</f>
        <v>3.9170666666666666E-2</v>
      </c>
    </row>
    <row r="5" spans="2:9" ht="15">
      <c r="B5" s="6" t="s">
        <v>1</v>
      </c>
      <c r="C5" s="28">
        <f>'Input Data'!G5/100</f>
        <v>4.1250000000000002E-2</v>
      </c>
      <c r="D5" s="9"/>
      <c r="E5" s="10" t="s">
        <v>15</v>
      </c>
      <c r="F5" s="21">
        <f>F4</f>
        <v>0</v>
      </c>
    </row>
    <row r="6" spans="2:9">
      <c r="B6" s="6" t="s">
        <v>2</v>
      </c>
      <c r="C6" s="32">
        <f>'Input Data'!I5</f>
        <v>750000</v>
      </c>
      <c r="E6" s="10" t="s">
        <v>10</v>
      </c>
      <c r="F6" s="15">
        <f>C7/C6</f>
        <v>1.6826666666666667E-3</v>
      </c>
      <c r="H6" s="6" t="s">
        <v>25</v>
      </c>
      <c r="I6" s="17">
        <f>C4-(0.01-(1-((C4/12*(1+C4/12)^360)/((1+C4/12)^360-1)*((1+C5/12)^360-1)/(C5/12*(1+C5/12)^360)) + C7/C6))/4</f>
        <v>3.9170666666666666E-2</v>
      </c>
    </row>
    <row r="7" spans="2:9">
      <c r="B7" s="6" t="s">
        <v>5</v>
      </c>
      <c r="C7" s="33">
        <f>'Input Data'!H5</f>
        <v>1262</v>
      </c>
      <c r="D7" s="16"/>
      <c r="E7" s="6" t="s">
        <v>11</v>
      </c>
      <c r="F7" s="20">
        <f>F5+F6</f>
        <v>1.6826666666666667E-3</v>
      </c>
    </row>
    <row r="8" spans="2:9">
      <c r="B8" s="6" t="s">
        <v>8</v>
      </c>
      <c r="C8" s="15" t="s">
        <v>3</v>
      </c>
      <c r="D8" s="19"/>
    </row>
    <row r="13" spans="2:9">
      <c r="B13" s="6" t="s">
        <v>14</v>
      </c>
    </row>
    <row r="37" spans="2:6" ht="15">
      <c r="B37" s="1"/>
      <c r="C37" s="27"/>
      <c r="D37" s="1"/>
      <c r="E37" s="1"/>
      <c r="F37" s="27"/>
    </row>
    <row r="38" spans="2:6" ht="15">
      <c r="B38" s="1"/>
      <c r="C38" s="28"/>
      <c r="D38" s="1"/>
      <c r="E38" s="1"/>
      <c r="F38" s="28"/>
    </row>
    <row r="39" spans="2:6" ht="15">
      <c r="B39" s="1"/>
      <c r="C39" s="29"/>
      <c r="D39" s="1"/>
      <c r="E39" s="1"/>
      <c r="F39" s="29"/>
    </row>
    <row r="40" spans="2:6" ht="15">
      <c r="B40" s="1"/>
      <c r="C40" s="30"/>
      <c r="D40" s="1"/>
      <c r="E40" s="1"/>
      <c r="F40" s="28"/>
    </row>
    <row r="41" spans="2:6" ht="15">
      <c r="B41" s="1"/>
      <c r="C41" s="1"/>
      <c r="D41" s="1"/>
      <c r="E41" s="1"/>
      <c r="F41" s="1"/>
    </row>
    <row r="42" spans="2:6" ht="15">
      <c r="B42" s="1"/>
      <c r="C42" s="31"/>
      <c r="D42" s="1"/>
      <c r="E42" s="1"/>
      <c r="F42" s="23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I13"/>
  <sheetViews>
    <sheetView workbookViewId="0"/>
  </sheetViews>
  <sheetFormatPr defaultRowHeight="12.75"/>
  <cols>
    <col min="1" max="1" width="9.140625" style="6"/>
    <col min="2" max="2" width="38" style="6" bestFit="1" customWidth="1"/>
    <col min="3" max="3" width="16.85546875" style="6" customWidth="1"/>
    <col min="4" max="4" width="2.140625" style="6" customWidth="1"/>
    <col min="5" max="5" width="23.140625" style="6" bestFit="1" customWidth="1"/>
    <col min="6" max="6" width="15.7109375" style="6" customWidth="1"/>
    <col min="7" max="7" width="2.7109375" style="6" customWidth="1"/>
    <col min="8" max="8" width="15.7109375" style="6" customWidth="1"/>
    <col min="9" max="9" width="20" style="6" bestFit="1" customWidth="1"/>
    <col min="10" max="16384" width="9.140625" style="6"/>
  </cols>
  <sheetData>
    <row r="2" spans="2:9">
      <c r="B2" s="148" t="s">
        <v>4</v>
      </c>
      <c r="C2" s="148"/>
      <c r="D2" s="26"/>
      <c r="E2" s="148" t="s">
        <v>6</v>
      </c>
      <c r="F2" s="148"/>
      <c r="H2" s="148" t="s">
        <v>13</v>
      </c>
      <c r="I2" s="148"/>
    </row>
    <row r="4" spans="2:9">
      <c r="B4" s="6" t="s">
        <v>0</v>
      </c>
      <c r="C4" s="17">
        <f>'Input Data'!E2/100</f>
        <v>3.875E-2</v>
      </c>
      <c r="D4" s="9"/>
      <c r="E4" s="9" t="s">
        <v>38</v>
      </c>
      <c r="F4" s="17">
        <f>C5/C6</f>
        <v>1.7500000000000002E-2</v>
      </c>
      <c r="H4" s="12" t="s">
        <v>12</v>
      </c>
      <c r="I4" s="13">
        <f>C4-(1%-F7)/4</f>
        <v>4.0036250000000002E-2</v>
      </c>
    </row>
    <row r="5" spans="2:9">
      <c r="B5" s="6" t="s">
        <v>46</v>
      </c>
      <c r="C5" s="45">
        <f>'Input Data'!J2</f>
        <v>3500</v>
      </c>
      <c r="D5" s="9"/>
      <c r="E5" s="46" t="s">
        <v>15</v>
      </c>
      <c r="F5" s="47">
        <f>C8</f>
        <v>0</v>
      </c>
    </row>
    <row r="6" spans="2:9">
      <c r="B6" s="6" t="s">
        <v>2</v>
      </c>
      <c r="C6" s="48">
        <f>'Input Data'!I2</f>
        <v>200000</v>
      </c>
      <c r="E6" s="46" t="s">
        <v>10</v>
      </c>
      <c r="F6" s="49">
        <f>C7/C6-F4</f>
        <v>1.5144999999999999E-2</v>
      </c>
      <c r="I6" s="17"/>
    </row>
    <row r="7" spans="2:9">
      <c r="B7" s="6" t="s">
        <v>5</v>
      </c>
      <c r="C7" s="33">
        <f>'Input Data'!H2</f>
        <v>6529</v>
      </c>
      <c r="D7" s="16"/>
      <c r="E7" s="6" t="s">
        <v>11</v>
      </c>
      <c r="F7" s="20">
        <f>F5+F6</f>
        <v>1.5144999999999999E-2</v>
      </c>
    </row>
    <row r="8" spans="2:9">
      <c r="B8" s="6" t="s">
        <v>8</v>
      </c>
      <c r="C8" s="49">
        <v>0</v>
      </c>
      <c r="D8" s="19"/>
    </row>
    <row r="9" spans="2:9">
      <c r="E9" s="50" t="s">
        <v>47</v>
      </c>
      <c r="F9" s="17">
        <f>C7/C6</f>
        <v>3.2645E-2</v>
      </c>
    </row>
    <row r="13" spans="2:9">
      <c r="B13" s="6" t="s">
        <v>14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16</vt:i4>
      </vt:variant>
    </vt:vector>
  </HeadingPairs>
  <TitlesOfParts>
    <vt:vector size="28" baseType="lpstr">
      <vt:lpstr>Report</vt:lpstr>
      <vt:lpstr>Rates Summary</vt:lpstr>
      <vt:lpstr>Time Series Query</vt:lpstr>
      <vt:lpstr>Input Data</vt:lpstr>
      <vt:lpstr>Historic Result</vt:lpstr>
      <vt:lpstr>BoA - Conventional</vt:lpstr>
      <vt:lpstr>Chase - Conventional</vt:lpstr>
      <vt:lpstr>Quicken - Conventional</vt:lpstr>
      <vt:lpstr>Wells - Conventional</vt:lpstr>
      <vt:lpstr>Wells - Jumbo conformin</vt:lpstr>
      <vt:lpstr>Wells - Jumbo Non-conforming</vt:lpstr>
      <vt:lpstr>Wells - FHA</vt:lpstr>
      <vt:lpstr>'Wells - Jumbo conformin'!AIR</vt:lpstr>
      <vt:lpstr>'Wells - Jumbo Non-conforming'!AIR</vt:lpstr>
      <vt:lpstr>AIR</vt:lpstr>
      <vt:lpstr>'Wells - Jumbo conformin'!BOAIR</vt:lpstr>
      <vt:lpstr>'Wells - Jumbo Non-conforming'!BOAIR</vt:lpstr>
      <vt:lpstr>BOAIR</vt:lpstr>
      <vt:lpstr>CAPR</vt:lpstr>
      <vt:lpstr>CIR</vt:lpstr>
      <vt:lpstr>CP</vt:lpstr>
      <vt:lpstr>CurrentCloseDate</vt:lpstr>
      <vt:lpstr>DatabaseEnv</vt:lpstr>
      <vt:lpstr>OneDayBusDate</vt:lpstr>
      <vt:lpstr>OneWeekBusDate</vt:lpstr>
      <vt:lpstr>PDFReportName</vt:lpstr>
      <vt:lpstr>Report!Print_Area</vt:lpstr>
      <vt:lpstr>WIR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2015-03-04T22:10:47Z</cp:lastPrinted>
  <dcterms:created xsi:type="dcterms:W3CDTF">2015-02-26T13:52:04Z</dcterms:created>
  <dcterms:modified xsi:type="dcterms:W3CDTF">2015-03-04T22:14:51Z</dcterms:modified>
</cp:coreProperties>
</file>